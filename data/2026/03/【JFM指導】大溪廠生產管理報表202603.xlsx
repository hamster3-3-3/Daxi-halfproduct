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styles.xml" ContentType="application/vnd.openxmlformats-officedocument.spreadsheetml.styles+xml"/>
  <Override PartName="/xl/worksheets/sheet2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月報\"/>
    </mc:Choice>
  </mc:AlternateContent>
  <bookViews>
    <workbookView xWindow="-120" yWindow="-120" windowWidth="29040" windowHeight="15720" tabRatio="866" activeTab="1"/>
  </bookViews>
  <sheets>
    <sheet name="數值累積總表(月)" sheetId="66" r:id="rId1"/>
    <sheet name="生產管理報表(月)" sheetId="13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r:id="rId22"/>
    <sheet name="生產管理報表 8-1(月報廢)" sheetId="57" r:id="rId23"/>
    <sheet name="生產管理報表 8-2(月報廢)" sheetId="58" r:id="rId24"/>
    <sheet name="生產管理報表 8-3(月超用)" sheetId="59" r:id="rId25"/>
    <sheet name="生產管理報表 8-4(月超用)" sheetId="60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4" r:id="rId35"/>
    <sheet name="填寫舉例" sheetId="1" r:id="rId36"/>
    <sheet name="鮮食品群番" sheetId="38" r:id="rId37"/>
    <sheet name="下拉式選單" sheetId="54" r:id="rId38"/>
  </sheet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6-1'!$A$1:$L$158</definedName>
    <definedName name="_xlnm.Print_Area" localSheetId="17">'生產管理報表 6-2'!$A$1:$L$158</definedName>
    <definedName name="_xlnm.Print_Area" localSheetId="18">'生產管理報表 6-3'!$A$1:$L$158</definedName>
    <definedName name="_xlnm.Print_Area" localSheetId="19">'生產管理報表 6-4'!$A$1:$L$158</definedName>
    <definedName name="_xlnm.Print_Area" localSheetId="20">'生產管理報表 6-5'!$A$1:$L$158</definedName>
    <definedName name="_xlnm.Print_Area" localSheetId="26">'生產管理報表 7-1 (週)'!$A$1:$M$70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8-5(週報廢)'!$A$1:$Q$142</definedName>
    <definedName name="_xlnm.Print_Area" localSheetId="28">'生產管理報表 8-6(週報廢)'!$A$1:$P$182</definedName>
    <definedName name="_xlnm.Print_Area" localSheetId="29">'生產管理報表 8-7(週超用)'!$A$1:$Q$30</definedName>
    <definedName name="_xlnm.Print_Area" localSheetId="30">'生產管理報表 8-8(週超用) '!$A$1:$P$142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3" l="1"/>
  <c r="E30" i="13"/>
  <c r="E31" i="13"/>
  <c r="E32" i="13"/>
  <c r="E33" i="13"/>
  <c r="E34" i="13"/>
  <c r="E35" i="13"/>
  <c r="E36" i="13"/>
  <c r="E28" i="13"/>
  <c r="C29" i="13"/>
  <c r="C30" i="13"/>
  <c r="C31" i="13"/>
  <c r="C32" i="13"/>
  <c r="C33" i="13"/>
  <c r="C34" i="13"/>
  <c r="C35" i="13"/>
  <c r="C36" i="13"/>
  <c r="C28" i="13"/>
  <c r="J16" i="13"/>
  <c r="J17" i="13"/>
  <c r="J18" i="13"/>
  <c r="J19" i="13"/>
  <c r="J20" i="13"/>
  <c r="J21" i="13"/>
  <c r="J22" i="13"/>
  <c r="J23" i="13"/>
  <c r="J15" i="13"/>
  <c r="D16" i="13"/>
  <c r="D17" i="13"/>
  <c r="D18" i="13"/>
  <c r="D19" i="13"/>
  <c r="D20" i="13"/>
  <c r="D21" i="13"/>
  <c r="D22" i="13"/>
  <c r="D23" i="13"/>
  <c r="D15" i="13"/>
  <c r="K7" i="13"/>
  <c r="K8" i="13"/>
  <c r="K9" i="13"/>
  <c r="K10" i="13"/>
  <c r="K11" i="13"/>
  <c r="K6" i="13"/>
  <c r="J7" i="13"/>
  <c r="J8" i="13"/>
  <c r="J9" i="13"/>
  <c r="J10" i="13"/>
  <c r="J11" i="13"/>
  <c r="J6" i="13"/>
  <c r="C7" i="13"/>
  <c r="C8" i="13"/>
  <c r="C9" i="13"/>
  <c r="C10" i="13"/>
  <c r="C11" i="13"/>
  <c r="C6" i="13"/>
  <c r="E7" i="13" l="1"/>
  <c r="E8" i="13"/>
  <c r="E10" i="13"/>
  <c r="E6" i="13"/>
  <c r="D10" i="13"/>
  <c r="P45" i="66" l="1"/>
  <c r="P44" i="66"/>
  <c r="P43" i="66"/>
  <c r="P42" i="66"/>
  <c r="P41" i="66"/>
  <c r="P40" i="66"/>
  <c r="P39" i="66"/>
  <c r="P38" i="66"/>
  <c r="P37" i="66"/>
  <c r="P35" i="66"/>
  <c r="P34" i="66"/>
  <c r="P33" i="66"/>
  <c r="P32" i="66"/>
  <c r="P31" i="66"/>
  <c r="P30" i="66"/>
  <c r="P29" i="66"/>
  <c r="P28" i="66"/>
  <c r="P27" i="66"/>
  <c r="P25" i="66"/>
  <c r="P24" i="66"/>
  <c r="P23" i="66"/>
  <c r="P22" i="66"/>
  <c r="P21" i="66"/>
  <c r="P20" i="66"/>
  <c r="P19" i="66"/>
  <c r="P18" i="66"/>
  <c r="P17" i="66"/>
  <c r="P14" i="66"/>
  <c r="P13" i="66"/>
  <c r="P12" i="66"/>
  <c r="O11" i="66"/>
  <c r="N11" i="66"/>
  <c r="M11" i="66"/>
  <c r="L11" i="66"/>
  <c r="K11" i="66"/>
  <c r="J11" i="66"/>
  <c r="I11" i="66"/>
  <c r="H11" i="66"/>
  <c r="G11" i="66"/>
  <c r="F11" i="66"/>
  <c r="E11" i="66"/>
  <c r="D11" i="66"/>
  <c r="P11" i="66" s="1"/>
  <c r="P10" i="66"/>
  <c r="P9" i="66"/>
  <c r="O7" i="66"/>
  <c r="N7" i="66"/>
  <c r="M7" i="66"/>
  <c r="L7" i="66"/>
  <c r="K7" i="66"/>
  <c r="J7" i="66"/>
  <c r="I7" i="66"/>
  <c r="H7" i="66"/>
  <c r="G7" i="66"/>
  <c r="P7" i="66" s="1"/>
  <c r="E11" i="13" s="1"/>
  <c r="P6" i="66"/>
  <c r="O5" i="66"/>
  <c r="N5" i="66"/>
  <c r="M5" i="66"/>
  <c r="L5" i="66"/>
  <c r="K5" i="66"/>
  <c r="J5" i="66"/>
  <c r="I5" i="66"/>
  <c r="H5" i="66"/>
  <c r="G5" i="66"/>
  <c r="P5" i="66"/>
  <c r="E9" i="13" s="1"/>
  <c r="P4" i="66"/>
  <c r="P3" i="66"/>
  <c r="P2" i="66"/>
  <c r="C65" i="41" l="1"/>
  <c r="C64" i="41"/>
  <c r="K70" i="41"/>
  <c r="K69" i="41"/>
  <c r="J70" i="41"/>
  <c r="J69" i="41"/>
  <c r="I70" i="41"/>
  <c r="I69" i="41"/>
  <c r="H70" i="41"/>
  <c r="H69" i="41"/>
  <c r="G70" i="41"/>
  <c r="G69" i="41"/>
  <c r="F70" i="41"/>
  <c r="F69" i="41"/>
  <c r="M65" i="41"/>
  <c r="M64" i="41"/>
  <c r="L65" i="41"/>
  <c r="L64" i="41"/>
  <c r="K65" i="41"/>
  <c r="K64" i="41"/>
  <c r="J65" i="41"/>
  <c r="J64" i="41"/>
  <c r="I65" i="41"/>
  <c r="I64" i="41"/>
  <c r="H65" i="41"/>
  <c r="H64" i="41"/>
  <c r="G65" i="41"/>
  <c r="G64" i="41"/>
  <c r="F65" i="41"/>
  <c r="F64" i="41"/>
  <c r="B65" i="41"/>
  <c r="B64" i="41"/>
  <c r="J138" i="25"/>
  <c r="B138" i="25"/>
  <c r="A138" i="25"/>
  <c r="J157" i="23"/>
  <c r="J156" i="23"/>
  <c r="J155" i="23"/>
  <c r="J153" i="23"/>
  <c r="J152" i="23"/>
  <c r="J151" i="23"/>
  <c r="J150" i="23"/>
  <c r="J149" i="23"/>
  <c r="J145" i="23"/>
  <c r="J144" i="23"/>
  <c r="J143" i="23"/>
  <c r="J142" i="23"/>
  <c r="J141" i="23"/>
  <c r="J140" i="23"/>
  <c r="J139" i="23"/>
  <c r="J138" i="23"/>
  <c r="J150" i="22"/>
  <c r="J149" i="22"/>
  <c r="J139" i="22"/>
  <c r="J138" i="22"/>
  <c r="J158" i="15"/>
  <c r="J157" i="15"/>
  <c r="J156" i="15"/>
  <c r="J155" i="15"/>
  <c r="J154" i="15"/>
  <c r="J153" i="15"/>
  <c r="J152" i="15"/>
  <c r="J151" i="15"/>
  <c r="J150" i="15"/>
  <c r="J149" i="15"/>
  <c r="J146" i="15"/>
  <c r="J145" i="15"/>
  <c r="J144" i="15"/>
  <c r="J143" i="15"/>
  <c r="J141" i="15"/>
  <c r="J140" i="15"/>
  <c r="J139" i="15"/>
  <c r="J138" i="15"/>
  <c r="AH107" i="52"/>
  <c r="AC107" i="52"/>
  <c r="X107" i="52"/>
  <c r="S107" i="52"/>
  <c r="M107" i="52"/>
  <c r="AV107" i="52"/>
  <c r="AX107" i="52" s="1"/>
  <c r="AQ107" i="52"/>
  <c r="AS107" i="52" s="1"/>
  <c r="AN107" i="52"/>
  <c r="AL107" i="52"/>
  <c r="AG107" i="52"/>
  <c r="AI107" i="52" s="1"/>
  <c r="AB107" i="52"/>
  <c r="AD107" i="52" s="1"/>
  <c r="W107" i="52"/>
  <c r="Y107" i="52" s="1"/>
  <c r="T107" i="52"/>
  <c r="R107" i="52"/>
  <c r="J107" i="52"/>
  <c r="I107" i="52"/>
  <c r="H107" i="52"/>
  <c r="G107" i="52"/>
  <c r="AW115" i="49"/>
  <c r="AW114" i="49"/>
  <c r="AW113" i="49"/>
  <c r="AW112" i="49"/>
  <c r="AW111" i="49"/>
  <c r="AW110" i="49"/>
  <c r="AW109" i="49"/>
  <c r="AW108" i="49"/>
  <c r="AW107" i="49"/>
  <c r="AR115" i="49"/>
  <c r="AR114" i="49"/>
  <c r="AR113" i="49"/>
  <c r="AR112" i="49"/>
  <c r="AR111" i="49"/>
  <c r="AR110" i="49"/>
  <c r="AR109" i="49"/>
  <c r="AR108" i="49"/>
  <c r="AR107" i="49"/>
  <c r="AM115" i="49"/>
  <c r="AM114" i="49"/>
  <c r="AM113" i="49"/>
  <c r="AM112" i="49"/>
  <c r="AM111" i="49"/>
  <c r="AM110" i="49"/>
  <c r="AM109" i="49"/>
  <c r="AM108" i="49"/>
  <c r="AM107" i="49"/>
  <c r="AH115" i="49"/>
  <c r="AH114" i="49"/>
  <c r="AH113" i="49"/>
  <c r="AH112" i="49"/>
  <c r="AH111" i="49"/>
  <c r="AH110" i="49"/>
  <c r="AH109" i="49"/>
  <c r="AH108" i="49"/>
  <c r="AH107" i="49"/>
  <c r="AC115" i="49"/>
  <c r="AC114" i="49"/>
  <c r="AC113" i="49"/>
  <c r="AC112" i="49"/>
  <c r="AC111" i="49"/>
  <c r="AC110" i="49"/>
  <c r="AC109" i="49"/>
  <c r="AC108" i="49"/>
  <c r="AC107" i="49"/>
  <c r="X115" i="49"/>
  <c r="X114" i="49"/>
  <c r="X113" i="49"/>
  <c r="X112" i="49"/>
  <c r="X111" i="49"/>
  <c r="X110" i="49"/>
  <c r="X109" i="49"/>
  <c r="X108" i="49"/>
  <c r="X107" i="49"/>
  <c r="S108" i="49"/>
  <c r="S109" i="49"/>
  <c r="S110" i="49"/>
  <c r="S111" i="49"/>
  <c r="S112" i="49"/>
  <c r="S113" i="49"/>
  <c r="S114" i="49"/>
  <c r="S115" i="49"/>
  <c r="S107" i="49"/>
  <c r="M108" i="49"/>
  <c r="M109" i="49"/>
  <c r="M110" i="49"/>
  <c r="M111" i="49"/>
  <c r="M112" i="49"/>
  <c r="M113" i="49"/>
  <c r="M114" i="49"/>
  <c r="M115" i="49"/>
  <c r="M107" i="49"/>
  <c r="AV115" i="49"/>
  <c r="AQ115" i="49"/>
  <c r="AL115" i="49"/>
  <c r="AG115" i="49"/>
  <c r="AB115" i="49"/>
  <c r="W115" i="49"/>
  <c r="R115" i="49"/>
  <c r="K115" i="49"/>
  <c r="J115" i="49"/>
  <c r="I115" i="49"/>
  <c r="G115" i="49"/>
  <c r="AV114" i="49"/>
  <c r="AQ114" i="49"/>
  <c r="AL114" i="49"/>
  <c r="AG114" i="49"/>
  <c r="AB114" i="49"/>
  <c r="W114" i="49"/>
  <c r="R114" i="49"/>
  <c r="K114" i="49"/>
  <c r="J114" i="49"/>
  <c r="I114" i="49"/>
  <c r="G114" i="49"/>
  <c r="AV113" i="49"/>
  <c r="AQ113" i="49"/>
  <c r="AL113" i="49"/>
  <c r="AG113" i="49"/>
  <c r="AB113" i="49"/>
  <c r="W113" i="49"/>
  <c r="R113" i="49"/>
  <c r="J113" i="49"/>
  <c r="I113" i="49"/>
  <c r="G113" i="49"/>
  <c r="AV112" i="49"/>
  <c r="K112" i="49" s="1"/>
  <c r="AQ112" i="49"/>
  <c r="AL112" i="49"/>
  <c r="AG112" i="49"/>
  <c r="AB112" i="49"/>
  <c r="W112" i="49"/>
  <c r="R112" i="49"/>
  <c r="J112" i="49"/>
  <c r="I112" i="49"/>
  <c r="G112" i="49"/>
  <c r="AV111" i="49"/>
  <c r="AQ111" i="49"/>
  <c r="AL111" i="49"/>
  <c r="AG111" i="49"/>
  <c r="AB111" i="49"/>
  <c r="W111" i="49"/>
  <c r="R111" i="49"/>
  <c r="J111" i="49"/>
  <c r="I111" i="49"/>
  <c r="G111" i="49"/>
  <c r="AV110" i="49"/>
  <c r="AQ110" i="49"/>
  <c r="AL110" i="49"/>
  <c r="AG110" i="49"/>
  <c r="AB110" i="49"/>
  <c r="W110" i="49"/>
  <c r="R110" i="49"/>
  <c r="J110" i="49"/>
  <c r="I110" i="49"/>
  <c r="G110" i="49"/>
  <c r="AV109" i="49"/>
  <c r="AQ109" i="49"/>
  <c r="AL109" i="49"/>
  <c r="AG109" i="49"/>
  <c r="AB109" i="49"/>
  <c r="W109" i="49"/>
  <c r="R109" i="49"/>
  <c r="J109" i="49"/>
  <c r="I109" i="49"/>
  <c r="G109" i="49"/>
  <c r="AV108" i="49"/>
  <c r="AQ108" i="49"/>
  <c r="AL108" i="49"/>
  <c r="AG108" i="49"/>
  <c r="AB108" i="49"/>
  <c r="W108" i="49"/>
  <c r="R108" i="49"/>
  <c r="J108" i="49"/>
  <c r="I108" i="49"/>
  <c r="G108" i="49"/>
  <c r="AV107" i="49"/>
  <c r="AQ107" i="49"/>
  <c r="K107" i="49" s="1"/>
  <c r="AL107" i="49"/>
  <c r="AG107" i="49"/>
  <c r="AI107" i="49" s="1"/>
  <c r="AB107" i="49"/>
  <c r="AD107" i="49" s="1"/>
  <c r="W107" i="49"/>
  <c r="Y107" i="49" s="1"/>
  <c r="R107" i="49"/>
  <c r="T107" i="49" s="1"/>
  <c r="J107" i="49"/>
  <c r="I107" i="49"/>
  <c r="G107" i="49"/>
  <c r="H107" i="49" s="1"/>
  <c r="AW114" i="48"/>
  <c r="AW113" i="48"/>
  <c r="AW112" i="48"/>
  <c r="AW111" i="48"/>
  <c r="AW110" i="48"/>
  <c r="AW109" i="48"/>
  <c r="AW108" i="48"/>
  <c r="AW107" i="48"/>
  <c r="AR114" i="48"/>
  <c r="AR113" i="48"/>
  <c r="AR112" i="48"/>
  <c r="AR111" i="48"/>
  <c r="AR110" i="48"/>
  <c r="AR109" i="48"/>
  <c r="AR108" i="48"/>
  <c r="AR107" i="48"/>
  <c r="AM114" i="48"/>
  <c r="AM113" i="48"/>
  <c r="AM112" i="48"/>
  <c r="AM111" i="48"/>
  <c r="AM110" i="48"/>
  <c r="AM109" i="48"/>
  <c r="AM108" i="48"/>
  <c r="AM107" i="48"/>
  <c r="AH114" i="48"/>
  <c r="AH113" i="48"/>
  <c r="AH112" i="48"/>
  <c r="AH111" i="48"/>
  <c r="AH110" i="48"/>
  <c r="AH109" i="48"/>
  <c r="AH108" i="48"/>
  <c r="AH107" i="48"/>
  <c r="AC114" i="48"/>
  <c r="AC113" i="48"/>
  <c r="AC112" i="48"/>
  <c r="AC111" i="48"/>
  <c r="AC110" i="48"/>
  <c r="AC109" i="48"/>
  <c r="AC108" i="48"/>
  <c r="AC107" i="48"/>
  <c r="X114" i="48"/>
  <c r="X113" i="48"/>
  <c r="X112" i="48"/>
  <c r="X111" i="48"/>
  <c r="X110" i="48"/>
  <c r="X109" i="48"/>
  <c r="X108" i="48"/>
  <c r="X107" i="48"/>
  <c r="S108" i="48"/>
  <c r="S109" i="48"/>
  <c r="S110" i="48"/>
  <c r="S111" i="48"/>
  <c r="S112" i="48"/>
  <c r="S113" i="48"/>
  <c r="S114" i="48"/>
  <c r="S107" i="48"/>
  <c r="M108" i="48"/>
  <c r="M109" i="48"/>
  <c r="M110" i="48"/>
  <c r="M111" i="48"/>
  <c r="M112" i="48"/>
  <c r="M113" i="48"/>
  <c r="M114" i="48"/>
  <c r="M107" i="48"/>
  <c r="AV114" i="48"/>
  <c r="AQ114" i="48"/>
  <c r="AL114" i="48"/>
  <c r="AG114" i="48"/>
  <c r="AB114" i="48"/>
  <c r="W114" i="48"/>
  <c r="R114" i="48"/>
  <c r="K114" i="48"/>
  <c r="J114" i="48"/>
  <c r="I114" i="48"/>
  <c r="G114" i="48"/>
  <c r="AV113" i="48"/>
  <c r="AQ113" i="48"/>
  <c r="AL113" i="48"/>
  <c r="AG113" i="48"/>
  <c r="AB113" i="48"/>
  <c r="W113" i="48"/>
  <c r="R113" i="48"/>
  <c r="K113" i="48"/>
  <c r="J113" i="48"/>
  <c r="I113" i="48"/>
  <c r="G113" i="48"/>
  <c r="AV112" i="48"/>
  <c r="K112" i="48" s="1"/>
  <c r="AQ112" i="48"/>
  <c r="AL112" i="48"/>
  <c r="AG112" i="48"/>
  <c r="AB112" i="48"/>
  <c r="W112" i="48"/>
  <c r="R112" i="48"/>
  <c r="J112" i="48"/>
  <c r="I112" i="48"/>
  <c r="G112" i="48"/>
  <c r="AV111" i="48"/>
  <c r="AQ111" i="48"/>
  <c r="AL111" i="48"/>
  <c r="AG111" i="48"/>
  <c r="AB111" i="48"/>
  <c r="W111" i="48"/>
  <c r="R111" i="48"/>
  <c r="J111" i="48"/>
  <c r="I111" i="48"/>
  <c r="G111" i="48"/>
  <c r="AV110" i="48"/>
  <c r="AQ110" i="48"/>
  <c r="K110" i="48" s="1"/>
  <c r="AL110" i="48"/>
  <c r="AG110" i="48"/>
  <c r="AB110" i="48"/>
  <c r="W110" i="48"/>
  <c r="R110" i="48"/>
  <c r="J110" i="48"/>
  <c r="I110" i="48"/>
  <c r="G110" i="48"/>
  <c r="AV109" i="48"/>
  <c r="AQ109" i="48"/>
  <c r="K109" i="48" s="1"/>
  <c r="AL109" i="48"/>
  <c r="AG109" i="48"/>
  <c r="AB109" i="48"/>
  <c r="W109" i="48"/>
  <c r="R109" i="48"/>
  <c r="J109" i="48"/>
  <c r="I109" i="48"/>
  <c r="G109" i="48"/>
  <c r="AV108" i="48"/>
  <c r="AQ108" i="48"/>
  <c r="AL108" i="48"/>
  <c r="AN107" i="48" s="1"/>
  <c r="AG108" i="48"/>
  <c r="AB108" i="48"/>
  <c r="W108" i="48"/>
  <c r="R108" i="48"/>
  <c r="J108" i="48"/>
  <c r="I108" i="48"/>
  <c r="G108" i="48"/>
  <c r="AV107" i="48"/>
  <c r="AQ107" i="48"/>
  <c r="K107" i="48" s="1"/>
  <c r="AL107" i="48"/>
  <c r="AG107" i="48"/>
  <c r="AI107" i="48" s="1"/>
  <c r="AB107" i="48"/>
  <c r="W107" i="48"/>
  <c r="Y107" i="48" s="1"/>
  <c r="R107" i="48"/>
  <c r="T107" i="48" s="1"/>
  <c r="J107" i="48"/>
  <c r="I107" i="48"/>
  <c r="H107" i="48"/>
  <c r="G107" i="48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K108" i="47"/>
  <c r="J108" i="47"/>
  <c r="I108" i="47"/>
  <c r="G108" i="47"/>
  <c r="AX107" i="47"/>
  <c r="AV107" i="47"/>
  <c r="AW107" i="47" s="1"/>
  <c r="AQ107" i="47"/>
  <c r="AR107" i="47" s="1"/>
  <c r="AL107" i="47"/>
  <c r="AN107" i="47" s="1"/>
  <c r="AG107" i="47"/>
  <c r="AI107" i="47" s="1"/>
  <c r="AB107" i="47"/>
  <c r="AC107" i="47" s="1"/>
  <c r="W107" i="47"/>
  <c r="Y107" i="47" s="1"/>
  <c r="R107" i="47"/>
  <c r="T107" i="47" s="1"/>
  <c r="J107" i="47"/>
  <c r="I107" i="47"/>
  <c r="G107" i="47"/>
  <c r="H107" i="47" s="1"/>
  <c r="AW108" i="46"/>
  <c r="AW107" i="46"/>
  <c r="AR108" i="46"/>
  <c r="AR107" i="46"/>
  <c r="AM108" i="46"/>
  <c r="AM107" i="46"/>
  <c r="AH108" i="46"/>
  <c r="AH107" i="46"/>
  <c r="AC108" i="46"/>
  <c r="AC107" i="46"/>
  <c r="X108" i="46"/>
  <c r="X107" i="46"/>
  <c r="S108" i="46"/>
  <c r="S107" i="46"/>
  <c r="M108" i="46"/>
  <c r="M107" i="46"/>
  <c r="AV108" i="46"/>
  <c r="AQ108" i="46"/>
  <c r="AL108" i="46"/>
  <c r="AG108" i="46"/>
  <c r="AB108" i="46"/>
  <c r="W108" i="46"/>
  <c r="R108" i="46"/>
  <c r="K108" i="46"/>
  <c r="J108" i="46"/>
  <c r="I108" i="46"/>
  <c r="G108" i="46"/>
  <c r="AX107" i="46"/>
  <c r="AV107" i="46"/>
  <c r="AQ107" i="46"/>
  <c r="AL107" i="46"/>
  <c r="AN107" i="46" s="1"/>
  <c r="AG107" i="46"/>
  <c r="AB107" i="46"/>
  <c r="AD107" i="46" s="1"/>
  <c r="W107" i="46"/>
  <c r="Y107" i="46" s="1"/>
  <c r="T107" i="46"/>
  <c r="R107" i="46"/>
  <c r="K107" i="46" s="1"/>
  <c r="J107" i="46"/>
  <c r="I107" i="46"/>
  <c r="G107" i="46"/>
  <c r="H107" i="46" s="1"/>
  <c r="B29" i="39"/>
  <c r="AW116" i="45"/>
  <c r="AW113" i="45"/>
  <c r="AW112" i="45"/>
  <c r="AW111" i="45"/>
  <c r="AW110" i="45"/>
  <c r="AW109" i="45"/>
  <c r="AW108" i="45"/>
  <c r="AW107" i="45"/>
  <c r="AR116" i="45"/>
  <c r="AR115" i="45"/>
  <c r="AR114" i="45"/>
  <c r="AR113" i="45"/>
  <c r="AR112" i="45"/>
  <c r="AR111" i="45"/>
  <c r="AR110" i="45"/>
  <c r="AR109" i="45"/>
  <c r="AR108" i="45"/>
  <c r="AR107" i="45"/>
  <c r="AM116" i="45"/>
  <c r="AM115" i="45"/>
  <c r="AM114" i="45"/>
  <c r="AM113" i="45"/>
  <c r="AM112" i="45"/>
  <c r="AM111" i="45"/>
  <c r="AM110" i="45"/>
  <c r="AM109" i="45"/>
  <c r="AM108" i="45"/>
  <c r="AM107" i="45"/>
  <c r="AH116" i="45"/>
  <c r="AH115" i="45"/>
  <c r="AH114" i="45"/>
  <c r="AH113" i="45"/>
  <c r="AH112" i="45"/>
  <c r="AH111" i="45"/>
  <c r="AH110" i="45"/>
  <c r="AH109" i="45"/>
  <c r="AH108" i="45"/>
  <c r="AH107" i="45"/>
  <c r="AC116" i="45"/>
  <c r="AC115" i="45"/>
  <c r="AC114" i="45"/>
  <c r="AC113" i="45"/>
  <c r="AC112" i="45"/>
  <c r="AC111" i="45"/>
  <c r="AC110" i="45"/>
  <c r="AC109" i="45"/>
  <c r="AC108" i="45"/>
  <c r="AC107" i="45"/>
  <c r="X116" i="45"/>
  <c r="X115" i="45"/>
  <c r="X114" i="45"/>
  <c r="X113" i="45"/>
  <c r="X112" i="45"/>
  <c r="X111" i="45"/>
  <c r="X110" i="45"/>
  <c r="X109" i="45"/>
  <c r="X108" i="45"/>
  <c r="X107" i="45"/>
  <c r="S108" i="45"/>
  <c r="S109" i="45"/>
  <c r="S110" i="45"/>
  <c r="S111" i="45"/>
  <c r="S112" i="45"/>
  <c r="S113" i="45"/>
  <c r="S114" i="45"/>
  <c r="S115" i="45"/>
  <c r="S116" i="45"/>
  <c r="S107" i="45"/>
  <c r="M108" i="45"/>
  <c r="M109" i="45"/>
  <c r="M110" i="45"/>
  <c r="M111" i="45"/>
  <c r="M112" i="45"/>
  <c r="M113" i="45"/>
  <c r="M114" i="45"/>
  <c r="M115" i="45"/>
  <c r="M116" i="45"/>
  <c r="M107" i="45"/>
  <c r="AV116" i="45"/>
  <c r="AQ116" i="45"/>
  <c r="AL116" i="45"/>
  <c r="AG116" i="45"/>
  <c r="AB116" i="45"/>
  <c r="W116" i="45"/>
  <c r="R116" i="45"/>
  <c r="K116" i="45"/>
  <c r="J116" i="45"/>
  <c r="I116" i="45"/>
  <c r="G116" i="45"/>
  <c r="AQ115" i="45"/>
  <c r="AL115" i="45"/>
  <c r="AG115" i="45"/>
  <c r="AB115" i="45"/>
  <c r="W115" i="45"/>
  <c r="R115" i="45"/>
  <c r="K115" i="45"/>
  <c r="J115" i="45"/>
  <c r="I115" i="45"/>
  <c r="G115" i="45"/>
  <c r="AQ114" i="45"/>
  <c r="AL114" i="45"/>
  <c r="K114" i="45" s="1"/>
  <c r="AG114" i="45"/>
  <c r="AB114" i="45"/>
  <c r="W114" i="45"/>
  <c r="R114" i="45"/>
  <c r="J114" i="45"/>
  <c r="I114" i="45"/>
  <c r="G114" i="45"/>
  <c r="AV113" i="45"/>
  <c r="AQ113" i="45"/>
  <c r="AL113" i="45"/>
  <c r="AG113" i="45"/>
  <c r="AB113" i="45"/>
  <c r="W113" i="45"/>
  <c r="R113" i="45"/>
  <c r="J113" i="45"/>
  <c r="I113" i="45"/>
  <c r="G113" i="45"/>
  <c r="AV112" i="45"/>
  <c r="AQ112" i="45"/>
  <c r="AL112" i="45"/>
  <c r="AG112" i="45"/>
  <c r="K112" i="45" s="1"/>
  <c r="AB112" i="45"/>
  <c r="W112" i="45"/>
  <c r="R112" i="45"/>
  <c r="J112" i="45"/>
  <c r="I112" i="45"/>
  <c r="G112" i="45"/>
  <c r="AV111" i="45"/>
  <c r="AQ111" i="45"/>
  <c r="AL111" i="45"/>
  <c r="AG111" i="45"/>
  <c r="AB111" i="45"/>
  <c r="W111" i="45"/>
  <c r="R111" i="45"/>
  <c r="J111" i="45"/>
  <c r="I111" i="45"/>
  <c r="G111" i="45"/>
  <c r="AV110" i="45"/>
  <c r="AQ110" i="45"/>
  <c r="AL110" i="45"/>
  <c r="AG110" i="45"/>
  <c r="AB110" i="45"/>
  <c r="K110" i="45" s="1"/>
  <c r="W110" i="45"/>
  <c r="R110" i="45"/>
  <c r="J110" i="45"/>
  <c r="I110" i="45"/>
  <c r="G110" i="45"/>
  <c r="AV109" i="45"/>
  <c r="AQ109" i="45"/>
  <c r="AL109" i="45"/>
  <c r="AG109" i="45"/>
  <c r="AB109" i="45"/>
  <c r="K109" i="45" s="1"/>
  <c r="W109" i="45"/>
  <c r="R109" i="45"/>
  <c r="J109" i="45"/>
  <c r="I109" i="45"/>
  <c r="G109" i="45"/>
  <c r="AV108" i="45"/>
  <c r="AQ108" i="45"/>
  <c r="AL108" i="45"/>
  <c r="AG108" i="45"/>
  <c r="AB108" i="45"/>
  <c r="W108" i="45"/>
  <c r="K108" i="45" s="1"/>
  <c r="R108" i="45"/>
  <c r="J108" i="45"/>
  <c r="I108" i="45"/>
  <c r="G108" i="45"/>
  <c r="AV107" i="45"/>
  <c r="AX107" i="45" s="1"/>
  <c r="AQ107" i="45"/>
  <c r="AS107" i="45" s="1"/>
  <c r="AL107" i="45"/>
  <c r="AN107" i="45" s="1"/>
  <c r="AG107" i="45"/>
  <c r="AI107" i="45" s="1"/>
  <c r="AD107" i="45"/>
  <c r="AB107" i="45"/>
  <c r="W107" i="45"/>
  <c r="R107" i="45"/>
  <c r="T107" i="45" s="1"/>
  <c r="J107" i="45"/>
  <c r="I107" i="45"/>
  <c r="G107" i="45"/>
  <c r="H107" i="45" s="1"/>
  <c r="B28" i="39"/>
  <c r="AW227" i="44"/>
  <c r="AW226" i="44"/>
  <c r="AW225" i="44"/>
  <c r="AW224" i="44"/>
  <c r="AW223" i="44"/>
  <c r="AW222" i="44"/>
  <c r="AW221" i="44"/>
  <c r="AW220" i="44"/>
  <c r="AW219" i="44"/>
  <c r="AW217" i="44"/>
  <c r="AW216" i="44"/>
  <c r="AW215" i="44"/>
  <c r="AW214" i="44"/>
  <c r="AW213" i="44"/>
  <c r="AW212" i="44"/>
  <c r="AW211" i="44"/>
  <c r="AW210" i="44"/>
  <c r="AW209" i="44"/>
  <c r="AW208" i="44"/>
  <c r="AW207" i="44"/>
  <c r="AW206" i="44"/>
  <c r="AW205" i="44"/>
  <c r="AW204" i="44"/>
  <c r="AW203" i="44"/>
  <c r="AW202" i="44"/>
  <c r="AW201" i="44"/>
  <c r="AW200" i="44"/>
  <c r="AW199" i="44"/>
  <c r="AW198" i="44"/>
  <c r="AW197" i="44"/>
  <c r="AR226" i="44"/>
  <c r="AR225" i="44"/>
  <c r="AR224" i="44"/>
  <c r="AR223" i="44"/>
  <c r="AR222" i="44"/>
  <c r="AR221" i="44"/>
  <c r="AR220" i="44"/>
  <c r="AR219" i="44"/>
  <c r="AR218" i="44"/>
  <c r="AR217" i="44"/>
  <c r="AR216" i="44"/>
  <c r="AR215" i="44"/>
  <c r="AR214" i="44"/>
  <c r="AR213" i="44"/>
  <c r="AR212" i="44"/>
  <c r="AR211" i="44"/>
  <c r="AR210" i="44"/>
  <c r="AR209" i="44"/>
  <c r="AR208" i="44"/>
  <c r="AR207" i="44"/>
  <c r="AR206" i="44"/>
  <c r="AR205" i="44"/>
  <c r="AR204" i="44"/>
  <c r="AR203" i="44"/>
  <c r="AR202" i="44"/>
  <c r="AR201" i="44"/>
  <c r="AR200" i="44"/>
  <c r="AR199" i="44"/>
  <c r="AR198" i="44"/>
  <c r="AR197" i="44"/>
  <c r="AM226" i="44"/>
  <c r="AM225" i="44"/>
  <c r="AM224" i="44"/>
  <c r="AM223" i="44"/>
  <c r="AM222" i="44"/>
  <c r="AM221" i="44"/>
  <c r="AM220" i="44"/>
  <c r="AM219" i="44"/>
  <c r="AM218" i="44"/>
  <c r="AM217" i="44"/>
  <c r="AM216" i="44"/>
  <c r="AM215" i="44"/>
  <c r="AM214" i="44"/>
  <c r="AM213" i="44"/>
  <c r="AM212" i="44"/>
  <c r="AM211" i="44"/>
  <c r="AM210" i="44"/>
  <c r="AM209" i="44"/>
  <c r="AM208" i="44"/>
  <c r="AM207" i="44"/>
  <c r="AM206" i="44"/>
  <c r="AM205" i="44"/>
  <c r="AM204" i="44"/>
  <c r="AM203" i="44"/>
  <c r="AM202" i="44"/>
  <c r="AM201" i="44"/>
  <c r="AM200" i="44"/>
  <c r="AM199" i="44"/>
  <c r="AM198" i="44"/>
  <c r="AM197" i="44"/>
  <c r="AH226" i="44"/>
  <c r="AH225" i="44"/>
  <c r="AH224" i="44"/>
  <c r="AH223" i="44"/>
  <c r="AH222" i="44"/>
  <c r="AH221" i="44"/>
  <c r="AH220" i="44"/>
  <c r="AH219" i="44"/>
  <c r="AH218" i="44"/>
  <c r="AH217" i="44"/>
  <c r="AH216" i="44"/>
  <c r="AH215" i="44"/>
  <c r="AH214" i="44"/>
  <c r="AH213" i="44"/>
  <c r="AH212" i="44"/>
  <c r="AH211" i="44"/>
  <c r="AH210" i="44"/>
  <c r="AH209" i="44"/>
  <c r="AH208" i="44"/>
  <c r="AH207" i="44"/>
  <c r="AH206" i="44"/>
  <c r="AH205" i="44"/>
  <c r="AH204" i="44"/>
  <c r="AH203" i="44"/>
  <c r="AH202" i="44"/>
  <c r="AH201" i="44"/>
  <c r="AH200" i="44"/>
  <c r="AH199" i="44"/>
  <c r="AH198" i="44"/>
  <c r="AH197" i="44"/>
  <c r="AC226" i="44"/>
  <c r="AC225" i="44"/>
  <c r="AC224" i="44"/>
  <c r="AC223" i="44"/>
  <c r="AC222" i="44"/>
  <c r="AC221" i="44"/>
  <c r="AC220" i="44"/>
  <c r="AC219" i="44"/>
  <c r="AC218" i="44"/>
  <c r="AC217" i="44"/>
  <c r="AC216" i="44"/>
  <c r="AC215" i="44"/>
  <c r="AC214" i="44"/>
  <c r="AC213" i="44"/>
  <c r="AC212" i="44"/>
  <c r="AC211" i="44"/>
  <c r="AC210" i="44"/>
  <c r="AC209" i="44"/>
  <c r="AC208" i="44"/>
  <c r="AC207" i="44"/>
  <c r="AC206" i="44"/>
  <c r="AC205" i="44"/>
  <c r="AC204" i="44"/>
  <c r="AC203" i="44"/>
  <c r="AC202" i="44"/>
  <c r="AC201" i="44"/>
  <c r="AC200" i="44"/>
  <c r="AC199" i="44"/>
  <c r="AC198" i="44"/>
  <c r="AC197" i="44"/>
  <c r="X226" i="44"/>
  <c r="X225" i="44"/>
  <c r="X224" i="44"/>
  <c r="X223" i="44"/>
  <c r="X222" i="44"/>
  <c r="X221" i="44"/>
  <c r="X220" i="44"/>
  <c r="X219" i="44"/>
  <c r="X218" i="44"/>
  <c r="X217" i="44"/>
  <c r="X216" i="44"/>
  <c r="X215" i="44"/>
  <c r="X214" i="44"/>
  <c r="X213" i="44"/>
  <c r="X212" i="44"/>
  <c r="X211" i="44"/>
  <c r="X210" i="44"/>
  <c r="X209" i="44"/>
  <c r="X208" i="44"/>
  <c r="X207" i="44"/>
  <c r="X206" i="44"/>
  <c r="X205" i="44"/>
  <c r="X204" i="44"/>
  <c r="X203" i="44"/>
  <c r="X202" i="44"/>
  <c r="X201" i="44"/>
  <c r="X200" i="44"/>
  <c r="X199" i="44"/>
  <c r="X198" i="44"/>
  <c r="X197" i="44"/>
  <c r="S198" i="44"/>
  <c r="S199" i="44"/>
  <c r="S200" i="44"/>
  <c r="S201" i="44"/>
  <c r="S202" i="44"/>
  <c r="S203" i="44"/>
  <c r="S204" i="44"/>
  <c r="S205" i="44"/>
  <c r="S206" i="44"/>
  <c r="S207" i="44"/>
  <c r="S208" i="44"/>
  <c r="S209" i="44"/>
  <c r="S210" i="44"/>
  <c r="S211" i="44"/>
  <c r="S212" i="44"/>
  <c r="S213" i="44"/>
  <c r="S214" i="44"/>
  <c r="S215" i="44"/>
  <c r="S216" i="44"/>
  <c r="S217" i="44"/>
  <c r="S218" i="44"/>
  <c r="S219" i="44"/>
  <c r="S220" i="44"/>
  <c r="S221" i="44"/>
  <c r="S222" i="44"/>
  <c r="S223" i="44"/>
  <c r="S224" i="44"/>
  <c r="S225" i="44"/>
  <c r="S226" i="44"/>
  <c r="S197" i="44"/>
  <c r="M198" i="44"/>
  <c r="M199" i="44"/>
  <c r="M200" i="44"/>
  <c r="M201" i="44"/>
  <c r="M202" i="44"/>
  <c r="M203" i="44"/>
  <c r="M204" i="44"/>
  <c r="M205" i="44"/>
  <c r="M206" i="44"/>
  <c r="M207" i="44"/>
  <c r="M208" i="44"/>
  <c r="M209" i="44"/>
  <c r="M210" i="44"/>
  <c r="M211" i="44"/>
  <c r="M212" i="44"/>
  <c r="M213" i="44"/>
  <c r="M214" i="44"/>
  <c r="M215" i="44"/>
  <c r="M216" i="44"/>
  <c r="M217" i="44"/>
  <c r="M218" i="44"/>
  <c r="M219" i="44"/>
  <c r="M220" i="44"/>
  <c r="M221" i="44"/>
  <c r="M222" i="44"/>
  <c r="M223" i="44"/>
  <c r="M224" i="44"/>
  <c r="M225" i="44"/>
  <c r="M226" i="44"/>
  <c r="M227" i="44"/>
  <c r="M197" i="44"/>
  <c r="AV227" i="44"/>
  <c r="K227" i="44"/>
  <c r="J227" i="44"/>
  <c r="I227" i="44"/>
  <c r="G227" i="44"/>
  <c r="AV226" i="44"/>
  <c r="AQ226" i="44"/>
  <c r="AL226" i="44"/>
  <c r="AG226" i="44"/>
  <c r="AB226" i="44"/>
  <c r="W226" i="44"/>
  <c r="R226" i="44"/>
  <c r="K226" i="44" s="1"/>
  <c r="J226" i="44"/>
  <c r="I226" i="44"/>
  <c r="G226" i="44"/>
  <c r="AV225" i="44"/>
  <c r="AQ225" i="44"/>
  <c r="AL225" i="44"/>
  <c r="AG225" i="44"/>
  <c r="AB225" i="44"/>
  <c r="W225" i="44"/>
  <c r="R225" i="44"/>
  <c r="K225" i="44" s="1"/>
  <c r="J225" i="44"/>
  <c r="I225" i="44"/>
  <c r="G225" i="44"/>
  <c r="AV224" i="44"/>
  <c r="AQ224" i="44"/>
  <c r="AL224" i="44"/>
  <c r="AG224" i="44"/>
  <c r="AB224" i="44"/>
  <c r="W224" i="44"/>
  <c r="R224" i="44"/>
  <c r="K224" i="44"/>
  <c r="J224" i="44"/>
  <c r="I224" i="44"/>
  <c r="G224" i="44"/>
  <c r="AV223" i="44"/>
  <c r="AQ223" i="44"/>
  <c r="AL223" i="44"/>
  <c r="AG223" i="44"/>
  <c r="AB223" i="44"/>
  <c r="W223" i="44"/>
  <c r="R223" i="44"/>
  <c r="J223" i="44"/>
  <c r="I223" i="44"/>
  <c r="G223" i="44"/>
  <c r="AV222" i="44"/>
  <c r="AQ222" i="44"/>
  <c r="AL222" i="44"/>
  <c r="AG222" i="44"/>
  <c r="AB222" i="44"/>
  <c r="K222" i="44" s="1"/>
  <c r="W222" i="44"/>
  <c r="R222" i="44"/>
  <c r="J222" i="44"/>
  <c r="I222" i="44"/>
  <c r="G222" i="44"/>
  <c r="AV221" i="44"/>
  <c r="AQ221" i="44"/>
  <c r="AL221" i="44"/>
  <c r="AG221" i="44"/>
  <c r="AB221" i="44"/>
  <c r="W221" i="44"/>
  <c r="R221" i="44"/>
  <c r="K221" i="44" s="1"/>
  <c r="J221" i="44"/>
  <c r="I221" i="44"/>
  <c r="G221" i="44"/>
  <c r="AV220" i="44"/>
  <c r="AQ220" i="44"/>
  <c r="AL220" i="44"/>
  <c r="AG220" i="44"/>
  <c r="AB220" i="44"/>
  <c r="W220" i="44"/>
  <c r="R220" i="44"/>
  <c r="K220" i="44"/>
  <c r="J220" i="44"/>
  <c r="I220" i="44"/>
  <c r="G220" i="44"/>
  <c r="AV219" i="44"/>
  <c r="AQ219" i="44"/>
  <c r="AL219" i="44"/>
  <c r="AG219" i="44"/>
  <c r="AB219" i="44"/>
  <c r="W219" i="44"/>
  <c r="R219" i="44"/>
  <c r="K219" i="44"/>
  <c r="J219" i="44"/>
  <c r="I219" i="44"/>
  <c r="G219" i="44"/>
  <c r="AQ218" i="44"/>
  <c r="AL218" i="44"/>
  <c r="AG218" i="44"/>
  <c r="AB218" i="44"/>
  <c r="W218" i="44"/>
  <c r="R218" i="44"/>
  <c r="J218" i="44"/>
  <c r="I218" i="44"/>
  <c r="G218" i="44"/>
  <c r="AV217" i="44"/>
  <c r="AQ217" i="44"/>
  <c r="AL217" i="44"/>
  <c r="AG217" i="44"/>
  <c r="AB217" i="44"/>
  <c r="W217" i="44"/>
  <c r="R217" i="44"/>
  <c r="J217" i="44"/>
  <c r="I217" i="44"/>
  <c r="G217" i="44"/>
  <c r="AV216" i="44"/>
  <c r="AQ216" i="44"/>
  <c r="AL216" i="44"/>
  <c r="AG216" i="44"/>
  <c r="AB216" i="44"/>
  <c r="W216" i="44"/>
  <c r="R216" i="44"/>
  <c r="K216" i="44"/>
  <c r="J216" i="44"/>
  <c r="I216" i="44"/>
  <c r="G216" i="44"/>
  <c r="AV215" i="44"/>
  <c r="AQ215" i="44"/>
  <c r="AL215" i="44"/>
  <c r="AG215" i="44"/>
  <c r="AB215" i="44"/>
  <c r="W215" i="44"/>
  <c r="R215" i="44"/>
  <c r="K215" i="44"/>
  <c r="J215" i="44"/>
  <c r="I215" i="44"/>
  <c r="G215" i="44"/>
  <c r="AV214" i="44"/>
  <c r="AQ214" i="44"/>
  <c r="AL214" i="44"/>
  <c r="AG214" i="44"/>
  <c r="AB214" i="44"/>
  <c r="W214" i="44"/>
  <c r="R214" i="44"/>
  <c r="J214" i="44"/>
  <c r="I214" i="44"/>
  <c r="G214" i="44"/>
  <c r="AV213" i="44"/>
  <c r="AQ213" i="44"/>
  <c r="AL213" i="44"/>
  <c r="AG213" i="44"/>
  <c r="AB213" i="44"/>
  <c r="W213" i="44"/>
  <c r="R213" i="44"/>
  <c r="J213" i="44"/>
  <c r="I213" i="44"/>
  <c r="G213" i="44"/>
  <c r="AV212" i="44"/>
  <c r="AQ212" i="44"/>
  <c r="AL212" i="44"/>
  <c r="AG212" i="44"/>
  <c r="AB212" i="44"/>
  <c r="K212" i="44" s="1"/>
  <c r="W212" i="44"/>
  <c r="R212" i="44"/>
  <c r="J212" i="44"/>
  <c r="I212" i="44"/>
  <c r="G212" i="44"/>
  <c r="AV211" i="44"/>
  <c r="AQ211" i="44"/>
  <c r="AL211" i="44"/>
  <c r="AG211" i="44"/>
  <c r="AB211" i="44"/>
  <c r="K211" i="44" s="1"/>
  <c r="W211" i="44"/>
  <c r="R211" i="44"/>
  <c r="J211" i="44"/>
  <c r="I211" i="44"/>
  <c r="G211" i="44"/>
  <c r="AV210" i="44"/>
  <c r="AQ210" i="44"/>
  <c r="AL210" i="44"/>
  <c r="AG210" i="44"/>
  <c r="AB210" i="44"/>
  <c r="W210" i="44"/>
  <c r="K210" i="44" s="1"/>
  <c r="R210" i="44"/>
  <c r="J210" i="44"/>
  <c r="I210" i="44"/>
  <c r="G210" i="44"/>
  <c r="AV209" i="44"/>
  <c r="AQ209" i="44"/>
  <c r="AL209" i="44"/>
  <c r="AG209" i="44"/>
  <c r="AB209" i="44"/>
  <c r="W209" i="44"/>
  <c r="R209" i="44"/>
  <c r="J209" i="44"/>
  <c r="I209" i="44"/>
  <c r="G209" i="44"/>
  <c r="AV208" i="44"/>
  <c r="AQ208" i="44"/>
  <c r="AL208" i="44"/>
  <c r="AG208" i="44"/>
  <c r="AB208" i="44"/>
  <c r="W208" i="44"/>
  <c r="R208" i="44"/>
  <c r="J208" i="44"/>
  <c r="I208" i="44"/>
  <c r="G208" i="44"/>
  <c r="AV207" i="44"/>
  <c r="AQ207" i="44"/>
  <c r="AL207" i="44"/>
  <c r="AG207" i="44"/>
  <c r="AB207" i="44"/>
  <c r="W207" i="44"/>
  <c r="R207" i="44"/>
  <c r="J207" i="44"/>
  <c r="I207" i="44"/>
  <c r="G207" i="44"/>
  <c r="AV206" i="44"/>
  <c r="AQ206" i="44"/>
  <c r="AL206" i="44"/>
  <c r="AG206" i="44"/>
  <c r="AB206" i="44"/>
  <c r="W206" i="44"/>
  <c r="R206" i="44"/>
  <c r="J206" i="44"/>
  <c r="I206" i="44"/>
  <c r="G206" i="44"/>
  <c r="AV205" i="44"/>
  <c r="AQ205" i="44"/>
  <c r="AL205" i="44"/>
  <c r="AG205" i="44"/>
  <c r="AB205" i="44"/>
  <c r="W205" i="44"/>
  <c r="R205" i="44"/>
  <c r="K205" i="44"/>
  <c r="J205" i="44"/>
  <c r="I205" i="44"/>
  <c r="G205" i="44"/>
  <c r="AV204" i="44"/>
  <c r="AQ204" i="44"/>
  <c r="AL204" i="44"/>
  <c r="AG204" i="44"/>
  <c r="AB204" i="44"/>
  <c r="W204" i="44"/>
  <c r="R204" i="44"/>
  <c r="K204" i="44"/>
  <c r="J204" i="44"/>
  <c r="I204" i="44"/>
  <c r="G204" i="44"/>
  <c r="AV203" i="44"/>
  <c r="AQ203" i="44"/>
  <c r="AL203" i="44"/>
  <c r="AG203" i="44"/>
  <c r="AB203" i="44"/>
  <c r="W203" i="44"/>
  <c r="R203" i="44"/>
  <c r="K203" i="44"/>
  <c r="J203" i="44"/>
  <c r="I203" i="44"/>
  <c r="G203" i="44"/>
  <c r="AV202" i="44"/>
  <c r="AQ202" i="44"/>
  <c r="AL202" i="44"/>
  <c r="AG202" i="44"/>
  <c r="AB202" i="44"/>
  <c r="W202" i="44"/>
  <c r="R202" i="44"/>
  <c r="K202" i="44"/>
  <c r="J202" i="44"/>
  <c r="I202" i="44"/>
  <c r="G202" i="44"/>
  <c r="AV201" i="44"/>
  <c r="AQ201" i="44"/>
  <c r="AL201" i="44"/>
  <c r="AG201" i="44"/>
  <c r="AB201" i="44"/>
  <c r="W201" i="44"/>
  <c r="R201" i="44"/>
  <c r="J201" i="44"/>
  <c r="I201" i="44"/>
  <c r="G201" i="44"/>
  <c r="AV200" i="44"/>
  <c r="AQ200" i="44"/>
  <c r="AL200" i="44"/>
  <c r="AG200" i="44"/>
  <c r="AB200" i="44"/>
  <c r="W200" i="44"/>
  <c r="R200" i="44"/>
  <c r="K200" i="44" s="1"/>
  <c r="J200" i="44"/>
  <c r="I200" i="44"/>
  <c r="G200" i="44"/>
  <c r="AV199" i="44"/>
  <c r="AQ199" i="44"/>
  <c r="AL199" i="44"/>
  <c r="AG199" i="44"/>
  <c r="AB199" i="44"/>
  <c r="W199" i="44"/>
  <c r="R199" i="44"/>
  <c r="K199" i="44"/>
  <c r="J199" i="44"/>
  <c r="I199" i="44"/>
  <c r="G199" i="44"/>
  <c r="AV198" i="44"/>
  <c r="AQ198" i="44"/>
  <c r="AL198" i="44"/>
  <c r="AG198" i="44"/>
  <c r="AB198" i="44"/>
  <c r="W198" i="44"/>
  <c r="R198" i="44"/>
  <c r="K198" i="44"/>
  <c r="J198" i="44"/>
  <c r="I198" i="44"/>
  <c r="G198" i="44"/>
  <c r="AV197" i="44"/>
  <c r="K197" i="44" s="1"/>
  <c r="AS197" i="44"/>
  <c r="AQ197" i="44"/>
  <c r="AL197" i="44"/>
  <c r="AG197" i="44"/>
  <c r="AB197" i="44"/>
  <c r="AD197" i="44" s="1"/>
  <c r="W197" i="44"/>
  <c r="R197" i="44"/>
  <c r="T197" i="44" s="1"/>
  <c r="J197" i="44"/>
  <c r="I197" i="44"/>
  <c r="G197" i="44"/>
  <c r="C1" i="44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0" i="39"/>
  <c r="I9" i="39"/>
  <c r="I8" i="39"/>
  <c r="I7" i="39"/>
  <c r="I6" i="39"/>
  <c r="B60" i="41"/>
  <c r="B11" i="39"/>
  <c r="B10" i="39"/>
  <c r="B9" i="39"/>
  <c r="B8" i="39"/>
  <c r="B7" i="39"/>
  <c r="B6" i="39"/>
  <c r="I11" i="39"/>
  <c r="B42" i="7"/>
  <c r="AC48" i="7"/>
  <c r="AD48" i="7" s="1"/>
  <c r="S48" i="7"/>
  <c r="T48" i="7" s="1"/>
  <c r="M48" i="7"/>
  <c r="N48" i="7" s="1"/>
  <c r="F48" i="7"/>
  <c r="AL48" i="7" s="1"/>
  <c r="AC47" i="7"/>
  <c r="AD47" i="7" s="1"/>
  <c r="S47" i="7"/>
  <c r="T47" i="7" s="1"/>
  <c r="M47" i="7"/>
  <c r="N47" i="7" s="1"/>
  <c r="F47" i="7"/>
  <c r="AL47" i="7" s="1"/>
  <c r="AC46" i="7"/>
  <c r="AD46" i="7" s="1"/>
  <c r="S46" i="7"/>
  <c r="T46" i="7" s="1"/>
  <c r="M46" i="7"/>
  <c r="N46" i="7" s="1"/>
  <c r="F46" i="7"/>
  <c r="AL46" i="7" s="1"/>
  <c r="AC45" i="7"/>
  <c r="AD45" i="7" s="1"/>
  <c r="S45" i="7"/>
  <c r="T45" i="7" s="1"/>
  <c r="M45" i="7"/>
  <c r="N45" i="7" s="1"/>
  <c r="J45" i="7"/>
  <c r="F45" i="7"/>
  <c r="AL45" i="7" s="1"/>
  <c r="AC44" i="7"/>
  <c r="AD44" i="7" s="1"/>
  <c r="S44" i="7"/>
  <c r="T44" i="7" s="1"/>
  <c r="M44" i="7"/>
  <c r="N44" i="7" s="1"/>
  <c r="F44" i="7"/>
  <c r="AL44" i="7" s="1"/>
  <c r="AC43" i="7"/>
  <c r="AD43" i="7" s="1"/>
  <c r="S43" i="7"/>
  <c r="T43" i="7" s="1"/>
  <c r="M43" i="7"/>
  <c r="N43" i="7" s="1"/>
  <c r="F43" i="7"/>
  <c r="AL43" i="7" s="1"/>
  <c r="AC42" i="7"/>
  <c r="AD42" i="7" s="1"/>
  <c r="S42" i="7"/>
  <c r="T42" i="7" s="1"/>
  <c r="M42" i="7"/>
  <c r="N42" i="7" s="1"/>
  <c r="F42" i="7"/>
  <c r="AL42" i="7" s="1"/>
  <c r="B42" i="6"/>
  <c r="AC48" i="6"/>
  <c r="S48" i="6"/>
  <c r="M48" i="6"/>
  <c r="AC47" i="6"/>
  <c r="S47" i="6"/>
  <c r="M47" i="6"/>
  <c r="AC46" i="6"/>
  <c r="S46" i="6"/>
  <c r="M46" i="6"/>
  <c r="AC45" i="6"/>
  <c r="S45" i="6"/>
  <c r="M45" i="6"/>
  <c r="AC44" i="6"/>
  <c r="S44" i="6"/>
  <c r="M44" i="6"/>
  <c r="AC43" i="6"/>
  <c r="S43" i="6"/>
  <c r="M43" i="6"/>
  <c r="AL42" i="6"/>
  <c r="AC42" i="6"/>
  <c r="AD42" i="6" s="1"/>
  <c r="S42" i="6"/>
  <c r="T42" i="6" s="1"/>
  <c r="M42" i="6"/>
  <c r="N42" i="6" s="1"/>
  <c r="F42" i="6"/>
  <c r="AJ42" i="6" s="1"/>
  <c r="U41" i="5"/>
  <c r="U42" i="5"/>
  <c r="U43" i="5"/>
  <c r="U44" i="5"/>
  <c r="U45" i="5"/>
  <c r="U46" i="5"/>
  <c r="U40" i="5"/>
  <c r="V40" i="3"/>
  <c r="U41" i="3"/>
  <c r="U42" i="3"/>
  <c r="U43" i="3"/>
  <c r="U44" i="3"/>
  <c r="U45" i="3"/>
  <c r="U46" i="3"/>
  <c r="K107" i="52" l="1"/>
  <c r="AS107" i="49"/>
  <c r="AX107" i="49"/>
  <c r="K111" i="49"/>
  <c r="K110" i="49"/>
  <c r="K109" i="49"/>
  <c r="K108" i="49"/>
  <c r="K113" i="49"/>
  <c r="AN107" i="49"/>
  <c r="AS107" i="48"/>
  <c r="AX107" i="48"/>
  <c r="AD107" i="48"/>
  <c r="K111" i="48"/>
  <c r="K108" i="48"/>
  <c r="M108" i="47"/>
  <c r="AD107" i="47"/>
  <c r="AM107" i="47"/>
  <c r="K107" i="47"/>
  <c r="AS107" i="47"/>
  <c r="AH107" i="47"/>
  <c r="S107" i="47"/>
  <c r="X107" i="47"/>
  <c r="L107" i="46"/>
  <c r="B30" i="39" s="1"/>
  <c r="AI107" i="46"/>
  <c r="AS107" i="46"/>
  <c r="K107" i="45"/>
  <c r="K113" i="45"/>
  <c r="K111" i="45"/>
  <c r="Y107" i="45"/>
  <c r="K214" i="44"/>
  <c r="K223" i="44"/>
  <c r="AX197" i="44"/>
  <c r="K209" i="44"/>
  <c r="Y197" i="44"/>
  <c r="K218" i="44"/>
  <c r="K201" i="44"/>
  <c r="AI197" i="44"/>
  <c r="K207" i="44"/>
  <c r="H197" i="44"/>
  <c r="K208" i="44"/>
  <c r="K213" i="44"/>
  <c r="AN197" i="44"/>
  <c r="K206" i="44"/>
  <c r="K217" i="44"/>
  <c r="J46" i="7"/>
  <c r="J48" i="7"/>
  <c r="L42" i="7"/>
  <c r="L44" i="7"/>
  <c r="L46" i="7"/>
  <c r="L48" i="7"/>
  <c r="P42" i="7"/>
  <c r="P44" i="7"/>
  <c r="P46" i="7"/>
  <c r="P48" i="7"/>
  <c r="R43" i="7"/>
  <c r="R45" i="7"/>
  <c r="R47" i="7"/>
  <c r="V42" i="7"/>
  <c r="V43" i="7"/>
  <c r="V44" i="7"/>
  <c r="V45" i="7"/>
  <c r="V46" i="7"/>
  <c r="V47" i="7"/>
  <c r="V48" i="7"/>
  <c r="X42" i="7"/>
  <c r="X43" i="7"/>
  <c r="X44" i="7"/>
  <c r="X45" i="7"/>
  <c r="X46" i="7"/>
  <c r="X47" i="7"/>
  <c r="X48" i="7"/>
  <c r="Z42" i="7"/>
  <c r="Z43" i="7"/>
  <c r="Z44" i="7"/>
  <c r="Z45" i="7"/>
  <c r="Z46" i="7"/>
  <c r="Z47" i="7"/>
  <c r="Z48" i="7"/>
  <c r="J43" i="7"/>
  <c r="J47" i="7"/>
  <c r="L43" i="7"/>
  <c r="L45" i="7"/>
  <c r="L47" i="7"/>
  <c r="P43" i="7"/>
  <c r="P45" i="7"/>
  <c r="P47" i="7"/>
  <c r="R42" i="7"/>
  <c r="R44" i="7"/>
  <c r="R46" i="7"/>
  <c r="R48" i="7"/>
  <c r="AB42" i="7"/>
  <c r="AB43" i="7"/>
  <c r="AB44" i="7"/>
  <c r="AB45" i="7"/>
  <c r="AB46" i="7"/>
  <c r="AB47" i="7"/>
  <c r="AB48" i="7"/>
  <c r="G42" i="7"/>
  <c r="J42" i="7"/>
  <c r="AF42" i="7"/>
  <c r="AH46" i="7"/>
  <c r="AH47" i="7"/>
  <c r="AJ42" i="7"/>
  <c r="AJ43" i="7"/>
  <c r="AJ44" i="7"/>
  <c r="AJ45" i="7"/>
  <c r="AJ46" i="7"/>
  <c r="AJ47" i="7"/>
  <c r="AJ48" i="7"/>
  <c r="J44" i="7"/>
  <c r="AF43" i="7"/>
  <c r="AF44" i="7"/>
  <c r="AF45" i="7"/>
  <c r="AF46" i="7"/>
  <c r="AF47" i="7"/>
  <c r="AF48" i="7"/>
  <c r="AH42" i="7"/>
  <c r="AH43" i="7"/>
  <c r="AH44" i="7"/>
  <c r="AH45" i="7"/>
  <c r="AH48" i="7"/>
  <c r="N44" i="6"/>
  <c r="T44" i="6"/>
  <c r="AD44" i="6"/>
  <c r="N45" i="6"/>
  <c r="T45" i="6"/>
  <c r="AD45" i="6"/>
  <c r="N46" i="6"/>
  <c r="T46" i="6"/>
  <c r="N47" i="6"/>
  <c r="AD47" i="6"/>
  <c r="N48" i="6"/>
  <c r="T48" i="6"/>
  <c r="F43" i="6"/>
  <c r="F44" i="6"/>
  <c r="F45" i="6"/>
  <c r="F46" i="6"/>
  <c r="F47" i="6"/>
  <c r="F48" i="6"/>
  <c r="J42" i="6"/>
  <c r="L42" i="6"/>
  <c r="P42" i="6"/>
  <c r="R42" i="6"/>
  <c r="V42" i="6"/>
  <c r="X42" i="6"/>
  <c r="Z42" i="6"/>
  <c r="AB42" i="6"/>
  <c r="AF42" i="6"/>
  <c r="AH42" i="6"/>
  <c r="L107" i="52" l="1"/>
  <c r="B36" i="39" s="1"/>
  <c r="L107" i="49"/>
  <c r="B33" i="39" s="1"/>
  <c r="L107" i="48"/>
  <c r="B32" i="39" s="1"/>
  <c r="M107" i="47"/>
  <c r="L107" i="47"/>
  <c r="B31" i="39" s="1"/>
  <c r="L107" i="45"/>
  <c r="L197" i="44"/>
  <c r="AJ43" i="6"/>
  <c r="AH43" i="6"/>
  <c r="AF43" i="6"/>
  <c r="AB43" i="6"/>
  <c r="Z43" i="6"/>
  <c r="AL43" i="6"/>
  <c r="X43" i="6"/>
  <c r="V43" i="6"/>
  <c r="R43" i="6"/>
  <c r="P43" i="6"/>
  <c r="L43" i="6"/>
  <c r="J43" i="6"/>
  <c r="G42" i="6"/>
  <c r="AD43" i="6"/>
  <c r="AJ48" i="6"/>
  <c r="AH48" i="6"/>
  <c r="AF48" i="6"/>
  <c r="AB48" i="6"/>
  <c r="Z48" i="6"/>
  <c r="AL48" i="6"/>
  <c r="X48" i="6"/>
  <c r="V48" i="6"/>
  <c r="R48" i="6"/>
  <c r="P48" i="6"/>
  <c r="L48" i="6"/>
  <c r="J48" i="6"/>
  <c r="T43" i="6"/>
  <c r="AJ47" i="6"/>
  <c r="AH47" i="6"/>
  <c r="AF47" i="6"/>
  <c r="AB47" i="6"/>
  <c r="Z47" i="6"/>
  <c r="AL47" i="6"/>
  <c r="X47" i="6"/>
  <c r="V47" i="6"/>
  <c r="R47" i="6"/>
  <c r="P47" i="6"/>
  <c r="L47" i="6"/>
  <c r="J47" i="6"/>
  <c r="N43" i="6"/>
  <c r="AJ46" i="6"/>
  <c r="AH46" i="6"/>
  <c r="AF46" i="6"/>
  <c r="AB46" i="6"/>
  <c r="Z46" i="6"/>
  <c r="AL46" i="6"/>
  <c r="X46" i="6"/>
  <c r="V46" i="6"/>
  <c r="R46" i="6"/>
  <c r="P46" i="6"/>
  <c r="L46" i="6"/>
  <c r="J46" i="6"/>
  <c r="AD48" i="6"/>
  <c r="AJ45" i="6"/>
  <c r="AH45" i="6"/>
  <c r="AF45" i="6"/>
  <c r="AB45" i="6"/>
  <c r="Z45" i="6"/>
  <c r="AL45" i="6"/>
  <c r="X45" i="6"/>
  <c r="V45" i="6"/>
  <c r="R45" i="6"/>
  <c r="P45" i="6"/>
  <c r="L45" i="6"/>
  <c r="J45" i="6"/>
  <c r="T47" i="6"/>
  <c r="AJ44" i="6"/>
  <c r="AH44" i="6"/>
  <c r="AF44" i="6"/>
  <c r="AB44" i="6"/>
  <c r="Z44" i="6"/>
  <c r="AL44" i="6"/>
  <c r="X44" i="6"/>
  <c r="V44" i="6"/>
  <c r="R44" i="6"/>
  <c r="P44" i="6"/>
  <c r="L44" i="6"/>
  <c r="J44" i="6"/>
  <c r="AD46" i="6"/>
  <c r="S40" i="3" l="1"/>
  <c r="L40" i="56" l="1"/>
  <c r="L41" i="56"/>
  <c r="L42" i="56"/>
  <c r="L43" i="56"/>
  <c r="L44" i="56"/>
  <c r="L45" i="56"/>
  <c r="J40" i="56"/>
  <c r="J41" i="56"/>
  <c r="J42" i="56"/>
  <c r="J43" i="56"/>
  <c r="J44" i="56"/>
  <c r="J45" i="56"/>
  <c r="H40" i="56"/>
  <c r="H41" i="56"/>
  <c r="H42" i="56"/>
  <c r="H43" i="56"/>
  <c r="H44" i="56"/>
  <c r="H45" i="56"/>
  <c r="F40" i="56"/>
  <c r="F41" i="56"/>
  <c r="F42" i="56"/>
  <c r="F43" i="56"/>
  <c r="F44" i="56"/>
  <c r="F45" i="56"/>
  <c r="D40" i="56"/>
  <c r="D41" i="56"/>
  <c r="D42" i="56"/>
  <c r="D43" i="56"/>
  <c r="D44" i="56"/>
  <c r="D45" i="56"/>
  <c r="AF3" i="56" l="1"/>
  <c r="AC3" i="56"/>
  <c r="K15" i="40"/>
  <c r="J15" i="40"/>
  <c r="I15" i="40"/>
  <c r="H15" i="40"/>
  <c r="G15" i="40"/>
  <c r="F15" i="40"/>
  <c r="M10" i="40"/>
  <c r="L10" i="40"/>
  <c r="K10" i="40"/>
  <c r="J10" i="40"/>
  <c r="I10" i="40"/>
  <c r="H10" i="40"/>
  <c r="K14" i="40"/>
  <c r="J14" i="40"/>
  <c r="I14" i="40"/>
  <c r="H14" i="40"/>
  <c r="G14" i="40"/>
  <c r="F14" i="40"/>
  <c r="M9" i="40"/>
  <c r="L9" i="40"/>
  <c r="K9" i="40"/>
  <c r="J9" i="40"/>
  <c r="I9" i="40"/>
  <c r="H9" i="40"/>
  <c r="G10" i="40"/>
  <c r="F10" i="40"/>
  <c r="G9" i="40"/>
  <c r="F9" i="40"/>
  <c r="B10" i="40"/>
  <c r="B9" i="40"/>
  <c r="H23" i="13" l="1"/>
  <c r="H22" i="13"/>
  <c r="H21" i="13"/>
  <c r="H20" i="13"/>
  <c r="H19" i="13"/>
  <c r="H18" i="13"/>
  <c r="H17" i="13"/>
  <c r="H16" i="13"/>
  <c r="H15" i="13"/>
  <c r="B23" i="13"/>
  <c r="B22" i="13"/>
  <c r="B21" i="13"/>
  <c r="B20" i="13"/>
  <c r="B19" i="13"/>
  <c r="B18" i="13"/>
  <c r="B17" i="13"/>
  <c r="B16" i="13"/>
  <c r="B15" i="13"/>
  <c r="H12" i="6" l="1"/>
  <c r="AA142" i="63"/>
  <c r="AC143" i="64"/>
  <c r="AD143" i="64"/>
  <c r="AE143" i="64"/>
  <c r="AF143" i="64"/>
  <c r="AG143" i="64"/>
  <c r="AH143" i="64"/>
  <c r="AB143" i="64"/>
  <c r="AB142" i="64"/>
  <c r="AC142" i="64"/>
  <c r="AD142" i="64"/>
  <c r="AE142" i="64"/>
  <c r="AF142" i="64"/>
  <c r="AG142" i="64"/>
  <c r="AH142" i="64"/>
  <c r="AA142" i="64"/>
  <c r="AC128" i="64"/>
  <c r="AD128" i="64"/>
  <c r="AE128" i="64"/>
  <c r="AF128" i="64"/>
  <c r="AG128" i="64"/>
  <c r="AH128" i="64"/>
  <c r="AB128" i="64"/>
  <c r="AC127" i="64"/>
  <c r="AD127" i="64"/>
  <c r="AE127" i="64"/>
  <c r="AF127" i="64"/>
  <c r="AG127" i="64"/>
  <c r="AH127" i="64"/>
  <c r="AB127" i="64"/>
  <c r="AC143" i="63"/>
  <c r="AD143" i="63"/>
  <c r="AE143" i="63"/>
  <c r="AF143" i="63"/>
  <c r="AG143" i="63"/>
  <c r="AH143" i="63"/>
  <c r="AB143" i="63"/>
  <c r="AC142" i="63"/>
  <c r="AD142" i="63"/>
  <c r="AE142" i="63"/>
  <c r="AF142" i="63"/>
  <c r="AG142" i="63"/>
  <c r="AH142" i="63"/>
  <c r="AB142" i="63"/>
  <c r="AC128" i="63"/>
  <c r="AD128" i="63"/>
  <c r="AE128" i="63"/>
  <c r="AF128" i="63"/>
  <c r="AG128" i="63"/>
  <c r="AH128" i="63"/>
  <c r="AB128" i="63"/>
  <c r="AC127" i="63"/>
  <c r="AD127" i="63"/>
  <c r="AE127" i="63"/>
  <c r="AF127" i="63"/>
  <c r="AG127" i="63"/>
  <c r="AH127" i="63"/>
  <c r="AB127" i="63"/>
  <c r="AB129" i="63" s="1"/>
  <c r="D37" i="56" l="1"/>
  <c r="D38" i="56"/>
  <c r="D39" i="56"/>
  <c r="F37" i="56"/>
  <c r="F38" i="56"/>
  <c r="F39" i="56"/>
  <c r="H37" i="56"/>
  <c r="H38" i="56"/>
  <c r="H39" i="56"/>
  <c r="J37" i="56"/>
  <c r="J38" i="56"/>
  <c r="J39" i="56"/>
  <c r="L37" i="56"/>
  <c r="L38" i="56"/>
  <c r="L39" i="56"/>
  <c r="B53" i="41"/>
  <c r="J130" i="23"/>
  <c r="J129" i="23"/>
  <c r="J128" i="23"/>
  <c r="J127" i="23"/>
  <c r="J126" i="23"/>
  <c r="J125" i="23"/>
  <c r="J124" i="23"/>
  <c r="J123" i="23"/>
  <c r="J119" i="23"/>
  <c r="J118" i="23"/>
  <c r="J117" i="23"/>
  <c r="J116" i="23"/>
  <c r="J115" i="23"/>
  <c r="J114" i="23"/>
  <c r="J113" i="23"/>
  <c r="J112" i="23"/>
  <c r="J132" i="15"/>
  <c r="J131" i="15"/>
  <c r="J130" i="15"/>
  <c r="J129" i="15"/>
  <c r="J128" i="15"/>
  <c r="J127" i="15"/>
  <c r="J126" i="15"/>
  <c r="J125" i="15"/>
  <c r="J124" i="15"/>
  <c r="J123" i="15"/>
  <c r="J121" i="15"/>
  <c r="J120" i="15"/>
  <c r="J119" i="15"/>
  <c r="J118" i="15"/>
  <c r="J116" i="15"/>
  <c r="J115" i="15"/>
  <c r="J113" i="15"/>
  <c r="J112" i="15"/>
  <c r="J114" i="15"/>
  <c r="AW87" i="52"/>
  <c r="AR87" i="52"/>
  <c r="AM87" i="52"/>
  <c r="AH87" i="52"/>
  <c r="AC87" i="52"/>
  <c r="X87" i="52"/>
  <c r="S87" i="52"/>
  <c r="M87" i="52"/>
  <c r="L47" i="52"/>
  <c r="AV87" i="52"/>
  <c r="AX87" i="52" s="1"/>
  <c r="AS87" i="52"/>
  <c r="AQ87" i="52"/>
  <c r="AL87" i="52"/>
  <c r="AN87" i="52" s="1"/>
  <c r="AG87" i="52"/>
  <c r="AI87" i="52" s="1"/>
  <c r="AB87" i="52"/>
  <c r="W87" i="52"/>
  <c r="K87" i="52" s="1"/>
  <c r="T87" i="52"/>
  <c r="R87" i="52"/>
  <c r="J87" i="52"/>
  <c r="I87" i="52"/>
  <c r="G87" i="52"/>
  <c r="H87" i="52" s="1"/>
  <c r="AW94" i="49"/>
  <c r="AW93" i="49"/>
  <c r="AW92" i="49"/>
  <c r="AW91" i="49"/>
  <c r="AW90" i="49"/>
  <c r="AW89" i="49"/>
  <c r="AW88" i="49"/>
  <c r="AW87" i="49"/>
  <c r="AR94" i="49"/>
  <c r="AR93" i="49"/>
  <c r="AR92" i="49"/>
  <c r="AR91" i="49"/>
  <c r="AR90" i="49"/>
  <c r="AR89" i="49"/>
  <c r="AR88" i="49"/>
  <c r="AR87" i="49"/>
  <c r="AM94" i="49"/>
  <c r="AM93" i="49"/>
  <c r="AM92" i="49"/>
  <c r="AM91" i="49"/>
  <c r="AM90" i="49"/>
  <c r="AM89" i="49"/>
  <c r="AM88" i="49"/>
  <c r="AM87" i="49"/>
  <c r="AH94" i="49"/>
  <c r="AH93" i="49"/>
  <c r="AH92" i="49"/>
  <c r="AH91" i="49"/>
  <c r="AH90" i="49"/>
  <c r="AH89" i="49"/>
  <c r="AH88" i="49"/>
  <c r="AH87" i="49"/>
  <c r="X87" i="49"/>
  <c r="AC94" i="49"/>
  <c r="AC93" i="49"/>
  <c r="AC92" i="49"/>
  <c r="AC91" i="49"/>
  <c r="AC90" i="49"/>
  <c r="AC89" i="49"/>
  <c r="AC88" i="49"/>
  <c r="AC87" i="49"/>
  <c r="X94" i="49"/>
  <c r="X93" i="49"/>
  <c r="X92" i="49"/>
  <c r="X91" i="49"/>
  <c r="X90" i="49"/>
  <c r="X89" i="49"/>
  <c r="X88" i="49"/>
  <c r="S94" i="49"/>
  <c r="S93" i="49"/>
  <c r="S92" i="49"/>
  <c r="S91" i="49"/>
  <c r="S90" i="49"/>
  <c r="S89" i="49"/>
  <c r="S88" i="49"/>
  <c r="S87" i="49"/>
  <c r="M88" i="49"/>
  <c r="M89" i="49"/>
  <c r="M90" i="49"/>
  <c r="M91" i="49"/>
  <c r="M92" i="49"/>
  <c r="M93" i="49"/>
  <c r="M94" i="49"/>
  <c r="M87" i="49"/>
  <c r="AV94" i="49"/>
  <c r="AQ94" i="49"/>
  <c r="AL94" i="49"/>
  <c r="AG94" i="49"/>
  <c r="AB94" i="49"/>
  <c r="W94" i="49"/>
  <c r="R94" i="49"/>
  <c r="K94" i="49"/>
  <c r="J94" i="49"/>
  <c r="I94" i="49"/>
  <c r="G94" i="49"/>
  <c r="AV93" i="49"/>
  <c r="AQ93" i="49"/>
  <c r="AL93" i="49"/>
  <c r="AG93" i="49"/>
  <c r="AB93" i="49"/>
  <c r="W93" i="49"/>
  <c r="R93" i="49"/>
  <c r="K93" i="49"/>
  <c r="J93" i="49"/>
  <c r="I93" i="49"/>
  <c r="G93" i="49"/>
  <c r="AV92" i="49"/>
  <c r="AQ92" i="49"/>
  <c r="AL92" i="49"/>
  <c r="AG92" i="49"/>
  <c r="AB92" i="49"/>
  <c r="W92" i="49"/>
  <c r="R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J88" i="49"/>
  <c r="I88" i="49"/>
  <c r="G88" i="49"/>
  <c r="AV87" i="49"/>
  <c r="AX87" i="49" s="1"/>
  <c r="AQ87" i="49"/>
  <c r="K87" i="49" s="1"/>
  <c r="AN87" i="49"/>
  <c r="AL87" i="49"/>
  <c r="AG87" i="49"/>
  <c r="AB87" i="49"/>
  <c r="AD87" i="49" s="1"/>
  <c r="W87" i="49"/>
  <c r="Y87" i="49" s="1"/>
  <c r="R87" i="49"/>
  <c r="T87" i="49" s="1"/>
  <c r="J87" i="49"/>
  <c r="I87" i="49"/>
  <c r="H87" i="49"/>
  <c r="G87" i="49"/>
  <c r="AW94" i="48"/>
  <c r="AW93" i="48"/>
  <c r="AW92" i="48"/>
  <c r="AW91" i="48"/>
  <c r="AW90" i="48"/>
  <c r="AW89" i="48"/>
  <c r="AW88" i="48"/>
  <c r="AW87" i="48"/>
  <c r="AR94" i="48"/>
  <c r="AR93" i="48"/>
  <c r="AR92" i="48"/>
  <c r="AR91" i="48"/>
  <c r="AR90" i="48"/>
  <c r="AR89" i="48"/>
  <c r="AR88" i="48"/>
  <c r="AR87" i="48"/>
  <c r="AM94" i="48"/>
  <c r="AM93" i="48"/>
  <c r="AM92" i="48"/>
  <c r="AM91" i="48"/>
  <c r="AM90" i="48"/>
  <c r="AM89" i="48"/>
  <c r="AM88" i="48"/>
  <c r="AM87" i="48"/>
  <c r="AH94" i="48"/>
  <c r="AH93" i="48"/>
  <c r="AH92" i="48"/>
  <c r="AH91" i="48"/>
  <c r="AH90" i="48"/>
  <c r="AH89" i="48"/>
  <c r="AH88" i="48"/>
  <c r="AH87" i="48"/>
  <c r="AC94" i="48"/>
  <c r="AC93" i="48"/>
  <c r="AC92" i="48"/>
  <c r="AC91" i="48"/>
  <c r="AC90" i="48"/>
  <c r="AC89" i="48"/>
  <c r="AC88" i="48"/>
  <c r="AC87" i="48"/>
  <c r="X94" i="48"/>
  <c r="X93" i="48"/>
  <c r="X92" i="48"/>
  <c r="X91" i="48"/>
  <c r="X90" i="48"/>
  <c r="X89" i="48"/>
  <c r="X88" i="48"/>
  <c r="X87" i="48"/>
  <c r="S88" i="48"/>
  <c r="S89" i="48"/>
  <c r="S90" i="48"/>
  <c r="S91" i="48"/>
  <c r="S92" i="48"/>
  <c r="S93" i="48"/>
  <c r="S94" i="48"/>
  <c r="S87" i="48"/>
  <c r="M88" i="48"/>
  <c r="M89" i="48"/>
  <c r="M90" i="48"/>
  <c r="M91" i="48"/>
  <c r="M92" i="48"/>
  <c r="M93" i="48"/>
  <c r="M94" i="48"/>
  <c r="M87" i="48"/>
  <c r="AV94" i="48"/>
  <c r="AQ94" i="48"/>
  <c r="AL94" i="48"/>
  <c r="AG94" i="48"/>
  <c r="AB94" i="48"/>
  <c r="W94" i="48"/>
  <c r="R94" i="48"/>
  <c r="K94" i="48"/>
  <c r="J94" i="48"/>
  <c r="I94" i="48"/>
  <c r="G94" i="48"/>
  <c r="AV93" i="48"/>
  <c r="AQ93" i="48"/>
  <c r="AL93" i="48"/>
  <c r="AG93" i="48"/>
  <c r="AB93" i="48"/>
  <c r="W93" i="48"/>
  <c r="R93" i="48"/>
  <c r="K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K91" i="48" s="1"/>
  <c r="AQ91" i="48"/>
  <c r="AL91" i="48"/>
  <c r="AG91" i="48"/>
  <c r="AB91" i="48"/>
  <c r="W91" i="48"/>
  <c r="R91" i="48"/>
  <c r="J91" i="48"/>
  <c r="I91" i="48"/>
  <c r="G91" i="48"/>
  <c r="AV90" i="48"/>
  <c r="AQ90" i="48"/>
  <c r="K90" i="48" s="1"/>
  <c r="AL90" i="48"/>
  <c r="AG90" i="48"/>
  <c r="AB90" i="48"/>
  <c r="W90" i="48"/>
  <c r="R90" i="48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K88" i="48" s="1"/>
  <c r="AG88" i="48"/>
  <c r="AB88" i="48"/>
  <c r="W88" i="48"/>
  <c r="R88" i="48"/>
  <c r="J88" i="48"/>
  <c r="I88" i="48"/>
  <c r="G88" i="48"/>
  <c r="AV87" i="48"/>
  <c r="AQ87" i="48"/>
  <c r="K87" i="48" s="1"/>
  <c r="AN87" i="48"/>
  <c r="AL87" i="48"/>
  <c r="AG87" i="48"/>
  <c r="AB87" i="48"/>
  <c r="AD87" i="48" s="1"/>
  <c r="W87" i="48"/>
  <c r="R87" i="48"/>
  <c r="J87" i="48"/>
  <c r="I87" i="48"/>
  <c r="H87" i="48"/>
  <c r="G87" i="48"/>
  <c r="X88" i="47"/>
  <c r="X87" i="47"/>
  <c r="S88" i="47"/>
  <c r="S87" i="47"/>
  <c r="M88" i="47"/>
  <c r="M87" i="47"/>
  <c r="AV88" i="47"/>
  <c r="AW88" i="47" s="1"/>
  <c r="AQ88" i="47"/>
  <c r="AR88" i="47" s="1"/>
  <c r="AM88" i="47"/>
  <c r="AL88" i="47"/>
  <c r="AG88" i="47"/>
  <c r="AH88" i="47" s="1"/>
  <c r="AB88" i="47"/>
  <c r="AC88" i="47" s="1"/>
  <c r="W88" i="47"/>
  <c r="R88" i="47"/>
  <c r="K88" i="47"/>
  <c r="J88" i="47"/>
  <c r="I88" i="47"/>
  <c r="G88" i="47"/>
  <c r="AX87" i="47"/>
  <c r="AV87" i="47"/>
  <c r="AW87" i="47" s="1"/>
  <c r="AR87" i="47"/>
  <c r="AQ87" i="47"/>
  <c r="AS87" i="47" s="1"/>
  <c r="AL87" i="47"/>
  <c r="AN87" i="47" s="1"/>
  <c r="AG87" i="47"/>
  <c r="AI87" i="47" s="1"/>
  <c r="AB87" i="47"/>
  <c r="AC87" i="47" s="1"/>
  <c r="W87" i="47"/>
  <c r="R87" i="47"/>
  <c r="K87" i="47" s="1"/>
  <c r="J87" i="47"/>
  <c r="I87" i="47"/>
  <c r="G87" i="47"/>
  <c r="H87" i="47" s="1"/>
  <c r="AW88" i="46"/>
  <c r="AW87" i="46"/>
  <c r="AM88" i="46"/>
  <c r="AM87" i="46"/>
  <c r="AH88" i="46"/>
  <c r="AH87" i="46"/>
  <c r="AC88" i="46"/>
  <c r="AC87" i="46"/>
  <c r="X88" i="46"/>
  <c r="X87" i="46"/>
  <c r="S88" i="46"/>
  <c r="S87" i="46"/>
  <c r="M87" i="46"/>
  <c r="M88" i="46"/>
  <c r="AV88" i="46"/>
  <c r="AQ88" i="46"/>
  <c r="AR88" i="46" s="1"/>
  <c r="AL88" i="46"/>
  <c r="AG88" i="46"/>
  <c r="AB88" i="46"/>
  <c r="W88" i="46"/>
  <c r="R88" i="46"/>
  <c r="K88" i="46"/>
  <c r="J88" i="46"/>
  <c r="I88" i="46"/>
  <c r="G88" i="46"/>
  <c r="AX87" i="46"/>
  <c r="AV87" i="46"/>
  <c r="AQ87" i="46"/>
  <c r="AR87" i="46" s="1"/>
  <c r="AL87" i="46"/>
  <c r="AN87" i="46" s="1"/>
  <c r="AG87" i="46"/>
  <c r="AI87" i="46" s="1"/>
  <c r="AB87" i="46"/>
  <c r="AD87" i="46" s="1"/>
  <c r="W87" i="46"/>
  <c r="R87" i="46"/>
  <c r="T87" i="46" s="1"/>
  <c r="J87" i="46"/>
  <c r="I87" i="46"/>
  <c r="G87" i="46"/>
  <c r="H87" i="46" s="1"/>
  <c r="P102" i="46"/>
  <c r="U102" i="46"/>
  <c r="Z102" i="46" s="1"/>
  <c r="P103" i="46"/>
  <c r="U103" i="46"/>
  <c r="AW96" i="45"/>
  <c r="AW95" i="45"/>
  <c r="AW94" i="45"/>
  <c r="AW93" i="45"/>
  <c r="AW92" i="45"/>
  <c r="AW91" i="45"/>
  <c r="AW90" i="45"/>
  <c r="AW89" i="45"/>
  <c r="AW88" i="45"/>
  <c r="AW87" i="45"/>
  <c r="AR96" i="45"/>
  <c r="AR95" i="45"/>
  <c r="AR94" i="45"/>
  <c r="AR93" i="45"/>
  <c r="AR92" i="45"/>
  <c r="AR91" i="45"/>
  <c r="AR90" i="45"/>
  <c r="AR89" i="45"/>
  <c r="AR88" i="45"/>
  <c r="AR87" i="45"/>
  <c r="AM96" i="45"/>
  <c r="AM95" i="45"/>
  <c r="AM94" i="45"/>
  <c r="AM93" i="45"/>
  <c r="AM92" i="45"/>
  <c r="AM91" i="45"/>
  <c r="AM90" i="45"/>
  <c r="AM89" i="45"/>
  <c r="AM88" i="45"/>
  <c r="AM87" i="45"/>
  <c r="AH96" i="45"/>
  <c r="AH95" i="45"/>
  <c r="AH94" i="45"/>
  <c r="AH93" i="45"/>
  <c r="AH92" i="45"/>
  <c r="AH91" i="45"/>
  <c r="AH90" i="45"/>
  <c r="AH89" i="45"/>
  <c r="AH88" i="45"/>
  <c r="AH87" i="45"/>
  <c r="AC96" i="45"/>
  <c r="AC95" i="45"/>
  <c r="AC94" i="45"/>
  <c r="AC93" i="45"/>
  <c r="AC92" i="45"/>
  <c r="AC91" i="45"/>
  <c r="AC90" i="45"/>
  <c r="AC89" i="45"/>
  <c r="AC88" i="45"/>
  <c r="AC87" i="45"/>
  <c r="X96" i="45"/>
  <c r="X95" i="45"/>
  <c r="X94" i="45"/>
  <c r="X93" i="45"/>
  <c r="X92" i="45"/>
  <c r="X91" i="45"/>
  <c r="X90" i="45"/>
  <c r="X89" i="45"/>
  <c r="X88" i="45"/>
  <c r="X87" i="45"/>
  <c r="S88" i="45"/>
  <c r="S89" i="45"/>
  <c r="S90" i="45"/>
  <c r="S91" i="45"/>
  <c r="S92" i="45"/>
  <c r="S93" i="45"/>
  <c r="S94" i="45"/>
  <c r="S95" i="45"/>
  <c r="S96" i="45"/>
  <c r="S87" i="45"/>
  <c r="M88" i="45"/>
  <c r="M89" i="45"/>
  <c r="M90" i="45"/>
  <c r="M91" i="45"/>
  <c r="M92" i="45"/>
  <c r="M93" i="45"/>
  <c r="M94" i="45"/>
  <c r="M95" i="45"/>
  <c r="M96" i="45"/>
  <c r="M87" i="45"/>
  <c r="AV96" i="45"/>
  <c r="AQ96" i="45"/>
  <c r="AL96" i="45"/>
  <c r="AG96" i="45"/>
  <c r="AB96" i="45"/>
  <c r="W96" i="45"/>
  <c r="R96" i="45"/>
  <c r="K96" i="45"/>
  <c r="J96" i="45"/>
  <c r="I96" i="45"/>
  <c r="G96" i="45"/>
  <c r="AV95" i="45"/>
  <c r="AQ95" i="45"/>
  <c r="AL95" i="45"/>
  <c r="AG95" i="45"/>
  <c r="AB95" i="45"/>
  <c r="W95" i="45"/>
  <c r="R95" i="45"/>
  <c r="K95" i="45"/>
  <c r="J95" i="45"/>
  <c r="I95" i="45"/>
  <c r="G95" i="45"/>
  <c r="AV94" i="45"/>
  <c r="K94" i="45" s="1"/>
  <c r="AQ94" i="45"/>
  <c r="AL94" i="45"/>
  <c r="AG94" i="45"/>
  <c r="AB94" i="45"/>
  <c r="W94" i="45"/>
  <c r="R94" i="45"/>
  <c r="J94" i="45"/>
  <c r="I94" i="45"/>
  <c r="G94" i="45"/>
  <c r="AV93" i="45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K91" i="45" s="1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I87" i="45" s="1"/>
  <c r="AB88" i="45"/>
  <c r="W88" i="45"/>
  <c r="R88" i="45"/>
  <c r="J88" i="45"/>
  <c r="I88" i="45"/>
  <c r="G88" i="45"/>
  <c r="AV87" i="45"/>
  <c r="AX87" i="45" s="1"/>
  <c r="AQ87" i="45"/>
  <c r="AS87" i="45" s="1"/>
  <c r="AL87" i="45"/>
  <c r="K87" i="45" s="1"/>
  <c r="AG87" i="45"/>
  <c r="AB87" i="45"/>
  <c r="AD87" i="45" s="1"/>
  <c r="W87" i="45"/>
  <c r="Y87" i="45" s="1"/>
  <c r="R87" i="45"/>
  <c r="T87" i="45" s="1"/>
  <c r="J87" i="45"/>
  <c r="I87" i="45"/>
  <c r="G87" i="45"/>
  <c r="H87" i="45" s="1"/>
  <c r="AW187" i="44"/>
  <c r="AW186" i="44"/>
  <c r="AW185" i="44"/>
  <c r="AW184" i="44"/>
  <c r="AW183" i="44"/>
  <c r="AW182" i="44"/>
  <c r="AW181" i="44"/>
  <c r="AW180" i="44"/>
  <c r="AW179" i="44"/>
  <c r="AW178" i="44"/>
  <c r="AW177" i="44"/>
  <c r="AW176" i="44"/>
  <c r="AW175" i="44"/>
  <c r="AW174" i="44"/>
  <c r="AW173" i="44"/>
  <c r="AW172" i="44"/>
  <c r="AW171" i="44"/>
  <c r="AW170" i="44"/>
  <c r="AW169" i="44"/>
  <c r="AW168" i="44"/>
  <c r="AW167" i="44"/>
  <c r="AW166" i="44"/>
  <c r="AW165" i="44"/>
  <c r="AW164" i="44"/>
  <c r="AW163" i="44"/>
  <c r="AW162" i="44"/>
  <c r="AW161" i="44"/>
  <c r="AW160" i="44"/>
  <c r="AW159" i="44"/>
  <c r="AR187" i="44"/>
  <c r="AR186" i="44"/>
  <c r="AR185" i="44"/>
  <c r="AR184" i="44"/>
  <c r="AR183" i="44"/>
  <c r="AR182" i="44"/>
  <c r="AR181" i="44"/>
  <c r="AR180" i="44"/>
  <c r="AR179" i="44"/>
  <c r="AR178" i="44"/>
  <c r="AR177" i="44"/>
  <c r="AR176" i="44"/>
  <c r="AR175" i="44"/>
  <c r="AR174" i="44"/>
  <c r="AR173" i="44"/>
  <c r="AR172" i="44"/>
  <c r="AR171" i="44"/>
  <c r="AR170" i="44"/>
  <c r="AR169" i="44"/>
  <c r="AR168" i="44"/>
  <c r="AR167" i="44"/>
  <c r="AR166" i="44"/>
  <c r="AR165" i="44"/>
  <c r="AR164" i="44"/>
  <c r="AR163" i="44"/>
  <c r="AR162" i="44"/>
  <c r="AR161" i="44"/>
  <c r="AR160" i="44"/>
  <c r="AR159" i="44"/>
  <c r="AM187" i="44"/>
  <c r="AM186" i="44"/>
  <c r="AM185" i="44"/>
  <c r="AM184" i="44"/>
  <c r="AM183" i="44"/>
  <c r="AM182" i="44"/>
  <c r="AM181" i="44"/>
  <c r="AM180" i="44"/>
  <c r="AM179" i="44"/>
  <c r="AM178" i="44"/>
  <c r="AM177" i="44"/>
  <c r="AM176" i="44"/>
  <c r="AM175" i="44"/>
  <c r="AM174" i="44"/>
  <c r="AM173" i="44"/>
  <c r="AM172" i="44"/>
  <c r="AM171" i="44"/>
  <c r="AM170" i="44"/>
  <c r="AM169" i="44"/>
  <c r="AM168" i="44"/>
  <c r="AM167" i="44"/>
  <c r="AM166" i="44"/>
  <c r="AM165" i="44"/>
  <c r="AM164" i="44"/>
  <c r="AM163" i="44"/>
  <c r="AM162" i="44"/>
  <c r="AM161" i="44"/>
  <c r="AM160" i="44"/>
  <c r="AM159" i="44"/>
  <c r="AH187" i="44"/>
  <c r="AH186" i="44"/>
  <c r="AH185" i="44"/>
  <c r="AH184" i="44"/>
  <c r="AH183" i="44"/>
  <c r="AH182" i="44"/>
  <c r="AH181" i="44"/>
  <c r="AH180" i="44"/>
  <c r="AH179" i="44"/>
  <c r="AH178" i="44"/>
  <c r="AH177" i="44"/>
  <c r="AH176" i="44"/>
  <c r="AH175" i="44"/>
  <c r="AH174" i="44"/>
  <c r="AH173" i="44"/>
  <c r="AH172" i="44"/>
  <c r="AH171" i="44"/>
  <c r="AH170" i="44"/>
  <c r="AH169" i="44"/>
  <c r="AH168" i="44"/>
  <c r="AH167" i="44"/>
  <c r="AH166" i="44"/>
  <c r="AH165" i="44"/>
  <c r="AH164" i="44"/>
  <c r="AH163" i="44"/>
  <c r="AH162" i="44"/>
  <c r="AH161" i="44"/>
  <c r="AH160" i="44"/>
  <c r="AH159" i="44"/>
  <c r="AC187" i="44"/>
  <c r="AC186" i="44"/>
  <c r="AC185" i="44"/>
  <c r="AC184" i="44"/>
  <c r="AC183" i="44"/>
  <c r="AC182" i="44"/>
  <c r="AC181" i="44"/>
  <c r="AC180" i="44"/>
  <c r="AC179" i="44"/>
  <c r="AC178" i="44"/>
  <c r="AC177" i="44"/>
  <c r="AC176" i="44"/>
  <c r="AC175" i="44"/>
  <c r="AC174" i="44"/>
  <c r="AC173" i="44"/>
  <c r="AC172" i="44"/>
  <c r="AC171" i="44"/>
  <c r="AC170" i="44"/>
  <c r="AC169" i="44"/>
  <c r="AC168" i="44"/>
  <c r="AC167" i="44"/>
  <c r="AC166" i="44"/>
  <c r="AC165" i="44"/>
  <c r="AC164" i="44"/>
  <c r="AC163" i="44"/>
  <c r="AC162" i="44"/>
  <c r="AC161" i="44"/>
  <c r="AC160" i="44"/>
  <c r="AC159" i="44"/>
  <c r="X187" i="44"/>
  <c r="X186" i="44"/>
  <c r="X185" i="44"/>
  <c r="X184" i="44"/>
  <c r="X183" i="44"/>
  <c r="X182" i="44"/>
  <c r="X181" i="44"/>
  <c r="X180" i="44"/>
  <c r="X179" i="44"/>
  <c r="X178" i="44"/>
  <c r="X177" i="44"/>
  <c r="X176" i="44"/>
  <c r="X175" i="44"/>
  <c r="X174" i="44"/>
  <c r="X173" i="44"/>
  <c r="X172" i="44"/>
  <c r="X171" i="44"/>
  <c r="X170" i="44"/>
  <c r="X169" i="44"/>
  <c r="X168" i="44"/>
  <c r="X167" i="44"/>
  <c r="X166" i="44"/>
  <c r="X165" i="44"/>
  <c r="X164" i="44"/>
  <c r="X163" i="44"/>
  <c r="X162" i="44"/>
  <c r="X161" i="44"/>
  <c r="X160" i="44"/>
  <c r="X159" i="44"/>
  <c r="S160" i="44"/>
  <c r="S161" i="44"/>
  <c r="S162" i="44"/>
  <c r="S163" i="44"/>
  <c r="S164" i="44"/>
  <c r="S165" i="44"/>
  <c r="S166" i="44"/>
  <c r="S167" i="44"/>
  <c r="S168" i="44"/>
  <c r="S169" i="44"/>
  <c r="S170" i="44"/>
  <c r="S171" i="44"/>
  <c r="S172" i="44"/>
  <c r="S173" i="44"/>
  <c r="S174" i="44"/>
  <c r="S175" i="44"/>
  <c r="S176" i="44"/>
  <c r="S177" i="44"/>
  <c r="S178" i="44"/>
  <c r="S179" i="44"/>
  <c r="S180" i="44"/>
  <c r="S181" i="44"/>
  <c r="S182" i="44"/>
  <c r="S183" i="44"/>
  <c r="S184" i="44"/>
  <c r="S185" i="44"/>
  <c r="S186" i="44"/>
  <c r="S187" i="44"/>
  <c r="S159" i="44"/>
  <c r="M160" i="44"/>
  <c r="M161" i="44"/>
  <c r="M162" i="44"/>
  <c r="M163" i="44"/>
  <c r="M164" i="44"/>
  <c r="M165" i="44"/>
  <c r="M166" i="44"/>
  <c r="M167" i="44"/>
  <c r="M168" i="44"/>
  <c r="M169" i="44"/>
  <c r="M170" i="44"/>
  <c r="M171" i="44"/>
  <c r="M172" i="44"/>
  <c r="M173" i="44"/>
  <c r="M174" i="44"/>
  <c r="M175" i="44"/>
  <c r="M176" i="44"/>
  <c r="M177" i="44"/>
  <c r="M178" i="44"/>
  <c r="M179" i="44"/>
  <c r="M180" i="44"/>
  <c r="M181" i="44"/>
  <c r="M182" i="44"/>
  <c r="M183" i="44"/>
  <c r="M184" i="44"/>
  <c r="M185" i="44"/>
  <c r="M186" i="44"/>
  <c r="M187" i="44"/>
  <c r="M188" i="44"/>
  <c r="M159" i="44"/>
  <c r="AW188" i="44"/>
  <c r="AV188" i="44"/>
  <c r="K188" i="44"/>
  <c r="J188" i="44"/>
  <c r="I188" i="44"/>
  <c r="G188" i="44"/>
  <c r="AV187" i="44"/>
  <c r="AQ187" i="44"/>
  <c r="AL187" i="44"/>
  <c r="AG187" i="44"/>
  <c r="AB187" i="44"/>
  <c r="W187" i="44"/>
  <c r="R187" i="44"/>
  <c r="K187" i="44" s="1"/>
  <c r="J187" i="44"/>
  <c r="I187" i="44"/>
  <c r="G187" i="44"/>
  <c r="AV186" i="44"/>
  <c r="AQ186" i="44"/>
  <c r="AL186" i="44"/>
  <c r="AG186" i="44"/>
  <c r="AB186" i="44"/>
  <c r="W186" i="44"/>
  <c r="R186" i="44"/>
  <c r="K186" i="44" s="1"/>
  <c r="J186" i="44"/>
  <c r="I186" i="44"/>
  <c r="G186" i="44"/>
  <c r="AV185" i="44"/>
  <c r="AQ185" i="44"/>
  <c r="AL185" i="44"/>
  <c r="AG185" i="44"/>
  <c r="AB185" i="44"/>
  <c r="W185" i="44"/>
  <c r="R185" i="44"/>
  <c r="K185" i="44" s="1"/>
  <c r="J185" i="44"/>
  <c r="I185" i="44"/>
  <c r="G185" i="44"/>
  <c r="AV184" i="44"/>
  <c r="AQ184" i="44"/>
  <c r="AL184" i="44"/>
  <c r="AG184" i="44"/>
  <c r="AB184" i="44"/>
  <c r="W184" i="44"/>
  <c r="K184" i="44" s="1"/>
  <c r="R184" i="44"/>
  <c r="J184" i="44"/>
  <c r="I184" i="44"/>
  <c r="G184" i="44"/>
  <c r="AV183" i="44"/>
  <c r="AQ183" i="44"/>
  <c r="AL183" i="44"/>
  <c r="AG183" i="44"/>
  <c r="AB183" i="44"/>
  <c r="W183" i="44"/>
  <c r="R183" i="44"/>
  <c r="K183" i="44" s="1"/>
  <c r="J183" i="44"/>
  <c r="I183" i="44"/>
  <c r="G183" i="44"/>
  <c r="AV182" i="44"/>
  <c r="AQ182" i="44"/>
  <c r="AL182" i="44"/>
  <c r="AG182" i="44"/>
  <c r="AB182" i="44"/>
  <c r="W182" i="44"/>
  <c r="R182" i="44"/>
  <c r="K182" i="44"/>
  <c r="J182" i="44"/>
  <c r="I182" i="44"/>
  <c r="G182" i="44"/>
  <c r="AV181" i="44"/>
  <c r="AQ181" i="44"/>
  <c r="AL181" i="44"/>
  <c r="AG181" i="44"/>
  <c r="AB181" i="44"/>
  <c r="W181" i="44"/>
  <c r="R181" i="44"/>
  <c r="K181" i="44"/>
  <c r="J181" i="44"/>
  <c r="I181" i="44"/>
  <c r="G181" i="44"/>
  <c r="AV180" i="44"/>
  <c r="AQ180" i="44"/>
  <c r="AL180" i="44"/>
  <c r="AG180" i="44"/>
  <c r="AB180" i="44"/>
  <c r="W180" i="44"/>
  <c r="R180" i="44"/>
  <c r="K180" i="44"/>
  <c r="J180" i="44"/>
  <c r="I180" i="44"/>
  <c r="G180" i="44"/>
  <c r="AV179" i="44"/>
  <c r="AQ179" i="44"/>
  <c r="AL179" i="44"/>
  <c r="AG179" i="44"/>
  <c r="AB179" i="44"/>
  <c r="W179" i="44"/>
  <c r="R179" i="44"/>
  <c r="K179" i="44" s="1"/>
  <c r="J179" i="44"/>
  <c r="I179" i="44"/>
  <c r="G179" i="44"/>
  <c r="AV178" i="44"/>
  <c r="AQ178" i="44"/>
  <c r="AL178" i="44"/>
  <c r="AG178" i="44"/>
  <c r="AB178" i="44"/>
  <c r="W178" i="44"/>
  <c r="R178" i="44"/>
  <c r="K178" i="44"/>
  <c r="J178" i="44"/>
  <c r="I178" i="44"/>
  <c r="G178" i="44"/>
  <c r="AV177" i="44"/>
  <c r="AQ177" i="44"/>
  <c r="AL177" i="44"/>
  <c r="AG177" i="44"/>
  <c r="AB177" i="44"/>
  <c r="W177" i="44"/>
  <c r="R177" i="44"/>
  <c r="K177" i="44"/>
  <c r="J177" i="44"/>
  <c r="I177" i="44"/>
  <c r="G177" i="44"/>
  <c r="AV176" i="44"/>
  <c r="AQ176" i="44"/>
  <c r="K176" i="44" s="1"/>
  <c r="AL176" i="44"/>
  <c r="AG176" i="44"/>
  <c r="AB176" i="44"/>
  <c r="W176" i="44"/>
  <c r="R176" i="44"/>
  <c r="J176" i="44"/>
  <c r="I176" i="44"/>
  <c r="G176" i="44"/>
  <c r="AV175" i="44"/>
  <c r="AQ175" i="44"/>
  <c r="K175" i="44" s="1"/>
  <c r="AL175" i="44"/>
  <c r="AG175" i="44"/>
  <c r="AB175" i="44"/>
  <c r="W175" i="44"/>
  <c r="R175" i="44"/>
  <c r="J175" i="44"/>
  <c r="I175" i="44"/>
  <c r="G175" i="44"/>
  <c r="AV174" i="44"/>
  <c r="AQ174" i="44"/>
  <c r="AL174" i="44"/>
  <c r="K174" i="44" s="1"/>
  <c r="AG174" i="44"/>
  <c r="AB174" i="44"/>
  <c r="W174" i="44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K172" i="44" s="1"/>
  <c r="AB172" i="44"/>
  <c r="W172" i="44"/>
  <c r="R172" i="44"/>
  <c r="J172" i="44"/>
  <c r="I172" i="44"/>
  <c r="G172" i="44"/>
  <c r="AV171" i="44"/>
  <c r="AQ171" i="44"/>
  <c r="AL171" i="44"/>
  <c r="AG171" i="44"/>
  <c r="AB171" i="44"/>
  <c r="K171" i="44" s="1"/>
  <c r="W171" i="44"/>
  <c r="R171" i="44"/>
  <c r="J171" i="44"/>
  <c r="I171" i="44"/>
  <c r="G171" i="44"/>
  <c r="AV170" i="44"/>
  <c r="AQ170" i="44"/>
  <c r="AL170" i="44"/>
  <c r="AG170" i="44"/>
  <c r="AB170" i="44"/>
  <c r="K170" i="44" s="1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K166" i="44" s="1"/>
  <c r="J166" i="44"/>
  <c r="I166" i="44"/>
  <c r="G166" i="44"/>
  <c r="AV165" i="44"/>
  <c r="AQ165" i="44"/>
  <c r="AL165" i="44"/>
  <c r="AG165" i="44"/>
  <c r="AB165" i="44"/>
  <c r="W165" i="44"/>
  <c r="R165" i="44"/>
  <c r="K165" i="44" s="1"/>
  <c r="J165" i="44"/>
  <c r="I165" i="44"/>
  <c r="G165" i="44"/>
  <c r="AV164" i="44"/>
  <c r="AQ164" i="44"/>
  <c r="AL164" i="44"/>
  <c r="AG164" i="44"/>
  <c r="AB164" i="44"/>
  <c r="W164" i="44"/>
  <c r="R164" i="44"/>
  <c r="K164" i="44"/>
  <c r="J164" i="44"/>
  <c r="I164" i="44"/>
  <c r="G164" i="44"/>
  <c r="AV163" i="44"/>
  <c r="AQ163" i="44"/>
  <c r="AL163" i="44"/>
  <c r="AG163" i="44"/>
  <c r="AB163" i="44"/>
  <c r="W163" i="44"/>
  <c r="K163" i="44" s="1"/>
  <c r="R163" i="44"/>
  <c r="J163" i="44"/>
  <c r="I163" i="44"/>
  <c r="G163" i="44"/>
  <c r="AV162" i="44"/>
  <c r="AQ162" i="44"/>
  <c r="AL162" i="44"/>
  <c r="AG162" i="44"/>
  <c r="AB162" i="44"/>
  <c r="W162" i="44"/>
  <c r="R162" i="44"/>
  <c r="K162" i="44"/>
  <c r="J162" i="44"/>
  <c r="I162" i="44"/>
  <c r="G162" i="44"/>
  <c r="AV161" i="44"/>
  <c r="AQ161" i="44"/>
  <c r="AL161" i="44"/>
  <c r="AG161" i="44"/>
  <c r="AB161" i="44"/>
  <c r="W161" i="44"/>
  <c r="R161" i="44"/>
  <c r="K161" i="44"/>
  <c r="J161" i="44"/>
  <c r="I161" i="44"/>
  <c r="G161" i="44"/>
  <c r="AV160" i="44"/>
  <c r="AQ160" i="44"/>
  <c r="AL160" i="44"/>
  <c r="AG160" i="44"/>
  <c r="AB160" i="44"/>
  <c r="W160" i="44"/>
  <c r="R160" i="44"/>
  <c r="K160" i="44"/>
  <c r="J160" i="44"/>
  <c r="I160" i="44"/>
  <c r="G160" i="44"/>
  <c r="AV159" i="44"/>
  <c r="AQ159" i="44"/>
  <c r="AL159" i="44"/>
  <c r="AN159" i="44" s="1"/>
  <c r="AG159" i="44"/>
  <c r="AD159" i="44"/>
  <c r="AB159" i="44"/>
  <c r="W159" i="44"/>
  <c r="Y159" i="44" s="1"/>
  <c r="R159" i="44"/>
  <c r="J159" i="44"/>
  <c r="I159" i="44"/>
  <c r="G159" i="44"/>
  <c r="B35" i="6"/>
  <c r="AL41" i="6"/>
  <c r="AC41" i="6"/>
  <c r="AD41" i="6" s="1"/>
  <c r="S41" i="6"/>
  <c r="T41" i="6" s="1"/>
  <c r="M41" i="6"/>
  <c r="N41" i="6" s="1"/>
  <c r="F41" i="6"/>
  <c r="AJ41" i="6" s="1"/>
  <c r="AL40" i="6"/>
  <c r="AC40" i="6"/>
  <c r="AD40" i="6" s="1"/>
  <c r="S40" i="6"/>
  <c r="T40" i="6" s="1"/>
  <c r="M40" i="6"/>
  <c r="N40" i="6" s="1"/>
  <c r="F40" i="6"/>
  <c r="AJ40" i="6" s="1"/>
  <c r="AL39" i="6"/>
  <c r="AC39" i="6"/>
  <c r="AD39" i="6" s="1"/>
  <c r="S39" i="6"/>
  <c r="T39" i="6" s="1"/>
  <c r="M39" i="6"/>
  <c r="N39" i="6" s="1"/>
  <c r="F39" i="6"/>
  <c r="AJ39" i="6" s="1"/>
  <c r="AL38" i="6"/>
  <c r="AC38" i="6"/>
  <c r="AD38" i="6" s="1"/>
  <c r="S38" i="6"/>
  <c r="T38" i="6" s="1"/>
  <c r="M38" i="6"/>
  <c r="N38" i="6" s="1"/>
  <c r="F38" i="6"/>
  <c r="AJ38" i="6" s="1"/>
  <c r="AC37" i="6"/>
  <c r="AD37" i="6" s="1"/>
  <c r="S37" i="6"/>
  <c r="T37" i="6" s="1"/>
  <c r="M37" i="6"/>
  <c r="N37" i="6" s="1"/>
  <c r="F37" i="6"/>
  <c r="AJ37" i="6" s="1"/>
  <c r="AL36" i="6"/>
  <c r="AC36" i="6"/>
  <c r="AD36" i="6" s="1"/>
  <c r="S36" i="6"/>
  <c r="T36" i="6" s="1"/>
  <c r="M36" i="6"/>
  <c r="N36" i="6" s="1"/>
  <c r="F36" i="6"/>
  <c r="AJ36" i="6" s="1"/>
  <c r="AL35" i="6"/>
  <c r="AC35" i="6"/>
  <c r="AD35" i="6" s="1"/>
  <c r="S35" i="6"/>
  <c r="T35" i="6" s="1"/>
  <c r="M35" i="6"/>
  <c r="N35" i="6" s="1"/>
  <c r="F35" i="6"/>
  <c r="AJ35" i="6" s="1"/>
  <c r="B35" i="7"/>
  <c r="AC41" i="7"/>
  <c r="AD41" i="7" s="1"/>
  <c r="S41" i="7"/>
  <c r="T41" i="7" s="1"/>
  <c r="M41" i="7"/>
  <c r="F41" i="7"/>
  <c r="AL41" i="7" s="1"/>
  <c r="AC40" i="7"/>
  <c r="AD40" i="7" s="1"/>
  <c r="S40" i="7"/>
  <c r="T40" i="7" s="1"/>
  <c r="M40" i="7"/>
  <c r="N40" i="7" s="1"/>
  <c r="F40" i="7"/>
  <c r="AL40" i="7" s="1"/>
  <c r="AC39" i="7"/>
  <c r="AD39" i="7" s="1"/>
  <c r="S39" i="7"/>
  <c r="T39" i="7" s="1"/>
  <c r="M39" i="7"/>
  <c r="N39" i="7" s="1"/>
  <c r="F39" i="7"/>
  <c r="AL39" i="7" s="1"/>
  <c r="AC38" i="7"/>
  <c r="AD38" i="7" s="1"/>
  <c r="S38" i="7"/>
  <c r="T38" i="7" s="1"/>
  <c r="M38" i="7"/>
  <c r="N38" i="7" s="1"/>
  <c r="F38" i="7"/>
  <c r="AL38" i="7" s="1"/>
  <c r="AC37" i="7"/>
  <c r="AD37" i="7" s="1"/>
  <c r="S37" i="7"/>
  <c r="T37" i="7" s="1"/>
  <c r="M37" i="7"/>
  <c r="N37" i="7" s="1"/>
  <c r="F37" i="7"/>
  <c r="AL37" i="7" s="1"/>
  <c r="AC36" i="7"/>
  <c r="AD36" i="7" s="1"/>
  <c r="S36" i="7"/>
  <c r="T36" i="7" s="1"/>
  <c r="M36" i="7"/>
  <c r="N36" i="7" s="1"/>
  <c r="F36" i="7"/>
  <c r="AL36" i="7" s="1"/>
  <c r="AC35" i="7"/>
  <c r="AD35" i="7" s="1"/>
  <c r="S35" i="7"/>
  <c r="T35" i="7" s="1"/>
  <c r="M35" i="7"/>
  <c r="F35" i="7"/>
  <c r="AL35" i="7" s="1"/>
  <c r="U38" i="5"/>
  <c r="U39" i="5"/>
  <c r="U34" i="5"/>
  <c r="U35" i="5"/>
  <c r="U36" i="5"/>
  <c r="U37" i="5"/>
  <c r="U33" i="5"/>
  <c r="L87" i="52" l="1"/>
  <c r="Y87" i="52"/>
  <c r="AD87" i="52"/>
  <c r="K92" i="49"/>
  <c r="K91" i="49"/>
  <c r="K90" i="49"/>
  <c r="K89" i="49"/>
  <c r="K88" i="49"/>
  <c r="AS87" i="49"/>
  <c r="AI87" i="49"/>
  <c r="AS87" i="48"/>
  <c r="AX87" i="48"/>
  <c r="T87" i="48"/>
  <c r="K89" i="48"/>
  <c r="Y87" i="48"/>
  <c r="K92" i="48"/>
  <c r="AI87" i="48"/>
  <c r="L87" i="47"/>
  <c r="AD87" i="47"/>
  <c r="AH87" i="47"/>
  <c r="AM87" i="47"/>
  <c r="T87" i="47"/>
  <c r="Y87" i="47"/>
  <c r="Y87" i="46"/>
  <c r="K87" i="46"/>
  <c r="AS87" i="46"/>
  <c r="AE102" i="46"/>
  <c r="Z103" i="46"/>
  <c r="K89" i="45"/>
  <c r="K88" i="45"/>
  <c r="K93" i="45"/>
  <c r="K90" i="45"/>
  <c r="AN87" i="45"/>
  <c r="K92" i="45"/>
  <c r="AI159" i="44"/>
  <c r="AS159" i="44"/>
  <c r="AX159" i="44"/>
  <c r="K159" i="44"/>
  <c r="K169" i="44"/>
  <c r="T159" i="44"/>
  <c r="K173" i="44"/>
  <c r="K168" i="44"/>
  <c r="K167" i="44"/>
  <c r="H159" i="44"/>
  <c r="G35" i="6"/>
  <c r="J35" i="6"/>
  <c r="J41" i="6"/>
  <c r="L40" i="6"/>
  <c r="P36" i="6"/>
  <c r="P39" i="6"/>
  <c r="R37" i="6"/>
  <c r="V35" i="6"/>
  <c r="V36" i="6"/>
  <c r="V38" i="6"/>
  <c r="V39" i="6"/>
  <c r="V40" i="6"/>
  <c r="V41" i="6"/>
  <c r="X35" i="6"/>
  <c r="X36" i="6"/>
  <c r="X37" i="6"/>
  <c r="X38" i="6"/>
  <c r="X39" i="6"/>
  <c r="X40" i="6"/>
  <c r="X41" i="6"/>
  <c r="Z35" i="6"/>
  <c r="Z36" i="6"/>
  <c r="Z37" i="6"/>
  <c r="Z38" i="6"/>
  <c r="Z39" i="6"/>
  <c r="Z40" i="6"/>
  <c r="Z41" i="6"/>
  <c r="AB35" i="6"/>
  <c r="AB36" i="6"/>
  <c r="AB37" i="6"/>
  <c r="AB38" i="6"/>
  <c r="AB39" i="6"/>
  <c r="AB40" i="6"/>
  <c r="AB41" i="6"/>
  <c r="AL37" i="6"/>
  <c r="J36" i="6"/>
  <c r="J38" i="6"/>
  <c r="J40" i="6"/>
  <c r="L35" i="6"/>
  <c r="L39" i="6"/>
  <c r="P37" i="6"/>
  <c r="P41" i="6"/>
  <c r="R41" i="6"/>
  <c r="L37" i="6"/>
  <c r="R39" i="6"/>
  <c r="L38" i="6"/>
  <c r="R35" i="6"/>
  <c r="AH35" i="6"/>
  <c r="AH37" i="6"/>
  <c r="AH39" i="6"/>
  <c r="AH40" i="6"/>
  <c r="AH41" i="6"/>
  <c r="J37" i="6"/>
  <c r="J39" i="6"/>
  <c r="L36" i="6"/>
  <c r="L41" i="6"/>
  <c r="P35" i="6"/>
  <c r="P38" i="6"/>
  <c r="P40" i="6"/>
  <c r="R36" i="6"/>
  <c r="R38" i="6"/>
  <c r="R40" i="6"/>
  <c r="V37" i="6"/>
  <c r="AF35" i="6"/>
  <c r="AF36" i="6"/>
  <c r="AF37" i="6"/>
  <c r="AF38" i="6"/>
  <c r="AF39" i="6"/>
  <c r="AF40" i="6"/>
  <c r="AF41" i="6"/>
  <c r="AH36" i="6"/>
  <c r="AH38" i="6"/>
  <c r="N41" i="7"/>
  <c r="J40" i="7"/>
  <c r="N35" i="7"/>
  <c r="P35" i="7"/>
  <c r="P38" i="7"/>
  <c r="P40" i="7"/>
  <c r="R35" i="7"/>
  <c r="R37" i="7"/>
  <c r="R40" i="7"/>
  <c r="V40" i="7"/>
  <c r="X40" i="7"/>
  <c r="Z39" i="7"/>
  <c r="AB36" i="7"/>
  <c r="AB40" i="7"/>
  <c r="AF35" i="7"/>
  <c r="AF36" i="7"/>
  <c r="AF37" i="7"/>
  <c r="AF38" i="7"/>
  <c r="AF39" i="7"/>
  <c r="AF40" i="7"/>
  <c r="AF41" i="7"/>
  <c r="J37" i="7"/>
  <c r="V35" i="7"/>
  <c r="AH41" i="7"/>
  <c r="J39" i="7"/>
  <c r="L41" i="7"/>
  <c r="P36" i="7"/>
  <c r="P41" i="7"/>
  <c r="R36" i="7"/>
  <c r="R38" i="7"/>
  <c r="R41" i="7"/>
  <c r="V36" i="7"/>
  <c r="V37" i="7"/>
  <c r="V38" i="7"/>
  <c r="V41" i="7"/>
  <c r="X35" i="7"/>
  <c r="X36" i="7"/>
  <c r="X37" i="7"/>
  <c r="X38" i="7"/>
  <c r="X41" i="7"/>
  <c r="Z36" i="7"/>
  <c r="Z37" i="7"/>
  <c r="Z38" i="7"/>
  <c r="Z41" i="7"/>
  <c r="AB35" i="7"/>
  <c r="AB37" i="7"/>
  <c r="AB38" i="7"/>
  <c r="AB39" i="7"/>
  <c r="AB41" i="7"/>
  <c r="AH35" i="7"/>
  <c r="AH36" i="7"/>
  <c r="AH37" i="7"/>
  <c r="AH38" i="7"/>
  <c r="AH39" i="7"/>
  <c r="AH40" i="7"/>
  <c r="AJ35" i="7"/>
  <c r="AJ36" i="7"/>
  <c r="AJ37" i="7"/>
  <c r="AJ38" i="7"/>
  <c r="AJ39" i="7"/>
  <c r="AJ40" i="7"/>
  <c r="AJ41" i="7"/>
  <c r="G35" i="7"/>
  <c r="J35" i="7"/>
  <c r="J36" i="7"/>
  <c r="J38" i="7"/>
  <c r="J41" i="7"/>
  <c r="L35" i="7"/>
  <c r="L36" i="7"/>
  <c r="L37" i="7"/>
  <c r="L38" i="7"/>
  <c r="L39" i="7"/>
  <c r="L40" i="7"/>
  <c r="P37" i="7"/>
  <c r="P39" i="7"/>
  <c r="R39" i="7"/>
  <c r="V39" i="7"/>
  <c r="X39" i="7"/>
  <c r="Z35" i="7"/>
  <c r="Z40" i="7"/>
  <c r="L87" i="49" l="1"/>
  <c r="L87" i="48"/>
  <c r="L87" i="46"/>
  <c r="AJ102" i="46"/>
  <c r="AE103" i="46"/>
  <c r="L87" i="45"/>
  <c r="L159" i="44"/>
  <c r="AJ103" i="46" l="1"/>
  <c r="AO102" i="46"/>
  <c r="AT102" i="46" l="1"/>
  <c r="AT103" i="46" s="1"/>
  <c r="AO103" i="46"/>
  <c r="M125" i="20" l="1"/>
  <c r="M141" i="62" l="1"/>
  <c r="M140" i="62"/>
  <c r="M139" i="62"/>
  <c r="M138" i="62"/>
  <c r="M137" i="62"/>
  <c r="M133" i="62"/>
  <c r="M132" i="62"/>
  <c r="M131" i="62"/>
  <c r="M130" i="62"/>
  <c r="M129" i="62"/>
  <c r="M134" i="62" s="1"/>
  <c r="M125" i="62"/>
  <c r="M124" i="62"/>
  <c r="M123" i="62"/>
  <c r="M122" i="62"/>
  <c r="M121" i="62"/>
  <c r="M182" i="20"/>
  <c r="K182" i="20" s="1"/>
  <c r="M179" i="20"/>
  <c r="M178" i="20"/>
  <c r="M177" i="20"/>
  <c r="M169" i="20"/>
  <c r="M174" i="20" s="1"/>
  <c r="M165" i="20"/>
  <c r="M164" i="20"/>
  <c r="M163" i="20"/>
  <c r="M162" i="20"/>
  <c r="M161" i="20"/>
  <c r="M166" i="20" s="1"/>
  <c r="M157" i="20"/>
  <c r="M156" i="20"/>
  <c r="M155" i="20"/>
  <c r="M154" i="20"/>
  <c r="M153" i="20"/>
  <c r="M158" i="20" s="1"/>
  <c r="K106" i="19"/>
  <c r="M141" i="19"/>
  <c r="M142" i="19" s="1"/>
  <c r="K142" i="19" s="1"/>
  <c r="M140" i="19"/>
  <c r="M139" i="19"/>
  <c r="M138" i="19"/>
  <c r="M137" i="19"/>
  <c r="M133" i="19"/>
  <c r="M132" i="19"/>
  <c r="M131" i="19"/>
  <c r="M130" i="19"/>
  <c r="M129" i="19"/>
  <c r="M134" i="19" s="1"/>
  <c r="M125" i="19"/>
  <c r="M124" i="19"/>
  <c r="M123" i="19"/>
  <c r="M122" i="19"/>
  <c r="M121" i="19"/>
  <c r="L32" i="56"/>
  <c r="L33" i="56"/>
  <c r="L34" i="56"/>
  <c r="L35" i="56"/>
  <c r="L36" i="56"/>
  <c r="J32" i="56"/>
  <c r="J33" i="56"/>
  <c r="J34" i="56"/>
  <c r="J35" i="56"/>
  <c r="J36" i="56"/>
  <c r="H32" i="56"/>
  <c r="H33" i="56"/>
  <c r="H34" i="56"/>
  <c r="H35" i="56"/>
  <c r="H36" i="56"/>
  <c r="F32" i="56"/>
  <c r="F33" i="56"/>
  <c r="F34" i="56"/>
  <c r="F35" i="56"/>
  <c r="F36" i="56"/>
  <c r="D32" i="56"/>
  <c r="D33" i="56"/>
  <c r="D34" i="56"/>
  <c r="D35" i="56"/>
  <c r="D36" i="56"/>
  <c r="J112" i="25"/>
  <c r="B112" i="25"/>
  <c r="A112" i="25"/>
  <c r="J124" i="22"/>
  <c r="J123" i="22"/>
  <c r="J113" i="22"/>
  <c r="J112" i="22"/>
  <c r="M126" i="19" l="1"/>
  <c r="M142" i="62"/>
  <c r="M126" i="62"/>
  <c r="J104" i="23"/>
  <c r="J103" i="23"/>
  <c r="J102" i="23"/>
  <c r="J101" i="23"/>
  <c r="J100" i="23"/>
  <c r="J99" i="23"/>
  <c r="J98" i="23"/>
  <c r="J97" i="23"/>
  <c r="J94" i="23"/>
  <c r="J93" i="23"/>
  <c r="J92" i="23"/>
  <c r="J91" i="23"/>
  <c r="J90" i="23"/>
  <c r="J89" i="23"/>
  <c r="J88" i="23"/>
  <c r="J87" i="23"/>
  <c r="J86" i="23"/>
  <c r="J97" i="22"/>
  <c r="J86" i="22"/>
  <c r="J106" i="15"/>
  <c r="J105" i="15"/>
  <c r="J104" i="15"/>
  <c r="J103" i="15"/>
  <c r="J102" i="15"/>
  <c r="J101" i="15"/>
  <c r="J99" i="15"/>
  <c r="J98" i="15"/>
  <c r="J97" i="15"/>
  <c r="J95" i="15"/>
  <c r="J94" i="15"/>
  <c r="J93" i="15"/>
  <c r="J92" i="15"/>
  <c r="J91" i="15"/>
  <c r="J89" i="15"/>
  <c r="J88" i="15"/>
  <c r="J87" i="15"/>
  <c r="J86" i="15"/>
  <c r="AW67" i="52"/>
  <c r="AR67" i="52"/>
  <c r="AM67" i="52"/>
  <c r="AH67" i="52"/>
  <c r="AC67" i="52"/>
  <c r="X67" i="52"/>
  <c r="S67" i="52"/>
  <c r="M67" i="52"/>
  <c r="AV67" i="52"/>
  <c r="AX67" i="52" s="1"/>
  <c r="AQ67" i="52"/>
  <c r="AS67" i="52" s="1"/>
  <c r="AL67" i="52"/>
  <c r="AG67" i="52"/>
  <c r="AI67" i="52" s="1"/>
  <c r="AB67" i="52"/>
  <c r="W67" i="52"/>
  <c r="Y67" i="52" s="1"/>
  <c r="T67" i="52"/>
  <c r="R67" i="52"/>
  <c r="J67" i="52"/>
  <c r="I67" i="52"/>
  <c r="G67" i="52"/>
  <c r="H67" i="52" s="1"/>
  <c r="AW74" i="49"/>
  <c r="AW73" i="49"/>
  <c r="AW72" i="49"/>
  <c r="AW71" i="49"/>
  <c r="AW70" i="49"/>
  <c r="AW69" i="49"/>
  <c r="AW68" i="49"/>
  <c r="AW67" i="49"/>
  <c r="AR74" i="49"/>
  <c r="AR73" i="49"/>
  <c r="AR72" i="49"/>
  <c r="AR71" i="49"/>
  <c r="AR70" i="49"/>
  <c r="AR69" i="49"/>
  <c r="AR68" i="49"/>
  <c r="AR67" i="49"/>
  <c r="AM74" i="49"/>
  <c r="AM73" i="49"/>
  <c r="AM72" i="49"/>
  <c r="AM71" i="49"/>
  <c r="AM70" i="49"/>
  <c r="AM69" i="49"/>
  <c r="AM68" i="49"/>
  <c r="AM67" i="49"/>
  <c r="AH74" i="49"/>
  <c r="AH73" i="49"/>
  <c r="AH72" i="49"/>
  <c r="AH71" i="49"/>
  <c r="AH70" i="49"/>
  <c r="AH69" i="49"/>
  <c r="AH68" i="49"/>
  <c r="AH67" i="49"/>
  <c r="AC74" i="49"/>
  <c r="AC73" i="49"/>
  <c r="AC72" i="49"/>
  <c r="AC71" i="49"/>
  <c r="AC70" i="49"/>
  <c r="AC69" i="49"/>
  <c r="AC68" i="49"/>
  <c r="AC67" i="49"/>
  <c r="X74" i="49"/>
  <c r="X73" i="49"/>
  <c r="X72" i="49"/>
  <c r="X71" i="49"/>
  <c r="X70" i="49"/>
  <c r="X69" i="49"/>
  <c r="X68" i="49"/>
  <c r="X67" i="49"/>
  <c r="S68" i="49"/>
  <c r="S69" i="49"/>
  <c r="S70" i="49"/>
  <c r="S71" i="49"/>
  <c r="S72" i="49"/>
  <c r="S73" i="49"/>
  <c r="S74" i="49"/>
  <c r="S67" i="49"/>
  <c r="M68" i="49"/>
  <c r="M69" i="49"/>
  <c r="M70" i="49"/>
  <c r="M71" i="49"/>
  <c r="M72" i="49"/>
  <c r="M73" i="49"/>
  <c r="M74" i="49"/>
  <c r="M67" i="49"/>
  <c r="AV74" i="49"/>
  <c r="AQ74" i="49"/>
  <c r="AL74" i="49"/>
  <c r="AG74" i="49"/>
  <c r="AB74" i="49"/>
  <c r="W74" i="49"/>
  <c r="R74" i="49"/>
  <c r="K74" i="49"/>
  <c r="J74" i="49"/>
  <c r="I74" i="49"/>
  <c r="G74" i="49"/>
  <c r="AV73" i="49"/>
  <c r="AQ73" i="49"/>
  <c r="AL73" i="49"/>
  <c r="AG73" i="49"/>
  <c r="AB73" i="49"/>
  <c r="W73" i="49"/>
  <c r="R73" i="49"/>
  <c r="K73" i="49"/>
  <c r="J73" i="49"/>
  <c r="I73" i="49"/>
  <c r="G73" i="49"/>
  <c r="AV72" i="49"/>
  <c r="K72" i="49" s="1"/>
  <c r="AQ72" i="49"/>
  <c r="AL72" i="49"/>
  <c r="AG72" i="49"/>
  <c r="AB72" i="49"/>
  <c r="W72" i="49"/>
  <c r="R72" i="49"/>
  <c r="J72" i="49"/>
  <c r="I72" i="49"/>
  <c r="G72" i="49"/>
  <c r="AV71" i="49"/>
  <c r="K71" i="49" s="1"/>
  <c r="AQ71" i="49"/>
  <c r="AL71" i="49"/>
  <c r="AG71" i="49"/>
  <c r="AB71" i="49"/>
  <c r="W71" i="49"/>
  <c r="R71" i="49"/>
  <c r="J71" i="49"/>
  <c r="I71" i="49"/>
  <c r="G71" i="49"/>
  <c r="AV70" i="49"/>
  <c r="AQ70" i="49"/>
  <c r="K70" i="49" s="1"/>
  <c r="AL70" i="49"/>
  <c r="AG70" i="49"/>
  <c r="AB70" i="49"/>
  <c r="W70" i="49"/>
  <c r="R70" i="49"/>
  <c r="J70" i="49"/>
  <c r="I70" i="49"/>
  <c r="G70" i="49"/>
  <c r="AV69" i="49"/>
  <c r="AQ69" i="49"/>
  <c r="K69" i="49" s="1"/>
  <c r="AL69" i="49"/>
  <c r="AG69" i="49"/>
  <c r="AB69" i="49"/>
  <c r="W69" i="49"/>
  <c r="R69" i="49"/>
  <c r="J69" i="49"/>
  <c r="I69" i="49"/>
  <c r="G69" i="49"/>
  <c r="AV68" i="49"/>
  <c r="AQ68" i="49"/>
  <c r="AL68" i="49"/>
  <c r="K68" i="49" s="1"/>
  <c r="AG68" i="49"/>
  <c r="AB68" i="49"/>
  <c r="W68" i="49"/>
  <c r="R68" i="49"/>
  <c r="J68" i="49"/>
  <c r="I68" i="49"/>
  <c r="G68" i="49"/>
  <c r="AV67" i="49"/>
  <c r="AQ67" i="49"/>
  <c r="AS67" i="49" s="1"/>
  <c r="AN67" i="49"/>
  <c r="AL67" i="49"/>
  <c r="AG67" i="49"/>
  <c r="AI67" i="49" s="1"/>
  <c r="AB67" i="49"/>
  <c r="W67" i="49"/>
  <c r="R67" i="49"/>
  <c r="T67" i="49" s="1"/>
  <c r="J67" i="49"/>
  <c r="I67" i="49"/>
  <c r="H67" i="49"/>
  <c r="G67" i="49"/>
  <c r="S75" i="48"/>
  <c r="S74" i="48"/>
  <c r="S73" i="48"/>
  <c r="S72" i="48"/>
  <c r="S71" i="48"/>
  <c r="S70" i="48"/>
  <c r="S69" i="48"/>
  <c r="S68" i="48"/>
  <c r="S67" i="48"/>
  <c r="X75" i="48"/>
  <c r="X74" i="48"/>
  <c r="X73" i="48"/>
  <c r="X72" i="48"/>
  <c r="X71" i="48"/>
  <c r="X70" i="48"/>
  <c r="X69" i="48"/>
  <c r="X68" i="48"/>
  <c r="X67" i="48"/>
  <c r="AW75" i="48"/>
  <c r="AW74" i="48"/>
  <c r="AW73" i="48"/>
  <c r="AW72" i="48"/>
  <c r="AW71" i="48"/>
  <c r="AW70" i="48"/>
  <c r="AW69" i="48"/>
  <c r="AW68" i="48"/>
  <c r="AW67" i="48"/>
  <c r="AR75" i="48"/>
  <c r="AR74" i="48"/>
  <c r="AR73" i="48"/>
  <c r="AR72" i="48"/>
  <c r="AR71" i="48"/>
  <c r="AR70" i="48"/>
  <c r="AR69" i="48"/>
  <c r="AR68" i="48"/>
  <c r="AR67" i="48"/>
  <c r="AM68" i="48"/>
  <c r="AM69" i="48"/>
  <c r="AM70" i="48"/>
  <c r="AM71" i="48"/>
  <c r="AM72" i="48"/>
  <c r="AM73" i="48"/>
  <c r="AM74" i="48"/>
  <c r="AM75" i="48"/>
  <c r="AM67" i="48"/>
  <c r="M68" i="48"/>
  <c r="M69" i="48"/>
  <c r="M70" i="48"/>
  <c r="M71" i="48"/>
  <c r="M72" i="48"/>
  <c r="M73" i="48"/>
  <c r="M74" i="48"/>
  <c r="M75" i="48"/>
  <c r="M67" i="48"/>
  <c r="AV75" i="48"/>
  <c r="AQ75" i="48"/>
  <c r="AL75" i="48"/>
  <c r="AG75" i="48"/>
  <c r="AH75" i="48" s="1"/>
  <c r="AB75" i="48"/>
  <c r="AC75" i="48" s="1"/>
  <c r="W75" i="48"/>
  <c r="R75" i="48"/>
  <c r="K75" i="48"/>
  <c r="J75" i="48"/>
  <c r="I75" i="48"/>
  <c r="G75" i="48"/>
  <c r="AV74" i="48"/>
  <c r="AQ74" i="48"/>
  <c r="AL74" i="48"/>
  <c r="AG74" i="48"/>
  <c r="AH74" i="48" s="1"/>
  <c r="AC74" i="48"/>
  <c r="AB74" i="48"/>
  <c r="W74" i="48"/>
  <c r="R74" i="48"/>
  <c r="K74" i="48"/>
  <c r="J74" i="48"/>
  <c r="I74" i="48"/>
  <c r="G74" i="48"/>
  <c r="AV73" i="48"/>
  <c r="AQ73" i="48"/>
  <c r="AL73" i="48"/>
  <c r="AG73" i="48"/>
  <c r="AH73" i="48" s="1"/>
  <c r="AB73" i="48"/>
  <c r="AC73" i="48" s="1"/>
  <c r="W73" i="48"/>
  <c r="R73" i="48"/>
  <c r="J73" i="48"/>
  <c r="I73" i="48"/>
  <c r="G73" i="48"/>
  <c r="AV72" i="48"/>
  <c r="K72" i="48" s="1"/>
  <c r="AQ72" i="48"/>
  <c r="AL72" i="48"/>
  <c r="AG72" i="48"/>
  <c r="AH72" i="48" s="1"/>
  <c r="AB72" i="48"/>
  <c r="AC72" i="48" s="1"/>
  <c r="W72" i="48"/>
  <c r="R72" i="48"/>
  <c r="J72" i="48"/>
  <c r="I72" i="48"/>
  <c r="G72" i="48"/>
  <c r="AV71" i="48"/>
  <c r="AQ71" i="48"/>
  <c r="AL71" i="48"/>
  <c r="AG71" i="48"/>
  <c r="AH71" i="48" s="1"/>
  <c r="AB71" i="48"/>
  <c r="AC71" i="48" s="1"/>
  <c r="W71" i="48"/>
  <c r="R71" i="48"/>
  <c r="J71" i="48"/>
  <c r="I71" i="48"/>
  <c r="G71" i="48"/>
  <c r="AV70" i="48"/>
  <c r="AQ70" i="48"/>
  <c r="AL70" i="48"/>
  <c r="AG70" i="48"/>
  <c r="AH70" i="48" s="1"/>
  <c r="AB70" i="48"/>
  <c r="AC70" i="48" s="1"/>
  <c r="W70" i="48"/>
  <c r="R70" i="48"/>
  <c r="J70" i="48"/>
  <c r="I70" i="48"/>
  <c r="G70" i="48"/>
  <c r="AV69" i="48"/>
  <c r="AQ69" i="48"/>
  <c r="AL69" i="48"/>
  <c r="AG69" i="48"/>
  <c r="AH69" i="48" s="1"/>
  <c r="AB69" i="48"/>
  <c r="AC69" i="48" s="1"/>
  <c r="W69" i="48"/>
  <c r="R69" i="48"/>
  <c r="J69" i="48"/>
  <c r="I69" i="48"/>
  <c r="G69" i="48"/>
  <c r="AV68" i="48"/>
  <c r="AQ68" i="48"/>
  <c r="AL68" i="48"/>
  <c r="AH68" i="48"/>
  <c r="AG68" i="48"/>
  <c r="AB68" i="48"/>
  <c r="AC68" i="48" s="1"/>
  <c r="W68" i="48"/>
  <c r="R68" i="48"/>
  <c r="J68" i="48"/>
  <c r="I68" i="48"/>
  <c r="G68" i="48"/>
  <c r="AV67" i="48"/>
  <c r="AX67" i="48" s="1"/>
  <c r="AQ67" i="48"/>
  <c r="AS67" i="48" s="1"/>
  <c r="AL67" i="48"/>
  <c r="AG67" i="48"/>
  <c r="AI67" i="48" s="1"/>
  <c r="AB67" i="48"/>
  <c r="AC67" i="48" s="1"/>
  <c r="Y67" i="48"/>
  <c r="W67" i="48"/>
  <c r="R67" i="48"/>
  <c r="T67" i="48" s="1"/>
  <c r="J67" i="48"/>
  <c r="I67" i="48"/>
  <c r="G67" i="48"/>
  <c r="H67" i="48" s="1"/>
  <c r="AW68" i="47"/>
  <c r="AW67" i="47"/>
  <c r="AR68" i="47"/>
  <c r="AR67" i="47"/>
  <c r="AM68" i="47"/>
  <c r="AM67" i="47"/>
  <c r="AH68" i="47"/>
  <c r="AH67" i="47"/>
  <c r="AC68" i="47"/>
  <c r="AC67" i="47"/>
  <c r="X68" i="47"/>
  <c r="X67" i="47"/>
  <c r="S68" i="47"/>
  <c r="S67" i="47"/>
  <c r="M68" i="47"/>
  <c r="M67" i="47"/>
  <c r="AV68" i="47"/>
  <c r="AQ68" i="47"/>
  <c r="AL68" i="47"/>
  <c r="AG68" i="47"/>
  <c r="AB68" i="47"/>
  <c r="W68" i="47"/>
  <c r="R68" i="47"/>
  <c r="K68" i="47"/>
  <c r="J68" i="47"/>
  <c r="I68" i="47"/>
  <c r="G68" i="47"/>
  <c r="AX67" i="47"/>
  <c r="AV67" i="47"/>
  <c r="AQ67" i="47"/>
  <c r="AS67" i="47" s="1"/>
  <c r="AN67" i="47"/>
  <c r="AL67" i="47"/>
  <c r="AG67" i="47"/>
  <c r="AB67" i="47"/>
  <c r="AD67" i="47" s="1"/>
  <c r="W67" i="47"/>
  <c r="Y67" i="47" s="1"/>
  <c r="R67" i="47"/>
  <c r="K67" i="47" s="1"/>
  <c r="J67" i="47"/>
  <c r="I67" i="47"/>
  <c r="G67" i="47"/>
  <c r="H67" i="47" s="1"/>
  <c r="AW68" i="46"/>
  <c r="AW67" i="46"/>
  <c r="AR68" i="46"/>
  <c r="AR67" i="46"/>
  <c r="AM68" i="46"/>
  <c r="AM67" i="46"/>
  <c r="AH68" i="46"/>
  <c r="AH67" i="46"/>
  <c r="AC68" i="46"/>
  <c r="AC67" i="46"/>
  <c r="X68" i="46"/>
  <c r="X67" i="46"/>
  <c r="S68" i="46"/>
  <c r="S67" i="46"/>
  <c r="M68" i="46"/>
  <c r="M67" i="46"/>
  <c r="AV68" i="46"/>
  <c r="AQ68" i="46"/>
  <c r="AL68" i="46"/>
  <c r="AG68" i="46"/>
  <c r="AB68" i="46"/>
  <c r="W68" i="46"/>
  <c r="R68" i="46"/>
  <c r="K68" i="46"/>
  <c r="J68" i="46"/>
  <c r="I68" i="46"/>
  <c r="G68" i="46"/>
  <c r="AX67" i="46"/>
  <c r="AV67" i="46"/>
  <c r="AQ67" i="46"/>
  <c r="AS67" i="46" s="1"/>
  <c r="AN67" i="46"/>
  <c r="AL67" i="46"/>
  <c r="AG67" i="46"/>
  <c r="AI67" i="46" s="1"/>
  <c r="AB67" i="46"/>
  <c r="W67" i="46"/>
  <c r="R67" i="46"/>
  <c r="K67" i="46" s="1"/>
  <c r="J67" i="46"/>
  <c r="I67" i="46"/>
  <c r="G67" i="46"/>
  <c r="H67" i="46" s="1"/>
  <c r="AW76" i="45"/>
  <c r="AW75" i="45"/>
  <c r="AW74" i="45"/>
  <c r="AW73" i="45"/>
  <c r="AW72" i="45"/>
  <c r="AW71" i="45"/>
  <c r="AW70" i="45"/>
  <c r="AW69" i="45"/>
  <c r="AW68" i="45"/>
  <c r="AW67" i="45"/>
  <c r="AR76" i="45"/>
  <c r="AR75" i="45"/>
  <c r="AR74" i="45"/>
  <c r="AR73" i="45"/>
  <c r="AR72" i="45"/>
  <c r="AR71" i="45"/>
  <c r="AR70" i="45"/>
  <c r="AR69" i="45"/>
  <c r="AR68" i="45"/>
  <c r="AR67" i="45"/>
  <c r="AM76" i="45"/>
  <c r="AM75" i="45"/>
  <c r="AM74" i="45"/>
  <c r="AM73" i="45"/>
  <c r="AM72" i="45"/>
  <c r="AM71" i="45"/>
  <c r="AM70" i="45"/>
  <c r="AM69" i="45"/>
  <c r="AM68" i="45"/>
  <c r="AM67" i="45"/>
  <c r="AC76" i="45"/>
  <c r="AC75" i="45"/>
  <c r="AC74" i="45"/>
  <c r="AC73" i="45"/>
  <c r="AC72" i="45"/>
  <c r="AC71" i="45"/>
  <c r="AC70" i="45"/>
  <c r="AC69" i="45"/>
  <c r="AC68" i="45"/>
  <c r="AC67" i="45"/>
  <c r="AH76" i="45"/>
  <c r="AH75" i="45"/>
  <c r="AH74" i="45"/>
  <c r="AH73" i="45"/>
  <c r="AH72" i="45"/>
  <c r="AH71" i="45"/>
  <c r="AH70" i="45"/>
  <c r="AH69" i="45"/>
  <c r="AH68" i="45"/>
  <c r="AH67" i="45"/>
  <c r="X76" i="45"/>
  <c r="X75" i="45"/>
  <c r="X74" i="45"/>
  <c r="X73" i="45"/>
  <c r="X72" i="45"/>
  <c r="X71" i="45"/>
  <c r="X70" i="45"/>
  <c r="X69" i="45"/>
  <c r="X68" i="45"/>
  <c r="X67" i="45"/>
  <c r="S68" i="45"/>
  <c r="S69" i="45"/>
  <c r="S70" i="45"/>
  <c r="S71" i="45"/>
  <c r="S72" i="45"/>
  <c r="S73" i="45"/>
  <c r="S74" i="45"/>
  <c r="S75" i="45"/>
  <c r="S76" i="45"/>
  <c r="S67" i="45"/>
  <c r="M68" i="45"/>
  <c r="M69" i="45"/>
  <c r="M70" i="45"/>
  <c r="M71" i="45"/>
  <c r="M72" i="45"/>
  <c r="M73" i="45"/>
  <c r="M74" i="45"/>
  <c r="M75" i="45"/>
  <c r="M76" i="45"/>
  <c r="M67" i="45"/>
  <c r="AV76" i="45"/>
  <c r="AQ76" i="45"/>
  <c r="AL76" i="45"/>
  <c r="AG76" i="45"/>
  <c r="AB76" i="45"/>
  <c r="W76" i="45"/>
  <c r="R76" i="45"/>
  <c r="K76" i="45"/>
  <c r="J76" i="45"/>
  <c r="I76" i="45"/>
  <c r="G76" i="45"/>
  <c r="AV75" i="45"/>
  <c r="AQ75" i="45"/>
  <c r="AL75" i="45"/>
  <c r="AG75" i="45"/>
  <c r="AB75" i="45"/>
  <c r="W75" i="45"/>
  <c r="R75" i="45"/>
  <c r="K75" i="45"/>
  <c r="J75" i="45"/>
  <c r="I75" i="45"/>
  <c r="G75" i="45"/>
  <c r="AV74" i="45"/>
  <c r="K74" i="45" s="1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K72" i="45" s="1"/>
  <c r="AL72" i="45"/>
  <c r="AG72" i="45"/>
  <c r="AB72" i="45"/>
  <c r="W72" i="45"/>
  <c r="R72" i="45"/>
  <c r="J72" i="45"/>
  <c r="I72" i="45"/>
  <c r="G72" i="45"/>
  <c r="AV71" i="45"/>
  <c r="AQ71" i="45"/>
  <c r="K71" i="45" s="1"/>
  <c r="AL71" i="45"/>
  <c r="AG71" i="45"/>
  <c r="AB71" i="45"/>
  <c r="W71" i="45"/>
  <c r="R71" i="45"/>
  <c r="J71" i="45"/>
  <c r="I71" i="45"/>
  <c r="G71" i="45"/>
  <c r="AV70" i="45"/>
  <c r="AQ70" i="45"/>
  <c r="AL70" i="45"/>
  <c r="K70" i="45" s="1"/>
  <c r="AG70" i="45"/>
  <c r="AB70" i="45"/>
  <c r="W70" i="45"/>
  <c r="R70" i="45"/>
  <c r="J70" i="45"/>
  <c r="I70" i="45"/>
  <c r="G70" i="45"/>
  <c r="AV69" i="45"/>
  <c r="AQ69" i="45"/>
  <c r="AL69" i="45"/>
  <c r="K69" i="45" s="1"/>
  <c r="AG69" i="45"/>
  <c r="AB69" i="45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V67" i="45"/>
  <c r="AQ67" i="45"/>
  <c r="AL67" i="45"/>
  <c r="AN67" i="45" s="1"/>
  <c r="AG67" i="45"/>
  <c r="AI67" i="45" s="1"/>
  <c r="AB67" i="45"/>
  <c r="AD67" i="45" s="1"/>
  <c r="W67" i="45"/>
  <c r="R67" i="45"/>
  <c r="T67" i="45" s="1"/>
  <c r="J67" i="45"/>
  <c r="I67" i="45"/>
  <c r="G67" i="45"/>
  <c r="H67" i="45" s="1"/>
  <c r="AW151" i="44"/>
  <c r="AW150" i="44"/>
  <c r="AW149" i="44"/>
  <c r="AW148" i="44"/>
  <c r="AW147" i="44"/>
  <c r="AW146" i="44"/>
  <c r="AW145" i="44"/>
  <c r="AW144" i="44"/>
  <c r="AW143" i="44"/>
  <c r="AW142" i="44"/>
  <c r="AW141" i="44"/>
  <c r="AW140" i="44"/>
  <c r="AW139" i="44"/>
  <c r="AW138" i="44"/>
  <c r="AW137" i="44"/>
  <c r="AW136" i="44"/>
  <c r="AW135" i="44"/>
  <c r="AW133" i="44"/>
  <c r="AW132" i="44"/>
  <c r="AW131" i="44"/>
  <c r="AW129" i="44"/>
  <c r="AW128" i="44"/>
  <c r="AW127" i="44"/>
  <c r="AW126" i="44"/>
  <c r="AW125" i="44"/>
  <c r="AW124" i="44"/>
  <c r="AW123" i="44"/>
  <c r="AW122" i="44"/>
  <c r="AW121" i="44"/>
  <c r="AR151" i="44"/>
  <c r="AR150" i="44"/>
  <c r="AR149" i="44"/>
  <c r="AR148" i="44"/>
  <c r="AR147" i="44"/>
  <c r="AR146" i="44"/>
  <c r="AR145" i="44"/>
  <c r="AR144" i="44"/>
  <c r="AR143" i="44"/>
  <c r="AR142" i="44"/>
  <c r="AR141" i="44"/>
  <c r="AR140" i="44"/>
  <c r="AR139" i="44"/>
  <c r="AR138" i="44"/>
  <c r="AR137" i="44"/>
  <c r="AR136" i="44"/>
  <c r="AR135" i="44"/>
  <c r="AR134" i="44"/>
  <c r="AR133" i="44"/>
  <c r="AR132" i="44"/>
  <c r="AR131" i="44"/>
  <c r="AR130" i="44"/>
  <c r="AR129" i="44"/>
  <c r="AR128" i="44"/>
  <c r="AR127" i="44"/>
  <c r="AR126" i="44"/>
  <c r="AR125" i="44"/>
  <c r="AR124" i="44"/>
  <c r="AR123" i="44"/>
  <c r="AR122" i="44"/>
  <c r="AR121" i="44"/>
  <c r="AM151" i="44"/>
  <c r="AM150" i="44"/>
  <c r="AM149" i="44"/>
  <c r="AM148" i="44"/>
  <c r="AM147" i="44"/>
  <c r="AM146" i="44"/>
  <c r="AM145" i="44"/>
  <c r="AM144" i="44"/>
  <c r="AM143" i="44"/>
  <c r="AM142" i="44"/>
  <c r="AM141" i="44"/>
  <c r="AM140" i="44"/>
  <c r="AM139" i="44"/>
  <c r="AM138" i="44"/>
  <c r="AM137" i="44"/>
  <c r="AM136" i="44"/>
  <c r="AM135" i="44"/>
  <c r="AM134" i="44"/>
  <c r="AM133" i="44"/>
  <c r="AM132" i="44"/>
  <c r="AM131" i="44"/>
  <c r="AM130" i="44"/>
  <c r="AM129" i="44"/>
  <c r="AM128" i="44"/>
  <c r="AM127" i="44"/>
  <c r="AM126" i="44"/>
  <c r="AM125" i="44"/>
  <c r="AM124" i="44"/>
  <c r="AM123" i="44"/>
  <c r="AM122" i="44"/>
  <c r="AM121" i="44"/>
  <c r="AH151" i="44"/>
  <c r="AH150" i="44"/>
  <c r="AH149" i="44"/>
  <c r="AH148" i="44"/>
  <c r="AH147" i="44"/>
  <c r="AH146" i="44"/>
  <c r="AH145" i="44"/>
  <c r="AH144" i="44"/>
  <c r="AH143" i="44"/>
  <c r="AH142" i="44"/>
  <c r="AH141" i="44"/>
  <c r="AH140" i="44"/>
  <c r="AH139" i="44"/>
  <c r="AH138" i="44"/>
  <c r="AH137" i="44"/>
  <c r="AH136" i="44"/>
  <c r="AH135" i="44"/>
  <c r="AH134" i="44"/>
  <c r="AH133" i="44"/>
  <c r="AH132" i="44"/>
  <c r="AH131" i="44"/>
  <c r="AH130" i="44"/>
  <c r="AH129" i="44"/>
  <c r="AH128" i="44"/>
  <c r="AH127" i="44"/>
  <c r="AH126" i="44"/>
  <c r="AH125" i="44"/>
  <c r="AH124" i="44"/>
  <c r="AH123" i="44"/>
  <c r="AH122" i="44"/>
  <c r="AH121" i="44"/>
  <c r="AC151" i="44"/>
  <c r="AC150" i="44"/>
  <c r="AC149" i="44"/>
  <c r="AC148" i="44"/>
  <c r="AC147" i="44"/>
  <c r="AC146" i="44"/>
  <c r="AC145" i="44"/>
  <c r="AC144" i="44"/>
  <c r="AC143" i="44"/>
  <c r="AC142" i="44"/>
  <c r="AC141" i="44"/>
  <c r="AC140" i="44"/>
  <c r="AC139" i="44"/>
  <c r="AC138" i="44"/>
  <c r="AC137" i="44"/>
  <c r="AC136" i="44"/>
  <c r="AC135" i="44"/>
  <c r="AC134" i="44"/>
  <c r="AC133" i="44"/>
  <c r="AC132" i="44"/>
  <c r="AC131" i="44"/>
  <c r="AC130" i="44"/>
  <c r="AC129" i="44"/>
  <c r="AC128" i="44"/>
  <c r="AC127" i="44"/>
  <c r="AC126" i="44"/>
  <c r="AC125" i="44"/>
  <c r="AC124" i="44"/>
  <c r="AC123" i="44"/>
  <c r="AC122" i="44"/>
  <c r="AC121" i="44"/>
  <c r="X151" i="44"/>
  <c r="X150" i="44"/>
  <c r="X149" i="44"/>
  <c r="X148" i="44"/>
  <c r="X147" i="44"/>
  <c r="X146" i="44"/>
  <c r="X145" i="44"/>
  <c r="X144" i="44"/>
  <c r="X143" i="44"/>
  <c r="X142" i="44"/>
  <c r="X141" i="44"/>
  <c r="X140" i="44"/>
  <c r="X139" i="44"/>
  <c r="X138" i="44"/>
  <c r="X137" i="44"/>
  <c r="X136" i="44"/>
  <c r="X135" i="44"/>
  <c r="X134" i="44"/>
  <c r="X133" i="44"/>
  <c r="X132" i="44"/>
  <c r="X131" i="44"/>
  <c r="X130" i="44"/>
  <c r="X129" i="44"/>
  <c r="X128" i="44"/>
  <c r="X127" i="44"/>
  <c r="X126" i="44"/>
  <c r="X125" i="44"/>
  <c r="X124" i="44"/>
  <c r="X123" i="44"/>
  <c r="X122" i="44"/>
  <c r="X121" i="44"/>
  <c r="S122" i="44"/>
  <c r="S123" i="44"/>
  <c r="S124" i="44"/>
  <c r="S125" i="44"/>
  <c r="S126" i="44"/>
  <c r="S127" i="44"/>
  <c r="S128" i="44"/>
  <c r="S129" i="44"/>
  <c r="S130" i="44"/>
  <c r="S131" i="44"/>
  <c r="S132" i="44"/>
  <c r="S133" i="44"/>
  <c r="S134" i="44"/>
  <c r="S135" i="44"/>
  <c r="S136" i="44"/>
  <c r="S137" i="44"/>
  <c r="S138" i="44"/>
  <c r="S139" i="44"/>
  <c r="S140" i="44"/>
  <c r="S141" i="44"/>
  <c r="S142" i="44"/>
  <c r="S143" i="44"/>
  <c r="S144" i="44"/>
  <c r="S145" i="44"/>
  <c r="S146" i="44"/>
  <c r="S147" i="44"/>
  <c r="S148" i="44"/>
  <c r="S149" i="44"/>
  <c r="S150" i="44"/>
  <c r="S151" i="44"/>
  <c r="S121" i="44"/>
  <c r="M122" i="44"/>
  <c r="M123" i="44"/>
  <c r="M124" i="44"/>
  <c r="M125" i="44"/>
  <c r="M126" i="44"/>
  <c r="M127" i="44"/>
  <c r="M128" i="44"/>
  <c r="M129" i="44"/>
  <c r="M130" i="44"/>
  <c r="M131" i="44"/>
  <c r="M132" i="44"/>
  <c r="M133" i="44"/>
  <c r="M134" i="44"/>
  <c r="M135" i="44"/>
  <c r="M136" i="44"/>
  <c r="M137" i="44"/>
  <c r="M138" i="44"/>
  <c r="M139" i="44"/>
  <c r="M140" i="44"/>
  <c r="M141" i="44"/>
  <c r="M142" i="44"/>
  <c r="M143" i="44"/>
  <c r="M144" i="44"/>
  <c r="M145" i="44"/>
  <c r="M146" i="44"/>
  <c r="M147" i="44"/>
  <c r="M148" i="44"/>
  <c r="M149" i="44"/>
  <c r="M150" i="44"/>
  <c r="M151" i="44"/>
  <c r="M121" i="44"/>
  <c r="AV151" i="44"/>
  <c r="AQ151" i="44"/>
  <c r="AL151" i="44"/>
  <c r="AG151" i="44"/>
  <c r="AB151" i="44"/>
  <c r="W151" i="44"/>
  <c r="R151" i="44"/>
  <c r="K151" i="44"/>
  <c r="J151" i="44"/>
  <c r="I151" i="44"/>
  <c r="G151" i="44"/>
  <c r="AV150" i="44"/>
  <c r="AQ150" i="44"/>
  <c r="AL150" i="44"/>
  <c r="AG150" i="44"/>
  <c r="AB150" i="44"/>
  <c r="W150" i="44"/>
  <c r="R150" i="44"/>
  <c r="K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K147" i="44" s="1"/>
  <c r="AL147" i="44"/>
  <c r="AG147" i="44"/>
  <c r="AB147" i="44"/>
  <c r="W147" i="44"/>
  <c r="R147" i="44"/>
  <c r="J147" i="44"/>
  <c r="I147" i="44"/>
  <c r="G147" i="44"/>
  <c r="AV146" i="44"/>
  <c r="AQ146" i="44"/>
  <c r="K146" i="44" s="1"/>
  <c r="AL146" i="44"/>
  <c r="AG146" i="44"/>
  <c r="AB146" i="44"/>
  <c r="W146" i="44"/>
  <c r="R146" i="44"/>
  <c r="J146" i="44"/>
  <c r="I146" i="44"/>
  <c r="G146" i="44"/>
  <c r="AV145" i="44"/>
  <c r="AQ145" i="44"/>
  <c r="AL145" i="44"/>
  <c r="AG145" i="44"/>
  <c r="AB145" i="44"/>
  <c r="W145" i="44"/>
  <c r="R145" i="44"/>
  <c r="J145" i="44"/>
  <c r="I145" i="44"/>
  <c r="G145" i="44"/>
  <c r="AV144" i="44"/>
  <c r="AQ144" i="44"/>
  <c r="AL144" i="44"/>
  <c r="AG144" i="44"/>
  <c r="AB144" i="44"/>
  <c r="W144" i="44"/>
  <c r="R144" i="44"/>
  <c r="J144" i="44"/>
  <c r="I144" i="44"/>
  <c r="G144" i="44"/>
  <c r="AV143" i="44"/>
  <c r="AQ143" i="44"/>
  <c r="AL143" i="44"/>
  <c r="AG143" i="44"/>
  <c r="K143" i="44" s="1"/>
  <c r="AB143" i="44"/>
  <c r="W143" i="44"/>
  <c r="R143" i="44"/>
  <c r="J143" i="44"/>
  <c r="I143" i="44"/>
  <c r="G143" i="44"/>
  <c r="AV142" i="44"/>
  <c r="AQ142" i="44"/>
  <c r="AL142" i="44"/>
  <c r="AG142" i="44"/>
  <c r="AB142" i="44"/>
  <c r="W142" i="44"/>
  <c r="R142" i="44"/>
  <c r="J142" i="44"/>
  <c r="I142" i="44"/>
  <c r="G142" i="44"/>
  <c r="AV141" i="44"/>
  <c r="AQ141" i="44"/>
  <c r="AL141" i="44"/>
  <c r="AG141" i="44"/>
  <c r="AB141" i="44"/>
  <c r="K141" i="44" s="1"/>
  <c r="W141" i="44"/>
  <c r="R141" i="44"/>
  <c r="J141" i="44"/>
  <c r="I141" i="44"/>
  <c r="G141" i="44"/>
  <c r="AV140" i="44"/>
  <c r="AQ140" i="44"/>
  <c r="AL140" i="44"/>
  <c r="AG140" i="44"/>
  <c r="AB140" i="44"/>
  <c r="W140" i="44"/>
  <c r="R140" i="44"/>
  <c r="J140" i="44"/>
  <c r="I140" i="44"/>
  <c r="G140" i="44"/>
  <c r="AV139" i="44"/>
  <c r="AQ139" i="44"/>
  <c r="AL139" i="44"/>
  <c r="AG139" i="44"/>
  <c r="AB139" i="44"/>
  <c r="W139" i="44"/>
  <c r="K139" i="44" s="1"/>
  <c r="R139" i="44"/>
  <c r="J139" i="44"/>
  <c r="I139" i="44"/>
  <c r="G139" i="44"/>
  <c r="AV138" i="44"/>
  <c r="AQ138" i="44"/>
  <c r="AL138" i="44"/>
  <c r="AG138" i="44"/>
  <c r="AB138" i="44"/>
  <c r="W138" i="44"/>
  <c r="R138" i="44"/>
  <c r="K138" i="44" s="1"/>
  <c r="J138" i="44"/>
  <c r="I138" i="44"/>
  <c r="G138" i="44"/>
  <c r="AV137" i="44"/>
  <c r="AQ137" i="44"/>
  <c r="AL137" i="44"/>
  <c r="AG137" i="44"/>
  <c r="AB137" i="44"/>
  <c r="W137" i="44"/>
  <c r="R137" i="44"/>
  <c r="K137" i="44" s="1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K135" i="44"/>
  <c r="J135" i="44"/>
  <c r="I135" i="44"/>
  <c r="G135" i="44"/>
  <c r="AQ134" i="44"/>
  <c r="AL134" i="44"/>
  <c r="AG134" i="44"/>
  <c r="AB134" i="44"/>
  <c r="W134" i="44"/>
  <c r="R134" i="44"/>
  <c r="K134" i="44"/>
  <c r="J134" i="44"/>
  <c r="I134" i="44"/>
  <c r="G134" i="44"/>
  <c r="AV133" i="44"/>
  <c r="AQ133" i="44"/>
  <c r="AL133" i="44"/>
  <c r="AG133" i="44"/>
  <c r="AB133" i="44"/>
  <c r="W133" i="44"/>
  <c r="R133" i="44"/>
  <c r="K133" i="44"/>
  <c r="J133" i="44"/>
  <c r="I133" i="44"/>
  <c r="G133" i="44"/>
  <c r="AV132" i="44"/>
  <c r="AQ132" i="44"/>
  <c r="AL132" i="44"/>
  <c r="AG132" i="44"/>
  <c r="AB132" i="44"/>
  <c r="W132" i="44"/>
  <c r="R132" i="44"/>
  <c r="K132" i="44"/>
  <c r="J132" i="44"/>
  <c r="I132" i="44"/>
  <c r="G132" i="44"/>
  <c r="AV131" i="44"/>
  <c r="K131" i="44" s="1"/>
  <c r="AQ131" i="44"/>
  <c r="AL131" i="44"/>
  <c r="AG131" i="44"/>
  <c r="AB131" i="44"/>
  <c r="W131" i="44"/>
  <c r="R131" i="44"/>
  <c r="J131" i="44"/>
  <c r="I131" i="44"/>
  <c r="G131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K129" i="44" s="1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K127" i="44" s="1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K125" i="44" s="1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K123" i="44" s="1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K121" i="44" s="1"/>
  <c r="AB121" i="44"/>
  <c r="W121" i="44"/>
  <c r="R121" i="44"/>
  <c r="J121" i="44"/>
  <c r="I121" i="44"/>
  <c r="G121" i="44"/>
  <c r="H121" i="44" s="1"/>
  <c r="B28" i="6"/>
  <c r="AC34" i="6"/>
  <c r="AD34" i="6" s="1"/>
  <c r="S34" i="6"/>
  <c r="T34" i="6" s="1"/>
  <c r="M34" i="6"/>
  <c r="N34" i="6" s="1"/>
  <c r="F34" i="6"/>
  <c r="AL34" i="6" s="1"/>
  <c r="AC33" i="6"/>
  <c r="AD33" i="6" s="1"/>
  <c r="S33" i="6"/>
  <c r="T33" i="6" s="1"/>
  <c r="M33" i="6"/>
  <c r="N33" i="6" s="1"/>
  <c r="F33" i="6"/>
  <c r="AL33" i="6" s="1"/>
  <c r="AC32" i="6"/>
  <c r="AD32" i="6" s="1"/>
  <c r="S32" i="6"/>
  <c r="T32" i="6" s="1"/>
  <c r="M32" i="6"/>
  <c r="N32" i="6" s="1"/>
  <c r="F32" i="6"/>
  <c r="AL32" i="6" s="1"/>
  <c r="AC31" i="6"/>
  <c r="AD31" i="6" s="1"/>
  <c r="S31" i="6"/>
  <c r="T31" i="6" s="1"/>
  <c r="M31" i="6"/>
  <c r="N31" i="6" s="1"/>
  <c r="F31" i="6"/>
  <c r="AL31" i="6" s="1"/>
  <c r="AC30" i="6"/>
  <c r="AD30" i="6" s="1"/>
  <c r="S30" i="6"/>
  <c r="T30" i="6" s="1"/>
  <c r="M30" i="6"/>
  <c r="N30" i="6" s="1"/>
  <c r="F30" i="6"/>
  <c r="AL30" i="6" s="1"/>
  <c r="AC29" i="6"/>
  <c r="AD29" i="6" s="1"/>
  <c r="S29" i="6"/>
  <c r="T29" i="6" s="1"/>
  <c r="M29" i="6"/>
  <c r="N29" i="6" s="1"/>
  <c r="F29" i="6"/>
  <c r="AL29" i="6" s="1"/>
  <c r="AC28" i="6"/>
  <c r="AD28" i="6" s="1"/>
  <c r="S28" i="6"/>
  <c r="T28" i="6" s="1"/>
  <c r="M28" i="6"/>
  <c r="N28" i="6" s="1"/>
  <c r="F28" i="6"/>
  <c r="AL28" i="6" s="1"/>
  <c r="B28" i="7"/>
  <c r="AC34" i="7"/>
  <c r="AD34" i="7" s="1"/>
  <c r="S34" i="7"/>
  <c r="T34" i="7" s="1"/>
  <c r="M34" i="7"/>
  <c r="N34" i="7" s="1"/>
  <c r="F34" i="7"/>
  <c r="AL34" i="7" s="1"/>
  <c r="AC33" i="7"/>
  <c r="AD33" i="7" s="1"/>
  <c r="S33" i="7"/>
  <c r="T33" i="7" s="1"/>
  <c r="M33" i="7"/>
  <c r="N33" i="7" s="1"/>
  <c r="F33" i="7"/>
  <c r="AL33" i="7" s="1"/>
  <c r="AC32" i="7"/>
  <c r="AD32" i="7" s="1"/>
  <c r="S32" i="7"/>
  <c r="T32" i="7" s="1"/>
  <c r="M32" i="7"/>
  <c r="N32" i="7" s="1"/>
  <c r="F32" i="7"/>
  <c r="AL32" i="7" s="1"/>
  <c r="AC31" i="7"/>
  <c r="AD31" i="7" s="1"/>
  <c r="S31" i="7"/>
  <c r="T31" i="7" s="1"/>
  <c r="M31" i="7"/>
  <c r="N31" i="7" s="1"/>
  <c r="F31" i="7"/>
  <c r="AL31" i="7" s="1"/>
  <c r="AC30" i="7"/>
  <c r="AD30" i="7" s="1"/>
  <c r="S30" i="7"/>
  <c r="T30" i="7" s="1"/>
  <c r="M30" i="7"/>
  <c r="N30" i="7" s="1"/>
  <c r="F30" i="7"/>
  <c r="AL30" i="7" s="1"/>
  <c r="AC29" i="7"/>
  <c r="AD29" i="7" s="1"/>
  <c r="S29" i="7"/>
  <c r="T29" i="7" s="1"/>
  <c r="M29" i="7"/>
  <c r="N29" i="7" s="1"/>
  <c r="F29" i="7"/>
  <c r="AL29" i="7" s="1"/>
  <c r="AC28" i="7"/>
  <c r="AD28" i="7" s="1"/>
  <c r="S28" i="7"/>
  <c r="T28" i="7" s="1"/>
  <c r="M28" i="7"/>
  <c r="N28" i="7" s="1"/>
  <c r="F28" i="7"/>
  <c r="AL28" i="7" s="1"/>
  <c r="U27" i="5"/>
  <c r="U28" i="5"/>
  <c r="U29" i="5"/>
  <c r="U30" i="5"/>
  <c r="U31" i="5"/>
  <c r="U32" i="5"/>
  <c r="U26" i="5"/>
  <c r="AN67" i="52" l="1"/>
  <c r="AD67" i="52"/>
  <c r="K67" i="52"/>
  <c r="K67" i="49"/>
  <c r="AD67" i="49"/>
  <c r="AX67" i="49"/>
  <c r="Y67" i="49"/>
  <c r="AN67" i="48"/>
  <c r="K73" i="48"/>
  <c r="K71" i="48"/>
  <c r="K70" i="48"/>
  <c r="K69" i="48"/>
  <c r="K68" i="48"/>
  <c r="K67" i="48"/>
  <c r="AD67" i="48"/>
  <c r="AH67" i="48"/>
  <c r="L67" i="47"/>
  <c r="T67" i="47"/>
  <c r="AI67" i="47"/>
  <c r="L67" i="46"/>
  <c r="Y67" i="46"/>
  <c r="AD67" i="46"/>
  <c r="T67" i="46"/>
  <c r="K73" i="45"/>
  <c r="AX67" i="45"/>
  <c r="Y67" i="45"/>
  <c r="K67" i="45"/>
  <c r="AS67" i="45"/>
  <c r="K68" i="45"/>
  <c r="K130" i="44"/>
  <c r="T121" i="44"/>
  <c r="K126" i="44"/>
  <c r="AN121" i="44"/>
  <c r="AS121" i="44"/>
  <c r="AX121" i="44"/>
  <c r="K136" i="44"/>
  <c r="K124" i="44"/>
  <c r="K145" i="44"/>
  <c r="K140" i="44"/>
  <c r="AD121" i="44"/>
  <c r="Y121" i="44"/>
  <c r="K142" i="44"/>
  <c r="K128" i="44"/>
  <c r="K149" i="44"/>
  <c r="K122" i="44"/>
  <c r="K148" i="44"/>
  <c r="K144" i="44"/>
  <c r="AI121" i="44"/>
  <c r="J30" i="6"/>
  <c r="J34" i="6"/>
  <c r="L30" i="6"/>
  <c r="L32" i="6"/>
  <c r="P29" i="6"/>
  <c r="P34" i="6"/>
  <c r="R30" i="6"/>
  <c r="R32" i="6"/>
  <c r="V31" i="6"/>
  <c r="Z32" i="6"/>
  <c r="J29" i="6"/>
  <c r="J32" i="6"/>
  <c r="L31" i="6"/>
  <c r="P28" i="6"/>
  <c r="P31" i="6"/>
  <c r="R31" i="6"/>
  <c r="V32" i="6"/>
  <c r="AH34" i="6"/>
  <c r="G28" i="6"/>
  <c r="J28" i="6"/>
  <c r="J33" i="6"/>
  <c r="L29" i="6"/>
  <c r="L33" i="6"/>
  <c r="P32" i="6"/>
  <c r="R28" i="6"/>
  <c r="R34" i="6"/>
  <c r="V29" i="6"/>
  <c r="V34" i="6"/>
  <c r="X29" i="6"/>
  <c r="X31" i="6"/>
  <c r="X32" i="6"/>
  <c r="X33" i="6"/>
  <c r="Z28" i="6"/>
  <c r="Z30" i="6"/>
  <c r="Z34" i="6"/>
  <c r="AB29" i="6"/>
  <c r="AB32" i="6"/>
  <c r="AB33" i="6"/>
  <c r="AF30" i="6"/>
  <c r="AF32" i="6"/>
  <c r="AF33" i="6"/>
  <c r="AH28" i="6"/>
  <c r="AH30" i="6"/>
  <c r="AH32" i="6"/>
  <c r="AJ28" i="6"/>
  <c r="AJ29" i="6"/>
  <c r="AJ30" i="6"/>
  <c r="AJ31" i="6"/>
  <c r="AJ32" i="6"/>
  <c r="AJ33" i="6"/>
  <c r="AJ34" i="6"/>
  <c r="J31" i="6"/>
  <c r="L28" i="6"/>
  <c r="L34" i="6"/>
  <c r="P30" i="6"/>
  <c r="P33" i="6"/>
  <c r="R29" i="6"/>
  <c r="R33" i="6"/>
  <c r="V28" i="6"/>
  <c r="V30" i="6"/>
  <c r="V33" i="6"/>
  <c r="X28" i="6"/>
  <c r="X30" i="6"/>
  <c r="X34" i="6"/>
  <c r="Z29" i="6"/>
  <c r="Z31" i="6"/>
  <c r="Z33" i="6"/>
  <c r="AB28" i="6"/>
  <c r="AB30" i="6"/>
  <c r="AB31" i="6"/>
  <c r="AB34" i="6"/>
  <c r="AF28" i="6"/>
  <c r="AF29" i="6"/>
  <c r="AF31" i="6"/>
  <c r="AF34" i="6"/>
  <c r="AH29" i="6"/>
  <c r="AH31" i="6"/>
  <c r="AH33" i="6"/>
  <c r="J31" i="7"/>
  <c r="P33" i="7"/>
  <c r="L30" i="7"/>
  <c r="R30" i="7"/>
  <c r="X28" i="7"/>
  <c r="Z33" i="7"/>
  <c r="J34" i="7"/>
  <c r="L31" i="7"/>
  <c r="P32" i="7"/>
  <c r="R29" i="7"/>
  <c r="V34" i="7"/>
  <c r="X30" i="7"/>
  <c r="X34" i="7"/>
  <c r="Z28" i="7"/>
  <c r="Z32" i="7"/>
  <c r="AB32" i="7"/>
  <c r="AF28" i="7"/>
  <c r="AF29" i="7"/>
  <c r="AF30" i="7"/>
  <c r="AF31" i="7"/>
  <c r="AF32" i="7"/>
  <c r="AF33" i="7"/>
  <c r="AF34" i="7"/>
  <c r="G28" i="7"/>
  <c r="J28" i="7"/>
  <c r="J32" i="7"/>
  <c r="L28" i="7"/>
  <c r="L34" i="7"/>
  <c r="P28" i="7"/>
  <c r="P31" i="7"/>
  <c r="R33" i="7"/>
  <c r="V30" i="7"/>
  <c r="V33" i="7"/>
  <c r="X31" i="7"/>
  <c r="Z30" i="7"/>
  <c r="AB33" i="7"/>
  <c r="AH28" i="7"/>
  <c r="AH29" i="7"/>
  <c r="AH30" i="7"/>
  <c r="AH31" i="7"/>
  <c r="AH32" i="7"/>
  <c r="AH33" i="7"/>
  <c r="AH34" i="7"/>
  <c r="J30" i="7"/>
  <c r="L29" i="7"/>
  <c r="L33" i="7"/>
  <c r="P30" i="7"/>
  <c r="R31" i="7"/>
  <c r="V28" i="7"/>
  <c r="V31" i="7"/>
  <c r="X29" i="7"/>
  <c r="X33" i="7"/>
  <c r="Z31" i="7"/>
  <c r="AB31" i="7"/>
  <c r="AJ28" i="7"/>
  <c r="AJ29" i="7"/>
  <c r="AJ30" i="7"/>
  <c r="AJ31" i="7"/>
  <c r="AJ32" i="7"/>
  <c r="AJ33" i="7"/>
  <c r="AJ34" i="7"/>
  <c r="J29" i="7"/>
  <c r="J33" i="7"/>
  <c r="L32" i="7"/>
  <c r="P29" i="7"/>
  <c r="P34" i="7"/>
  <c r="R28" i="7"/>
  <c r="R32" i="7"/>
  <c r="R34" i="7"/>
  <c r="V29" i="7"/>
  <c r="V32" i="7"/>
  <c r="X32" i="7"/>
  <c r="Z29" i="7"/>
  <c r="Z34" i="7"/>
  <c r="AB28" i="7"/>
  <c r="AB29" i="7"/>
  <c r="AB30" i="7"/>
  <c r="AB34" i="7"/>
  <c r="L67" i="52" l="1"/>
  <c r="L67" i="49"/>
  <c r="L67" i="48"/>
  <c r="L67" i="45"/>
  <c r="L121" i="44"/>
  <c r="L30" i="56" l="1"/>
  <c r="L31" i="56"/>
  <c r="J30" i="56"/>
  <c r="J31" i="56"/>
  <c r="H30" i="56"/>
  <c r="H31" i="56"/>
  <c r="F30" i="56"/>
  <c r="F31" i="56"/>
  <c r="D30" i="56"/>
  <c r="D31" i="56"/>
  <c r="D28" i="39" l="1"/>
  <c r="P116" i="44"/>
  <c r="U116" i="44" s="1"/>
  <c r="U117" i="44" l="1"/>
  <c r="Z116" i="44"/>
  <c r="AE116" i="44" l="1"/>
  <c r="Z117" i="44"/>
  <c r="AJ116" i="44" l="1"/>
  <c r="AE117" i="44"/>
  <c r="L23" i="56"/>
  <c r="L24" i="56"/>
  <c r="L25" i="56"/>
  <c r="L26" i="56"/>
  <c r="L27" i="56"/>
  <c r="L28" i="56"/>
  <c r="L29" i="56"/>
  <c r="J23" i="56"/>
  <c r="J24" i="56"/>
  <c r="J25" i="56"/>
  <c r="J26" i="56"/>
  <c r="J27" i="56"/>
  <c r="J28" i="56"/>
  <c r="J29" i="56"/>
  <c r="H23" i="56"/>
  <c r="H24" i="56"/>
  <c r="H25" i="56"/>
  <c r="H26" i="56"/>
  <c r="H27" i="56"/>
  <c r="H28" i="56"/>
  <c r="H29" i="56"/>
  <c r="F23" i="56"/>
  <c r="F24" i="56"/>
  <c r="F25" i="56"/>
  <c r="F26" i="56"/>
  <c r="F27" i="56"/>
  <c r="F28" i="56"/>
  <c r="F29" i="56"/>
  <c r="D23" i="56"/>
  <c r="D24" i="56"/>
  <c r="D25" i="56"/>
  <c r="D26" i="56"/>
  <c r="D27" i="56"/>
  <c r="D28" i="56"/>
  <c r="D29" i="56"/>
  <c r="M113" i="62"/>
  <c r="M112" i="62"/>
  <c r="M111" i="62"/>
  <c r="M110" i="62"/>
  <c r="M109" i="62"/>
  <c r="M105" i="62"/>
  <c r="M104" i="62"/>
  <c r="M103" i="62"/>
  <c r="M102" i="62"/>
  <c r="M101" i="62"/>
  <c r="M106" i="62" s="1"/>
  <c r="M97" i="62"/>
  <c r="M96" i="62"/>
  <c r="M95" i="62"/>
  <c r="M94" i="62"/>
  <c r="M93" i="62"/>
  <c r="M98" i="62" s="1"/>
  <c r="M143" i="20"/>
  <c r="M142" i="20"/>
  <c r="M141" i="20"/>
  <c r="M146" i="20" s="1"/>
  <c r="M133" i="20"/>
  <c r="M138" i="20" s="1"/>
  <c r="M129" i="20"/>
  <c r="M128" i="20"/>
  <c r="M127" i="20"/>
  <c r="M126" i="20"/>
  <c r="M130" i="20"/>
  <c r="M121" i="20"/>
  <c r="M120" i="20"/>
  <c r="M119" i="20"/>
  <c r="M118" i="20"/>
  <c r="M117" i="20"/>
  <c r="M122" i="20" s="1"/>
  <c r="M113" i="19"/>
  <c r="M112" i="19"/>
  <c r="M111" i="19"/>
  <c r="M110" i="19"/>
  <c r="M109" i="19"/>
  <c r="M114" i="19" s="1"/>
  <c r="K114" i="19" s="1"/>
  <c r="M105" i="19"/>
  <c r="M104" i="19"/>
  <c r="M103" i="19"/>
  <c r="M102" i="19"/>
  <c r="M101" i="19"/>
  <c r="M106" i="19" s="1"/>
  <c r="M97" i="19"/>
  <c r="M96" i="19"/>
  <c r="M95" i="19"/>
  <c r="M94" i="19"/>
  <c r="M93" i="19"/>
  <c r="M114" i="62" l="1"/>
  <c r="M98" i="19"/>
  <c r="AJ117" i="44"/>
  <c r="AO116" i="44"/>
  <c r="J86" i="25"/>
  <c r="B86" i="25"/>
  <c r="A86" i="25"/>
  <c r="J98" i="22"/>
  <c r="J87" i="22"/>
  <c r="AT116" i="44" l="1"/>
  <c r="AT117" i="44" s="1"/>
  <c r="AO117" i="44"/>
  <c r="C32" i="41" l="1"/>
  <c r="C31" i="41"/>
  <c r="J72" i="22"/>
  <c r="J71" i="22"/>
  <c r="J61" i="22"/>
  <c r="J60" i="22"/>
  <c r="J78" i="23"/>
  <c r="J77" i="23"/>
  <c r="J76" i="23"/>
  <c r="J74" i="23"/>
  <c r="J73" i="23"/>
  <c r="J72" i="23"/>
  <c r="J71" i="23"/>
  <c r="J75" i="23"/>
  <c r="J68" i="23"/>
  <c r="J67" i="23"/>
  <c r="J66" i="23"/>
  <c r="J65" i="23"/>
  <c r="J64" i="23"/>
  <c r="J63" i="23"/>
  <c r="J62" i="23"/>
  <c r="J61" i="23"/>
  <c r="J60" i="23"/>
  <c r="J60" i="25"/>
  <c r="B60" i="25"/>
  <c r="A60" i="25"/>
  <c r="J79" i="15"/>
  <c r="J78" i="15"/>
  <c r="J77" i="15"/>
  <c r="J76" i="15"/>
  <c r="J75" i="15"/>
  <c r="J74" i="15"/>
  <c r="J73" i="15"/>
  <c r="J72" i="15"/>
  <c r="J71" i="15"/>
  <c r="J69" i="15"/>
  <c r="J68" i="15"/>
  <c r="J67" i="15"/>
  <c r="J66" i="15"/>
  <c r="J64" i="15"/>
  <c r="J63" i="15"/>
  <c r="J62" i="15"/>
  <c r="J61" i="15"/>
  <c r="AW47" i="52"/>
  <c r="AR47" i="52"/>
  <c r="AM47" i="52"/>
  <c r="AH47" i="52"/>
  <c r="AC47" i="52"/>
  <c r="X47" i="52"/>
  <c r="S47" i="52"/>
  <c r="M47" i="52"/>
  <c r="AV47" i="52"/>
  <c r="AX47" i="52" s="1"/>
  <c r="AQ47" i="52"/>
  <c r="AS47" i="52" s="1"/>
  <c r="AN47" i="52"/>
  <c r="AL47" i="52"/>
  <c r="AG47" i="52"/>
  <c r="AI47" i="52" s="1"/>
  <c r="AB47" i="52"/>
  <c r="AD47" i="52" s="1"/>
  <c r="W47" i="52"/>
  <c r="T47" i="52"/>
  <c r="R47" i="52"/>
  <c r="J47" i="52"/>
  <c r="I47" i="52"/>
  <c r="H47" i="52"/>
  <c r="G47" i="52"/>
  <c r="AW53" i="49"/>
  <c r="AW52" i="49"/>
  <c r="AW51" i="49"/>
  <c r="AW50" i="49"/>
  <c r="AW49" i="49"/>
  <c r="AW48" i="49"/>
  <c r="AW47" i="49"/>
  <c r="AR53" i="49"/>
  <c r="AR52" i="49"/>
  <c r="AR51" i="49"/>
  <c r="AR50" i="49"/>
  <c r="AR49" i="49"/>
  <c r="AR48" i="49"/>
  <c r="AR47" i="49"/>
  <c r="AM54" i="49"/>
  <c r="AM53" i="49"/>
  <c r="AM52" i="49"/>
  <c r="AM51" i="49"/>
  <c r="AM50" i="49"/>
  <c r="AM49" i="49"/>
  <c r="AM48" i="49"/>
  <c r="AM47" i="49"/>
  <c r="AH54" i="49"/>
  <c r="AH53" i="49"/>
  <c r="AH52" i="49"/>
  <c r="AH51" i="49"/>
  <c r="AH50" i="49"/>
  <c r="AH49" i="49"/>
  <c r="AH48" i="49"/>
  <c r="AH47" i="49"/>
  <c r="AC54" i="49"/>
  <c r="AC53" i="49"/>
  <c r="AC52" i="49"/>
  <c r="AC51" i="49"/>
  <c r="AC50" i="49"/>
  <c r="AC49" i="49"/>
  <c r="AC48" i="49"/>
  <c r="AC47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47" i="49"/>
  <c r="M48" i="49"/>
  <c r="M49" i="49"/>
  <c r="M50" i="49"/>
  <c r="M51" i="49"/>
  <c r="M52" i="49"/>
  <c r="M53" i="49"/>
  <c r="M54" i="49"/>
  <c r="M47" i="49"/>
  <c r="AL54" i="49"/>
  <c r="AG54" i="49"/>
  <c r="AB54" i="49"/>
  <c r="W54" i="49"/>
  <c r="R54" i="49"/>
  <c r="K54" i="49"/>
  <c r="J54" i="49"/>
  <c r="I54" i="49"/>
  <c r="G54" i="49"/>
  <c r="AV53" i="49"/>
  <c r="AQ53" i="49"/>
  <c r="K53" i="49" s="1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AG48" i="49"/>
  <c r="AB48" i="49"/>
  <c r="W48" i="49"/>
  <c r="R48" i="49"/>
  <c r="J48" i="49"/>
  <c r="I48" i="49"/>
  <c r="G48" i="49"/>
  <c r="AV47" i="49"/>
  <c r="AX47" i="49" s="1"/>
  <c r="AQ47" i="49"/>
  <c r="AL47" i="49"/>
  <c r="K47" i="49" s="1"/>
  <c r="AG47" i="49"/>
  <c r="AB47" i="49"/>
  <c r="AD47" i="49" s="1"/>
  <c r="Y47" i="49"/>
  <c r="W47" i="49"/>
  <c r="R47" i="49"/>
  <c r="J47" i="49"/>
  <c r="I47" i="49"/>
  <c r="G47" i="49"/>
  <c r="H47" i="49" s="1"/>
  <c r="AW55" i="48"/>
  <c r="AW54" i="48"/>
  <c r="AW53" i="48"/>
  <c r="AW52" i="48"/>
  <c r="AW51" i="48"/>
  <c r="AW50" i="48"/>
  <c r="AW49" i="48"/>
  <c r="AW48" i="48"/>
  <c r="AW47" i="48"/>
  <c r="AR55" i="48"/>
  <c r="AR54" i="48"/>
  <c r="AR53" i="48"/>
  <c r="AR52" i="48"/>
  <c r="AR51" i="48"/>
  <c r="AR50" i="48"/>
  <c r="AR49" i="48"/>
  <c r="AR48" i="48"/>
  <c r="AR47" i="48"/>
  <c r="AM55" i="48"/>
  <c r="AM54" i="48"/>
  <c r="AM53" i="48"/>
  <c r="AM52" i="48"/>
  <c r="AM51" i="48"/>
  <c r="AM50" i="48"/>
  <c r="AM49" i="48"/>
  <c r="AM48" i="48"/>
  <c r="AM47" i="48"/>
  <c r="AH55" i="48"/>
  <c r="AH54" i="48"/>
  <c r="AH53" i="48"/>
  <c r="AH52" i="48"/>
  <c r="AH51" i="48"/>
  <c r="AH50" i="48"/>
  <c r="AH49" i="48"/>
  <c r="AH48" i="48"/>
  <c r="AH47" i="48"/>
  <c r="AC55" i="48"/>
  <c r="AC54" i="48"/>
  <c r="AC53" i="48"/>
  <c r="AC52" i="48"/>
  <c r="AC51" i="48"/>
  <c r="AC50" i="48"/>
  <c r="AC49" i="48"/>
  <c r="AC48" i="48"/>
  <c r="AC47" i="48"/>
  <c r="X55" i="48"/>
  <c r="X54" i="48"/>
  <c r="X53" i="48"/>
  <c r="X52" i="48"/>
  <c r="X51" i="48"/>
  <c r="X50" i="48"/>
  <c r="X49" i="48"/>
  <c r="X48" i="48"/>
  <c r="X47" i="48"/>
  <c r="S48" i="48"/>
  <c r="S49" i="48"/>
  <c r="S50" i="48"/>
  <c r="S51" i="48"/>
  <c r="S52" i="48"/>
  <c r="S53" i="48"/>
  <c r="S54" i="48"/>
  <c r="S55" i="48"/>
  <c r="S47" i="48"/>
  <c r="M48" i="48"/>
  <c r="M49" i="48"/>
  <c r="M50" i="48"/>
  <c r="M51" i="48"/>
  <c r="M52" i="48"/>
  <c r="M53" i="48"/>
  <c r="M54" i="48"/>
  <c r="M55" i="48"/>
  <c r="M47" i="48"/>
  <c r="AV55" i="48"/>
  <c r="AQ55" i="48"/>
  <c r="AL55" i="48"/>
  <c r="AG55" i="48"/>
  <c r="AB55" i="48"/>
  <c r="W55" i="48"/>
  <c r="R55" i="48"/>
  <c r="K55" i="48"/>
  <c r="J55" i="48"/>
  <c r="I55" i="48"/>
  <c r="G55" i="48"/>
  <c r="AV54" i="48"/>
  <c r="AQ54" i="48"/>
  <c r="AL54" i="48"/>
  <c r="AG54" i="48"/>
  <c r="AB54" i="48"/>
  <c r="W54" i="48"/>
  <c r="R54" i="48"/>
  <c r="K54" i="48"/>
  <c r="J54" i="48"/>
  <c r="I54" i="48"/>
  <c r="G54" i="48"/>
  <c r="AV53" i="48"/>
  <c r="K53" i="48" s="1"/>
  <c r="AQ53" i="48"/>
  <c r="AL53" i="48"/>
  <c r="AG53" i="48"/>
  <c r="AB53" i="48"/>
  <c r="W53" i="48"/>
  <c r="R53" i="48"/>
  <c r="J53" i="48"/>
  <c r="I53" i="48"/>
  <c r="G53" i="48"/>
  <c r="AV52" i="48"/>
  <c r="K52" i="48" s="1"/>
  <c r="AQ52" i="48"/>
  <c r="AL52" i="48"/>
  <c r="AG52" i="48"/>
  <c r="AB52" i="48"/>
  <c r="W52" i="48"/>
  <c r="R52" i="48"/>
  <c r="J52" i="48"/>
  <c r="I52" i="48"/>
  <c r="G52" i="48"/>
  <c r="AV51" i="48"/>
  <c r="AQ51" i="48"/>
  <c r="K51" i="48" s="1"/>
  <c r="AL51" i="48"/>
  <c r="AG51" i="48"/>
  <c r="AB51" i="48"/>
  <c r="W51" i="48"/>
  <c r="R51" i="48"/>
  <c r="J51" i="48"/>
  <c r="I51" i="48"/>
  <c r="G51" i="48"/>
  <c r="AV50" i="48"/>
  <c r="AQ50" i="48"/>
  <c r="K50" i="48" s="1"/>
  <c r="AL50" i="48"/>
  <c r="AG50" i="48"/>
  <c r="AB50" i="48"/>
  <c r="W50" i="48"/>
  <c r="R50" i="48"/>
  <c r="J50" i="48"/>
  <c r="I50" i="48"/>
  <c r="G50" i="48"/>
  <c r="AV49" i="48"/>
  <c r="AQ49" i="48"/>
  <c r="AL49" i="48"/>
  <c r="K49" i="48" s="1"/>
  <c r="AG49" i="48"/>
  <c r="AB49" i="48"/>
  <c r="W49" i="48"/>
  <c r="R49" i="48"/>
  <c r="J49" i="48"/>
  <c r="I49" i="48"/>
  <c r="G49" i="48"/>
  <c r="AV48" i="48"/>
  <c r="AQ48" i="48"/>
  <c r="AL48" i="48"/>
  <c r="K48" i="48" s="1"/>
  <c r="AG48" i="48"/>
  <c r="AB48" i="48"/>
  <c r="W48" i="48"/>
  <c r="R48" i="48"/>
  <c r="J48" i="48"/>
  <c r="I48" i="48"/>
  <c r="G48" i="48"/>
  <c r="AV47" i="48"/>
  <c r="AX47" i="48" s="1"/>
  <c r="AQ47" i="48"/>
  <c r="AL47" i="48"/>
  <c r="AG47" i="48"/>
  <c r="AI47" i="48" s="1"/>
  <c r="AB47" i="48"/>
  <c r="AD47" i="48" s="1"/>
  <c r="W47" i="48"/>
  <c r="Y47" i="48" s="1"/>
  <c r="R47" i="48"/>
  <c r="T47" i="48" s="1"/>
  <c r="J47" i="48"/>
  <c r="I47" i="48"/>
  <c r="G47" i="48"/>
  <c r="H47" i="48" s="1"/>
  <c r="AW48" i="47"/>
  <c r="AW47" i="47"/>
  <c r="AR48" i="47"/>
  <c r="AR47" i="47"/>
  <c r="AM48" i="47"/>
  <c r="AM47" i="47"/>
  <c r="AH48" i="47"/>
  <c r="AH47" i="47"/>
  <c r="AC48" i="47"/>
  <c r="AC47" i="47"/>
  <c r="X48" i="47"/>
  <c r="X47" i="47"/>
  <c r="S48" i="47"/>
  <c r="S47" i="47"/>
  <c r="M48" i="47"/>
  <c r="M47" i="47"/>
  <c r="AV48" i="47"/>
  <c r="AQ48" i="47"/>
  <c r="AL48" i="47"/>
  <c r="AG48" i="47"/>
  <c r="AB48" i="47"/>
  <c r="W48" i="47"/>
  <c r="R48" i="47"/>
  <c r="K48" i="47"/>
  <c r="J48" i="47"/>
  <c r="I48" i="47"/>
  <c r="G48" i="47"/>
  <c r="AX47" i="47"/>
  <c r="AV47" i="47"/>
  <c r="AQ47" i="47"/>
  <c r="AS47" i="47" s="1"/>
  <c r="AL47" i="47"/>
  <c r="AI47" i="47"/>
  <c r="AG47" i="47"/>
  <c r="AB47" i="47"/>
  <c r="W47" i="47"/>
  <c r="Y47" i="47" s="1"/>
  <c r="R47" i="47"/>
  <c r="K47" i="47" s="1"/>
  <c r="J47" i="47"/>
  <c r="I47" i="47"/>
  <c r="G47" i="47"/>
  <c r="H47" i="47" s="1"/>
  <c r="AW48" i="46"/>
  <c r="AW47" i="46"/>
  <c r="AR48" i="46"/>
  <c r="AR47" i="46"/>
  <c r="AM48" i="46"/>
  <c r="AM47" i="46"/>
  <c r="AH48" i="46"/>
  <c r="AH47" i="46"/>
  <c r="AC48" i="46"/>
  <c r="AC47" i="46"/>
  <c r="X48" i="46"/>
  <c r="X47" i="46"/>
  <c r="S48" i="46"/>
  <c r="S47" i="46"/>
  <c r="M48" i="46"/>
  <c r="M47" i="46"/>
  <c r="AV48" i="46"/>
  <c r="AQ48" i="46"/>
  <c r="AL48" i="46"/>
  <c r="AG48" i="46"/>
  <c r="AB48" i="46"/>
  <c r="W48" i="46"/>
  <c r="R48" i="46"/>
  <c r="K48" i="46"/>
  <c r="J48" i="46"/>
  <c r="I48" i="46"/>
  <c r="G48" i="46"/>
  <c r="AX47" i="46"/>
  <c r="AV47" i="46"/>
  <c r="AQ47" i="46"/>
  <c r="AS47" i="46" s="1"/>
  <c r="AN47" i="46"/>
  <c r="AL47" i="46"/>
  <c r="AG47" i="46"/>
  <c r="AI47" i="46" s="1"/>
  <c r="AB47" i="46"/>
  <c r="AD47" i="46" s="1"/>
  <c r="W47" i="46"/>
  <c r="Y47" i="46" s="1"/>
  <c r="R47" i="46"/>
  <c r="K47" i="46" s="1"/>
  <c r="J47" i="46"/>
  <c r="I47" i="46"/>
  <c r="G47" i="46"/>
  <c r="H47" i="46" s="1"/>
  <c r="AH55" i="45"/>
  <c r="AH54" i="45"/>
  <c r="AH53" i="45"/>
  <c r="AH52" i="45"/>
  <c r="AH51" i="45"/>
  <c r="AH50" i="45"/>
  <c r="AH49" i="45"/>
  <c r="AH48" i="45"/>
  <c r="AH47" i="45"/>
  <c r="AC55" i="45"/>
  <c r="AC54" i="45"/>
  <c r="AC53" i="45"/>
  <c r="AC52" i="45"/>
  <c r="AC51" i="45"/>
  <c r="AC50" i="45"/>
  <c r="AC49" i="45"/>
  <c r="AC48" i="45"/>
  <c r="AC47" i="45"/>
  <c r="X55" i="45"/>
  <c r="X54" i="45"/>
  <c r="X53" i="45"/>
  <c r="X52" i="45"/>
  <c r="X51" i="45"/>
  <c r="X50" i="45"/>
  <c r="X49" i="45"/>
  <c r="X48" i="45"/>
  <c r="X47" i="45"/>
  <c r="S55" i="45"/>
  <c r="S54" i="45"/>
  <c r="S53" i="45"/>
  <c r="S52" i="45"/>
  <c r="S51" i="45"/>
  <c r="S50" i="45"/>
  <c r="S49" i="45"/>
  <c r="S48" i="45"/>
  <c r="S47" i="45"/>
  <c r="AW55" i="45"/>
  <c r="AW54" i="45"/>
  <c r="AW53" i="45"/>
  <c r="AW52" i="45"/>
  <c r="AW51" i="45"/>
  <c r="AW50" i="45"/>
  <c r="AW49" i="45"/>
  <c r="AW48" i="45"/>
  <c r="AW47" i="45"/>
  <c r="AR55" i="45"/>
  <c r="AR54" i="45"/>
  <c r="AR53" i="45"/>
  <c r="AR52" i="45"/>
  <c r="AR51" i="45"/>
  <c r="AR50" i="45"/>
  <c r="AR49" i="45"/>
  <c r="AR48" i="45"/>
  <c r="AR47" i="45"/>
  <c r="AM48" i="45"/>
  <c r="AM49" i="45"/>
  <c r="AM50" i="45"/>
  <c r="AM51" i="45"/>
  <c r="AM52" i="45"/>
  <c r="AM53" i="45"/>
  <c r="AM54" i="45"/>
  <c r="AM55" i="45"/>
  <c r="AM47" i="45"/>
  <c r="M48" i="45"/>
  <c r="M49" i="45"/>
  <c r="M50" i="45"/>
  <c r="M51" i="45"/>
  <c r="M52" i="45"/>
  <c r="M53" i="45"/>
  <c r="M54" i="45"/>
  <c r="M55" i="45"/>
  <c r="M47" i="45"/>
  <c r="AV55" i="45"/>
  <c r="AQ55" i="45"/>
  <c r="AL55" i="45"/>
  <c r="AG55" i="45"/>
  <c r="AB55" i="45"/>
  <c r="W55" i="45"/>
  <c r="R55" i="45"/>
  <c r="K55" i="45"/>
  <c r="J55" i="45"/>
  <c r="I55" i="45"/>
  <c r="G55" i="45"/>
  <c r="AV54" i="45"/>
  <c r="AQ54" i="45"/>
  <c r="AL54" i="45"/>
  <c r="AG54" i="45"/>
  <c r="AB54" i="45"/>
  <c r="W54" i="45"/>
  <c r="R54" i="45"/>
  <c r="K54" i="45"/>
  <c r="J54" i="45"/>
  <c r="I54" i="45"/>
  <c r="G54" i="45"/>
  <c r="AV53" i="45"/>
  <c r="K53" i="45" s="1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K51" i="45" s="1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N47" i="45" s="1"/>
  <c r="AG49" i="45"/>
  <c r="AB49" i="45"/>
  <c r="W49" i="45"/>
  <c r="R49" i="45"/>
  <c r="J49" i="45"/>
  <c r="I49" i="45"/>
  <c r="G49" i="45"/>
  <c r="AV48" i="45"/>
  <c r="AQ48" i="45"/>
  <c r="AL48" i="45"/>
  <c r="AG48" i="45"/>
  <c r="AB48" i="45"/>
  <c r="W48" i="45"/>
  <c r="R48" i="45"/>
  <c r="J48" i="45"/>
  <c r="I48" i="45"/>
  <c r="G48" i="45"/>
  <c r="AV47" i="45"/>
  <c r="AQ47" i="45"/>
  <c r="K47" i="45" s="1"/>
  <c r="AL47" i="45"/>
  <c r="AG47" i="45"/>
  <c r="AI47" i="45" s="1"/>
  <c r="AB47" i="45"/>
  <c r="W47" i="45"/>
  <c r="Y47" i="45" s="1"/>
  <c r="R47" i="45"/>
  <c r="T47" i="45" s="1"/>
  <c r="J47" i="45"/>
  <c r="I47" i="45"/>
  <c r="G47" i="45"/>
  <c r="H47" i="45" s="1"/>
  <c r="P62" i="45"/>
  <c r="U62" i="45" s="1"/>
  <c r="AW113" i="44"/>
  <c r="AW112" i="44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W90" i="44"/>
  <c r="AW89" i="44"/>
  <c r="AW88" i="44"/>
  <c r="AW87" i="44"/>
  <c r="AW86" i="44"/>
  <c r="AW85" i="44"/>
  <c r="AW84" i="44"/>
  <c r="AW83" i="44"/>
  <c r="AR112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R90" i="44"/>
  <c r="AR89" i="44"/>
  <c r="AR88" i="44"/>
  <c r="AR87" i="44"/>
  <c r="AR86" i="44"/>
  <c r="AR85" i="44"/>
  <c r="AR84" i="44"/>
  <c r="AR83" i="44"/>
  <c r="AM112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M90" i="44"/>
  <c r="AM89" i="44"/>
  <c r="AM88" i="44"/>
  <c r="AM87" i="44"/>
  <c r="AM86" i="44"/>
  <c r="AM85" i="44"/>
  <c r="AM84" i="44"/>
  <c r="AM83" i="44"/>
  <c r="AH112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H90" i="44"/>
  <c r="AH89" i="44"/>
  <c r="AH88" i="44"/>
  <c r="AH87" i="44"/>
  <c r="AH86" i="44"/>
  <c r="AH85" i="44"/>
  <c r="AH84" i="44"/>
  <c r="AH83" i="44"/>
  <c r="AC112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AC90" i="44"/>
  <c r="AC89" i="44"/>
  <c r="AC88" i="44"/>
  <c r="AC87" i="44"/>
  <c r="AC86" i="44"/>
  <c r="AC85" i="44"/>
  <c r="AC84" i="44"/>
  <c r="AC8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X86" i="44"/>
  <c r="X85" i="44"/>
  <c r="X84" i="44"/>
  <c r="X83" i="44"/>
  <c r="S84" i="44"/>
  <c r="S85" i="44"/>
  <c r="S86" i="44"/>
  <c r="S87" i="44"/>
  <c r="S88" i="44"/>
  <c r="S89" i="44"/>
  <c r="S90" i="44"/>
  <c r="S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83" i="44"/>
  <c r="M84" i="44"/>
  <c r="M85" i="44"/>
  <c r="M86" i="44"/>
  <c r="M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83" i="44"/>
  <c r="AV113" i="44"/>
  <c r="K113" i="44"/>
  <c r="J113" i="44"/>
  <c r="I113" i="44"/>
  <c r="G113" i="44"/>
  <c r="AV112" i="44"/>
  <c r="AQ112" i="44"/>
  <c r="AL112" i="44"/>
  <c r="AG112" i="44"/>
  <c r="AB112" i="44"/>
  <c r="W112" i="44"/>
  <c r="R112" i="44"/>
  <c r="K112" i="44" s="1"/>
  <c r="J112" i="44"/>
  <c r="I112" i="44"/>
  <c r="G112" i="44"/>
  <c r="AV111" i="44"/>
  <c r="AQ111" i="44"/>
  <c r="AL111" i="44"/>
  <c r="AG111" i="44"/>
  <c r="AB111" i="44"/>
  <c r="W111" i="44"/>
  <c r="R111" i="44"/>
  <c r="K111" i="44" s="1"/>
  <c r="J111" i="44"/>
  <c r="I111" i="44"/>
  <c r="G111" i="44"/>
  <c r="AV110" i="44"/>
  <c r="AQ110" i="44"/>
  <c r="AL110" i="44"/>
  <c r="AG110" i="44"/>
  <c r="AB110" i="44"/>
  <c r="W110" i="44"/>
  <c r="R110" i="44"/>
  <c r="J110" i="44"/>
  <c r="I110" i="44"/>
  <c r="G110" i="44"/>
  <c r="AV109" i="44"/>
  <c r="AQ109" i="44"/>
  <c r="AL109" i="44"/>
  <c r="AG109" i="44"/>
  <c r="AB109" i="44"/>
  <c r="W109" i="44"/>
  <c r="R109" i="44"/>
  <c r="K109" i="44"/>
  <c r="J109" i="44"/>
  <c r="I109" i="44"/>
  <c r="G109" i="44"/>
  <c r="AV108" i="44"/>
  <c r="AQ108" i="44"/>
  <c r="AL108" i="44"/>
  <c r="AG108" i="44"/>
  <c r="AB108" i="44"/>
  <c r="W108" i="44"/>
  <c r="R108" i="44"/>
  <c r="K108" i="44"/>
  <c r="J108" i="44"/>
  <c r="I108" i="44"/>
  <c r="G108" i="44"/>
  <c r="AV107" i="44"/>
  <c r="AQ107" i="44"/>
  <c r="AL107" i="44"/>
  <c r="AG107" i="44"/>
  <c r="AB107" i="44"/>
  <c r="W107" i="44"/>
  <c r="R107" i="44"/>
  <c r="K107" i="44"/>
  <c r="J107" i="44"/>
  <c r="I107" i="44"/>
  <c r="G107" i="44"/>
  <c r="AV106" i="44"/>
  <c r="AQ106" i="44"/>
  <c r="AL106" i="44"/>
  <c r="AG106" i="44"/>
  <c r="AB106" i="44"/>
  <c r="W106" i="44"/>
  <c r="R106" i="44"/>
  <c r="K106" i="44" s="1"/>
  <c r="J106" i="44"/>
  <c r="I106" i="44"/>
  <c r="G106" i="44"/>
  <c r="AV105" i="44"/>
  <c r="AQ105" i="44"/>
  <c r="AL105" i="44"/>
  <c r="AG105" i="44"/>
  <c r="AB105" i="44"/>
  <c r="W105" i="44"/>
  <c r="R105" i="44"/>
  <c r="K105" i="44"/>
  <c r="J105" i="44"/>
  <c r="I105" i="44"/>
  <c r="G105" i="44"/>
  <c r="AV104" i="44"/>
  <c r="AQ104" i="44"/>
  <c r="AL104" i="44"/>
  <c r="AG104" i="44"/>
  <c r="AB104" i="44"/>
  <c r="W104" i="44"/>
  <c r="R104" i="44"/>
  <c r="K104" i="44"/>
  <c r="J104" i="44"/>
  <c r="I104" i="44"/>
  <c r="G104" i="44"/>
  <c r="AV103" i="44"/>
  <c r="K103" i="44" s="1"/>
  <c r="AQ103" i="44"/>
  <c r="AL103" i="44"/>
  <c r="AG103" i="44"/>
  <c r="AB103" i="44"/>
  <c r="W103" i="44"/>
  <c r="R103" i="44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K96" i="44"/>
  <c r="J96" i="44"/>
  <c r="I96" i="44"/>
  <c r="G96" i="44"/>
  <c r="AV95" i="44"/>
  <c r="AQ95" i="44"/>
  <c r="AL95" i="44"/>
  <c r="AG95" i="44"/>
  <c r="AB95" i="44"/>
  <c r="K95" i="44" s="1"/>
  <c r="W95" i="44"/>
  <c r="R95" i="44"/>
  <c r="J95" i="44"/>
  <c r="I95" i="44"/>
  <c r="G95" i="44"/>
  <c r="AV94" i="44"/>
  <c r="AQ94" i="44"/>
  <c r="AL94" i="44"/>
  <c r="AG94" i="44"/>
  <c r="AB94" i="44"/>
  <c r="W94" i="44"/>
  <c r="K94" i="44" s="1"/>
  <c r="R94" i="44"/>
  <c r="J94" i="44"/>
  <c r="I94" i="44"/>
  <c r="G94" i="44"/>
  <c r="AV93" i="44"/>
  <c r="AQ93" i="44"/>
  <c r="AL93" i="44"/>
  <c r="AG93" i="44"/>
  <c r="AB93" i="44"/>
  <c r="W93" i="44"/>
  <c r="K93" i="44" s="1"/>
  <c r="R93" i="44"/>
  <c r="J93" i="44"/>
  <c r="I93" i="44"/>
  <c r="G93" i="44"/>
  <c r="AV92" i="44"/>
  <c r="AQ92" i="44"/>
  <c r="AL92" i="44"/>
  <c r="AG92" i="44"/>
  <c r="AB92" i="44"/>
  <c r="W92" i="44"/>
  <c r="R92" i="44"/>
  <c r="K92" i="44" s="1"/>
  <c r="J92" i="44"/>
  <c r="I92" i="44"/>
  <c r="G92" i="44"/>
  <c r="AV91" i="44"/>
  <c r="AQ91" i="44"/>
  <c r="AL91" i="44"/>
  <c r="AG91" i="44"/>
  <c r="AB91" i="44"/>
  <c r="W91" i="44"/>
  <c r="R91" i="44"/>
  <c r="K91" i="44" s="1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K89" i="44"/>
  <c r="J89" i="44"/>
  <c r="I89" i="44"/>
  <c r="G89" i="44"/>
  <c r="AV88" i="44"/>
  <c r="AQ88" i="44"/>
  <c r="AL88" i="44"/>
  <c r="AG88" i="44"/>
  <c r="AB88" i="44"/>
  <c r="W88" i="44"/>
  <c r="R88" i="44"/>
  <c r="K88" i="44"/>
  <c r="J88" i="44"/>
  <c r="I88" i="44"/>
  <c r="G88" i="44"/>
  <c r="AV87" i="44"/>
  <c r="AQ87" i="44"/>
  <c r="AL87" i="44"/>
  <c r="AG87" i="44"/>
  <c r="AB87" i="44"/>
  <c r="W87" i="44"/>
  <c r="R87" i="44"/>
  <c r="K87" i="44"/>
  <c r="J87" i="44"/>
  <c r="I87" i="44"/>
  <c r="G87" i="44"/>
  <c r="AV86" i="44"/>
  <c r="AQ86" i="44"/>
  <c r="AL86" i="44"/>
  <c r="AG86" i="44"/>
  <c r="AB86" i="44"/>
  <c r="W86" i="44"/>
  <c r="R86" i="44"/>
  <c r="K86" i="44"/>
  <c r="J86" i="44"/>
  <c r="I86" i="44"/>
  <c r="G86" i="44"/>
  <c r="AV85" i="44"/>
  <c r="AQ85" i="44"/>
  <c r="AL85" i="44"/>
  <c r="AG85" i="44"/>
  <c r="AB85" i="44"/>
  <c r="W85" i="44"/>
  <c r="R85" i="44"/>
  <c r="K85" i="44"/>
  <c r="J85" i="44"/>
  <c r="I85" i="44"/>
  <c r="G85" i="44"/>
  <c r="AV84" i="44"/>
  <c r="AQ84" i="44"/>
  <c r="AL84" i="44"/>
  <c r="AG84" i="44"/>
  <c r="AB84" i="44"/>
  <c r="W84" i="44"/>
  <c r="R84" i="44"/>
  <c r="K84" i="44"/>
  <c r="J84" i="44"/>
  <c r="I84" i="44"/>
  <c r="G84" i="44"/>
  <c r="AV83" i="44"/>
  <c r="AQ83" i="44"/>
  <c r="AL83" i="44"/>
  <c r="AG83" i="44"/>
  <c r="AB83" i="44"/>
  <c r="W83" i="44"/>
  <c r="Y83" i="44" s="1"/>
  <c r="R83" i="44"/>
  <c r="J83" i="44"/>
  <c r="I83" i="44"/>
  <c r="G83" i="44"/>
  <c r="B21" i="6"/>
  <c r="AC27" i="6"/>
  <c r="AD27" i="6" s="1"/>
  <c r="S27" i="6"/>
  <c r="T27" i="6" s="1"/>
  <c r="M27" i="6"/>
  <c r="N27" i="6" s="1"/>
  <c r="F27" i="6"/>
  <c r="AL27" i="6" s="1"/>
  <c r="AC26" i="6"/>
  <c r="AD26" i="6" s="1"/>
  <c r="S26" i="6"/>
  <c r="T26" i="6" s="1"/>
  <c r="M26" i="6"/>
  <c r="N26" i="6" s="1"/>
  <c r="F26" i="6"/>
  <c r="AL26" i="6" s="1"/>
  <c r="AC25" i="6"/>
  <c r="AD25" i="6" s="1"/>
  <c r="S25" i="6"/>
  <c r="T25" i="6" s="1"/>
  <c r="M25" i="6"/>
  <c r="N25" i="6" s="1"/>
  <c r="F25" i="6"/>
  <c r="AL25" i="6" s="1"/>
  <c r="AC24" i="6"/>
  <c r="AD24" i="6" s="1"/>
  <c r="S24" i="6"/>
  <c r="T24" i="6" s="1"/>
  <c r="M24" i="6"/>
  <c r="N24" i="6" s="1"/>
  <c r="F24" i="6"/>
  <c r="AL24" i="6" s="1"/>
  <c r="AC23" i="6"/>
  <c r="AD23" i="6" s="1"/>
  <c r="S23" i="6"/>
  <c r="T23" i="6" s="1"/>
  <c r="M23" i="6"/>
  <c r="N23" i="6" s="1"/>
  <c r="F23" i="6"/>
  <c r="AL23" i="6" s="1"/>
  <c r="AC22" i="6"/>
  <c r="AD22" i="6" s="1"/>
  <c r="S22" i="6"/>
  <c r="T22" i="6" s="1"/>
  <c r="M22" i="6"/>
  <c r="N22" i="6" s="1"/>
  <c r="F22" i="6"/>
  <c r="AL22" i="6" s="1"/>
  <c r="AC21" i="6"/>
  <c r="AD21" i="6" s="1"/>
  <c r="S21" i="6"/>
  <c r="T21" i="6" s="1"/>
  <c r="M21" i="6"/>
  <c r="N21" i="6" s="1"/>
  <c r="F21" i="6"/>
  <c r="AL21" i="6" s="1"/>
  <c r="B21" i="7"/>
  <c r="AC27" i="7"/>
  <c r="AD27" i="7" s="1"/>
  <c r="S27" i="7"/>
  <c r="T27" i="7" s="1"/>
  <c r="M27" i="7"/>
  <c r="N27" i="7" s="1"/>
  <c r="F27" i="7"/>
  <c r="AL27" i="7" s="1"/>
  <c r="AC26" i="7"/>
  <c r="AD26" i="7" s="1"/>
  <c r="S26" i="7"/>
  <c r="T26" i="7" s="1"/>
  <c r="M26" i="7"/>
  <c r="N26" i="7" s="1"/>
  <c r="F26" i="7"/>
  <c r="AL26" i="7" s="1"/>
  <c r="AC25" i="7"/>
  <c r="AD25" i="7" s="1"/>
  <c r="S25" i="7"/>
  <c r="T25" i="7" s="1"/>
  <c r="M25" i="7"/>
  <c r="N25" i="7" s="1"/>
  <c r="F25" i="7"/>
  <c r="AL25" i="7" s="1"/>
  <c r="AC24" i="7"/>
  <c r="AD24" i="7" s="1"/>
  <c r="S24" i="7"/>
  <c r="T24" i="7" s="1"/>
  <c r="M24" i="7"/>
  <c r="N24" i="7" s="1"/>
  <c r="F24" i="7"/>
  <c r="AL24" i="7" s="1"/>
  <c r="AC23" i="7"/>
  <c r="AD23" i="7" s="1"/>
  <c r="S23" i="7"/>
  <c r="T23" i="7" s="1"/>
  <c r="M23" i="7"/>
  <c r="N23" i="7" s="1"/>
  <c r="F23" i="7"/>
  <c r="AL23" i="7" s="1"/>
  <c r="AC22" i="7"/>
  <c r="AD22" i="7" s="1"/>
  <c r="S22" i="7"/>
  <c r="T22" i="7" s="1"/>
  <c r="M22" i="7"/>
  <c r="F22" i="7"/>
  <c r="AL22" i="7" s="1"/>
  <c r="AC21" i="7"/>
  <c r="AD21" i="7" s="1"/>
  <c r="S21" i="7"/>
  <c r="T21" i="7" s="1"/>
  <c r="M21" i="7"/>
  <c r="N21" i="7" s="1"/>
  <c r="F21" i="7"/>
  <c r="AL21" i="7" s="1"/>
  <c r="K47" i="52" l="1"/>
  <c r="Y47" i="52"/>
  <c r="K52" i="49"/>
  <c r="T47" i="49"/>
  <c r="K50" i="49"/>
  <c r="AI47" i="49"/>
  <c r="AS47" i="49"/>
  <c r="K51" i="49"/>
  <c r="K49" i="49"/>
  <c r="K48" i="49"/>
  <c r="AN47" i="49"/>
  <c r="AN47" i="48"/>
  <c r="K47" i="48"/>
  <c r="AS47" i="48"/>
  <c r="L47" i="47"/>
  <c r="AD47" i="47"/>
  <c r="T47" i="47"/>
  <c r="AN47" i="47"/>
  <c r="L47" i="46"/>
  <c r="T47" i="46"/>
  <c r="AS47" i="45"/>
  <c r="AX47" i="45"/>
  <c r="K52" i="45"/>
  <c r="K50" i="45"/>
  <c r="K49" i="45"/>
  <c r="K48" i="45"/>
  <c r="AD47" i="45"/>
  <c r="Z62" i="45"/>
  <c r="U63" i="45"/>
  <c r="P63" i="45"/>
  <c r="AN83" i="44"/>
  <c r="AD83" i="44"/>
  <c r="AI83" i="44"/>
  <c r="K110" i="44"/>
  <c r="K83" i="44"/>
  <c r="K90" i="44"/>
  <c r="K102" i="44"/>
  <c r="K100" i="44"/>
  <c r="AS83" i="44"/>
  <c r="AX83" i="44"/>
  <c r="K98" i="44"/>
  <c r="H83" i="44"/>
  <c r="T83" i="44"/>
  <c r="K101" i="44"/>
  <c r="K99" i="44"/>
  <c r="K97" i="44"/>
  <c r="J23" i="6"/>
  <c r="J26" i="6"/>
  <c r="L22" i="6"/>
  <c r="L27" i="6"/>
  <c r="P21" i="6"/>
  <c r="P24" i="6"/>
  <c r="P27" i="6"/>
  <c r="R23" i="6"/>
  <c r="R27" i="6"/>
  <c r="V21" i="6"/>
  <c r="V23" i="6"/>
  <c r="V26" i="6"/>
  <c r="X21" i="6"/>
  <c r="X23" i="6"/>
  <c r="X25" i="6"/>
  <c r="Z22" i="6"/>
  <c r="Z24" i="6"/>
  <c r="Z27" i="6"/>
  <c r="AB22" i="6"/>
  <c r="AB24" i="6"/>
  <c r="AB26" i="6"/>
  <c r="AF21" i="6"/>
  <c r="AF22" i="6"/>
  <c r="AF23" i="6"/>
  <c r="AF24" i="6"/>
  <c r="AF25" i="6"/>
  <c r="AF26" i="6"/>
  <c r="AF27" i="6"/>
  <c r="L25" i="6"/>
  <c r="G21" i="6"/>
  <c r="J21" i="6"/>
  <c r="J24" i="6"/>
  <c r="J25" i="6"/>
  <c r="L21" i="6"/>
  <c r="L26" i="6"/>
  <c r="P23" i="6"/>
  <c r="P26" i="6"/>
  <c r="R22" i="6"/>
  <c r="R24" i="6"/>
  <c r="R26" i="6"/>
  <c r="V24" i="6"/>
  <c r="V27" i="6"/>
  <c r="X22" i="6"/>
  <c r="X24" i="6"/>
  <c r="X26" i="6"/>
  <c r="Z21" i="6"/>
  <c r="Z23" i="6"/>
  <c r="Z25" i="6"/>
  <c r="Z26" i="6"/>
  <c r="AB21" i="6"/>
  <c r="AB23" i="6"/>
  <c r="AB25" i="6"/>
  <c r="AB27" i="6"/>
  <c r="AH21" i="6"/>
  <c r="AH22" i="6"/>
  <c r="AH23" i="6"/>
  <c r="AH24" i="6"/>
  <c r="AH25" i="6"/>
  <c r="AH26" i="6"/>
  <c r="AH27" i="6"/>
  <c r="AJ21" i="6"/>
  <c r="AJ22" i="6"/>
  <c r="AJ23" i="6"/>
  <c r="AJ24" i="6"/>
  <c r="AJ25" i="6"/>
  <c r="AJ26" i="6"/>
  <c r="AJ27" i="6"/>
  <c r="J22" i="6"/>
  <c r="J27" i="6"/>
  <c r="L23" i="6"/>
  <c r="L24" i="6"/>
  <c r="P22" i="6"/>
  <c r="P25" i="6"/>
  <c r="R21" i="6"/>
  <c r="R25" i="6"/>
  <c r="V22" i="6"/>
  <c r="V25" i="6"/>
  <c r="X27" i="6"/>
  <c r="J25" i="7"/>
  <c r="N22" i="7"/>
  <c r="J21" i="7"/>
  <c r="J24" i="7"/>
  <c r="L25" i="7"/>
  <c r="P23" i="7"/>
  <c r="P25" i="7"/>
  <c r="R25" i="7"/>
  <c r="V23" i="7"/>
  <c r="V26" i="7"/>
  <c r="X26" i="7"/>
  <c r="Z21" i="7"/>
  <c r="Z26" i="7"/>
  <c r="AB25" i="7"/>
  <c r="AF21" i="7"/>
  <c r="AF22" i="7"/>
  <c r="AF23" i="7"/>
  <c r="AF24" i="7"/>
  <c r="AF25" i="7"/>
  <c r="AF26" i="7"/>
  <c r="AF27" i="7"/>
  <c r="R21" i="7"/>
  <c r="AH27" i="7"/>
  <c r="J22" i="7"/>
  <c r="J26" i="7"/>
  <c r="L22" i="7"/>
  <c r="L26" i="7"/>
  <c r="P21" i="7"/>
  <c r="P27" i="7"/>
  <c r="R23" i="7"/>
  <c r="R26" i="7"/>
  <c r="AJ27" i="7"/>
  <c r="G21" i="7"/>
  <c r="J23" i="7"/>
  <c r="J27" i="7"/>
  <c r="L21" i="7"/>
  <c r="L23" i="7"/>
  <c r="L24" i="7"/>
  <c r="L27" i="7"/>
  <c r="P22" i="7"/>
  <c r="P24" i="7"/>
  <c r="P26" i="7"/>
  <c r="R22" i="7"/>
  <c r="R24" i="7"/>
  <c r="R27" i="7"/>
  <c r="V21" i="7"/>
  <c r="V22" i="7"/>
  <c r="V24" i="7"/>
  <c r="V25" i="7"/>
  <c r="V27" i="7"/>
  <c r="X21" i="7"/>
  <c r="X22" i="7"/>
  <c r="X23" i="7"/>
  <c r="X24" i="7"/>
  <c r="X25" i="7"/>
  <c r="X27" i="7"/>
  <c r="Z22" i="7"/>
  <c r="Z23" i="7"/>
  <c r="Z24" i="7"/>
  <c r="Z25" i="7"/>
  <c r="Z27" i="7"/>
  <c r="AB21" i="7"/>
  <c r="AB22" i="7"/>
  <c r="AB23" i="7"/>
  <c r="AB24" i="7"/>
  <c r="AB26" i="7"/>
  <c r="AB27" i="7"/>
  <c r="AH21" i="7"/>
  <c r="AH22" i="7"/>
  <c r="AH23" i="7"/>
  <c r="AH24" i="7"/>
  <c r="AH25" i="7"/>
  <c r="AH26" i="7"/>
  <c r="AJ21" i="7"/>
  <c r="AJ22" i="7"/>
  <c r="AJ23" i="7"/>
  <c r="AJ24" i="7"/>
  <c r="AJ25" i="7"/>
  <c r="AJ26" i="7"/>
  <c r="L47" i="49" l="1"/>
  <c r="L47" i="48"/>
  <c r="L47" i="45"/>
  <c r="AE62" i="45"/>
  <c r="Z63" i="45"/>
  <c r="L83" i="44"/>
  <c r="AE63" i="45" l="1"/>
  <c r="AJ62" i="45"/>
  <c r="AJ63" i="45" l="1"/>
  <c r="AO62" i="45"/>
  <c r="AO63" i="45" l="1"/>
  <c r="AT62" i="45"/>
  <c r="AT63" i="45" s="1"/>
  <c r="U25" i="5" l="1"/>
  <c r="U24" i="5"/>
  <c r="U23" i="5"/>
  <c r="U22" i="5"/>
  <c r="U21" i="5"/>
  <c r="U20" i="5"/>
  <c r="U19" i="5"/>
  <c r="L17" i="56"/>
  <c r="L18" i="56"/>
  <c r="L19" i="56"/>
  <c r="L20" i="56"/>
  <c r="L21" i="56"/>
  <c r="L22" i="56"/>
  <c r="J17" i="56"/>
  <c r="J18" i="56"/>
  <c r="J19" i="56"/>
  <c r="J20" i="56"/>
  <c r="J21" i="56"/>
  <c r="J22" i="56"/>
  <c r="H17" i="56"/>
  <c r="H18" i="56"/>
  <c r="H19" i="56"/>
  <c r="H20" i="56"/>
  <c r="H21" i="56"/>
  <c r="H22" i="56"/>
  <c r="F18" i="56"/>
  <c r="F19" i="56"/>
  <c r="F20" i="56"/>
  <c r="F21" i="56"/>
  <c r="F22" i="56"/>
  <c r="D18" i="56"/>
  <c r="D19" i="56"/>
  <c r="D20" i="56"/>
  <c r="D21" i="56"/>
  <c r="D22" i="56"/>
  <c r="M85" i="62" l="1"/>
  <c r="M84" i="62"/>
  <c r="M83" i="62"/>
  <c r="M82" i="62"/>
  <c r="M81" i="62"/>
  <c r="M86" i="62" s="1"/>
  <c r="M76" i="62"/>
  <c r="M75" i="62"/>
  <c r="M74" i="62"/>
  <c r="M73" i="62"/>
  <c r="M78" i="62" s="1"/>
  <c r="M69" i="62"/>
  <c r="M68" i="62"/>
  <c r="M67" i="62"/>
  <c r="M66" i="62"/>
  <c r="M65" i="62"/>
  <c r="M70" i="62" s="1"/>
  <c r="M57" i="62"/>
  <c r="M56" i="62"/>
  <c r="M55" i="62"/>
  <c r="M54" i="62"/>
  <c r="M53" i="62"/>
  <c r="M49" i="62"/>
  <c r="M48" i="62"/>
  <c r="M47" i="62"/>
  <c r="M46" i="62"/>
  <c r="M45" i="62"/>
  <c r="M50" i="62" s="1"/>
  <c r="K50" i="62" s="1"/>
  <c r="M41" i="62"/>
  <c r="M40" i="62"/>
  <c r="M39" i="62"/>
  <c r="M38" i="62"/>
  <c r="M37" i="62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6" i="20" s="1"/>
  <c r="M82" i="20"/>
  <c r="M81" i="20"/>
  <c r="K74" i="20"/>
  <c r="K50" i="20"/>
  <c r="M71" i="20"/>
  <c r="M70" i="20"/>
  <c r="M69" i="20"/>
  <c r="M74" i="20" s="1"/>
  <c r="M61" i="20"/>
  <c r="M66" i="20" s="1"/>
  <c r="K66" i="20" s="1"/>
  <c r="M57" i="20"/>
  <c r="M56" i="20"/>
  <c r="M55" i="20"/>
  <c r="M54" i="20"/>
  <c r="M53" i="20"/>
  <c r="M58" i="20" s="1"/>
  <c r="K58" i="20" s="1"/>
  <c r="M49" i="20"/>
  <c r="M48" i="20"/>
  <c r="M47" i="20"/>
  <c r="M50" i="20" s="1"/>
  <c r="M46" i="20"/>
  <c r="M45" i="20"/>
  <c r="M85" i="19"/>
  <c r="M84" i="19"/>
  <c r="M83" i="19"/>
  <c r="M82" i="19"/>
  <c r="M81" i="19"/>
  <c r="M86" i="19" s="1"/>
  <c r="M77" i="19"/>
  <c r="M76" i="19"/>
  <c r="M75" i="19"/>
  <c r="M74" i="19"/>
  <c r="M73" i="19"/>
  <c r="M78" i="19" s="1"/>
  <c r="M69" i="19"/>
  <c r="M68" i="19"/>
  <c r="M67" i="19"/>
  <c r="M66" i="19"/>
  <c r="M65" i="19"/>
  <c r="K50" i="19"/>
  <c r="M57" i="19"/>
  <c r="M56" i="19"/>
  <c r="M55" i="19"/>
  <c r="M54" i="19"/>
  <c r="M53" i="19"/>
  <c r="M49" i="19"/>
  <c r="M48" i="19"/>
  <c r="M47" i="19"/>
  <c r="M46" i="19"/>
  <c r="M45" i="19"/>
  <c r="M50" i="19" s="1"/>
  <c r="M41" i="19"/>
  <c r="M40" i="19"/>
  <c r="M39" i="19"/>
  <c r="M38" i="19"/>
  <c r="M37" i="19"/>
  <c r="M42" i="19" s="1"/>
  <c r="K42" i="19" s="1"/>
  <c r="M70" i="19" l="1"/>
  <c r="M58" i="62"/>
  <c r="K58" i="62" s="1"/>
  <c r="M42" i="62"/>
  <c r="K42" i="62" s="1"/>
  <c r="M58" i="19"/>
  <c r="K58" i="19" s="1"/>
  <c r="J37" i="23" l="1"/>
  <c r="J35" i="23"/>
  <c r="L67" i="50"/>
  <c r="L47" i="50"/>
  <c r="L27" i="50"/>
  <c r="L47" i="51"/>
  <c r="L67" i="51"/>
  <c r="L87" i="51"/>
  <c r="L107" i="51"/>
  <c r="C21" i="41"/>
  <c r="C20" i="41"/>
  <c r="M39" i="56" l="1"/>
  <c r="N39" i="56"/>
  <c r="L11" i="56"/>
  <c r="L12" i="56"/>
  <c r="L13" i="56"/>
  <c r="L14" i="56"/>
  <c r="L15" i="56"/>
  <c r="L16" i="56"/>
  <c r="J11" i="56"/>
  <c r="J12" i="56"/>
  <c r="J13" i="56"/>
  <c r="J14" i="56"/>
  <c r="J15" i="56"/>
  <c r="J16" i="56"/>
  <c r="H11" i="56"/>
  <c r="H12" i="56"/>
  <c r="H13" i="56"/>
  <c r="H14" i="56"/>
  <c r="H15" i="56"/>
  <c r="H16" i="56"/>
  <c r="F10" i="56"/>
  <c r="F11" i="56"/>
  <c r="F12" i="56"/>
  <c r="F13" i="56"/>
  <c r="F14" i="56"/>
  <c r="F15" i="56"/>
  <c r="F16" i="56"/>
  <c r="F17" i="56"/>
  <c r="D11" i="56"/>
  <c r="D12" i="56"/>
  <c r="D13" i="56"/>
  <c r="D14" i="56"/>
  <c r="D15" i="56"/>
  <c r="D16" i="56"/>
  <c r="D17" i="56"/>
  <c r="J34" i="25" l="1"/>
  <c r="J45" i="24"/>
  <c r="J52" i="23"/>
  <c r="J51" i="23"/>
  <c r="J50" i="23"/>
  <c r="J49" i="23"/>
  <c r="J48" i="23"/>
  <c r="J47" i="23"/>
  <c r="J46" i="23"/>
  <c r="J45" i="23"/>
  <c r="J42" i="23"/>
  <c r="J41" i="23"/>
  <c r="J40" i="23"/>
  <c r="J39" i="23"/>
  <c r="J38" i="23"/>
  <c r="J36" i="23"/>
  <c r="J34" i="23"/>
  <c r="J46" i="22"/>
  <c r="J45" i="22"/>
  <c r="J35" i="22"/>
  <c r="J34" i="22"/>
  <c r="J53" i="15"/>
  <c r="J52" i="15"/>
  <c r="J51" i="15"/>
  <c r="J50" i="15"/>
  <c r="J49" i="15"/>
  <c r="J48" i="15"/>
  <c r="J46" i="15"/>
  <c r="J45" i="15"/>
  <c r="J43" i="15"/>
  <c r="J42" i="15"/>
  <c r="J41" i="15"/>
  <c r="J40" i="15"/>
  <c r="J39" i="15"/>
  <c r="J37" i="15"/>
  <c r="J36" i="15"/>
  <c r="J35" i="15"/>
  <c r="J34" i="15"/>
  <c r="U43" i="52"/>
  <c r="P43" i="52"/>
  <c r="U42" i="52"/>
  <c r="Z42" i="52" s="1"/>
  <c r="P42" i="52"/>
  <c r="AW27" i="52"/>
  <c r="AR27" i="52"/>
  <c r="AM27" i="52"/>
  <c r="AH27" i="52"/>
  <c r="AC27" i="52"/>
  <c r="X27" i="52"/>
  <c r="S27" i="52"/>
  <c r="M27" i="52"/>
  <c r="AV27" i="52"/>
  <c r="AX27" i="52" s="1"/>
  <c r="AQ27" i="52"/>
  <c r="AS27" i="52" s="1"/>
  <c r="AN27" i="52"/>
  <c r="AL27" i="52"/>
  <c r="AG27" i="52"/>
  <c r="AB27" i="52"/>
  <c r="AD27" i="52" s="1"/>
  <c r="W27" i="52"/>
  <c r="Y27" i="52" s="1"/>
  <c r="T27" i="52"/>
  <c r="R27" i="52"/>
  <c r="J27" i="52"/>
  <c r="I27" i="52"/>
  <c r="G27" i="52"/>
  <c r="H27" i="52" s="1"/>
  <c r="M108" i="51"/>
  <c r="M107" i="51"/>
  <c r="M88" i="51"/>
  <c r="M87" i="51"/>
  <c r="M67" i="51"/>
  <c r="M47" i="51"/>
  <c r="P43" i="51"/>
  <c r="P42" i="51"/>
  <c r="U42" i="51" s="1"/>
  <c r="S27" i="51"/>
  <c r="M27" i="51"/>
  <c r="R27" i="51"/>
  <c r="T27" i="51" s="1"/>
  <c r="K27" i="51"/>
  <c r="J27" i="51"/>
  <c r="I27" i="51"/>
  <c r="G27" i="51"/>
  <c r="H27" i="51" s="1"/>
  <c r="U23" i="51"/>
  <c r="U22" i="51"/>
  <c r="Z22" i="51" s="1"/>
  <c r="C1" i="50"/>
  <c r="E34" i="39" s="1"/>
  <c r="M108" i="50"/>
  <c r="M107" i="50"/>
  <c r="M88" i="50"/>
  <c r="M87" i="50"/>
  <c r="M67" i="50"/>
  <c r="M47" i="50"/>
  <c r="P43" i="50"/>
  <c r="P42" i="50"/>
  <c r="U42" i="50" s="1"/>
  <c r="U22" i="50"/>
  <c r="U43" i="49"/>
  <c r="P43" i="49"/>
  <c r="U42" i="49"/>
  <c r="Z42" i="49" s="1"/>
  <c r="P42" i="49"/>
  <c r="AW34" i="49"/>
  <c r="AW33" i="49"/>
  <c r="AW32" i="49"/>
  <c r="AW31" i="49"/>
  <c r="AW30" i="49"/>
  <c r="AW29" i="49"/>
  <c r="AW28" i="49"/>
  <c r="AW27" i="49"/>
  <c r="AR34" i="49"/>
  <c r="AR33" i="49"/>
  <c r="AR32" i="49"/>
  <c r="AR31" i="49"/>
  <c r="AR30" i="49"/>
  <c r="AR29" i="49"/>
  <c r="AR28" i="49"/>
  <c r="AR27" i="49"/>
  <c r="AM34" i="49"/>
  <c r="AM33" i="49"/>
  <c r="AM32" i="49"/>
  <c r="AM31" i="49"/>
  <c r="AM30" i="49"/>
  <c r="AM29" i="49"/>
  <c r="AM28" i="49"/>
  <c r="AM27" i="49"/>
  <c r="AH34" i="49"/>
  <c r="AH33" i="49"/>
  <c r="AH32" i="49"/>
  <c r="AH31" i="49"/>
  <c r="AH30" i="49"/>
  <c r="AH29" i="49"/>
  <c r="AH28" i="49"/>
  <c r="AH27" i="49"/>
  <c r="AC34" i="49"/>
  <c r="AC33" i="49"/>
  <c r="AC32" i="49"/>
  <c r="AC31" i="49"/>
  <c r="AC30" i="49"/>
  <c r="AC29" i="49"/>
  <c r="AC28" i="49"/>
  <c r="AC27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27" i="49"/>
  <c r="M28" i="49"/>
  <c r="M29" i="49"/>
  <c r="M30" i="49"/>
  <c r="M31" i="49"/>
  <c r="M32" i="49"/>
  <c r="M33" i="49"/>
  <c r="M34" i="49"/>
  <c r="M27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AQ33" i="49"/>
  <c r="AL33" i="49"/>
  <c r="AG33" i="49"/>
  <c r="AB33" i="49"/>
  <c r="W33" i="49"/>
  <c r="R33" i="49"/>
  <c r="K33" i="49"/>
  <c r="J33" i="49"/>
  <c r="I33" i="49"/>
  <c r="G33" i="49"/>
  <c r="AV32" i="49"/>
  <c r="AQ32" i="49"/>
  <c r="AL32" i="49"/>
  <c r="AG32" i="49"/>
  <c r="AB32" i="49"/>
  <c r="W32" i="49"/>
  <c r="R32" i="49"/>
  <c r="K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K29" i="49" s="1"/>
  <c r="AL29" i="49"/>
  <c r="AG29" i="49"/>
  <c r="AB29" i="49"/>
  <c r="W29" i="49"/>
  <c r="R29" i="49"/>
  <c r="J29" i="49"/>
  <c r="I29" i="49"/>
  <c r="G29" i="49"/>
  <c r="AV28" i="49"/>
  <c r="AQ28" i="49"/>
  <c r="AL28" i="49"/>
  <c r="K28" i="49" s="1"/>
  <c r="AG28" i="49"/>
  <c r="AB28" i="49"/>
  <c r="W28" i="49"/>
  <c r="R28" i="49"/>
  <c r="J28" i="49"/>
  <c r="I28" i="49"/>
  <c r="G28" i="49"/>
  <c r="AV27" i="49"/>
  <c r="AX27" i="49" s="1"/>
  <c r="AQ27" i="49"/>
  <c r="K27" i="49" s="1"/>
  <c r="AN27" i="49"/>
  <c r="AL27" i="49"/>
  <c r="AG27" i="49"/>
  <c r="AB27" i="49"/>
  <c r="W27" i="49"/>
  <c r="Y27" i="49" s="1"/>
  <c r="R27" i="49"/>
  <c r="J27" i="49"/>
  <c r="I27" i="49"/>
  <c r="H27" i="49"/>
  <c r="G27" i="49"/>
  <c r="C1" i="48"/>
  <c r="P43" i="48"/>
  <c r="P42" i="48"/>
  <c r="U42" i="48" s="1"/>
  <c r="AW35" i="48"/>
  <c r="AW34" i="48"/>
  <c r="AW33" i="48"/>
  <c r="AW32" i="48"/>
  <c r="AW31" i="48"/>
  <c r="AW30" i="48"/>
  <c r="AW29" i="48"/>
  <c r="AW28" i="48"/>
  <c r="AW27" i="48"/>
  <c r="AR35" i="48"/>
  <c r="AR34" i="48"/>
  <c r="AR33" i="48"/>
  <c r="AR32" i="48"/>
  <c r="AR31" i="48"/>
  <c r="AR30" i="48"/>
  <c r="AR29" i="48"/>
  <c r="AR28" i="48"/>
  <c r="AR27" i="48"/>
  <c r="AM35" i="48"/>
  <c r="AM34" i="48"/>
  <c r="AM33" i="48"/>
  <c r="AM32" i="48"/>
  <c r="AM31" i="48"/>
  <c r="AM30" i="48"/>
  <c r="AM29" i="48"/>
  <c r="AM28" i="48"/>
  <c r="AM27" i="48"/>
  <c r="AH35" i="48"/>
  <c r="AH34" i="48"/>
  <c r="AH33" i="48"/>
  <c r="AH32" i="48"/>
  <c r="AH31" i="48"/>
  <c r="AH30" i="48"/>
  <c r="AH29" i="48"/>
  <c r="AH28" i="48"/>
  <c r="AH27" i="48"/>
  <c r="AC35" i="48"/>
  <c r="AC34" i="48"/>
  <c r="AC33" i="48"/>
  <c r="AC32" i="48"/>
  <c r="AC31" i="48"/>
  <c r="AC30" i="48"/>
  <c r="AC29" i="48"/>
  <c r="AC28" i="48"/>
  <c r="AC27" i="48"/>
  <c r="X35" i="48"/>
  <c r="X34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34" i="48"/>
  <c r="S35" i="48"/>
  <c r="S27" i="48"/>
  <c r="M28" i="48"/>
  <c r="M29" i="48"/>
  <c r="M30" i="48"/>
  <c r="M31" i="48"/>
  <c r="M32" i="48"/>
  <c r="M33" i="48"/>
  <c r="M34" i="48"/>
  <c r="M35" i="48"/>
  <c r="M27" i="48"/>
  <c r="AV35" i="48"/>
  <c r="AQ35" i="48"/>
  <c r="AL35" i="48"/>
  <c r="AG35" i="48"/>
  <c r="AB35" i="48"/>
  <c r="W35" i="48"/>
  <c r="R35" i="48"/>
  <c r="K35" i="48"/>
  <c r="J35" i="48"/>
  <c r="I35" i="48"/>
  <c r="G35" i="48"/>
  <c r="AV34" i="48"/>
  <c r="AQ34" i="48"/>
  <c r="AL34" i="48"/>
  <c r="AG34" i="48"/>
  <c r="AB34" i="48"/>
  <c r="W34" i="48"/>
  <c r="R34" i="48"/>
  <c r="K34" i="48"/>
  <c r="J34" i="48"/>
  <c r="I34" i="48"/>
  <c r="G34" i="48"/>
  <c r="AV33" i="48"/>
  <c r="K33" i="48" s="1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AD27" i="48" s="1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V29" i="48"/>
  <c r="AQ29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K28" i="48" s="1"/>
  <c r="J28" i="48"/>
  <c r="I28" i="48"/>
  <c r="G28" i="48"/>
  <c r="AV27" i="48"/>
  <c r="AQ27" i="48"/>
  <c r="K27" i="48" s="1"/>
  <c r="AL27" i="48"/>
  <c r="AG27" i="48"/>
  <c r="AI27" i="48" s="1"/>
  <c r="AB27" i="48"/>
  <c r="W27" i="48"/>
  <c r="R27" i="48"/>
  <c r="T27" i="48" s="1"/>
  <c r="J27" i="48"/>
  <c r="I27" i="48"/>
  <c r="G27" i="48"/>
  <c r="H27" i="48" s="1"/>
  <c r="P43" i="47"/>
  <c r="P42" i="47"/>
  <c r="U42" i="47" s="1"/>
  <c r="AW28" i="47"/>
  <c r="AW27" i="47"/>
  <c r="AR28" i="47"/>
  <c r="AR27" i="47"/>
  <c r="AM28" i="47"/>
  <c r="AM27" i="47"/>
  <c r="AH28" i="47"/>
  <c r="AH27" i="47"/>
  <c r="AC28" i="47"/>
  <c r="AC27" i="47"/>
  <c r="X28" i="47"/>
  <c r="X27" i="47"/>
  <c r="S28" i="47"/>
  <c r="S27" i="47"/>
  <c r="M28" i="47"/>
  <c r="M27" i="47"/>
  <c r="AV28" i="47"/>
  <c r="AQ28" i="47"/>
  <c r="AL28" i="47"/>
  <c r="AG28" i="47"/>
  <c r="AB28" i="47"/>
  <c r="W28" i="47"/>
  <c r="R28" i="47"/>
  <c r="J28" i="47"/>
  <c r="I28" i="47"/>
  <c r="G28" i="47"/>
  <c r="AX27" i="47"/>
  <c r="AV27" i="47"/>
  <c r="AQ27" i="47"/>
  <c r="AS27" i="47" s="1"/>
  <c r="AL27" i="47"/>
  <c r="AN27" i="47" s="1"/>
  <c r="AG27" i="47"/>
  <c r="AI27" i="47" s="1"/>
  <c r="AB27" i="47"/>
  <c r="AD27" i="47" s="1"/>
  <c r="W27" i="47"/>
  <c r="Y27" i="47" s="1"/>
  <c r="R27" i="47"/>
  <c r="K27" i="47" s="1"/>
  <c r="J27" i="47"/>
  <c r="I27" i="47"/>
  <c r="G27" i="47"/>
  <c r="H27" i="47" s="1"/>
  <c r="AW14" i="45"/>
  <c r="AW13" i="45"/>
  <c r="AW12" i="45"/>
  <c r="AW11" i="45"/>
  <c r="AW10" i="45"/>
  <c r="AW9" i="45"/>
  <c r="AW8" i="45"/>
  <c r="AW7" i="45"/>
  <c r="AR14" i="45"/>
  <c r="AR13" i="45"/>
  <c r="AR12" i="45"/>
  <c r="AR11" i="45"/>
  <c r="AR10" i="45"/>
  <c r="AR9" i="45"/>
  <c r="AR8" i="45"/>
  <c r="AR7" i="45"/>
  <c r="AM14" i="45"/>
  <c r="AM13" i="45"/>
  <c r="AM12" i="45"/>
  <c r="AM11" i="45"/>
  <c r="AM10" i="45"/>
  <c r="AM9" i="45"/>
  <c r="AM8" i="45"/>
  <c r="AM7" i="45"/>
  <c r="AH14" i="45"/>
  <c r="AH13" i="45"/>
  <c r="AH12" i="45"/>
  <c r="AH11" i="45"/>
  <c r="AH10" i="45"/>
  <c r="AH9" i="45"/>
  <c r="AH8" i="45"/>
  <c r="AH7" i="45"/>
  <c r="AC7" i="45"/>
  <c r="AC14" i="45"/>
  <c r="AC13" i="45"/>
  <c r="AC12" i="45"/>
  <c r="AC11" i="45"/>
  <c r="AC10" i="45"/>
  <c r="AC9" i="45"/>
  <c r="AC8" i="45"/>
  <c r="X14" i="45"/>
  <c r="X13" i="45"/>
  <c r="X12" i="45"/>
  <c r="X11" i="45"/>
  <c r="X10" i="45"/>
  <c r="X9" i="45"/>
  <c r="X8" i="45"/>
  <c r="X7" i="45"/>
  <c r="S8" i="45"/>
  <c r="S9" i="45"/>
  <c r="S10" i="45"/>
  <c r="S11" i="45"/>
  <c r="S12" i="45"/>
  <c r="S13" i="45"/>
  <c r="S14" i="45"/>
  <c r="S7" i="45"/>
  <c r="M8" i="45"/>
  <c r="M9" i="45"/>
  <c r="M10" i="45"/>
  <c r="M11" i="45"/>
  <c r="M12" i="45"/>
  <c r="M13" i="45"/>
  <c r="M14" i="45"/>
  <c r="M7" i="45"/>
  <c r="AW8" i="46"/>
  <c r="AW7" i="46"/>
  <c r="AR8" i="46"/>
  <c r="AR7" i="46"/>
  <c r="AM8" i="46"/>
  <c r="AM7" i="46"/>
  <c r="AH8" i="46"/>
  <c r="AH7" i="46"/>
  <c r="AC8" i="46"/>
  <c r="AC7" i="46"/>
  <c r="X7" i="46"/>
  <c r="S8" i="46"/>
  <c r="S7" i="46"/>
  <c r="M8" i="46"/>
  <c r="M7" i="46"/>
  <c r="AV8" i="47"/>
  <c r="AW8" i="47" s="1"/>
  <c r="AQ8" i="47"/>
  <c r="AR8" i="47" s="1"/>
  <c r="AL8" i="47"/>
  <c r="AM8" i="47" s="1"/>
  <c r="AG8" i="47"/>
  <c r="AH8" i="47" s="1"/>
  <c r="AB8" i="47"/>
  <c r="AC8" i="47" s="1"/>
  <c r="W8" i="47"/>
  <c r="X8" i="47" s="1"/>
  <c r="R8" i="47"/>
  <c r="S8" i="47" s="1"/>
  <c r="K8" i="47"/>
  <c r="M8" i="47" s="1"/>
  <c r="J8" i="47"/>
  <c r="I8" i="47"/>
  <c r="G8" i="47"/>
  <c r="AX7" i="47"/>
  <c r="AV7" i="47"/>
  <c r="AW7" i="47" s="1"/>
  <c r="AQ7" i="47"/>
  <c r="AS7" i="47" s="1"/>
  <c r="AL7" i="47"/>
  <c r="AN7" i="47" s="1"/>
  <c r="AG7" i="47"/>
  <c r="AI7" i="47" s="1"/>
  <c r="AB7" i="47"/>
  <c r="AD7" i="47" s="1"/>
  <c r="W7" i="47"/>
  <c r="X7" i="47" s="1"/>
  <c r="R7" i="47"/>
  <c r="T7" i="47" s="1"/>
  <c r="J7" i="47"/>
  <c r="I7" i="47"/>
  <c r="G7" i="47"/>
  <c r="H7" i="47" s="1"/>
  <c r="P3" i="47"/>
  <c r="U2" i="47"/>
  <c r="U3" i="47" s="1"/>
  <c r="AW28" i="46"/>
  <c r="AW27" i="46"/>
  <c r="AR28" i="46"/>
  <c r="AR27" i="46"/>
  <c r="AM28" i="46"/>
  <c r="AM27" i="46"/>
  <c r="AH28" i="46"/>
  <c r="AH27" i="46"/>
  <c r="AC28" i="46"/>
  <c r="AC27" i="46"/>
  <c r="X28" i="46"/>
  <c r="X27" i="46"/>
  <c r="S28" i="46"/>
  <c r="S27" i="46"/>
  <c r="M28" i="46"/>
  <c r="M27" i="46"/>
  <c r="AV28" i="46"/>
  <c r="AQ28" i="46"/>
  <c r="AL28" i="46"/>
  <c r="AG28" i="46"/>
  <c r="AB28" i="46"/>
  <c r="W28" i="46"/>
  <c r="R28" i="46"/>
  <c r="K28" i="46"/>
  <c r="J28" i="46"/>
  <c r="I28" i="46"/>
  <c r="G28" i="46"/>
  <c r="AX27" i="46"/>
  <c r="AV27" i="46"/>
  <c r="AQ27" i="46"/>
  <c r="AS27" i="46" s="1"/>
  <c r="AN27" i="46"/>
  <c r="AL27" i="46"/>
  <c r="AG27" i="46"/>
  <c r="AI27" i="46" s="1"/>
  <c r="AB27" i="46"/>
  <c r="AD27" i="46" s="1"/>
  <c r="W27" i="46"/>
  <c r="R27" i="46"/>
  <c r="T27" i="46" s="1"/>
  <c r="J27" i="46"/>
  <c r="I27" i="46"/>
  <c r="G27" i="46"/>
  <c r="H27" i="46" s="1"/>
  <c r="AV8" i="46"/>
  <c r="AQ8" i="46"/>
  <c r="AL8" i="46"/>
  <c r="AG8" i="46"/>
  <c r="AB8" i="46"/>
  <c r="X8" i="46"/>
  <c r="W8" i="46"/>
  <c r="R8" i="46"/>
  <c r="J8" i="46"/>
  <c r="I8" i="46"/>
  <c r="G8" i="46"/>
  <c r="AX7" i="46"/>
  <c r="AV7" i="46"/>
  <c r="AQ7" i="46"/>
  <c r="AS7" i="46" s="1"/>
  <c r="AL7" i="46"/>
  <c r="AN7" i="46" s="1"/>
  <c r="AG7" i="46"/>
  <c r="AI7" i="46" s="1"/>
  <c r="AB7" i="46"/>
  <c r="AD7" i="46" s="1"/>
  <c r="W7" i="46"/>
  <c r="Y7" i="46" s="1"/>
  <c r="R7" i="46"/>
  <c r="K7" i="46" s="1"/>
  <c r="J7" i="46"/>
  <c r="I7" i="46"/>
  <c r="G7" i="46"/>
  <c r="H7" i="46" s="1"/>
  <c r="P3" i="46"/>
  <c r="U2" i="46"/>
  <c r="U3" i="46" s="1"/>
  <c r="C1" i="45"/>
  <c r="AW35" i="45"/>
  <c r="AW34" i="45"/>
  <c r="AW33" i="45"/>
  <c r="AW32" i="45"/>
  <c r="AW31" i="45"/>
  <c r="AW30" i="45"/>
  <c r="AW29" i="45"/>
  <c r="AW28" i="45"/>
  <c r="AW27" i="45"/>
  <c r="AR35" i="45"/>
  <c r="AR34" i="45"/>
  <c r="AR33" i="45"/>
  <c r="AR32" i="45"/>
  <c r="AR31" i="45"/>
  <c r="AR30" i="45"/>
  <c r="AR29" i="45"/>
  <c r="AR28" i="45"/>
  <c r="AR27" i="45"/>
  <c r="AM35" i="45"/>
  <c r="AM34" i="45"/>
  <c r="AM33" i="45"/>
  <c r="AM32" i="45"/>
  <c r="AM31" i="45"/>
  <c r="AM30" i="45"/>
  <c r="AM29" i="45"/>
  <c r="AM28" i="45"/>
  <c r="AM27" i="45"/>
  <c r="AH35" i="45"/>
  <c r="AH34" i="45"/>
  <c r="AH33" i="45"/>
  <c r="AH32" i="45"/>
  <c r="AH31" i="45"/>
  <c r="AH30" i="45"/>
  <c r="AH29" i="45"/>
  <c r="AH28" i="45"/>
  <c r="AH27" i="45"/>
  <c r="AC35" i="45"/>
  <c r="AC34" i="45"/>
  <c r="AC33" i="45"/>
  <c r="AC32" i="45"/>
  <c r="AC31" i="45"/>
  <c r="AC30" i="45"/>
  <c r="AC29" i="45"/>
  <c r="AC28" i="45"/>
  <c r="AC27" i="45"/>
  <c r="X35" i="45"/>
  <c r="X34" i="45"/>
  <c r="X33" i="45"/>
  <c r="X32" i="45"/>
  <c r="X31" i="45"/>
  <c r="X30" i="45"/>
  <c r="X29" i="45"/>
  <c r="X28" i="45"/>
  <c r="X27" i="45"/>
  <c r="S28" i="45"/>
  <c r="S29" i="45"/>
  <c r="S30" i="45"/>
  <c r="S31" i="45"/>
  <c r="S32" i="45"/>
  <c r="S33" i="45"/>
  <c r="S34" i="45"/>
  <c r="S35" i="45"/>
  <c r="S27" i="45"/>
  <c r="M28" i="45"/>
  <c r="M29" i="45"/>
  <c r="M30" i="45"/>
  <c r="M31" i="45"/>
  <c r="M32" i="45"/>
  <c r="M33" i="45"/>
  <c r="M34" i="45"/>
  <c r="M35" i="45"/>
  <c r="M27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K32" i="45" s="1"/>
  <c r="AQ32" i="45"/>
  <c r="AL32" i="45"/>
  <c r="AG32" i="45"/>
  <c r="AB32" i="45"/>
  <c r="W32" i="45"/>
  <c r="R32" i="45"/>
  <c r="J32" i="45"/>
  <c r="I32" i="45"/>
  <c r="G32" i="45"/>
  <c r="AV31" i="45"/>
  <c r="AX27" i="45" s="1"/>
  <c r="AQ31" i="45"/>
  <c r="K31" i="45" s="1"/>
  <c r="AL31" i="45"/>
  <c r="AG31" i="45"/>
  <c r="AB31" i="45"/>
  <c r="W31" i="45"/>
  <c r="R31" i="45"/>
  <c r="J31" i="45"/>
  <c r="I31" i="45"/>
  <c r="G31" i="45"/>
  <c r="AV30" i="45"/>
  <c r="AQ30" i="45"/>
  <c r="K30" i="45" s="1"/>
  <c r="AL30" i="45"/>
  <c r="AG30" i="45"/>
  <c r="AB30" i="45"/>
  <c r="W30" i="45"/>
  <c r="R30" i="45"/>
  <c r="J30" i="45"/>
  <c r="I30" i="45"/>
  <c r="G30" i="45"/>
  <c r="AV29" i="45"/>
  <c r="AQ29" i="45"/>
  <c r="AL29" i="45"/>
  <c r="K29" i="45" s="1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S27" i="45" s="1"/>
  <c r="AL27" i="45"/>
  <c r="AG27" i="45"/>
  <c r="AI27" i="45" s="1"/>
  <c r="AB27" i="45"/>
  <c r="W27" i="45"/>
  <c r="Y27" i="45" s="1"/>
  <c r="R27" i="45"/>
  <c r="J27" i="45"/>
  <c r="I27" i="45"/>
  <c r="G27" i="45"/>
  <c r="H27" i="45" s="1"/>
  <c r="AV14" i="45"/>
  <c r="AQ14" i="45"/>
  <c r="AL14" i="45"/>
  <c r="AG14" i="45"/>
  <c r="AB14" i="45"/>
  <c r="W14" i="45"/>
  <c r="R14" i="45"/>
  <c r="K14" i="45"/>
  <c r="J14" i="45"/>
  <c r="I14" i="45"/>
  <c r="G14" i="45"/>
  <c r="AV13" i="45"/>
  <c r="AQ13" i="45"/>
  <c r="AL13" i="45"/>
  <c r="AG13" i="45"/>
  <c r="AB13" i="45"/>
  <c r="W13" i="45"/>
  <c r="R13" i="45"/>
  <c r="J13" i="45"/>
  <c r="I13" i="45"/>
  <c r="G13" i="45"/>
  <c r="AV12" i="45"/>
  <c r="AQ12" i="45"/>
  <c r="AL12" i="45"/>
  <c r="AG12" i="45"/>
  <c r="AB12" i="45"/>
  <c r="W12" i="45"/>
  <c r="R12" i="45"/>
  <c r="J12" i="45"/>
  <c r="I12" i="45"/>
  <c r="G12" i="45"/>
  <c r="AV11" i="45"/>
  <c r="AQ11" i="45"/>
  <c r="AL11" i="45"/>
  <c r="AG11" i="45"/>
  <c r="AB11" i="45"/>
  <c r="W11" i="45"/>
  <c r="R11" i="45"/>
  <c r="J11" i="45"/>
  <c r="I11" i="45"/>
  <c r="G11" i="45"/>
  <c r="AV10" i="45"/>
  <c r="AQ10" i="45"/>
  <c r="AL10" i="45"/>
  <c r="AG10" i="45"/>
  <c r="AB10" i="45"/>
  <c r="W10" i="45"/>
  <c r="R10" i="45"/>
  <c r="J10" i="45"/>
  <c r="I10" i="45"/>
  <c r="G10" i="45"/>
  <c r="AV9" i="45"/>
  <c r="AQ9" i="45"/>
  <c r="AL9" i="45"/>
  <c r="AG9" i="45"/>
  <c r="AB9" i="45"/>
  <c r="W9" i="45"/>
  <c r="R9" i="45"/>
  <c r="J9" i="45"/>
  <c r="I9" i="45"/>
  <c r="G9" i="45"/>
  <c r="AV8" i="45"/>
  <c r="AQ8" i="45"/>
  <c r="AL8" i="45"/>
  <c r="K8" i="45" s="1"/>
  <c r="AG8" i="45"/>
  <c r="AB8" i="45"/>
  <c r="W8" i="45"/>
  <c r="R8" i="45"/>
  <c r="J8" i="45"/>
  <c r="I8" i="45"/>
  <c r="G8" i="45"/>
  <c r="AV7" i="45"/>
  <c r="AX7" i="45" s="1"/>
  <c r="AQ7" i="45"/>
  <c r="AN7" i="45"/>
  <c r="AL7" i="45"/>
  <c r="AG7" i="45"/>
  <c r="AI7" i="45" s="1"/>
  <c r="AB7" i="45"/>
  <c r="AD7" i="45" s="1"/>
  <c r="W7" i="45"/>
  <c r="Y7" i="45" s="1"/>
  <c r="R7" i="45"/>
  <c r="T7" i="45" s="1"/>
  <c r="J7" i="45"/>
  <c r="I7" i="45"/>
  <c r="H7" i="45"/>
  <c r="G7" i="45"/>
  <c r="P3" i="45"/>
  <c r="P78" i="44"/>
  <c r="U78" i="44" s="1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W46" i="44"/>
  <c r="AW4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R46" i="44"/>
  <c r="AR4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M46" i="44"/>
  <c r="AM4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H46" i="44"/>
  <c r="AH4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AC46" i="44"/>
  <c r="AC4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X46" i="44"/>
  <c r="X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45" i="44"/>
  <c r="M46" i="44"/>
  <c r="M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45" i="44"/>
  <c r="AV74" i="44"/>
  <c r="AQ74" i="44"/>
  <c r="AL74" i="44"/>
  <c r="AG74" i="44"/>
  <c r="AB74" i="44"/>
  <c r="W74" i="44"/>
  <c r="R74" i="44"/>
  <c r="K74" i="44"/>
  <c r="J74" i="44"/>
  <c r="I74" i="44"/>
  <c r="G74" i="44"/>
  <c r="AV73" i="44"/>
  <c r="AQ73" i="44"/>
  <c r="AL73" i="44"/>
  <c r="AG73" i="44"/>
  <c r="AB73" i="44"/>
  <c r="W73" i="44"/>
  <c r="R73" i="44"/>
  <c r="J73" i="44"/>
  <c r="I73" i="44"/>
  <c r="G73" i="44"/>
  <c r="AV72" i="44"/>
  <c r="AQ72" i="44"/>
  <c r="AL72" i="44"/>
  <c r="AG72" i="44"/>
  <c r="AB72" i="44"/>
  <c r="W72" i="44"/>
  <c r="K72" i="44" s="1"/>
  <c r="R72" i="44"/>
  <c r="J72" i="44"/>
  <c r="I72" i="44"/>
  <c r="G72" i="44"/>
  <c r="AV71" i="44"/>
  <c r="AQ71" i="44"/>
  <c r="AL71" i="44"/>
  <c r="AG71" i="44"/>
  <c r="AB71" i="44"/>
  <c r="W71" i="44"/>
  <c r="R71" i="44"/>
  <c r="J71" i="44"/>
  <c r="I71" i="44"/>
  <c r="G71" i="44"/>
  <c r="AV70" i="44"/>
  <c r="AQ70" i="44"/>
  <c r="AL70" i="44"/>
  <c r="AG70" i="44"/>
  <c r="AB70" i="44"/>
  <c r="W70" i="44"/>
  <c r="R70" i="44"/>
  <c r="K70" i="44"/>
  <c r="J70" i="44"/>
  <c r="I70" i="44"/>
  <c r="G70" i="44"/>
  <c r="AV69" i="44"/>
  <c r="K69" i="44" s="1"/>
  <c r="AQ69" i="44"/>
  <c r="AL69" i="44"/>
  <c r="AG69" i="44"/>
  <c r="AB69" i="44"/>
  <c r="W69" i="44"/>
  <c r="R69" i="44"/>
  <c r="J69" i="44"/>
  <c r="I69" i="44"/>
  <c r="G69" i="44"/>
  <c r="AV68" i="44"/>
  <c r="AQ68" i="44"/>
  <c r="AL68" i="44"/>
  <c r="K68" i="44" s="1"/>
  <c r="AG68" i="44"/>
  <c r="AB68" i="44"/>
  <c r="W68" i="44"/>
  <c r="R68" i="44"/>
  <c r="J68" i="44"/>
  <c r="I68" i="44"/>
  <c r="G68" i="44"/>
  <c r="AV67" i="44"/>
  <c r="AQ67" i="44"/>
  <c r="AL67" i="44"/>
  <c r="K67" i="44" s="1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K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K61" i="44" s="1"/>
  <c r="R61" i="44"/>
  <c r="J61" i="44"/>
  <c r="I61" i="44"/>
  <c r="G61" i="44"/>
  <c r="AV60" i="44"/>
  <c r="AQ60" i="44"/>
  <c r="AL60" i="44"/>
  <c r="AG60" i="44"/>
  <c r="AB60" i="44"/>
  <c r="W60" i="44"/>
  <c r="R60" i="44"/>
  <c r="K60" i="44" s="1"/>
  <c r="J60" i="44"/>
  <c r="I60" i="44"/>
  <c r="G60" i="44"/>
  <c r="AV59" i="44"/>
  <c r="AQ59" i="44"/>
  <c r="AL59" i="44"/>
  <c r="AG59" i="44"/>
  <c r="AB59" i="44"/>
  <c r="W59" i="44"/>
  <c r="R59" i="44"/>
  <c r="K59" i="44" s="1"/>
  <c r="J59" i="44"/>
  <c r="I59" i="44"/>
  <c r="G59" i="44"/>
  <c r="AV58" i="44"/>
  <c r="AQ58" i="44"/>
  <c r="AL58" i="44"/>
  <c r="AG58" i="44"/>
  <c r="AB58" i="44"/>
  <c r="W58" i="44"/>
  <c r="R58" i="44"/>
  <c r="K58" i="44"/>
  <c r="J58" i="44"/>
  <c r="I58" i="44"/>
  <c r="G58" i="44"/>
  <c r="AV57" i="44"/>
  <c r="AQ57" i="44"/>
  <c r="AL57" i="44"/>
  <c r="AG57" i="44"/>
  <c r="K57" i="44" s="1"/>
  <c r="AB57" i="44"/>
  <c r="W57" i="44"/>
  <c r="R57" i="44"/>
  <c r="J57" i="44"/>
  <c r="I57" i="44"/>
  <c r="G57" i="44"/>
  <c r="AV56" i="44"/>
  <c r="AQ56" i="44"/>
  <c r="AL56" i="44"/>
  <c r="AG56" i="44"/>
  <c r="AB56" i="44"/>
  <c r="K56" i="44" s="1"/>
  <c r="W56" i="44"/>
  <c r="R56" i="44"/>
  <c r="J56" i="44"/>
  <c r="I56" i="44"/>
  <c r="G56" i="44"/>
  <c r="AV55" i="44"/>
  <c r="AQ55" i="44"/>
  <c r="AL55" i="44"/>
  <c r="AG55" i="44"/>
  <c r="AB55" i="44"/>
  <c r="W55" i="44"/>
  <c r="R55" i="44"/>
  <c r="K55" i="44" s="1"/>
  <c r="J55" i="44"/>
  <c r="I55" i="44"/>
  <c r="G55" i="44"/>
  <c r="AV54" i="44"/>
  <c r="AQ54" i="44"/>
  <c r="AL54" i="44"/>
  <c r="AG54" i="44"/>
  <c r="AB54" i="44"/>
  <c r="W54" i="44"/>
  <c r="R54" i="44"/>
  <c r="K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K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K50" i="44" s="1"/>
  <c r="J50" i="44"/>
  <c r="I50" i="44"/>
  <c r="G50" i="44"/>
  <c r="AV49" i="44"/>
  <c r="AQ49" i="44"/>
  <c r="AL49" i="44"/>
  <c r="AG49" i="44"/>
  <c r="AB49" i="44"/>
  <c r="W49" i="44"/>
  <c r="R49" i="44"/>
  <c r="K49" i="44"/>
  <c r="J49" i="44"/>
  <c r="I49" i="44"/>
  <c r="G49" i="44"/>
  <c r="AV48" i="44"/>
  <c r="AQ48" i="44"/>
  <c r="AL48" i="44"/>
  <c r="AG48" i="44"/>
  <c r="AB48" i="44"/>
  <c r="W48" i="44"/>
  <c r="R48" i="44"/>
  <c r="K48" i="44"/>
  <c r="J48" i="44"/>
  <c r="I48" i="44"/>
  <c r="G48" i="44"/>
  <c r="AV47" i="44"/>
  <c r="AQ47" i="44"/>
  <c r="K47" i="44" s="1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K46" i="44" s="1"/>
  <c r="AB46" i="44"/>
  <c r="W46" i="44"/>
  <c r="R46" i="44"/>
  <c r="J46" i="44"/>
  <c r="I46" i="44"/>
  <c r="G46" i="44"/>
  <c r="AV45" i="44"/>
  <c r="AX45" i="44" s="1"/>
  <c r="AQ45" i="44"/>
  <c r="AS45" i="44" s="1"/>
  <c r="AL45" i="44"/>
  <c r="K45" i="44" s="1"/>
  <c r="AG45" i="44"/>
  <c r="AB45" i="44"/>
  <c r="W45" i="44"/>
  <c r="R45" i="44"/>
  <c r="T45" i="44" s="1"/>
  <c r="J45" i="44"/>
  <c r="I45" i="44"/>
  <c r="G45" i="44"/>
  <c r="H45" i="44" s="1"/>
  <c r="H12" i="7"/>
  <c r="B14" i="6"/>
  <c r="AC20" i="6"/>
  <c r="AD20" i="6" s="1"/>
  <c r="S20" i="6"/>
  <c r="M20" i="6"/>
  <c r="N20" i="6" s="1"/>
  <c r="F20" i="6"/>
  <c r="AL20" i="6" s="1"/>
  <c r="AC19" i="6"/>
  <c r="AD19" i="6" s="1"/>
  <c r="S19" i="6"/>
  <c r="M19" i="6"/>
  <c r="N19" i="6" s="1"/>
  <c r="F19" i="6"/>
  <c r="AL19" i="6" s="1"/>
  <c r="AC18" i="6"/>
  <c r="S18" i="6"/>
  <c r="M18" i="6"/>
  <c r="N18" i="6" s="1"/>
  <c r="F18" i="6"/>
  <c r="AL18" i="6" s="1"/>
  <c r="AC17" i="6"/>
  <c r="AD17" i="6" s="1"/>
  <c r="S17" i="6"/>
  <c r="M17" i="6"/>
  <c r="N17" i="6" s="1"/>
  <c r="F17" i="6"/>
  <c r="AL17" i="6" s="1"/>
  <c r="AC16" i="6"/>
  <c r="AD16" i="6" s="1"/>
  <c r="S16" i="6"/>
  <c r="M16" i="6"/>
  <c r="N16" i="6" s="1"/>
  <c r="F16" i="6"/>
  <c r="AL16" i="6" s="1"/>
  <c r="AC15" i="6"/>
  <c r="AD15" i="6" s="1"/>
  <c r="S15" i="6"/>
  <c r="M15" i="6"/>
  <c r="N15" i="6" s="1"/>
  <c r="F15" i="6"/>
  <c r="AL15" i="6" s="1"/>
  <c r="AC14" i="6"/>
  <c r="AD14" i="6" s="1"/>
  <c r="S14" i="6"/>
  <c r="M14" i="6"/>
  <c r="N14" i="6" s="1"/>
  <c r="F14" i="6"/>
  <c r="AL14" i="6" s="1"/>
  <c r="B14" i="7"/>
  <c r="AC20" i="7"/>
  <c r="S20" i="7"/>
  <c r="T20" i="7" s="1"/>
  <c r="M20" i="7"/>
  <c r="N20" i="7" s="1"/>
  <c r="F20" i="7"/>
  <c r="AL20" i="7" s="1"/>
  <c r="AC19" i="7"/>
  <c r="S19" i="7"/>
  <c r="T19" i="7" s="1"/>
  <c r="M19" i="7"/>
  <c r="N19" i="7" s="1"/>
  <c r="F19" i="7"/>
  <c r="AL19" i="7" s="1"/>
  <c r="AC18" i="7"/>
  <c r="S18" i="7"/>
  <c r="T18" i="7" s="1"/>
  <c r="M18" i="7"/>
  <c r="N18" i="7" s="1"/>
  <c r="F18" i="7"/>
  <c r="AL18" i="7" s="1"/>
  <c r="AC17" i="7"/>
  <c r="S17" i="7"/>
  <c r="T17" i="7" s="1"/>
  <c r="M17" i="7"/>
  <c r="N17" i="7" s="1"/>
  <c r="F17" i="7"/>
  <c r="AL17" i="7" s="1"/>
  <c r="AC16" i="7"/>
  <c r="S16" i="7"/>
  <c r="T16" i="7" s="1"/>
  <c r="M16" i="7"/>
  <c r="N16" i="7" s="1"/>
  <c r="F16" i="7"/>
  <c r="AL16" i="7" s="1"/>
  <c r="AC15" i="7"/>
  <c r="S15" i="7"/>
  <c r="T15" i="7" s="1"/>
  <c r="M15" i="7"/>
  <c r="N15" i="7" s="1"/>
  <c r="F15" i="7"/>
  <c r="AL15" i="7" s="1"/>
  <c r="AC14" i="7"/>
  <c r="S14" i="7"/>
  <c r="T14" i="7" s="1"/>
  <c r="M14" i="7"/>
  <c r="N14" i="7" s="1"/>
  <c r="F14" i="7"/>
  <c r="AL14" i="7" s="1"/>
  <c r="U13" i="5"/>
  <c r="U14" i="5"/>
  <c r="U15" i="5"/>
  <c r="U16" i="5"/>
  <c r="U17" i="5"/>
  <c r="U18" i="5"/>
  <c r="U12" i="5"/>
  <c r="H10" i="5"/>
  <c r="I6" i="13" s="1"/>
  <c r="AE42" i="52" l="1"/>
  <c r="Z43" i="52"/>
  <c r="AI27" i="52"/>
  <c r="K27" i="52"/>
  <c r="Z42" i="51"/>
  <c r="U43" i="51"/>
  <c r="AE22" i="51"/>
  <c r="Z23" i="51"/>
  <c r="L27" i="51"/>
  <c r="C1" i="51" s="1"/>
  <c r="Z42" i="50"/>
  <c r="U43" i="50"/>
  <c r="U23" i="50"/>
  <c r="Z22" i="50"/>
  <c r="Z43" i="49"/>
  <c r="AE42" i="49"/>
  <c r="K31" i="49"/>
  <c r="K30" i="49"/>
  <c r="AI27" i="49"/>
  <c r="AS27" i="49"/>
  <c r="T27" i="49"/>
  <c r="AD27" i="49"/>
  <c r="U43" i="48"/>
  <c r="Z42" i="48"/>
  <c r="AS27" i="48"/>
  <c r="AX27" i="48"/>
  <c r="K32" i="48"/>
  <c r="K31" i="48"/>
  <c r="K30" i="48"/>
  <c r="K29" i="48"/>
  <c r="Y27" i="48"/>
  <c r="AN27" i="48"/>
  <c r="Z42" i="47"/>
  <c r="U43" i="47"/>
  <c r="T27" i="47"/>
  <c r="K28" i="47"/>
  <c r="Y7" i="47"/>
  <c r="AM7" i="47"/>
  <c r="AR7" i="47"/>
  <c r="Z2" i="47"/>
  <c r="AC7" i="47"/>
  <c r="K7" i="47"/>
  <c r="AH7" i="47"/>
  <c r="S7" i="47"/>
  <c r="Y27" i="46"/>
  <c r="K27" i="46"/>
  <c r="Z2" i="46"/>
  <c r="T7" i="46"/>
  <c r="K8" i="46"/>
  <c r="AN27" i="45"/>
  <c r="K27" i="45"/>
  <c r="K35" i="45"/>
  <c r="K34" i="45"/>
  <c r="K33" i="45"/>
  <c r="T27" i="45"/>
  <c r="K28" i="45"/>
  <c r="AD27" i="45"/>
  <c r="K7" i="45"/>
  <c r="AS7" i="45"/>
  <c r="K13" i="45"/>
  <c r="U2" i="45"/>
  <c r="K12" i="45"/>
  <c r="K11" i="45"/>
  <c r="K10" i="45"/>
  <c r="K9" i="45"/>
  <c r="U79" i="44"/>
  <c r="Z78" i="44"/>
  <c r="Z79" i="44" s="1"/>
  <c r="AE78" i="44"/>
  <c r="Y45" i="44"/>
  <c r="AD45" i="44"/>
  <c r="K66" i="44"/>
  <c r="K71" i="44"/>
  <c r="AI45" i="44"/>
  <c r="K53" i="44"/>
  <c r="AN45" i="44"/>
  <c r="K64" i="44"/>
  <c r="K73" i="44"/>
  <c r="K51" i="44"/>
  <c r="K63" i="44"/>
  <c r="K62" i="44"/>
  <c r="J16" i="6"/>
  <c r="J19" i="6"/>
  <c r="L16" i="6"/>
  <c r="L20" i="6"/>
  <c r="P14" i="6"/>
  <c r="P15" i="6"/>
  <c r="P16" i="6"/>
  <c r="P17" i="6"/>
  <c r="P18" i="6"/>
  <c r="P19" i="6"/>
  <c r="P20" i="6"/>
  <c r="R14" i="6"/>
  <c r="R15" i="6"/>
  <c r="R16" i="6"/>
  <c r="R17" i="6"/>
  <c r="R18" i="6"/>
  <c r="R19" i="6"/>
  <c r="R20" i="6"/>
  <c r="G14" i="6"/>
  <c r="J15" i="6"/>
  <c r="J17" i="6"/>
  <c r="L15" i="6"/>
  <c r="L19" i="6"/>
  <c r="T14" i="6"/>
  <c r="T15" i="6"/>
  <c r="T16" i="6"/>
  <c r="T17" i="6"/>
  <c r="T18" i="6"/>
  <c r="T20" i="6"/>
  <c r="V14" i="6"/>
  <c r="V15" i="6"/>
  <c r="V16" i="6"/>
  <c r="V17" i="6"/>
  <c r="V18" i="6"/>
  <c r="V19" i="6"/>
  <c r="V20" i="6"/>
  <c r="X14" i="6"/>
  <c r="X15" i="6"/>
  <c r="X16" i="6"/>
  <c r="X17" i="6"/>
  <c r="X18" i="6"/>
  <c r="X19" i="6"/>
  <c r="X20" i="6"/>
  <c r="Z14" i="6"/>
  <c r="Z15" i="6"/>
  <c r="Z16" i="6"/>
  <c r="Z17" i="6"/>
  <c r="Z18" i="6"/>
  <c r="Z19" i="6"/>
  <c r="Z20" i="6"/>
  <c r="AB14" i="6"/>
  <c r="AB15" i="6"/>
  <c r="AB16" i="6"/>
  <c r="AB17" i="6"/>
  <c r="AB18" i="6"/>
  <c r="AB19" i="6"/>
  <c r="AB20" i="6"/>
  <c r="J20" i="6"/>
  <c r="AD18" i="6"/>
  <c r="AH14" i="6"/>
  <c r="AH15" i="6"/>
  <c r="AH16" i="6"/>
  <c r="AH17" i="6"/>
  <c r="AH18" i="6"/>
  <c r="AH19" i="6"/>
  <c r="AH20" i="6"/>
  <c r="AJ14" i="6"/>
  <c r="AJ15" i="6"/>
  <c r="AJ16" i="6"/>
  <c r="AJ17" i="6"/>
  <c r="AJ18" i="6"/>
  <c r="AJ19" i="6"/>
  <c r="AJ20" i="6"/>
  <c r="J14" i="6"/>
  <c r="J18" i="6"/>
  <c r="L14" i="6"/>
  <c r="L17" i="6"/>
  <c r="L18" i="6"/>
  <c r="T19" i="6"/>
  <c r="AF14" i="6"/>
  <c r="AF15" i="6"/>
  <c r="AF16" i="6"/>
  <c r="AF17" i="6"/>
  <c r="AF18" i="6"/>
  <c r="AF19" i="6"/>
  <c r="AF20" i="6"/>
  <c r="J14" i="7"/>
  <c r="J15" i="7"/>
  <c r="J16" i="7"/>
  <c r="J17" i="7"/>
  <c r="J18" i="7"/>
  <c r="J19" i="7"/>
  <c r="J20" i="7"/>
  <c r="L14" i="7"/>
  <c r="L20" i="7"/>
  <c r="P15" i="7"/>
  <c r="P18" i="7"/>
  <c r="R15" i="7"/>
  <c r="R19" i="7"/>
  <c r="V17" i="7"/>
  <c r="AB16" i="7"/>
  <c r="R17" i="7"/>
  <c r="V18" i="7"/>
  <c r="Z18" i="7"/>
  <c r="AB14" i="7"/>
  <c r="AB15" i="7"/>
  <c r="AB18" i="7"/>
  <c r="AB19" i="7"/>
  <c r="AB20" i="7"/>
  <c r="G14" i="7"/>
  <c r="L16" i="7"/>
  <c r="L18" i="7"/>
  <c r="P14" i="7"/>
  <c r="P17" i="7"/>
  <c r="P20" i="7"/>
  <c r="R16" i="7"/>
  <c r="R18" i="7"/>
  <c r="V15" i="7"/>
  <c r="V19" i="7"/>
  <c r="X14" i="7"/>
  <c r="X16" i="7"/>
  <c r="X18" i="7"/>
  <c r="X20" i="7"/>
  <c r="Z15" i="7"/>
  <c r="Z17" i="7"/>
  <c r="Z20" i="7"/>
  <c r="AB17" i="7"/>
  <c r="AD14" i="7"/>
  <c r="AD15" i="7"/>
  <c r="AD16" i="7"/>
  <c r="AD17" i="7"/>
  <c r="AD18" i="7"/>
  <c r="AD19" i="7"/>
  <c r="AD20" i="7"/>
  <c r="AF14" i="7"/>
  <c r="AF15" i="7"/>
  <c r="AF16" i="7"/>
  <c r="AF17" i="7"/>
  <c r="AF18" i="7"/>
  <c r="AF19" i="7"/>
  <c r="AF20" i="7"/>
  <c r="L15" i="7"/>
  <c r="L17" i="7"/>
  <c r="L19" i="7"/>
  <c r="P16" i="7"/>
  <c r="P19" i="7"/>
  <c r="R14" i="7"/>
  <c r="R20" i="7"/>
  <c r="V14" i="7"/>
  <c r="V16" i="7"/>
  <c r="V20" i="7"/>
  <c r="X15" i="7"/>
  <c r="X17" i="7"/>
  <c r="X19" i="7"/>
  <c r="Z14" i="7"/>
  <c r="Z16" i="7"/>
  <c r="Z19" i="7"/>
  <c r="AH14" i="7"/>
  <c r="AH15" i="7"/>
  <c r="AH16" i="7"/>
  <c r="AH17" i="7"/>
  <c r="AH18" i="7"/>
  <c r="AH19" i="7"/>
  <c r="AH20" i="7"/>
  <c r="AJ14" i="7"/>
  <c r="AJ15" i="7"/>
  <c r="AJ16" i="7"/>
  <c r="AJ17" i="7"/>
  <c r="AJ18" i="7"/>
  <c r="AJ19" i="7"/>
  <c r="AJ20" i="7"/>
  <c r="AE43" i="52" l="1"/>
  <c r="AJ42" i="52"/>
  <c r="L27" i="52"/>
  <c r="C1" i="52" s="1"/>
  <c r="AE42" i="51"/>
  <c r="Z43" i="51"/>
  <c r="AE23" i="51"/>
  <c r="AJ22" i="51"/>
  <c r="AE42" i="50"/>
  <c r="Z43" i="50"/>
  <c r="Z23" i="50"/>
  <c r="AE22" i="50"/>
  <c r="AJ42" i="49"/>
  <c r="AE43" i="49"/>
  <c r="L27" i="49"/>
  <c r="C1" i="49" s="1"/>
  <c r="Z43" i="48"/>
  <c r="AE42" i="48"/>
  <c r="L27" i="48"/>
  <c r="AE42" i="47"/>
  <c r="Z43" i="47"/>
  <c r="L27" i="47"/>
  <c r="M7" i="47"/>
  <c r="L7" i="47"/>
  <c r="Z3" i="47"/>
  <c r="AE2" i="47"/>
  <c r="L27" i="46"/>
  <c r="Z3" i="46"/>
  <c r="AE2" i="46"/>
  <c r="L7" i="46"/>
  <c r="L27" i="45"/>
  <c r="U3" i="45"/>
  <c r="Z2" i="45"/>
  <c r="L7" i="45"/>
  <c r="AE79" i="44"/>
  <c r="AJ78" i="44"/>
  <c r="L45" i="44"/>
  <c r="AO42" i="52" l="1"/>
  <c r="AJ43" i="52"/>
  <c r="AJ42" i="51"/>
  <c r="AE43" i="51"/>
  <c r="AJ23" i="51"/>
  <c r="AO22" i="51"/>
  <c r="AJ42" i="50"/>
  <c r="AE43" i="50"/>
  <c r="AE23" i="50"/>
  <c r="AJ22" i="50"/>
  <c r="AO42" i="49"/>
  <c r="AJ43" i="49"/>
  <c r="AJ42" i="48"/>
  <c r="AE43" i="48"/>
  <c r="AJ42" i="47"/>
  <c r="AE43" i="47"/>
  <c r="AE3" i="47"/>
  <c r="AJ2" i="47"/>
  <c r="AE3" i="46"/>
  <c r="AJ2" i="46"/>
  <c r="Z3" i="45"/>
  <c r="AE2" i="45"/>
  <c r="AJ79" i="44"/>
  <c r="AO78" i="44"/>
  <c r="AO43" i="52" l="1"/>
  <c r="AT42" i="52"/>
  <c r="AO42" i="51"/>
  <c r="AJ43" i="51"/>
  <c r="AO23" i="51"/>
  <c r="AT22" i="51"/>
  <c r="AT23" i="51" s="1"/>
  <c r="AO42" i="50"/>
  <c r="AJ43" i="50"/>
  <c r="AJ23" i="50"/>
  <c r="AO22" i="50"/>
  <c r="AT42" i="49"/>
  <c r="AO43" i="49"/>
  <c r="AO42" i="48"/>
  <c r="AJ43" i="48"/>
  <c r="AO42" i="47"/>
  <c r="AJ43" i="47"/>
  <c r="AJ3" i="47"/>
  <c r="AO2" i="47"/>
  <c r="AJ3" i="46"/>
  <c r="AO2" i="46"/>
  <c r="AJ2" i="45"/>
  <c r="AE3" i="45"/>
  <c r="AO79" i="44"/>
  <c r="AT78" i="44"/>
  <c r="AT79" i="44" s="1"/>
  <c r="P62" i="52" l="1"/>
  <c r="AT43" i="52"/>
  <c r="AT42" i="51"/>
  <c r="AO43" i="51"/>
  <c r="AO43" i="50"/>
  <c r="AT42" i="50"/>
  <c r="AO23" i="50"/>
  <c r="AT22" i="50"/>
  <c r="AT23" i="50" s="1"/>
  <c r="P62" i="49"/>
  <c r="AT43" i="49"/>
  <c r="AO43" i="48"/>
  <c r="AT42" i="48"/>
  <c r="AT42" i="47"/>
  <c r="AO43" i="47"/>
  <c r="AO3" i="47"/>
  <c r="AT2" i="47"/>
  <c r="AT3" i="47" s="1"/>
  <c r="AO3" i="46"/>
  <c r="AT2" i="46"/>
  <c r="AT3" i="46" s="1"/>
  <c r="AO2" i="45"/>
  <c r="AJ3" i="45"/>
  <c r="U62" i="52" l="1"/>
  <c r="P63" i="52"/>
  <c r="P62" i="51"/>
  <c r="AT43" i="51"/>
  <c r="P62" i="50"/>
  <c r="AT43" i="50"/>
  <c r="P63" i="49"/>
  <c r="U62" i="49"/>
  <c r="P62" i="48"/>
  <c r="AT43" i="48"/>
  <c r="P62" i="47"/>
  <c r="AT43" i="47"/>
  <c r="AT2" i="45"/>
  <c r="AT3" i="45" s="1"/>
  <c r="AO3" i="45"/>
  <c r="U63" i="52" l="1"/>
  <c r="Z62" i="52"/>
  <c r="P63" i="51"/>
  <c r="U62" i="51"/>
  <c r="P63" i="50"/>
  <c r="U62" i="50"/>
  <c r="U63" i="49"/>
  <c r="Z62" i="49"/>
  <c r="P63" i="48"/>
  <c r="U62" i="48"/>
  <c r="P63" i="47"/>
  <c r="U62" i="47"/>
  <c r="Z63" i="52" l="1"/>
  <c r="AE62" i="52"/>
  <c r="U63" i="51"/>
  <c r="Z62" i="51"/>
  <c r="Z62" i="50"/>
  <c r="U63" i="50"/>
  <c r="Z63" i="49"/>
  <c r="AE62" i="49"/>
  <c r="U63" i="48"/>
  <c r="Z62" i="48"/>
  <c r="U63" i="47"/>
  <c r="Z62" i="47"/>
  <c r="AE63" i="52" l="1"/>
  <c r="AJ62" i="52"/>
  <c r="Z63" i="51"/>
  <c r="AE62" i="51"/>
  <c r="Z63" i="50"/>
  <c r="AE62" i="50"/>
  <c r="AJ62" i="49"/>
  <c r="AE63" i="49"/>
  <c r="Z63" i="48"/>
  <c r="AE62" i="48"/>
  <c r="Z63" i="47"/>
  <c r="AE62" i="47"/>
  <c r="AO62" i="52" l="1"/>
  <c r="AJ63" i="52"/>
  <c r="AJ62" i="51"/>
  <c r="AE63" i="51"/>
  <c r="AJ62" i="50"/>
  <c r="AE63" i="50"/>
  <c r="AO62" i="49"/>
  <c r="AJ63" i="49"/>
  <c r="AJ62" i="48"/>
  <c r="AE63" i="48"/>
  <c r="AE63" i="47"/>
  <c r="AJ62" i="47"/>
  <c r="AT62" i="52" l="1"/>
  <c r="AO63" i="52"/>
  <c r="AO62" i="51"/>
  <c r="AJ63" i="51"/>
  <c r="AO62" i="50"/>
  <c r="AJ63" i="50"/>
  <c r="AT62" i="49"/>
  <c r="AO63" i="49"/>
  <c r="AJ63" i="48"/>
  <c r="AO62" i="48"/>
  <c r="AO62" i="47"/>
  <c r="AJ63" i="47"/>
  <c r="P82" i="52" l="1"/>
  <c r="AT63" i="52"/>
  <c r="AT62" i="51"/>
  <c r="AO63" i="51"/>
  <c r="AT62" i="50"/>
  <c r="AO63" i="50"/>
  <c r="P82" i="49"/>
  <c r="AT63" i="49"/>
  <c r="AT62" i="48"/>
  <c r="AO63" i="48"/>
  <c r="AT62" i="47"/>
  <c r="AO63" i="47"/>
  <c r="U82" i="52" l="1"/>
  <c r="P83" i="52"/>
  <c r="AT63" i="51"/>
  <c r="P82" i="51"/>
  <c r="P82" i="50"/>
  <c r="AT63" i="50"/>
  <c r="P83" i="49"/>
  <c r="U82" i="49"/>
  <c r="P82" i="48"/>
  <c r="AT63" i="48"/>
  <c r="AT63" i="47"/>
  <c r="P82" i="47"/>
  <c r="Z82" i="52" l="1"/>
  <c r="U83" i="52"/>
  <c r="P83" i="51"/>
  <c r="U82" i="51"/>
  <c r="U82" i="50"/>
  <c r="P83" i="50"/>
  <c r="U83" i="49"/>
  <c r="Z82" i="49"/>
  <c r="P83" i="48"/>
  <c r="U82" i="48"/>
  <c r="P83" i="47"/>
  <c r="U82" i="47"/>
  <c r="Z83" i="52" l="1"/>
  <c r="AE82" i="52"/>
  <c r="U83" i="51"/>
  <c r="Z82" i="51"/>
  <c r="U83" i="50"/>
  <c r="Z82" i="50"/>
  <c r="Z83" i="49"/>
  <c r="AE82" i="49"/>
  <c r="Z82" i="48"/>
  <c r="U83" i="48"/>
  <c r="U83" i="47"/>
  <c r="Z82" i="47"/>
  <c r="AE83" i="52" l="1"/>
  <c r="AJ82" i="52"/>
  <c r="Z83" i="51"/>
  <c r="AE82" i="51"/>
  <c r="AE82" i="50"/>
  <c r="Z83" i="50"/>
  <c r="AE83" i="49"/>
  <c r="AJ82" i="49"/>
  <c r="Z83" i="48"/>
  <c r="AE82" i="48"/>
  <c r="Z83" i="47"/>
  <c r="AE82" i="47"/>
  <c r="AJ83" i="52" l="1"/>
  <c r="AO82" i="52"/>
  <c r="AE83" i="51"/>
  <c r="AJ82" i="51"/>
  <c r="AE83" i="50"/>
  <c r="AJ82" i="50"/>
  <c r="AJ83" i="49"/>
  <c r="AO82" i="49"/>
  <c r="AE83" i="48"/>
  <c r="AJ82" i="48"/>
  <c r="AE83" i="47"/>
  <c r="AJ82" i="47"/>
  <c r="AO83" i="52" l="1"/>
  <c r="AT82" i="52"/>
  <c r="AJ83" i="51"/>
  <c r="AO82" i="51"/>
  <c r="AJ83" i="50"/>
  <c r="AO82" i="50"/>
  <c r="AO83" i="49"/>
  <c r="AT82" i="49"/>
  <c r="AJ83" i="48"/>
  <c r="AO82" i="48"/>
  <c r="AJ83" i="47"/>
  <c r="AO82" i="47"/>
  <c r="AT83" i="52" l="1"/>
  <c r="P102" i="52"/>
  <c r="AO83" i="51"/>
  <c r="AT82" i="51"/>
  <c r="AO83" i="50"/>
  <c r="AT82" i="50"/>
  <c r="AT83" i="49"/>
  <c r="P102" i="49"/>
  <c r="AO83" i="48"/>
  <c r="AT82" i="48"/>
  <c r="AO83" i="47"/>
  <c r="AT82" i="47"/>
  <c r="P103" i="52" l="1"/>
  <c r="U102" i="52"/>
  <c r="AT83" i="51"/>
  <c r="P102" i="51"/>
  <c r="AT83" i="50"/>
  <c r="P102" i="50"/>
  <c r="U102" i="49"/>
  <c r="P103" i="49"/>
  <c r="AT83" i="48"/>
  <c r="P102" i="48"/>
  <c r="AT83" i="47"/>
  <c r="P102" i="47"/>
  <c r="U103" i="52" l="1"/>
  <c r="Z102" i="52"/>
  <c r="P103" i="51"/>
  <c r="U102" i="51"/>
  <c r="U102" i="50"/>
  <c r="P103" i="50"/>
  <c r="U103" i="49"/>
  <c r="Z102" i="49"/>
  <c r="P103" i="48"/>
  <c r="U102" i="48"/>
  <c r="U102" i="47"/>
  <c r="P103" i="47"/>
  <c r="Z103" i="52" l="1"/>
  <c r="AE102" i="52"/>
  <c r="Z102" i="51"/>
  <c r="U103" i="51"/>
  <c r="U103" i="50"/>
  <c r="Z102" i="50"/>
  <c r="Z103" i="49"/>
  <c r="AE102" i="49"/>
  <c r="Z102" i="48"/>
  <c r="U103" i="48"/>
  <c r="U103" i="47"/>
  <c r="Z102" i="47"/>
  <c r="AE103" i="52" l="1"/>
  <c r="AJ102" i="52"/>
  <c r="Z103" i="51"/>
  <c r="AE102" i="51"/>
  <c r="Z103" i="50"/>
  <c r="AE102" i="50"/>
  <c r="AE103" i="49"/>
  <c r="AJ102" i="49"/>
  <c r="Z103" i="48"/>
  <c r="AE102" i="48"/>
  <c r="Z103" i="47"/>
  <c r="AE102" i="47"/>
  <c r="AJ103" i="52" l="1"/>
  <c r="AO102" i="52"/>
  <c r="AE103" i="51"/>
  <c r="AJ102" i="51"/>
  <c r="AE103" i="50"/>
  <c r="AJ102" i="50"/>
  <c r="AJ103" i="49"/>
  <c r="AO102" i="49"/>
  <c r="AE103" i="48"/>
  <c r="AJ102" i="48"/>
  <c r="AE103" i="47"/>
  <c r="AJ102" i="47"/>
  <c r="AO103" i="52" l="1"/>
  <c r="AT102" i="52"/>
  <c r="AT103" i="52" s="1"/>
  <c r="AJ103" i="51"/>
  <c r="AO102" i="51"/>
  <c r="AO102" i="50"/>
  <c r="AJ103" i="50"/>
  <c r="AO103" i="49"/>
  <c r="AT102" i="49"/>
  <c r="AT103" i="49" s="1"/>
  <c r="AJ103" i="48"/>
  <c r="AO102" i="48"/>
  <c r="AJ103" i="47"/>
  <c r="AO102" i="47"/>
  <c r="AO103" i="51" l="1"/>
  <c r="AT102" i="51"/>
  <c r="AT103" i="51" s="1"/>
  <c r="AO103" i="50"/>
  <c r="AT102" i="50"/>
  <c r="AT103" i="50" s="1"/>
  <c r="AO103" i="48"/>
  <c r="AT102" i="48"/>
  <c r="AT103" i="48" s="1"/>
  <c r="AO103" i="47"/>
  <c r="AT102" i="47"/>
  <c r="AT103" i="47" s="1"/>
  <c r="M29" i="62" l="1"/>
  <c r="M28" i="62"/>
  <c r="M27" i="62"/>
  <c r="M26" i="62"/>
  <c r="M25" i="62"/>
  <c r="M30" i="62" s="1"/>
  <c r="M21" i="62"/>
  <c r="M20" i="62"/>
  <c r="M19" i="62"/>
  <c r="M18" i="62"/>
  <c r="M17" i="62"/>
  <c r="M22" i="62" s="1"/>
  <c r="M13" i="62"/>
  <c r="M12" i="62"/>
  <c r="M11" i="62"/>
  <c r="M10" i="62"/>
  <c r="M9" i="62"/>
  <c r="M14" i="62" s="1"/>
  <c r="M35" i="20"/>
  <c r="M34" i="20"/>
  <c r="M33" i="20"/>
  <c r="M38" i="20" s="1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30" i="19" s="1"/>
  <c r="M21" i="19"/>
  <c r="M20" i="19"/>
  <c r="M19" i="19"/>
  <c r="M18" i="19"/>
  <c r="M17" i="19"/>
  <c r="M22" i="19" s="1"/>
  <c r="M13" i="19"/>
  <c r="M12" i="19"/>
  <c r="M11" i="19"/>
  <c r="M10" i="19"/>
  <c r="M9" i="19"/>
  <c r="AB103" i="64"/>
  <c r="R146" i="64"/>
  <c r="S146" i="64" s="1"/>
  <c r="Q146" i="64"/>
  <c r="P146" i="64"/>
  <c r="M146" i="64"/>
  <c r="K146" i="64"/>
  <c r="I146" i="64"/>
  <c r="R145" i="64"/>
  <c r="S145" i="64" s="1"/>
  <c r="Q145" i="64"/>
  <c r="P145" i="64"/>
  <c r="M145" i="64"/>
  <c r="K145" i="64"/>
  <c r="I145" i="64"/>
  <c r="R144" i="64"/>
  <c r="S144" i="64" s="1"/>
  <c r="Q144" i="64"/>
  <c r="P144" i="64"/>
  <c r="M144" i="64"/>
  <c r="K144" i="64"/>
  <c r="I144" i="64"/>
  <c r="R143" i="64"/>
  <c r="S143" i="64" s="1"/>
  <c r="Q143" i="64"/>
  <c r="P143" i="64"/>
  <c r="M143" i="64"/>
  <c r="K143" i="64"/>
  <c r="I143" i="64"/>
  <c r="R142" i="64"/>
  <c r="S142" i="64" s="1"/>
  <c r="Q142" i="64"/>
  <c r="P142" i="64"/>
  <c r="M142" i="64"/>
  <c r="K142" i="64"/>
  <c r="I142" i="64"/>
  <c r="R141" i="64"/>
  <c r="S141" i="64" s="1"/>
  <c r="Q141" i="64"/>
  <c r="P141" i="64"/>
  <c r="M141" i="64"/>
  <c r="K141" i="64"/>
  <c r="I141" i="64"/>
  <c r="R140" i="64"/>
  <c r="S140" i="64" s="1"/>
  <c r="Q140" i="64"/>
  <c r="P140" i="64"/>
  <c r="M140" i="64"/>
  <c r="K140" i="64"/>
  <c r="I140" i="64"/>
  <c r="R139" i="64"/>
  <c r="S139" i="64" s="1"/>
  <c r="Q139" i="64"/>
  <c r="P139" i="64"/>
  <c r="M139" i="64"/>
  <c r="K139" i="64"/>
  <c r="I139" i="64"/>
  <c r="R138" i="64"/>
  <c r="S138" i="64" s="1"/>
  <c r="Q138" i="64"/>
  <c r="P138" i="64"/>
  <c r="M138" i="64"/>
  <c r="K138" i="64"/>
  <c r="I138" i="64"/>
  <c r="R137" i="64"/>
  <c r="S137" i="64" s="1"/>
  <c r="Q137" i="64"/>
  <c r="P137" i="64"/>
  <c r="M137" i="64"/>
  <c r="K137" i="64"/>
  <c r="I137" i="64"/>
  <c r="R136" i="64"/>
  <c r="S136" i="64" s="1"/>
  <c r="Q136" i="64"/>
  <c r="P136" i="64"/>
  <c r="M136" i="64"/>
  <c r="K136" i="64"/>
  <c r="I136" i="64"/>
  <c r="R135" i="64"/>
  <c r="S135" i="64" s="1"/>
  <c r="Q135" i="64"/>
  <c r="P135" i="64"/>
  <c r="M135" i="64"/>
  <c r="K135" i="64"/>
  <c r="I135" i="64"/>
  <c r="R134" i="64"/>
  <c r="S134" i="64" s="1"/>
  <c r="Q134" i="64"/>
  <c r="P134" i="64"/>
  <c r="M134" i="64"/>
  <c r="K134" i="64"/>
  <c r="I134" i="64"/>
  <c r="R133" i="64"/>
  <c r="S133" i="64" s="1"/>
  <c r="Q133" i="64"/>
  <c r="P133" i="64"/>
  <c r="M133" i="64"/>
  <c r="K133" i="64"/>
  <c r="I133" i="64"/>
  <c r="R132" i="64"/>
  <c r="S132" i="64" s="1"/>
  <c r="Q132" i="64"/>
  <c r="P132" i="64"/>
  <c r="M132" i="64"/>
  <c r="K132" i="64"/>
  <c r="I132" i="64"/>
  <c r="R131" i="64"/>
  <c r="S131" i="64" s="1"/>
  <c r="Q131" i="64"/>
  <c r="P131" i="64"/>
  <c r="M131" i="64"/>
  <c r="K131" i="64"/>
  <c r="I131" i="64"/>
  <c r="R130" i="64"/>
  <c r="S130" i="64" s="1"/>
  <c r="Q130" i="64"/>
  <c r="P130" i="64"/>
  <c r="M130" i="64"/>
  <c r="K130" i="64"/>
  <c r="I130" i="64"/>
  <c r="R129" i="64"/>
  <c r="S129" i="64" s="1"/>
  <c r="Q129" i="64"/>
  <c r="P129" i="64"/>
  <c r="M129" i="64"/>
  <c r="K129" i="64"/>
  <c r="I129" i="64"/>
  <c r="R128" i="64"/>
  <c r="S128" i="64" s="1"/>
  <c r="Q128" i="64"/>
  <c r="P128" i="64"/>
  <c r="M128" i="64"/>
  <c r="K128" i="64"/>
  <c r="I128" i="64"/>
  <c r="AA127" i="64"/>
  <c r="R127" i="64"/>
  <c r="S127" i="64" s="1"/>
  <c r="Q127" i="64"/>
  <c r="P127" i="64"/>
  <c r="M127" i="64"/>
  <c r="K127" i="64"/>
  <c r="I127" i="64"/>
  <c r="R122" i="64"/>
  <c r="S122" i="64" s="1"/>
  <c r="Q122" i="64"/>
  <c r="P122" i="64"/>
  <c r="M122" i="64"/>
  <c r="K122" i="64"/>
  <c r="I122" i="64"/>
  <c r="R121" i="64"/>
  <c r="S121" i="64" s="1"/>
  <c r="Q121" i="64"/>
  <c r="P121" i="64"/>
  <c r="M121" i="64"/>
  <c r="K121" i="64"/>
  <c r="I121" i="64"/>
  <c r="R120" i="64"/>
  <c r="S120" i="64" s="1"/>
  <c r="Q120" i="64"/>
  <c r="P120" i="64"/>
  <c r="M120" i="64"/>
  <c r="K120" i="64"/>
  <c r="I120" i="64"/>
  <c r="R119" i="64"/>
  <c r="S119" i="64" s="1"/>
  <c r="Q119" i="64"/>
  <c r="P119" i="64"/>
  <c r="M119" i="64"/>
  <c r="K119" i="64"/>
  <c r="I119" i="64"/>
  <c r="R118" i="64"/>
  <c r="S118" i="64" s="1"/>
  <c r="Q118" i="64"/>
  <c r="P118" i="64"/>
  <c r="M118" i="64"/>
  <c r="K118" i="64"/>
  <c r="I118" i="64"/>
  <c r="R117" i="64"/>
  <c r="S117" i="64" s="1"/>
  <c r="Q117" i="64"/>
  <c r="P117" i="64"/>
  <c r="M117" i="64"/>
  <c r="K117" i="64"/>
  <c r="I117" i="64"/>
  <c r="R116" i="64"/>
  <c r="S116" i="64" s="1"/>
  <c r="Q116" i="64"/>
  <c r="P116" i="64"/>
  <c r="M116" i="64"/>
  <c r="K116" i="64"/>
  <c r="I116" i="64"/>
  <c r="R115" i="64"/>
  <c r="S115" i="64" s="1"/>
  <c r="Q115" i="64"/>
  <c r="P115" i="64"/>
  <c r="M115" i="64"/>
  <c r="K115" i="64"/>
  <c r="I115" i="64"/>
  <c r="R114" i="64"/>
  <c r="S114" i="64" s="1"/>
  <c r="Q114" i="64"/>
  <c r="P114" i="64"/>
  <c r="M114" i="64"/>
  <c r="K114" i="64"/>
  <c r="I114" i="64"/>
  <c r="R113" i="64"/>
  <c r="S113" i="64" s="1"/>
  <c r="Q113" i="64"/>
  <c r="P113" i="64"/>
  <c r="M113" i="64"/>
  <c r="K113" i="64"/>
  <c r="I113" i="64"/>
  <c r="R112" i="64"/>
  <c r="S112" i="64" s="1"/>
  <c r="Q112" i="64"/>
  <c r="P112" i="64"/>
  <c r="M112" i="64"/>
  <c r="K112" i="64"/>
  <c r="I112" i="64"/>
  <c r="R111" i="64"/>
  <c r="S111" i="64" s="1"/>
  <c r="Q111" i="64"/>
  <c r="P111" i="64"/>
  <c r="M111" i="64"/>
  <c r="K111" i="64"/>
  <c r="I111" i="64"/>
  <c r="R110" i="64"/>
  <c r="S110" i="64" s="1"/>
  <c r="Q110" i="64"/>
  <c r="P110" i="64"/>
  <c r="M110" i="64"/>
  <c r="K110" i="64"/>
  <c r="I110" i="64"/>
  <c r="R109" i="64"/>
  <c r="S109" i="64" s="1"/>
  <c r="Q109" i="64"/>
  <c r="P109" i="64"/>
  <c r="M109" i="64"/>
  <c r="K109" i="64"/>
  <c r="I109" i="64"/>
  <c r="R108" i="64"/>
  <c r="S108" i="64" s="1"/>
  <c r="Q108" i="64"/>
  <c r="P108" i="64"/>
  <c r="M108" i="64"/>
  <c r="K108" i="64"/>
  <c r="I108" i="64"/>
  <c r="R107" i="64"/>
  <c r="S107" i="64" s="1"/>
  <c r="Q107" i="64"/>
  <c r="P107" i="64"/>
  <c r="M107" i="64"/>
  <c r="K107" i="64"/>
  <c r="I107" i="64"/>
  <c r="R106" i="64"/>
  <c r="S106" i="64" s="1"/>
  <c r="Q106" i="64"/>
  <c r="P106" i="64"/>
  <c r="M106" i="64"/>
  <c r="K106" i="64"/>
  <c r="I106" i="64"/>
  <c r="R105" i="64"/>
  <c r="S105" i="64" s="1"/>
  <c r="Q105" i="64"/>
  <c r="P105" i="64"/>
  <c r="M105" i="64"/>
  <c r="K105" i="64"/>
  <c r="I105" i="64"/>
  <c r="R104" i="64"/>
  <c r="S104" i="64" s="1"/>
  <c r="Q104" i="64"/>
  <c r="P104" i="64"/>
  <c r="M104" i="64"/>
  <c r="K104" i="64"/>
  <c r="I104" i="64"/>
  <c r="R103" i="64"/>
  <c r="S103" i="64" s="1"/>
  <c r="Q103" i="64"/>
  <c r="P103" i="64"/>
  <c r="M103" i="64"/>
  <c r="K103" i="64"/>
  <c r="I103" i="64"/>
  <c r="R98" i="64"/>
  <c r="S98" i="64" s="1"/>
  <c r="Q98" i="64"/>
  <c r="P98" i="64"/>
  <c r="M98" i="64"/>
  <c r="K98" i="64"/>
  <c r="I98" i="64"/>
  <c r="R97" i="64"/>
  <c r="S97" i="64" s="1"/>
  <c r="Q97" i="64"/>
  <c r="P97" i="64"/>
  <c r="M97" i="64"/>
  <c r="K97" i="64"/>
  <c r="I97" i="64"/>
  <c r="R96" i="64"/>
  <c r="S96" i="64" s="1"/>
  <c r="Q96" i="64"/>
  <c r="P96" i="64"/>
  <c r="M96" i="64"/>
  <c r="K96" i="64"/>
  <c r="I96" i="64"/>
  <c r="R95" i="64"/>
  <c r="S95" i="64" s="1"/>
  <c r="Q95" i="64"/>
  <c r="P95" i="64"/>
  <c r="M95" i="64"/>
  <c r="K95" i="64"/>
  <c r="I95" i="64"/>
  <c r="R94" i="64"/>
  <c r="S94" i="64" s="1"/>
  <c r="Q94" i="64"/>
  <c r="P94" i="64"/>
  <c r="M94" i="64"/>
  <c r="K94" i="64"/>
  <c r="I94" i="64"/>
  <c r="R93" i="64"/>
  <c r="S93" i="64" s="1"/>
  <c r="Q93" i="64"/>
  <c r="P93" i="64"/>
  <c r="M93" i="64"/>
  <c r="K93" i="64"/>
  <c r="I93" i="64"/>
  <c r="R92" i="64"/>
  <c r="S92" i="64" s="1"/>
  <c r="Q92" i="64"/>
  <c r="P92" i="64"/>
  <c r="M92" i="64"/>
  <c r="K92" i="64"/>
  <c r="I92" i="64"/>
  <c r="R91" i="64"/>
  <c r="S91" i="64" s="1"/>
  <c r="Q91" i="64"/>
  <c r="P91" i="64"/>
  <c r="M91" i="64"/>
  <c r="K91" i="64"/>
  <c r="I91" i="64"/>
  <c r="R90" i="64"/>
  <c r="S90" i="64" s="1"/>
  <c r="Q90" i="64"/>
  <c r="P90" i="64"/>
  <c r="M90" i="64"/>
  <c r="K90" i="64"/>
  <c r="I90" i="64"/>
  <c r="R89" i="64"/>
  <c r="S89" i="64" s="1"/>
  <c r="Q89" i="64"/>
  <c r="P89" i="64"/>
  <c r="M89" i="64"/>
  <c r="K89" i="64"/>
  <c r="I89" i="64"/>
  <c r="R88" i="64"/>
  <c r="S88" i="64" s="1"/>
  <c r="Q88" i="64"/>
  <c r="P88" i="64"/>
  <c r="M88" i="64"/>
  <c r="K88" i="64"/>
  <c r="I88" i="64"/>
  <c r="R87" i="64"/>
  <c r="S87" i="64" s="1"/>
  <c r="Q87" i="64"/>
  <c r="P87" i="64"/>
  <c r="M87" i="64"/>
  <c r="K87" i="64"/>
  <c r="I87" i="64"/>
  <c r="R86" i="64"/>
  <c r="S86" i="64" s="1"/>
  <c r="Q86" i="64"/>
  <c r="P86" i="64"/>
  <c r="M86" i="64"/>
  <c r="K86" i="64"/>
  <c r="I86" i="64"/>
  <c r="R85" i="64"/>
  <c r="S85" i="64" s="1"/>
  <c r="Q85" i="64"/>
  <c r="P85" i="64"/>
  <c r="M85" i="64"/>
  <c r="K85" i="64"/>
  <c r="I85" i="64"/>
  <c r="R84" i="64"/>
  <c r="S84" i="64" s="1"/>
  <c r="Q84" i="64"/>
  <c r="P84" i="64"/>
  <c r="M84" i="64"/>
  <c r="K84" i="64"/>
  <c r="I84" i="64"/>
  <c r="R83" i="64"/>
  <c r="S83" i="64" s="1"/>
  <c r="Q83" i="64"/>
  <c r="P83" i="64"/>
  <c r="M83" i="64"/>
  <c r="K83" i="64"/>
  <c r="I83" i="64"/>
  <c r="R82" i="64"/>
  <c r="S82" i="64" s="1"/>
  <c r="Q82" i="64"/>
  <c r="P82" i="64"/>
  <c r="M82" i="64"/>
  <c r="K82" i="64"/>
  <c r="I82" i="64"/>
  <c r="R81" i="64"/>
  <c r="S81" i="64" s="1"/>
  <c r="Q81" i="64"/>
  <c r="P81" i="64"/>
  <c r="M81" i="64"/>
  <c r="K81" i="64"/>
  <c r="I81" i="64"/>
  <c r="R80" i="64"/>
  <c r="S80" i="64" s="1"/>
  <c r="Q80" i="64"/>
  <c r="P80" i="64"/>
  <c r="M80" i="64"/>
  <c r="K80" i="64"/>
  <c r="I80" i="64"/>
  <c r="R79" i="64"/>
  <c r="S79" i="64" s="1"/>
  <c r="Q79" i="64"/>
  <c r="P79" i="64"/>
  <c r="M79" i="64"/>
  <c r="K79" i="64"/>
  <c r="I79" i="64"/>
  <c r="R74" i="64"/>
  <c r="S74" i="64" s="1"/>
  <c r="Q74" i="64"/>
  <c r="P74" i="64"/>
  <c r="M74" i="64"/>
  <c r="K74" i="64"/>
  <c r="I74" i="64"/>
  <c r="R73" i="64"/>
  <c r="S73" i="64" s="1"/>
  <c r="Q73" i="64"/>
  <c r="P73" i="64"/>
  <c r="M73" i="64"/>
  <c r="K73" i="64"/>
  <c r="I73" i="64"/>
  <c r="R72" i="64"/>
  <c r="S72" i="64" s="1"/>
  <c r="Q72" i="64"/>
  <c r="P72" i="64"/>
  <c r="M72" i="64"/>
  <c r="K72" i="64"/>
  <c r="I72" i="64"/>
  <c r="R71" i="64"/>
  <c r="S71" i="64" s="1"/>
  <c r="Q71" i="64"/>
  <c r="P71" i="64"/>
  <c r="M71" i="64"/>
  <c r="K71" i="64"/>
  <c r="I71" i="64"/>
  <c r="R70" i="64"/>
  <c r="S70" i="64" s="1"/>
  <c r="Q70" i="64"/>
  <c r="P70" i="64"/>
  <c r="M70" i="64"/>
  <c r="K70" i="64"/>
  <c r="I70" i="64"/>
  <c r="R69" i="64"/>
  <c r="S69" i="64" s="1"/>
  <c r="Q69" i="64"/>
  <c r="P69" i="64"/>
  <c r="M69" i="64"/>
  <c r="K69" i="64"/>
  <c r="I69" i="64"/>
  <c r="R68" i="64"/>
  <c r="S68" i="64" s="1"/>
  <c r="Q68" i="64"/>
  <c r="P68" i="64"/>
  <c r="M68" i="64"/>
  <c r="K68" i="64"/>
  <c r="I68" i="64"/>
  <c r="R67" i="64"/>
  <c r="S67" i="64" s="1"/>
  <c r="Q67" i="64"/>
  <c r="P67" i="64"/>
  <c r="M67" i="64"/>
  <c r="K67" i="64"/>
  <c r="I67" i="64"/>
  <c r="R66" i="64"/>
  <c r="S66" i="64" s="1"/>
  <c r="Q66" i="64"/>
  <c r="P66" i="64"/>
  <c r="M66" i="64"/>
  <c r="K66" i="64"/>
  <c r="I66" i="64"/>
  <c r="R65" i="64"/>
  <c r="S65" i="64" s="1"/>
  <c r="Q65" i="64"/>
  <c r="P65" i="64"/>
  <c r="M65" i="64"/>
  <c r="K65" i="64"/>
  <c r="I65" i="64"/>
  <c r="R64" i="64"/>
  <c r="S64" i="64" s="1"/>
  <c r="Q64" i="64"/>
  <c r="P64" i="64"/>
  <c r="M64" i="64"/>
  <c r="K64" i="64"/>
  <c r="I64" i="64"/>
  <c r="R63" i="64"/>
  <c r="S63" i="64" s="1"/>
  <c r="Q63" i="64"/>
  <c r="P63" i="64"/>
  <c r="M63" i="64"/>
  <c r="K63" i="64"/>
  <c r="I63" i="64"/>
  <c r="R62" i="64"/>
  <c r="S62" i="64" s="1"/>
  <c r="Q62" i="64"/>
  <c r="P62" i="64"/>
  <c r="M62" i="64"/>
  <c r="K62" i="64"/>
  <c r="I62" i="64"/>
  <c r="R61" i="64"/>
  <c r="S61" i="64" s="1"/>
  <c r="Q61" i="64"/>
  <c r="P61" i="64"/>
  <c r="M61" i="64"/>
  <c r="K61" i="64"/>
  <c r="I61" i="64"/>
  <c r="R60" i="64"/>
  <c r="S60" i="64" s="1"/>
  <c r="Q60" i="64"/>
  <c r="P60" i="64"/>
  <c r="M60" i="64"/>
  <c r="K60" i="64"/>
  <c r="I60" i="64"/>
  <c r="R59" i="64"/>
  <c r="S59" i="64" s="1"/>
  <c r="Q59" i="64"/>
  <c r="P59" i="64"/>
  <c r="M59" i="64"/>
  <c r="K59" i="64"/>
  <c r="I59" i="64"/>
  <c r="R58" i="64"/>
  <c r="S58" i="64" s="1"/>
  <c r="Q58" i="64"/>
  <c r="P58" i="64"/>
  <c r="M58" i="64"/>
  <c r="K58" i="64"/>
  <c r="I58" i="64"/>
  <c r="R57" i="64"/>
  <c r="S57" i="64" s="1"/>
  <c r="Q57" i="64"/>
  <c r="P57" i="64"/>
  <c r="M57" i="64"/>
  <c r="K57" i="64"/>
  <c r="I57" i="64"/>
  <c r="R56" i="64"/>
  <c r="S56" i="64" s="1"/>
  <c r="Q56" i="64"/>
  <c r="P56" i="64"/>
  <c r="M56" i="64"/>
  <c r="K56" i="64"/>
  <c r="I56" i="64"/>
  <c r="R55" i="64"/>
  <c r="S55" i="64" s="1"/>
  <c r="Q55" i="64"/>
  <c r="P55" i="64"/>
  <c r="M55" i="64"/>
  <c r="K55" i="64"/>
  <c r="I55" i="64"/>
  <c r="R26" i="64"/>
  <c r="S26" i="64" s="1"/>
  <c r="Q26" i="64"/>
  <c r="P26" i="64"/>
  <c r="M26" i="64"/>
  <c r="K26" i="64"/>
  <c r="I26" i="64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R20" i="64"/>
  <c r="S20" i="64" s="1"/>
  <c r="Q20" i="64"/>
  <c r="P20" i="64"/>
  <c r="M20" i="64"/>
  <c r="K20" i="64"/>
  <c r="I20" i="64"/>
  <c r="R19" i="64"/>
  <c r="S19" i="64" s="1"/>
  <c r="Q19" i="64"/>
  <c r="P19" i="64"/>
  <c r="M19" i="64"/>
  <c r="K19" i="64"/>
  <c r="I19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R16" i="64"/>
  <c r="S16" i="64" s="1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R9" i="64"/>
  <c r="S9" i="64" s="1"/>
  <c r="Q9" i="64"/>
  <c r="P9" i="64"/>
  <c r="M9" i="64"/>
  <c r="K9" i="64"/>
  <c r="I9" i="64"/>
  <c r="R8" i="64"/>
  <c r="S8" i="64" s="1"/>
  <c r="Q8" i="64"/>
  <c r="P8" i="64"/>
  <c r="M8" i="64"/>
  <c r="K8" i="64"/>
  <c r="I8" i="64"/>
  <c r="R7" i="64"/>
  <c r="S7" i="64" s="1"/>
  <c r="Q7" i="64"/>
  <c r="P7" i="64"/>
  <c r="M7" i="64"/>
  <c r="K7" i="64"/>
  <c r="I7" i="64"/>
  <c r="K47" i="56"/>
  <c r="I47" i="56"/>
  <c r="G47" i="56"/>
  <c r="E47" i="56"/>
  <c r="C47" i="56"/>
  <c r="B47" i="56"/>
  <c r="L10" i="56"/>
  <c r="J10" i="56"/>
  <c r="H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N4" i="56"/>
  <c r="B10" i="41" s="1"/>
  <c r="C10" i="41" s="1"/>
  <c r="M4" i="56"/>
  <c r="B9" i="41" s="1"/>
  <c r="C9" i="41" s="1"/>
  <c r="L4" i="56"/>
  <c r="J4" i="56"/>
  <c r="H4" i="56"/>
  <c r="F4" i="56"/>
  <c r="D4" i="56"/>
  <c r="K22" i="61" l="1"/>
  <c r="K30" i="19"/>
  <c r="K30" i="61"/>
  <c r="K30" i="20"/>
  <c r="K14" i="20"/>
  <c r="K22" i="20"/>
  <c r="K14" i="19"/>
  <c r="K38" i="20"/>
  <c r="K22" i="62"/>
  <c r="K14" i="62"/>
  <c r="K22" i="19"/>
  <c r="K14" i="61"/>
  <c r="K30" i="62"/>
  <c r="M14" i="20"/>
  <c r="M14" i="19"/>
  <c r="AC129" i="64"/>
  <c r="AB129" i="64"/>
  <c r="AE129" i="64"/>
  <c r="AF129" i="64"/>
  <c r="AH129" i="64"/>
  <c r="AG129" i="64"/>
  <c r="AD129" i="64"/>
  <c r="Q146" i="63" l="1"/>
  <c r="S146" i="63" s="1"/>
  <c r="P146" i="63"/>
  <c r="M146" i="63"/>
  <c r="K146" i="63"/>
  <c r="I146" i="63"/>
  <c r="Q145" i="63"/>
  <c r="S145" i="63" s="1"/>
  <c r="P145" i="63"/>
  <c r="M145" i="63"/>
  <c r="K145" i="63"/>
  <c r="I145" i="63"/>
  <c r="Q144" i="63"/>
  <c r="R144" i="63" s="1"/>
  <c r="P144" i="63"/>
  <c r="M144" i="63"/>
  <c r="K144" i="63"/>
  <c r="I144" i="63"/>
  <c r="Q143" i="63"/>
  <c r="S143" i="63" s="1"/>
  <c r="P143" i="63"/>
  <c r="M143" i="63"/>
  <c r="K143" i="63"/>
  <c r="I143" i="63"/>
  <c r="Q142" i="63"/>
  <c r="S142" i="63" s="1"/>
  <c r="P142" i="63"/>
  <c r="M142" i="63"/>
  <c r="K142" i="63"/>
  <c r="I142" i="63"/>
  <c r="Q141" i="63"/>
  <c r="S141" i="63" s="1"/>
  <c r="P141" i="63"/>
  <c r="M141" i="63"/>
  <c r="K141" i="63"/>
  <c r="I141" i="63"/>
  <c r="Q140" i="63"/>
  <c r="R140" i="63" s="1"/>
  <c r="P140" i="63"/>
  <c r="M140" i="63"/>
  <c r="K140" i="63"/>
  <c r="I140" i="63"/>
  <c r="Q139" i="63"/>
  <c r="R139" i="63" s="1"/>
  <c r="P139" i="63"/>
  <c r="M139" i="63"/>
  <c r="K139" i="63"/>
  <c r="I139" i="63"/>
  <c r="Q138" i="63"/>
  <c r="S138" i="63" s="1"/>
  <c r="P138" i="63"/>
  <c r="M138" i="63"/>
  <c r="K138" i="63"/>
  <c r="I138" i="63"/>
  <c r="Q137" i="63"/>
  <c r="S137" i="63" s="1"/>
  <c r="P137" i="63"/>
  <c r="M137" i="63"/>
  <c r="K137" i="63"/>
  <c r="I137" i="63"/>
  <c r="Q136" i="63"/>
  <c r="S136" i="63" s="1"/>
  <c r="P136" i="63"/>
  <c r="M136" i="63"/>
  <c r="K136" i="63"/>
  <c r="I136" i="63"/>
  <c r="Q135" i="63"/>
  <c r="S135" i="63" s="1"/>
  <c r="P135" i="63"/>
  <c r="M135" i="63"/>
  <c r="K135" i="63"/>
  <c r="I135" i="63"/>
  <c r="Q134" i="63"/>
  <c r="S134" i="63" s="1"/>
  <c r="P134" i="63"/>
  <c r="M134" i="63"/>
  <c r="K134" i="63"/>
  <c r="I134" i="63"/>
  <c r="Q133" i="63"/>
  <c r="R133" i="63" s="1"/>
  <c r="P133" i="63"/>
  <c r="M133" i="63"/>
  <c r="K133" i="63"/>
  <c r="I133" i="63"/>
  <c r="Q132" i="63"/>
  <c r="S132" i="63" s="1"/>
  <c r="P132" i="63"/>
  <c r="M132" i="63"/>
  <c r="K132" i="63"/>
  <c r="I132" i="63"/>
  <c r="Q131" i="63"/>
  <c r="S131" i="63" s="1"/>
  <c r="P131" i="63"/>
  <c r="M131" i="63"/>
  <c r="K131" i="63"/>
  <c r="I131" i="63"/>
  <c r="Q130" i="63"/>
  <c r="S130" i="63" s="1"/>
  <c r="P130" i="63"/>
  <c r="M130" i="63"/>
  <c r="K130" i="63"/>
  <c r="I130" i="63"/>
  <c r="Q129" i="63"/>
  <c r="S129" i="63" s="1"/>
  <c r="P129" i="63"/>
  <c r="M129" i="63"/>
  <c r="K129" i="63"/>
  <c r="I129" i="63"/>
  <c r="Q128" i="63"/>
  <c r="S128" i="63" s="1"/>
  <c r="P128" i="63"/>
  <c r="M128" i="63"/>
  <c r="K128" i="63"/>
  <c r="I128" i="63"/>
  <c r="AA127" i="63"/>
  <c r="Q127" i="63"/>
  <c r="S127" i="63" s="1"/>
  <c r="P127" i="63"/>
  <c r="M127" i="63"/>
  <c r="K127" i="63"/>
  <c r="I127" i="63"/>
  <c r="Q122" i="63"/>
  <c r="R122" i="63" s="1"/>
  <c r="P122" i="63"/>
  <c r="M122" i="63"/>
  <c r="K122" i="63"/>
  <c r="I122" i="63"/>
  <c r="Q121" i="63"/>
  <c r="S121" i="63" s="1"/>
  <c r="P121" i="63"/>
  <c r="M121" i="63"/>
  <c r="K121" i="63"/>
  <c r="I121" i="63"/>
  <c r="Q120" i="63"/>
  <c r="R120" i="63" s="1"/>
  <c r="P120" i="63"/>
  <c r="M120" i="63"/>
  <c r="K120" i="63"/>
  <c r="I120" i="63"/>
  <c r="Q119" i="63"/>
  <c r="S119" i="63" s="1"/>
  <c r="P119" i="63"/>
  <c r="M119" i="63"/>
  <c r="K119" i="63"/>
  <c r="I119" i="63"/>
  <c r="Q118" i="63"/>
  <c r="S118" i="63" s="1"/>
  <c r="P118" i="63"/>
  <c r="M118" i="63"/>
  <c r="K118" i="63"/>
  <c r="I118" i="63"/>
  <c r="Q117" i="63"/>
  <c r="S117" i="63" s="1"/>
  <c r="P117" i="63"/>
  <c r="M117" i="63"/>
  <c r="K117" i="63"/>
  <c r="I117" i="63"/>
  <c r="Q116" i="63"/>
  <c r="S116" i="63" s="1"/>
  <c r="P116" i="63"/>
  <c r="M116" i="63"/>
  <c r="K116" i="63"/>
  <c r="I116" i="63"/>
  <c r="Q115" i="63"/>
  <c r="R115" i="63" s="1"/>
  <c r="P115" i="63"/>
  <c r="M115" i="63"/>
  <c r="K115" i="63"/>
  <c r="I115" i="63"/>
  <c r="Q114" i="63"/>
  <c r="S114" i="63" s="1"/>
  <c r="P114" i="63"/>
  <c r="M114" i="63"/>
  <c r="K114" i="63"/>
  <c r="I114" i="63"/>
  <c r="Q113" i="63"/>
  <c r="S113" i="63" s="1"/>
  <c r="P113" i="63"/>
  <c r="M113" i="63"/>
  <c r="K113" i="63"/>
  <c r="I113" i="63"/>
  <c r="Q112" i="63"/>
  <c r="S112" i="63" s="1"/>
  <c r="P112" i="63"/>
  <c r="M112" i="63"/>
  <c r="K112" i="63"/>
  <c r="I112" i="63"/>
  <c r="Q111" i="63"/>
  <c r="S111" i="63" s="1"/>
  <c r="P111" i="63"/>
  <c r="M111" i="63"/>
  <c r="K111" i="63"/>
  <c r="I111" i="63"/>
  <c r="Q110" i="63"/>
  <c r="S110" i="63" s="1"/>
  <c r="P110" i="63"/>
  <c r="M110" i="63"/>
  <c r="K110" i="63"/>
  <c r="I110" i="63"/>
  <c r="Q109" i="63"/>
  <c r="S109" i="63" s="1"/>
  <c r="P109" i="63"/>
  <c r="M109" i="63"/>
  <c r="K109" i="63"/>
  <c r="I109" i="63"/>
  <c r="Q108" i="63"/>
  <c r="S108" i="63" s="1"/>
  <c r="P108" i="63"/>
  <c r="M108" i="63"/>
  <c r="K108" i="63"/>
  <c r="I108" i="63"/>
  <c r="Q107" i="63"/>
  <c r="R107" i="63" s="1"/>
  <c r="P107" i="63"/>
  <c r="M107" i="63"/>
  <c r="K107" i="63"/>
  <c r="I107" i="63"/>
  <c r="Q106" i="63"/>
  <c r="S106" i="63" s="1"/>
  <c r="P106" i="63"/>
  <c r="M106" i="63"/>
  <c r="K106" i="63"/>
  <c r="I106" i="63"/>
  <c r="Q105" i="63"/>
  <c r="S105" i="63" s="1"/>
  <c r="P105" i="63"/>
  <c r="M105" i="63"/>
  <c r="K105" i="63"/>
  <c r="I105" i="63"/>
  <c r="AH104" i="63"/>
  <c r="AG104" i="63"/>
  <c r="AF104" i="63"/>
  <c r="AE104" i="63"/>
  <c r="AD104" i="63"/>
  <c r="AC104" i="63"/>
  <c r="AB104" i="63"/>
  <c r="Q104" i="63"/>
  <c r="R104" i="63" s="1"/>
  <c r="P104" i="63"/>
  <c r="M104" i="63"/>
  <c r="K104" i="63"/>
  <c r="I104" i="63"/>
  <c r="AH103" i="63"/>
  <c r="AH105" i="63" s="1"/>
  <c r="AG103" i="63"/>
  <c r="AG105" i="63" s="1"/>
  <c r="AF103" i="63"/>
  <c r="AF105" i="63" s="1"/>
  <c r="AE103" i="63"/>
  <c r="AD103" i="63"/>
  <c r="AD105" i="63" s="1"/>
  <c r="AC103" i="63"/>
  <c r="AC105" i="63" s="1"/>
  <c r="AB103" i="63"/>
  <c r="AB105" i="63" s="1"/>
  <c r="AA103" i="63"/>
  <c r="AE105" i="63" s="1"/>
  <c r="Q103" i="63"/>
  <c r="R103" i="63" s="1"/>
  <c r="P103" i="63"/>
  <c r="M103" i="63"/>
  <c r="K103" i="63"/>
  <c r="I103" i="63"/>
  <c r="Q98" i="63"/>
  <c r="S98" i="63" s="1"/>
  <c r="P98" i="63"/>
  <c r="M98" i="63"/>
  <c r="K98" i="63"/>
  <c r="I98" i="63"/>
  <c r="Q97" i="63"/>
  <c r="R97" i="63" s="1"/>
  <c r="P97" i="63"/>
  <c r="M97" i="63"/>
  <c r="K97" i="63"/>
  <c r="I97" i="63"/>
  <c r="Q96" i="63"/>
  <c r="S96" i="63" s="1"/>
  <c r="P96" i="63"/>
  <c r="M96" i="63"/>
  <c r="K96" i="63"/>
  <c r="I96" i="63"/>
  <c r="Q95" i="63"/>
  <c r="S95" i="63" s="1"/>
  <c r="P95" i="63"/>
  <c r="M95" i="63"/>
  <c r="K95" i="63"/>
  <c r="I95" i="63"/>
  <c r="Q94" i="63"/>
  <c r="S94" i="63" s="1"/>
  <c r="P94" i="63"/>
  <c r="M94" i="63"/>
  <c r="K94" i="63"/>
  <c r="I94" i="63"/>
  <c r="Q93" i="63"/>
  <c r="R93" i="63" s="1"/>
  <c r="P93" i="63"/>
  <c r="M93" i="63"/>
  <c r="K93" i="63"/>
  <c r="I93" i="63"/>
  <c r="Q92" i="63"/>
  <c r="S92" i="63" s="1"/>
  <c r="P92" i="63"/>
  <c r="M92" i="63"/>
  <c r="K92" i="63"/>
  <c r="I92" i="63"/>
  <c r="Q91" i="63"/>
  <c r="S91" i="63" s="1"/>
  <c r="P91" i="63"/>
  <c r="M91" i="63"/>
  <c r="K91" i="63"/>
  <c r="I91" i="63"/>
  <c r="Q90" i="63"/>
  <c r="S90" i="63" s="1"/>
  <c r="P90" i="63"/>
  <c r="M90" i="63"/>
  <c r="K90" i="63"/>
  <c r="I90" i="63"/>
  <c r="Q89" i="63"/>
  <c r="R89" i="63" s="1"/>
  <c r="P89" i="63"/>
  <c r="M89" i="63"/>
  <c r="K89" i="63"/>
  <c r="I89" i="63"/>
  <c r="Q88" i="63"/>
  <c r="S88" i="63" s="1"/>
  <c r="P88" i="63"/>
  <c r="M88" i="63"/>
  <c r="K88" i="63"/>
  <c r="I88" i="63"/>
  <c r="Q87" i="63"/>
  <c r="S87" i="63" s="1"/>
  <c r="P87" i="63"/>
  <c r="M87" i="63"/>
  <c r="K87" i="63"/>
  <c r="I87" i="63"/>
  <c r="Q86" i="63"/>
  <c r="S86" i="63" s="1"/>
  <c r="P86" i="63"/>
  <c r="M86" i="63"/>
  <c r="K86" i="63"/>
  <c r="I86" i="63"/>
  <c r="Q85" i="63"/>
  <c r="R85" i="63" s="1"/>
  <c r="P85" i="63"/>
  <c r="M85" i="63"/>
  <c r="K85" i="63"/>
  <c r="I85" i="63"/>
  <c r="Q84" i="63"/>
  <c r="R84" i="63" s="1"/>
  <c r="P84" i="63"/>
  <c r="M84" i="63"/>
  <c r="K84" i="63"/>
  <c r="I84" i="63"/>
  <c r="Q83" i="63"/>
  <c r="R83" i="63" s="1"/>
  <c r="P83" i="63"/>
  <c r="M83" i="63"/>
  <c r="K83" i="63"/>
  <c r="I83" i="63"/>
  <c r="Q82" i="63"/>
  <c r="S82" i="63" s="1"/>
  <c r="P82" i="63"/>
  <c r="M82" i="63"/>
  <c r="K82" i="63"/>
  <c r="I82" i="63"/>
  <c r="Q81" i="63"/>
  <c r="S81" i="63" s="1"/>
  <c r="P81" i="63"/>
  <c r="M81" i="63"/>
  <c r="K81" i="63"/>
  <c r="I81" i="63"/>
  <c r="AH80" i="63"/>
  <c r="AG80" i="63"/>
  <c r="AF80" i="63"/>
  <c r="AE80" i="63"/>
  <c r="AD80" i="63"/>
  <c r="AC80" i="63"/>
  <c r="AB80" i="63"/>
  <c r="Q80" i="63"/>
  <c r="S80" i="63" s="1"/>
  <c r="P80" i="63"/>
  <c r="M80" i="63"/>
  <c r="K80" i="63"/>
  <c r="I80" i="63"/>
  <c r="AH79" i="63"/>
  <c r="AH81" i="63" s="1"/>
  <c r="AG79" i="63"/>
  <c r="AG81" i="63" s="1"/>
  <c r="AF79" i="63"/>
  <c r="AF81" i="63" s="1"/>
  <c r="AE79" i="63"/>
  <c r="AE81" i="63" s="1"/>
  <c r="AD79" i="63"/>
  <c r="AD81" i="63" s="1"/>
  <c r="AC79" i="63"/>
  <c r="AC81" i="63" s="1"/>
  <c r="AB79" i="63"/>
  <c r="AB81" i="63" s="1"/>
  <c r="AA79" i="63"/>
  <c r="Q79" i="63"/>
  <c r="S79" i="63" s="1"/>
  <c r="P79" i="63"/>
  <c r="M79" i="63"/>
  <c r="K79" i="63"/>
  <c r="I79" i="63"/>
  <c r="Q74" i="63"/>
  <c r="S74" i="63" s="1"/>
  <c r="P74" i="63"/>
  <c r="M74" i="63"/>
  <c r="K74" i="63"/>
  <c r="I74" i="63"/>
  <c r="Q73" i="63"/>
  <c r="S73" i="63" s="1"/>
  <c r="P73" i="63"/>
  <c r="M73" i="63"/>
  <c r="K73" i="63"/>
  <c r="I73" i="63"/>
  <c r="Q72" i="63"/>
  <c r="R72" i="63" s="1"/>
  <c r="P72" i="63"/>
  <c r="M72" i="63"/>
  <c r="K72" i="63"/>
  <c r="I72" i="63"/>
  <c r="Q71" i="63"/>
  <c r="R71" i="63" s="1"/>
  <c r="P71" i="63"/>
  <c r="M71" i="63"/>
  <c r="K71" i="63"/>
  <c r="I71" i="63"/>
  <c r="Q70" i="63"/>
  <c r="R70" i="63" s="1"/>
  <c r="P70" i="63"/>
  <c r="M70" i="63"/>
  <c r="K70" i="63"/>
  <c r="I70" i="63"/>
  <c r="S69" i="63"/>
  <c r="Q69" i="63"/>
  <c r="R69" i="63" s="1"/>
  <c r="P69" i="63"/>
  <c r="M69" i="63"/>
  <c r="K69" i="63"/>
  <c r="I69" i="63"/>
  <c r="Q68" i="63"/>
  <c r="S68" i="63" s="1"/>
  <c r="P68" i="63"/>
  <c r="M68" i="63"/>
  <c r="K68" i="63"/>
  <c r="I68" i="63"/>
  <c r="Q67" i="63"/>
  <c r="R67" i="63" s="1"/>
  <c r="P67" i="63"/>
  <c r="M67" i="63"/>
  <c r="K67" i="63"/>
  <c r="I67" i="63"/>
  <c r="Q66" i="63"/>
  <c r="R66" i="63" s="1"/>
  <c r="P66" i="63"/>
  <c r="M66" i="63"/>
  <c r="K66" i="63"/>
  <c r="I66" i="63"/>
  <c r="Q65" i="63"/>
  <c r="S65" i="63" s="1"/>
  <c r="P65" i="63"/>
  <c r="M65" i="63"/>
  <c r="K65" i="63"/>
  <c r="I65" i="63"/>
  <c r="Q64" i="63"/>
  <c r="R64" i="63" s="1"/>
  <c r="P64" i="63"/>
  <c r="M64" i="63"/>
  <c r="K64" i="63"/>
  <c r="I64" i="63"/>
  <c r="Q63" i="63"/>
  <c r="S63" i="63" s="1"/>
  <c r="P63" i="63"/>
  <c r="M63" i="63"/>
  <c r="K63" i="63"/>
  <c r="I63" i="63"/>
  <c r="Q62" i="63"/>
  <c r="S62" i="63" s="1"/>
  <c r="P62" i="63"/>
  <c r="M62" i="63"/>
  <c r="K62" i="63"/>
  <c r="I62" i="63"/>
  <c r="Q61" i="63"/>
  <c r="R61" i="63" s="1"/>
  <c r="P61" i="63"/>
  <c r="M61" i="63"/>
  <c r="K61" i="63"/>
  <c r="I61" i="63"/>
  <c r="Q60" i="63"/>
  <c r="S60" i="63" s="1"/>
  <c r="P60" i="63"/>
  <c r="M60" i="63"/>
  <c r="K60" i="63"/>
  <c r="I60" i="63"/>
  <c r="Q59" i="63"/>
  <c r="R59" i="63" s="1"/>
  <c r="P59" i="63"/>
  <c r="M59" i="63"/>
  <c r="K59" i="63"/>
  <c r="I59" i="63"/>
  <c r="Q58" i="63"/>
  <c r="S58" i="63" s="1"/>
  <c r="P58" i="63"/>
  <c r="M58" i="63"/>
  <c r="K58" i="63"/>
  <c r="I58" i="63"/>
  <c r="Q57" i="63"/>
  <c r="S57" i="63" s="1"/>
  <c r="P57" i="63"/>
  <c r="M57" i="63"/>
  <c r="K57" i="63"/>
  <c r="I57" i="63"/>
  <c r="AH56" i="63"/>
  <c r="AG56" i="63"/>
  <c r="AF56" i="63"/>
  <c r="AE56" i="63"/>
  <c r="AD56" i="63"/>
  <c r="AC56" i="63"/>
  <c r="AB56" i="63"/>
  <c r="Q56" i="63"/>
  <c r="S56" i="63" s="1"/>
  <c r="P56" i="63"/>
  <c r="M56" i="63"/>
  <c r="K56" i="63"/>
  <c r="I56" i="63"/>
  <c r="AH55" i="63"/>
  <c r="AH57" i="63" s="1"/>
  <c r="AG55" i="63"/>
  <c r="AG57" i="63" s="1"/>
  <c r="AF55" i="63"/>
  <c r="AF57" i="63" s="1"/>
  <c r="AE55" i="63"/>
  <c r="AE57" i="63" s="1"/>
  <c r="AD55" i="63"/>
  <c r="AC55" i="63"/>
  <c r="AC57" i="63" s="1"/>
  <c r="AB55" i="63"/>
  <c r="AB57" i="63" s="1"/>
  <c r="AA55" i="63"/>
  <c r="Q55" i="63"/>
  <c r="S55" i="63" s="1"/>
  <c r="P55" i="63"/>
  <c r="M55" i="63"/>
  <c r="K55" i="63"/>
  <c r="I55" i="63"/>
  <c r="Q50" i="63"/>
  <c r="S50" i="63" s="1"/>
  <c r="P50" i="63"/>
  <c r="M50" i="63"/>
  <c r="K50" i="63"/>
  <c r="I50" i="63"/>
  <c r="Q49" i="63"/>
  <c r="S49" i="63" s="1"/>
  <c r="P49" i="63"/>
  <c r="M49" i="63"/>
  <c r="Q48" i="63"/>
  <c r="R48" i="63" s="1"/>
  <c r="P48" i="63"/>
  <c r="M48" i="63"/>
  <c r="Q47" i="63"/>
  <c r="S47" i="63" s="1"/>
  <c r="P47" i="63"/>
  <c r="M47" i="63"/>
  <c r="Q46" i="63"/>
  <c r="S46" i="63" s="1"/>
  <c r="P46" i="63"/>
  <c r="M46" i="63"/>
  <c r="Q45" i="63"/>
  <c r="S45" i="63" s="1"/>
  <c r="P45" i="63"/>
  <c r="M45" i="63"/>
  <c r="Q44" i="63"/>
  <c r="S44" i="63" s="1"/>
  <c r="P44" i="63"/>
  <c r="M44" i="63"/>
  <c r="Q43" i="63"/>
  <c r="R43" i="63" s="1"/>
  <c r="P43" i="63"/>
  <c r="M43" i="63"/>
  <c r="Q42" i="63"/>
  <c r="S42" i="63" s="1"/>
  <c r="P42" i="63"/>
  <c r="M42" i="63"/>
  <c r="K42" i="63"/>
  <c r="I42" i="63"/>
  <c r="Q41" i="63"/>
  <c r="R41" i="63" s="1"/>
  <c r="P41" i="63"/>
  <c r="M41" i="63"/>
  <c r="K41" i="63"/>
  <c r="I41" i="63"/>
  <c r="Q40" i="63"/>
  <c r="S40" i="63" s="1"/>
  <c r="P40" i="63"/>
  <c r="M40" i="63"/>
  <c r="K40" i="63"/>
  <c r="I40" i="63"/>
  <c r="Q39" i="63"/>
  <c r="S39" i="63" s="1"/>
  <c r="P39" i="63"/>
  <c r="M39" i="63"/>
  <c r="K39" i="63"/>
  <c r="I39" i="63"/>
  <c r="Q38" i="63"/>
  <c r="S38" i="63" s="1"/>
  <c r="P38" i="63"/>
  <c r="M38" i="63"/>
  <c r="K38" i="63"/>
  <c r="I38" i="63"/>
  <c r="Q37" i="63"/>
  <c r="S37" i="63" s="1"/>
  <c r="P37" i="63"/>
  <c r="M37" i="63"/>
  <c r="K37" i="63"/>
  <c r="I37" i="63"/>
  <c r="Q36" i="63"/>
  <c r="S36" i="63" s="1"/>
  <c r="P36" i="63"/>
  <c r="M36" i="63"/>
  <c r="K36" i="63"/>
  <c r="I36" i="63"/>
  <c r="Q35" i="63"/>
  <c r="S35" i="63" s="1"/>
  <c r="P35" i="63"/>
  <c r="M35" i="63"/>
  <c r="K35" i="63"/>
  <c r="I35" i="63"/>
  <c r="Q34" i="63"/>
  <c r="S34" i="63" s="1"/>
  <c r="P34" i="63"/>
  <c r="M34" i="63"/>
  <c r="K34" i="63"/>
  <c r="I34" i="63"/>
  <c r="Q33" i="63"/>
  <c r="R33" i="63" s="1"/>
  <c r="P33" i="63"/>
  <c r="M33" i="63"/>
  <c r="K33" i="63"/>
  <c r="I33" i="63"/>
  <c r="AH32" i="63"/>
  <c r="AG32" i="63"/>
  <c r="AF32" i="63"/>
  <c r="AE32" i="63"/>
  <c r="AD32" i="63"/>
  <c r="AC32" i="63"/>
  <c r="AB32" i="63"/>
  <c r="Q32" i="63"/>
  <c r="R32" i="63" s="1"/>
  <c r="P32" i="63"/>
  <c r="M32" i="63"/>
  <c r="K32" i="63"/>
  <c r="I32" i="63"/>
  <c r="AH31" i="63"/>
  <c r="AG31" i="63"/>
  <c r="AF31" i="63"/>
  <c r="AE31" i="63"/>
  <c r="AD31" i="63"/>
  <c r="AD33" i="63" s="1"/>
  <c r="AC31" i="63"/>
  <c r="AB31" i="63"/>
  <c r="AA31" i="63"/>
  <c r="Q31" i="63"/>
  <c r="S31" i="63" s="1"/>
  <c r="P31" i="63"/>
  <c r="M31" i="63"/>
  <c r="K31" i="63"/>
  <c r="I31" i="63"/>
  <c r="S26" i="63"/>
  <c r="R26" i="63"/>
  <c r="Q26" i="63"/>
  <c r="P26" i="63"/>
  <c r="M26" i="63"/>
  <c r="K26" i="63"/>
  <c r="I26" i="63"/>
  <c r="S25" i="63"/>
  <c r="Q25" i="63"/>
  <c r="R25" i="63" s="1"/>
  <c r="P25" i="63"/>
  <c r="M25" i="63"/>
  <c r="K25" i="63"/>
  <c r="I25" i="63"/>
  <c r="S24" i="63"/>
  <c r="Q24" i="63"/>
  <c r="R24" i="63" s="1"/>
  <c r="P24" i="63"/>
  <c r="M24" i="63"/>
  <c r="K24" i="63"/>
  <c r="I24" i="63"/>
  <c r="S23" i="63"/>
  <c r="Q23" i="63"/>
  <c r="R23" i="63" s="1"/>
  <c r="P23" i="63"/>
  <c r="M23" i="63"/>
  <c r="K23" i="63"/>
  <c r="I23" i="63"/>
  <c r="Q22" i="63"/>
  <c r="S22" i="63" s="1"/>
  <c r="P22" i="63"/>
  <c r="M22" i="63"/>
  <c r="K22" i="63"/>
  <c r="I22" i="63"/>
  <c r="Q21" i="63"/>
  <c r="S21" i="63" s="1"/>
  <c r="P21" i="63"/>
  <c r="M21" i="63"/>
  <c r="K21" i="63"/>
  <c r="I21" i="63"/>
  <c r="Q20" i="63"/>
  <c r="S20" i="63" s="1"/>
  <c r="P20" i="63"/>
  <c r="M20" i="63"/>
  <c r="K20" i="63"/>
  <c r="I20" i="63"/>
  <c r="Q19" i="63"/>
  <c r="R19" i="63" s="1"/>
  <c r="P19" i="63"/>
  <c r="M19" i="63"/>
  <c r="K19" i="63"/>
  <c r="I19" i="63"/>
  <c r="Q18" i="63"/>
  <c r="R18" i="63" s="1"/>
  <c r="P18" i="63"/>
  <c r="M18" i="63"/>
  <c r="K18" i="63"/>
  <c r="I18" i="63"/>
  <c r="Q17" i="63"/>
  <c r="S17" i="63" s="1"/>
  <c r="P17" i="63"/>
  <c r="M17" i="63"/>
  <c r="K17" i="63"/>
  <c r="I17" i="63"/>
  <c r="Q16" i="63"/>
  <c r="S16" i="63" s="1"/>
  <c r="P16" i="63"/>
  <c r="M16" i="63"/>
  <c r="K16" i="63"/>
  <c r="I16" i="63"/>
  <c r="Q15" i="63"/>
  <c r="R15" i="63" s="1"/>
  <c r="P15" i="63"/>
  <c r="M15" i="63"/>
  <c r="K15" i="63"/>
  <c r="I15" i="63"/>
  <c r="Q14" i="63"/>
  <c r="R14" i="63" s="1"/>
  <c r="P14" i="63"/>
  <c r="M14" i="63"/>
  <c r="K14" i="63"/>
  <c r="I14" i="63"/>
  <c r="S13" i="63"/>
  <c r="R13" i="63"/>
  <c r="Q13" i="63"/>
  <c r="P13" i="63"/>
  <c r="M13" i="63"/>
  <c r="K13" i="63"/>
  <c r="I13" i="63"/>
  <c r="Q12" i="63"/>
  <c r="S12" i="63" s="1"/>
  <c r="P12" i="63"/>
  <c r="M12" i="63"/>
  <c r="K12" i="63"/>
  <c r="I12" i="63"/>
  <c r="Q11" i="63"/>
  <c r="R11" i="63" s="1"/>
  <c r="P11" i="63"/>
  <c r="M11" i="63"/>
  <c r="K11" i="63"/>
  <c r="I11" i="63"/>
  <c r="S10" i="63"/>
  <c r="Q10" i="63"/>
  <c r="R10" i="63" s="1"/>
  <c r="P10" i="63"/>
  <c r="M10" i="63"/>
  <c r="K10" i="63"/>
  <c r="I10" i="63"/>
  <c r="AG9" i="63"/>
  <c r="AF9" i="63"/>
  <c r="AD9" i="63"/>
  <c r="AC9" i="63"/>
  <c r="AB9" i="63"/>
  <c r="S9" i="63"/>
  <c r="R9" i="63"/>
  <c r="Q9" i="63"/>
  <c r="P9" i="63"/>
  <c r="M9" i="63"/>
  <c r="K9" i="63"/>
  <c r="I9" i="63"/>
  <c r="AH8" i="63"/>
  <c r="AG8" i="63"/>
  <c r="AF8" i="63"/>
  <c r="AE8" i="63"/>
  <c r="AD8" i="63"/>
  <c r="AC8" i="63"/>
  <c r="AB8" i="63"/>
  <c r="S8" i="63"/>
  <c r="R8" i="63"/>
  <c r="Q8" i="63"/>
  <c r="P8" i="63"/>
  <c r="M8" i="63"/>
  <c r="K8" i="63"/>
  <c r="I8" i="63"/>
  <c r="AH7" i="63"/>
  <c r="AH9" i="63" s="1"/>
  <c r="AG7" i="63"/>
  <c r="AF7" i="63"/>
  <c r="AE7" i="63"/>
  <c r="AE9" i="63" s="1"/>
  <c r="AD7" i="63"/>
  <c r="AC7" i="63"/>
  <c r="AB7" i="63"/>
  <c r="AA7" i="63"/>
  <c r="Q7" i="63"/>
  <c r="S7" i="63" s="1"/>
  <c r="P7" i="63"/>
  <c r="M7" i="63"/>
  <c r="K7" i="63"/>
  <c r="I7" i="63"/>
  <c r="R135" i="63" l="1"/>
  <c r="S140" i="63"/>
  <c r="R136" i="63"/>
  <c r="R137" i="63"/>
  <c r="S133" i="63"/>
  <c r="R138" i="63"/>
  <c r="AC129" i="63"/>
  <c r="AH129" i="63"/>
  <c r="AE129" i="63"/>
  <c r="AF129" i="63"/>
  <c r="AD129" i="63"/>
  <c r="AG129" i="63"/>
  <c r="R117" i="63"/>
  <c r="S104" i="63"/>
  <c r="R119" i="63"/>
  <c r="S120" i="63"/>
  <c r="R118" i="63"/>
  <c r="S115" i="63"/>
  <c r="S122" i="63"/>
  <c r="S103" i="63"/>
  <c r="AE144" i="63"/>
  <c r="S97" i="63"/>
  <c r="R87" i="63"/>
  <c r="R81" i="63"/>
  <c r="S84" i="63"/>
  <c r="R82" i="63"/>
  <c r="AC144" i="63"/>
  <c r="AB144" i="63"/>
  <c r="AH144" i="63"/>
  <c r="AF144" i="63"/>
  <c r="AG144" i="63"/>
  <c r="R62" i="63"/>
  <c r="S59" i="63"/>
  <c r="S66" i="63"/>
  <c r="R63" i="63"/>
  <c r="S64" i="63"/>
  <c r="S61" i="63"/>
  <c r="R55" i="63"/>
  <c r="AB33" i="63"/>
  <c r="AE33" i="63"/>
  <c r="AD144" i="63"/>
  <c r="S41" i="63"/>
  <c r="S48" i="63"/>
  <c r="R44" i="63"/>
  <c r="R45" i="63"/>
  <c r="R46" i="63"/>
  <c r="R31" i="63"/>
  <c r="S43" i="63"/>
  <c r="R127" i="63"/>
  <c r="R141" i="63"/>
  <c r="S67" i="63"/>
  <c r="S85" i="63"/>
  <c r="R88" i="63"/>
  <c r="R106" i="63"/>
  <c r="S14" i="63"/>
  <c r="R17" i="63"/>
  <c r="S33" i="63"/>
  <c r="R35" i="63"/>
  <c r="S70" i="63"/>
  <c r="R73" i="63"/>
  <c r="R91" i="63"/>
  <c r="R109" i="63"/>
  <c r="R143" i="63"/>
  <c r="R20" i="63"/>
  <c r="R38" i="63"/>
  <c r="R57" i="63"/>
  <c r="R94" i="63"/>
  <c r="R112" i="63"/>
  <c r="R130" i="63"/>
  <c r="AC33" i="63"/>
  <c r="R121" i="63"/>
  <c r="R50" i="63"/>
  <c r="AD57" i="63"/>
  <c r="R68" i="63"/>
  <c r="S83" i="63"/>
  <c r="R86" i="63"/>
  <c r="R105" i="63"/>
  <c r="R142" i="63"/>
  <c r="AH33" i="63"/>
  <c r="R36" i="63"/>
  <c r="R56" i="63"/>
  <c r="S71" i="63"/>
  <c r="R74" i="63"/>
  <c r="S89" i="63"/>
  <c r="R92" i="63"/>
  <c r="S107" i="63"/>
  <c r="R110" i="63"/>
  <c r="R129" i="63"/>
  <c r="R7" i="63"/>
  <c r="S18" i="63"/>
  <c r="R21" i="63"/>
  <c r="R39" i="63"/>
  <c r="R95" i="63"/>
  <c r="R113" i="63"/>
  <c r="R131" i="63"/>
  <c r="R145" i="63"/>
  <c r="R42" i="63"/>
  <c r="R60" i="63"/>
  <c r="R80" i="63"/>
  <c r="R98" i="63"/>
  <c r="R116" i="63"/>
  <c r="R134" i="63"/>
  <c r="R49" i="63"/>
  <c r="S11" i="63"/>
  <c r="R47" i="63"/>
  <c r="R65" i="63"/>
  <c r="AF33" i="63"/>
  <c r="S15" i="63"/>
  <c r="R12" i="63"/>
  <c r="S139" i="63"/>
  <c r="S32" i="63"/>
  <c r="AG33" i="63"/>
  <c r="R16" i="63"/>
  <c r="R34" i="63"/>
  <c r="R90" i="63"/>
  <c r="R108" i="63"/>
  <c r="R128" i="63"/>
  <c r="R37" i="63"/>
  <c r="S72" i="63"/>
  <c r="R79" i="63"/>
  <c r="R111" i="63"/>
  <c r="S19" i="63"/>
  <c r="R22" i="63"/>
  <c r="R40" i="63"/>
  <c r="R58" i="63"/>
  <c r="S93" i="63"/>
  <c r="R96" i="63"/>
  <c r="R114" i="63"/>
  <c r="R132" i="63"/>
  <c r="S144" i="63"/>
  <c r="R146" i="63"/>
  <c r="B34" i="25" l="1"/>
  <c r="A34" i="25"/>
  <c r="G7" i="7" l="1"/>
  <c r="B7" i="7"/>
  <c r="K6" i="39"/>
  <c r="T10" i="5"/>
  <c r="W10" i="5"/>
  <c r="Q10" i="5"/>
  <c r="N10" i="5"/>
  <c r="G5" i="5"/>
  <c r="B40" i="5"/>
  <c r="D40" i="5"/>
  <c r="G40" i="5"/>
  <c r="I40" i="5"/>
  <c r="M40" i="5"/>
  <c r="P40" i="5"/>
  <c r="S40" i="5"/>
  <c r="V40" i="5"/>
  <c r="D41" i="5"/>
  <c r="D42" i="5" s="1"/>
  <c r="D43" i="5" s="1"/>
  <c r="D44" i="5" s="1"/>
  <c r="D45" i="5" s="1"/>
  <c r="D46" i="5" s="1"/>
  <c r="I41" i="5"/>
  <c r="I42" i="5"/>
  <c r="I43" i="5"/>
  <c r="I44" i="5"/>
  <c r="I45" i="5"/>
  <c r="I46" i="5"/>
  <c r="B26" i="5"/>
  <c r="B33" i="5" s="1"/>
  <c r="D26" i="5"/>
  <c r="G26" i="5"/>
  <c r="I26" i="5"/>
  <c r="M26" i="5"/>
  <c r="P26" i="5"/>
  <c r="S26" i="5"/>
  <c r="V26" i="5"/>
  <c r="D27" i="5"/>
  <c r="I27" i="5"/>
  <c r="D28" i="5"/>
  <c r="I28" i="5"/>
  <c r="D29" i="5"/>
  <c r="I29" i="5"/>
  <c r="D30" i="5"/>
  <c r="I30" i="5"/>
  <c r="D31" i="5"/>
  <c r="I31" i="5"/>
  <c r="D32" i="5"/>
  <c r="D33" i="5" s="1"/>
  <c r="D34" i="5" s="1"/>
  <c r="D35" i="5" s="1"/>
  <c r="D36" i="5" s="1"/>
  <c r="D37" i="5" s="1"/>
  <c r="D38" i="5" s="1"/>
  <c r="D39" i="5" s="1"/>
  <c r="I32" i="5"/>
  <c r="G33" i="5"/>
  <c r="I33" i="5"/>
  <c r="M33" i="5"/>
  <c r="P33" i="5"/>
  <c r="S33" i="5"/>
  <c r="V33" i="5"/>
  <c r="I34" i="5"/>
  <c r="I35" i="5"/>
  <c r="I36" i="5"/>
  <c r="I37" i="5"/>
  <c r="I38" i="5"/>
  <c r="I39" i="5"/>
  <c r="B19" i="5"/>
  <c r="D19" i="5"/>
  <c r="G19" i="5"/>
  <c r="I19" i="5"/>
  <c r="M19" i="5"/>
  <c r="P19" i="5"/>
  <c r="S19" i="5"/>
  <c r="V19" i="5"/>
  <c r="D20" i="5"/>
  <c r="D21" i="5" s="1"/>
  <c r="D22" i="5" s="1"/>
  <c r="D23" i="5" s="1"/>
  <c r="D24" i="5" s="1"/>
  <c r="D25" i="5" s="1"/>
  <c r="I20" i="5"/>
  <c r="I21" i="5"/>
  <c r="I22" i="5"/>
  <c r="I23" i="5"/>
  <c r="I24" i="5"/>
  <c r="I25" i="5"/>
  <c r="G12" i="3"/>
  <c r="K11" i="39" l="1"/>
  <c r="I11" i="13"/>
  <c r="K10" i="39"/>
  <c r="I10" i="13"/>
  <c r="K9" i="39"/>
  <c r="I9" i="13"/>
  <c r="K8" i="39"/>
  <c r="I8" i="13"/>
  <c r="J40" i="5"/>
  <c r="J33" i="5"/>
  <c r="J26" i="5"/>
  <c r="J19" i="5"/>
  <c r="T10" i="3"/>
  <c r="E10" i="39" s="1"/>
  <c r="O41" i="3"/>
  <c r="O42" i="3"/>
  <c r="O43" i="3"/>
  <c r="O44" i="3"/>
  <c r="O45" i="3"/>
  <c r="O46" i="3"/>
  <c r="M40" i="3"/>
  <c r="N10" i="3"/>
  <c r="E8" i="39" s="1"/>
  <c r="K10" i="3"/>
  <c r="H10" i="3"/>
  <c r="B6" i="13" s="1"/>
  <c r="J40" i="3"/>
  <c r="G40" i="3"/>
  <c r="D40" i="3"/>
  <c r="D41" i="3" s="1"/>
  <c r="D42" i="3" s="1"/>
  <c r="D43" i="3" s="1"/>
  <c r="D44" i="3" s="1"/>
  <c r="D45" i="3" s="1"/>
  <c r="D46" i="3" s="1"/>
  <c r="B40" i="3"/>
  <c r="D36" i="3"/>
  <c r="D37" i="3"/>
  <c r="D38" i="3"/>
  <c r="D39" i="3"/>
  <c r="O40" i="3"/>
  <c r="U40" i="3"/>
  <c r="G5" i="3"/>
  <c r="P40" i="3" l="1"/>
  <c r="E7" i="39"/>
  <c r="B7" i="13"/>
  <c r="B5" i="40"/>
  <c r="C9" i="40" s="1"/>
  <c r="Q10" i="3"/>
  <c r="E9" i="39" s="1"/>
  <c r="E6" i="39"/>
  <c r="W10" i="3"/>
  <c r="E11" i="39" s="1"/>
  <c r="D8" i="13" l="1"/>
  <c r="B8" i="25"/>
  <c r="A8" i="25"/>
  <c r="AR10" i="49"/>
  <c r="AR9" i="49"/>
  <c r="AR8" i="49"/>
  <c r="AM14" i="49"/>
  <c r="AM7" i="51"/>
  <c r="AH7" i="51"/>
  <c r="AC8" i="51"/>
  <c r="AC7" i="51"/>
  <c r="X8" i="51"/>
  <c r="X7" i="51"/>
  <c r="S8" i="51"/>
  <c r="S7" i="51"/>
  <c r="AR7" i="52"/>
  <c r="AM8" i="52"/>
  <c r="AM7" i="52"/>
  <c r="AH8" i="52"/>
  <c r="AL8" i="52"/>
  <c r="AG8" i="52"/>
  <c r="AB8" i="52"/>
  <c r="AC8" i="52" s="1"/>
  <c r="W8" i="52"/>
  <c r="X8" i="52" s="1"/>
  <c r="R8" i="52"/>
  <c r="S8" i="52" s="1"/>
  <c r="K8" i="52"/>
  <c r="J8" i="52"/>
  <c r="I8" i="52"/>
  <c r="G8" i="52"/>
  <c r="AV7" i="52"/>
  <c r="AX7" i="52" s="1"/>
  <c r="AS7" i="52"/>
  <c r="AQ7" i="52"/>
  <c r="AL7" i="52"/>
  <c r="AN7" i="52" s="1"/>
  <c r="AG7" i="52"/>
  <c r="AH7" i="52" s="1"/>
  <c r="AB7" i="52"/>
  <c r="W7" i="52"/>
  <c r="R7" i="52"/>
  <c r="T7" i="52" s="1"/>
  <c r="J7" i="52"/>
  <c r="I7" i="52"/>
  <c r="G7" i="52"/>
  <c r="U2" i="52"/>
  <c r="P3" i="52"/>
  <c r="AG8" i="51"/>
  <c r="AH8" i="51" s="1"/>
  <c r="AB8" i="51"/>
  <c r="W8" i="51"/>
  <c r="R8" i="51"/>
  <c r="K8" i="51"/>
  <c r="J8" i="51"/>
  <c r="I8" i="51"/>
  <c r="G8" i="51"/>
  <c r="AV7" i="51"/>
  <c r="AW7" i="51" s="1"/>
  <c r="AQ7" i="51"/>
  <c r="AR7" i="51" s="1"/>
  <c r="AN7" i="51"/>
  <c r="AL7" i="51"/>
  <c r="AG7" i="51"/>
  <c r="AB7" i="51"/>
  <c r="W7" i="51"/>
  <c r="R7" i="51"/>
  <c r="J7" i="51"/>
  <c r="I7" i="51"/>
  <c r="G7" i="51"/>
  <c r="H7" i="51" s="1"/>
  <c r="L7" i="50"/>
  <c r="AG15" i="49"/>
  <c r="AH15" i="49" s="1"/>
  <c r="AB15" i="49"/>
  <c r="AC15" i="49" s="1"/>
  <c r="W15" i="49"/>
  <c r="X15" i="49" s="1"/>
  <c r="R15" i="49"/>
  <c r="S15" i="49" s="1"/>
  <c r="K15" i="49"/>
  <c r="J15" i="49"/>
  <c r="I15" i="49"/>
  <c r="G15" i="49"/>
  <c r="AV14" i="49"/>
  <c r="AQ14" i="49"/>
  <c r="AL14" i="49"/>
  <c r="AG14" i="49"/>
  <c r="AH14" i="49" s="1"/>
  <c r="AB14" i="49"/>
  <c r="W14" i="49"/>
  <c r="X14" i="49" s="1"/>
  <c r="R14" i="49"/>
  <c r="S14" i="49" s="1"/>
  <c r="J14" i="49"/>
  <c r="I14" i="49"/>
  <c r="G14" i="49"/>
  <c r="AV13" i="49"/>
  <c r="AW13" i="49" s="1"/>
  <c r="AQ13" i="49"/>
  <c r="AR13" i="49" s="1"/>
  <c r="AL13" i="49"/>
  <c r="AM13" i="49" s="1"/>
  <c r="AG13" i="49"/>
  <c r="AB13" i="49"/>
  <c r="AC13" i="49" s="1"/>
  <c r="W13" i="49"/>
  <c r="X13" i="49" s="1"/>
  <c r="R13" i="49"/>
  <c r="S13" i="49" s="1"/>
  <c r="J13" i="49"/>
  <c r="I13" i="49"/>
  <c r="G13" i="49"/>
  <c r="AV12" i="49"/>
  <c r="AQ12" i="49"/>
  <c r="AL12" i="49"/>
  <c r="AM12" i="49" s="1"/>
  <c r="AG12" i="49"/>
  <c r="AH12" i="49" s="1"/>
  <c r="AB12" i="49"/>
  <c r="W12" i="49"/>
  <c r="X12" i="49" s="1"/>
  <c r="R12" i="49"/>
  <c r="J12" i="49"/>
  <c r="I12" i="49"/>
  <c r="G12" i="49"/>
  <c r="AV11" i="49"/>
  <c r="AW11" i="49" s="1"/>
  <c r="AQ11" i="49"/>
  <c r="AR11" i="49" s="1"/>
  <c r="AL11" i="49"/>
  <c r="AM11" i="49" s="1"/>
  <c r="AG11" i="49"/>
  <c r="AH11" i="49" s="1"/>
  <c r="AB11" i="49"/>
  <c r="W11" i="49"/>
  <c r="X11" i="49" s="1"/>
  <c r="R11" i="49"/>
  <c r="S11" i="49" s="1"/>
  <c r="J11" i="49"/>
  <c r="I11" i="49"/>
  <c r="G11" i="49"/>
  <c r="AV10" i="49"/>
  <c r="AW10" i="49" s="1"/>
  <c r="AQ10" i="49"/>
  <c r="AL10" i="49"/>
  <c r="AM10" i="49" s="1"/>
  <c r="AG10" i="49"/>
  <c r="AH10" i="49" s="1"/>
  <c r="AB10" i="49"/>
  <c r="AC10" i="49" s="1"/>
  <c r="W10" i="49"/>
  <c r="X10" i="49" s="1"/>
  <c r="R10" i="49"/>
  <c r="J10" i="49"/>
  <c r="I10" i="49"/>
  <c r="G10" i="49"/>
  <c r="AV9" i="49"/>
  <c r="AW9" i="49" s="1"/>
  <c r="AQ9" i="49"/>
  <c r="AL9" i="49"/>
  <c r="AM9" i="49" s="1"/>
  <c r="AG9" i="49"/>
  <c r="AH9" i="49" s="1"/>
  <c r="AB9" i="49"/>
  <c r="AC9" i="49" s="1"/>
  <c r="W9" i="49"/>
  <c r="X9" i="49" s="1"/>
  <c r="R9" i="49"/>
  <c r="S9" i="49" s="1"/>
  <c r="J9" i="49"/>
  <c r="I9" i="49"/>
  <c r="G9" i="49"/>
  <c r="AV8" i="49"/>
  <c r="AW8" i="49" s="1"/>
  <c r="AQ8" i="49"/>
  <c r="AL8" i="49"/>
  <c r="AM8" i="49" s="1"/>
  <c r="AG8" i="49"/>
  <c r="AB8" i="49"/>
  <c r="AC8" i="49" s="1"/>
  <c r="W8" i="49"/>
  <c r="X8" i="49" s="1"/>
  <c r="R8" i="49"/>
  <c r="K8" i="49" s="1"/>
  <c r="J8" i="49"/>
  <c r="I8" i="49"/>
  <c r="G8" i="49"/>
  <c r="AV7" i="49"/>
  <c r="AX7" i="49" s="1"/>
  <c r="AQ7" i="49"/>
  <c r="AR14" i="49" s="1"/>
  <c r="AL7" i="49"/>
  <c r="AN7" i="49" s="1"/>
  <c r="AG7" i="49"/>
  <c r="AB7" i="49"/>
  <c r="AC12" i="49" s="1"/>
  <c r="W7" i="49"/>
  <c r="R7" i="49"/>
  <c r="S10" i="49" s="1"/>
  <c r="J7" i="49"/>
  <c r="I7" i="49"/>
  <c r="G7" i="49"/>
  <c r="AV16" i="48"/>
  <c r="K16" i="48"/>
  <c r="J16" i="48"/>
  <c r="I16" i="48"/>
  <c r="G16" i="48"/>
  <c r="AV15" i="48"/>
  <c r="K15" i="48"/>
  <c r="J15" i="48"/>
  <c r="I15" i="48"/>
  <c r="G15" i="48"/>
  <c r="AV14" i="48"/>
  <c r="AQ14" i="48"/>
  <c r="AR14" i="48" s="1"/>
  <c r="AL14" i="48"/>
  <c r="AG14" i="48"/>
  <c r="AH14" i="48" s="1"/>
  <c r="AB14" i="48"/>
  <c r="W14" i="48"/>
  <c r="R14" i="48"/>
  <c r="J14" i="48"/>
  <c r="I14" i="48"/>
  <c r="G14" i="48"/>
  <c r="AV13" i="48"/>
  <c r="AQ13" i="48"/>
  <c r="AR13" i="48" s="1"/>
  <c r="AL13" i="48"/>
  <c r="AG13" i="48"/>
  <c r="AB13" i="48"/>
  <c r="W13" i="48"/>
  <c r="R13" i="48"/>
  <c r="J13" i="48"/>
  <c r="I13" i="48"/>
  <c r="G13" i="48"/>
  <c r="AV12" i="48"/>
  <c r="AQ12" i="48"/>
  <c r="AR12" i="48" s="1"/>
  <c r="AL12" i="48"/>
  <c r="AG12" i="48"/>
  <c r="AB12" i="48"/>
  <c r="W12" i="48"/>
  <c r="R12" i="48"/>
  <c r="J12" i="48"/>
  <c r="I12" i="48"/>
  <c r="G12" i="48"/>
  <c r="AB11" i="48"/>
  <c r="W11" i="48"/>
  <c r="R11" i="48"/>
  <c r="J11" i="48"/>
  <c r="I11" i="48"/>
  <c r="G11" i="48"/>
  <c r="AV10" i="48"/>
  <c r="AW10" i="48" s="1"/>
  <c r="AQ10" i="48"/>
  <c r="AR10" i="48" s="1"/>
  <c r="AL10" i="48"/>
  <c r="AG10" i="48"/>
  <c r="AH10" i="48" s="1"/>
  <c r="AB10" i="48"/>
  <c r="W10" i="48"/>
  <c r="R10" i="48"/>
  <c r="J10" i="48"/>
  <c r="I10" i="48"/>
  <c r="G10" i="48"/>
  <c r="AV9" i="48"/>
  <c r="AQ9" i="48"/>
  <c r="AR9" i="48" s="1"/>
  <c r="AL9" i="48"/>
  <c r="AG9" i="48"/>
  <c r="AB9" i="48"/>
  <c r="W9" i="48"/>
  <c r="X9" i="48" s="1"/>
  <c r="R9" i="48"/>
  <c r="J9" i="48"/>
  <c r="I9" i="48"/>
  <c r="G9" i="48"/>
  <c r="AV8" i="48"/>
  <c r="AW8" i="48" s="1"/>
  <c r="AQ8" i="48"/>
  <c r="AR8" i="48" s="1"/>
  <c r="AL8" i="48"/>
  <c r="AM13" i="48" s="1"/>
  <c r="AG8" i="48"/>
  <c r="AH8" i="48" s="1"/>
  <c r="AB8" i="48"/>
  <c r="W8" i="48"/>
  <c r="R8" i="48"/>
  <c r="J8" i="48"/>
  <c r="I8" i="48"/>
  <c r="G8" i="48"/>
  <c r="AV7" i="48"/>
  <c r="AQ7" i="48"/>
  <c r="AL7" i="48"/>
  <c r="AM7" i="48" s="1"/>
  <c r="AG7" i="48"/>
  <c r="AB7" i="48"/>
  <c r="W7" i="48"/>
  <c r="R7" i="48"/>
  <c r="K7" i="48" s="1"/>
  <c r="J7" i="48"/>
  <c r="I7" i="48"/>
  <c r="G7" i="48"/>
  <c r="AR16" i="44"/>
  <c r="AR12" i="44"/>
  <c r="AH30" i="44"/>
  <c r="AH24" i="44"/>
  <c r="AH14" i="44"/>
  <c r="AC23" i="44"/>
  <c r="X32" i="44"/>
  <c r="AV36" i="44"/>
  <c r="AW36" i="44" s="1"/>
  <c r="J36" i="44"/>
  <c r="I36" i="44"/>
  <c r="G36" i="44"/>
  <c r="AV35" i="44"/>
  <c r="AW35" i="44" s="1"/>
  <c r="AQ35" i="44"/>
  <c r="AR35" i="44" s="1"/>
  <c r="AL35" i="44"/>
  <c r="AG35" i="44"/>
  <c r="AB35" i="44"/>
  <c r="W35" i="44"/>
  <c r="X35" i="44" s="1"/>
  <c r="R35" i="44"/>
  <c r="S35" i="44" s="1"/>
  <c r="J35" i="44"/>
  <c r="I35" i="44"/>
  <c r="G35" i="44"/>
  <c r="AV34" i="44"/>
  <c r="AW34" i="44" s="1"/>
  <c r="AQ34" i="44"/>
  <c r="AR34" i="44" s="1"/>
  <c r="AL34" i="44"/>
  <c r="AM34" i="44" s="1"/>
  <c r="AG34" i="44"/>
  <c r="AB34" i="44"/>
  <c r="W34" i="44"/>
  <c r="X34" i="44" s="1"/>
  <c r="R34" i="44"/>
  <c r="J34" i="44"/>
  <c r="I34" i="44"/>
  <c r="G34" i="44"/>
  <c r="AV33" i="44"/>
  <c r="AW33" i="44" s="1"/>
  <c r="AQ33" i="44"/>
  <c r="AR33" i="44" s="1"/>
  <c r="AL33" i="44"/>
  <c r="AM33" i="44" s="1"/>
  <c r="AG33" i="44"/>
  <c r="AB33" i="44"/>
  <c r="W33" i="44"/>
  <c r="R33" i="44"/>
  <c r="S33" i="44" s="1"/>
  <c r="J33" i="44"/>
  <c r="I33" i="44"/>
  <c r="G33" i="44"/>
  <c r="AV32" i="44"/>
  <c r="AW32" i="44" s="1"/>
  <c r="AQ32" i="44"/>
  <c r="AR32" i="44" s="1"/>
  <c r="AL32" i="44"/>
  <c r="AM32" i="44" s="1"/>
  <c r="AG32" i="44"/>
  <c r="AH32" i="44" s="1"/>
  <c r="AB32" i="44"/>
  <c r="AC32" i="44" s="1"/>
  <c r="W32" i="44"/>
  <c r="K32" i="44" s="1"/>
  <c r="R32" i="44"/>
  <c r="J32" i="44"/>
  <c r="I32" i="44"/>
  <c r="G32" i="44"/>
  <c r="AV31" i="44"/>
  <c r="AW31" i="44" s="1"/>
  <c r="AQ31" i="44"/>
  <c r="AR31" i="44" s="1"/>
  <c r="AL31" i="44"/>
  <c r="AG31" i="44"/>
  <c r="AB31" i="44"/>
  <c r="AC31" i="44" s="1"/>
  <c r="W31" i="44"/>
  <c r="K31" i="44" s="1"/>
  <c r="R31" i="44"/>
  <c r="J31" i="44"/>
  <c r="I31" i="44"/>
  <c r="G31" i="44"/>
  <c r="AV30" i="44"/>
  <c r="AW30" i="44" s="1"/>
  <c r="AQ30" i="44"/>
  <c r="AL30" i="44"/>
  <c r="AM30" i="44" s="1"/>
  <c r="AG30" i="44"/>
  <c r="AB30" i="44"/>
  <c r="AC30" i="44" s="1"/>
  <c r="W30" i="44"/>
  <c r="X30" i="44" s="1"/>
  <c r="R30" i="44"/>
  <c r="S30" i="44" s="1"/>
  <c r="K30" i="44"/>
  <c r="J30" i="44"/>
  <c r="I30" i="44"/>
  <c r="G30" i="44"/>
  <c r="AV29" i="44"/>
  <c r="AW29" i="44" s="1"/>
  <c r="AQ29" i="44"/>
  <c r="AL29" i="44"/>
  <c r="AG29" i="44"/>
  <c r="AB29" i="44"/>
  <c r="W29" i="44"/>
  <c r="R29" i="44"/>
  <c r="K29" i="44"/>
  <c r="J29" i="44"/>
  <c r="I29" i="44"/>
  <c r="G29" i="44"/>
  <c r="AV28" i="44"/>
  <c r="AW28" i="44" s="1"/>
  <c r="AQ28" i="44"/>
  <c r="AL28" i="44"/>
  <c r="AM28" i="44" s="1"/>
  <c r="AG28" i="44"/>
  <c r="AB28" i="44"/>
  <c r="AC28" i="44" s="1"/>
  <c r="W28" i="44"/>
  <c r="X28" i="44" s="1"/>
  <c r="R28" i="44"/>
  <c r="J28" i="44"/>
  <c r="I28" i="44"/>
  <c r="G28" i="44"/>
  <c r="AV27" i="44"/>
  <c r="AQ27" i="44"/>
  <c r="AL27" i="44"/>
  <c r="AM27" i="44" s="1"/>
  <c r="AG27" i="44"/>
  <c r="AB27" i="44"/>
  <c r="AC27" i="44" s="1"/>
  <c r="W27" i="44"/>
  <c r="R27" i="44"/>
  <c r="K27" i="44" s="1"/>
  <c r="J27" i="44"/>
  <c r="I27" i="44"/>
  <c r="G27" i="44"/>
  <c r="AV26" i="44"/>
  <c r="AQ26" i="44"/>
  <c r="AL26" i="44"/>
  <c r="AM26" i="44" s="1"/>
  <c r="AG26" i="44"/>
  <c r="AB26" i="44"/>
  <c r="AC26" i="44" s="1"/>
  <c r="W26" i="44"/>
  <c r="X26" i="44" s="1"/>
  <c r="R26" i="44"/>
  <c r="S26" i="44" s="1"/>
  <c r="J26" i="44"/>
  <c r="I26" i="44"/>
  <c r="G26" i="44"/>
  <c r="AV25" i="44"/>
  <c r="AQ25" i="44"/>
  <c r="AR25" i="44" s="1"/>
  <c r="AL25" i="44"/>
  <c r="AG25" i="44"/>
  <c r="AB25" i="44"/>
  <c r="AC25" i="44" s="1"/>
  <c r="W25" i="44"/>
  <c r="R25" i="44"/>
  <c r="S25" i="44" s="1"/>
  <c r="K25" i="44"/>
  <c r="J25" i="44"/>
  <c r="I25" i="44"/>
  <c r="G25" i="44"/>
  <c r="AV24" i="44"/>
  <c r="AQ24" i="44"/>
  <c r="AL24" i="44"/>
  <c r="AM24" i="44" s="1"/>
  <c r="AG24" i="44"/>
  <c r="AB24" i="44"/>
  <c r="AC24" i="44" s="1"/>
  <c r="W24" i="44"/>
  <c r="X24" i="44" s="1"/>
  <c r="R24" i="44"/>
  <c r="S24" i="44" s="1"/>
  <c r="J24" i="44"/>
  <c r="I24" i="44"/>
  <c r="G24" i="44"/>
  <c r="AV23" i="44"/>
  <c r="AQ23" i="44"/>
  <c r="AL23" i="44"/>
  <c r="AM23" i="44" s="1"/>
  <c r="AG23" i="44"/>
  <c r="AH23" i="44" s="1"/>
  <c r="AB23" i="44"/>
  <c r="W23" i="44"/>
  <c r="R23" i="44"/>
  <c r="S23" i="44" s="1"/>
  <c r="J23" i="44"/>
  <c r="I23" i="44"/>
  <c r="G23" i="44"/>
  <c r="AV22" i="44"/>
  <c r="AW22" i="44" s="1"/>
  <c r="AQ22" i="44"/>
  <c r="AR22" i="44" s="1"/>
  <c r="AL22" i="44"/>
  <c r="AM22" i="44" s="1"/>
  <c r="AG22" i="44"/>
  <c r="AH22" i="44" s="1"/>
  <c r="AB22" i="44"/>
  <c r="AC22" i="44" s="1"/>
  <c r="W22" i="44"/>
  <c r="R22" i="44"/>
  <c r="K22" i="44" s="1"/>
  <c r="J22" i="44"/>
  <c r="I22" i="44"/>
  <c r="G22" i="44"/>
  <c r="AV21" i="44"/>
  <c r="AQ21" i="44"/>
  <c r="AR21" i="44" s="1"/>
  <c r="AL21" i="44"/>
  <c r="AG21" i="44"/>
  <c r="AH21" i="44" s="1"/>
  <c r="AB21" i="44"/>
  <c r="AC21" i="44" s="1"/>
  <c r="W21" i="44"/>
  <c r="X21" i="44" s="1"/>
  <c r="R21" i="44"/>
  <c r="S21" i="44" s="1"/>
  <c r="J21" i="44"/>
  <c r="I21" i="44"/>
  <c r="G21" i="44"/>
  <c r="AV20" i="44"/>
  <c r="AW24" i="44" s="1"/>
  <c r="AQ20" i="44"/>
  <c r="AR20" i="44" s="1"/>
  <c r="AL20" i="44"/>
  <c r="AM20" i="44" s="1"/>
  <c r="AG20" i="44"/>
  <c r="AH20" i="44" s="1"/>
  <c r="AB20" i="44"/>
  <c r="AC20" i="44" s="1"/>
  <c r="W20" i="44"/>
  <c r="X20" i="44" s="1"/>
  <c r="R20" i="44"/>
  <c r="J20" i="44"/>
  <c r="I20" i="44"/>
  <c r="G20" i="44"/>
  <c r="AV19" i="44"/>
  <c r="AW19" i="44" s="1"/>
  <c r="AQ19" i="44"/>
  <c r="AR19" i="44" s="1"/>
  <c r="AL19" i="44"/>
  <c r="AG19" i="44"/>
  <c r="AH19" i="44" s="1"/>
  <c r="AB19" i="44"/>
  <c r="W19" i="44"/>
  <c r="X19" i="44" s="1"/>
  <c r="R19" i="44"/>
  <c r="S19" i="44" s="1"/>
  <c r="J19" i="44"/>
  <c r="I19" i="44"/>
  <c r="G19" i="44"/>
  <c r="AV18" i="44"/>
  <c r="AW18" i="44" s="1"/>
  <c r="AQ18" i="44"/>
  <c r="AR18" i="44" s="1"/>
  <c r="AL18" i="44"/>
  <c r="AM18" i="44" s="1"/>
  <c r="AG18" i="44"/>
  <c r="AH18" i="44" s="1"/>
  <c r="AB18" i="44"/>
  <c r="W18" i="44"/>
  <c r="X18" i="44" s="1"/>
  <c r="R18" i="44"/>
  <c r="J18" i="44"/>
  <c r="I18" i="44"/>
  <c r="G18" i="44"/>
  <c r="AV17" i="44"/>
  <c r="AW17" i="44" s="1"/>
  <c r="AQ17" i="44"/>
  <c r="AL17" i="44"/>
  <c r="AM35" i="44" s="1"/>
  <c r="AG17" i="44"/>
  <c r="AH17" i="44" s="1"/>
  <c r="AB17" i="44"/>
  <c r="W17" i="44"/>
  <c r="X17" i="44" s="1"/>
  <c r="R17" i="44"/>
  <c r="S17" i="44" s="1"/>
  <c r="J17" i="44"/>
  <c r="I17" i="44"/>
  <c r="G17" i="44"/>
  <c r="AV16" i="44"/>
  <c r="AW16" i="44" s="1"/>
  <c r="AQ16" i="44"/>
  <c r="AL16" i="44"/>
  <c r="AM16" i="44" s="1"/>
  <c r="AG16" i="44"/>
  <c r="AH16" i="44" s="1"/>
  <c r="AB16" i="44"/>
  <c r="W16" i="44"/>
  <c r="X16" i="44" s="1"/>
  <c r="R16" i="44"/>
  <c r="J16" i="44"/>
  <c r="I16" i="44"/>
  <c r="G16" i="44"/>
  <c r="AV15" i="44"/>
  <c r="AW15" i="44" s="1"/>
  <c r="AQ15" i="44"/>
  <c r="AR15" i="44" s="1"/>
  <c r="AL15" i="44"/>
  <c r="AG15" i="44"/>
  <c r="AB15" i="44"/>
  <c r="W15" i="44"/>
  <c r="X15" i="44" s="1"/>
  <c r="R15" i="44"/>
  <c r="S15" i="44" s="1"/>
  <c r="J15" i="44"/>
  <c r="I15" i="44"/>
  <c r="G15" i="44"/>
  <c r="AV14" i="44"/>
  <c r="AW14" i="44" s="1"/>
  <c r="AQ14" i="44"/>
  <c r="AR14" i="44" s="1"/>
  <c r="AL14" i="44"/>
  <c r="AM14" i="44" s="1"/>
  <c r="AG14" i="44"/>
  <c r="AB14" i="44"/>
  <c r="AC14" i="44" s="1"/>
  <c r="W14" i="44"/>
  <c r="X14" i="44" s="1"/>
  <c r="R14" i="44"/>
  <c r="S14" i="44" s="1"/>
  <c r="J14" i="44"/>
  <c r="I14" i="44"/>
  <c r="G14" i="44"/>
  <c r="AV13" i="44"/>
  <c r="AW13" i="44" s="1"/>
  <c r="AQ13" i="44"/>
  <c r="AR13" i="44" s="1"/>
  <c r="AL13" i="44"/>
  <c r="AM13" i="44" s="1"/>
  <c r="AG13" i="44"/>
  <c r="AH13" i="44" s="1"/>
  <c r="AB13" i="44"/>
  <c r="W13" i="44"/>
  <c r="X13" i="44" s="1"/>
  <c r="R13" i="44"/>
  <c r="K13" i="44" s="1"/>
  <c r="J13" i="44"/>
  <c r="I13" i="44"/>
  <c r="G13" i="44"/>
  <c r="AV12" i="44"/>
  <c r="AW12" i="44" s="1"/>
  <c r="AQ12" i="44"/>
  <c r="AL12" i="44"/>
  <c r="AM12" i="44" s="1"/>
  <c r="AG12" i="44"/>
  <c r="AH12" i="44" s="1"/>
  <c r="AB12" i="44"/>
  <c r="AC12" i="44" s="1"/>
  <c r="W12" i="44"/>
  <c r="X8" i="44" s="1"/>
  <c r="R12" i="44"/>
  <c r="K12" i="44" s="1"/>
  <c r="J12" i="44"/>
  <c r="I12" i="44"/>
  <c r="G12" i="44"/>
  <c r="AV11" i="44"/>
  <c r="AW11" i="44" s="1"/>
  <c r="AQ11" i="44"/>
  <c r="AR11" i="44" s="1"/>
  <c r="AL11" i="44"/>
  <c r="AM11" i="44" s="1"/>
  <c r="AG11" i="44"/>
  <c r="AH11" i="44" s="1"/>
  <c r="AB11" i="44"/>
  <c r="AC11" i="44" s="1"/>
  <c r="W11" i="44"/>
  <c r="X11" i="44" s="1"/>
  <c r="R11" i="44"/>
  <c r="J11" i="44"/>
  <c r="I11" i="44"/>
  <c r="G11" i="44"/>
  <c r="AV10" i="44"/>
  <c r="AW10" i="44" s="1"/>
  <c r="AQ10" i="44"/>
  <c r="AR10" i="44" s="1"/>
  <c r="AL10" i="44"/>
  <c r="AM10" i="44" s="1"/>
  <c r="AG10" i="44"/>
  <c r="AH10" i="44" s="1"/>
  <c r="AB10" i="44"/>
  <c r="K10" i="44" s="1"/>
  <c r="W10" i="44"/>
  <c r="X10" i="44" s="1"/>
  <c r="R10" i="44"/>
  <c r="J10" i="44"/>
  <c r="I10" i="44"/>
  <c r="G10" i="44"/>
  <c r="AV9" i="44"/>
  <c r="AW9" i="44" s="1"/>
  <c r="AQ9" i="44"/>
  <c r="AL9" i="44"/>
  <c r="AM9" i="44" s="1"/>
  <c r="AG9" i="44"/>
  <c r="AH9" i="44" s="1"/>
  <c r="AB9" i="44"/>
  <c r="AC9" i="44" s="1"/>
  <c r="W9" i="44"/>
  <c r="X33" i="44" s="1"/>
  <c r="R9" i="44"/>
  <c r="J9" i="44"/>
  <c r="I9" i="44"/>
  <c r="G9" i="44"/>
  <c r="AV8" i="44"/>
  <c r="AW8" i="44" s="1"/>
  <c r="AQ8" i="44"/>
  <c r="AR17" i="44" s="1"/>
  <c r="AL8" i="44"/>
  <c r="AM25" i="44" s="1"/>
  <c r="AG8" i="44"/>
  <c r="AH8" i="44" s="1"/>
  <c r="AB8" i="44"/>
  <c r="AC8" i="44" s="1"/>
  <c r="W8" i="44"/>
  <c r="R8" i="44"/>
  <c r="K8" i="44" s="1"/>
  <c r="J8" i="44"/>
  <c r="I8" i="44"/>
  <c r="G8" i="44"/>
  <c r="AV7" i="44"/>
  <c r="AQ7" i="44"/>
  <c r="AL7" i="44"/>
  <c r="AM31" i="44" s="1"/>
  <c r="AG7" i="44"/>
  <c r="AH34" i="44" s="1"/>
  <c r="AB7" i="44"/>
  <c r="AC29" i="44" s="1"/>
  <c r="W7" i="44"/>
  <c r="R7" i="44"/>
  <c r="S27" i="44" s="1"/>
  <c r="J7" i="44"/>
  <c r="I7" i="44"/>
  <c r="G7" i="44"/>
  <c r="B7" i="6"/>
  <c r="AC13" i="6"/>
  <c r="S13" i="6"/>
  <c r="M13" i="6"/>
  <c r="F13" i="6" s="1"/>
  <c r="AC12" i="6"/>
  <c r="S12" i="6"/>
  <c r="M12" i="6"/>
  <c r="F12" i="6"/>
  <c r="AJ12" i="6" s="1"/>
  <c r="AC11" i="6"/>
  <c r="S11" i="6"/>
  <c r="M11" i="6"/>
  <c r="F11" i="6"/>
  <c r="AC10" i="6"/>
  <c r="S10" i="6"/>
  <c r="M10" i="6"/>
  <c r="F10" i="6"/>
  <c r="AC9" i="6"/>
  <c r="S9" i="6"/>
  <c r="M9" i="6"/>
  <c r="F9" i="6"/>
  <c r="J9" i="6" s="1"/>
  <c r="AC8" i="6"/>
  <c r="S8" i="6"/>
  <c r="M8" i="6"/>
  <c r="F8" i="6" s="1"/>
  <c r="AC7" i="6"/>
  <c r="S7" i="6"/>
  <c r="M7" i="6"/>
  <c r="F7" i="6"/>
  <c r="AC13" i="7"/>
  <c r="S13" i="7"/>
  <c r="M13" i="7"/>
  <c r="F13" i="7"/>
  <c r="AC12" i="7"/>
  <c r="S12" i="7"/>
  <c r="M12" i="7"/>
  <c r="F12" i="7"/>
  <c r="AC11" i="7"/>
  <c r="S11" i="7"/>
  <c r="M11" i="7"/>
  <c r="F11" i="7" s="1"/>
  <c r="AC10" i="7"/>
  <c r="S10" i="7"/>
  <c r="F10" i="7" s="1"/>
  <c r="M10" i="7"/>
  <c r="AC9" i="7"/>
  <c r="S9" i="7"/>
  <c r="M9" i="7"/>
  <c r="F9" i="7"/>
  <c r="AC8" i="7"/>
  <c r="S8" i="7"/>
  <c r="M8" i="7"/>
  <c r="F8" i="7"/>
  <c r="AC7" i="7"/>
  <c r="S7" i="7"/>
  <c r="M7" i="7"/>
  <c r="F7" i="7"/>
  <c r="U7" i="5"/>
  <c r="U8" i="5"/>
  <c r="U9" i="5"/>
  <c r="U10" i="5"/>
  <c r="U11" i="5"/>
  <c r="U6" i="5"/>
  <c r="U5" i="5"/>
  <c r="U3" i="52" l="1"/>
  <c r="Z2" i="52"/>
  <c r="AW7" i="52"/>
  <c r="H7" i="52"/>
  <c r="K7" i="52"/>
  <c r="S7" i="52"/>
  <c r="Y7" i="52"/>
  <c r="X7" i="52"/>
  <c r="AD7" i="52"/>
  <c r="AC7" i="52"/>
  <c r="T7" i="51"/>
  <c r="Y7" i="51"/>
  <c r="AD7" i="51"/>
  <c r="AI7" i="51"/>
  <c r="Y7" i="49"/>
  <c r="S12" i="49"/>
  <c r="AR7" i="49"/>
  <c r="K7" i="49"/>
  <c r="S8" i="49"/>
  <c r="X7" i="49"/>
  <c r="AR12" i="49"/>
  <c r="AC14" i="49"/>
  <c r="K11" i="49"/>
  <c r="K13" i="49"/>
  <c r="AW7" i="49"/>
  <c r="AH13" i="49"/>
  <c r="AW14" i="49"/>
  <c r="AH8" i="49"/>
  <c r="AW12" i="49"/>
  <c r="K12" i="49"/>
  <c r="M12" i="49" s="1"/>
  <c r="AM7" i="49"/>
  <c r="K14" i="49"/>
  <c r="M14" i="49" s="1"/>
  <c r="AC7" i="49"/>
  <c r="AH7" i="49"/>
  <c r="H7" i="49"/>
  <c r="S7" i="49"/>
  <c r="AC11" i="49"/>
  <c r="AM10" i="48"/>
  <c r="K11" i="48"/>
  <c r="AH7" i="48"/>
  <c r="AW13" i="48"/>
  <c r="AW16" i="48"/>
  <c r="X7" i="48"/>
  <c r="X11" i="48"/>
  <c r="AH13" i="48"/>
  <c r="S14" i="48"/>
  <c r="X12" i="48"/>
  <c r="S12" i="48"/>
  <c r="X14" i="48"/>
  <c r="AW9" i="48"/>
  <c r="AC12" i="48"/>
  <c r="AC14" i="48"/>
  <c r="K8" i="48"/>
  <c r="AH12" i="48"/>
  <c r="AM8" i="48"/>
  <c r="AW15" i="48"/>
  <c r="S8" i="48"/>
  <c r="S10" i="48"/>
  <c r="AM12" i="48"/>
  <c r="AM14" i="48"/>
  <c r="S9" i="48"/>
  <c r="AH9" i="48"/>
  <c r="X10" i="48"/>
  <c r="X8" i="48"/>
  <c r="X13" i="48"/>
  <c r="S11" i="48"/>
  <c r="AX7" i="48"/>
  <c r="AC13" i="48"/>
  <c r="AC10" i="48"/>
  <c r="AW12" i="48"/>
  <c r="AW14" i="48"/>
  <c r="AM9" i="48"/>
  <c r="K10" i="48"/>
  <c r="AC7" i="48"/>
  <c r="AC8" i="48"/>
  <c r="AC9" i="48"/>
  <c r="AW7" i="48"/>
  <c r="H7" i="48"/>
  <c r="S7" i="48"/>
  <c r="AC11" i="48"/>
  <c r="S13" i="48"/>
  <c r="AD7" i="48"/>
  <c r="K9" i="48"/>
  <c r="AI7" i="48"/>
  <c r="AN7" i="48"/>
  <c r="AS7" i="48"/>
  <c r="K18" i="44"/>
  <c r="K26" i="44"/>
  <c r="S31" i="44"/>
  <c r="S11" i="44"/>
  <c r="X23" i="44"/>
  <c r="AC34" i="44"/>
  <c r="AH25" i="44"/>
  <c r="AR7" i="44"/>
  <c r="AR27" i="44"/>
  <c r="AW26" i="44"/>
  <c r="S10" i="44"/>
  <c r="AC15" i="44"/>
  <c r="AC35" i="44"/>
  <c r="AH26" i="44"/>
  <c r="AM17" i="44"/>
  <c r="AR8" i="44"/>
  <c r="AR28" i="44"/>
  <c r="AW25" i="44"/>
  <c r="AW23" i="44"/>
  <c r="K24" i="44"/>
  <c r="K34" i="44"/>
  <c r="X7" i="44"/>
  <c r="X27" i="44"/>
  <c r="AC18" i="44"/>
  <c r="AH29" i="44"/>
  <c r="AW21" i="44"/>
  <c r="K7" i="44"/>
  <c r="M25" i="44" s="1"/>
  <c r="X9" i="44"/>
  <c r="AH31" i="44"/>
  <c r="AW20" i="44"/>
  <c r="AM21" i="44"/>
  <c r="X29" i="44"/>
  <c r="Y7" i="44"/>
  <c r="X31" i="44"/>
  <c r="AH33" i="44"/>
  <c r="S12" i="44"/>
  <c r="S28" i="44"/>
  <c r="AH28" i="44"/>
  <c r="AR30" i="44"/>
  <c r="AC19" i="44"/>
  <c r="X12" i="44"/>
  <c r="S20" i="44"/>
  <c r="AM7" i="44"/>
  <c r="K21" i="44"/>
  <c r="AM8" i="44"/>
  <c r="S32" i="44"/>
  <c r="X22" i="44"/>
  <c r="AC13" i="44"/>
  <c r="AC33" i="44"/>
  <c r="AM15" i="44"/>
  <c r="AR26" i="44"/>
  <c r="AW27" i="44"/>
  <c r="S29" i="44"/>
  <c r="S9" i="44"/>
  <c r="X25" i="44"/>
  <c r="AC16" i="44"/>
  <c r="AH7" i="44"/>
  <c r="AH27" i="44"/>
  <c r="AR9" i="44"/>
  <c r="AR29" i="44"/>
  <c r="S8" i="44"/>
  <c r="AC17" i="44"/>
  <c r="AM19" i="44"/>
  <c r="AI7" i="44"/>
  <c r="S22" i="44"/>
  <c r="S18" i="44"/>
  <c r="AC7" i="44"/>
  <c r="AM29" i="44"/>
  <c r="K23" i="44"/>
  <c r="M23" i="44" s="1"/>
  <c r="K17" i="44"/>
  <c r="AH35" i="44"/>
  <c r="K35" i="44"/>
  <c r="S7" i="44"/>
  <c r="S16" i="44"/>
  <c r="AH15" i="44"/>
  <c r="K19" i="44"/>
  <c r="AC10" i="44"/>
  <c r="AR23" i="44"/>
  <c r="S34" i="44"/>
  <c r="AR24" i="44"/>
  <c r="AW7" i="44"/>
  <c r="S13" i="44"/>
  <c r="AD12" i="7"/>
  <c r="N8" i="7"/>
  <c r="AD9" i="7"/>
  <c r="T12" i="7"/>
  <c r="T8" i="7"/>
  <c r="AD13" i="7"/>
  <c r="N12" i="7"/>
  <c r="AD8" i="7"/>
  <c r="AI7" i="52"/>
  <c r="K7" i="51"/>
  <c r="AX7" i="51"/>
  <c r="AS7" i="51"/>
  <c r="AS7" i="49"/>
  <c r="T7" i="49"/>
  <c r="K10" i="49"/>
  <c r="K9" i="49"/>
  <c r="AD7" i="49"/>
  <c r="AI7" i="49"/>
  <c r="T7" i="48"/>
  <c r="Y7" i="48"/>
  <c r="K14" i="48"/>
  <c r="K13" i="48"/>
  <c r="K12" i="48"/>
  <c r="AR7" i="48"/>
  <c r="H7" i="44"/>
  <c r="T7" i="44"/>
  <c r="AD7" i="44"/>
  <c r="K11" i="44"/>
  <c r="K33" i="44"/>
  <c r="K28" i="44"/>
  <c r="AS7" i="44"/>
  <c r="K9" i="44"/>
  <c r="K20" i="44"/>
  <c r="M20" i="44" s="1"/>
  <c r="K15" i="44"/>
  <c r="M15" i="44" s="1"/>
  <c r="AX7" i="44"/>
  <c r="K14" i="44"/>
  <c r="AN7" i="44"/>
  <c r="K16" i="44"/>
  <c r="K36" i="44"/>
  <c r="AL11" i="6"/>
  <c r="AH11" i="6"/>
  <c r="AF11" i="6"/>
  <c r="AB11" i="6"/>
  <c r="Z11" i="6"/>
  <c r="X11" i="6"/>
  <c r="V11" i="6"/>
  <c r="R11" i="6"/>
  <c r="P11" i="6"/>
  <c r="L11" i="6"/>
  <c r="AL7" i="6"/>
  <c r="AH7" i="6"/>
  <c r="AF7" i="6"/>
  <c r="AB7" i="6"/>
  <c r="Z7" i="6"/>
  <c r="X7" i="6"/>
  <c r="V7" i="6"/>
  <c r="R7" i="6"/>
  <c r="P7" i="6"/>
  <c r="L7" i="6"/>
  <c r="AJ9" i="6"/>
  <c r="J11" i="6"/>
  <c r="N11" i="6"/>
  <c r="T11" i="6"/>
  <c r="AD11" i="6"/>
  <c r="AJ11" i="6"/>
  <c r="N9" i="6"/>
  <c r="T9" i="6"/>
  <c r="AD9" i="6"/>
  <c r="G7" i="6"/>
  <c r="J7" i="6"/>
  <c r="AL8" i="6"/>
  <c r="AH8" i="6"/>
  <c r="AF8" i="6"/>
  <c r="AB8" i="6"/>
  <c r="Z8" i="6"/>
  <c r="X8" i="6"/>
  <c r="V8" i="6"/>
  <c r="R8" i="6"/>
  <c r="P8" i="6"/>
  <c r="L8" i="6"/>
  <c r="N8" i="6"/>
  <c r="T8" i="6"/>
  <c r="AD8" i="6"/>
  <c r="AJ8" i="6"/>
  <c r="AL12" i="6"/>
  <c r="AH12" i="6"/>
  <c r="AF12" i="6"/>
  <c r="AB12" i="6"/>
  <c r="Z12" i="6"/>
  <c r="X12" i="6"/>
  <c r="V12" i="6"/>
  <c r="R12" i="6"/>
  <c r="P12" i="6"/>
  <c r="L12" i="6"/>
  <c r="J12" i="6"/>
  <c r="N12" i="6"/>
  <c r="T12" i="6"/>
  <c r="AL10" i="6"/>
  <c r="AH10" i="6"/>
  <c r="AF10" i="6"/>
  <c r="AB10" i="6"/>
  <c r="Z10" i="6"/>
  <c r="X10" i="6"/>
  <c r="V10" i="6"/>
  <c r="R10" i="6"/>
  <c r="P10" i="6"/>
  <c r="L10" i="6"/>
  <c r="N7" i="6"/>
  <c r="J10" i="6"/>
  <c r="J8" i="6"/>
  <c r="AL9" i="6"/>
  <c r="AH9" i="6"/>
  <c r="AF9" i="6"/>
  <c r="AB9" i="6"/>
  <c r="Z9" i="6"/>
  <c r="X9" i="6"/>
  <c r="V9" i="6"/>
  <c r="R9" i="6"/>
  <c r="P9" i="6"/>
  <c r="L9" i="6"/>
  <c r="AD12" i="6"/>
  <c r="AL13" i="6"/>
  <c r="AH13" i="6"/>
  <c r="AF13" i="6"/>
  <c r="AB13" i="6"/>
  <c r="Z13" i="6"/>
  <c r="X13" i="6"/>
  <c r="V13" i="6"/>
  <c r="R13" i="6"/>
  <c r="P13" i="6"/>
  <c r="L13" i="6"/>
  <c r="J13" i="6"/>
  <c r="T7" i="6"/>
  <c r="N10" i="6"/>
  <c r="N13" i="6"/>
  <c r="AD7" i="6"/>
  <c r="T10" i="6"/>
  <c r="T13" i="6"/>
  <c r="AJ7" i="6"/>
  <c r="AD10" i="6"/>
  <c r="AD13" i="6"/>
  <c r="AJ10" i="6"/>
  <c r="AJ13" i="6"/>
  <c r="N10" i="7"/>
  <c r="T10" i="7"/>
  <c r="AD10" i="7"/>
  <c r="AL7" i="7"/>
  <c r="AJ7" i="7"/>
  <c r="AH7" i="7"/>
  <c r="AF7" i="7"/>
  <c r="AB7" i="7"/>
  <c r="Z7" i="7"/>
  <c r="V7" i="7"/>
  <c r="R7" i="7"/>
  <c r="J7" i="7"/>
  <c r="X7" i="7"/>
  <c r="P7" i="7"/>
  <c r="L7" i="7"/>
  <c r="AL11" i="7"/>
  <c r="AJ11" i="7"/>
  <c r="AH11" i="7"/>
  <c r="AF11" i="7"/>
  <c r="AB11" i="7"/>
  <c r="Z11" i="7"/>
  <c r="V11" i="7"/>
  <c r="R11" i="7"/>
  <c r="P11" i="7"/>
  <c r="J11" i="7"/>
  <c r="X11" i="7"/>
  <c r="L11" i="7"/>
  <c r="N7" i="7"/>
  <c r="N11" i="7"/>
  <c r="T7" i="7"/>
  <c r="T11" i="7"/>
  <c r="AD7" i="7"/>
  <c r="AD11" i="7"/>
  <c r="AL8" i="7"/>
  <c r="AJ8" i="7"/>
  <c r="AH8" i="7"/>
  <c r="AF8" i="7"/>
  <c r="AB8" i="7"/>
  <c r="Z8" i="7"/>
  <c r="X8" i="7"/>
  <c r="V8" i="7"/>
  <c r="R8" i="7"/>
  <c r="P8" i="7"/>
  <c r="L8" i="7"/>
  <c r="J8" i="7"/>
  <c r="AL12" i="7"/>
  <c r="AJ12" i="7"/>
  <c r="AH12" i="7"/>
  <c r="AF12" i="7"/>
  <c r="AB12" i="7"/>
  <c r="Z12" i="7"/>
  <c r="X12" i="7"/>
  <c r="V12" i="7"/>
  <c r="P12" i="7"/>
  <c r="L12" i="7"/>
  <c r="J12" i="7"/>
  <c r="R12" i="7"/>
  <c r="AL10" i="7"/>
  <c r="AJ10" i="7"/>
  <c r="AH10" i="7"/>
  <c r="AF10" i="7"/>
  <c r="AB10" i="7"/>
  <c r="Z10" i="7"/>
  <c r="X10" i="7"/>
  <c r="V10" i="7"/>
  <c r="J10" i="7"/>
  <c r="R10" i="7"/>
  <c r="P10" i="7"/>
  <c r="L10" i="7"/>
  <c r="AL9" i="7"/>
  <c r="AJ9" i="7"/>
  <c r="AH9" i="7"/>
  <c r="AF9" i="7"/>
  <c r="AB9" i="7"/>
  <c r="Z9" i="7"/>
  <c r="V9" i="7"/>
  <c r="R9" i="7"/>
  <c r="P9" i="7"/>
  <c r="J9" i="7"/>
  <c r="X9" i="7"/>
  <c r="L9" i="7"/>
  <c r="AL13" i="7"/>
  <c r="AJ13" i="7"/>
  <c r="AH13" i="7"/>
  <c r="AF13" i="7"/>
  <c r="AB13" i="7"/>
  <c r="Z13" i="7"/>
  <c r="V13" i="7"/>
  <c r="R13" i="7"/>
  <c r="X13" i="7"/>
  <c r="P13" i="7"/>
  <c r="L13" i="7"/>
  <c r="J13" i="7"/>
  <c r="N9" i="7"/>
  <c r="N13" i="7"/>
  <c r="T9" i="7"/>
  <c r="T13" i="7"/>
  <c r="L7" i="52" l="1"/>
  <c r="M7" i="52"/>
  <c r="M8" i="52"/>
  <c r="Z3" i="52"/>
  <c r="AE2" i="52"/>
  <c r="M8" i="51"/>
  <c r="M7" i="51"/>
  <c r="M9" i="49"/>
  <c r="M11" i="49"/>
  <c r="M10" i="49"/>
  <c r="M7" i="49"/>
  <c r="M13" i="49"/>
  <c r="M8" i="49"/>
  <c r="M15" i="49"/>
  <c r="M14" i="48"/>
  <c r="M10" i="48"/>
  <c r="M7" i="48"/>
  <c r="M15" i="48"/>
  <c r="M16" i="48"/>
  <c r="M9" i="48"/>
  <c r="M12" i="48"/>
  <c r="M8" i="48"/>
  <c r="M13" i="48"/>
  <c r="M11" i="48"/>
  <c r="M26" i="44"/>
  <c r="M28" i="44"/>
  <c r="M18" i="44"/>
  <c r="M11" i="44"/>
  <c r="M24" i="44"/>
  <c r="M7" i="44"/>
  <c r="M13" i="44"/>
  <c r="M21" i="44"/>
  <c r="M32" i="44"/>
  <c r="M10" i="44"/>
  <c r="M29" i="44"/>
  <c r="M36" i="44"/>
  <c r="M12" i="44"/>
  <c r="M9" i="44"/>
  <c r="M33" i="44"/>
  <c r="M19" i="44"/>
  <c r="M34" i="44"/>
  <c r="M8" i="44"/>
  <c r="M16" i="44"/>
  <c r="M27" i="44"/>
  <c r="M35" i="44"/>
  <c r="M30" i="44"/>
  <c r="M14" i="44"/>
  <c r="M31" i="44"/>
  <c r="M17" i="44"/>
  <c r="M22" i="44"/>
  <c r="L7" i="51"/>
  <c r="L7" i="49"/>
  <c r="L7" i="48"/>
  <c r="L7" i="44"/>
  <c r="AE3" i="52" l="1"/>
  <c r="AJ2" i="52"/>
  <c r="M32" i="56"/>
  <c r="AJ3" i="52" l="1"/>
  <c r="AO2" i="52"/>
  <c r="N32" i="56"/>
  <c r="AO3" i="52" l="1"/>
  <c r="AT2" i="52"/>
  <c r="AT3" i="52" s="1"/>
  <c r="D30" i="39" l="1"/>
  <c r="N11" i="56" l="1"/>
  <c r="M11" i="56"/>
  <c r="AC7" i="64" l="1"/>
  <c r="AD7" i="64"/>
  <c r="AE7" i="64"/>
  <c r="AF7" i="64"/>
  <c r="AG7" i="64"/>
  <c r="AH7" i="64"/>
  <c r="AC8" i="64"/>
  <c r="H10" i="41" s="1"/>
  <c r="AD8" i="64"/>
  <c r="AE8" i="64"/>
  <c r="AF8" i="64"/>
  <c r="F15" i="41" s="1"/>
  <c r="AG8" i="64"/>
  <c r="H15" i="41" s="1"/>
  <c r="AH8" i="64"/>
  <c r="J15" i="41" s="1"/>
  <c r="AB8" i="64"/>
  <c r="F10" i="41" s="1"/>
  <c r="AB7" i="64"/>
  <c r="AA7" i="64"/>
  <c r="H9" i="41"/>
  <c r="J9" i="41"/>
  <c r="L9" i="41"/>
  <c r="F14" i="41"/>
  <c r="H14" i="41"/>
  <c r="J14" i="41"/>
  <c r="F9" i="41"/>
  <c r="K14" i="41"/>
  <c r="C1" i="47"/>
  <c r="C1" i="46"/>
  <c r="E28" i="39"/>
  <c r="G14" i="41" l="1"/>
  <c r="AB9" i="64"/>
  <c r="G10" i="41" s="1"/>
  <c r="AC9" i="64"/>
  <c r="I10" i="41" s="1"/>
  <c r="AE9" i="64"/>
  <c r="M10" i="41" s="1"/>
  <c r="AF9" i="64"/>
  <c r="G15" i="41" s="1"/>
  <c r="AG9" i="64"/>
  <c r="I15" i="41" s="1"/>
  <c r="AH9" i="64"/>
  <c r="K15" i="41" s="1"/>
  <c r="AD9" i="64"/>
  <c r="K10" i="41" s="1"/>
  <c r="J10" i="41"/>
  <c r="L10" i="41"/>
  <c r="I14" i="41"/>
  <c r="G9" i="41"/>
  <c r="I9" i="41"/>
  <c r="M9" i="41"/>
  <c r="K9" i="41"/>
  <c r="P42" i="46" l="1"/>
  <c r="P43" i="46" l="1"/>
  <c r="U42" i="46"/>
  <c r="U2" i="44" l="1"/>
  <c r="P3" i="44"/>
  <c r="U43" i="46"/>
  <c r="Z42" i="46"/>
  <c r="U3" i="44" l="1"/>
  <c r="Z2" i="44"/>
  <c r="Z43" i="46"/>
  <c r="AE42" i="46"/>
  <c r="Z3" i="44" l="1"/>
  <c r="AE2" i="44"/>
  <c r="AE43" i="46"/>
  <c r="AJ42" i="46"/>
  <c r="AJ2" i="44" l="1"/>
  <c r="AE3" i="44"/>
  <c r="AJ43" i="46"/>
  <c r="AO42" i="46"/>
  <c r="AJ3" i="44" l="1"/>
  <c r="AO2" i="44"/>
  <c r="AO43" i="46"/>
  <c r="AT42" i="46"/>
  <c r="AO3" i="44" l="1"/>
  <c r="AT2" i="44"/>
  <c r="AT3" i="44" s="1"/>
  <c r="AT43" i="46"/>
  <c r="P62" i="46"/>
  <c r="U62" i="46" l="1"/>
  <c r="P63" i="46"/>
  <c r="Z62" i="46" l="1"/>
  <c r="U63" i="46"/>
  <c r="AE62" i="46" l="1"/>
  <c r="Z63" i="46"/>
  <c r="AE63" i="46" l="1"/>
  <c r="AJ62" i="46"/>
  <c r="AJ63" i="46" l="1"/>
  <c r="AO62" i="46"/>
  <c r="AO63" i="46" l="1"/>
  <c r="AT62" i="46"/>
  <c r="P3" i="51" l="1"/>
  <c r="U2" i="51"/>
  <c r="P3" i="50"/>
  <c r="U2" i="50"/>
  <c r="AT63" i="46"/>
  <c r="P82" i="46"/>
  <c r="U3" i="51" l="1"/>
  <c r="Z2" i="51"/>
  <c r="U3" i="50"/>
  <c r="Z2" i="50"/>
  <c r="P3" i="49"/>
  <c r="U2" i="49"/>
  <c r="P3" i="48"/>
  <c r="U2" i="48"/>
  <c r="U82" i="46"/>
  <c r="P83" i="46"/>
  <c r="Z3" i="51" l="1"/>
  <c r="AE2" i="51"/>
  <c r="Z3" i="50"/>
  <c r="AE2" i="50"/>
  <c r="U3" i="49"/>
  <c r="Z2" i="49"/>
  <c r="U3" i="48"/>
  <c r="Z2" i="48"/>
  <c r="Z82" i="46"/>
  <c r="U83" i="46"/>
  <c r="AE3" i="51" l="1"/>
  <c r="AJ2" i="51"/>
  <c r="AE3" i="50"/>
  <c r="AJ2" i="50"/>
  <c r="Z3" i="49"/>
  <c r="AE2" i="49"/>
  <c r="AE2" i="48"/>
  <c r="Z3" i="48"/>
  <c r="AE82" i="46"/>
  <c r="Z83" i="46"/>
  <c r="AJ3" i="51" l="1"/>
  <c r="AO2" i="51"/>
  <c r="AJ3" i="50"/>
  <c r="AO2" i="50"/>
  <c r="AJ2" i="49"/>
  <c r="AE3" i="49"/>
  <c r="AJ2" i="48"/>
  <c r="AE3" i="48"/>
  <c r="AJ82" i="46"/>
  <c r="AE83" i="46"/>
  <c r="AO3" i="51" l="1"/>
  <c r="AT2" i="51"/>
  <c r="AT3" i="51" s="1"/>
  <c r="AO3" i="50"/>
  <c r="AT2" i="50"/>
  <c r="AT3" i="50" s="1"/>
  <c r="AJ3" i="49"/>
  <c r="AO2" i="49"/>
  <c r="AJ3" i="48"/>
  <c r="AO2" i="48"/>
  <c r="AO82" i="46"/>
  <c r="AJ83" i="46"/>
  <c r="AT2" i="49" l="1"/>
  <c r="AT3" i="49" s="1"/>
  <c r="AO3" i="49"/>
  <c r="AO3" i="48"/>
  <c r="AT2" i="48"/>
  <c r="AT3" i="48" s="1"/>
  <c r="AO83" i="46"/>
  <c r="AT82" i="46"/>
  <c r="AT83" i="46" s="1"/>
  <c r="D6" i="3" l="1"/>
  <c r="B5" i="3" s="1"/>
  <c r="D7" i="3"/>
  <c r="D8" i="3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B12" i="3"/>
  <c r="G33" i="3"/>
  <c r="U39" i="3"/>
  <c r="O39" i="3"/>
  <c r="U38" i="3"/>
  <c r="O38" i="3"/>
  <c r="U37" i="3"/>
  <c r="O37" i="3"/>
  <c r="U36" i="3"/>
  <c r="O36" i="3"/>
  <c r="U35" i="3"/>
  <c r="O35" i="3"/>
  <c r="U34" i="3"/>
  <c r="O34" i="3"/>
  <c r="U33" i="3"/>
  <c r="S33" i="3"/>
  <c r="O33" i="3"/>
  <c r="M33" i="3"/>
  <c r="J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S26" i="3"/>
  <c r="O26" i="3"/>
  <c r="M26" i="3"/>
  <c r="J26" i="3"/>
  <c r="G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S19" i="3"/>
  <c r="O19" i="3"/>
  <c r="M19" i="3"/>
  <c r="J19" i="3"/>
  <c r="G19" i="3"/>
  <c r="P33" i="3" l="1"/>
  <c r="C21" i="39"/>
  <c r="C22" i="39"/>
  <c r="C17" i="39"/>
  <c r="C20" i="39"/>
  <c r="C15" i="39"/>
  <c r="C23" i="39"/>
  <c r="C19" i="39"/>
  <c r="C18" i="39"/>
  <c r="C16" i="39"/>
  <c r="V33" i="3"/>
  <c r="V26" i="3"/>
  <c r="P19" i="3"/>
  <c r="V19" i="3"/>
  <c r="P26" i="3"/>
  <c r="B54" i="41" l="1"/>
  <c r="K126" i="19" l="1"/>
  <c r="K174" i="20"/>
  <c r="K158" i="20"/>
  <c r="K134" i="19"/>
  <c r="K166" i="20"/>
  <c r="K134" i="62"/>
  <c r="K142" i="62"/>
  <c r="K126" i="62"/>
  <c r="AC103" i="64"/>
  <c r="AD103" i="64"/>
  <c r="AE103" i="64"/>
  <c r="AF103" i="64"/>
  <c r="AG103" i="64"/>
  <c r="AH103" i="64"/>
  <c r="AC104" i="64"/>
  <c r="AD104" i="64"/>
  <c r="AE104" i="64"/>
  <c r="AF104" i="64"/>
  <c r="AG104" i="64"/>
  <c r="AH104" i="64"/>
  <c r="AB104" i="64"/>
  <c r="AA103" i="64"/>
  <c r="AB105" i="64" l="1"/>
  <c r="G54" i="41" s="1"/>
  <c r="H59" i="41"/>
  <c r="H54" i="41"/>
  <c r="J59" i="41"/>
  <c r="F54" i="41"/>
  <c r="L54" i="41"/>
  <c r="J54" i="41"/>
  <c r="F59" i="41"/>
  <c r="G58" i="41"/>
  <c r="I58" i="41"/>
  <c r="L53" i="41"/>
  <c r="F53" i="41"/>
  <c r="J58" i="41"/>
  <c r="H58" i="41"/>
  <c r="F58" i="41"/>
  <c r="J53" i="41"/>
  <c r="H53" i="41"/>
  <c r="G53" i="41"/>
  <c r="AH105" i="64"/>
  <c r="K59" i="41" s="1"/>
  <c r="M53" i="41"/>
  <c r="K53" i="41"/>
  <c r="I53" i="41"/>
  <c r="K58" i="41"/>
  <c r="AG105" i="64"/>
  <c r="I59" i="41" s="1"/>
  <c r="AE105" i="64"/>
  <c r="M54" i="41" s="1"/>
  <c r="AD105" i="64"/>
  <c r="K54" i="41" s="1"/>
  <c r="AF105" i="64"/>
  <c r="G59" i="41" s="1"/>
  <c r="AC105" i="64"/>
  <c r="I54" i="41" s="1"/>
  <c r="AG56" i="64" l="1"/>
  <c r="H37" i="41" s="1"/>
  <c r="AB32" i="64"/>
  <c r="AC80" i="64"/>
  <c r="AD80" i="64"/>
  <c r="AE80" i="64"/>
  <c r="AF80" i="64"/>
  <c r="AG80" i="64"/>
  <c r="AH80" i="64"/>
  <c r="AB80" i="64"/>
  <c r="AB55" i="64"/>
  <c r="AC56" i="64"/>
  <c r="AD56" i="64"/>
  <c r="AE56" i="64"/>
  <c r="AF56" i="64"/>
  <c r="AB56" i="64"/>
  <c r="F48" i="41" l="1"/>
  <c r="J48" i="41"/>
  <c r="H48" i="41"/>
  <c r="AC79" i="64" l="1"/>
  <c r="AD79" i="64"/>
  <c r="AE79" i="64"/>
  <c r="AF79" i="64"/>
  <c r="AG79" i="64"/>
  <c r="AH79" i="64"/>
  <c r="H43" i="41"/>
  <c r="J43" i="41"/>
  <c r="L43" i="41"/>
  <c r="F43" i="41"/>
  <c r="AB79" i="64"/>
  <c r="F42" i="41"/>
  <c r="AA79" i="64"/>
  <c r="AC81" i="64" s="1"/>
  <c r="I43" i="41" s="1"/>
  <c r="I42" i="41"/>
  <c r="K42" i="41"/>
  <c r="M42" i="41"/>
  <c r="H42" i="41"/>
  <c r="J42" i="41"/>
  <c r="L42" i="41"/>
  <c r="F47" i="41"/>
  <c r="H47" i="41"/>
  <c r="J47" i="41"/>
  <c r="G42" i="41"/>
  <c r="AB81" i="64" l="1"/>
  <c r="G43" i="41" s="1"/>
  <c r="I47" i="41"/>
  <c r="G47" i="41"/>
  <c r="AH81" i="64"/>
  <c r="K48" i="41" s="1"/>
  <c r="AF81" i="64"/>
  <c r="G48" i="41" s="1"/>
  <c r="AE81" i="64"/>
  <c r="M43" i="41" s="1"/>
  <c r="AD81" i="64"/>
  <c r="K43" i="41" s="1"/>
  <c r="AG81" i="64"/>
  <c r="I48" i="41" s="1"/>
  <c r="K47" i="41"/>
  <c r="AC55" i="64" l="1"/>
  <c r="AD55" i="64"/>
  <c r="AE55" i="64"/>
  <c r="AF55" i="64"/>
  <c r="AG55" i="64"/>
  <c r="AH55" i="64"/>
  <c r="H32" i="41"/>
  <c r="J32" i="41"/>
  <c r="L32" i="41"/>
  <c r="F37" i="41"/>
  <c r="AH56" i="64"/>
  <c r="F32" i="41"/>
  <c r="AA55" i="64"/>
  <c r="I31" i="41"/>
  <c r="K31" i="41"/>
  <c r="M31" i="41"/>
  <c r="G36" i="41"/>
  <c r="I36" i="41"/>
  <c r="H31" i="41"/>
  <c r="J31" i="41"/>
  <c r="L31" i="41"/>
  <c r="F36" i="41"/>
  <c r="H36" i="41"/>
  <c r="J36" i="41"/>
  <c r="F31" i="41"/>
  <c r="G31" i="41"/>
  <c r="AB57" i="64" l="1"/>
  <c r="G32" i="41" s="1"/>
  <c r="AF57" i="64"/>
  <c r="G37" i="41" s="1"/>
  <c r="K36" i="41"/>
  <c r="AE57" i="64"/>
  <c r="M32" i="41" s="1"/>
  <c r="J37" i="41"/>
  <c r="AH57" i="64"/>
  <c r="K37" i="41" s="1"/>
  <c r="AG57" i="64"/>
  <c r="I37" i="41" s="1"/>
  <c r="AD57" i="64"/>
  <c r="K32" i="41" s="1"/>
  <c r="AC57" i="64"/>
  <c r="I32" i="41" s="1"/>
  <c r="AB31" i="64" l="1"/>
  <c r="AC31" i="64"/>
  <c r="AD31" i="64"/>
  <c r="AE31" i="64"/>
  <c r="AF31" i="64"/>
  <c r="AF144" i="64" s="1"/>
  <c r="AG31" i="64"/>
  <c r="AH31" i="64"/>
  <c r="AC32" i="64"/>
  <c r="AD32" i="64"/>
  <c r="AE32" i="64"/>
  <c r="AF32" i="64"/>
  <c r="AG32" i="64"/>
  <c r="AH32" i="64"/>
  <c r="F21" i="41"/>
  <c r="AA31" i="64"/>
  <c r="AH144" i="64" s="1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R50" i="64"/>
  <c r="S50" i="64" s="1"/>
  <c r="Q50" i="64"/>
  <c r="P50" i="64"/>
  <c r="M50" i="64"/>
  <c r="I50" i="64"/>
  <c r="R49" i="64"/>
  <c r="S49" i="64" s="1"/>
  <c r="Q49" i="64"/>
  <c r="P49" i="64"/>
  <c r="M49" i="64"/>
  <c r="I49" i="64"/>
  <c r="R48" i="64"/>
  <c r="S48" i="64" s="1"/>
  <c r="Q48" i="64"/>
  <c r="P48" i="64"/>
  <c r="M48" i="64"/>
  <c r="I48" i="64"/>
  <c r="R47" i="64"/>
  <c r="S47" i="64" s="1"/>
  <c r="Q47" i="64"/>
  <c r="P47" i="64"/>
  <c r="M47" i="64"/>
  <c r="I47" i="64"/>
  <c r="R46" i="64"/>
  <c r="S46" i="64" s="1"/>
  <c r="Q46" i="64"/>
  <c r="P46" i="64"/>
  <c r="M46" i="64"/>
  <c r="I46" i="64"/>
  <c r="R45" i="64"/>
  <c r="S45" i="64" s="1"/>
  <c r="Q45" i="64"/>
  <c r="P45" i="64"/>
  <c r="M45" i="64"/>
  <c r="I45" i="64"/>
  <c r="R44" i="64"/>
  <c r="S44" i="64" s="1"/>
  <c r="Q44" i="64"/>
  <c r="P44" i="64"/>
  <c r="M44" i="64"/>
  <c r="I44" i="64"/>
  <c r="R43" i="64"/>
  <c r="S43" i="64" s="1"/>
  <c r="Q43" i="64"/>
  <c r="P43" i="64"/>
  <c r="M43" i="64"/>
  <c r="I43" i="64"/>
  <c r="R42" i="64"/>
  <c r="S42" i="64" s="1"/>
  <c r="Q42" i="64"/>
  <c r="P42" i="64"/>
  <c r="M42" i="64"/>
  <c r="I42" i="64"/>
  <c r="R41" i="64"/>
  <c r="S41" i="64" s="1"/>
  <c r="Q41" i="64"/>
  <c r="P41" i="64"/>
  <c r="M41" i="64"/>
  <c r="I41" i="64"/>
  <c r="R40" i="64"/>
  <c r="S40" i="64" s="1"/>
  <c r="Q40" i="64"/>
  <c r="P40" i="64"/>
  <c r="M40" i="64"/>
  <c r="I40" i="64"/>
  <c r="R39" i="64"/>
  <c r="S39" i="64" s="1"/>
  <c r="Q39" i="64"/>
  <c r="P39" i="64"/>
  <c r="M39" i="64"/>
  <c r="I39" i="64"/>
  <c r="R38" i="64"/>
  <c r="S38" i="64" s="1"/>
  <c r="Q38" i="64"/>
  <c r="P38" i="64"/>
  <c r="M38" i="64"/>
  <c r="I38" i="64"/>
  <c r="R37" i="64"/>
  <c r="S37" i="64" s="1"/>
  <c r="Q37" i="64"/>
  <c r="P37" i="64"/>
  <c r="M37" i="64"/>
  <c r="I37" i="64"/>
  <c r="R36" i="64"/>
  <c r="S36" i="64" s="1"/>
  <c r="Q36" i="64"/>
  <c r="P36" i="64"/>
  <c r="M36" i="64"/>
  <c r="I36" i="64"/>
  <c r="R35" i="64"/>
  <c r="S35" i="64" s="1"/>
  <c r="Q35" i="64"/>
  <c r="P35" i="64"/>
  <c r="M35" i="64"/>
  <c r="I35" i="64"/>
  <c r="R34" i="64"/>
  <c r="S34" i="64" s="1"/>
  <c r="Q34" i="64"/>
  <c r="P34" i="64"/>
  <c r="M34" i="64"/>
  <c r="I34" i="64"/>
  <c r="R33" i="64"/>
  <c r="S33" i="64" s="1"/>
  <c r="Q33" i="64"/>
  <c r="P33" i="64"/>
  <c r="M33" i="64"/>
  <c r="I33" i="64"/>
  <c r="R32" i="64"/>
  <c r="S32" i="64" s="1"/>
  <c r="Q32" i="64"/>
  <c r="P32" i="64"/>
  <c r="M32" i="64"/>
  <c r="I32" i="64"/>
  <c r="R31" i="64"/>
  <c r="S31" i="64" s="1"/>
  <c r="Q31" i="64"/>
  <c r="P31" i="64"/>
  <c r="M31" i="64"/>
  <c r="I31" i="64"/>
  <c r="B20" i="41"/>
  <c r="B21" i="41"/>
  <c r="M18" i="56"/>
  <c r="B31" i="41" s="1"/>
  <c r="N18" i="56"/>
  <c r="B32" i="41" s="1"/>
  <c r="M25" i="56"/>
  <c r="B42" i="41" s="1"/>
  <c r="N25" i="56"/>
  <c r="B43" i="41" s="1"/>
  <c r="A11" i="56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K114" i="62" l="1"/>
  <c r="K98" i="62"/>
  <c r="K106" i="62"/>
  <c r="K130" i="20"/>
  <c r="K122" i="20"/>
  <c r="K146" i="20"/>
  <c r="K138" i="20"/>
  <c r="K98" i="19"/>
  <c r="K78" i="19"/>
  <c r="K70" i="19"/>
  <c r="K102" i="20"/>
  <c r="K86" i="19"/>
  <c r="K94" i="20"/>
  <c r="K110" i="20"/>
  <c r="K86" i="20"/>
  <c r="K86" i="62"/>
  <c r="K70" i="62"/>
  <c r="K78" i="62"/>
  <c r="AG144" i="64"/>
  <c r="AB144" i="64"/>
  <c r="AE144" i="64"/>
  <c r="AC144" i="64"/>
  <c r="AD144" i="64"/>
  <c r="F26" i="41"/>
  <c r="C43" i="41"/>
  <c r="C42" i="41"/>
  <c r="J25" i="41"/>
  <c r="I25" i="41"/>
  <c r="H25" i="41"/>
  <c r="F25" i="41"/>
  <c r="G25" i="41"/>
  <c r="L20" i="41"/>
  <c r="I20" i="41"/>
  <c r="F20" i="41"/>
  <c r="J20" i="41"/>
  <c r="M20" i="41"/>
  <c r="H20" i="41"/>
  <c r="K20" i="41"/>
  <c r="G20" i="41"/>
  <c r="K25" i="41"/>
  <c r="H26" i="41"/>
  <c r="J21" i="41"/>
  <c r="J26" i="41"/>
  <c r="L21" i="41"/>
  <c r="H21" i="41"/>
  <c r="K22" i="57"/>
  <c r="AB33" i="64"/>
  <c r="G21" i="41" s="1"/>
  <c r="AD33" i="64"/>
  <c r="K21" i="41" s="1"/>
  <c r="AG33" i="64"/>
  <c r="I26" i="41" s="1"/>
  <c r="AH33" i="64"/>
  <c r="K26" i="41" s="1"/>
  <c r="AE33" i="64"/>
  <c r="M21" i="41" s="1"/>
  <c r="AC33" i="64"/>
  <c r="I21" i="41" s="1"/>
  <c r="AF33" i="64"/>
  <c r="G26" i="41" s="1"/>
  <c r="E29" i="39" l="1"/>
  <c r="G12" i="5" l="1"/>
  <c r="I12" i="5"/>
  <c r="M12" i="5"/>
  <c r="P12" i="5"/>
  <c r="S12" i="5"/>
  <c r="V12" i="5"/>
  <c r="I13" i="5"/>
  <c r="I14" i="5"/>
  <c r="I15" i="5"/>
  <c r="I16" i="5"/>
  <c r="I17" i="5"/>
  <c r="I18" i="5"/>
  <c r="I5" i="5"/>
  <c r="M5" i="5"/>
  <c r="P5" i="5"/>
  <c r="S5" i="5"/>
  <c r="V5" i="5"/>
  <c r="I6" i="5"/>
  <c r="I7" i="5"/>
  <c r="I8" i="5"/>
  <c r="I9" i="5"/>
  <c r="I10" i="5"/>
  <c r="I11" i="5"/>
  <c r="J12" i="3"/>
  <c r="M12" i="3"/>
  <c r="O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J5" i="3"/>
  <c r="M5" i="3"/>
  <c r="O5" i="3"/>
  <c r="S5" i="3"/>
  <c r="U5" i="3"/>
  <c r="O6" i="3"/>
  <c r="U6" i="3"/>
  <c r="O7" i="3"/>
  <c r="U7" i="3"/>
  <c r="O8" i="3"/>
  <c r="U8" i="3"/>
  <c r="O9" i="3"/>
  <c r="U9" i="3"/>
  <c r="O10" i="3"/>
  <c r="U10" i="3"/>
  <c r="O11" i="3"/>
  <c r="U11" i="3"/>
  <c r="B19" i="3"/>
  <c r="B26" i="3" s="1"/>
  <c r="B33" i="3" s="1"/>
  <c r="P12" i="3" l="1"/>
  <c r="K10" i="5"/>
  <c r="C54" i="41"/>
  <c r="C53" i="41"/>
  <c r="V12" i="3"/>
  <c r="D8" i="39"/>
  <c r="V5" i="3"/>
  <c r="P5" i="3"/>
  <c r="J12" i="5"/>
  <c r="J5" i="5"/>
  <c r="K7" i="39" l="1"/>
  <c r="I7" i="13"/>
  <c r="M10" i="58"/>
  <c r="M11" i="58"/>
  <c r="M12" i="58"/>
  <c r="M13" i="58"/>
  <c r="M9" i="58"/>
  <c r="D47" i="56" l="1"/>
  <c r="M29" i="60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H47" i="56" l="1"/>
  <c r="J47" i="56"/>
  <c r="L47" i="56"/>
  <c r="F47" i="56" l="1"/>
  <c r="M26" i="60" l="1"/>
  <c r="M27" i="60"/>
  <c r="M28" i="60"/>
  <c r="M21" i="58"/>
  <c r="M20" i="58"/>
  <c r="C18" i="13" l="1"/>
  <c r="C23" i="13"/>
  <c r="C22" i="13"/>
  <c r="C21" i="13"/>
  <c r="C20" i="13"/>
  <c r="C17" i="13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B36" i="13" l="1"/>
  <c r="D36" i="13" l="1"/>
  <c r="D6" i="5"/>
  <c r="D7" i="5" l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B5" i="5"/>
  <c r="K22" i="60"/>
  <c r="K22" i="59"/>
  <c r="K38" i="60"/>
  <c r="K30" i="59"/>
  <c r="K14" i="60"/>
  <c r="K30" i="60"/>
  <c r="K14" i="59"/>
  <c r="J24" i="39" l="1"/>
  <c r="D24" i="39"/>
  <c r="I15" i="39" l="1"/>
  <c r="C19" i="13"/>
  <c r="C16" i="13"/>
  <c r="C15" i="13"/>
  <c r="D34" i="39" l="1"/>
  <c r="D33" i="39" l="1"/>
  <c r="D31" i="39"/>
  <c r="D32" i="39"/>
  <c r="D36" i="39"/>
  <c r="D35" i="39"/>
  <c r="E36" i="39"/>
  <c r="E31" i="39" l="1"/>
  <c r="B31" i="13"/>
  <c r="D29" i="39"/>
  <c r="D31" i="13" l="1"/>
  <c r="E30" i="39"/>
  <c r="B30" i="13"/>
  <c r="E32" i="39"/>
  <c r="B32" i="13"/>
  <c r="E33" i="39"/>
  <c r="B33" i="13"/>
  <c r="B34" i="13"/>
  <c r="E35" i="39"/>
  <c r="B35" i="13"/>
  <c r="B28" i="13"/>
  <c r="D33" i="13" l="1"/>
  <c r="D35" i="13"/>
  <c r="D32" i="13"/>
  <c r="D28" i="13"/>
  <c r="D34" i="13"/>
  <c r="D30" i="13"/>
  <c r="B29" i="13"/>
  <c r="D29" i="13" l="1"/>
  <c r="Q19" i="1"/>
  <c r="L20" i="21" l="1"/>
  <c r="E15" i="13" l="1"/>
  <c r="E21" i="13" l="1"/>
  <c r="L19" i="21" l="1"/>
  <c r="L18" i="21"/>
  <c r="L17" i="21"/>
  <c r="L16" i="21"/>
  <c r="L10" i="21"/>
  <c r="L11" i="21"/>
  <c r="L12" i="21"/>
  <c r="L13" i="21"/>
  <c r="L9" i="21"/>
  <c r="E16" i="13"/>
  <c r="E17" i="13"/>
  <c r="E19" i="13"/>
  <c r="E20" i="13"/>
  <c r="E22" i="13"/>
  <c r="E23" i="13"/>
  <c r="D24" i="13"/>
  <c r="J24" i="13"/>
  <c r="D6" i="13"/>
  <c r="I21" i="13"/>
  <c r="K21" i="13" s="1"/>
  <c r="B12" i="5" l="1"/>
  <c r="C24" i="13"/>
  <c r="E18" i="13"/>
  <c r="D11" i="13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E16" i="39"/>
  <c r="E22" i="39"/>
  <c r="E18" i="39"/>
  <c r="E21" i="39"/>
  <c r="E20" i="39"/>
  <c r="E17" i="39"/>
  <c r="E23" i="39"/>
  <c r="E19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I24" i="13" l="1"/>
  <c r="C10" i="40"/>
  <c r="D9" i="39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  <c r="P42" i="45" l="1"/>
  <c r="U42" i="45" l="1"/>
  <c r="P43" i="45"/>
  <c r="Z42" i="45" l="1"/>
  <c r="U43" i="45"/>
  <c r="AE42" i="45" l="1"/>
  <c r="Z43" i="45"/>
  <c r="AJ42" i="45" l="1"/>
  <c r="AE43" i="45"/>
  <c r="AO42" i="45" l="1"/>
  <c r="AJ43" i="45"/>
  <c r="AT42" i="45" l="1"/>
  <c r="AO43" i="45"/>
  <c r="AT43" i="45" l="1"/>
  <c r="P82" i="45" l="1"/>
  <c r="U82" i="45" l="1"/>
  <c r="P83" i="45"/>
  <c r="Z82" i="45" l="1"/>
  <c r="U83" i="45"/>
  <c r="Z83" i="45" l="1"/>
  <c r="AE82" i="45"/>
  <c r="AE83" i="45" l="1"/>
  <c r="AJ82" i="45"/>
  <c r="AO82" i="45" l="1"/>
  <c r="AJ83" i="45"/>
  <c r="AO83" i="45" l="1"/>
  <c r="AT82" i="45"/>
  <c r="AT83" i="45" l="1"/>
  <c r="P102" i="45"/>
  <c r="U102" i="45" l="1"/>
  <c r="P103" i="45"/>
  <c r="U103" i="45" l="1"/>
  <c r="Z102" i="45"/>
  <c r="AE102" i="45" l="1"/>
  <c r="Z103" i="45"/>
  <c r="AJ102" i="45" l="1"/>
  <c r="AE103" i="45"/>
  <c r="AJ103" i="45" l="1"/>
  <c r="AO102" i="45"/>
  <c r="AO103" i="45" l="1"/>
  <c r="AT102" i="45"/>
  <c r="AT103" i="45" s="1"/>
</calcChain>
</file>

<file path=xl/comments1.xml><?xml version="1.0" encoding="utf-8"?>
<comments xmlns="http://schemas.openxmlformats.org/spreadsheetml/2006/main">
  <authors>
    <author>陳佳萱</author>
  </authors>
  <commentList>
    <comment ref="C9" authorId="0" shapeId="0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<sst xmlns="http://schemas.openxmlformats.org/spreadsheetml/2006/main" count="10247" uniqueCount="860">
  <si>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</si>
  <si>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</si>
  <si>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</si>
  <si>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</si>
  <si>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</si>
  <si>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</si>
  <si>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</si>
  <si>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</si>
  <si>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</si>
  <si>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</si>
  <si>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</si>
  <si>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</si>
  <si>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</si>
  <si>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</si>
  <si>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</si>
  <si>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</si>
  <si>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</si>
  <si>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</si>
  <si>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</si>
  <si>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</si>
  <si>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3"/>
  </si>
  <si>
    <t>（１）收支狀況</t>
    <phoneticPr fontId="13"/>
  </si>
  <si>
    <t>當月</t>
    <phoneticPr fontId="13"/>
  </si>
  <si>
    <t>※單位：千元</t>
    <phoneticPr fontId="13"/>
  </si>
  <si>
    <t>業績金額</t>
    <phoneticPr fontId="13"/>
  </si>
  <si>
    <t>訂單數量</t>
    <phoneticPr fontId="13"/>
  </si>
  <si>
    <t>半成品報廢</t>
    <phoneticPr fontId="13"/>
  </si>
  <si>
    <t>半成品超用</t>
    <phoneticPr fontId="13"/>
  </si>
  <si>
    <t>固定產線</t>
    <phoneticPr fontId="13"/>
  </si>
  <si>
    <t>教育訓練</t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</si>
  <si>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</si>
  <si>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3"/>
  </si>
  <si>
    <t>（３）業績構成比</t>
    <phoneticPr fontId="13"/>
  </si>
  <si>
    <t>（４）訂單數量構成比</t>
    <phoneticPr fontId="13"/>
  </si>
  <si>
    <t>飯糰</t>
    <phoneticPr fontId="13"/>
  </si>
  <si>
    <t>大口飯糰</t>
    <phoneticPr fontId="13"/>
  </si>
  <si>
    <t>便當</t>
    <phoneticPr fontId="13"/>
  </si>
  <si>
    <t>調理麵包</t>
    <phoneticPr fontId="13"/>
  </si>
  <si>
    <t>袋裝調理麵包</t>
    <phoneticPr fontId="13"/>
  </si>
  <si>
    <t>義大利麵</t>
    <phoneticPr fontId="13"/>
  </si>
  <si>
    <t>調理包</t>
    <phoneticPr fontId="13"/>
  </si>
  <si>
    <t>比例</t>
    <phoneticPr fontId="13"/>
  </si>
  <si>
    <t>作業原因</t>
    <phoneticPr fontId="13"/>
  </si>
  <si>
    <t>規格原因</t>
    <phoneticPr fontId="13"/>
  </si>
  <si>
    <t>調理麵</t>
    <phoneticPr fontId="13"/>
  </si>
  <si>
    <t>（６）人時生產性前幾名品項</t>
    <phoneticPr fontId="13"/>
  </si>
  <si>
    <t>人數</t>
    <phoneticPr fontId="13"/>
  </si>
  <si>
    <t>排名</t>
    <phoneticPr fontId="13"/>
  </si>
  <si>
    <t>產能</t>
    <phoneticPr fontId="13"/>
  </si>
  <si>
    <t>人時生產性</t>
    <phoneticPr fontId="13"/>
  </si>
  <si>
    <t>主要原因&amp;對策</t>
  </si>
  <si>
    <t>主要原因&amp;對策</t>
    <phoneticPr fontId="13"/>
  </si>
  <si>
    <t>（８）報廢原因別前幾名品項</t>
    <phoneticPr fontId="13"/>
  </si>
  <si>
    <t>半成品名</t>
    <phoneticPr fontId="13"/>
  </si>
  <si>
    <t>單價</t>
    <phoneticPr fontId="13"/>
  </si>
  <si>
    <t>報廢率</t>
    <phoneticPr fontId="13"/>
  </si>
  <si>
    <t>數量</t>
    <phoneticPr fontId="13"/>
  </si>
  <si>
    <t>實績</t>
    <phoneticPr fontId="13"/>
  </si>
  <si>
    <t>前幾名合計比例</t>
    <phoneticPr fontId="13"/>
  </si>
  <si>
    <t>前幾名合計金額</t>
    <phoneticPr fontId="13"/>
  </si>
  <si>
    <t>※補充</t>
    <phoneticPr fontId="13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</si>
  <si>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3"/>
  </si>
  <si>
    <t>實施率</t>
    <phoneticPr fontId="13"/>
  </si>
  <si>
    <t>（５）品群別人時生產性</t>
    <phoneticPr fontId="13"/>
  </si>
  <si>
    <t>勞務成本</t>
    <phoneticPr fontId="13"/>
  </si>
  <si>
    <t>勞務費率</t>
    <phoneticPr fontId="13"/>
  </si>
  <si>
    <t>比例</t>
    <phoneticPr fontId="13"/>
  </si>
  <si>
    <t>前月</t>
    <phoneticPr fontId="13"/>
  </si>
  <si>
    <t>差異</t>
    <phoneticPr fontId="13"/>
  </si>
  <si>
    <t>KPI</t>
    <phoneticPr fontId="13"/>
  </si>
  <si>
    <t>當月</t>
    <phoneticPr fontId="13"/>
  </si>
  <si>
    <t>（２）ＫＰＩ達成進度</t>
    <phoneticPr fontId="13"/>
  </si>
  <si>
    <t>（７）原因別分析</t>
    <phoneticPr fontId="13"/>
  </si>
  <si>
    <t>月別</t>
    <phoneticPr fontId="13"/>
  </si>
  <si>
    <t>工廠名</t>
    <phoneticPr fontId="13"/>
  </si>
  <si>
    <t>手巻卵黄雞絞肉</t>
    <phoneticPr fontId="13"/>
  </si>
  <si>
    <t>減少暫時停止生產,人時UP</t>
    <phoneticPr fontId="13"/>
  </si>
  <si>
    <t>因組裝2食材,人員增加,產速減少</t>
    <phoneticPr fontId="13"/>
  </si>
  <si>
    <t>透由調整速度提升。</t>
    <phoneticPr fontId="13"/>
  </si>
  <si>
    <t>直巻明太子美奶茲</t>
    <phoneticPr fontId="13"/>
  </si>
  <si>
    <t>大口飯糰燒肉美奶滋</t>
    <phoneticPr fontId="13"/>
  </si>
  <si>
    <t>因摺疊增員。實施教育訓練。</t>
    <phoneticPr fontId="13"/>
  </si>
  <si>
    <t>明太子海苔便當</t>
    <phoneticPr fontId="13"/>
  </si>
  <si>
    <t>指導鋪開炒柴魚片</t>
    <phoneticPr fontId="13"/>
  </si>
  <si>
    <t>肉狀態不良，已連動開發</t>
    <phoneticPr fontId="13"/>
  </si>
  <si>
    <t>油炸白身魚</t>
    <phoneticPr fontId="13"/>
  </si>
  <si>
    <t>油調過多報廢。變更條件。</t>
    <phoneticPr fontId="13"/>
  </si>
  <si>
    <t>川燙蝦子拌醬</t>
    <phoneticPr fontId="13"/>
  </si>
  <si>
    <t>蝦子入數不足</t>
    <phoneticPr fontId="13"/>
  </si>
  <si>
    <t>特製醬汁炙燒牛五花便當</t>
    <phoneticPr fontId="13"/>
  </si>
  <si>
    <t>牛五花醬汁</t>
    <phoneticPr fontId="13"/>
  </si>
  <si>
    <t>難度有差異。調理指導。</t>
    <phoneticPr fontId="13"/>
  </si>
  <si>
    <t>因原料變更。</t>
    <phoneticPr fontId="13"/>
  </si>
  <si>
    <t>牛五花燒成</t>
    <phoneticPr fontId="13"/>
  </si>
  <si>
    <t>大口飯糰三種起司午餐肉</t>
    <phoneticPr fontId="13"/>
  </si>
  <si>
    <t>３種起司燒成</t>
    <phoneticPr fontId="13"/>
  </si>
  <si>
    <t>與燒成範本不同。</t>
    <phoneticPr fontId="13"/>
  </si>
  <si>
    <t>燒成過多，調整調理條件。</t>
    <phoneticPr fontId="13"/>
  </si>
  <si>
    <t>超用率</t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</si>
  <si>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</si>
  <si>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</si>
  <si>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</si>
  <si>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</si>
  <si>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3"/>
  </si>
  <si>
    <t>超用率</t>
    <phoneticPr fontId="13"/>
  </si>
  <si>
    <t>日期</t>
    <phoneticPr fontId="16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</si>
  <si>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</si>
  <si>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</si>
  <si>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</si>
  <si>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6" type="noConversion"/>
  </si>
  <si>
    <t>業績(元)</t>
    <phoneticPr fontId="16" type="noConversion"/>
  </si>
  <si>
    <t>比例(%)</t>
    <phoneticPr fontId="16" type="noConversion"/>
  </si>
  <si>
    <t>三</t>
    <phoneticPr fontId="16" type="noConversion"/>
  </si>
  <si>
    <t>四</t>
    <phoneticPr fontId="16" type="noConversion"/>
  </si>
  <si>
    <t>五</t>
    <phoneticPr fontId="16" type="noConversion"/>
  </si>
  <si>
    <t>六</t>
    <phoneticPr fontId="16" type="noConversion"/>
  </si>
  <si>
    <t>日</t>
    <phoneticPr fontId="16" type="noConversion"/>
  </si>
  <si>
    <t>一</t>
    <phoneticPr fontId="16" type="noConversion"/>
  </si>
  <si>
    <t>二</t>
    <phoneticPr fontId="16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</si>
  <si>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6" type="noConversion"/>
  </si>
  <si>
    <t>週累積</t>
    <phoneticPr fontId="16" type="noConversion"/>
  </si>
  <si>
    <t>月累積</t>
    <phoneticPr fontId="16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</si>
  <si>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</si>
  <si>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t>營業額(元)</t>
    <phoneticPr fontId="16" type="noConversion"/>
  </si>
  <si>
    <t>訂單數量(個)</t>
    <phoneticPr fontId="16" type="noConversion"/>
  </si>
  <si>
    <t>材料費(元)</t>
    <phoneticPr fontId="16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</si>
  <si>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6" type="noConversion"/>
  </si>
  <si>
    <t>材料費率（材料費／營業額）</t>
    <phoneticPr fontId="16" type="noConversion"/>
  </si>
  <si>
    <t>勞務成本（全廠人事成本）</t>
    <phoneticPr fontId="16" type="noConversion"/>
  </si>
  <si>
    <t>勞務費率（勞務成本／營業額）</t>
    <phoneticPr fontId="16" type="noConversion"/>
  </si>
  <si>
    <t>（２）ＫＰＩ達成進度</t>
    <phoneticPr fontId="13"/>
  </si>
  <si>
    <t>（２）ＫＰＩ達成進度</t>
    <phoneticPr fontId="16" type="noConversion"/>
  </si>
  <si>
    <t>週平均</t>
    <phoneticPr fontId="16" type="noConversion"/>
  </si>
  <si>
    <t>月平均</t>
    <phoneticPr fontId="16" type="noConversion"/>
  </si>
  <si>
    <t>一配</t>
    <phoneticPr fontId="16" type="noConversion"/>
  </si>
  <si>
    <t>二配</t>
    <phoneticPr fontId="16" type="noConversion"/>
  </si>
  <si>
    <t>營業額</t>
    <phoneticPr fontId="16" type="noConversion"/>
  </si>
  <si>
    <t>便當</t>
  </si>
  <si>
    <t>便當</t>
    <phoneticPr fontId="16" type="noConversion"/>
  </si>
  <si>
    <t>主食</t>
  </si>
  <si>
    <t>主食</t>
    <phoneticPr fontId="16" type="noConversion"/>
  </si>
  <si>
    <t>熱食義麵</t>
  </si>
  <si>
    <t>季節調理麵</t>
  </si>
  <si>
    <t>微波小吃</t>
  </si>
  <si>
    <t>微波小吃</t>
    <phoneticPr fontId="16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</si>
  <si>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</si>
  <si>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</si>
  <si>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</si>
  <si>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</si>
  <si>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6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</si>
  <si>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</si>
  <si>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</si>
  <si>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</si>
  <si>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t>合計</t>
    <phoneticPr fontId="16" type="noConversion"/>
  </si>
  <si>
    <t>（４）訂單數量構成比</t>
    <phoneticPr fontId="13"/>
  </si>
  <si>
    <t>訂單量</t>
    <phoneticPr fontId="16" type="noConversion"/>
  </si>
  <si>
    <t>訂單數</t>
    <phoneticPr fontId="16" type="noConversion"/>
  </si>
  <si>
    <t>18℃-壽司手卷</t>
  </si>
  <si>
    <t>4℃-壽司手卷</t>
  </si>
  <si>
    <t>商品名稱</t>
    <phoneticPr fontId="16" type="noConversion"/>
  </si>
  <si>
    <t>計畫</t>
    <phoneticPr fontId="16" type="noConversion"/>
  </si>
  <si>
    <t>人數</t>
    <phoneticPr fontId="16" type="noConversion"/>
  </si>
  <si>
    <t>實際</t>
    <phoneticPr fontId="16" type="noConversion"/>
  </si>
  <si>
    <t>人時性</t>
    <phoneticPr fontId="16" type="noConversion"/>
  </si>
  <si>
    <t>品群</t>
    <phoneticPr fontId="16" type="noConversion"/>
  </si>
  <si>
    <t>平均人時性</t>
    <phoneticPr fontId="16" type="noConversion"/>
  </si>
  <si>
    <t>日報</t>
    <phoneticPr fontId="16" type="noConversion"/>
  </si>
  <si>
    <t>排名</t>
    <phoneticPr fontId="16" type="noConversion"/>
  </si>
  <si>
    <t>製程不穩</t>
    <phoneticPr fontId="13"/>
  </si>
  <si>
    <t>研發設定</t>
    <phoneticPr fontId="13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</si>
  <si>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</si>
  <si>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</si>
  <si>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</si>
  <si>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</si>
  <si>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</si>
  <si>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</si>
  <si>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</si>
  <si>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</si>
  <si>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</si>
  <si>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</si>
  <si>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</si>
  <si>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</si>
  <si>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</si>
  <si>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</si>
  <si>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</si>
  <si>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</si>
  <si>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</si>
  <si>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</si>
  <si>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</si>
  <si>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</si>
  <si>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3"/>
  </si>
  <si>
    <t>原物料規格</t>
    <phoneticPr fontId="13"/>
  </si>
  <si>
    <t>其他原因</t>
    <phoneticPr fontId="13"/>
  </si>
  <si>
    <t>類型</t>
    <phoneticPr fontId="16" type="noConversion"/>
  </si>
  <si>
    <t>作業原因</t>
    <phoneticPr fontId="13"/>
  </si>
  <si>
    <t>類型</t>
    <phoneticPr fontId="16" type="noConversion"/>
  </si>
  <si>
    <t>原料原因</t>
    <phoneticPr fontId="13"/>
  </si>
  <si>
    <t>個／MH</t>
    <phoneticPr fontId="13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</si>
  <si>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3"/>
  </si>
  <si>
    <t>項目</t>
    <phoneticPr fontId="16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</si>
  <si>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</si>
  <si>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</si>
  <si>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t>半成品-報廢(%)</t>
    <phoneticPr fontId="13"/>
  </si>
  <si>
    <t>半成品-超用(%)</t>
    <phoneticPr fontId="13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</si>
  <si>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3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</si>
  <si>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3"/>
  </si>
  <si>
    <t>▼1</t>
    <phoneticPr fontId="13"/>
  </si>
  <si>
    <t>▼3</t>
    <phoneticPr fontId="13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</si>
  <si>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</si>
  <si>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</si>
  <si>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</si>
  <si>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3"/>
  </si>
  <si>
    <t>▼4</t>
    <phoneticPr fontId="13"/>
  </si>
  <si>
    <t>▼5</t>
    <phoneticPr fontId="13"/>
  </si>
  <si>
    <r>
      <t>調理多</t>
    </r>
    <r>
      <rPr>
        <sz val="11"/>
        <color theme="1"/>
        <rFont val="Arial"/>
        <family val="3"/>
        <charset val="136"/>
      </rPr>
      <t>產</t>
    </r>
    <phoneticPr fontId="13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</si>
  <si>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6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</si>
  <si>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</si>
  <si>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</si>
  <si>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</si>
  <si>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3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</si>
  <si>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3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</si>
  <si>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6" type="noConversion"/>
  </si>
  <si>
    <t>4℃-壽司手卷(077)</t>
  </si>
  <si>
    <t>4℃-壽司手卷(077)</t>
    <phoneticPr fontId="16" type="noConversion"/>
  </si>
  <si>
    <t>18℃-壽司手卷(071,072,075,076)</t>
  </si>
  <si>
    <t>18℃-壽司手卷(071,072,075,076)</t>
    <phoneticPr fontId="16" type="noConversion"/>
  </si>
  <si>
    <t>主食(091,092,093,094,095)</t>
  </si>
  <si>
    <t>主食(091,092,093,094,095)</t>
    <phoneticPr fontId="16" type="noConversion"/>
  </si>
  <si>
    <t>便當(083)</t>
  </si>
  <si>
    <t>便當(083)</t>
    <phoneticPr fontId="16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</si>
  <si>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</si>
  <si>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</si>
  <si>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6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</si>
  <si>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6" type="noConversion"/>
  </si>
  <si>
    <t>微波小吃(153,154,155)</t>
  </si>
  <si>
    <t>微波小吃(153,154,155)</t>
    <phoneticPr fontId="16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</si>
  <si>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</si>
  <si>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</si>
  <si>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</si>
  <si>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</si>
  <si>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6" type="noConversion"/>
  </si>
  <si>
    <t>項目</t>
    <phoneticPr fontId="16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</si>
  <si>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3"/>
  </si>
  <si>
    <t>比例</t>
    <phoneticPr fontId="13"/>
  </si>
  <si>
    <t>報廢</t>
    <phoneticPr fontId="13"/>
  </si>
  <si>
    <t>超用</t>
    <phoneticPr fontId="13"/>
  </si>
  <si>
    <t>總件數</t>
    <phoneticPr fontId="16" type="noConversion"/>
  </si>
  <si>
    <t>分析原因</t>
    <phoneticPr fontId="16" type="noConversion"/>
  </si>
  <si>
    <t>次數</t>
    <phoneticPr fontId="16" type="noConversion"/>
  </si>
  <si>
    <t>分析原因（件）</t>
    <phoneticPr fontId="16" type="noConversion"/>
  </si>
  <si>
    <t>報廢金額</t>
    <phoneticPr fontId="16" type="noConversion"/>
  </si>
  <si>
    <t>其他原因</t>
    <phoneticPr fontId="16" type="noConversion"/>
  </si>
  <si>
    <t>補單占比</t>
    <phoneticPr fontId="16" type="noConversion"/>
  </si>
  <si>
    <t>展開量高於１０5％</t>
    <phoneticPr fontId="13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</si>
  <si>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6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</si>
  <si>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6" type="noConversion"/>
  </si>
  <si>
    <t>18℃-壽司手卷(071,072,075,076)</t>
    <phoneticPr fontId="16" type="noConversion"/>
  </si>
  <si>
    <t>鮮食品群番</t>
    <phoneticPr fontId="16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</si>
  <si>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</si>
  <si>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</si>
  <si>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</si>
  <si>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</si>
  <si>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</si>
  <si>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</si>
  <si>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</si>
  <si>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</si>
  <si>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</si>
  <si>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</si>
  <si>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</si>
  <si>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</si>
  <si>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</si>
  <si>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</si>
  <si>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</si>
  <si>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</si>
  <si>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</si>
  <si>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</si>
  <si>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</si>
  <si>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</si>
  <si>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</si>
  <si>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</si>
  <si>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</si>
  <si>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</si>
  <si>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</si>
  <si>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</si>
  <si>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</si>
  <si>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</si>
  <si>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</si>
  <si>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</si>
  <si>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</si>
  <si>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</si>
  <si>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</si>
  <si>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</si>
  <si>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</si>
  <si>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</si>
  <si>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</si>
  <si>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</si>
  <si>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</si>
  <si>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</si>
  <si>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</si>
  <si>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</si>
  <si>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</si>
  <si>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</si>
  <si>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</si>
  <si>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</si>
  <si>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</si>
  <si>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</si>
  <si>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</si>
  <si>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</si>
  <si>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</si>
  <si>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</si>
  <si>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</si>
  <si>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</si>
  <si>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</si>
  <si>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</si>
  <si>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</si>
  <si>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</si>
  <si>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</si>
  <si>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</si>
  <si>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</si>
  <si>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</si>
  <si>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</si>
  <si>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</si>
  <si>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</si>
  <si>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6" type="noConversion"/>
  </si>
  <si>
    <t>（3）業績構成比</t>
    <phoneticPr fontId="16" type="noConversion"/>
  </si>
  <si>
    <t>（4）訂單數量構成比</t>
    <phoneticPr fontId="16" type="noConversion"/>
  </si>
  <si>
    <t xml:space="preserve">半成品報廢(%) </t>
    <phoneticPr fontId="16" type="noConversion"/>
  </si>
  <si>
    <t>月別</t>
    <phoneticPr fontId="13"/>
  </si>
  <si>
    <t>週別</t>
    <phoneticPr fontId="16" type="noConversion"/>
  </si>
  <si>
    <t>當週</t>
  </si>
  <si>
    <t>當週</t>
    <phoneticPr fontId="13"/>
  </si>
  <si>
    <t>前週</t>
  </si>
  <si>
    <t>前週</t>
    <phoneticPr fontId="16" type="noConversion"/>
  </si>
  <si>
    <t>前週</t>
    <phoneticPr fontId="13"/>
  </si>
  <si>
    <t>前週比</t>
    <phoneticPr fontId="16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</si>
  <si>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</si>
  <si>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</si>
  <si>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</si>
  <si>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</si>
  <si>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</si>
  <si>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</si>
  <si>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</si>
  <si>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3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</si>
  <si>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</si>
  <si>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</si>
  <si>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</si>
  <si>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</si>
  <si>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</si>
  <si>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</si>
  <si>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</si>
  <si>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</si>
  <si>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一配海饌雙手卷</t>
  </si>
  <si>
    <t>一配雙饗雙手卷</t>
  </si>
  <si>
    <t>二配長野稻荷壽司</t>
  </si>
  <si>
    <t>二配海饌雙手卷</t>
  </si>
  <si>
    <t>二配雙饗雙手卷</t>
  </si>
  <si>
    <t>麻油雞飯糰</t>
  </si>
  <si>
    <t>微波主食</t>
    <phoneticPr fontId="16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</si>
  <si>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</si>
  <si>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</si>
  <si>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</si>
  <si>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</si>
  <si>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</si>
  <si>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</si>
  <si>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</si>
  <si>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6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</si>
  <si>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6" type="noConversion"/>
  </si>
  <si>
    <t>薑炒筍尾</t>
  </si>
  <si>
    <t>川味秋木耳</t>
  </si>
  <si>
    <t>炒油蔥醬</t>
  </si>
  <si>
    <t>熟化去皮馬鈴薯滾刀17-23g</t>
  </si>
  <si>
    <t>蒸-全熟雞肉絲CL(113年)</t>
  </si>
  <si>
    <t>雞肉飯飯糰</t>
  </si>
  <si>
    <t>大溪廠</t>
    <phoneticPr fontId="16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</si>
  <si>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</si>
  <si>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t>生產管理報表</t>
    <phoneticPr fontId="16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</si>
  <si>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</si>
  <si>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6" type="noConversion"/>
  </si>
  <si>
    <t>實績 (週平均)</t>
    <phoneticPr fontId="16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</si>
  <si>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6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</si>
  <si>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6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</si>
  <si>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6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</si>
  <si>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6" type="noConversion"/>
  </si>
  <si>
    <t>18℃-壽司手卷</t>
    <phoneticPr fontId="16" type="noConversion"/>
  </si>
  <si>
    <t>4℃-壽司手卷</t>
    <phoneticPr fontId="16" type="noConversion"/>
  </si>
  <si>
    <t>季節調理麵</t>
    <phoneticPr fontId="16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</si>
  <si>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</si>
  <si>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</si>
  <si>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3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</si>
  <si>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3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</si>
  <si>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</si>
  <si>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</si>
  <si>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</si>
  <si>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</si>
  <si>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6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</si>
  <si>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6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</si>
  <si>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6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</si>
  <si>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</si>
  <si>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</si>
  <si>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</si>
  <si>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</si>
  <si>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</si>
  <si>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</si>
  <si>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</si>
  <si>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</si>
  <si>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</si>
  <si>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</si>
  <si>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</si>
  <si>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</si>
  <si>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</si>
  <si>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</si>
  <si>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</si>
  <si>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</si>
  <si>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</si>
  <si>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</si>
  <si>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</si>
  <si>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</si>
  <si>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3"/>
  </si>
  <si>
    <t>材料費</t>
    <phoneticPr fontId="16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</si>
  <si>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3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</si>
  <si>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3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</si>
  <si>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3"/>
  </si>
  <si>
    <r>
      <t>教育訓練-</t>
    </r>
    <r>
      <rPr>
        <sz val="10"/>
        <color theme="1"/>
        <rFont val="Meiryo UI"/>
        <family val="2"/>
      </rPr>
      <t>實施率(%)</t>
    </r>
    <phoneticPr fontId="13"/>
  </si>
  <si>
    <t>※單位：千元</t>
    <phoneticPr fontId="13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</si>
  <si>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</si>
  <si>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</si>
  <si>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</si>
  <si>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</si>
  <si>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</si>
  <si>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6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</si>
  <si>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</si>
  <si>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</si>
  <si>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t>調理端</t>
  </si>
  <si>
    <t>報廢</t>
    <phoneticPr fontId="16" type="noConversion"/>
  </si>
  <si>
    <t>超用</t>
    <phoneticPr fontId="16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</si>
  <si>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3"/>
  </si>
  <si>
    <t>川燙毛豆玉米</t>
  </si>
  <si>
    <t>美式雞丁餐盒(113年)</t>
  </si>
  <si>
    <t>超用額</t>
    <phoneticPr fontId="84" type="noConversion"/>
  </si>
  <si>
    <t>超用率</t>
    <phoneticPr fontId="16" type="noConversion"/>
  </si>
  <si>
    <t>廢棄週合計</t>
    <phoneticPr fontId="16" type="noConversion"/>
  </si>
  <si>
    <t>超用週合計</t>
    <phoneticPr fontId="16" type="noConversion"/>
  </si>
  <si>
    <t>大溪廠半成品管理日別總表</t>
    <phoneticPr fontId="16" type="noConversion"/>
  </si>
  <si>
    <t>日期</t>
    <phoneticPr fontId="84" type="noConversion"/>
  </si>
  <si>
    <t>報廢額</t>
    <phoneticPr fontId="84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</si>
  <si>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6" type="noConversion"/>
  </si>
  <si>
    <t>廢棄前10名</t>
    <phoneticPr fontId="16" type="noConversion"/>
  </si>
  <si>
    <t>超用前10名</t>
    <phoneticPr fontId="16" type="noConversion"/>
  </si>
  <si>
    <t>金額總計</t>
    <phoneticPr fontId="16" type="noConversion"/>
  </si>
  <si>
    <t>構成比</t>
    <phoneticPr fontId="16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</si>
  <si>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6" type="noConversion"/>
  </si>
  <si>
    <t>製程不穩</t>
    <phoneticPr fontId="84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</si>
  <si>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3"/>
  </si>
  <si>
    <t>清炒高麗菜</t>
  </si>
  <si>
    <t>二配乳酪燻腸紅醬焗飯</t>
  </si>
  <si>
    <t>教育訓練-實施率(進度/計畫)</t>
    <phoneticPr fontId="16" type="noConversion"/>
  </si>
  <si>
    <t>4℃-飯糰</t>
    <phoneticPr fontId="16" type="noConversion"/>
  </si>
  <si>
    <t>熱食義麵</t>
    <phoneticPr fontId="16" type="noConversion"/>
  </si>
  <si>
    <t>共用類廢棄</t>
    <phoneticPr fontId="16" type="noConversion"/>
  </si>
  <si>
    <t>金額總計</t>
    <phoneticPr fontId="84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</si>
  <si>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4" type="noConversion"/>
  </si>
  <si>
    <t>歐姆蛋-黑咖哩醬</t>
  </si>
  <si>
    <t>一配照燒雞肉飯糰</t>
  </si>
  <si>
    <t>蘑菇白醬</t>
  </si>
  <si>
    <t>人數配置相同與人時生產性維持穩定</t>
  </si>
  <si>
    <t>取樣不穩</t>
  </si>
  <si>
    <t>取樣不穩</t>
    <phoneticPr fontId="13"/>
  </si>
  <si>
    <t>（８）報廢原因別前幾名品項</t>
    <phoneticPr fontId="16" type="noConversion"/>
  </si>
  <si>
    <t>（８）超用原因別前幾名品項</t>
    <phoneticPr fontId="16" type="noConversion"/>
  </si>
  <si>
    <t>韓式部隊鍋</t>
  </si>
  <si>
    <t>烤照燒雞腿丁</t>
  </si>
  <si>
    <t>海陸雙拼肉肉餐盒</t>
  </si>
  <si>
    <t>二配三杯醬爆菇菇飯糰</t>
  </si>
  <si>
    <t>一配經典鮪魚沙拉細卷</t>
  </si>
  <si>
    <t>二配西班牙風味海鮮燉飯</t>
  </si>
  <si>
    <t>蔬活腿排補力餐盒</t>
  </si>
  <si>
    <t>合計</t>
    <phoneticPr fontId="84" type="noConversion"/>
  </si>
  <si>
    <t>一配雙鬆細卷</t>
  </si>
  <si>
    <t>二配兩粒飯糰(鮪魚.焦糖鮭魚)</t>
  </si>
  <si>
    <t>香腸腿排雙拼便當</t>
  </si>
  <si>
    <t>炒蔥花碎蛋</t>
  </si>
  <si>
    <t>一配兩粒飯糰(鮪魚.焦糖鮭魚)</t>
  </si>
  <si>
    <t>青花菜原物料規格偏大造成超用</t>
    <phoneticPr fontId="16" type="noConversion"/>
  </si>
  <si>
    <t>二配大飯糰韓式蒜烤豬五花</t>
  </si>
  <si>
    <t>東京豚骨風味拉麵</t>
  </si>
  <si>
    <t>豚骨醬油湯凍(114年)</t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</si>
  <si>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</si>
  <si>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</si>
  <si>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t>月別</t>
    <phoneticPr fontId="16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</si>
  <si>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6" type="noConversion"/>
  </si>
  <si>
    <t>後續對策</t>
    <phoneticPr fontId="16" type="noConversion"/>
  </si>
  <si>
    <t>展開量高於需求量</t>
  </si>
  <si>
    <t>週前二十</t>
    <phoneticPr fontId="16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</si>
  <si>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</si>
  <si>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</si>
  <si>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</si>
  <si>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t>原因說明</t>
    <phoneticPr fontId="16" type="noConversion"/>
  </si>
  <si>
    <t>超用金額</t>
    <phoneticPr fontId="16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</si>
  <si>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6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</si>
  <si>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6" type="noConversion"/>
  </si>
  <si>
    <t>展開量高於需求量</t>
    <phoneticPr fontId="13"/>
  </si>
  <si>
    <t>展開量高於需求量</t>
    <phoneticPr fontId="16" type="noConversion"/>
  </si>
  <si>
    <t>操作方式冰杓定量,生產餘料報廢</t>
  </si>
  <si>
    <t>調理展開量下修，並已採用多次補單方式執行</t>
  </si>
  <si>
    <t>菜梗、葉差異，影響人員放料手感</t>
  </si>
  <si>
    <t>增加線上抽秤頻率，調理展開量下修，並已採用多次補單方式執行</t>
  </si>
  <si>
    <t>針對人員抓量手法教育訓練，並增加線上抽秤頻率</t>
    <phoneticPr fontId="16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</si>
  <si>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phoneticPr fontId="16" type="noConversion"/>
  </si>
  <si>
    <t>二配大飯糰滷肉飯加蛋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</si>
  <si>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6" type="noConversion"/>
  </si>
  <si>
    <t>抓量較不穩定造成調理多產</t>
  </si>
  <si>
    <t>二配蒙古風味烤肉飯</t>
  </si>
  <si>
    <t>6切-烤醃漬咖哩腿排</t>
  </si>
  <si>
    <t>抓量較不穩定造成超用</t>
    <phoneticPr fontId="16" type="noConversion"/>
  </si>
  <si>
    <t>炒蒙古肉片</t>
  </si>
  <si>
    <t>炒蒙古烤肉蔬菜</t>
  </si>
  <si>
    <t>一配鮭魚奶油醬油飯糰</t>
  </si>
  <si>
    <r>
      <t>雞肉絲糾結成塊，</t>
    </r>
    <r>
      <rPr>
        <sz val="12"/>
        <color theme="1"/>
        <rFont val="Microsoft JhengHei"/>
        <family val="2"/>
      </rPr>
      <t>人員抓量</t>
    </r>
    <r>
      <rPr>
        <sz val="12"/>
        <color theme="1"/>
        <rFont val="Meiryo UI"/>
        <family val="2"/>
      </rPr>
      <t>放料有差異</t>
    </r>
    <phoneticPr fontId="16" type="noConversion"/>
  </si>
  <si>
    <r>
      <t>1</t>
    </r>
    <r>
      <rPr>
        <sz val="12"/>
        <color theme="1"/>
        <rFont val="Microsoft JhengHei"/>
        <family val="2"/>
      </rPr>
      <t>月報廢</t>
    </r>
    <phoneticPr fontId="16" type="noConversion"/>
  </si>
  <si>
    <t>1月超用</t>
    <phoneticPr fontId="16" type="noConversion"/>
  </si>
  <si>
    <t>洋蔥壹號醬</t>
  </si>
  <si>
    <t>炒綜合蔬菜丁</t>
  </si>
  <si>
    <t>壹號醬炙烤牛飯糰</t>
  </si>
  <si>
    <t>切-烤牛五花(112年)</t>
  </si>
  <si>
    <t>針對人員手法教育訓練，並增加線上抽秤頻率</t>
    <phoneticPr fontId="16" type="noConversion"/>
  </si>
  <si>
    <t>賣相設定要鋪滿，肉片狀態影響鋪滿效果</t>
    <phoneticPr fontId="16" type="noConversion"/>
  </si>
  <si>
    <t>調整分切方式，穩定分切長度減少規格異常。反映研發設定放料重量範圍</t>
    <phoneticPr fontId="16" type="noConversion"/>
  </si>
  <si>
    <t>反映研發，後續開發列入考量</t>
    <phoneticPr fontId="16" type="noConversion"/>
  </si>
  <si>
    <t>因原物料規格差異,超用量偏高，生產餘料報廢</t>
    <phoneticPr fontId="16" type="noConversion"/>
  </si>
  <si>
    <t>反映研發，後續開發列入考量，建議原物料規格多切製程</t>
    <phoneticPr fontId="16" type="noConversion"/>
  </si>
  <si>
    <t>因原物料規格差異,超用量偏高，生產餘料報廢
反映研發，後續開發列入考量，建議原物料規格多切製程</t>
    <phoneticPr fontId="16" type="noConversion"/>
  </si>
  <si>
    <t>菜梗、葉差異，影響人員放料手感
增加線上抽秤頻率，調理展開量下修，並已採用多次補單方式執行</t>
    <phoneticPr fontId="16" type="noConversion"/>
  </si>
  <si>
    <t>烤箱製程蛋片規格厚薄差異
準備室分切剔除，確保賣相準定</t>
    <phoneticPr fontId="16" type="noConversion"/>
  </si>
  <si>
    <t>烤盤產生炭渣，豆腐沾黏焦化物
定期更換烤盤，制定烤盤更換時程</t>
    <phoneticPr fontId="16" type="noConversion"/>
  </si>
  <si>
    <t>注餡機機台工差設定確認</t>
    <phoneticPr fontId="16" type="noConversion"/>
  </si>
  <si>
    <t>注餡機機台工差設定確認
生產前確認標準定量的機台設定，生產中抽查確認設定及實際出料重量</t>
    <phoneticPr fontId="16" type="noConversion"/>
  </si>
  <si>
    <t>賣相設定要鋪滿，肉片狀態影響鋪滿效果
調整分切方式，穩定分切長度減少規格異常。反映研發設定放料重量範圍</t>
    <phoneticPr fontId="16" type="noConversion"/>
  </si>
  <si>
    <t>明太子泡菜牛飯卷</t>
  </si>
  <si>
    <t>切烤雞胸肉(111年)</t>
  </si>
  <si>
    <t>蒜炒紅K油菜(A7)</t>
  </si>
  <si>
    <t>健身G肉餐盒(113年)</t>
  </si>
  <si>
    <t>原物料肉片的大小塊差異
回饋研發，後續開發列入考量</t>
    <phoneticPr fontId="16" type="noConversion"/>
  </si>
  <si>
    <t>操作方式冰杓定量,生產餘料報廢</t>
    <phoneticPr fontId="16" type="noConversion"/>
  </si>
  <si>
    <t>調理展開量下修，並已採用多次補單方式執行</t>
    <phoneticPr fontId="16" type="noConversion"/>
  </si>
  <si>
    <t>操作方式冰杓定量,生產餘料報廢
調理展開量下修，並已採用多次補單方式執行</t>
    <phoneticPr fontId="16" type="noConversion"/>
  </si>
  <si>
    <t>人員抓量放料手法不穩定</t>
    <phoneticPr fontId="16" type="noConversion"/>
  </si>
  <si>
    <t>一配紅運烏魚子紹興飯糰</t>
  </si>
  <si>
    <t>福氣魚四喜開運便當</t>
  </si>
  <si>
    <t>鴻運番茄湯麵</t>
  </si>
  <si>
    <t>研發設定</t>
    <phoneticPr fontId="16" type="noConversion"/>
  </si>
  <si>
    <t>蕃茄湯凍(115年)</t>
  </si>
  <si>
    <t>原物料大小顆差異，影響人員放料</t>
    <phoneticPr fontId="16" type="noConversion"/>
  </si>
  <si>
    <r>
      <t>因葉梗</t>
    </r>
    <r>
      <rPr>
        <sz val="12"/>
        <color theme="1"/>
        <rFont val="Microsoft JhengHei"/>
        <family val="2"/>
      </rPr>
      <t>大小片</t>
    </r>
    <r>
      <rPr>
        <sz val="12"/>
        <color theme="1"/>
        <rFont val="Meiryo UI"/>
        <family val="2"/>
      </rPr>
      <t>差異，</t>
    </r>
    <r>
      <rPr>
        <sz val="12"/>
        <color theme="1"/>
        <rFont val="Microsoft JhengHei"/>
        <family val="2"/>
      </rPr>
      <t>線上</t>
    </r>
    <r>
      <rPr>
        <sz val="12"/>
        <color theme="1"/>
        <rFont val="Meiryo UI"/>
        <family val="2"/>
      </rPr>
      <t>容易取樣不穩導致超用</t>
    </r>
    <phoneticPr fontId="16" type="noConversion"/>
  </si>
  <si>
    <r>
      <rPr>
        <sz val="12"/>
        <color theme="1"/>
        <rFont val="Microsoft JhengHei"/>
        <family val="2"/>
      </rPr>
      <t>設定</t>
    </r>
    <r>
      <rPr>
        <sz val="12"/>
        <color theme="1"/>
        <rFont val="Meiryo UI"/>
        <family val="2"/>
      </rPr>
      <t>雙圈秤重，因葉梗大小片差異，線上容易取樣不穩導致超用</t>
    </r>
    <phoneticPr fontId="16" type="noConversion"/>
  </si>
  <si>
    <t>抓量較不穩定造成調理多產
增加線上抽秤頻率，調理展開量下修，並已採用多次補單方式執行，目前已控制在2%內。</t>
    <phoneticPr fontId="16" type="noConversion"/>
  </si>
  <si>
    <t>油煮蛤蜊-肉</t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</si>
  <si>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</t>
    </r>
    <phoneticPr fontId="16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</si>
  <si>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週更新(0224-0302)</t>
    </r>
    <phoneticPr fontId="16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</si>
  <si>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性前幾名品項(0224-0302)</t>
    </r>
    <phoneticPr fontId="16" type="noConversion"/>
  </si>
  <si>
    <t>0224-0302</t>
    <phoneticPr fontId="16" type="noConversion"/>
  </si>
  <si>
    <t>0224-0302 總合計↑</t>
    <phoneticPr fontId="16" type="noConversion"/>
  </si>
  <si>
    <t>西班牙烤雞腿丁</t>
  </si>
  <si>
    <t>60切-焗烤蔬菜烘蛋(113年)</t>
  </si>
  <si>
    <t>炒蝦仁(8號)</t>
  </si>
  <si>
    <t>炙燒韓式牛五花</t>
  </si>
  <si>
    <t>原物料肉塊規格大小差異，影響人員放料，生產餘料報廢</t>
    <phoneticPr fontId="16" type="noConversion"/>
  </si>
  <si>
    <t>烤箱製程蛋片規格厚薄差異</t>
    <phoneticPr fontId="16" type="noConversion"/>
  </si>
  <si>
    <t>準備室分切剔除，確保賣相準定</t>
    <phoneticPr fontId="16" type="noConversion"/>
  </si>
  <si>
    <r>
      <t>針對人員抓量手法教育訓練，並增加線上抽秤頻率，目前控制在3%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6" type="noConversion"/>
  </si>
  <si>
    <t>針對人員抓量手法教育訓練，並增加線上抽秤頻率，對比上週下降。</t>
    <phoneticPr fontId="16" type="noConversion"/>
  </si>
  <si>
    <t>反映研發，後續開發列入考量，設定放料量範圍，針對人員手法教育訓練，並增加線上抽秤頻率。</t>
    <phoneticPr fontId="16" type="noConversion"/>
  </si>
  <si>
    <t>原物料蝦仁大小隻公差，影響用量</t>
    <phoneticPr fontId="16" type="noConversion"/>
  </si>
  <si>
    <t>反映研發，後續開發列入考量。</t>
    <phoneticPr fontId="16" type="noConversion"/>
  </si>
  <si>
    <t>原物料大小長短差異，影響人員放料
反映研發，後續開發列入考量，調理展開量下修，並已採用多次補單方式執行，目前已控制在2%內。</t>
    <phoneticPr fontId="16" type="noConversion"/>
  </si>
  <si>
    <t>因葉梗大小片差異，線上容易取樣不穩導致超用
針對人員抓量手法教育訓練，並增加線上抽秤頻率，目前控制在3%內。</t>
    <phoneticPr fontId="16" type="noConversion"/>
  </si>
  <si>
    <t>設定雙圈秤重，因葉梗大小片差異，線上容易取樣不穩導致超用
針對人員抓量手法教育訓練，並增加線上抽秤頻率，對比上週下降。</t>
    <phoneticPr fontId="16" type="noConversion"/>
  </si>
  <si>
    <t>反映研發，後續開發列入考量</t>
  </si>
  <si>
    <t>原物料肉塊的大小塊差異</t>
    <phoneticPr fontId="16" type="noConversion"/>
  </si>
  <si>
    <t>反映研發，後續開發列入考量，設定放料量範圍，針對人員手法教育訓練，並增加線上抽秤頻率</t>
  </si>
  <si>
    <t>原物料肉塊的大小塊差異
反映研發，後續開發列入考量，設定放料量範圍，針對人員手法教育訓練，並增加線上抽秤頻率</t>
    <phoneticPr fontId="16" type="noConversion"/>
  </si>
  <si>
    <t>拌鮭魚沙拉(114年)</t>
  </si>
  <si>
    <t>奶香起司醬</t>
  </si>
  <si>
    <t>北海道秋鮭親子飯糰(114年)</t>
  </si>
  <si>
    <t>焙炒芝麻肉鬆</t>
  </si>
  <si>
    <t>經典肉鬆飯糰(114年)</t>
  </si>
  <si>
    <t>原物料規格過小，無法使用</t>
  </si>
  <si>
    <t>烤箱製程蛋片規格厚薄差異</t>
  </si>
  <si>
    <t>準備室分切剔除，確保賣相準定</t>
  </si>
  <si>
    <t>增加線上抽秤頻率，調理展開量下修，並已採用多次補單方式執行，目前已控制在2%內。</t>
  </si>
  <si>
    <t>烤盤產生炭渣，豆腐沾黏焦化物</t>
  </si>
  <si>
    <t>定期更換烤盤，制定烤盤更換時程</t>
  </si>
  <si>
    <t>高風險半成品拆袋即用,拆包後無法延用給下配次產生報廢</t>
  </si>
  <si>
    <t>每份用量少以致用量易有不穩定的狀況</t>
  </si>
  <si>
    <t>原物料大小長短差異，影響人員放料</t>
  </si>
  <si>
    <t>反映研發，後續開發列入考量，調理展開量下修，並已採用多次補單方式執行，目前已控制在2%內。</t>
  </si>
  <si>
    <t>增加線上抽秤頻率，準備展開量下修，並已採用多次補單方式執行</t>
  </si>
  <si>
    <t>因原物料規格差異,超用量偏高，生產餘料報廢</t>
  </si>
  <si>
    <r>
      <t>針對人員手法教育訓練，並增加線上抽秤頻率，用量控制3%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6" type="noConversion"/>
  </si>
  <si>
    <t>高風險半成品拆袋即用,拆包後無法延用給下配次產生報廢
反映研發，後續開發列入考量</t>
    <phoneticPr fontId="13"/>
  </si>
  <si>
    <t>原物料規格過小，無法使用
反映研發，後續開發列入考量</t>
    <phoneticPr fontId="13"/>
  </si>
  <si>
    <r>
      <t>2</t>
    </r>
    <r>
      <rPr>
        <sz val="12"/>
        <color theme="1"/>
        <rFont val="Microsoft JhengHei"/>
        <family val="2"/>
      </rPr>
      <t>月報廢</t>
    </r>
    <phoneticPr fontId="16" type="noConversion"/>
  </si>
  <si>
    <t>月</t>
    <phoneticPr fontId="16" type="noConversion"/>
  </si>
  <si>
    <t>炒紅K碎蛋</t>
  </si>
  <si>
    <t>炒照燒牛蒡腿丁</t>
  </si>
  <si>
    <t>蒜炒洋菇片</t>
  </si>
  <si>
    <t>拌鹽烤豬肉片(114年)</t>
  </si>
  <si>
    <t>鹽蔥燒肉飯糰</t>
  </si>
  <si>
    <t>二配大飯糰鮪魚昆布</t>
  </si>
  <si>
    <t>蟹味可樂餅風炸飯糰</t>
  </si>
  <si>
    <t>香料咖哩烤雞飯卷</t>
  </si>
  <si>
    <t>二配鐵板豆腐燴蛋蓋飯</t>
  </si>
  <si>
    <t>二配濃起司燻腸紅醬焗烤飯</t>
  </si>
  <si>
    <t>炸飯糰新品,人數配置與人時性同舊品</t>
    <phoneticPr fontId="16" type="noConversion"/>
  </si>
  <si>
    <t>舊品開檔,人數與人時性同舊品</t>
    <phoneticPr fontId="16" type="noConversion"/>
  </si>
  <si>
    <t>促銷貼標+1人.人時性下降</t>
    <phoneticPr fontId="16" type="noConversion"/>
  </si>
  <si>
    <t>新品 達成率略低</t>
    <phoneticPr fontId="16" type="noConversion"/>
  </si>
  <si>
    <t>水煮蛋改2人.人時生產性上升</t>
    <phoneticPr fontId="16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</si>
  <si>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性前幾名品項(0303-0309)</t>
    </r>
    <phoneticPr fontId="16" type="noConversion"/>
  </si>
  <si>
    <t>反映研發，後續開發列入考量，調理展開量下修，並已採用多次補單方式執行</t>
  </si>
  <si>
    <t>0303-0309</t>
    <phoneticPr fontId="16" type="noConversion"/>
  </si>
  <si>
    <t>0310-0316</t>
    <phoneticPr fontId="16" type="noConversion"/>
  </si>
  <si>
    <t>0317-0323</t>
    <phoneticPr fontId="16" type="noConversion"/>
  </si>
  <si>
    <t>0324-0330</t>
    <phoneticPr fontId="16" type="noConversion"/>
  </si>
  <si>
    <t>0331-0406</t>
    <phoneticPr fontId="16" type="noConversion"/>
  </si>
  <si>
    <t>0303-0309 總合計↑</t>
    <phoneticPr fontId="16" type="noConversion"/>
  </si>
  <si>
    <t>0310-0316 總合計↑</t>
    <phoneticPr fontId="16" type="noConversion"/>
  </si>
  <si>
    <t>0317-0323 總合計↑</t>
    <phoneticPr fontId="16" type="noConversion"/>
  </si>
  <si>
    <t>0324-0330 總合計↑</t>
    <phoneticPr fontId="16" type="noConversion"/>
  </si>
  <si>
    <t>0331-0406 總合計↑</t>
    <phoneticPr fontId="16" type="noConversion"/>
  </si>
  <si>
    <t>因近期青花菜大朵比例有下降，線上放量較穩定，整體超用數據有下修</t>
    <phoneticPr fontId="16" type="noConversion"/>
  </si>
  <si>
    <r>
      <t>定量管理，設定單籃重量控管，用量有逐步</t>
    </r>
    <r>
      <rPr>
        <sz val="12"/>
        <color theme="1"/>
        <rFont val="Microsoft JhengHei"/>
        <family val="2"/>
      </rPr>
      <t>穩定</t>
    </r>
    <r>
      <rPr>
        <sz val="12"/>
        <color theme="1"/>
        <rFont val="Meiryo UI"/>
        <family val="2"/>
      </rPr>
      <t>下降。</t>
    </r>
    <phoneticPr fontId="16" type="noConversion"/>
  </si>
  <si>
    <r>
      <t>人員抓量放料手法不穩定</t>
    </r>
    <r>
      <rPr>
        <sz val="12"/>
        <color theme="1"/>
        <rFont val="Microsoft JhengHei"/>
        <family val="2"/>
      </rPr>
      <t>導致超用</t>
    </r>
    <phoneticPr fontId="16" type="noConversion"/>
  </si>
  <si>
    <r>
      <t>定量</t>
    </r>
    <r>
      <rPr>
        <sz val="12"/>
        <color theme="1"/>
        <rFont val="Microsoft JhengHei"/>
        <family val="2"/>
      </rPr>
      <t>管理，</t>
    </r>
    <r>
      <rPr>
        <sz val="12"/>
        <color theme="1"/>
        <rFont val="Meiryo UI"/>
        <family val="2"/>
      </rPr>
      <t>針對人員抓量手法教育訓練，並增加線上抽秤頻率</t>
    </r>
    <phoneticPr fontId="16" type="noConversion"/>
  </si>
  <si>
    <t>原物料肉片的大小塊差異</t>
    <phoneticPr fontId="16" type="noConversion"/>
  </si>
  <si>
    <t>回饋研發，後續開發列入考量</t>
    <phoneticPr fontId="16" type="noConversion"/>
  </si>
  <si>
    <r>
      <t>操作方式冰杓定量，人員</t>
    </r>
    <r>
      <rPr>
        <sz val="12"/>
        <color theme="1"/>
        <rFont val="Microsoft JhengHei"/>
        <family val="2"/>
      </rPr>
      <t>手法</t>
    </r>
    <r>
      <rPr>
        <sz val="12"/>
        <color theme="1"/>
        <rFont val="Meiryo UI"/>
        <family val="2"/>
      </rPr>
      <t>差異</t>
    </r>
    <phoneticPr fontId="16" type="noConversion"/>
  </si>
  <si>
    <t>（８）報廢原因別前幾名品項(0224-0302)</t>
    <phoneticPr fontId="16" type="noConversion"/>
  </si>
  <si>
    <t>（８）超用原因別前幾名品項(0224-0302)</t>
    <phoneticPr fontId="16" type="noConversion"/>
  </si>
  <si>
    <t>雞肉絲糾結成塊，人員抓量放料有差異
定量管理，設定單籃重量控管，用量有逐步穩定下降。</t>
    <phoneticPr fontId="16" type="noConversion"/>
  </si>
  <si>
    <t>抓量較不穩定造成超用
針對人員抓量手法教育訓練，並增加線上抽秤頻率</t>
    <phoneticPr fontId="16" type="noConversion"/>
  </si>
  <si>
    <t>青花菜原物料規格偏大造成超用
因近期青花菜大朵比例有下降，線上放量較穩定，整體超用數據有下修</t>
    <phoneticPr fontId="16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</si>
  <si>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週更新(0303-0309)</t>
    </r>
    <phoneticPr fontId="16" type="noConversion"/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</si>
  <si>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週更新(0310-0316)</t>
    </r>
    <phoneticPr fontId="16" type="noConversion"/>
  </si>
  <si>
    <t>一配日式鮪魚美乃滋脆卷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</si>
  <si>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週更新(0317-0323)</t>
    </r>
    <phoneticPr fontId="16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</si>
  <si>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週更新(0324-0330)</t>
    </r>
    <phoneticPr fontId="16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</si>
  <si>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週更新(0331-0406)</t>
    </r>
    <phoneticPr fontId="16" type="noConversion"/>
  </si>
  <si>
    <t>3月平均人時性</t>
    <phoneticPr fontId="16" type="noConversion"/>
  </si>
  <si>
    <t>日式茶碗蒸</t>
    <phoneticPr fontId="16" type="noConversion"/>
  </si>
  <si>
    <t>辣滷冬粉</t>
  </si>
  <si>
    <t>薯餅焗飯-紅醬</t>
  </si>
  <si>
    <t>蒸蛤蜊-肉(VN151)</t>
  </si>
  <si>
    <t>煮三杯料</t>
  </si>
  <si>
    <t>歐姆蛋(110年)</t>
  </si>
  <si>
    <t>(V)炒素雞肉絲(114年)</t>
  </si>
  <si>
    <t>辣炒酸菜碎</t>
  </si>
  <si>
    <t>煮紅蘿蔔塊(VN101)</t>
  </si>
  <si>
    <t>焗飯-義式蕃茄紅醬</t>
  </si>
  <si>
    <t>煮鐵板豆腐</t>
  </si>
  <si>
    <t>油蔥肉燥(113年)</t>
  </si>
  <si>
    <t>拌蒜香五花肉</t>
  </si>
  <si>
    <t>人數同舊品配置,貼標+收籃.熟練度與達成率提升中.</t>
  </si>
  <si>
    <t>促銷貼標+1人.人時性下降</t>
  </si>
  <si>
    <r>
      <t>3/10</t>
    </r>
    <r>
      <rPr>
        <sz val="11"/>
        <color theme="1"/>
        <rFont val="Meiryo UI"/>
        <family val="2"/>
        <charset val="136"/>
      </rPr>
      <t>配置下修1人.</t>
    </r>
    <r>
      <rPr>
        <sz val="11"/>
        <color theme="1"/>
        <rFont val="Microsoft JhengHei"/>
        <family val="2"/>
      </rPr>
      <t>人時生產性上升</t>
    </r>
  </si>
  <si>
    <t>新品,達成率持續提升中</t>
  </si>
  <si>
    <r>
      <t>定期更換烤盤，制定烤盤更換時程，測試使用</t>
    </r>
    <r>
      <rPr>
        <sz val="12"/>
        <color theme="1"/>
        <rFont val="Microsoft JhengHei"/>
        <family val="2"/>
      </rPr>
      <t>薄型烤焙布，降低豆腐沾黏焦化物而造成報廢</t>
    </r>
    <phoneticPr fontId="16" type="noConversion"/>
  </si>
  <si>
    <t>原物料大小長短差異，影響人員放料，生產餘料報廢</t>
    <phoneticPr fontId="16" type="noConversion"/>
  </si>
  <si>
    <r>
      <rPr>
        <sz val="12"/>
        <color theme="1"/>
        <rFont val="Microsoft JhengHei"/>
        <family val="2"/>
      </rPr>
      <t>原物料規格差異，</t>
    </r>
    <r>
      <rPr>
        <sz val="12"/>
        <color theme="1"/>
        <rFont val="Meiryo UI"/>
        <family val="2"/>
      </rPr>
      <t>抓量較不穩定造成調理多產</t>
    </r>
    <phoneticPr fontId="16" type="noConversion"/>
  </si>
  <si>
    <r>
      <t>增加線上抽秤頻率，</t>
    </r>
    <r>
      <rPr>
        <sz val="12"/>
        <color theme="1"/>
        <rFont val="Microsoft JhengHei"/>
        <family val="2"/>
      </rPr>
      <t>準備</t>
    </r>
    <r>
      <rPr>
        <sz val="12"/>
        <color theme="1"/>
        <rFont val="Meiryo UI"/>
        <family val="2"/>
      </rPr>
      <t>展開量下修，並已採用多次補單方式執行</t>
    </r>
    <phoneticPr fontId="16" type="noConversion"/>
  </si>
  <si>
    <r>
      <t>注餡機機台工差設定確認，生產</t>
    </r>
    <r>
      <rPr>
        <sz val="12"/>
        <color theme="1"/>
        <rFont val="Microsoft JhengHei"/>
        <family val="2"/>
        <charset val="136"/>
      </rPr>
      <t>餘料</t>
    </r>
    <r>
      <rPr>
        <sz val="12"/>
        <color theme="1"/>
        <rFont val="Meiryo UI"/>
        <family val="2"/>
      </rPr>
      <t>報廢</t>
    </r>
    <phoneticPr fontId="16" type="noConversion"/>
  </si>
  <si>
    <t>生產前確認標準定量的機台設定，生產中抽查確認設定及實際出料重量</t>
  </si>
  <si>
    <t>原物料大小顆差異，影響人員放料</t>
  </si>
  <si>
    <t>抓量較不穩定超用量偏高，造成調理多產</t>
    <phoneticPr fontId="16" type="noConversion"/>
  </si>
  <si>
    <t>針對人員抓量手法教育訓練，並增加線上抽秤頻率，對比上週有逐步下降</t>
    <phoneticPr fontId="16" type="noConversion"/>
  </si>
  <si>
    <r>
      <t>因原物料規格</t>
    </r>
    <r>
      <rPr>
        <sz val="12"/>
        <color theme="1"/>
        <rFont val="Microsoft JhengHei"/>
        <family val="2"/>
      </rPr>
      <t>大小</t>
    </r>
    <r>
      <rPr>
        <sz val="12"/>
        <color theme="1"/>
        <rFont val="Meiryo UI"/>
        <family val="2"/>
      </rPr>
      <t>差異,生產餘料報廢</t>
    </r>
    <phoneticPr fontId="16" type="noConversion"/>
  </si>
  <si>
    <t>設定放料量範圍，後續開發列入考量調整。</t>
    <phoneticPr fontId="16" type="noConversion"/>
  </si>
  <si>
    <r>
      <t>針對人員抓量手法教育訓練，並增加線上抽秤頻率，</t>
    </r>
    <r>
      <rPr>
        <sz val="12"/>
        <color theme="1"/>
        <rFont val="Microsoft JhengHei"/>
        <family val="2"/>
      </rPr>
      <t>用量有逐步下降，</t>
    </r>
    <r>
      <rPr>
        <sz val="12"/>
        <color theme="1"/>
        <rFont val="Meiryo UI"/>
        <family val="2"/>
      </rPr>
      <t>目前控制在3%</t>
    </r>
    <r>
      <rPr>
        <sz val="12"/>
        <color theme="1"/>
        <rFont val="Microsoft JhengHei"/>
        <family val="2"/>
      </rPr>
      <t>內</t>
    </r>
    <r>
      <rPr>
        <sz val="12"/>
        <color theme="1"/>
        <rFont val="Meiryo UI"/>
        <family val="2"/>
      </rPr>
      <t>。</t>
    </r>
    <phoneticPr fontId="16" type="noConversion"/>
  </si>
  <si>
    <t>針對人員抓量手法教育訓練，並增加線上抽秤頻率，對比上週下降，建議設定放料量範圍。</t>
    <phoneticPr fontId="16" type="noConversion"/>
  </si>
  <si>
    <r>
      <t>回饋研發，後續開發列入考量，調整分切方式，穩定分切</t>
    </r>
    <r>
      <rPr>
        <sz val="12"/>
        <color theme="1"/>
        <rFont val="Microsoft JhengHei"/>
        <family val="2"/>
      </rPr>
      <t>厚薄</t>
    </r>
    <r>
      <rPr>
        <sz val="12"/>
        <color theme="1"/>
        <rFont val="Meiryo UI"/>
        <family val="2"/>
      </rPr>
      <t>減少規格異常</t>
    </r>
    <phoneticPr fontId="16" type="noConversion"/>
  </si>
  <si>
    <t>操作方式冰杓定量，人員手法差異</t>
    <phoneticPr fontId="16" type="noConversion"/>
  </si>
  <si>
    <r>
      <t>飯</t>
    </r>
    <r>
      <rPr>
        <sz val="12"/>
        <color theme="1"/>
        <rFont val="微軟正黑體"/>
        <family val="2"/>
        <charset val="136"/>
      </rPr>
      <t>糰</t>
    </r>
    <r>
      <rPr>
        <sz val="12"/>
        <color theme="1"/>
        <rFont val="Meiryo UI"/>
        <family val="2"/>
        <charset val="128"/>
      </rPr>
      <t>機生產,半成品肉片規格</t>
    </r>
    <r>
      <rPr>
        <sz val="12"/>
        <color theme="1"/>
        <rFont val="微軟正黑體"/>
        <family val="2"/>
        <charset val="136"/>
      </rPr>
      <t>大小落差</t>
    </r>
    <phoneticPr fontId="16" type="noConversion"/>
  </si>
  <si>
    <t>針對人員抓量手法教育訓練，並增加線上抽秤頻率</t>
  </si>
  <si>
    <t>（８）報廢原因別前幾名品項(0303-0309)</t>
    <phoneticPr fontId="16" type="noConversion"/>
  </si>
  <si>
    <t>（８）報廢原因別前幾名品項(0310-0316)</t>
    <phoneticPr fontId="16" type="noConversion"/>
  </si>
  <si>
    <t>（８）超用原因別前幾名品項(0303-0309)</t>
    <phoneticPr fontId="16" type="noConversion"/>
  </si>
  <si>
    <t>（８）超用原因別前幾名品項(0310-0316)</t>
    <phoneticPr fontId="16" type="noConversion"/>
  </si>
  <si>
    <t>青花菜原物料規格偏大造成超用。
設定放料量範圍，後續開發列入考量調整。</t>
    <phoneticPr fontId="16" type="noConversion"/>
  </si>
  <si>
    <t>原物料肉片的大小塊差異
回饋研發，後續開發列入考量，調整分切方式，穩定分切厚薄減少規格異常</t>
    <phoneticPr fontId="16" type="noConversion"/>
  </si>
  <si>
    <t>因葉梗大小片差異，線上容易取樣不穩導致超用
針對人員抓量手法教育訓練，並增加線上抽秤頻率，用量有逐步下降，目前控制在3%內。</t>
    <phoneticPr fontId="16" type="noConversion"/>
  </si>
  <si>
    <t>設定雙圈秤重，因葉梗大小片差異，線上容易取樣不穩導致超用
針對人員抓量手法教育訓練，並增加線上抽秤頻率，對比上週下降，建議設定放料量範圍。</t>
    <phoneticPr fontId="16" type="noConversion"/>
  </si>
  <si>
    <t>操作方式冰杓定量，人員手法差異
針對人員手法教育訓練，並增加線上抽秤頻率</t>
    <phoneticPr fontId="16" type="noConversion"/>
  </si>
  <si>
    <t>烤盤產生炭渣，豆腐沾黏焦化物
定期更換烤盤，制定烤盤更換時程，測試使用薄型烤焙布，降低豆腐沾黏焦化物而造成報廢</t>
    <phoneticPr fontId="16" type="noConversion"/>
  </si>
  <si>
    <t>每份用量少以致用量易有不穩定的狀況
增加線上抽秤頻率，調理展開量下修，並已採用多次補單方式執行</t>
    <phoneticPr fontId="16" type="noConversion"/>
  </si>
  <si>
    <t>二配鮮蝦旬彩炊飯飯糰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</si>
  <si>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性前幾名品項(0310-0316)</t>
    </r>
    <phoneticPr fontId="16" type="noConversion"/>
  </si>
  <si>
    <t>野郎醬(112年)</t>
  </si>
  <si>
    <t>蒙古烤肉湯凍(114.12)</t>
  </si>
  <si>
    <t>炒培根片(114年)</t>
  </si>
  <si>
    <t>度小月18度肉燥</t>
  </si>
  <si>
    <t>拌細卷鮪魚沙拉(114.10)</t>
  </si>
  <si>
    <t>煮燴蛋</t>
  </si>
  <si>
    <t>新精選雙色起司絲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</si>
  <si>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性前幾名品項(0317-0323)</t>
    </r>
    <phoneticPr fontId="16" type="noConversion"/>
  </si>
  <si>
    <t>轉GKK生產,性狀好抓量,生產數度上升.人時性提高</t>
  </si>
  <si>
    <t>新品,達成率提升中</t>
  </si>
  <si>
    <t>轉GKK生產.人員熟悉中</t>
  </si>
  <si>
    <t>新品一週,達成率上升.</t>
  </si>
  <si>
    <t>人時生產性維持穩定</t>
  </si>
  <si>
    <t>3/10配置下修1人.人時生產性上升</t>
  </si>
  <si>
    <t>切換膜料,人時性恢復</t>
  </si>
  <si>
    <t>整理賣像與機台手合併,人時性上升</t>
  </si>
  <si>
    <t>定期更換烤盤，制定烤盤更換時程，測試使用薄型烤焙布，降低豆腐沾黏焦化物而造成報廢</t>
  </si>
  <si>
    <t>原物料大小長短差異，影響人員放料，生產餘料報廢</t>
  </si>
  <si>
    <t>注餡機機台工差設定確認，生產餘料報廢</t>
  </si>
  <si>
    <t>因原物料規格大小差異,生產餘料報廢</t>
  </si>
  <si>
    <t>2026/3/14人員推車不慎打翻，導致報廢數量增加</t>
  </si>
  <si>
    <t>針對人員教育訓練，後續已無發生</t>
  </si>
  <si>
    <t>增加線上抽秤頻率，調理展開量下修，並已採用多次補單方式執行。</t>
  </si>
  <si>
    <t>生產餘料報廢</t>
  </si>
  <si>
    <t>展開量下修，並已採用多次補單方式執行</t>
  </si>
  <si>
    <t>青花菜原物料規格偏大造成超用</t>
  </si>
  <si>
    <t>設定放料量範圍，後續開發列入考量調整。</t>
  </si>
  <si>
    <t>因葉梗大小片差異，線上容易取樣不穩導致超用</t>
  </si>
  <si>
    <t>針對人員抓量手法教育訓練，並增加線上抽秤頻率，用量有逐步下降，目前控制在3%內。</t>
  </si>
  <si>
    <t>注餡機機台工差設定確認</t>
  </si>
  <si>
    <t>雞肉絲糾結成塊，人員抓量放料有差異</t>
  </si>
  <si>
    <t>定量管理，設定單籃重量控管，用量有逐步穩定下降，評估測試縮短原物料規格長度</t>
  </si>
  <si>
    <t>操作方式冰杓定量，人員手法差異</t>
  </si>
  <si>
    <t>針對人員手法教育訓練，並增加線上抽秤頻率</t>
  </si>
  <si>
    <t>針對人員抓量手法教育訓練，並增加線上抽秤頻率。</t>
  </si>
  <si>
    <t>原物料肉片的大小塊差異</t>
  </si>
  <si>
    <t>設定雙圈秤重，因葉梗大小片差異，線上容易取樣不穩導致超用</t>
  </si>
  <si>
    <t>針對人員抓量手法教育訓練，並增加線上抽秤頻率，對比上週下降，建議設定放料量範圍。</t>
  </si>
  <si>
    <t>回饋研發，後續開發列入考量</t>
  </si>
  <si>
    <t>飯糰機生產,半成品肉片規格大小落差</t>
  </si>
  <si>
    <t>賣相設定要鋪滿，肉片狀態影響鋪滿效果</t>
  </si>
  <si>
    <t>調整分切方式，穩定分切長度減少規格異常。反映研發設定放料重量範圍</t>
  </si>
  <si>
    <t>人員抓量放料手法不穩定</t>
  </si>
  <si>
    <t>針對人員手法教育訓練，並增加線上抽秤頻率，導入定量管理。</t>
  </si>
  <si>
    <t>原物料肉塊的大小塊差異</t>
  </si>
  <si>
    <t>反映研發，後續開發列入考量，設定放料量範圍，針對人員手法教育訓練，並增加線上抽秤頻率。</t>
  </si>
  <si>
    <t>回饋研發，後續開發列入考量，調整分切方式，穩定分切厚薄減少規格異常</t>
  </si>
  <si>
    <t>抓量較不穩定造成超用</t>
  </si>
  <si>
    <t>（８）報廢原因別前幾名品項(0317-0323)</t>
    <phoneticPr fontId="16" type="noConversion"/>
  </si>
  <si>
    <t>（８）超用原因別前幾名品項(0317-0323)</t>
    <phoneticPr fontId="16" type="noConversion"/>
  </si>
  <si>
    <t>原物料大小長短差異，影響人員放料，生產餘料報廢
反映研發，後續開發列入考量，調理展開量下修，並已採用多次補單方式執行，目前已控制在2%內。</t>
    <phoneticPr fontId="16" type="noConversion"/>
  </si>
  <si>
    <t>青花菜原物料規格偏大造成超用
設定放料量範圍，後續開發列入考量調整。</t>
    <phoneticPr fontId="16" type="noConversion"/>
  </si>
  <si>
    <t>原物料肉塊的大小塊差異
回饋研發，後續開發列入考量，調整分切方式，穩定分切厚薄減少規格異常</t>
    <phoneticPr fontId="16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</si>
  <si>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6" type="noConversion"/>
  </si>
  <si>
    <t>雞肉絲糾結成塊，人員抓量放料有差異
定量管理，設定單籃重量控管，用量有逐步穩定下降，評估測試縮短原物料規格長度</t>
    <phoneticPr fontId="16" type="noConversion"/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</si>
  <si>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週更新(0317-0323)</t>
    </r>
    <phoneticPr fontId="16" type="noConversion"/>
  </si>
  <si>
    <t>一配銀鮭美乃滋脆卷</t>
  </si>
  <si>
    <t>(V)煮素油蔥醬(114年)</t>
  </si>
  <si>
    <t>蒸燻腸片</t>
  </si>
  <si>
    <t>拌玉米鮪魚沙拉</t>
  </si>
  <si>
    <t>海饌雙手卷</t>
  </si>
  <si>
    <t>烤墨西哥雞丁</t>
  </si>
  <si>
    <t>冷凍調味鱒鮭魚卵GL10-3</t>
  </si>
  <si>
    <r>
      <rPr>
        <sz val="11"/>
        <color theme="1"/>
        <rFont val="Microsoft JhengHei"/>
        <family val="2"/>
      </rPr>
      <t>新品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icrosoft JhengHei"/>
        <family val="2"/>
      </rPr>
      <t>達成率提升中</t>
    </r>
    <phoneticPr fontId="16" type="noConversion"/>
  </si>
  <si>
    <t>抓量較不穩定，導致超用量上升造成調理多產</t>
  </si>
  <si>
    <t>因真空作業人員格籃未確實疊好，導致機台運作時打翻報廢</t>
  </si>
  <si>
    <t>針對真空人員進行作業前確實檢查教育訓練，並加強稽核後續已無發生。</t>
  </si>
  <si>
    <t>反映研發，後續開發列入考量，建議原物料規格多切製程</t>
  </si>
  <si>
    <t>本週用量微幅上升，因3/19人員異動導致超用量提升</t>
    <phoneticPr fontId="16" type="noConversion"/>
  </si>
  <si>
    <r>
      <t>已再針對現場人員進行教育訓練，3/22用量</t>
    </r>
    <r>
      <rPr>
        <sz val="12"/>
        <color theme="1"/>
        <rFont val="Microsoft JhengHei"/>
        <family val="2"/>
        <charset val="136"/>
      </rPr>
      <t>已</t>
    </r>
    <r>
      <rPr>
        <sz val="12"/>
        <color theme="1"/>
        <rFont val="Meiryo UI"/>
        <family val="2"/>
      </rPr>
      <t>穩定控制</t>
    </r>
    <phoneticPr fontId="16" type="noConversion"/>
  </si>
  <si>
    <r>
      <t>定量管理，設定單籃重量控管，用量有逐步</t>
    </r>
    <r>
      <rPr>
        <sz val="12"/>
        <color theme="1"/>
        <rFont val="Microsoft JhengHei"/>
        <family val="2"/>
      </rPr>
      <t>穩定</t>
    </r>
    <r>
      <rPr>
        <sz val="12"/>
        <color theme="1"/>
        <rFont val="Meiryo UI"/>
        <family val="2"/>
      </rPr>
      <t>下降，測試</t>
    </r>
    <r>
      <rPr>
        <sz val="12"/>
        <color theme="1"/>
        <rFont val="Microsoft JhengHei"/>
        <family val="2"/>
      </rPr>
      <t>廠商截短後樣品確認現場實際操作狀況</t>
    </r>
    <r>
      <rPr>
        <sz val="12"/>
        <color theme="1"/>
        <rFont val="Meiryo UI"/>
        <family val="2"/>
      </rPr>
      <t>。</t>
    </r>
    <phoneticPr fontId="16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</si>
  <si>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r>
      <rPr>
        <sz val="12"/>
        <color theme="1"/>
        <rFont val="Meiryo UI"/>
        <family val="2"/>
      </rPr>
      <t>，針對</t>
    </r>
    <r>
      <rPr>
        <sz val="12"/>
        <color theme="1"/>
        <rFont val="微軟正黑體"/>
        <family val="2"/>
        <charset val="136"/>
      </rPr>
      <t>注餡機噴口規格進行測試確認</t>
    </r>
    <phoneticPr fontId="16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</si>
  <si>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性前幾名品項(0324-0330)</t>
    </r>
    <phoneticPr fontId="16" type="noConversion"/>
  </si>
  <si>
    <t>（８）報廢原因別前幾名品項(0324-0330)</t>
    <phoneticPr fontId="16" type="noConversion"/>
  </si>
  <si>
    <t>（８）超用原因別前幾名品項(0324-0330)</t>
    <phoneticPr fontId="16" type="noConversion"/>
  </si>
  <si>
    <t>抓量較不穩定，導致超用量上升造成調理多產
增加線上抽秤頻率，調理展開量下修，並已採用多次補單方式執行。</t>
    <phoneticPr fontId="16" type="noConversion"/>
  </si>
  <si>
    <t>本週用量微幅上升，因3/19人員異動導致超用量提升
已再針對現場人員進行教育訓練，3/22用量已穩定控制</t>
    <phoneticPr fontId="16" type="noConversion"/>
  </si>
  <si>
    <t>雞肉絲糾結成塊，人員抓量放料有差異
定量管理，設定單籃重量控管，用量有逐步穩定下降，測試廠商截短後樣品確認現場實際操作狀況。</t>
    <phoneticPr fontId="16" type="noConversion"/>
  </si>
  <si>
    <t>注餡機機台工差設定確認
生產前確認標準定量的機台設定，生產中抽查確認設定及實際出料重量，針對注餡機噴口規格進行測試確認</t>
    <phoneticPr fontId="16" type="noConversion"/>
  </si>
  <si>
    <t>原物料肉塊的大小塊差異
反映研發，後續開發列入考量，設定放料量範圍，針對人員手法教育訓練，並增加線上抽秤頻率。</t>
    <phoneticPr fontId="16" type="noConversion"/>
  </si>
  <si>
    <t>二配溏心蛋五目飯糰</t>
  </si>
  <si>
    <t>義式烤馬鈴薯</t>
  </si>
  <si>
    <t>拌柴魚鮪魚沙拉</t>
  </si>
  <si>
    <t xml:space="preserve">佃煮芝麻真昆布F2508 </t>
  </si>
  <si>
    <t>(V)炒海苔香鬆(飯糰)</t>
  </si>
  <si>
    <t>消毒蔥花</t>
  </si>
  <si>
    <t>清炒高麗菜(115年)</t>
  </si>
  <si>
    <t>調理展開量下修，並已採用多次補單方式執行，目前已控制在2%內。</t>
  </si>
  <si>
    <t>反映研發，後續開發列入考量，展開量下修，並已採用多次補單方式執行</t>
  </si>
  <si>
    <t>設定放料量範圍，後續開發列入考量調整，針對人員手法教育訓練，並增加線上抽秤頻率</t>
  </si>
  <si>
    <t>生產前確認標準定量的機台設定，生產中抽查確認設定及實際出料重量，針對注餡機噴口規格進行測試確認</t>
  </si>
  <si>
    <t>針對人員抓量手法教育訓練，並增加線上抽秤頻率，目前控制在2%，建議設定放料量範圍。</t>
  </si>
  <si>
    <t>定量管理，設定單籃重量控管，用量有逐步穩定下降，測試廠商截短後樣品確認現場實際操作狀況。</t>
  </si>
  <si>
    <t>針對人員手法教育訓練，並增加線上抽秤頻率，對比上週減少0.9%。</t>
  </si>
  <si>
    <t>二配芝麻香鬆飯糰(114年)</t>
  </si>
  <si>
    <t>原物料大小長短差異，影響人員放料，生產餘料報廢
調理展開量下修，並已採用多次補單方式執行，目前已控制在2%內。</t>
    <phoneticPr fontId="16" type="noConversion"/>
  </si>
  <si>
    <t>原物料大小顆差異，影響人員放料
反映研發，後續開發列入考量，展開量下修，並已採用多次補單方式執行</t>
    <phoneticPr fontId="16" type="noConversion"/>
  </si>
  <si>
    <t>青花菜原物料規格偏大造成超用
設定放料量範圍，後續開發列入考量調整，針對人員手法教育訓練，並增加線上抽秤頻率</t>
    <phoneticPr fontId="16" type="noConversion"/>
  </si>
  <si>
    <t>原物料肉片的大小塊差異
針對人員手法教育訓練，並增加線上抽秤頻率，對比上週減少0.9%。</t>
    <phoneticPr fontId="16" type="noConversion"/>
  </si>
  <si>
    <t>3月報廢</t>
    <phoneticPr fontId="16" type="noConversion"/>
  </si>
  <si>
    <t>3月超用</t>
    <phoneticPr fontId="16" type="noConversion"/>
  </si>
  <si>
    <t>2月超用</t>
  </si>
  <si>
    <t>1月</t>
    <phoneticPr fontId="16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</si>
  <si>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3"/>
  </si>
  <si>
    <t>原因:生產餘料產生報廢。對策:增加線上抽秤頻率，調理展開量下修，並已採用多次補單方式執行，報廢量逐步下修，目前控制再2%以下，對比前月報廢率減少0.15%，金額減少688元。</t>
    <phoneticPr fontId="16" type="noConversion"/>
  </si>
  <si>
    <t>原因:原物料規格長短差異影響用量，生產餘料報廢。對策:生產改採「多次補單」方式備料，依實際產出需求分批補料，避免一次性備料過多造成餘料報廢。</t>
    <phoneticPr fontId="16" type="noConversion"/>
  </si>
  <si>
    <t>生產餘料產生報廢,目前報廢量控制再2%以下與超用量比例少,持續下修產出量，報廢量逐步下修前月比減少0.19%。</t>
    <phoneticPr fontId="16" type="noConversion"/>
  </si>
  <si>
    <t>原因:單份用量少抓量不穩定，生產餘料產生報廢。對策:加強線上人員抓量教育訓練，提升小份量操作穩定度，下修調理展開量並改採多次補單備料。</t>
    <phoneticPr fontId="16" type="noConversion"/>
  </si>
  <si>
    <t>原因:線上使用冰杓定量，生產餘料報廢調理展開量下修，並已採用多次補單方式執行</t>
    <phoneticPr fontId="16" type="noConversion"/>
  </si>
  <si>
    <t>主因:因葉梗差異容易取樣不穩導致超用。對策:調理展開量下修，並已採用多次補單方式執行，報廢率持續下修控制在2%內。</t>
    <phoneticPr fontId="16" type="noConversion"/>
  </si>
  <si>
    <t>主要原因:烤盤產生炭渣，豆腐沾黏焦化物。對策:定期更換烤盤，制定烤盤更換時程</t>
    <phoneticPr fontId="16" type="noConversion"/>
  </si>
  <si>
    <t>因烤箱製程蛋片厚薄規格存在差異，準備室於分切時進行篩選剔除，確保產品外觀及賣相穩定，造成剃除報廢。</t>
    <phoneticPr fontId="16" type="noConversion"/>
  </si>
  <si>
    <t>高風險半成品拆袋即用,拆包後無法延用給下配次產生報廢。</t>
    <phoneticPr fontId="16" type="noConversion"/>
  </si>
  <si>
    <t>主要原因:規格大小不穩定導致斷裂破損產生報廢，偏小比例增加導致報廢增加。對策:持續組裝前準備室先進行整理入籃，減少沾黏狀況，因調理斷裂組合可拼合使用，使用率提高。</t>
    <phoneticPr fontId="16" type="noConversion"/>
  </si>
  <si>
    <t>主因:葉菜類人員抓量不穩定導致重量差異影響超用量。對策:針對人員抓量手法教育訓練，目前超用率控制1.5%，對比前月持平，持續追蹤確認用量。</t>
    <phoneticPr fontId="16" type="noConversion"/>
  </si>
  <si>
    <t>主因:雞肉絲糾結成塊長短不一，人員抓量不穩定導致重量差異影響超用。對策:使用前先行撥散，已導入定量管理，目前用量逐步穩定，本月超用量1.8%，控制在2%內。另目前已安排測試廠商提供之截短規格物料，評估其對抓量穩定性及超用改善成效。</t>
    <phoneticPr fontId="16" type="noConversion"/>
  </si>
  <si>
    <t>本月二配新品，主因:冰杓定量，受人員操作影響較大，導致用量控制不穩。對策:針對人員加強冰杓手法定量教育訓練提升用量穩定性。</t>
    <phoneticPr fontId="16" type="noConversion"/>
  </si>
  <si>
    <t>設定注餡機定量作業，因設備工差影響用量穩定度，目前每份平均超用率3%，持續進行機台調整與用量監控。</t>
    <phoneticPr fontId="16" type="noConversion"/>
  </si>
  <si>
    <t>原因分析：
注餡機雖已設定定量作業，但受設備本身工差影響，出料穩定度仍有偏差，導致單份實際用量略高於標準。改善對策：
線上針對注餡機噴口規格進行測試與確認，評估不同口徑對出料穩定度及單份用量之影響，作為機台參數優化與標準設定依據。並強化線上用量監控與抽測機制，提升出料穩定性。</t>
    <phoneticPr fontId="16" type="noConversion"/>
  </si>
  <si>
    <t>主因:青花菜原物料規格偏大造成超用。對策:量測設定放料量範圍，後續開發列入考量調整，並持續針對人員抓量秤重進行教育訓練。</t>
    <phoneticPr fontId="16" type="noConversion"/>
  </si>
  <si>
    <t>主因:賣相設定要鋪滿，肉片狀態影響鋪滿效果。對策:調整分切方式，穩定分切長度減少規格異常。反映研發設定放料重量範圍，目前控制在1%內。</t>
    <phoneticPr fontId="16" type="noConversion"/>
  </si>
  <si>
    <t>主因:原物料肉片的大小塊差異。對策:進行人員分切手法教育訓練，提升作業一致性，降低因規格差異造成之影響。</t>
    <phoneticPr fontId="16" type="noConversion"/>
  </si>
  <si>
    <t>主因:原物料肉塊的大小塊差異，導致超用問題。對策:針對人員分切規格進行教育訓練，規格厚薄盡量一致，降低重量落差導致超用。</t>
    <phoneticPr fontId="16" type="noConversion"/>
  </si>
  <si>
    <t>原因分析：原物料肉片因大小與厚薄規格差異較大，導致人員抓取時難以精準控制單份用量，進而影響用量穩定性並產生超用。改善對策：
強化線上抽測機制，提高抽測頻率，即時掌握用量偏差並進行修正；同步持續進行人員抓量手法教育訓練，提升作業一致性與標準化程度，降低因規格差異造成之用量波動。成效說明：
本月超用金額較前月減少1,874元，顯示改善措施已逐步發揮成效，用量控制趨於穩定。</t>
    <phoneticPr fontId="16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</si>
  <si>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</si>
  <si>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</si>
  <si>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</si>
  <si>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</si>
  <si>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</si>
  <si>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</si>
  <si>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</si>
  <si>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</si>
  <si>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</si>
  <si>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</si>
  <si>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</si>
  <si>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6" type="noConversion"/>
  </si>
  <si>
    <t>業績金額(千元)</t>
    <phoneticPr fontId="16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</si>
  <si>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6" type="noConversion"/>
  </si>
  <si>
    <t>材料費(千元)</t>
    <phoneticPr fontId="16" type="noConversion"/>
  </si>
  <si>
    <t>勞務成本(千元)</t>
    <phoneticPr fontId="16" type="noConversion"/>
  </si>
  <si>
    <t xml:space="preserve">人時性(個/月均) </t>
    <phoneticPr fontId="16" type="noConversion"/>
  </si>
  <si>
    <t xml:space="preserve">人時達成率(%/月均) </t>
    <phoneticPr fontId="16" type="noConversion"/>
  </si>
  <si>
    <t>半成品-報廢(%)</t>
    <phoneticPr fontId="16" type="noConversion"/>
  </si>
  <si>
    <t>半成品-超用(%)</t>
    <phoneticPr fontId="16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</si>
  <si>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週更新(0324-0330)</t>
    </r>
    <phoneticPr fontId="16" type="noConversion"/>
  </si>
  <si>
    <t>W1</t>
    <phoneticPr fontId="16" type="noConversion"/>
  </si>
  <si>
    <r>
      <t>產</t>
    </r>
    <r>
      <rPr>
        <b/>
        <sz val="12"/>
        <color rgb="FFFF0000"/>
        <rFont val="Meiryo UI"/>
        <family val="2"/>
        <charset val="128"/>
      </rPr>
      <t>線配置圖－</t>
    </r>
    <r>
      <rPr>
        <b/>
        <sz val="12"/>
        <color rgb="FFFF0000"/>
        <rFont val="Meiryo UI"/>
        <family val="2"/>
        <charset val="136"/>
      </rPr>
      <t>每</t>
    </r>
    <r>
      <rPr>
        <b/>
        <sz val="12"/>
        <color rgb="FFFF0000"/>
        <rFont val="Meiryo UI"/>
        <family val="2"/>
        <charset val="128"/>
      </rPr>
      <t>週更新(0331-0406)</t>
    </r>
    <phoneticPr fontId="16" type="noConversion"/>
  </si>
  <si>
    <t>二配大飯糰乾燒風味鮮蝦</t>
  </si>
  <si>
    <t>香檸奶油魚排蔬滿盒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</si>
  <si>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性前幾名品項(0331-0406)</t>
    </r>
    <phoneticPr fontId="16" type="noConversion"/>
  </si>
  <si>
    <t>炒黑胡椒豆芽(餐盒)</t>
  </si>
  <si>
    <t>餐盒用-三色高麗菜</t>
  </si>
  <si>
    <t>蒜炒洋菇片(115年)</t>
  </si>
  <si>
    <t>烤巴沙魚排</t>
  </si>
  <si>
    <t>燴蛋飯-炒肉燥</t>
  </si>
  <si>
    <t>（１）收支狀況</t>
    <phoneticPr fontId="16" type="noConversion"/>
  </si>
  <si>
    <t>材料費率(%)</t>
    <phoneticPr fontId="16" type="noConversion"/>
  </si>
  <si>
    <t>勞務費率(%)</t>
    <phoneticPr fontId="16" type="noConversion"/>
  </si>
  <si>
    <t>人時性KPI</t>
    <phoneticPr fontId="16" type="noConversion"/>
  </si>
  <si>
    <t>固定產線-導入率(%)</t>
  </si>
  <si>
    <t>教育訓練-實施率(%)</t>
  </si>
  <si>
    <t>（３）業績構成比</t>
    <phoneticPr fontId="16" type="noConversion"/>
  </si>
  <si>
    <t>18℃-飯糰(061,063)</t>
  </si>
  <si>
    <t>（４）訂單數量構成比</t>
    <phoneticPr fontId="16" type="noConversion"/>
  </si>
  <si>
    <t>（５）品群別人時生產性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</si>
</sst>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  <numFmt numFmtId="199" formatCode="#,##0.00_ "/>
  </numFmts>
  <fonts count="127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12"/>
      <color rgb="FF000000"/>
      <name val="Microsoft JhengHei"/>
      <family val="2"/>
    </font>
    <font>
      <sz val="10"/>
      <color rgb="FF000000"/>
      <name val="Microsoft JhengHei"/>
      <family val="2"/>
    </font>
    <font>
      <sz val="11"/>
      <color theme="1"/>
      <name val="細明體"/>
      <family val="2"/>
      <charset val="136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sz val="11"/>
      <color rgb="FFFF0000"/>
      <name val="Meiryo UI"/>
      <family val="2"/>
      <charset val="128"/>
    </font>
    <font>
      <sz val="11"/>
      <color theme="1"/>
      <name val="Meiryo U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rgb="FF000000"/>
      <name val="微軟正黑體"/>
      <family val="2"/>
      <charset val="136"/>
    </font>
    <font>
      <sz val="11"/>
      <color theme="1"/>
      <name val="Calibri"/>
      <family val="2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000000"/>
      <name val="Meiryo UI"/>
      <family val="2"/>
      <charset val="128"/>
    </font>
    <font>
      <b/>
      <sz val="12"/>
      <name val="Meiryo UI"/>
      <family val="2"/>
    </font>
    <font>
      <b/>
      <sz val="12"/>
      <color rgb="FFFF0000"/>
      <name val="Meiryo UI"/>
      <family val="2"/>
      <charset val="136"/>
    </font>
    <font>
      <b/>
      <sz val="12"/>
      <color rgb="FFFF0000"/>
      <name val="Meiryo UI"/>
      <family val="2"/>
      <charset val="128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6">
    <xf numFmtId="0" fontId="0" fillId="0" borderId="0"/>
    <xf numFmtId="0" fontId="9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/>
    <xf numFmtId="9" fontId="12" fillId="0" borderId="0" applyFont="0" applyFill="0" applyBorder="0" applyAlignment="0" applyProtection="0"/>
    <xf numFmtId="0" fontId="27" fillId="0" borderId="0"/>
    <xf numFmtId="0" fontId="8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53">
    <xf numFmtId="0" fontId="0" fillId="0" borderId="0" xfId="0"/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0" borderId="1" xfId="0" applyFont="1" applyBorder="1" applyAlignment="1">
      <alignment horizontal="right" shrinkToFit="1"/>
    </xf>
    <xf numFmtId="0" fontId="10" fillId="0" borderId="1" xfId="0" applyFont="1" applyBorder="1" applyAlignment="1">
      <alignment shrinkToFit="1"/>
    </xf>
    <xf numFmtId="0" fontId="10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3" fontId="10" fillId="0" borderId="1" xfId="0" applyNumberFormat="1" applyFont="1" applyBorder="1" applyAlignment="1">
      <alignment shrinkToFit="1"/>
    </xf>
    <xf numFmtId="3" fontId="10" fillId="3" borderId="1" xfId="0" applyNumberFormat="1" applyFont="1" applyFill="1" applyBorder="1" applyAlignment="1">
      <alignment shrinkToFit="1"/>
    </xf>
    <xf numFmtId="4" fontId="10" fillId="0" borderId="1" xfId="0" applyNumberFormat="1" applyFont="1" applyBorder="1" applyAlignment="1">
      <alignment horizontal="right" shrinkToFit="1"/>
    </xf>
    <xf numFmtId="10" fontId="10" fillId="2" borderId="1" xfId="0" applyNumberFormat="1" applyFont="1" applyFill="1" applyBorder="1" applyAlignment="1">
      <alignment horizontal="right" shrinkToFit="1"/>
    </xf>
    <xf numFmtId="10" fontId="10" fillId="3" borderId="1" xfId="0" applyNumberFormat="1" applyFont="1" applyFill="1" applyBorder="1" applyAlignment="1">
      <alignment shrinkToFit="1"/>
    </xf>
    <xf numFmtId="10" fontId="10" fillId="0" borderId="1" xfId="0" applyNumberFormat="1" applyFont="1" applyBorder="1" applyAlignment="1">
      <alignment shrinkToFit="1"/>
    </xf>
    <xf numFmtId="10" fontId="11" fillId="0" borderId="0" xfId="0" applyNumberFormat="1" applyFont="1" applyAlignment="1">
      <alignment shrinkToFit="1"/>
    </xf>
    <xf numFmtId="0" fontId="10" fillId="3" borderId="1" xfId="0" applyFont="1" applyFill="1" applyBorder="1" applyAlignment="1">
      <alignment shrinkToFit="1"/>
    </xf>
    <xf numFmtId="4" fontId="10" fillId="0" borderId="1" xfId="0" applyNumberFormat="1" applyFont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1" fillId="2" borderId="7" xfId="0" applyFont="1" applyFill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11" fillId="0" borderId="8" xfId="0" applyFont="1" applyBorder="1" applyAlignment="1">
      <alignment shrinkToFit="1"/>
    </xf>
    <xf numFmtId="0" fontId="10" fillId="0" borderId="5" xfId="0" applyFont="1" applyBorder="1" applyAlignment="1">
      <alignment shrinkToFit="1"/>
    </xf>
    <xf numFmtId="0" fontId="10" fillId="0" borderId="14" xfId="0" applyFont="1" applyBorder="1" applyAlignment="1">
      <alignment shrinkToFit="1"/>
    </xf>
    <xf numFmtId="0" fontId="10" fillId="0" borderId="8" xfId="0" applyFont="1" applyBorder="1" applyAlignment="1">
      <alignment shrinkToFit="1"/>
    </xf>
    <xf numFmtId="10" fontId="10" fillId="0" borderId="5" xfId="0" applyNumberFormat="1" applyFont="1" applyBorder="1" applyAlignment="1">
      <alignment shrinkToFit="1"/>
    </xf>
    <xf numFmtId="0" fontId="10" fillId="3" borderId="5" xfId="0" applyFont="1" applyFill="1" applyBorder="1" applyAlignment="1">
      <alignment shrinkToFit="1"/>
    </xf>
    <xf numFmtId="0" fontId="10" fillId="2" borderId="15" xfId="0" applyFont="1" applyFill="1" applyBorder="1" applyAlignment="1">
      <alignment shrinkToFit="1"/>
    </xf>
    <xf numFmtId="10" fontId="10" fillId="3" borderId="17" xfId="0" applyNumberFormat="1" applyFont="1" applyFill="1" applyBorder="1" applyAlignment="1">
      <alignment shrinkToFit="1"/>
    </xf>
    <xf numFmtId="0" fontId="10" fillId="3" borderId="18" xfId="0" applyFont="1" applyFill="1" applyBorder="1" applyAlignment="1">
      <alignment shrinkToFit="1"/>
    </xf>
    <xf numFmtId="0" fontId="10" fillId="0" borderId="6" xfId="0" applyFont="1" applyBorder="1" applyAlignment="1">
      <alignment shrinkToFit="1"/>
    </xf>
    <xf numFmtId="10" fontId="10" fillId="0" borderId="6" xfId="0" applyNumberFormat="1" applyFont="1" applyBorder="1" applyAlignment="1">
      <alignment shrinkToFit="1"/>
    </xf>
    <xf numFmtId="0" fontId="10" fillId="3" borderId="6" xfId="0" applyFont="1" applyFill="1" applyBorder="1" applyAlignment="1">
      <alignment shrinkToFit="1"/>
    </xf>
    <xf numFmtId="10" fontId="10" fillId="0" borderId="0" xfId="0" applyNumberFormat="1" applyFont="1" applyAlignment="1">
      <alignment shrinkToFit="1"/>
    </xf>
    <xf numFmtId="10" fontId="10" fillId="2" borderId="1" xfId="0" applyNumberFormat="1" applyFont="1" applyFill="1" applyBorder="1" applyAlignment="1">
      <alignment shrinkToFit="1"/>
    </xf>
    <xf numFmtId="0" fontId="10" fillId="3" borderId="7" xfId="0" applyFont="1" applyFill="1" applyBorder="1" applyAlignment="1">
      <alignment shrinkToFit="1"/>
    </xf>
    <xf numFmtId="10" fontId="10" fillId="3" borderId="5" xfId="0" applyNumberFormat="1" applyFont="1" applyFill="1" applyBorder="1" applyAlignment="1">
      <alignment shrinkToFit="1"/>
    </xf>
    <xf numFmtId="0" fontId="10" fillId="0" borderId="11" xfId="0" applyFont="1" applyBorder="1" applyAlignment="1">
      <alignment shrinkToFit="1"/>
    </xf>
    <xf numFmtId="10" fontId="10" fillId="0" borderId="14" xfId="0" applyNumberFormat="1" applyFont="1" applyBorder="1" applyAlignment="1">
      <alignment shrinkToFit="1"/>
    </xf>
    <xf numFmtId="10" fontId="10" fillId="3" borderId="14" xfId="0" applyNumberFormat="1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4" fillId="0" borderId="1" xfId="0" applyFont="1" applyBorder="1" applyAlignment="1">
      <alignment shrinkToFit="1"/>
    </xf>
    <xf numFmtId="0" fontId="14" fillId="2" borderId="1" xfId="0" applyFont="1" applyFill="1" applyBorder="1" applyAlignment="1">
      <alignment horizontal="left" shrinkToFit="1"/>
    </xf>
    <xf numFmtId="0" fontId="15" fillId="2" borderId="1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5" fillId="2" borderId="5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23" xfId="0" applyFont="1" applyFill="1" applyBorder="1" applyAlignment="1">
      <alignment shrinkToFit="1"/>
    </xf>
    <xf numFmtId="0" fontId="14" fillId="2" borderId="22" xfId="0" applyFont="1" applyFill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16" xfId="0" applyFont="1" applyFill="1" applyBorder="1" applyAlignment="1">
      <alignment shrinkToFit="1"/>
    </xf>
    <xf numFmtId="0" fontId="14" fillId="4" borderId="0" xfId="0" applyFont="1" applyFill="1"/>
    <xf numFmtId="0" fontId="15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10" fillId="4" borderId="0" xfId="0" applyFont="1" applyFill="1"/>
    <xf numFmtId="10" fontId="10" fillId="4" borderId="0" xfId="0" applyNumberFormat="1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0" fillId="2" borderId="24" xfId="0" applyFont="1" applyFill="1" applyBorder="1" applyAlignment="1">
      <alignment shrinkToFit="1"/>
    </xf>
    <xf numFmtId="0" fontId="15" fillId="0" borderId="11" xfId="0" applyFont="1" applyBorder="1" applyAlignment="1">
      <alignment horizontal="right" shrinkToFit="1"/>
    </xf>
    <xf numFmtId="0" fontId="15" fillId="0" borderId="3" xfId="0" applyFont="1" applyBorder="1" applyAlignment="1">
      <alignment horizontal="right" shrinkToFit="1"/>
    </xf>
    <xf numFmtId="0" fontId="17" fillId="0" borderId="0" xfId="0" applyFont="1" applyAlignment="1">
      <alignment horizontal="center"/>
    </xf>
    <xf numFmtId="10" fontId="17" fillId="0" borderId="0" xfId="0" applyNumberFormat="1" applyFont="1"/>
    <xf numFmtId="0" fontId="17" fillId="0" borderId="0" xfId="0" applyFont="1"/>
    <xf numFmtId="0" fontId="21" fillId="0" borderId="0" xfId="0" applyFont="1" applyAlignment="1">
      <alignment horizontal="left" vertical="center"/>
    </xf>
    <xf numFmtId="0" fontId="29" fillId="0" borderId="0" xfId="0" applyFont="1"/>
    <xf numFmtId="176" fontId="30" fillId="5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176" fontId="30" fillId="0" borderId="0" xfId="0" applyNumberFormat="1" applyFont="1" applyAlignment="1">
      <alignment horizontal="center" vertical="center"/>
    </xf>
    <xf numFmtId="179" fontId="29" fillId="0" borderId="0" xfId="0" applyNumberFormat="1" applyFont="1" applyAlignment="1">
      <alignment horizontal="center"/>
    </xf>
    <xf numFmtId="176" fontId="29" fillId="0" borderId="0" xfId="0" applyNumberFormat="1" applyFont="1"/>
    <xf numFmtId="177" fontId="29" fillId="0" borderId="0" xfId="0" applyNumberFormat="1" applyFont="1"/>
    <xf numFmtId="178" fontId="29" fillId="0" borderId="0" xfId="0" applyNumberFormat="1" applyFont="1"/>
    <xf numFmtId="10" fontId="29" fillId="0" borderId="0" xfId="0" applyNumberFormat="1" applyFont="1"/>
    <xf numFmtId="176" fontId="30" fillId="6" borderId="0" xfId="0" applyNumberFormat="1" applyFont="1" applyFill="1" applyAlignment="1">
      <alignment horizontal="center" vertical="center"/>
    </xf>
    <xf numFmtId="176" fontId="30" fillId="8" borderId="0" xfId="0" applyNumberFormat="1" applyFont="1" applyFill="1" applyAlignment="1">
      <alignment horizontal="center" vertical="center"/>
    </xf>
    <xf numFmtId="180" fontId="29" fillId="0" borderId="0" xfId="0" applyNumberFormat="1" applyFont="1"/>
    <xf numFmtId="180" fontId="17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9" fillId="0" borderId="0" xfId="0" applyNumberFormat="1" applyFont="1"/>
    <xf numFmtId="182" fontId="30" fillId="0" borderId="22" xfId="0" applyNumberFormat="1" applyFont="1" applyBorder="1" applyAlignment="1">
      <alignment horizontal="center" vertical="center"/>
    </xf>
    <xf numFmtId="10" fontId="30" fillId="0" borderId="22" xfId="0" applyNumberFormat="1" applyFont="1" applyBorder="1" applyAlignment="1">
      <alignment horizontal="center" vertical="center"/>
    </xf>
    <xf numFmtId="182" fontId="29" fillId="0" borderId="0" xfId="0" applyNumberFormat="1" applyFont="1" applyAlignment="1">
      <alignment horizontal="center"/>
    </xf>
    <xf numFmtId="0" fontId="34" fillId="0" borderId="0" xfId="0" applyFont="1"/>
    <xf numFmtId="177" fontId="29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9" fillId="0" borderId="0" xfId="0" applyFont="1" applyAlignment="1">
      <alignment shrinkToFit="1"/>
    </xf>
    <xf numFmtId="0" fontId="29" fillId="4" borderId="0" xfId="0" applyFont="1" applyFill="1" applyAlignment="1">
      <alignment shrinkToFit="1"/>
    </xf>
    <xf numFmtId="0" fontId="31" fillId="0" borderId="0" xfId="0" applyFont="1" applyAlignment="1">
      <alignment shrinkToFit="1"/>
    </xf>
    <xf numFmtId="0" fontId="46" fillId="0" borderId="0" xfId="0" applyFont="1" applyAlignment="1">
      <alignment shrinkToFit="1"/>
    </xf>
    <xf numFmtId="0" fontId="29" fillId="0" borderId="22" xfId="0" applyFont="1" applyBorder="1" applyAlignment="1">
      <alignment shrinkToFit="1"/>
    </xf>
    <xf numFmtId="0" fontId="29" fillId="0" borderId="0" xfId="0" applyFont="1" applyAlignment="1">
      <alignment horizontal="center" shrinkToFit="1"/>
    </xf>
    <xf numFmtId="0" fontId="31" fillId="0" borderId="0" xfId="0" applyFont="1" applyAlignment="1">
      <alignment horizontal="center" shrinkToFit="1"/>
    </xf>
    <xf numFmtId="0" fontId="29" fillId="0" borderId="0" xfId="0" applyFont="1" applyAlignment="1">
      <alignment horizontal="center" vertical="center" shrinkToFit="1"/>
    </xf>
    <xf numFmtId="0" fontId="46" fillId="0" borderId="22" xfId="0" applyFont="1" applyBorder="1" applyAlignment="1">
      <alignment shrinkToFit="1"/>
    </xf>
    <xf numFmtId="0" fontId="31" fillId="0" borderId="22" xfId="0" applyFont="1" applyBorder="1" applyAlignment="1">
      <alignment shrinkToFit="1"/>
    </xf>
    <xf numFmtId="0" fontId="31" fillId="4" borderId="0" xfId="0" applyFont="1" applyFill="1" applyAlignment="1">
      <alignment shrinkToFit="1"/>
    </xf>
    <xf numFmtId="0" fontId="49" fillId="0" borderId="0" xfId="0" applyFont="1"/>
    <xf numFmtId="0" fontId="51" fillId="0" borderId="0" xfId="0" applyFont="1"/>
    <xf numFmtId="10" fontId="46" fillId="0" borderId="0" xfId="0" applyNumberFormat="1" applyFont="1" applyAlignment="1">
      <alignment shrinkToFit="1"/>
    </xf>
    <xf numFmtId="0" fontId="47" fillId="0" borderId="0" xfId="0" applyFont="1"/>
    <xf numFmtId="0" fontId="52" fillId="0" borderId="22" xfId="0" applyFont="1" applyBorder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46" fillId="0" borderId="22" xfId="0" applyFont="1" applyBorder="1" applyAlignment="1">
      <alignment horizontal="center" shrinkToFit="1"/>
    </xf>
    <xf numFmtId="3" fontId="31" fillId="0" borderId="22" xfId="0" applyNumberFormat="1" applyFont="1" applyBorder="1" applyAlignment="1">
      <alignment shrinkToFit="1"/>
    </xf>
    <xf numFmtId="10" fontId="31" fillId="0" borderId="22" xfId="0" applyNumberFormat="1" applyFont="1" applyBorder="1" applyAlignment="1">
      <alignment shrinkToFit="1"/>
    </xf>
    <xf numFmtId="4" fontId="31" fillId="0" borderId="22" xfId="0" applyNumberFormat="1" applyFont="1" applyBorder="1" applyAlignment="1">
      <alignment horizontal="right" shrinkToFit="1"/>
    </xf>
    <xf numFmtId="0" fontId="46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shrinkToFit="1"/>
    </xf>
    <xf numFmtId="0" fontId="10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10" fillId="0" borderId="0" xfId="0" applyFont="1" applyAlignment="1">
      <alignment horizontal="right" shrinkToFit="1"/>
    </xf>
    <xf numFmtId="0" fontId="14" fillId="0" borderId="0" xfId="0" applyFont="1" applyAlignment="1">
      <alignment shrinkToFit="1"/>
    </xf>
    <xf numFmtId="0" fontId="11" fillId="0" borderId="0" xfId="0" applyFont="1" applyAlignment="1">
      <alignment shrinkToFit="1"/>
    </xf>
    <xf numFmtId="0" fontId="29" fillId="4" borderId="0" xfId="0" applyFont="1" applyFill="1" applyAlignment="1">
      <alignment horizontal="center" vertical="center" shrinkToFit="1"/>
    </xf>
    <xf numFmtId="0" fontId="29" fillId="4" borderId="0" xfId="0" applyFont="1" applyFill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29" fillId="0" borderId="0" xfId="0" applyFont="1" applyAlignment="1">
      <alignment vertical="center" shrinkToFit="1"/>
    </xf>
    <xf numFmtId="0" fontId="31" fillId="2" borderId="22" xfId="0" applyFont="1" applyFill="1" applyBorder="1" applyAlignment="1">
      <alignment horizontal="center" vertical="center" shrinkToFit="1"/>
    </xf>
    <xf numFmtId="0" fontId="29" fillId="0" borderId="0" xfId="0" applyFont="1" applyAlignment="1">
      <alignment wrapText="1" shrinkToFit="1"/>
    </xf>
    <xf numFmtId="0" fontId="29" fillId="0" borderId="0" xfId="0" applyFont="1" applyAlignment="1">
      <alignment horizontal="center" vertical="center" wrapText="1" shrinkToFit="1"/>
    </xf>
    <xf numFmtId="10" fontId="31" fillId="2" borderId="22" xfId="0" applyNumberFormat="1" applyFont="1" applyFill="1" applyBorder="1" applyAlignment="1">
      <alignment horizontal="center" vertical="center" shrinkToFit="1"/>
    </xf>
    <xf numFmtId="10" fontId="31" fillId="3" borderId="22" xfId="0" applyNumberFormat="1" applyFont="1" applyFill="1" applyBorder="1" applyAlignment="1">
      <alignment shrinkToFit="1"/>
    </xf>
    <xf numFmtId="0" fontId="29" fillId="0" borderId="0" xfId="11" applyFont="1" applyAlignment="1">
      <alignment shrinkToFit="1"/>
    </xf>
    <xf numFmtId="0" fontId="29" fillId="4" borderId="0" xfId="11" applyFont="1" applyFill="1" applyAlignment="1">
      <alignment shrinkToFit="1"/>
    </xf>
    <xf numFmtId="184" fontId="61" fillId="0" borderId="0" xfId="11" applyNumberFormat="1" applyFont="1" applyAlignment="1">
      <alignment shrinkToFit="1"/>
    </xf>
    <xf numFmtId="0" fontId="46" fillId="0" borderId="6" xfId="11" applyFont="1" applyBorder="1" applyAlignment="1">
      <alignment horizontal="center" shrinkToFit="1"/>
    </xf>
    <xf numFmtId="3" fontId="39" fillId="0" borderId="6" xfId="11" applyNumberFormat="1" applyFont="1" applyBorder="1" applyAlignment="1">
      <alignment shrinkToFit="1"/>
    </xf>
    <xf numFmtId="10" fontId="39" fillId="0" borderId="6" xfId="11" applyNumberFormat="1" applyFont="1" applyBorder="1" applyAlignment="1">
      <alignment shrinkToFit="1"/>
    </xf>
    <xf numFmtId="3" fontId="31" fillId="0" borderId="22" xfId="11" applyNumberFormat="1" applyFont="1" applyBorder="1" applyAlignment="1">
      <alignment shrinkToFit="1"/>
    </xf>
    <xf numFmtId="10" fontId="31" fillId="0" borderId="22" xfId="11" applyNumberFormat="1" applyFont="1" applyBorder="1" applyAlignment="1">
      <alignment shrinkToFit="1"/>
    </xf>
    <xf numFmtId="0" fontId="46" fillId="0" borderId="1" xfId="11" applyFont="1" applyBorder="1" applyAlignment="1">
      <alignment horizontal="center" shrinkToFit="1"/>
    </xf>
    <xf numFmtId="3" fontId="39" fillId="0" borderId="1" xfId="11" applyNumberFormat="1" applyFont="1" applyBorder="1" applyAlignment="1">
      <alignment shrinkToFit="1"/>
    </xf>
    <xf numFmtId="0" fontId="34" fillId="0" borderId="0" xfId="11" applyFont="1"/>
    <xf numFmtId="0" fontId="34" fillId="0" borderId="0" xfId="11" applyFont="1" applyAlignment="1">
      <alignment vertical="center"/>
    </xf>
    <xf numFmtId="0" fontId="34" fillId="0" borderId="0" xfId="11" applyFont="1" applyAlignment="1">
      <alignment horizontal="center" vertical="center"/>
    </xf>
    <xf numFmtId="0" fontId="10" fillId="0" borderId="0" xfId="5"/>
    <xf numFmtId="0" fontId="67" fillId="9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9" borderId="22" xfId="5" applyFont="1" applyFill="1" applyBorder="1"/>
    <xf numFmtId="185" fontId="29" fillId="0" borderId="0" xfId="0" applyNumberFormat="1" applyFont="1"/>
    <xf numFmtId="0" fontId="31" fillId="0" borderId="22" xfId="11" applyFont="1" applyBorder="1" applyAlignment="1">
      <alignment horizontal="center" vertical="center" shrinkToFit="1"/>
    </xf>
    <xf numFmtId="0" fontId="39" fillId="5" borderId="23" xfId="5" applyFont="1" applyFill="1" applyBorder="1" applyAlignment="1">
      <alignment horizontal="center" vertical="center"/>
    </xf>
    <xf numFmtId="0" fontId="68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vertical="center" shrinkToFit="1"/>
    </xf>
    <xf numFmtId="0" fontId="34" fillId="5" borderId="23" xfId="11" applyFont="1" applyFill="1" applyBorder="1" applyAlignment="1">
      <alignment horizontal="center" vertical="center"/>
    </xf>
    <xf numFmtId="186" fontId="29" fillId="0" borderId="0" xfId="0" applyNumberFormat="1" applyFont="1"/>
    <xf numFmtId="0" fontId="17" fillId="9" borderId="0" xfId="11" applyFont="1" applyFill="1" applyAlignment="1">
      <alignment vertical="center"/>
    </xf>
    <xf numFmtId="188" fontId="29" fillId="0" borderId="0" xfId="0" applyNumberFormat="1" applyFont="1"/>
    <xf numFmtId="189" fontId="29" fillId="0" borderId="0" xfId="0" applyNumberFormat="1" applyFont="1"/>
    <xf numFmtId="0" fontId="29" fillId="9" borderId="0" xfId="0" applyFont="1" applyFill="1" applyAlignment="1">
      <alignment horizontal="center"/>
    </xf>
    <xf numFmtId="10" fontId="30" fillId="0" borderId="0" xfId="0" applyNumberFormat="1" applyFont="1" applyAlignment="1">
      <alignment horizontal="center" vertical="center"/>
    </xf>
    <xf numFmtId="186" fontId="17" fillId="0" borderId="0" xfId="0" applyNumberFormat="1" applyFont="1"/>
    <xf numFmtId="186" fontId="30" fillId="0" borderId="0" xfId="0" applyNumberFormat="1" applyFont="1" applyAlignment="1">
      <alignment horizontal="center" vertical="center"/>
    </xf>
    <xf numFmtId="0" fontId="60" fillId="0" borderId="22" xfId="0" applyFont="1" applyBorder="1" applyAlignment="1">
      <alignment horizontal="center" vertical="center" shrinkToFit="1"/>
    </xf>
    <xf numFmtId="179" fontId="17" fillId="0" borderId="22" xfId="0" applyNumberFormat="1" applyFont="1" applyBorder="1" applyAlignment="1">
      <alignment horizontal="center"/>
    </xf>
    <xf numFmtId="189" fontId="17" fillId="9" borderId="22" xfId="0" applyNumberFormat="1" applyFont="1" applyFill="1" applyBorder="1" applyAlignment="1">
      <alignment vertical="center" shrinkToFit="1"/>
    </xf>
    <xf numFmtId="10" fontId="17" fillId="0" borderId="22" xfId="0" applyNumberFormat="1" applyFont="1" applyBorder="1" applyAlignment="1">
      <alignment vertical="center"/>
    </xf>
    <xf numFmtId="10" fontId="30" fillId="0" borderId="23" xfId="0" applyNumberFormat="1" applyFont="1" applyBorder="1" applyAlignment="1">
      <alignment horizontal="center" vertical="center"/>
    </xf>
    <xf numFmtId="183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 shrinkToFi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7" fillId="0" borderId="22" xfId="0" applyFont="1" applyBorder="1" applyAlignment="1">
      <alignment horizontal="center" vertical="center"/>
    </xf>
    <xf numFmtId="0" fontId="17" fillId="9" borderId="22" xfId="0" applyFont="1" applyFill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left" vertical="center" shrinkToFit="1"/>
    </xf>
    <xf numFmtId="1" fontId="17" fillId="0" borderId="22" xfId="0" applyNumberFormat="1" applyFont="1" applyBorder="1" applyAlignment="1">
      <alignment horizontal="center" vertical="center"/>
    </xf>
    <xf numFmtId="183" fontId="17" fillId="0" borderId="22" xfId="0" applyNumberFormat="1" applyFont="1" applyBorder="1" applyAlignment="1">
      <alignment horizontal="center" vertical="center"/>
    </xf>
    <xf numFmtId="1" fontId="17" fillId="9" borderId="22" xfId="0" applyNumberFormat="1" applyFont="1" applyFill="1" applyBorder="1" applyAlignment="1">
      <alignment horizontal="center" vertical="center" shrinkToFit="1"/>
    </xf>
    <xf numFmtId="183" fontId="17" fillId="9" borderId="22" xfId="0" applyNumberFormat="1" applyFont="1" applyFill="1" applyBorder="1" applyAlignment="1">
      <alignment horizontal="center" vertical="center" shrinkToFit="1"/>
    </xf>
    <xf numFmtId="1" fontId="17" fillId="0" borderId="22" xfId="0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4" borderId="0" xfId="0" applyFont="1" applyFill="1" applyAlignment="1">
      <alignment shrinkToFit="1"/>
    </xf>
    <xf numFmtId="0" fontId="60" fillId="5" borderId="22" xfId="0" applyFont="1" applyFill="1" applyBorder="1" applyAlignment="1">
      <alignment horizontal="center" vertical="center" shrinkToFit="1"/>
    </xf>
    <xf numFmtId="0" fontId="18" fillId="4" borderId="0" xfId="0" applyFont="1" applyFill="1" applyAlignment="1">
      <alignment horizontal="center" vertical="center" shrinkToFit="1"/>
    </xf>
    <xf numFmtId="0" fontId="17" fillId="4" borderId="0" xfId="0" applyFont="1" applyFill="1" applyAlignment="1">
      <alignment horizontal="center" vertical="center" shrinkToFit="1"/>
    </xf>
    <xf numFmtId="0" fontId="60" fillId="5" borderId="22" xfId="0" applyFont="1" applyFill="1" applyBorder="1" applyAlignment="1">
      <alignment horizontal="center" shrinkToFit="1"/>
    </xf>
    <xf numFmtId="0" fontId="60" fillId="0" borderId="22" xfId="0" applyFont="1" applyBorder="1" applyAlignment="1">
      <alignment horizontal="center" shrinkToFit="1"/>
    </xf>
    <xf numFmtId="0" fontId="18" fillId="4" borderId="22" xfId="0" applyFont="1" applyFill="1" applyBorder="1" applyAlignment="1">
      <alignment horizontal="center" shrinkToFit="1"/>
    </xf>
    <xf numFmtId="0" fontId="60" fillId="4" borderId="22" xfId="0" applyFont="1" applyFill="1" applyBorder="1" applyAlignment="1">
      <alignment horizontal="center" shrinkToFit="1"/>
    </xf>
    <xf numFmtId="0" fontId="18" fillId="4" borderId="0" xfId="0" applyFont="1" applyFill="1" applyAlignment="1">
      <alignment horizontal="center" shrinkToFit="1"/>
    </xf>
    <xf numFmtId="0" fontId="17" fillId="0" borderId="0" xfId="0" applyFont="1" applyAlignment="1">
      <alignment horizontal="center" shrinkToFit="1"/>
    </xf>
    <xf numFmtId="0" fontId="60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1" fontId="60" fillId="0" borderId="22" xfId="0" applyNumberFormat="1" applyFont="1" applyBorder="1" applyAlignment="1">
      <alignment shrinkToFit="1"/>
    </xf>
    <xf numFmtId="183" fontId="60" fillId="0" borderId="22" xfId="0" applyNumberFormat="1" applyFont="1" applyBorder="1" applyAlignment="1">
      <alignment shrinkToFit="1"/>
    </xf>
    <xf numFmtId="0" fontId="60" fillId="0" borderId="22" xfId="0" applyFont="1" applyBorder="1" applyAlignment="1">
      <alignment horizontal="right" shrinkToFit="1"/>
    </xf>
    <xf numFmtId="1" fontId="75" fillId="0" borderId="22" xfId="0" applyNumberFormat="1" applyFont="1" applyBorder="1" applyAlignment="1">
      <alignment shrinkToFit="1"/>
    </xf>
    <xf numFmtId="183" fontId="75" fillId="0" borderId="22" xfId="0" applyNumberFormat="1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17" fillId="4" borderId="0" xfId="0" applyFont="1" applyFill="1" applyAlignment="1">
      <alignment horizontal="center" shrinkToFit="1"/>
    </xf>
    <xf numFmtId="0" fontId="18" fillId="5" borderId="22" xfId="0" applyFont="1" applyFill="1" applyBorder="1" applyAlignment="1">
      <alignment horizontal="center" shrinkToFit="1"/>
    </xf>
    <xf numFmtId="183" fontId="31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1" fillId="0" borderId="67" xfId="0" applyFont="1" applyBorder="1" applyAlignment="1">
      <alignment horizontal="left" vertical="center"/>
    </xf>
    <xf numFmtId="10" fontId="31" fillId="3" borderId="50" xfId="0" applyNumberFormat="1" applyFont="1" applyFill="1" applyBorder="1" applyAlignment="1">
      <alignment horizontal="center" vertical="center" shrinkToFit="1"/>
    </xf>
    <xf numFmtId="190" fontId="29" fillId="0" borderId="0" xfId="0" applyNumberFormat="1" applyFont="1"/>
    <xf numFmtId="177" fontId="30" fillId="0" borderId="23" xfId="0" applyNumberFormat="1" applyFont="1" applyBorder="1" applyAlignment="1">
      <alignment horizontal="center" vertical="center"/>
    </xf>
    <xf numFmtId="184" fontId="31" fillId="0" borderId="22" xfId="0" applyNumberFormat="1" applyFont="1" applyBorder="1" applyAlignment="1">
      <alignment shrinkToFit="1"/>
    </xf>
    <xf numFmtId="0" fontId="77" fillId="0" borderId="22" xfId="0" applyFont="1" applyBorder="1" applyAlignment="1">
      <alignment shrinkToFit="1"/>
    </xf>
    <xf numFmtId="191" fontId="31" fillId="0" borderId="22" xfId="0" applyNumberFormat="1" applyFont="1" applyBorder="1" applyAlignment="1">
      <alignment horizontal="right" shrinkToFit="1"/>
    </xf>
    <xf numFmtId="185" fontId="31" fillId="0" borderId="22" xfId="0" applyNumberFormat="1" applyFont="1" applyBorder="1" applyAlignment="1">
      <alignment shrinkToFit="1"/>
    </xf>
    <xf numFmtId="186" fontId="31" fillId="0" borderId="22" xfId="0" applyNumberFormat="1" applyFont="1" applyBorder="1" applyAlignment="1">
      <alignment shrinkToFit="1"/>
    </xf>
    <xf numFmtId="192" fontId="31" fillId="0" borderId="22" xfId="0" applyNumberFormat="1" applyFont="1" applyBorder="1" applyAlignment="1">
      <alignment shrinkToFit="1"/>
    </xf>
    <xf numFmtId="191" fontId="31" fillId="0" borderId="22" xfId="0" applyNumberFormat="1" applyFont="1" applyBorder="1" applyAlignment="1">
      <alignment shrinkToFit="1"/>
    </xf>
    <xf numFmtId="191" fontId="30" fillId="0" borderId="22" xfId="0" applyNumberFormat="1" applyFont="1" applyBorder="1" applyAlignment="1">
      <alignment shrinkToFit="1"/>
    </xf>
    <xf numFmtId="0" fontId="70" fillId="0" borderId="0" xfId="11" applyFont="1" applyAlignment="1">
      <alignment shrinkToFit="1"/>
    </xf>
    <xf numFmtId="0" fontId="17" fillId="0" borderId="0" xfId="11" applyFont="1" applyAlignment="1">
      <alignment shrinkToFit="1"/>
    </xf>
    <xf numFmtId="0" fontId="31" fillId="0" borderId="0" xfId="11" applyFont="1" applyAlignment="1">
      <alignment shrinkToFit="1"/>
    </xf>
    <xf numFmtId="184" fontId="46" fillId="0" borderId="0" xfId="11" applyNumberFormat="1" applyFont="1" applyAlignment="1">
      <alignment shrinkToFit="1"/>
    </xf>
    <xf numFmtId="0" fontId="61" fillId="0" borderId="6" xfId="11" applyFont="1" applyBorder="1" applyAlignment="1">
      <alignment horizontal="center" shrinkToFit="1"/>
    </xf>
    <xf numFmtId="0" fontId="61" fillId="0" borderId="1" xfId="11" applyFont="1" applyBorder="1" applyAlignment="1">
      <alignment horizontal="center" shrinkToFit="1"/>
    </xf>
    <xf numFmtId="10" fontId="85" fillId="0" borderId="22" xfId="3" applyNumberFormat="1" applyFont="1" applyBorder="1" applyAlignment="1">
      <alignment horizontal="center" vertical="center"/>
    </xf>
    <xf numFmtId="0" fontId="7" fillId="0" borderId="0" xfId="15">
      <alignment vertical="center"/>
    </xf>
    <xf numFmtId="0" fontId="83" fillId="10" borderId="22" xfId="15" applyFont="1" applyFill="1" applyBorder="1" applyAlignment="1">
      <alignment horizontal="center" vertical="center" wrapText="1"/>
    </xf>
    <xf numFmtId="193" fontId="85" fillId="0" borderId="22" xfId="3" applyNumberFormat="1" applyFont="1" applyBorder="1" applyAlignment="1">
      <alignment horizontal="center" vertical="center"/>
    </xf>
    <xf numFmtId="194" fontId="88" fillId="0" borderId="22" xfId="5" applyNumberFormat="1" applyFont="1" applyBorder="1" applyAlignment="1">
      <alignment horizontal="center" vertical="center"/>
    </xf>
    <xf numFmtId="194" fontId="89" fillId="0" borderId="22" xfId="5" applyNumberFormat="1" applyFont="1" applyBorder="1" applyAlignment="1">
      <alignment horizontal="center" vertical="center"/>
    </xf>
    <xf numFmtId="186" fontId="39" fillId="0" borderId="6" xfId="11" applyNumberFormat="1" applyFont="1" applyBorder="1" applyAlignment="1">
      <alignment shrinkToFit="1"/>
    </xf>
    <xf numFmtId="10" fontId="17" fillId="0" borderId="22" xfId="0" applyNumberFormat="1" applyFont="1" applyBorder="1"/>
    <xf numFmtId="0" fontId="27" fillId="0" borderId="0" xfId="11"/>
    <xf numFmtId="0" fontId="29" fillId="0" borderId="0" xfId="11" applyFont="1" applyAlignment="1">
      <alignment wrapText="1" shrinkToFit="1"/>
    </xf>
    <xf numFmtId="0" fontId="29" fillId="0" borderId="0" xfId="11" applyFont="1" applyAlignment="1">
      <alignment vertical="center" shrinkToFit="1"/>
    </xf>
    <xf numFmtId="0" fontId="31" fillId="2" borderId="22" xfId="11" applyFont="1" applyFill="1" applyBorder="1" applyAlignment="1">
      <alignment horizontal="center" vertical="center" shrinkToFit="1"/>
    </xf>
    <xf numFmtId="0" fontId="29" fillId="0" borderId="0" xfId="11" applyFont="1" applyAlignment="1">
      <alignment horizontal="center" vertical="center" shrinkToFit="1"/>
    </xf>
    <xf numFmtId="0" fontId="31" fillId="0" borderId="22" xfId="11" applyFont="1" applyBorder="1" applyAlignment="1">
      <alignment vertical="center" shrinkToFit="1"/>
    </xf>
    <xf numFmtId="0" fontId="31" fillId="0" borderId="4" xfId="11" applyFont="1" applyBorder="1" applyAlignment="1">
      <alignment vertical="center"/>
    </xf>
    <xf numFmtId="0" fontId="31" fillId="0" borderId="2" xfId="11" applyFont="1" applyBorder="1" applyAlignment="1">
      <alignment vertical="center"/>
    </xf>
    <xf numFmtId="0" fontId="31" fillId="0" borderId="3" xfId="11" applyFont="1" applyBorder="1" applyAlignment="1">
      <alignment vertical="center"/>
    </xf>
    <xf numFmtId="0" fontId="31" fillId="0" borderId="25" xfId="11" applyFont="1" applyBorder="1" applyAlignment="1">
      <alignment horizontal="left" vertical="center"/>
    </xf>
    <xf numFmtId="0" fontId="31" fillId="0" borderId="28" xfId="11" applyFont="1" applyBorder="1" applyAlignment="1">
      <alignment horizontal="left" vertical="center"/>
    </xf>
    <xf numFmtId="10" fontId="31" fillId="0" borderId="22" xfId="11" applyNumberFormat="1" applyFont="1" applyBorder="1" applyAlignment="1">
      <alignment vertical="center" shrinkToFit="1"/>
    </xf>
    <xf numFmtId="0" fontId="67" fillId="0" borderId="22" xfId="11" applyFont="1" applyBorder="1" applyAlignment="1">
      <alignment horizontal="left" vertical="center" shrinkToFit="1"/>
    </xf>
    <xf numFmtId="0" fontId="31" fillId="0" borderId="54" xfId="11" applyFont="1" applyBorder="1" applyAlignment="1">
      <alignment vertical="center"/>
    </xf>
    <xf numFmtId="0" fontId="31" fillId="0" borderId="47" xfId="11" applyFont="1" applyBorder="1" applyAlignment="1">
      <alignment vertical="center"/>
    </xf>
    <xf numFmtId="0" fontId="31" fillId="0" borderId="48" xfId="11" applyFont="1" applyBorder="1" applyAlignment="1">
      <alignment vertical="center"/>
    </xf>
    <xf numFmtId="0" fontId="31" fillId="0" borderId="64" xfId="11" applyFont="1" applyBorder="1" applyAlignment="1">
      <alignment vertical="center" shrinkToFit="1"/>
    </xf>
    <xf numFmtId="10" fontId="31" fillId="0" borderId="64" xfId="11" applyNumberFormat="1" applyFont="1" applyBorder="1" applyAlignment="1">
      <alignment vertical="center" shrinkToFit="1"/>
    </xf>
    <xf numFmtId="0" fontId="31" fillId="2" borderId="49" xfId="11" applyFont="1" applyFill="1" applyBorder="1" applyAlignment="1">
      <alignment horizontal="center" vertical="center" shrinkToFit="1"/>
    </xf>
    <xf numFmtId="0" fontId="31" fillId="3" borderId="51" xfId="11" applyFont="1" applyFill="1" applyBorder="1" applyAlignment="1">
      <alignment vertical="center" shrinkToFit="1"/>
    </xf>
    <xf numFmtId="0" fontId="79" fillId="0" borderId="0" xfId="11" applyFont="1" applyAlignment="1">
      <alignment horizontal="left" vertical="center" shrinkToFit="1"/>
    </xf>
    <xf numFmtId="0" fontId="31" fillId="2" borderId="56" xfId="11" applyFont="1" applyFill="1" applyBorder="1" applyAlignment="1">
      <alignment horizontal="center" vertical="center" shrinkToFit="1"/>
    </xf>
    <xf numFmtId="0" fontId="31" fillId="2" borderId="59" xfId="11" applyFont="1" applyFill="1" applyBorder="1" applyAlignment="1">
      <alignment horizontal="center" vertical="center" shrinkToFit="1"/>
    </xf>
    <xf numFmtId="0" fontId="31" fillId="2" borderId="60" xfId="11" applyFont="1" applyFill="1" applyBorder="1" applyAlignment="1">
      <alignment horizontal="center" vertical="center" shrinkToFit="1"/>
    </xf>
    <xf numFmtId="0" fontId="67" fillId="2" borderId="60" xfId="11" applyFont="1" applyFill="1" applyBorder="1" applyAlignment="1">
      <alignment horizontal="left" vertical="center" shrinkToFit="1"/>
    </xf>
    <xf numFmtId="0" fontId="31" fillId="0" borderId="42" xfId="11" applyFont="1" applyBorder="1" applyAlignment="1">
      <alignment vertical="center" shrinkToFit="1"/>
    </xf>
    <xf numFmtId="0" fontId="31" fillId="0" borderId="1" xfId="11" applyFont="1" applyBorder="1" applyAlignment="1">
      <alignment vertical="center" shrinkToFit="1"/>
    </xf>
    <xf numFmtId="10" fontId="31" fillId="0" borderId="1" xfId="11" applyNumberFormat="1" applyFont="1" applyBorder="1" applyAlignment="1">
      <alignment vertical="center" shrinkToFit="1"/>
    </xf>
    <xf numFmtId="0" fontId="31" fillId="3" borderId="1" xfId="11" applyFont="1" applyFill="1" applyBorder="1" applyAlignment="1">
      <alignment vertical="center" shrinkToFit="1"/>
    </xf>
    <xf numFmtId="0" fontId="67" fillId="0" borderId="1" xfId="11" applyFont="1" applyBorder="1" applyAlignment="1">
      <alignment horizontal="left" vertical="center" shrinkToFit="1"/>
    </xf>
    <xf numFmtId="0" fontId="71" fillId="0" borderId="0" xfId="0" applyFont="1" applyAlignment="1">
      <alignment horizontal="left" vertical="center" indent="1"/>
    </xf>
    <xf numFmtId="0" fontId="31" fillId="0" borderId="41" xfId="11" applyFont="1" applyBorder="1" applyAlignment="1">
      <alignment vertical="center" shrinkToFit="1"/>
    </xf>
    <xf numFmtId="0" fontId="31" fillId="0" borderId="65" xfId="11" applyFont="1" applyBorder="1" applyAlignment="1">
      <alignment vertical="center" shrinkToFit="1"/>
    </xf>
    <xf numFmtId="10" fontId="31" fillId="0" borderId="65" xfId="11" applyNumberFormat="1" applyFont="1" applyBorder="1" applyAlignment="1">
      <alignment vertical="center" shrinkToFit="1"/>
    </xf>
    <xf numFmtId="0" fontId="31" fillId="3" borderId="65" xfId="11" applyFont="1" applyFill="1" applyBorder="1" applyAlignment="1">
      <alignment vertical="center" shrinkToFit="1"/>
    </xf>
    <xf numFmtId="0" fontId="67" fillId="0" borderId="55" xfId="11" applyFont="1" applyBorder="1" applyAlignment="1">
      <alignment horizontal="left" vertical="center" shrinkToFit="1"/>
    </xf>
    <xf numFmtId="0" fontId="79" fillId="0" borderId="0" xfId="11" applyFont="1" applyAlignment="1">
      <alignment vertical="center" shrinkToFit="1"/>
    </xf>
    <xf numFmtId="0" fontId="31" fillId="0" borderId="62" xfId="11" applyFont="1" applyBorder="1" applyAlignment="1">
      <alignment vertical="center"/>
    </xf>
    <xf numFmtId="0" fontId="31" fillId="0" borderId="3" xfId="11" applyFont="1" applyBorder="1" applyAlignment="1">
      <alignment vertical="center" shrinkToFit="1"/>
    </xf>
    <xf numFmtId="0" fontId="67" fillId="0" borderId="1" xfId="11" applyFont="1" applyBorder="1" applyAlignment="1">
      <alignment vertical="center" shrinkToFit="1"/>
    </xf>
    <xf numFmtId="0" fontId="31" fillId="0" borderId="63" xfId="11" applyFont="1" applyBorder="1" applyAlignment="1">
      <alignment vertical="center"/>
    </xf>
    <xf numFmtId="0" fontId="31" fillId="0" borderId="8" xfId="11" applyFont="1" applyBorder="1" applyAlignment="1">
      <alignment vertical="center" shrinkToFit="1"/>
    </xf>
    <xf numFmtId="0" fontId="31" fillId="0" borderId="5" xfId="11" applyFont="1" applyBorder="1" applyAlignment="1">
      <alignment vertical="center" shrinkToFit="1"/>
    </xf>
    <xf numFmtId="0" fontId="31" fillId="2" borderId="44" xfId="11" applyFont="1" applyFill="1" applyBorder="1" applyAlignment="1">
      <alignment horizontal="center" shrinkToFit="1"/>
    </xf>
    <xf numFmtId="0" fontId="14" fillId="2" borderId="8" xfId="11" applyFont="1" applyFill="1" applyBorder="1" applyAlignment="1">
      <alignment horizontal="center" vertical="center" shrinkToFit="1"/>
    </xf>
    <xf numFmtId="0" fontId="14" fillId="2" borderId="1" xfId="11" applyFont="1" applyFill="1" applyBorder="1" applyAlignment="1">
      <alignment horizontal="center" vertical="center" shrinkToFit="1"/>
    </xf>
    <xf numFmtId="0" fontId="10" fillId="2" borderId="1" xfId="11" applyFont="1" applyFill="1" applyBorder="1" applyAlignment="1">
      <alignment horizontal="center" vertical="center" shrinkToFit="1"/>
    </xf>
    <xf numFmtId="0" fontId="27" fillId="0" borderId="0" xfId="11" applyAlignment="1">
      <alignment horizontal="center" vertical="center" shrinkToFit="1"/>
    </xf>
    <xf numFmtId="0" fontId="10" fillId="0" borderId="22" xfId="11" applyFont="1" applyBorder="1" applyAlignment="1">
      <alignment vertical="center" shrinkToFit="1"/>
    </xf>
    <xf numFmtId="0" fontId="31" fillId="0" borderId="4" xfId="11" applyFont="1" applyBorder="1"/>
    <xf numFmtId="0" fontId="31" fillId="0" borderId="2" xfId="11" applyFont="1" applyBorder="1"/>
    <xf numFmtId="0" fontId="31" fillId="0" borderId="3" xfId="11" applyFont="1" applyBorder="1"/>
    <xf numFmtId="0" fontId="31" fillId="0" borderId="27" xfId="11" applyFont="1" applyBorder="1" applyAlignment="1">
      <alignment horizontal="left"/>
    </xf>
    <xf numFmtId="0" fontId="31" fillId="0" borderId="28" xfId="11" applyFont="1" applyBorder="1" applyAlignment="1">
      <alignment horizontal="left"/>
    </xf>
    <xf numFmtId="0" fontId="31" fillId="0" borderId="25" xfId="11" applyFont="1" applyBorder="1" applyAlignment="1">
      <alignment horizontal="left"/>
    </xf>
    <xf numFmtId="0" fontId="10" fillId="0" borderId="3" xfId="11" applyFont="1" applyBorder="1" applyAlignment="1">
      <alignment shrinkToFit="1"/>
    </xf>
    <xf numFmtId="10" fontId="10" fillId="0" borderId="1" xfId="11" applyNumberFormat="1" applyFont="1" applyBorder="1" applyAlignment="1">
      <alignment shrinkToFit="1"/>
    </xf>
    <xf numFmtId="0" fontId="10" fillId="0" borderId="1" xfId="11" applyFont="1" applyBorder="1" applyAlignment="1">
      <alignment shrinkToFit="1"/>
    </xf>
    <xf numFmtId="0" fontId="27" fillId="0" borderId="0" xfId="11" applyAlignment="1">
      <alignment shrinkToFit="1"/>
    </xf>
    <xf numFmtId="0" fontId="31" fillId="0" borderId="54" xfId="11" applyFont="1" applyBorder="1"/>
    <xf numFmtId="0" fontId="31" fillId="0" borderId="47" xfId="11" applyFont="1" applyBorder="1"/>
    <xf numFmtId="0" fontId="31" fillId="0" borderId="48" xfId="11" applyFont="1" applyBorder="1"/>
    <xf numFmtId="0" fontId="10" fillId="0" borderId="8" xfId="11" applyFont="1" applyBorder="1" applyAlignment="1">
      <alignment shrinkToFit="1"/>
    </xf>
    <xf numFmtId="0" fontId="10" fillId="0" borderId="5" xfId="11" applyFont="1" applyBorder="1" applyAlignment="1">
      <alignment shrinkToFit="1"/>
    </xf>
    <xf numFmtId="0" fontId="14" fillId="2" borderId="66" xfId="11" applyFont="1" applyFill="1" applyBorder="1" applyAlignment="1">
      <alignment horizontal="center" shrinkToFit="1"/>
    </xf>
    <xf numFmtId="0" fontId="14" fillId="2" borderId="16" xfId="11" applyFont="1" applyFill="1" applyBorder="1" applyAlignment="1">
      <alignment horizontal="center" shrinkToFit="1"/>
    </xf>
    <xf numFmtId="0" fontId="27" fillId="0" borderId="0" xfId="11" applyAlignment="1">
      <alignment wrapText="1" shrinkToFit="1"/>
    </xf>
    <xf numFmtId="0" fontId="27" fillId="0" borderId="0" xfId="11" applyAlignment="1">
      <alignment vertical="center" shrinkToFit="1"/>
    </xf>
    <xf numFmtId="0" fontId="10" fillId="0" borderId="4" xfId="11" applyFont="1" applyBorder="1" applyAlignment="1">
      <alignment shrinkToFit="1"/>
    </xf>
    <xf numFmtId="0" fontId="12" fillId="0" borderId="3" xfId="11" applyFont="1" applyBorder="1" applyAlignment="1">
      <alignment shrinkToFit="1"/>
    </xf>
    <xf numFmtId="0" fontId="10" fillId="0" borderId="9" xfId="11" applyFont="1" applyBorder="1" applyAlignment="1">
      <alignment shrinkToFit="1"/>
    </xf>
    <xf numFmtId="0" fontId="12" fillId="0" borderId="8" xfId="11" applyFont="1" applyBorder="1" applyAlignment="1">
      <alignment shrinkToFit="1"/>
    </xf>
    <xf numFmtId="0" fontId="14" fillId="2" borderId="22" xfId="11" applyFont="1" applyFill="1" applyBorder="1" applyAlignment="1">
      <alignment horizontal="center" vertical="center" shrinkToFit="1"/>
    </xf>
    <xf numFmtId="0" fontId="14" fillId="2" borderId="3" xfId="11" applyFont="1" applyFill="1" applyBorder="1" applyAlignment="1">
      <alignment horizontal="center" vertical="center" shrinkToFit="1"/>
    </xf>
    <xf numFmtId="0" fontId="31" fillId="0" borderId="28" xfId="11" applyFont="1" applyBorder="1" applyAlignment="1">
      <alignment vertical="center"/>
    </xf>
    <xf numFmtId="0" fontId="31" fillId="0" borderId="25" xfId="11" applyFont="1" applyBorder="1" applyAlignment="1">
      <alignment vertical="center"/>
    </xf>
    <xf numFmtId="186" fontId="85" fillId="0" borderId="22" xfId="4" applyNumberFormat="1" applyFont="1" applyBorder="1" applyAlignment="1">
      <alignment horizontal="center" vertical="center"/>
    </xf>
    <xf numFmtId="185" fontId="91" fillId="0" borderId="22" xfId="0" applyNumberFormat="1" applyFont="1" applyBorder="1" applyAlignment="1">
      <alignment shrinkToFit="1"/>
    </xf>
    <xf numFmtId="177" fontId="17" fillId="9" borderId="22" xfId="0" applyNumberFormat="1" applyFont="1" applyFill="1" applyBorder="1"/>
    <xf numFmtId="0" fontId="61" fillId="0" borderId="0" xfId="0" applyFont="1" applyAlignment="1">
      <alignment shrinkToFit="1"/>
    </xf>
    <xf numFmtId="0" fontId="69" fillId="0" borderId="0" xfId="0" applyFont="1" applyAlignment="1">
      <alignment horizontal="center" vertical="center" shrinkToFit="1"/>
    </xf>
    <xf numFmtId="185" fontId="29" fillId="0" borderId="0" xfId="14" applyNumberFormat="1" applyFont="1" applyAlignment="1">
      <alignment horizontal="center" vertical="center" shrinkToFit="1"/>
    </xf>
    <xf numFmtId="0" fontId="31" fillId="0" borderId="4" xfId="11" applyFont="1" applyBorder="1" applyAlignment="1">
      <alignment horizontal="left" vertical="center"/>
    </xf>
    <xf numFmtId="0" fontId="31" fillId="0" borderId="2" xfId="11" applyFont="1" applyBorder="1" applyAlignment="1">
      <alignment horizontal="left" vertical="center"/>
    </xf>
    <xf numFmtId="0" fontId="31" fillId="0" borderId="62" xfId="11" applyFont="1" applyBorder="1" applyAlignment="1">
      <alignment horizontal="left" vertical="center"/>
    </xf>
    <xf numFmtId="0" fontId="10" fillId="0" borderId="3" xfId="11" applyFont="1" applyBorder="1" applyAlignment="1">
      <alignment vertical="center" shrinkToFit="1"/>
    </xf>
    <xf numFmtId="10" fontId="10" fillId="0" borderId="1" xfId="11" applyNumberFormat="1" applyFont="1" applyBorder="1" applyAlignment="1">
      <alignment vertical="center" shrinkToFit="1"/>
    </xf>
    <xf numFmtId="0" fontId="10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10" fillId="0" borderId="8" xfId="11" applyFont="1" applyBorder="1" applyAlignment="1">
      <alignment vertical="center" shrinkToFit="1"/>
    </xf>
    <xf numFmtId="0" fontId="10" fillId="0" borderId="5" xfId="11" applyFont="1" applyBorder="1" applyAlignment="1">
      <alignment vertical="center" shrinkToFit="1"/>
    </xf>
    <xf numFmtId="0" fontId="71" fillId="0" borderId="0" xfId="0" applyFont="1" applyAlignment="1">
      <alignment horizontal="left" vertical="center"/>
    </xf>
    <xf numFmtId="189" fontId="29" fillId="0" borderId="0" xfId="0" applyNumberFormat="1" applyFont="1" applyAlignment="1">
      <alignment horizontal="center"/>
    </xf>
    <xf numFmtId="189" fontId="17" fillId="0" borderId="22" xfId="0" applyNumberFormat="1" applyFont="1" applyBorder="1" applyAlignment="1">
      <alignment shrinkToFit="1"/>
    </xf>
    <xf numFmtId="190" fontId="17" fillId="0" borderId="22" xfId="0" applyNumberFormat="1" applyFont="1" applyBorder="1"/>
    <xf numFmtId="1" fontId="31" fillId="3" borderId="22" xfId="11" applyNumberFormat="1" applyFont="1" applyFill="1" applyBorder="1" applyAlignment="1">
      <alignment vertical="center" shrinkToFit="1"/>
    </xf>
    <xf numFmtId="1" fontId="31" fillId="3" borderId="64" xfId="11" applyNumberFormat="1" applyFont="1" applyFill="1" applyBorder="1" applyAlignment="1">
      <alignment vertical="center" shrinkToFit="1"/>
    </xf>
    <xf numFmtId="1" fontId="31" fillId="3" borderId="51" xfId="11" applyNumberFormat="1" applyFont="1" applyFill="1" applyBorder="1" applyAlignment="1">
      <alignment vertical="center" shrinkToFit="1"/>
    </xf>
    <xf numFmtId="1" fontId="31" fillId="3" borderId="1" xfId="11" applyNumberFormat="1" applyFont="1" applyFill="1" applyBorder="1" applyAlignment="1">
      <alignment vertical="center" shrinkToFit="1"/>
    </xf>
    <xf numFmtId="1" fontId="31" fillId="3" borderId="45" xfId="11" applyNumberFormat="1" applyFont="1" applyFill="1" applyBorder="1" applyAlignment="1">
      <alignment shrinkToFit="1"/>
    </xf>
    <xf numFmtId="0" fontId="29" fillId="0" borderId="27" xfId="11" applyFont="1" applyBorder="1" applyAlignment="1">
      <alignment horizontal="center" vertical="center" shrinkToFit="1"/>
    </xf>
    <xf numFmtId="0" fontId="60" fillId="0" borderId="27" xfId="11" applyFont="1" applyBorder="1" applyAlignment="1">
      <alignment horizontal="center" vertical="center" shrinkToFit="1"/>
    </xf>
    <xf numFmtId="1" fontId="27" fillId="0" borderId="0" xfId="11" applyNumberFormat="1" applyAlignment="1">
      <alignment shrinkToFit="1"/>
    </xf>
    <xf numFmtId="1" fontId="10" fillId="2" borderId="1" xfId="11" applyNumberFormat="1" applyFont="1" applyFill="1" applyBorder="1" applyAlignment="1">
      <alignment horizontal="center" vertical="center" shrinkToFit="1"/>
    </xf>
    <xf numFmtId="1" fontId="31" fillId="3" borderId="22" xfId="11" applyNumberFormat="1" applyFont="1" applyFill="1" applyBorder="1" applyAlignment="1">
      <alignment shrinkToFit="1"/>
    </xf>
    <xf numFmtId="1" fontId="10" fillId="3" borderId="1" xfId="11" applyNumberFormat="1" applyFont="1" applyFill="1" applyBorder="1" applyAlignment="1">
      <alignment shrinkToFit="1"/>
    </xf>
    <xf numFmtId="1" fontId="10" fillId="3" borderId="5" xfId="11" applyNumberFormat="1" applyFont="1" applyFill="1" applyBorder="1" applyAlignment="1">
      <alignment shrinkToFit="1"/>
    </xf>
    <xf numFmtId="1" fontId="10" fillId="3" borderId="18" xfId="11" applyNumberFormat="1" applyFont="1" applyFill="1" applyBorder="1" applyAlignment="1">
      <alignment shrinkToFit="1"/>
    </xf>
    <xf numFmtId="0" fontId="83" fillId="10" borderId="22" xfId="4" applyFont="1" applyFill="1" applyBorder="1" applyAlignment="1">
      <alignment horizontal="center" vertical="center" wrapText="1"/>
    </xf>
    <xf numFmtId="195" fontId="85" fillId="9" borderId="22" xfId="4" applyNumberFormat="1" applyFont="1" applyFill="1" applyBorder="1" applyAlignment="1">
      <alignment horizontal="center" vertical="center"/>
    </xf>
    <xf numFmtId="10" fontId="85" fillId="0" borderId="22" xfId="4" applyNumberFormat="1" applyFont="1" applyBorder="1" applyAlignment="1">
      <alignment horizontal="center" vertical="center"/>
    </xf>
    <xf numFmtId="0" fontId="9" fillId="0" borderId="0" xfId="4">
      <alignment vertical="center"/>
    </xf>
    <xf numFmtId="0" fontId="69" fillId="0" borderId="0" xfId="11" applyFont="1" applyAlignment="1">
      <alignment vertical="center" shrinkToFit="1"/>
    </xf>
    <xf numFmtId="0" fontId="69" fillId="0" borderId="0" xfId="11" applyFont="1" applyAlignment="1">
      <alignment shrinkToFit="1"/>
    </xf>
    <xf numFmtId="0" fontId="0" fillId="0" borderId="0" xfId="0" applyAlignment="1">
      <alignment vertical="center"/>
    </xf>
    <xf numFmtId="10" fontId="31" fillId="3" borderId="50" xfId="11" applyNumberFormat="1" applyFont="1" applyFill="1" applyBorder="1" applyAlignment="1">
      <alignment horizontal="center" vertical="center" shrinkToFit="1"/>
    </xf>
    <xf numFmtId="0" fontId="27" fillId="0" borderId="0" xfId="11" applyAlignment="1">
      <alignment horizontal="left" vertical="center" indent="2"/>
    </xf>
    <xf numFmtId="0" fontId="71" fillId="0" borderId="0" xfId="11" applyFont="1" applyAlignment="1">
      <alignment horizontal="left" vertical="center" indent="1"/>
    </xf>
    <xf numFmtId="0" fontId="27" fillId="0" borderId="0" xfId="1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71" fillId="0" borderId="67" xfId="11" applyFont="1" applyBorder="1" applyAlignment="1">
      <alignment horizontal="left" vertical="center"/>
    </xf>
    <xf numFmtId="0" fontId="27" fillId="0" borderId="0" xfId="11" applyAlignment="1">
      <alignment vertical="center"/>
    </xf>
    <xf numFmtId="0" fontId="31" fillId="2" borderId="72" xfId="11" applyFont="1" applyFill="1" applyBorder="1" applyAlignment="1">
      <alignment horizontal="center" vertical="center" shrinkToFit="1"/>
    </xf>
    <xf numFmtId="10" fontId="31" fillId="3" borderId="73" xfId="11" applyNumberFormat="1" applyFont="1" applyFill="1" applyBorder="1" applyAlignment="1">
      <alignment horizontal="center" vertical="center" shrinkToFit="1"/>
    </xf>
    <xf numFmtId="0" fontId="31" fillId="2" borderId="74" xfId="11" applyFont="1" applyFill="1" applyBorder="1" applyAlignment="1">
      <alignment horizontal="center" shrinkToFit="1"/>
    </xf>
    <xf numFmtId="0" fontId="14" fillId="2" borderId="75" xfId="11" applyFont="1" applyFill="1" applyBorder="1" applyAlignment="1">
      <alignment horizontal="center" shrinkToFit="1"/>
    </xf>
    <xf numFmtId="0" fontId="14" fillId="2" borderId="74" xfId="11" applyFont="1" applyFill="1" applyBorder="1" applyAlignment="1">
      <alignment horizontal="center" shrinkToFit="1"/>
    </xf>
    <xf numFmtId="1" fontId="10" fillId="3" borderId="76" xfId="11" applyNumberFormat="1" applyFont="1" applyFill="1" applyBorder="1" applyAlignment="1">
      <alignment shrinkToFit="1"/>
    </xf>
    <xf numFmtId="195" fontId="7" fillId="0" borderId="0" xfId="15" applyNumberFormat="1">
      <alignment vertical="center"/>
    </xf>
    <xf numFmtId="0" fontId="73" fillId="0" borderId="0" xfId="0" applyFont="1" applyAlignment="1">
      <alignment vertical="center"/>
    </xf>
    <xf numFmtId="193" fontId="85" fillId="9" borderId="22" xfId="4" applyNumberFormat="1" applyFont="1" applyFill="1" applyBorder="1" applyAlignment="1">
      <alignment horizontal="center" vertical="center"/>
    </xf>
    <xf numFmtId="193" fontId="85" fillId="9" borderId="22" xfId="6" applyNumberFormat="1" applyFont="1" applyFill="1" applyBorder="1" applyAlignment="1">
      <alignment horizontal="center" vertical="center"/>
    </xf>
    <xf numFmtId="0" fontId="31" fillId="0" borderId="77" xfId="11" applyFont="1" applyBorder="1" applyAlignment="1">
      <alignment vertical="center"/>
    </xf>
    <xf numFmtId="193" fontId="85" fillId="9" borderId="22" xfId="17" applyNumberFormat="1" applyFont="1" applyFill="1" applyBorder="1" applyAlignment="1">
      <alignment horizontal="center" vertical="center"/>
    </xf>
    <xf numFmtId="186" fontId="85" fillId="0" borderId="22" xfId="17" applyNumberFormat="1" applyFont="1" applyBorder="1" applyAlignment="1">
      <alignment horizontal="center" vertical="center"/>
    </xf>
    <xf numFmtId="186" fontId="89" fillId="0" borderId="22" xfId="19" applyNumberFormat="1" applyFont="1" applyBorder="1" applyAlignment="1">
      <alignment horizontal="center" vertical="center"/>
    </xf>
    <xf numFmtId="10" fontId="85" fillId="0" borderId="22" xfId="19" applyNumberFormat="1" applyFont="1" applyBorder="1" applyAlignment="1">
      <alignment horizontal="center" vertical="center"/>
    </xf>
    <xf numFmtId="10" fontId="85" fillId="0" borderId="22" xfId="17" applyNumberFormat="1" applyFont="1" applyBorder="1" applyAlignment="1">
      <alignment horizontal="center" vertical="center"/>
    </xf>
    <xf numFmtId="192" fontId="60" fillId="0" borderId="22" xfId="0" applyNumberFormat="1" applyFont="1" applyBorder="1" applyAlignment="1">
      <alignment shrinkToFit="1"/>
    </xf>
    <xf numFmtId="10" fontId="10" fillId="0" borderId="65" xfId="11" applyNumberFormat="1" applyFont="1" applyBorder="1" applyAlignment="1">
      <alignment shrinkToFit="1"/>
    </xf>
    <xf numFmtId="0" fontId="29" fillId="0" borderId="22" xfId="11" applyFont="1" applyBorder="1" applyAlignment="1">
      <alignment horizontal="center" vertical="center" shrinkToFit="1"/>
    </xf>
    <xf numFmtId="0" fontId="60" fillId="0" borderId="22" xfId="11" applyFont="1" applyBorder="1" applyAlignment="1">
      <alignment horizontal="center" vertical="center" shrinkToFit="1"/>
    </xf>
    <xf numFmtId="1" fontId="31" fillId="3" borderId="78" xfId="11" applyNumberFormat="1" applyFont="1" applyFill="1" applyBorder="1" applyAlignment="1">
      <alignment vertical="center" shrinkToFit="1"/>
    </xf>
    <xf numFmtId="0" fontId="31" fillId="0" borderId="71" xfId="11" applyFont="1" applyBorder="1" applyAlignment="1">
      <alignment vertical="center"/>
    </xf>
    <xf numFmtId="9" fontId="31" fillId="0" borderId="22" xfId="11" applyNumberFormat="1" applyFont="1" applyBorder="1" applyAlignment="1">
      <alignment shrinkToFit="1"/>
    </xf>
    <xf numFmtId="0" fontId="31" fillId="0" borderId="22" xfId="11" applyFont="1" applyBorder="1" applyAlignment="1">
      <alignment vertical="center"/>
    </xf>
    <xf numFmtId="0" fontId="31" fillId="0" borderId="57" xfId="11" applyFont="1" applyBorder="1" applyAlignment="1">
      <alignment vertical="center"/>
    </xf>
    <xf numFmtId="0" fontId="31" fillId="0" borderId="58" xfId="11" applyFont="1" applyBorder="1" applyAlignment="1">
      <alignment vertical="center"/>
    </xf>
    <xf numFmtId="0" fontId="31" fillId="0" borderId="61" xfId="11" applyFont="1" applyBorder="1" applyAlignment="1">
      <alignment vertical="center"/>
    </xf>
    <xf numFmtId="0" fontId="34" fillId="0" borderId="22" xfId="11" applyFont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 wrapText="1"/>
    </xf>
    <xf numFmtId="0" fontId="39" fillId="5" borderId="22" xfId="22" applyFont="1" applyFill="1" applyBorder="1" applyAlignment="1">
      <alignment horizontal="center" vertical="center"/>
    </xf>
    <xf numFmtId="0" fontId="34" fillId="0" borderId="22" xfId="11" applyFont="1" applyBorder="1" applyAlignment="1">
      <alignment horizontal="left" vertical="center"/>
    </xf>
    <xf numFmtId="196" fontId="39" fillId="0" borderId="22" xfId="11" applyNumberFormat="1" applyFont="1" applyBorder="1" applyAlignment="1">
      <alignment horizontal="center" vertical="center"/>
    </xf>
    <xf numFmtId="197" fontId="39" fillId="0" borderId="22" xfId="11" applyNumberFormat="1" applyFont="1" applyBorder="1" applyAlignment="1">
      <alignment horizontal="center" vertical="center"/>
    </xf>
    <xf numFmtId="185" fontId="39" fillId="9" borderId="22" xfId="13" applyNumberFormat="1" applyFont="1" applyFill="1" applyBorder="1" applyAlignment="1">
      <alignment horizontal="center" vertical="center"/>
    </xf>
    <xf numFmtId="196" fontId="39" fillId="0" borderId="22" xfId="21" applyNumberFormat="1" applyFont="1" applyBorder="1" applyAlignment="1">
      <alignment horizontal="center" vertical="center"/>
    </xf>
    <xf numFmtId="197" fontId="39" fillId="9" borderId="22" xfId="11" applyNumberFormat="1" applyFont="1" applyFill="1" applyBorder="1" applyAlignment="1">
      <alignment horizontal="center" vertical="center"/>
    </xf>
    <xf numFmtId="196" fontId="39" fillId="9" borderId="22" xfId="11" applyNumberFormat="1" applyFont="1" applyFill="1" applyBorder="1" applyAlignment="1">
      <alignment horizontal="center" vertical="center"/>
    </xf>
    <xf numFmtId="0" fontId="103" fillId="0" borderId="22" xfId="11" applyFont="1" applyBorder="1" applyAlignment="1">
      <alignment horizontal="center" vertical="center"/>
    </xf>
    <xf numFmtId="0" fontId="39" fillId="0" borderId="22" xfId="11" applyFont="1" applyBorder="1" applyAlignment="1">
      <alignment horizontal="center" vertical="center"/>
    </xf>
    <xf numFmtId="0" fontId="102" fillId="0" borderId="22" xfId="11" applyFont="1" applyBorder="1" applyAlignment="1">
      <alignment horizontal="left" vertical="center"/>
    </xf>
    <xf numFmtId="0" fontId="101" fillId="0" borderId="0" xfId="11" applyFont="1" applyAlignment="1">
      <alignment horizontal="center" vertical="center"/>
    </xf>
    <xf numFmtId="1" fontId="34" fillId="0" borderId="40" xfId="11" applyNumberFormat="1" applyFont="1" applyBorder="1" applyAlignment="1">
      <alignment horizontal="center" vertical="center"/>
    </xf>
    <xf numFmtId="0" fontId="34" fillId="0" borderId="40" xfId="11" applyFont="1" applyBorder="1" applyAlignment="1">
      <alignment horizontal="center" vertical="center"/>
    </xf>
    <xf numFmtId="0" fontId="34" fillId="0" borderId="0" xfId="11" applyFont="1" applyAlignment="1">
      <alignment horizontal="left" vertical="center"/>
    </xf>
    <xf numFmtId="0" fontId="101" fillId="0" borderId="0" xfId="11" applyFont="1" applyAlignment="1">
      <alignment horizontal="left" vertical="center"/>
    </xf>
    <xf numFmtId="0" fontId="96" fillId="0" borderId="0" xfId="11" applyFont="1" applyAlignment="1">
      <alignment horizontal="center" vertical="center"/>
    </xf>
    <xf numFmtId="0" fontId="103" fillId="0" borderId="0" xfId="11" applyFont="1" applyAlignment="1">
      <alignment horizontal="center" vertical="center"/>
    </xf>
    <xf numFmtId="198" fontId="39" fillId="9" borderId="22" xfId="13" applyNumberFormat="1" applyFont="1" applyFill="1" applyBorder="1" applyAlignment="1">
      <alignment horizontal="center" vertical="center"/>
    </xf>
    <xf numFmtId="1" fontId="64" fillId="0" borderId="79" xfId="11" applyNumberFormat="1" applyFont="1" applyBorder="1" applyAlignment="1">
      <alignment horizontal="center" vertical="center"/>
    </xf>
    <xf numFmtId="9" fontId="34" fillId="0" borderId="79" xfId="13" applyFont="1" applyBorder="1" applyAlignment="1">
      <alignment horizontal="center"/>
    </xf>
    <xf numFmtId="1" fontId="34" fillId="0" borderId="69" xfId="11" applyNumberFormat="1" applyFont="1" applyBorder="1" applyAlignment="1">
      <alignment horizontal="center" vertical="center"/>
    </xf>
    <xf numFmtId="1" fontId="34" fillId="0" borderId="22" xfId="11" applyNumberFormat="1" applyFont="1" applyBorder="1" applyAlignment="1">
      <alignment horizontal="center" vertical="center"/>
    </xf>
    <xf numFmtId="0" fontId="31" fillId="0" borderId="68" xfId="11" applyFont="1" applyBorder="1" applyAlignment="1">
      <alignment vertical="center"/>
    </xf>
    <xf numFmtId="0" fontId="4" fillId="0" borderId="0" xfId="15" applyFont="1">
      <alignment vertical="center"/>
    </xf>
    <xf numFmtId="0" fontId="31" fillId="0" borderId="54" xfId="11" applyFont="1" applyBorder="1" applyAlignment="1">
      <alignment horizontal="left" vertical="center"/>
    </xf>
    <xf numFmtId="0" fontId="31" fillId="0" borderId="47" xfId="11" applyFont="1" applyBorder="1" applyAlignment="1">
      <alignment horizontal="left" vertical="center"/>
    </xf>
    <xf numFmtId="0" fontId="31" fillId="0" borderId="63" xfId="11" applyFont="1" applyBorder="1" applyAlignment="1">
      <alignment horizontal="left" vertical="center"/>
    </xf>
    <xf numFmtId="0" fontId="31" fillId="0" borderId="27" xfId="11" applyFont="1" applyBorder="1" applyAlignment="1">
      <alignment vertical="center"/>
    </xf>
    <xf numFmtId="0" fontId="14" fillId="2" borderId="5" xfId="11" applyFont="1" applyFill="1" applyBorder="1" applyAlignment="1">
      <alignment horizontal="center" vertical="center" shrinkToFit="1"/>
    </xf>
    <xf numFmtId="0" fontId="31" fillId="0" borderId="59" xfId="11" applyFont="1" applyBorder="1" applyAlignment="1">
      <alignment vertical="center"/>
    </xf>
    <xf numFmtId="0" fontId="31" fillId="0" borderId="80" xfId="11" applyFont="1" applyBorder="1" applyAlignment="1">
      <alignment vertical="center"/>
    </xf>
    <xf numFmtId="0" fontId="96" fillId="0" borderId="22" xfId="11" applyFont="1" applyBorder="1" applyAlignment="1">
      <alignment horizontal="center" vertical="center"/>
    </xf>
    <xf numFmtId="177" fontId="17" fillId="9" borderId="25" xfId="0" applyNumberFormat="1" applyFont="1" applyFill="1" applyBorder="1"/>
    <xf numFmtId="0" fontId="17" fillId="0" borderId="0" xfId="11" applyFont="1" applyAlignment="1">
      <alignment horizontal="center" shrinkToFit="1"/>
    </xf>
    <xf numFmtId="0" fontId="29" fillId="0" borderId="0" xfId="11" applyFont="1" applyAlignment="1">
      <alignment horizontal="center" shrinkToFit="1"/>
    </xf>
    <xf numFmtId="3" fontId="9" fillId="0" borderId="0" xfId="4" applyNumberFormat="1">
      <alignment vertical="center"/>
    </xf>
    <xf numFmtId="0" fontId="3" fillId="0" borderId="0" xfId="15" applyFont="1">
      <alignment vertical="center"/>
    </xf>
    <xf numFmtId="0" fontId="96" fillId="0" borderId="0" xfId="15" applyFont="1">
      <alignment vertical="center"/>
    </xf>
    <xf numFmtId="10" fontId="10" fillId="0" borderId="65" xfId="11" applyNumberFormat="1" applyFont="1" applyBorder="1" applyAlignment="1">
      <alignment vertical="center" shrinkToFit="1"/>
    </xf>
    <xf numFmtId="183" fontId="17" fillId="0" borderId="0" xfId="0" applyNumberFormat="1" applyFont="1" applyAlignment="1">
      <alignment horizontal="center" vertical="center" shrinkToFit="1"/>
    </xf>
    <xf numFmtId="183" fontId="17" fillId="0" borderId="0" xfId="0" applyNumberFormat="1" applyFont="1" applyAlignment="1">
      <alignment horizontal="center" shrinkToFit="1"/>
    </xf>
    <xf numFmtId="1" fontId="17" fillId="0" borderId="0" xfId="0" applyNumberFormat="1" applyFont="1" applyAlignment="1">
      <alignment horizontal="center" shrinkToFit="1"/>
    </xf>
    <xf numFmtId="1" fontId="17" fillId="0" borderId="0" xfId="0" applyNumberFormat="1" applyFont="1" applyAlignment="1">
      <alignment horizontal="center" vertical="center" shrinkToFit="1"/>
    </xf>
    <xf numFmtId="0" fontId="104" fillId="0" borderId="0" xfId="0" applyFont="1" applyAlignment="1">
      <alignment shrinkToFit="1"/>
    </xf>
    <xf numFmtId="0" fontId="63" fillId="0" borderId="22" xfId="11" applyFont="1" applyBorder="1" applyAlignment="1">
      <alignment horizontal="center" vertical="center"/>
    </xf>
    <xf numFmtId="0" fontId="10" fillId="0" borderId="82" xfId="11" applyFont="1" applyBorder="1" applyAlignment="1">
      <alignment vertical="center" shrinkToFit="1"/>
    </xf>
    <xf numFmtId="1" fontId="10" fillId="3" borderId="76" xfId="0" applyNumberFormat="1" applyFont="1" applyFill="1" applyBorder="1" applyAlignment="1">
      <alignment shrinkToFit="1"/>
    </xf>
    <xf numFmtId="0" fontId="105" fillId="0" borderId="0" xfId="0" applyFont="1" applyAlignment="1">
      <alignment horizontal="left" vertical="center" indent="1"/>
    </xf>
    <xf numFmtId="0" fontId="69" fillId="0" borderId="0" xfId="0" applyFont="1" applyAlignment="1">
      <alignment horizontal="left" vertical="center" indent="2"/>
    </xf>
    <xf numFmtId="0" fontId="69" fillId="0" borderId="0" xfId="11" applyFont="1"/>
    <xf numFmtId="0" fontId="69" fillId="0" borderId="0" xfId="11" applyFont="1" applyAlignment="1">
      <alignment horizontal="left" vertical="center"/>
    </xf>
    <xf numFmtId="0" fontId="69" fillId="0" borderId="0" xfId="11" applyFont="1" applyAlignment="1">
      <alignment horizontal="left" vertical="center" indent="2"/>
    </xf>
    <xf numFmtId="0" fontId="105" fillId="0" borderId="0" xfId="11" applyFont="1" applyAlignment="1">
      <alignment horizontal="left" vertical="center" indent="1"/>
    </xf>
    <xf numFmtId="0" fontId="105" fillId="0" borderId="0" xfId="11" applyFont="1" applyAlignment="1">
      <alignment horizontal="left" vertical="center"/>
    </xf>
    <xf numFmtId="0" fontId="106" fillId="0" borderId="0" xfId="11" applyFont="1" applyAlignment="1">
      <alignment vertical="center" shrinkToFit="1"/>
    </xf>
    <xf numFmtId="0" fontId="69" fillId="0" borderId="0" xfId="0" applyFont="1" applyAlignment="1">
      <alignment shrinkToFit="1"/>
    </xf>
    <xf numFmtId="0" fontId="69" fillId="0" borderId="0" xfId="0" applyFont="1"/>
    <xf numFmtId="0" fontId="2" fillId="0" borderId="0" xfId="15" applyFont="1">
      <alignment vertical="center"/>
    </xf>
    <xf numFmtId="0" fontId="107" fillId="0" borderId="0" xfId="11" applyFont="1" applyAlignment="1">
      <alignment horizontal="center" vertical="center"/>
    </xf>
    <xf numFmtId="182" fontId="29" fillId="0" borderId="23" xfId="0" applyNumberFormat="1" applyFont="1" applyBorder="1" applyAlignment="1">
      <alignment horizontal="center"/>
    </xf>
    <xf numFmtId="182" fontId="29" fillId="0" borderId="29" xfId="0" applyNumberFormat="1" applyFont="1" applyBorder="1" applyAlignment="1">
      <alignment horizontal="center"/>
    </xf>
    <xf numFmtId="182" fontId="29" fillId="0" borderId="30" xfId="0" applyNumberFormat="1" applyFont="1" applyBorder="1" applyAlignment="1">
      <alignment horizontal="center"/>
    </xf>
    <xf numFmtId="177" fontId="29" fillId="0" borderId="23" xfId="0" applyNumberFormat="1" applyFont="1" applyBorder="1" applyAlignment="1">
      <alignment horizontal="center"/>
    </xf>
    <xf numFmtId="177" fontId="29" fillId="0" borderId="29" xfId="0" applyNumberFormat="1" applyFont="1" applyBorder="1" applyAlignment="1">
      <alignment horizontal="center"/>
    </xf>
    <xf numFmtId="177" fontId="29" fillId="0" borderId="30" xfId="0" applyNumberFormat="1" applyFont="1" applyBorder="1" applyAlignment="1">
      <alignment horizontal="center"/>
    </xf>
    <xf numFmtId="0" fontId="31" fillId="0" borderId="36" xfId="11" applyFont="1" applyBorder="1" applyAlignment="1">
      <alignment vertical="center"/>
    </xf>
    <xf numFmtId="0" fontId="31" fillId="0" borderId="26" xfId="11" applyFont="1" applyBorder="1" applyAlignment="1">
      <alignment vertical="center"/>
    </xf>
    <xf numFmtId="0" fontId="31" fillId="0" borderId="78" xfId="11" applyFont="1" applyBorder="1" applyAlignment="1">
      <alignment vertical="center"/>
    </xf>
    <xf numFmtId="0" fontId="31" fillId="0" borderId="83" xfId="11" applyFont="1" applyBorder="1" applyAlignment="1">
      <alignment vertical="center"/>
    </xf>
    <xf numFmtId="0" fontId="103" fillId="4" borderId="22" xfId="11" applyFont="1" applyFill="1" applyBorder="1" applyAlignment="1">
      <alignment horizontal="center" vertical="center"/>
    </xf>
    <xf numFmtId="0" fontId="39" fillId="4" borderId="22" xfId="11" applyFont="1" applyFill="1" applyBorder="1" applyAlignment="1">
      <alignment horizontal="center" vertical="center"/>
    </xf>
    <xf numFmtId="3" fontId="31" fillId="6" borderId="22" xfId="0" applyNumberFormat="1" applyFont="1" applyFill="1" applyBorder="1" applyAlignment="1">
      <alignment shrinkToFit="1"/>
    </xf>
    <xf numFmtId="0" fontId="117" fillId="0" borderId="85" xfId="11" applyFont="1" applyBorder="1" applyAlignment="1">
      <alignment horizontal="center" vertical="center"/>
    </xf>
    <xf numFmtId="0" fontId="117" fillId="0" borderId="86" xfId="11" applyFont="1" applyBorder="1" applyAlignment="1">
      <alignment horizontal="center" vertical="center"/>
    </xf>
    <xf numFmtId="196" fontId="118" fillId="0" borderId="22" xfId="11" applyNumberFormat="1" applyFont="1" applyBorder="1" applyAlignment="1">
      <alignment horizontal="right" vertical="center"/>
    </xf>
    <xf numFmtId="199" fontId="118" fillId="0" borderId="22" xfId="11" applyNumberFormat="1" applyFont="1" applyBorder="1" applyAlignment="1">
      <alignment horizontal="right" vertical="center"/>
    </xf>
    <xf numFmtId="186" fontId="118" fillId="0" borderId="22" xfId="13" applyNumberFormat="1" applyFont="1" applyBorder="1" applyAlignment="1">
      <alignment vertical="center"/>
    </xf>
    <xf numFmtId="10" fontId="118" fillId="0" borderId="22" xfId="13" applyNumberFormat="1" applyFont="1" applyBorder="1" applyAlignment="1">
      <alignment vertical="center"/>
    </xf>
    <xf numFmtId="183" fontId="118" fillId="0" borderId="22" xfId="11" applyNumberFormat="1" applyFont="1" applyBorder="1" applyAlignment="1">
      <alignment vertical="center"/>
    </xf>
    <xf numFmtId="183" fontId="118" fillId="0" borderId="90" xfId="11" applyNumberFormat="1" applyFont="1" applyBorder="1" applyAlignment="1">
      <alignment vertical="center"/>
    </xf>
    <xf numFmtId="10" fontId="31" fillId="9" borderId="22" xfId="0" applyNumberFormat="1" applyFont="1" applyFill="1" applyBorder="1" applyAlignment="1">
      <alignment shrinkToFit="1"/>
    </xf>
    <xf numFmtId="4" fontId="31" fillId="6" borderId="22" xfId="0" applyNumberFormat="1" applyFont="1" applyFill="1" applyBorder="1" applyAlignment="1">
      <alignment horizontal="right" shrinkToFit="1"/>
    </xf>
    <xf numFmtId="191" fontId="31" fillId="6" borderId="22" xfId="0" applyNumberFormat="1" applyFont="1" applyFill="1" applyBorder="1" applyAlignment="1">
      <alignment shrinkToFit="1"/>
    </xf>
    <xf numFmtId="0" fontId="118" fillId="0" borderId="22" xfId="11" applyFont="1" applyBorder="1" applyAlignment="1">
      <alignment vertical="center"/>
    </xf>
    <xf numFmtId="196" fontId="118" fillId="9" borderId="88" xfId="11" applyNumberFormat="1" applyFont="1" applyFill="1" applyBorder="1"/>
    <xf numFmtId="0" fontId="118" fillId="9" borderId="22" xfId="11" applyFont="1" applyFill="1" applyBorder="1" applyAlignment="1">
      <alignment vertical="center"/>
    </xf>
    <xf numFmtId="10" fontId="118" fillId="9" borderId="22" xfId="13" applyNumberFormat="1" applyFont="1" applyFill="1" applyBorder="1" applyAlignment="1">
      <alignment horizontal="right" vertical="center"/>
    </xf>
    <xf numFmtId="10" fontId="118" fillId="9" borderId="88" xfId="13" applyNumberFormat="1" applyFont="1" applyFill="1" applyBorder="1" applyAlignment="1"/>
    <xf numFmtId="0" fontId="118" fillId="0" borderId="87" xfId="11" applyFont="1" applyBorder="1" applyAlignment="1">
      <alignment horizontal="left"/>
    </xf>
    <xf numFmtId="197" fontId="118" fillId="0" borderId="22" xfId="11" applyNumberFormat="1" applyFont="1" applyBorder="1" applyAlignment="1">
      <alignment horizontal="right" vertical="center"/>
    </xf>
    <xf numFmtId="199" fontId="118" fillId="9" borderId="88" xfId="11" applyNumberFormat="1" applyFont="1" applyFill="1" applyBorder="1"/>
    <xf numFmtId="10" fontId="118" fillId="9" borderId="88" xfId="13" applyNumberFormat="1" applyFont="1" applyFill="1" applyBorder="1" applyAlignment="1">
      <alignment horizontal="right" vertical="center"/>
    </xf>
    <xf numFmtId="186" fontId="118" fillId="9" borderId="88" xfId="13" applyNumberFormat="1" applyFont="1" applyFill="1" applyBorder="1" applyAlignment="1">
      <alignment horizontal="right" vertical="center"/>
    </xf>
    <xf numFmtId="10" fontId="118" fillId="0" borderId="22" xfId="13" applyNumberFormat="1" applyFont="1" applyBorder="1" applyAlignment="1"/>
    <xf numFmtId="197" fontId="118" fillId="9" borderId="88" xfId="13" applyNumberFormat="1" applyFont="1" applyFill="1" applyBorder="1" applyAlignment="1">
      <alignment horizontal="right" vertical="center"/>
    </xf>
    <xf numFmtId="0" fontId="118" fillId="0" borderId="23" xfId="11" applyFont="1" applyBorder="1" applyAlignment="1">
      <alignment vertical="center"/>
    </xf>
    <xf numFmtId="183" fontId="118" fillId="0" borderId="23" xfId="11" applyNumberFormat="1" applyFont="1" applyBorder="1" applyAlignment="1">
      <alignment vertical="center"/>
    </xf>
    <xf numFmtId="0" fontId="118" fillId="0" borderId="90" xfId="11" applyFont="1" applyBorder="1" applyAlignment="1">
      <alignment vertical="center"/>
    </xf>
    <xf numFmtId="197" fontId="118" fillId="9" borderId="91" xfId="13" applyNumberFormat="1" applyFont="1" applyFill="1" applyBorder="1" applyAlignment="1">
      <alignment horizontal="right" vertical="center"/>
    </xf>
    <xf numFmtId="10" fontId="31" fillId="6" borderId="22" xfId="0" applyNumberFormat="1" applyFont="1" applyFill="1" applyBorder="1" applyAlignment="1">
      <alignment shrinkToFit="1"/>
    </xf>
    <xf numFmtId="3" fontId="31" fillId="9" borderId="22" xfId="0" applyNumberFormat="1" applyFont="1" applyFill="1" applyBorder="1" applyAlignment="1">
      <alignment shrinkToFit="1"/>
    </xf>
    <xf numFmtId="4" fontId="31" fillId="9" borderId="22" xfId="0" applyNumberFormat="1" applyFont="1" applyFill="1" applyBorder="1" applyAlignment="1">
      <alignment horizontal="right" shrinkToFit="1"/>
    </xf>
    <xf numFmtId="186" fontId="31" fillId="9" borderId="22" xfId="0" applyNumberFormat="1" applyFont="1" applyFill="1" applyBorder="1" applyAlignment="1">
      <alignment shrinkToFit="1"/>
    </xf>
    <xf numFmtId="183" fontId="31" fillId="9" borderId="22" xfId="0" applyNumberFormat="1" applyFont="1" applyFill="1" applyBorder="1" applyAlignment="1">
      <alignment shrinkToFit="1"/>
    </xf>
    <xf numFmtId="183" fontId="31" fillId="6" borderId="22" xfId="0" applyNumberFormat="1" applyFont="1" applyFill="1" applyBorder="1" applyAlignment="1">
      <alignment shrinkToFit="1"/>
    </xf>
    <xf numFmtId="10" fontId="31" fillId="6" borderId="22" xfId="14" applyNumberFormat="1" applyFont="1" applyFill="1" applyBorder="1" applyAlignment="1">
      <alignment shrinkToFit="1"/>
    </xf>
    <xf numFmtId="10" fontId="31" fillId="6" borderId="22" xfId="14" applyNumberFormat="1" applyFont="1" applyFill="1" applyBorder="1" applyAlignment="1">
      <alignment horizontal="right" shrinkToFit="1"/>
    </xf>
    <xf numFmtId="186" fontId="31" fillId="6" borderId="22" xfId="14" applyNumberFormat="1" applyFont="1" applyFill="1" applyBorder="1" applyAlignment="1">
      <alignment horizontal="right" shrinkToFit="1"/>
    </xf>
    <xf numFmtId="10" fontId="118" fillId="0" borderId="88" xfId="13" applyNumberFormat="1" applyFont="1" applyFill="1" applyBorder="1" applyAlignment="1">
      <alignment horizontal="right" vertical="center"/>
    </xf>
    <xf numFmtId="0" fontId="118" fillId="0" borderId="87" xfId="11" applyFont="1" applyBorder="1" applyAlignment="1">
      <alignment horizontal="left" vertical="center"/>
    </xf>
    <xf numFmtId="0" fontId="118" fillId="0" borderId="92" xfId="11" applyFont="1" applyBorder="1" applyAlignment="1">
      <alignment horizontal="left" vertical="center"/>
    </xf>
    <xf numFmtId="0" fontId="118" fillId="0" borderId="89" xfId="11" applyFont="1" applyBorder="1" applyAlignment="1">
      <alignment horizontal="left" vertical="center"/>
    </xf>
    <xf numFmtId="0" fontId="117" fillId="0" borderId="84" xfId="11" applyFont="1" applyBorder="1" applyAlignment="1">
      <alignment horizontal="center" vertical="center"/>
    </xf>
    <xf numFmtId="0" fontId="117" fillId="0" borderId="85" xfId="11" applyFont="1" applyBorder="1" applyAlignment="1">
      <alignment horizontal="center" vertical="center"/>
    </xf>
    <xf numFmtId="0" fontId="118" fillId="0" borderId="93" xfId="11" applyFont="1" applyBorder="1" applyAlignment="1">
      <alignment horizontal="left" vertical="center"/>
    </xf>
    <xf numFmtId="0" fontId="118" fillId="0" borderId="94" xfId="11" applyFont="1" applyBorder="1" applyAlignment="1">
      <alignment horizontal="left" vertical="center"/>
    </xf>
    <xf numFmtId="0" fontId="72" fillId="0" borderId="0" xfId="0" applyFont="1" applyAlignment="1">
      <alignment horizontal="center" vertical="center" shrinkToFit="1"/>
    </xf>
    <xf numFmtId="0" fontId="45" fillId="0" borderId="0" xfId="0" applyFont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52" fillId="9" borderId="27" xfId="0" applyFont="1" applyFill="1" applyBorder="1" applyAlignment="1">
      <alignment horizontal="center" vertical="center" shrinkToFit="1"/>
    </xf>
    <xf numFmtId="0" fontId="52" fillId="9" borderId="25" xfId="0" applyFont="1" applyFill="1" applyBorder="1" applyAlignment="1">
      <alignment horizontal="center" vertical="center" shrinkToFit="1"/>
    </xf>
    <xf numFmtId="17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88" fontId="29" fillId="0" borderId="0" xfId="0" applyNumberFormat="1" applyFont="1" applyAlignment="1">
      <alignment horizontal="center"/>
    </xf>
    <xf numFmtId="190" fontId="29" fillId="0" borderId="0" xfId="0" applyNumberFormat="1" applyFont="1" applyAlignment="1">
      <alignment horizontal="center"/>
    </xf>
    <xf numFmtId="185" fontId="29" fillId="0" borderId="0" xfId="13" applyNumberFormat="1" applyFont="1" applyAlignment="1">
      <alignment horizontal="center"/>
    </xf>
    <xf numFmtId="185" fontId="29" fillId="0" borderId="0" xfId="0" applyNumberFormat="1" applyFont="1" applyAlignment="1">
      <alignment horizontal="center"/>
    </xf>
    <xf numFmtId="189" fontId="29" fillId="0" borderId="0" xfId="0" applyNumberFormat="1" applyFont="1" applyAlignment="1">
      <alignment horizontal="center"/>
    </xf>
    <xf numFmtId="0" fontId="97" fillId="0" borderId="0" xfId="0" applyFont="1" applyAlignment="1">
      <alignment horizontal="center" vertical="center"/>
    </xf>
    <xf numFmtId="10" fontId="30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30" fillId="8" borderId="0" xfId="0" applyNumberFormat="1" applyFont="1" applyFill="1" applyAlignment="1">
      <alignment horizontal="center" vertical="center"/>
    </xf>
    <xf numFmtId="178" fontId="30" fillId="6" borderId="0" xfId="0" applyNumberFormat="1" applyFont="1" applyFill="1" applyAlignment="1">
      <alignment horizontal="center" vertical="center"/>
    </xf>
    <xf numFmtId="176" fontId="30" fillId="5" borderId="0" xfId="0" applyNumberFormat="1" applyFont="1" applyFill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shrinkToFit="1"/>
    </xf>
    <xf numFmtId="178" fontId="30" fillId="0" borderId="0" xfId="0" applyNumberFormat="1" applyFont="1" applyAlignment="1">
      <alignment horizontal="center" vertical="center"/>
    </xf>
    <xf numFmtId="10" fontId="29" fillId="0" borderId="0" xfId="0" applyNumberFormat="1" applyFont="1" applyAlignment="1">
      <alignment horizontal="center"/>
    </xf>
    <xf numFmtId="180" fontId="29" fillId="0" borderId="0" xfId="0" applyNumberFormat="1" applyFont="1" applyAlignment="1">
      <alignment horizontal="center"/>
    </xf>
    <xf numFmtId="186" fontId="29" fillId="0" borderId="0" xfId="0" applyNumberFormat="1" applyFont="1" applyAlignment="1">
      <alignment horizontal="center"/>
    </xf>
    <xf numFmtId="0" fontId="108" fillId="0" borderId="0" xfId="0" applyFont="1" applyAlignment="1">
      <alignment horizontal="center" vertical="center"/>
    </xf>
    <xf numFmtId="10" fontId="18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181" fontId="18" fillId="0" borderId="0" xfId="0" applyNumberFormat="1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182" fontId="30" fillId="0" borderId="22" xfId="0" applyNumberFormat="1" applyFont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shrinkToFit="1"/>
    </xf>
    <xf numFmtId="0" fontId="31" fillId="0" borderId="23" xfId="0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189" fontId="30" fillId="0" borderId="22" xfId="0" applyNumberFormat="1" applyFont="1" applyBorder="1" applyAlignment="1">
      <alignment horizontal="center" vertical="center"/>
    </xf>
    <xf numFmtId="189" fontId="30" fillId="0" borderId="23" xfId="0" applyNumberFormat="1" applyFont="1" applyBorder="1" applyAlignment="1">
      <alignment horizontal="center" vertical="center"/>
    </xf>
    <xf numFmtId="179" fontId="17" fillId="0" borderId="23" xfId="0" applyNumberFormat="1" applyFont="1" applyBorder="1" applyAlignment="1">
      <alignment horizontal="center" vertical="center"/>
    </xf>
    <xf numFmtId="179" fontId="17" fillId="0" borderId="29" xfId="0" applyNumberFormat="1" applyFont="1" applyBorder="1" applyAlignment="1">
      <alignment horizontal="center" vertical="center"/>
    </xf>
    <xf numFmtId="179" fontId="17" fillId="0" borderId="30" xfId="0" applyNumberFormat="1" applyFont="1" applyBorder="1" applyAlignment="1">
      <alignment horizontal="center" vertical="center"/>
    </xf>
    <xf numFmtId="0" fontId="119" fillId="0" borderId="22" xfId="0" applyFont="1" applyBorder="1" applyAlignment="1">
      <alignment horizontal="center" vertical="center"/>
    </xf>
    <xf numFmtId="189" fontId="29" fillId="0" borderId="29" xfId="0" applyNumberFormat="1" applyFont="1" applyBorder="1" applyAlignment="1">
      <alignment horizontal="center" vertical="center"/>
    </xf>
    <xf numFmtId="189" fontId="29" fillId="0" borderId="30" xfId="0" applyNumberFormat="1" applyFont="1" applyBorder="1" applyAlignment="1">
      <alignment horizontal="center" vertical="center"/>
    </xf>
    <xf numFmtId="182" fontId="17" fillId="0" borderId="22" xfId="0" applyNumberFormat="1" applyFont="1" applyBorder="1" applyAlignment="1">
      <alignment horizontal="center" shrinkToFit="1"/>
    </xf>
    <xf numFmtId="189" fontId="29" fillId="0" borderId="23" xfId="0" applyNumberFormat="1" applyFont="1" applyBorder="1" applyAlignment="1">
      <alignment horizontal="center"/>
    </xf>
    <xf numFmtId="189" fontId="29" fillId="0" borderId="29" xfId="0" applyNumberFormat="1" applyFont="1" applyBorder="1" applyAlignment="1">
      <alignment horizontal="center"/>
    </xf>
    <xf numFmtId="0" fontId="97" fillId="0" borderId="29" xfId="0" applyFont="1" applyBorder="1" applyAlignment="1">
      <alignment horizontal="center" vertical="center"/>
    </xf>
    <xf numFmtId="0" fontId="97" fillId="0" borderId="30" xfId="0" applyFont="1" applyBorder="1" applyAlignment="1">
      <alignment horizontal="center" vertical="center"/>
    </xf>
    <xf numFmtId="0" fontId="97" fillId="0" borderId="23" xfId="0" applyFont="1" applyBorder="1" applyAlignment="1">
      <alignment horizontal="center" vertical="center"/>
    </xf>
    <xf numFmtId="177" fontId="17" fillId="0" borderId="22" xfId="0" applyNumberFormat="1" applyFont="1" applyBorder="1" applyAlignment="1">
      <alignment horizontal="center"/>
    </xf>
    <xf numFmtId="190" fontId="29" fillId="0" borderId="23" xfId="0" applyNumberFormat="1" applyFont="1" applyBorder="1" applyAlignment="1">
      <alignment horizontal="center"/>
    </xf>
    <xf numFmtId="190" fontId="29" fillId="0" borderId="29" xfId="0" applyNumberFormat="1" applyFont="1" applyBorder="1" applyAlignment="1">
      <alignment horizontal="center"/>
    </xf>
    <xf numFmtId="190" fontId="29" fillId="0" borderId="30" xfId="0" applyNumberFormat="1" applyFont="1" applyBorder="1" applyAlignment="1">
      <alignment horizontal="center"/>
    </xf>
    <xf numFmtId="179" fontId="17" fillId="0" borderId="22" xfId="0" applyNumberFormat="1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94" fillId="0" borderId="22" xfId="0" applyFont="1" applyBorder="1" applyAlignment="1">
      <alignment horizontal="center" vertical="center"/>
    </xf>
    <xf numFmtId="177" fontId="35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/>
    </xf>
    <xf numFmtId="177" fontId="30" fillId="0" borderId="23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 shrinkToFit="1"/>
    </xf>
    <xf numFmtId="0" fontId="34" fillId="0" borderId="23" xfId="0" applyFont="1" applyBorder="1" applyAlignment="1">
      <alignment horizontal="center" vertical="center"/>
    </xf>
    <xf numFmtId="177" fontId="82" fillId="0" borderId="22" xfId="0" applyNumberFormat="1" applyFont="1" applyBorder="1" applyAlignment="1">
      <alignment horizontal="center" vertical="center"/>
    </xf>
    <xf numFmtId="183" fontId="17" fillId="0" borderId="23" xfId="0" applyNumberFormat="1" applyFont="1" applyBorder="1" applyAlignment="1">
      <alignment horizontal="center" vertical="center" shrinkToFit="1"/>
    </xf>
    <xf numFmtId="183" fontId="17" fillId="0" borderId="29" xfId="0" applyNumberFormat="1" applyFont="1" applyBorder="1" applyAlignment="1">
      <alignment horizontal="center" vertical="center" shrinkToFit="1"/>
    </xf>
    <xf numFmtId="183" fontId="17" fillId="0" borderId="30" xfId="0" applyNumberFormat="1" applyFont="1" applyBorder="1" applyAlignment="1">
      <alignment horizontal="center" vertical="center" shrinkToFit="1"/>
    </xf>
    <xf numFmtId="0" fontId="17" fillId="0" borderId="23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183" fontId="17" fillId="0" borderId="23" xfId="0" applyNumberFormat="1" applyFont="1" applyBorder="1" applyAlignment="1">
      <alignment horizontal="center" vertical="center"/>
    </xf>
    <xf numFmtId="183" fontId="17" fillId="0" borderId="29" xfId="0" applyNumberFormat="1" applyFont="1" applyBorder="1" applyAlignment="1">
      <alignment horizontal="center" vertical="center"/>
    </xf>
    <xf numFmtId="183" fontId="17" fillId="0" borderId="30" xfId="0" applyNumberFormat="1" applyFont="1" applyBorder="1" applyAlignment="1">
      <alignment horizontal="center" vertical="center"/>
    </xf>
    <xf numFmtId="183" fontId="17" fillId="9" borderId="23" xfId="0" applyNumberFormat="1" applyFont="1" applyFill="1" applyBorder="1" applyAlignment="1">
      <alignment horizontal="center" vertical="center" shrinkToFit="1"/>
    </xf>
    <xf numFmtId="183" fontId="17" fillId="9" borderId="29" xfId="0" applyNumberFormat="1" applyFont="1" applyFill="1" applyBorder="1" applyAlignment="1">
      <alignment horizontal="center" vertical="center" shrinkToFit="1"/>
    </xf>
    <xf numFmtId="183" fontId="17" fillId="9" borderId="30" xfId="0" applyNumberFormat="1" applyFont="1" applyFill="1" applyBorder="1" applyAlignment="1">
      <alignment horizontal="center" vertical="center" shrinkToFit="1"/>
    </xf>
    <xf numFmtId="0" fontId="17" fillId="0" borderId="23" xfId="0" applyFont="1" applyBorder="1" applyAlignment="1">
      <alignment horizontal="center" vertical="center" shrinkToFit="1"/>
    </xf>
    <xf numFmtId="0" fontId="17" fillId="0" borderId="29" xfId="0" applyFont="1" applyBorder="1" applyAlignment="1">
      <alignment horizontal="center" vertical="center" shrinkToFit="1"/>
    </xf>
    <xf numFmtId="0" fontId="17" fillId="0" borderId="30" xfId="0" applyFont="1" applyBorder="1" applyAlignment="1">
      <alignment horizontal="center" vertical="center" shrinkToFit="1"/>
    </xf>
    <xf numFmtId="0" fontId="17" fillId="0" borderId="27" xfId="0" applyFont="1" applyBorder="1" applyAlignment="1">
      <alignment horizontal="center" vertical="center" shrinkToFit="1"/>
    </xf>
    <xf numFmtId="0" fontId="17" fillId="0" borderId="28" xfId="0" applyFont="1" applyBorder="1" applyAlignment="1">
      <alignment horizontal="center" vertical="center" shrinkToFit="1"/>
    </xf>
    <xf numFmtId="0" fontId="17" fillId="0" borderId="25" xfId="0" applyFont="1" applyBorder="1" applyAlignment="1">
      <alignment horizontal="center" vertical="center" shrinkToFit="1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9" borderId="27" xfId="0" applyFont="1" applyFill="1" applyBorder="1" applyAlignment="1">
      <alignment horizontal="center" vertical="center" shrinkToFit="1"/>
    </xf>
    <xf numFmtId="0" fontId="17" fillId="9" borderId="28" xfId="0" applyFont="1" applyFill="1" applyBorder="1" applyAlignment="1">
      <alignment horizontal="center" vertical="center" shrinkToFit="1"/>
    </xf>
    <xf numFmtId="0" fontId="17" fillId="9" borderId="25" xfId="0" applyFont="1" applyFill="1" applyBorder="1" applyAlignment="1">
      <alignment horizontal="center" vertical="center" shrinkToFit="1"/>
    </xf>
    <xf numFmtId="179" fontId="17" fillId="5" borderId="27" xfId="0" applyNumberFormat="1" applyFont="1" applyFill="1" applyBorder="1" applyAlignment="1">
      <alignment horizontal="center" vertical="center" shrinkToFit="1"/>
    </xf>
    <xf numFmtId="179" fontId="17" fillId="5" borderId="28" xfId="0" applyNumberFormat="1" applyFont="1" applyFill="1" applyBorder="1" applyAlignment="1">
      <alignment horizontal="center" vertical="center" shrinkToFit="1"/>
    </xf>
    <xf numFmtId="179" fontId="17" fillId="5" borderId="25" xfId="0" applyNumberFormat="1" applyFont="1" applyFill="1" applyBorder="1" applyAlignment="1">
      <alignment horizontal="center" vertical="center" shrinkToFit="1"/>
    </xf>
    <xf numFmtId="187" fontId="17" fillId="5" borderId="27" xfId="0" applyNumberFormat="1" applyFont="1" applyFill="1" applyBorder="1" applyAlignment="1">
      <alignment horizontal="center" vertical="center" shrinkToFit="1"/>
    </xf>
    <xf numFmtId="187" fontId="17" fillId="5" borderId="28" xfId="0" applyNumberFormat="1" applyFont="1" applyFill="1" applyBorder="1" applyAlignment="1">
      <alignment horizontal="center" vertical="center" shrinkToFit="1"/>
    </xf>
    <xf numFmtId="187" fontId="17" fillId="5" borderId="25" xfId="0" applyNumberFormat="1" applyFont="1" applyFill="1" applyBorder="1" applyAlignment="1">
      <alignment horizontal="center" vertical="center" shrinkToFit="1"/>
    </xf>
    <xf numFmtId="187" fontId="17" fillId="8" borderId="27" xfId="0" applyNumberFormat="1" applyFont="1" applyFill="1" applyBorder="1" applyAlignment="1">
      <alignment horizontal="center" vertical="center" shrinkToFit="1"/>
    </xf>
    <xf numFmtId="187" fontId="17" fillId="8" borderId="28" xfId="0" applyNumberFormat="1" applyFont="1" applyFill="1" applyBorder="1" applyAlignment="1">
      <alignment horizontal="center" vertical="center" shrinkToFit="1"/>
    </xf>
    <xf numFmtId="187" fontId="17" fillId="8" borderId="25" xfId="0" applyNumberFormat="1" applyFont="1" applyFill="1" applyBorder="1" applyAlignment="1">
      <alignment horizontal="center" vertical="center" shrinkToFi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9" borderId="23" xfId="0" applyFont="1" applyFill="1" applyBorder="1" applyAlignment="1">
      <alignment horizontal="center" vertical="center" shrinkToFit="1"/>
    </xf>
    <xf numFmtId="0" fontId="17" fillId="9" borderId="29" xfId="0" applyFont="1" applyFill="1" applyBorder="1" applyAlignment="1">
      <alignment horizontal="center" vertical="center" shrinkToFit="1"/>
    </xf>
    <xf numFmtId="0" fontId="17" fillId="9" borderId="30" xfId="0" applyFont="1" applyFill="1" applyBorder="1" applyAlignment="1">
      <alignment horizontal="center" vertical="center" shrinkToFit="1"/>
    </xf>
    <xf numFmtId="185" fontId="17" fillId="0" borderId="23" xfId="13" applyNumberFormat="1" applyFont="1" applyBorder="1" applyAlignment="1">
      <alignment horizontal="center" vertical="center" shrinkToFit="1"/>
    </xf>
    <xf numFmtId="185" fontId="17" fillId="0" borderId="29" xfId="13" applyNumberFormat="1" applyFont="1" applyBorder="1" applyAlignment="1">
      <alignment horizontal="center" vertical="center" shrinkToFit="1"/>
    </xf>
    <xf numFmtId="185" fontId="17" fillId="0" borderId="30" xfId="13" applyNumberFormat="1" applyFont="1" applyBorder="1" applyAlignment="1">
      <alignment horizontal="center" vertical="center" shrinkToFit="1"/>
    </xf>
    <xf numFmtId="0" fontId="121" fillId="11" borderId="37" xfId="0" applyFont="1" applyFill="1" applyBorder="1" applyAlignment="1">
      <alignment horizontal="left" vertical="center"/>
    </xf>
    <xf numFmtId="0" fontId="121" fillId="11" borderId="32" xfId="0" applyFont="1" applyFill="1" applyBorder="1" applyAlignment="1">
      <alignment horizontal="left" vertical="center"/>
    </xf>
    <xf numFmtId="0" fontId="121" fillId="11" borderId="26" xfId="0" applyFont="1" applyFill="1" applyBorder="1" applyAlignment="1">
      <alignment horizontal="left" vertical="center"/>
    </xf>
    <xf numFmtId="0" fontId="121" fillId="11" borderId="36" xfId="0" applyFont="1" applyFill="1" applyBorder="1" applyAlignment="1">
      <alignment horizontal="left" vertical="center"/>
    </xf>
    <xf numFmtId="179" fontId="17" fillId="8" borderId="27" xfId="0" applyNumberFormat="1" applyFont="1" applyFill="1" applyBorder="1" applyAlignment="1">
      <alignment horizontal="center" vertical="center" shrinkToFit="1"/>
    </xf>
    <xf numFmtId="179" fontId="17" fillId="8" borderId="28" xfId="0" applyNumberFormat="1" applyFont="1" applyFill="1" applyBorder="1" applyAlignment="1">
      <alignment horizontal="center" vertical="center" shrinkToFit="1"/>
    </xf>
    <xf numFmtId="179" fontId="17" fillId="8" borderId="25" xfId="0" applyNumberFormat="1" applyFont="1" applyFill="1" applyBorder="1" applyAlignment="1">
      <alignment horizontal="center" vertical="center" shrinkToFit="1"/>
    </xf>
    <xf numFmtId="183" fontId="17" fillId="0" borderId="22" xfId="0" applyNumberFormat="1" applyFont="1" applyBorder="1" applyAlignment="1">
      <alignment horizontal="center" vertical="center" shrinkToFit="1"/>
    </xf>
    <xf numFmtId="183" fontId="17" fillId="0" borderId="22" xfId="0" applyNumberFormat="1" applyFont="1" applyBorder="1" applyAlignment="1">
      <alignment horizontal="center" vertical="center"/>
    </xf>
    <xf numFmtId="183" fontId="17" fillId="9" borderId="22" xfId="0" applyNumberFormat="1" applyFont="1" applyFill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0" fontId="17" fillId="9" borderId="22" xfId="0" applyFont="1" applyFill="1" applyBorder="1" applyAlignment="1">
      <alignment horizontal="center" vertical="center" shrinkToFit="1"/>
    </xf>
    <xf numFmtId="187" fontId="17" fillId="5" borderId="22" xfId="0" applyNumberFormat="1" applyFont="1" applyFill="1" applyBorder="1" applyAlignment="1">
      <alignment horizontal="center" vertical="center" shrinkToFit="1"/>
    </xf>
    <xf numFmtId="187" fontId="17" fillId="8" borderId="22" xfId="0" applyNumberFormat="1" applyFont="1" applyFill="1" applyBorder="1" applyAlignment="1">
      <alignment horizontal="center" vertical="center" shrinkToFit="1"/>
    </xf>
    <xf numFmtId="185" fontId="17" fillId="0" borderId="22" xfId="13" applyNumberFormat="1" applyFont="1" applyBorder="1" applyAlignment="1">
      <alignment horizontal="center" vertical="center" shrinkToFit="1"/>
    </xf>
    <xf numFmtId="0" fontId="120" fillId="0" borderId="37" xfId="0" applyFont="1" applyBorder="1" applyAlignment="1">
      <alignment horizontal="left" vertical="center"/>
    </xf>
    <xf numFmtId="0" fontId="111" fillId="0" borderId="37" xfId="0" applyFont="1" applyBorder="1" applyAlignment="1">
      <alignment horizontal="left" vertical="center"/>
    </xf>
    <xf numFmtId="0" fontId="111" fillId="0" borderId="32" xfId="0" applyFont="1" applyBorder="1" applyAlignment="1">
      <alignment horizontal="left" vertical="center"/>
    </xf>
    <xf numFmtId="0" fontId="111" fillId="0" borderId="26" xfId="0" applyFont="1" applyBorder="1" applyAlignment="1">
      <alignment horizontal="left" vertical="center"/>
    </xf>
    <xf numFmtId="0" fontId="111" fillId="0" borderId="36" xfId="0" applyFont="1" applyBorder="1" applyAlignment="1">
      <alignment horizontal="left" vertical="center"/>
    </xf>
    <xf numFmtId="179" fontId="17" fillId="5" borderId="22" xfId="0" applyNumberFormat="1" applyFont="1" applyFill="1" applyBorder="1" applyAlignment="1">
      <alignment horizontal="center" vertical="center" shrinkToFit="1"/>
    </xf>
    <xf numFmtId="0" fontId="17" fillId="5" borderId="22" xfId="0" applyFont="1" applyFill="1" applyBorder="1" applyAlignment="1">
      <alignment horizontal="center" vertical="center" shrinkToFit="1"/>
    </xf>
    <xf numFmtId="179" fontId="17" fillId="8" borderId="22" xfId="0" applyNumberFormat="1" applyFont="1" applyFill="1" applyBorder="1" applyAlignment="1">
      <alignment horizontal="center" vertical="center" shrinkToFit="1"/>
    </xf>
    <xf numFmtId="0" fontId="17" fillId="8" borderId="22" xfId="0" applyFont="1" applyFill="1" applyBorder="1" applyAlignment="1">
      <alignment horizontal="center" vertical="center" shrinkToFit="1"/>
    </xf>
    <xf numFmtId="0" fontId="90" fillId="0" borderId="37" xfId="0" applyFont="1" applyBorder="1" applyAlignment="1">
      <alignment horizontal="left" vertical="center"/>
    </xf>
    <xf numFmtId="0" fontId="54" fillId="0" borderId="37" xfId="0" applyFont="1" applyBorder="1" applyAlignment="1">
      <alignment horizontal="left" vertical="center"/>
    </xf>
    <xf numFmtId="0" fontId="54" fillId="0" borderId="32" xfId="0" applyFont="1" applyBorder="1" applyAlignment="1">
      <alignment horizontal="left" vertical="center"/>
    </xf>
    <xf numFmtId="0" fontId="54" fillId="0" borderId="26" xfId="0" applyFont="1" applyBorder="1" applyAlignment="1">
      <alignment horizontal="left" vertical="center"/>
    </xf>
    <xf numFmtId="0" fontId="54" fillId="0" borderId="36" xfId="0" applyFont="1" applyBorder="1" applyAlignment="1">
      <alignment horizontal="left" vertical="center"/>
    </xf>
    <xf numFmtId="0" fontId="110" fillId="0" borderId="37" xfId="0" applyFont="1" applyBorder="1" applyAlignment="1">
      <alignment horizontal="left" vertical="center"/>
    </xf>
    <xf numFmtId="179" fontId="17" fillId="5" borderId="27" xfId="0" applyNumberFormat="1" applyFont="1" applyFill="1" applyBorder="1" applyAlignment="1">
      <alignment horizontal="center" vertical="center"/>
    </xf>
    <xf numFmtId="179" fontId="17" fillId="5" borderId="28" xfId="0" applyNumberFormat="1" applyFont="1" applyFill="1" applyBorder="1" applyAlignment="1">
      <alignment horizontal="center" vertical="center"/>
    </xf>
    <xf numFmtId="179" fontId="17" fillId="5" borderId="25" xfId="0" applyNumberFormat="1" applyFont="1" applyFill="1" applyBorder="1" applyAlignment="1">
      <alignment horizontal="center" vertical="center"/>
    </xf>
    <xf numFmtId="187" fontId="17" fillId="5" borderId="22" xfId="0" applyNumberFormat="1" applyFont="1" applyFill="1" applyBorder="1" applyAlignment="1">
      <alignment horizontal="center" vertical="center"/>
    </xf>
    <xf numFmtId="187" fontId="17" fillId="8" borderId="22" xfId="0" applyNumberFormat="1" applyFont="1" applyFill="1" applyBorder="1" applyAlignment="1">
      <alignment horizontal="center" vertical="center"/>
    </xf>
    <xf numFmtId="187" fontId="17" fillId="5" borderId="27" xfId="0" applyNumberFormat="1" applyFont="1" applyFill="1" applyBorder="1" applyAlignment="1">
      <alignment horizontal="center" vertical="center"/>
    </xf>
    <xf numFmtId="187" fontId="17" fillId="5" borderId="28" xfId="0" applyNumberFormat="1" applyFont="1" applyFill="1" applyBorder="1" applyAlignment="1">
      <alignment horizontal="center" vertical="center"/>
    </xf>
    <xf numFmtId="187" fontId="17" fillId="5" borderId="25" xfId="0" applyNumberFormat="1" applyFont="1" applyFill="1" applyBorder="1" applyAlignment="1">
      <alignment horizontal="center" vertical="center"/>
    </xf>
    <xf numFmtId="179" fontId="17" fillId="5" borderId="22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179" fontId="17" fillId="8" borderId="22" xfId="0" applyNumberFormat="1" applyFont="1" applyFill="1" applyBorder="1" applyAlignment="1">
      <alignment horizontal="center" vertical="center"/>
    </xf>
    <xf numFmtId="0" fontId="17" fillId="8" borderId="22" xfId="0" applyFont="1" applyFill="1" applyBorder="1" applyAlignment="1">
      <alignment horizontal="center" vertical="center"/>
    </xf>
    <xf numFmtId="0" fontId="90" fillId="0" borderId="32" xfId="0" applyFont="1" applyBorder="1" applyAlignment="1">
      <alignment horizontal="left" vertical="center"/>
    </xf>
    <xf numFmtId="0" fontId="90" fillId="0" borderId="26" xfId="0" applyFont="1" applyBorder="1" applyAlignment="1">
      <alignment horizontal="left" vertical="center"/>
    </xf>
    <xf numFmtId="0" fontId="90" fillId="0" borderId="36" xfId="0" applyFont="1" applyBorder="1" applyAlignment="1">
      <alignment horizontal="left" vertical="center"/>
    </xf>
    <xf numFmtId="179" fontId="17" fillId="8" borderId="27" xfId="0" applyNumberFormat="1" applyFont="1" applyFill="1" applyBorder="1" applyAlignment="1">
      <alignment horizontal="center" vertical="center"/>
    </xf>
    <xf numFmtId="179" fontId="17" fillId="8" borderId="28" xfId="0" applyNumberFormat="1" applyFont="1" applyFill="1" applyBorder="1" applyAlignment="1">
      <alignment horizontal="center" vertical="center"/>
    </xf>
    <xf numFmtId="179" fontId="17" fillId="8" borderId="25" xfId="0" applyNumberFormat="1" applyFont="1" applyFill="1" applyBorder="1" applyAlignment="1">
      <alignment horizontal="center" vertical="center"/>
    </xf>
    <xf numFmtId="187" fontId="17" fillId="8" borderId="27" xfId="0" applyNumberFormat="1" applyFont="1" applyFill="1" applyBorder="1" applyAlignment="1">
      <alignment horizontal="center" vertical="center"/>
    </xf>
    <xf numFmtId="187" fontId="17" fillId="8" borderId="28" xfId="0" applyNumberFormat="1" applyFont="1" applyFill="1" applyBorder="1" applyAlignment="1">
      <alignment horizontal="center" vertical="center"/>
    </xf>
    <xf numFmtId="187" fontId="17" fillId="8" borderId="25" xfId="0" applyNumberFormat="1" applyFont="1" applyFill="1" applyBorder="1" applyAlignment="1">
      <alignment horizontal="center" vertical="center"/>
    </xf>
    <xf numFmtId="0" fontId="60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75" fillId="0" borderId="22" xfId="0" applyFont="1" applyBorder="1" applyAlignment="1">
      <alignment horizontal="center" shrinkToFit="1"/>
    </xf>
    <xf numFmtId="0" fontId="18" fillId="0" borderId="22" xfId="0" applyFont="1" applyBorder="1" applyAlignment="1">
      <alignment horizontal="center" vertical="center" shrinkToFit="1"/>
    </xf>
    <xf numFmtId="0" fontId="60" fillId="2" borderId="22" xfId="0" applyFont="1" applyFill="1" applyBorder="1" applyAlignment="1">
      <alignment horizontal="center" vertical="center" shrinkToFit="1"/>
    </xf>
    <xf numFmtId="0" fontId="54" fillId="0" borderId="0" xfId="0" applyFont="1" applyAlignment="1">
      <alignment horizontal="left" vertical="center" shrinkToFit="1"/>
    </xf>
    <xf numFmtId="0" fontId="75" fillId="0" borderId="22" xfId="0" applyFont="1" applyBorder="1" applyAlignment="1">
      <alignment horizontal="center" vertical="center" shrinkToFit="1"/>
    </xf>
    <xf numFmtId="0" fontId="60" fillId="2" borderId="22" xfId="11" applyFont="1" applyFill="1" applyBorder="1" applyAlignment="1">
      <alignment horizontal="center" shrinkToFit="1"/>
    </xf>
    <xf numFmtId="0" fontId="75" fillId="0" borderId="22" xfId="11" applyFont="1" applyBorder="1" applyAlignment="1">
      <alignment horizontal="center" shrinkToFit="1"/>
    </xf>
    <xf numFmtId="0" fontId="60" fillId="0" borderId="27" xfId="11" applyFont="1" applyBorder="1" applyAlignment="1">
      <alignment shrinkToFit="1"/>
    </xf>
    <xf numFmtId="0" fontId="60" fillId="0" borderId="25" xfId="11" applyFont="1" applyBorder="1" applyAlignment="1">
      <alignment shrinkToFit="1"/>
    </xf>
    <xf numFmtId="0" fontId="112" fillId="0" borderId="27" xfId="11" applyFont="1" applyBorder="1" applyAlignment="1">
      <alignment shrinkToFit="1"/>
    </xf>
    <xf numFmtId="0" fontId="112" fillId="0" borderId="25" xfId="11" applyFont="1" applyBorder="1" applyAlignment="1">
      <alignment shrinkToFit="1"/>
    </xf>
    <xf numFmtId="0" fontId="60" fillId="0" borderId="27" xfId="0" applyFont="1" applyBorder="1" applyAlignment="1">
      <alignment shrinkToFit="1"/>
    </xf>
    <xf numFmtId="0" fontId="60" fillId="0" borderId="25" xfId="0" applyFont="1" applyBorder="1" applyAlignment="1">
      <alignment shrinkToFit="1"/>
    </xf>
    <xf numFmtId="0" fontId="80" fillId="0" borderId="27" xfId="11" applyFont="1" applyBorder="1" applyAlignment="1">
      <alignment shrinkToFit="1"/>
    </xf>
    <xf numFmtId="0" fontId="109" fillId="0" borderId="22" xfId="0" applyFont="1" applyBorder="1" applyAlignment="1">
      <alignment shrinkToFit="1"/>
    </xf>
    <xf numFmtId="0" fontId="80" fillId="0" borderId="27" xfId="0" applyFont="1" applyBorder="1" applyAlignment="1">
      <alignment shrinkToFit="1"/>
    </xf>
    <xf numFmtId="0" fontId="109" fillId="0" borderId="27" xfId="11" applyFont="1" applyBorder="1" applyAlignment="1">
      <alignment shrinkToFit="1"/>
    </xf>
    <xf numFmtId="0" fontId="109" fillId="0" borderId="27" xfId="0" applyFont="1" applyBorder="1" applyAlignment="1">
      <alignment shrinkToFit="1"/>
    </xf>
    <xf numFmtId="0" fontId="60" fillId="0" borderId="28" xfId="0" applyFont="1" applyBorder="1" applyAlignment="1">
      <alignment shrinkToFit="1"/>
    </xf>
    <xf numFmtId="0" fontId="60" fillId="2" borderId="27" xfId="0" applyFont="1" applyFill="1" applyBorder="1" applyAlignment="1">
      <alignment horizontal="center" shrinkToFit="1"/>
    </xf>
    <xf numFmtId="0" fontId="60" fillId="2" borderId="25" xfId="0" applyFont="1" applyFill="1" applyBorder="1" applyAlignment="1">
      <alignment horizontal="center" shrinkToFit="1"/>
    </xf>
    <xf numFmtId="0" fontId="60" fillId="2" borderId="28" xfId="0" applyFont="1" applyFill="1" applyBorder="1" applyAlignment="1">
      <alignment horizontal="center" shrinkToFit="1"/>
    </xf>
    <xf numFmtId="0" fontId="18" fillId="0" borderId="23" xfId="0" applyFont="1" applyBorder="1" applyAlignment="1">
      <alignment horizontal="center" vertical="center" shrinkToFit="1"/>
    </xf>
    <xf numFmtId="0" fontId="18" fillId="0" borderId="29" xfId="0" applyFont="1" applyBorder="1" applyAlignment="1">
      <alignment horizontal="center" vertical="center" shrinkToFit="1"/>
    </xf>
    <xf numFmtId="0" fontId="18" fillId="0" borderId="30" xfId="0" applyFont="1" applyBorder="1" applyAlignment="1">
      <alignment horizontal="center" vertical="center" shrinkToFit="1"/>
    </xf>
    <xf numFmtId="0" fontId="60" fillId="2" borderId="23" xfId="0" applyFont="1" applyFill="1" applyBorder="1" applyAlignment="1">
      <alignment horizontal="center" vertical="center" shrinkToFit="1"/>
    </xf>
    <xf numFmtId="0" fontId="60" fillId="2" borderId="29" xfId="0" applyFont="1" applyFill="1" applyBorder="1" applyAlignment="1">
      <alignment horizontal="center" vertical="center" shrinkToFit="1"/>
    </xf>
    <xf numFmtId="0" fontId="60" fillId="2" borderId="30" xfId="0" applyFont="1" applyFill="1" applyBorder="1" applyAlignment="1">
      <alignment horizontal="center" vertical="center" shrinkToFit="1"/>
    </xf>
    <xf numFmtId="0" fontId="60" fillId="2" borderId="27" xfId="0" applyFont="1" applyFill="1" applyBorder="1" applyAlignment="1">
      <alignment horizontal="center" vertical="center" shrinkToFit="1"/>
    </xf>
    <xf numFmtId="0" fontId="60" fillId="2" borderId="25" xfId="0" applyFont="1" applyFill="1" applyBorder="1" applyAlignment="1">
      <alignment horizontal="center" vertical="center" shrinkToFit="1"/>
    </xf>
    <xf numFmtId="0" fontId="60" fillId="2" borderId="28" xfId="0" applyFont="1" applyFill="1" applyBorder="1" applyAlignment="1">
      <alignment horizontal="center" vertical="center" shrinkToFit="1"/>
    </xf>
    <xf numFmtId="0" fontId="67" fillId="0" borderId="22" xfId="0" applyFont="1" applyBorder="1" applyAlignment="1">
      <alignment shrinkToFit="1"/>
    </xf>
    <xf numFmtId="0" fontId="45" fillId="0" borderId="0" xfId="11" applyFont="1" applyAlignment="1">
      <alignment horizontal="center" vertical="center" shrinkToFit="1"/>
    </xf>
    <xf numFmtId="0" fontId="54" fillId="0" borderId="0" xfId="11" applyFont="1" applyAlignment="1">
      <alignment horizontal="left" vertical="center" shrinkToFit="1"/>
    </xf>
    <xf numFmtId="0" fontId="47" fillId="0" borderId="22" xfId="11" applyFont="1" applyBorder="1" applyAlignment="1">
      <alignment horizontal="center" vertical="center"/>
    </xf>
    <xf numFmtId="0" fontId="31" fillId="0" borderId="22" xfId="11" applyFont="1" applyBorder="1" applyAlignment="1">
      <alignment horizontal="center" vertical="center" shrinkToFit="1"/>
    </xf>
    <xf numFmtId="0" fontId="31" fillId="0" borderId="37" xfId="11" applyFont="1" applyBorder="1" applyAlignment="1">
      <alignment horizontal="center" vertical="center" shrinkToFit="1"/>
    </xf>
    <xf numFmtId="0" fontId="31" fillId="0" borderId="0" xfId="11" applyFont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shrinkToFit="1"/>
    </xf>
    <xf numFmtId="0" fontId="29" fillId="0" borderId="22" xfId="11" applyFont="1" applyBorder="1" applyAlignment="1">
      <alignment horizontal="center" shrinkToFit="1"/>
    </xf>
    <xf numFmtId="0" fontId="58" fillId="0" borderId="22" xfId="11" applyFont="1" applyBorder="1" applyAlignment="1">
      <alignment horizontal="center" vertical="center" shrinkToFit="1"/>
    </xf>
    <xf numFmtId="0" fontId="35" fillId="0" borderId="22" xfId="11" applyFont="1" applyBorder="1" applyAlignment="1">
      <alignment horizontal="center" vertical="center" shrinkToFit="1"/>
    </xf>
    <xf numFmtId="0" fontId="46" fillId="2" borderId="22" xfId="11" applyFont="1" applyFill="1" applyBorder="1" applyAlignment="1">
      <alignment horizontal="center" vertical="center" shrinkToFit="1"/>
    </xf>
    <xf numFmtId="0" fontId="40" fillId="0" borderId="22" xfId="11" applyFont="1" applyBorder="1" applyAlignment="1">
      <alignment horizontal="left" vertical="center" wrapText="1"/>
    </xf>
    <xf numFmtId="0" fontId="31" fillId="2" borderId="35" xfId="11" applyFont="1" applyFill="1" applyBorder="1" applyAlignment="1">
      <alignment horizontal="center" vertical="center" shrinkToFit="1"/>
    </xf>
    <xf numFmtId="0" fontId="31" fillId="2" borderId="26" xfId="11" applyFont="1" applyFill="1" applyBorder="1" applyAlignment="1">
      <alignment horizontal="center" vertical="center" shrinkToFit="1"/>
    </xf>
    <xf numFmtId="0" fontId="31" fillId="2" borderId="43" xfId="11" applyFont="1" applyFill="1" applyBorder="1" applyAlignment="1">
      <alignment horizontal="center" vertical="center" shrinkToFit="1"/>
    </xf>
    <xf numFmtId="0" fontId="31" fillId="2" borderId="57" xfId="11" applyFont="1" applyFill="1" applyBorder="1" applyAlignment="1">
      <alignment horizontal="center" vertical="center" shrinkToFit="1"/>
    </xf>
    <xf numFmtId="0" fontId="31" fillId="2" borderId="58" xfId="11" applyFont="1" applyFill="1" applyBorder="1" applyAlignment="1">
      <alignment horizontal="center" vertical="center" shrinkToFit="1"/>
    </xf>
    <xf numFmtId="0" fontId="31" fillId="2" borderId="59" xfId="11" applyFont="1" applyFill="1" applyBorder="1" applyAlignment="1">
      <alignment horizontal="center" vertical="center" shrinkToFit="1"/>
    </xf>
    <xf numFmtId="0" fontId="31" fillId="2" borderId="27" xfId="11" applyFont="1" applyFill="1" applyBorder="1" applyAlignment="1">
      <alignment horizontal="center" vertical="center" shrinkToFit="1"/>
    </xf>
    <xf numFmtId="0" fontId="31" fillId="2" borderId="28" xfId="11" applyFont="1" applyFill="1" applyBorder="1" applyAlignment="1">
      <alignment horizontal="center" vertical="center" shrinkToFit="1"/>
    </xf>
    <xf numFmtId="0" fontId="31" fillId="2" borderId="25" xfId="11" applyFont="1" applyFill="1" applyBorder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wrapText="1" shrinkToFit="1"/>
    </xf>
    <xf numFmtId="0" fontId="67" fillId="0" borderId="22" xfId="11" applyFont="1" applyBorder="1" applyAlignment="1">
      <alignment horizontal="left" vertical="center" wrapText="1"/>
    </xf>
    <xf numFmtId="0" fontId="67" fillId="2" borderId="22" xfId="11" applyFont="1" applyFill="1" applyBorder="1" applyAlignment="1">
      <alignment horizontal="center" vertical="center" shrinkToFit="1"/>
    </xf>
    <xf numFmtId="0" fontId="31" fillId="2" borderId="22" xfId="11" applyFont="1" applyFill="1" applyBorder="1" applyAlignment="1">
      <alignment horizontal="center" vertical="center" shrinkToFit="1"/>
    </xf>
    <xf numFmtId="0" fontId="40" fillId="0" borderId="22" xfId="11" applyFont="1" applyBorder="1" applyAlignment="1">
      <alignment vertical="center" wrapText="1"/>
    </xf>
    <xf numFmtId="0" fontId="67" fillId="0" borderId="22" xfId="11" applyFont="1" applyBorder="1" applyAlignment="1">
      <alignment vertical="center" wrapText="1"/>
    </xf>
    <xf numFmtId="0" fontId="55" fillId="0" borderId="0" xfId="11" applyFont="1" applyAlignment="1">
      <alignment horizontal="left" vertical="center" shrinkToFit="1"/>
    </xf>
    <xf numFmtId="0" fontId="29" fillId="9" borderId="22" xfId="11" applyFont="1" applyFill="1" applyBorder="1" applyAlignment="1">
      <alignment horizontal="center" vertical="center" shrinkToFit="1"/>
    </xf>
    <xf numFmtId="0" fontId="31" fillId="9" borderId="22" xfId="11" applyFont="1" applyFill="1" applyBorder="1" applyAlignment="1">
      <alignment horizontal="center" vertical="center" shrinkToFit="1"/>
    </xf>
    <xf numFmtId="0" fontId="67" fillId="0" borderId="22" xfId="11" applyFont="1" applyBorder="1" applyAlignment="1">
      <alignment horizontal="center" vertical="center" wrapText="1"/>
    </xf>
    <xf numFmtId="0" fontId="10" fillId="2" borderId="39" xfId="11" applyFont="1" applyFill="1" applyBorder="1" applyAlignment="1">
      <alignment horizontal="center" shrinkToFit="1"/>
    </xf>
    <xf numFmtId="0" fontId="10" fillId="2" borderId="2" xfId="11" applyFont="1" applyFill="1" applyBorder="1" applyAlignment="1">
      <alignment horizontal="center" shrinkToFit="1"/>
    </xf>
    <xf numFmtId="0" fontId="10" fillId="2" borderId="3" xfId="11" applyFont="1" applyFill="1" applyBorder="1" applyAlignment="1">
      <alignment horizontal="center" shrinkToFit="1"/>
    </xf>
    <xf numFmtId="0" fontId="38" fillId="0" borderId="27" xfId="11" applyFont="1" applyBorder="1" applyAlignment="1">
      <alignment horizontal="center" vertical="center" shrinkToFit="1"/>
    </xf>
    <xf numFmtId="0" fontId="38" fillId="0" borderId="25" xfId="11" applyFont="1" applyBorder="1" applyAlignment="1">
      <alignment horizontal="center" vertical="center" shrinkToFit="1"/>
    </xf>
    <xf numFmtId="0" fontId="10" fillId="2" borderId="68" xfId="11" applyFont="1" applyFill="1" applyBorder="1" applyAlignment="1">
      <alignment horizontal="center" vertical="center" shrinkToFit="1"/>
    </xf>
    <xf numFmtId="0" fontId="10" fillId="2" borderId="58" xfId="11" applyFont="1" applyFill="1" applyBorder="1" applyAlignment="1">
      <alignment horizontal="center" vertical="center" shrinkToFit="1"/>
    </xf>
    <xf numFmtId="0" fontId="10" fillId="2" borderId="61" xfId="11" applyFont="1" applyFill="1" applyBorder="1" applyAlignment="1">
      <alignment horizontal="center" vertical="center" shrinkToFit="1"/>
    </xf>
    <xf numFmtId="0" fontId="14" fillId="2" borderId="27" xfId="11" applyFont="1" applyFill="1" applyBorder="1" applyAlignment="1">
      <alignment horizontal="center" vertical="center" shrinkToFit="1"/>
    </xf>
    <xf numFmtId="0" fontId="14" fillId="2" borderId="28" xfId="11" applyFont="1" applyFill="1" applyBorder="1" applyAlignment="1">
      <alignment horizontal="center" vertical="center" shrinkToFit="1"/>
    </xf>
    <xf numFmtId="0" fontId="14" fillId="2" borderId="25" xfId="11" applyFont="1" applyFill="1" applyBorder="1" applyAlignment="1">
      <alignment horizontal="center" vertical="center" shrinkToFit="1"/>
    </xf>
    <xf numFmtId="0" fontId="15" fillId="2" borderId="4" xfId="11" applyFont="1" applyFill="1" applyBorder="1" applyAlignment="1">
      <alignment horizontal="center" vertical="center" shrinkToFit="1"/>
    </xf>
    <xf numFmtId="0" fontId="15" fillId="2" borderId="3" xfId="11" applyFont="1" applyFill="1" applyBorder="1" applyAlignment="1">
      <alignment horizontal="center" vertical="center" shrinkToFit="1"/>
    </xf>
    <xf numFmtId="0" fontId="27" fillId="0" borderId="23" xfId="11" applyBorder="1" applyAlignment="1">
      <alignment horizontal="center" vertical="center" shrinkToFit="1"/>
    </xf>
    <xf numFmtId="0" fontId="27" fillId="0" borderId="29" xfId="11" applyBorder="1" applyAlignment="1">
      <alignment horizontal="center" vertical="center" shrinkToFit="1"/>
    </xf>
    <xf numFmtId="0" fontId="27" fillId="0" borderId="30" xfId="11" applyBorder="1" applyAlignment="1">
      <alignment horizontal="center" vertical="center" shrinkToFit="1"/>
    </xf>
    <xf numFmtId="0" fontId="69" fillId="0" borderId="23" xfId="11" applyFont="1" applyBorder="1" applyAlignment="1">
      <alignment horizontal="center" vertical="center" wrapText="1" shrinkToFit="1"/>
    </xf>
    <xf numFmtId="0" fontId="69" fillId="0" borderId="29" xfId="11" applyFont="1" applyBorder="1" applyAlignment="1">
      <alignment horizontal="center" vertical="center" wrapText="1" shrinkToFit="1"/>
    </xf>
    <xf numFmtId="0" fontId="69" fillId="0" borderId="30" xfId="11" applyFont="1" applyBorder="1" applyAlignment="1">
      <alignment horizontal="center" vertical="center" wrapText="1" shrinkToFit="1"/>
    </xf>
    <xf numFmtId="0" fontId="80" fillId="0" borderId="4" xfId="11" applyFont="1" applyBorder="1" applyAlignment="1">
      <alignment horizontal="center" vertical="center" shrinkToFit="1"/>
    </xf>
    <xf numFmtId="0" fontId="80" fillId="0" borderId="3" xfId="11" applyFont="1" applyBorder="1" applyAlignment="1">
      <alignment horizontal="center" vertical="center" shrinkToFit="1"/>
    </xf>
    <xf numFmtId="0" fontId="80" fillId="0" borderId="4" xfId="11" applyFont="1" applyBorder="1" applyAlignment="1">
      <alignment horizontal="center" shrinkToFit="1"/>
    </xf>
    <xf numFmtId="0" fontId="80" fillId="0" borderId="3" xfId="11" applyFont="1" applyBorder="1" applyAlignment="1">
      <alignment horizontal="center" shrinkToFit="1"/>
    </xf>
    <xf numFmtId="0" fontId="10" fillId="2" borderId="27" xfId="11" applyFont="1" applyFill="1" applyBorder="1" applyAlignment="1">
      <alignment horizontal="center" vertical="center" shrinkToFit="1"/>
    </xf>
    <xf numFmtId="0" fontId="10" fillId="2" borderId="28" xfId="11" applyFont="1" applyFill="1" applyBorder="1" applyAlignment="1">
      <alignment horizontal="center" vertical="center" shrinkToFit="1"/>
    </xf>
    <xf numFmtId="0" fontId="10" fillId="2" borderId="25" xfId="11" applyFont="1" applyFill="1" applyBorder="1" applyAlignment="1">
      <alignment horizontal="center" vertical="center" shrinkToFit="1"/>
    </xf>
    <xf numFmtId="0" fontId="38" fillId="0" borderId="23" xfId="11" applyFont="1" applyBorder="1" applyAlignment="1">
      <alignment horizontal="center" vertical="center" wrapText="1" shrinkToFit="1"/>
    </xf>
    <xf numFmtId="0" fontId="38" fillId="0" borderId="29" xfId="11" applyFont="1" applyBorder="1" applyAlignment="1">
      <alignment horizontal="center" vertical="center" wrapText="1" shrinkToFit="1"/>
    </xf>
    <xf numFmtId="0" fontId="38" fillId="0" borderId="30" xfId="11" applyFont="1" applyBorder="1" applyAlignment="1">
      <alignment horizontal="center" vertical="center" wrapText="1" shrinkToFit="1"/>
    </xf>
    <xf numFmtId="0" fontId="80" fillId="0" borderId="4" xfId="11" applyFont="1" applyBorder="1" applyAlignment="1">
      <alignment vertical="center" wrapText="1" shrinkToFit="1"/>
    </xf>
    <xf numFmtId="0" fontId="80" fillId="0" borderId="3" xfId="11" applyFont="1" applyBorder="1" applyAlignment="1">
      <alignment vertical="center" wrapText="1" shrinkToFit="1"/>
    </xf>
    <xf numFmtId="0" fontId="10" fillId="2" borderId="4" xfId="11" applyFont="1" applyFill="1" applyBorder="1" applyAlignment="1">
      <alignment horizontal="center" vertical="center" shrinkToFit="1"/>
    </xf>
    <xf numFmtId="0" fontId="10" fillId="2" borderId="2" xfId="11" applyFont="1" applyFill="1" applyBorder="1" applyAlignment="1">
      <alignment horizontal="center" vertical="center" shrinkToFit="1"/>
    </xf>
    <xf numFmtId="0" fontId="10" fillId="2" borderId="3" xfId="11" applyFont="1" applyFill="1" applyBorder="1" applyAlignment="1">
      <alignment horizontal="center" vertical="center" shrinkToFit="1"/>
    </xf>
    <xf numFmtId="0" fontId="14" fillId="2" borderId="54" xfId="11" applyFont="1" applyFill="1" applyBorder="1" applyAlignment="1">
      <alignment horizontal="center" vertical="center" shrinkToFit="1"/>
    </xf>
    <xf numFmtId="0" fontId="14" fillId="2" borderId="47" xfId="11" applyFont="1" applyFill="1" applyBorder="1" applyAlignment="1">
      <alignment horizontal="center" vertical="center" shrinkToFit="1"/>
    </xf>
    <xf numFmtId="0" fontId="14" fillId="2" borderId="48" xfId="11" applyFont="1" applyFill="1" applyBorder="1" applyAlignment="1">
      <alignment horizontal="center" vertical="center" shrinkToFit="1"/>
    </xf>
    <xf numFmtId="0" fontId="92" fillId="4" borderId="4" xfId="11" applyFont="1" applyFill="1" applyBorder="1" applyAlignment="1">
      <alignment vertical="center" wrapText="1"/>
    </xf>
    <xf numFmtId="0" fontId="92" fillId="4" borderId="3" xfId="11" applyFont="1" applyFill="1" applyBorder="1" applyAlignment="1">
      <alignment vertical="center" wrapText="1"/>
    </xf>
    <xf numFmtId="0" fontId="80" fillId="0" borderId="4" xfId="11" applyFont="1" applyBorder="1" applyAlignment="1">
      <alignment vertical="center" wrapText="1"/>
    </xf>
    <xf numFmtId="0" fontId="80" fillId="0" borderId="3" xfId="11" applyFont="1" applyBorder="1" applyAlignment="1">
      <alignment vertical="center" wrapText="1"/>
    </xf>
    <xf numFmtId="0" fontId="80" fillId="0" borderId="4" xfId="11" applyFont="1" applyBorder="1" applyAlignment="1">
      <alignment horizontal="left" vertical="top" wrapText="1"/>
    </xf>
    <xf numFmtId="0" fontId="80" fillId="0" borderId="3" xfId="11" applyFont="1" applyBorder="1" applyAlignment="1">
      <alignment horizontal="left" vertical="top" wrapText="1"/>
    </xf>
    <xf numFmtId="0" fontId="80" fillId="0" borderId="4" xfId="11" applyFont="1" applyBorder="1" applyAlignment="1">
      <alignment horizontal="left" vertical="center" wrapText="1"/>
    </xf>
    <xf numFmtId="0" fontId="80" fillId="0" borderId="3" xfId="11" applyFont="1" applyBorder="1" applyAlignment="1">
      <alignment horizontal="left" vertical="center" wrapText="1"/>
    </xf>
    <xf numFmtId="0" fontId="80" fillId="4" borderId="4" xfId="11" applyFont="1" applyFill="1" applyBorder="1" applyAlignment="1">
      <alignment vertical="center" wrapText="1"/>
    </xf>
    <xf numFmtId="0" fontId="80" fillId="4" borderId="3" xfId="11" applyFont="1" applyFill="1" applyBorder="1" applyAlignment="1">
      <alignment vertical="center" wrapText="1"/>
    </xf>
    <xf numFmtId="0" fontId="27" fillId="0" borderId="23" xfId="11" applyBorder="1" applyAlignment="1">
      <alignment horizontal="center" vertical="center" wrapText="1" shrinkToFit="1"/>
    </xf>
    <xf numFmtId="0" fontId="27" fillId="0" borderId="29" xfId="11" applyBorder="1" applyAlignment="1">
      <alignment horizontal="center" vertical="center" wrapText="1" shrinkToFit="1"/>
    </xf>
    <xf numFmtId="0" fontId="27" fillId="0" borderId="30" xfId="11" applyBorder="1" applyAlignment="1">
      <alignment horizontal="center" vertical="center" wrapText="1" shrinkToFit="1"/>
    </xf>
    <xf numFmtId="0" fontId="40" fillId="0" borderId="68" xfId="11" applyFont="1" applyBorder="1" applyAlignment="1">
      <alignment horizontal="left" vertical="center" wrapText="1"/>
    </xf>
    <xf numFmtId="0" fontId="40" fillId="0" borderId="61" xfId="11" applyFont="1" applyBorder="1" applyAlignment="1">
      <alignment horizontal="left" vertical="center" wrapText="1"/>
    </xf>
    <xf numFmtId="0" fontId="80" fillId="4" borderId="4" xfId="11" applyFont="1" applyFill="1" applyBorder="1" applyAlignment="1">
      <alignment horizontal="left" vertical="center" wrapText="1"/>
    </xf>
    <xf numFmtId="0" fontId="80" fillId="4" borderId="3" xfId="11" applyFont="1" applyFill="1" applyBorder="1" applyAlignment="1">
      <alignment horizontal="left" vertical="center" wrapText="1"/>
    </xf>
    <xf numFmtId="0" fontId="80" fillId="0" borderId="4" xfId="11" applyFont="1" applyBorder="1" applyAlignment="1">
      <alignment horizontal="left" vertical="center" wrapText="1" shrinkToFit="1"/>
    </xf>
    <xf numFmtId="0" fontId="80" fillId="0" borderId="3" xfId="11" applyFont="1" applyBorder="1" applyAlignment="1">
      <alignment horizontal="left" vertical="center" wrapText="1" shrinkToFit="1"/>
    </xf>
    <xf numFmtId="0" fontId="10" fillId="2" borderId="35" xfId="11" applyFont="1" applyFill="1" applyBorder="1" applyAlignment="1">
      <alignment horizontal="center" vertical="center" shrinkToFit="1"/>
    </xf>
    <xf numFmtId="0" fontId="10" fillId="2" borderId="26" xfId="11" applyFont="1" applyFill="1" applyBorder="1" applyAlignment="1">
      <alignment horizontal="center" vertical="center" shrinkToFit="1"/>
    </xf>
    <xf numFmtId="0" fontId="10" fillId="2" borderId="36" xfId="11" applyFont="1" applyFill="1" applyBorder="1" applyAlignment="1">
      <alignment horizontal="center" vertical="center" shrinkToFit="1"/>
    </xf>
    <xf numFmtId="0" fontId="29" fillId="9" borderId="27" xfId="11" applyFont="1" applyFill="1" applyBorder="1" applyAlignment="1">
      <alignment horizontal="center" vertical="center" shrinkToFit="1"/>
    </xf>
    <xf numFmtId="0" fontId="29" fillId="9" borderId="25" xfId="11" applyFont="1" applyFill="1" applyBorder="1" applyAlignment="1">
      <alignment horizontal="center" vertical="center" shrinkToFit="1"/>
    </xf>
    <xf numFmtId="0" fontId="31" fillId="9" borderId="27" xfId="11" applyFont="1" applyFill="1" applyBorder="1" applyAlignment="1">
      <alignment horizontal="center" vertical="center" shrinkToFit="1"/>
    </xf>
    <xf numFmtId="0" fontId="31" fillId="9" borderId="25" xfId="11" applyFont="1" applyFill="1" applyBorder="1" applyAlignment="1">
      <alignment horizontal="center" vertical="center" shrinkToFit="1"/>
    </xf>
    <xf numFmtId="0" fontId="31" fillId="0" borderId="27" xfId="11" applyFont="1" applyBorder="1" applyAlignment="1">
      <alignment horizontal="center" vertical="center" shrinkToFit="1"/>
    </xf>
    <xf numFmtId="0" fontId="31" fillId="0" borderId="25" xfId="11" applyFont="1" applyBorder="1" applyAlignment="1">
      <alignment horizontal="center" vertical="center" shrinkToFit="1"/>
    </xf>
    <xf numFmtId="0" fontId="54" fillId="0" borderId="26" xfId="11" applyFont="1" applyBorder="1" applyAlignment="1">
      <alignment horizontal="left" vertical="center" shrinkToFit="1"/>
    </xf>
    <xf numFmtId="0" fontId="31" fillId="0" borderId="23" xfId="11" applyFont="1" applyBorder="1" applyAlignment="1">
      <alignment horizontal="center" vertical="center" shrinkToFit="1"/>
    </xf>
    <xf numFmtId="0" fontId="31" fillId="0" borderId="30" xfId="11" applyFont="1" applyBorder="1" applyAlignment="1">
      <alignment horizontal="center" vertical="center" shrinkToFit="1"/>
    </xf>
    <xf numFmtId="0" fontId="29" fillId="0" borderId="27" xfId="11" applyFont="1" applyBorder="1" applyAlignment="1">
      <alignment horizontal="center" vertical="center" shrinkToFit="1"/>
    </xf>
    <xf numFmtId="0" fontId="29" fillId="0" borderId="25" xfId="11" applyFont="1" applyBorder="1" applyAlignment="1">
      <alignment horizontal="center" vertical="center" shrinkToFit="1"/>
    </xf>
    <xf numFmtId="0" fontId="67" fillId="0" borderId="4" xfId="11" applyFont="1" applyBorder="1" applyAlignment="1">
      <alignment horizontal="left" vertical="center" wrapText="1"/>
    </xf>
    <xf numFmtId="0" fontId="67" fillId="0" borderId="62" xfId="11" applyFont="1" applyBorder="1" applyAlignment="1">
      <alignment horizontal="left" vertical="center" wrapText="1"/>
    </xf>
    <xf numFmtId="0" fontId="31" fillId="2" borderId="46" xfId="11" applyFont="1" applyFill="1" applyBorder="1" applyAlignment="1">
      <alignment horizontal="center" shrinkToFit="1"/>
    </xf>
    <xf numFmtId="0" fontId="31" fillId="2" borderId="47" xfId="11" applyFont="1" applyFill="1" applyBorder="1" applyAlignment="1">
      <alignment horizontal="center" shrinkToFit="1"/>
    </xf>
    <xf numFmtId="0" fontId="31" fillId="2" borderId="63" xfId="11" applyFont="1" applyFill="1" applyBorder="1" applyAlignment="1">
      <alignment horizontal="center" shrinkToFit="1"/>
    </xf>
    <xf numFmtId="0" fontId="67" fillId="2" borderId="57" xfId="11" applyFont="1" applyFill="1" applyBorder="1" applyAlignment="1">
      <alignment horizontal="center" vertical="center" shrinkToFit="1"/>
    </xf>
    <xf numFmtId="0" fontId="67" fillId="2" borderId="61" xfId="11" applyFont="1" applyFill="1" applyBorder="1" applyAlignment="1">
      <alignment horizontal="center" vertical="center" shrinkToFit="1"/>
    </xf>
    <xf numFmtId="0" fontId="67" fillId="2" borderId="57" xfId="11" applyFont="1" applyFill="1" applyBorder="1" applyAlignment="1">
      <alignment horizontal="left" vertical="center" shrinkToFit="1"/>
    </xf>
    <xf numFmtId="0" fontId="67" fillId="2" borderId="61" xfId="11" applyFont="1" applyFill="1" applyBorder="1" applyAlignment="1">
      <alignment horizontal="left" vertical="center" shrinkToFit="1"/>
    </xf>
    <xf numFmtId="0" fontId="67" fillId="0" borderId="4" xfId="11" applyFont="1" applyBorder="1" applyAlignment="1">
      <alignment horizontal="left" vertical="center" shrinkToFit="1"/>
    </xf>
    <xf numFmtId="0" fontId="67" fillId="0" borderId="62" xfId="11" applyFont="1" applyBorder="1" applyAlignment="1">
      <alignment horizontal="left" vertical="center" shrinkToFit="1"/>
    </xf>
    <xf numFmtId="0" fontId="67" fillId="2" borderId="52" xfId="11" applyFont="1" applyFill="1" applyBorder="1" applyAlignment="1">
      <alignment horizontal="center" vertical="center" shrinkToFit="1"/>
    </xf>
    <xf numFmtId="0" fontId="67" fillId="2" borderId="26" xfId="11" applyFont="1" applyFill="1" applyBorder="1" applyAlignment="1">
      <alignment horizontal="center" vertical="center" shrinkToFit="1"/>
    </xf>
    <xf numFmtId="0" fontId="67" fillId="2" borderId="36" xfId="11" applyFont="1" applyFill="1" applyBorder="1" applyAlignment="1">
      <alignment horizontal="center" vertical="center" shrinkToFit="1"/>
    </xf>
    <xf numFmtId="0" fontId="67" fillId="0" borderId="68" xfId="11" applyFont="1" applyBorder="1" applyAlignment="1">
      <alignment horizontal="left" vertical="center" wrapText="1"/>
    </xf>
    <xf numFmtId="0" fontId="67" fillId="0" borderId="61" xfId="11" applyFont="1" applyBorder="1" applyAlignment="1">
      <alignment horizontal="left" vertical="center" wrapText="1"/>
    </xf>
    <xf numFmtId="0" fontId="67" fillId="2" borderId="52" xfId="11" applyFont="1" applyFill="1" applyBorder="1" applyAlignment="1">
      <alignment horizontal="left" vertical="center" shrinkToFit="1"/>
    </xf>
    <xf numFmtId="0" fontId="67" fillId="2" borderId="26" xfId="11" applyFont="1" applyFill="1" applyBorder="1" applyAlignment="1">
      <alignment horizontal="left" vertical="center" shrinkToFit="1"/>
    </xf>
    <xf numFmtId="0" fontId="67" fillId="2" borderId="53" xfId="11" applyFont="1" applyFill="1" applyBorder="1" applyAlignment="1">
      <alignment horizontal="left" vertical="center" shrinkToFit="1"/>
    </xf>
    <xf numFmtId="0" fontId="60" fillId="0" borderId="22" xfId="11" applyFont="1" applyBorder="1" applyAlignment="1">
      <alignment horizontal="center" vertical="center" shrinkToFit="1"/>
    </xf>
    <xf numFmtId="0" fontId="80" fillId="0" borderId="4" xfId="11" applyFont="1" applyBorder="1" applyAlignment="1">
      <alignment vertical="top" wrapText="1" shrinkToFit="1"/>
    </xf>
    <xf numFmtId="0" fontId="80" fillId="0" borderId="3" xfId="11" applyFont="1" applyBorder="1" applyAlignment="1">
      <alignment vertical="top" wrapText="1" shrinkToFit="1"/>
    </xf>
    <xf numFmtId="0" fontId="92" fillId="0" borderId="4" xfId="11" applyFont="1" applyBorder="1" applyAlignment="1">
      <alignment vertical="center" wrapText="1"/>
    </xf>
    <xf numFmtId="0" fontId="92" fillId="0" borderId="3" xfId="11" applyFont="1" applyBorder="1" applyAlignment="1">
      <alignment vertical="center" wrapText="1"/>
    </xf>
    <xf numFmtId="0" fontId="10" fillId="2" borderId="9" xfId="11" applyFont="1" applyFill="1" applyBorder="1" applyAlignment="1">
      <alignment horizontal="center" vertical="center" shrinkToFit="1"/>
    </xf>
    <xf numFmtId="0" fontId="10" fillId="2" borderId="10" xfId="11" applyFont="1" applyFill="1" applyBorder="1" applyAlignment="1">
      <alignment horizontal="center" vertical="center" shrinkToFit="1"/>
    </xf>
    <xf numFmtId="0" fontId="10" fillId="2" borderId="8" xfId="11" applyFont="1" applyFill="1" applyBorder="1" applyAlignment="1">
      <alignment horizontal="center" vertical="center" shrinkToFit="1"/>
    </xf>
    <xf numFmtId="0" fontId="14" fillId="2" borderId="9" xfId="11" applyFont="1" applyFill="1" applyBorder="1" applyAlignment="1">
      <alignment horizontal="center" vertical="center" shrinkToFit="1"/>
    </xf>
    <xf numFmtId="0" fontId="14" fillId="2" borderId="10" xfId="11" applyFont="1" applyFill="1" applyBorder="1" applyAlignment="1">
      <alignment horizontal="center" vertical="center" shrinkToFit="1"/>
    </xf>
    <xf numFmtId="0" fontId="14" fillId="2" borderId="8" xfId="11" applyFont="1" applyFill="1" applyBorder="1" applyAlignment="1">
      <alignment horizontal="center" vertical="center" shrinkToFit="1"/>
    </xf>
    <xf numFmtId="0" fontId="98" fillId="0" borderId="26" xfId="11" applyFont="1" applyBorder="1" applyAlignment="1">
      <alignment horizontal="center" shrinkToFit="1"/>
    </xf>
    <xf numFmtId="0" fontId="29" fillId="0" borderId="26" xfId="11" applyFont="1" applyBorder="1" applyAlignment="1">
      <alignment horizontal="center" shrinkToFit="1"/>
    </xf>
    <xf numFmtId="0" fontId="31" fillId="0" borderId="22" xfId="11" applyFont="1" applyBorder="1" applyAlignment="1">
      <alignment horizontal="center" vertical="center"/>
    </xf>
    <xf numFmtId="0" fontId="29" fillId="0" borderId="27" xfId="11" applyFont="1" applyBorder="1" applyAlignment="1">
      <alignment horizontal="center" shrinkToFit="1"/>
    </xf>
    <xf numFmtId="0" fontId="29" fillId="0" borderId="25" xfId="11" applyFont="1" applyBorder="1" applyAlignment="1">
      <alignment horizontal="center" shrinkToFit="1"/>
    </xf>
    <xf numFmtId="0" fontId="58" fillId="0" borderId="27" xfId="11" applyFont="1" applyBorder="1" applyAlignment="1">
      <alignment horizontal="center" vertical="center" shrinkToFit="1"/>
    </xf>
    <xf numFmtId="0" fontId="58" fillId="0" borderId="25" xfId="11" applyFont="1" applyBorder="1" applyAlignment="1">
      <alignment horizontal="center" vertic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47" fillId="0" borderId="81" xfId="11" applyFont="1" applyBorder="1" applyAlignment="1">
      <alignment horizontal="center" vertical="center"/>
    </xf>
    <xf numFmtId="0" fontId="47" fillId="0" borderId="29" xfId="11" applyFont="1" applyBorder="1" applyAlignment="1">
      <alignment horizontal="center" vertical="center"/>
    </xf>
    <xf numFmtId="0" fontId="47" fillId="0" borderId="30" xfId="11" applyFont="1" applyBorder="1" applyAlignment="1">
      <alignment horizontal="center" vertical="center"/>
    </xf>
    <xf numFmtId="0" fontId="31" fillId="2" borderId="61" xfId="11" applyFont="1" applyFill="1" applyBorder="1" applyAlignment="1">
      <alignment horizontal="center" vertical="center" shrinkToFit="1"/>
    </xf>
    <xf numFmtId="0" fontId="29" fillId="0" borderId="23" xfId="11" applyFont="1" applyBorder="1" applyAlignment="1">
      <alignment horizontal="center" vertical="center" shrinkToFit="1"/>
    </xf>
    <xf numFmtId="0" fontId="29" fillId="0" borderId="29" xfId="11" applyFont="1" applyBorder="1" applyAlignment="1">
      <alignment horizontal="center" vertical="center" shrinkToFit="1"/>
    </xf>
    <xf numFmtId="0" fontId="29" fillId="0" borderId="30" xfId="11" applyFont="1" applyBorder="1" applyAlignment="1">
      <alignment horizontal="center" vertical="center" shrinkToFit="1"/>
    </xf>
    <xf numFmtId="0" fontId="29" fillId="0" borderId="23" xfId="11" applyFont="1" applyBorder="1" applyAlignment="1">
      <alignment horizontal="center" vertical="center" wrapText="1" shrinkToFit="1"/>
    </xf>
    <xf numFmtId="0" fontId="29" fillId="0" borderId="29" xfId="11" applyFont="1" applyBorder="1" applyAlignment="1">
      <alignment horizontal="center" vertical="center" wrapText="1" shrinkToFit="1"/>
    </xf>
    <xf numFmtId="0" fontId="29" fillId="0" borderId="30" xfId="11" applyFont="1" applyBorder="1" applyAlignment="1">
      <alignment horizontal="center" vertical="center" wrapText="1" shrinkToFit="1"/>
    </xf>
    <xf numFmtId="0" fontId="40" fillId="0" borderId="4" xfId="11" applyFont="1" applyBorder="1" applyAlignment="1">
      <alignment horizontal="left" vertical="center" wrapText="1"/>
    </xf>
    <xf numFmtId="0" fontId="40" fillId="0" borderId="62" xfId="11" applyFont="1" applyBorder="1" applyAlignment="1">
      <alignment horizontal="left" vertical="center" wrapText="1"/>
    </xf>
    <xf numFmtId="0" fontId="31" fillId="2" borderId="70" xfId="11" applyFont="1" applyFill="1" applyBorder="1" applyAlignment="1">
      <alignment horizontal="center" vertical="center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31" fillId="2" borderId="68" xfId="11" applyFont="1" applyFill="1" applyBorder="1" applyAlignment="1">
      <alignment horizontal="center" vertical="center" shrinkToFit="1"/>
    </xf>
    <xf numFmtId="0" fontId="31" fillId="2" borderId="31" xfId="11" applyFont="1" applyFill="1" applyBorder="1" applyAlignment="1">
      <alignment horizontal="center" vertical="center" shrinkToFit="1"/>
    </xf>
    <xf numFmtId="0" fontId="31" fillId="2" borderId="37" xfId="11" applyFont="1" applyFill="1" applyBorder="1" applyAlignment="1">
      <alignment horizontal="center" vertical="center" shrinkToFit="1"/>
    </xf>
    <xf numFmtId="0" fontId="31" fillId="2" borderId="32" xfId="11" applyFont="1" applyFill="1" applyBorder="1" applyAlignment="1">
      <alignment horizontal="center" vertical="center" shrinkToFit="1"/>
    </xf>
    <xf numFmtId="0" fontId="46" fillId="2" borderId="27" xfId="11" applyFont="1" applyFill="1" applyBorder="1" applyAlignment="1">
      <alignment horizontal="center" vertical="center" shrinkToFit="1"/>
    </xf>
    <xf numFmtId="0" fontId="46" fillId="2" borderId="25" xfId="11" applyFont="1" applyFill="1" applyBorder="1" applyAlignment="1">
      <alignment horizontal="center" vertical="center" shrinkToFit="1"/>
    </xf>
    <xf numFmtId="0" fontId="40" fillId="0" borderId="71" xfId="11" applyFont="1" applyBorder="1" applyAlignment="1">
      <alignment horizontal="left" vertical="center" wrapText="1"/>
    </xf>
    <xf numFmtId="0" fontId="67" fillId="0" borderId="71" xfId="11" applyFont="1" applyBorder="1" applyAlignment="1">
      <alignment horizontal="left" vertical="center" wrapText="1"/>
    </xf>
    <xf numFmtId="0" fontId="54" fillId="0" borderId="37" xfId="11" applyFont="1" applyBorder="1" applyAlignment="1">
      <alignment horizontal="left" vertical="center" shrinkToFit="1"/>
    </xf>
    <xf numFmtId="0" fontId="95" fillId="0" borderId="4" xfId="11" applyFont="1" applyBorder="1" applyAlignment="1">
      <alignment horizontal="left" vertical="center" wrapText="1"/>
    </xf>
    <xf numFmtId="0" fontId="10" fillId="0" borderId="3" xfId="11" applyFont="1" applyBorder="1" applyAlignment="1">
      <alignment horizontal="left" vertical="center" wrapText="1"/>
    </xf>
    <xf numFmtId="0" fontId="31" fillId="2" borderId="22" xfId="0" applyFont="1" applyFill="1" applyBorder="1" applyAlignment="1">
      <alignment horizontal="center" vertical="center" shrinkToFit="1"/>
    </xf>
    <xf numFmtId="0" fontId="29" fillId="0" borderId="22" xfId="0" applyFont="1" applyBorder="1" applyAlignment="1">
      <alignment horizontal="center" vertical="center" shrinkToFit="1"/>
    </xf>
    <xf numFmtId="0" fontId="54" fillId="0" borderId="26" xfId="0" applyFont="1" applyBorder="1" applyAlignment="1">
      <alignment horizontal="left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shrinkToFit="1"/>
    </xf>
    <xf numFmtId="0" fontId="56" fillId="0" borderId="22" xfId="0" applyFont="1" applyBorder="1" applyAlignment="1">
      <alignment shrinkToFit="1"/>
    </xf>
    <xf numFmtId="0" fontId="31" fillId="9" borderId="22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shrinkToFit="1"/>
    </xf>
    <xf numFmtId="0" fontId="31" fillId="0" borderId="38" xfId="0" applyFont="1" applyBorder="1" applyAlignment="1">
      <alignment horizontal="center" shrinkToFit="1"/>
    </xf>
    <xf numFmtId="195" fontId="85" fillId="9" borderId="22" xfId="15" applyNumberFormat="1" applyFont="1" applyFill="1" applyBorder="1" applyAlignment="1">
      <alignment horizontal="center" vertical="center"/>
    </xf>
    <xf numFmtId="0" fontId="83" fillId="10" borderId="22" xfId="4" applyFont="1" applyFill="1" applyBorder="1" applyAlignment="1">
      <alignment horizontal="center" vertical="center" wrapText="1"/>
    </xf>
    <xf numFmtId="0" fontId="86" fillId="5" borderId="35" xfId="15" applyFont="1" applyFill="1" applyBorder="1" applyAlignment="1">
      <alignment horizontal="center" vertical="center"/>
    </xf>
    <xf numFmtId="0" fontId="86" fillId="5" borderId="26" xfId="15" applyFont="1" applyFill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10" borderId="22" xfId="15" applyFont="1" applyFill="1" applyBorder="1" applyAlignment="1">
      <alignment horizontal="center" vertical="center" wrapText="1"/>
    </xf>
    <xf numFmtId="0" fontId="101" fillId="0" borderId="31" xfId="11" applyFont="1" applyBorder="1" applyAlignment="1">
      <alignment horizontal="center" vertical="center"/>
    </xf>
    <xf numFmtId="0" fontId="101" fillId="0" borderId="32" xfId="11" applyFont="1" applyBorder="1" applyAlignment="1">
      <alignment horizontal="center" vertical="center"/>
    </xf>
    <xf numFmtId="0" fontId="101" fillId="0" borderId="33" xfId="11" applyFont="1" applyBorder="1" applyAlignment="1">
      <alignment horizontal="center" vertical="center"/>
    </xf>
    <xf numFmtId="0" fontId="101" fillId="0" borderId="34" xfId="11" applyFont="1" applyBorder="1" applyAlignment="1">
      <alignment horizontal="center" vertical="center"/>
    </xf>
    <xf numFmtId="0" fontId="101" fillId="0" borderId="35" xfId="11" applyFont="1" applyBorder="1" applyAlignment="1">
      <alignment horizontal="center" vertical="center"/>
    </xf>
    <xf numFmtId="0" fontId="101" fillId="0" borderId="36" xfId="11" applyFont="1" applyBorder="1" applyAlignment="1">
      <alignment horizontal="center" vertical="center"/>
    </xf>
    <xf numFmtId="0" fontId="39" fillId="5" borderId="31" xfId="5" applyFont="1" applyFill="1" applyBorder="1" applyAlignment="1">
      <alignment horizontal="center" vertical="center"/>
    </xf>
    <xf numFmtId="0" fontId="39" fillId="5" borderId="37" xfId="5" applyFont="1" applyFill="1" applyBorder="1" applyAlignment="1">
      <alignment horizontal="center" vertical="center"/>
    </xf>
    <xf numFmtId="0" fontId="39" fillId="5" borderId="32" xfId="5" applyFont="1" applyFill="1" applyBorder="1" applyAlignment="1">
      <alignment horizontal="center" vertical="center"/>
    </xf>
    <xf numFmtId="0" fontId="39" fillId="5" borderId="33" xfId="5" applyFont="1" applyFill="1" applyBorder="1" applyAlignment="1">
      <alignment horizontal="center" vertical="center"/>
    </xf>
    <xf numFmtId="0" fontId="39" fillId="5" borderId="0" xfId="5" applyFont="1" applyFill="1" applyAlignment="1">
      <alignment horizontal="center" vertical="center"/>
    </xf>
    <xf numFmtId="0" fontId="39" fillId="5" borderId="34" xfId="5" applyFont="1" applyFill="1" applyBorder="1" applyAlignment="1">
      <alignment horizontal="center" vertical="center"/>
    </xf>
    <xf numFmtId="0" fontId="39" fillId="5" borderId="35" xfId="5" applyFont="1" applyFill="1" applyBorder="1" applyAlignment="1">
      <alignment horizontal="center" vertical="center"/>
    </xf>
    <xf numFmtId="0" fontId="39" fillId="5" borderId="26" xfId="5" applyFont="1" applyFill="1" applyBorder="1" applyAlignment="1">
      <alignment horizontal="center" vertical="center"/>
    </xf>
    <xf numFmtId="0" fontId="39" fillId="5" borderId="36" xfId="5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/>
    </xf>
    <xf numFmtId="0" fontId="39" fillId="5" borderId="22" xfId="5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 wrapText="1"/>
    </xf>
    <xf numFmtId="0" fontId="41" fillId="5" borderId="22" xfId="22" applyFont="1" applyFill="1" applyBorder="1" applyAlignment="1">
      <alignment horizontal="center"/>
    </xf>
    <xf numFmtId="0" fontId="101" fillId="5" borderId="31" xfId="11" applyFont="1" applyFill="1" applyBorder="1" applyAlignment="1">
      <alignment horizontal="center" vertical="center"/>
    </xf>
    <xf numFmtId="0" fontId="34" fillId="5" borderId="32" xfId="11" applyFont="1" applyFill="1" applyBorder="1" applyAlignment="1">
      <alignment horizontal="center" vertical="center"/>
    </xf>
    <xf numFmtId="0" fontId="34" fillId="5" borderId="33" xfId="11" applyFont="1" applyFill="1" applyBorder="1" applyAlignment="1">
      <alignment horizontal="center" vertical="center"/>
    </xf>
    <xf numFmtId="0" fontId="34" fillId="5" borderId="34" xfId="11" applyFont="1" applyFill="1" applyBorder="1" applyAlignment="1">
      <alignment horizontal="center" vertical="center"/>
    </xf>
    <xf numFmtId="0" fontId="34" fillId="5" borderId="35" xfId="11" applyFont="1" applyFill="1" applyBorder="1" applyAlignment="1">
      <alignment horizontal="center" vertical="center"/>
    </xf>
    <xf numFmtId="0" fontId="34" fillId="5" borderId="36" xfId="11" applyFont="1" applyFill="1" applyBorder="1" applyAlignment="1">
      <alignment horizontal="center" vertical="center"/>
    </xf>
    <xf numFmtId="0" fontId="102" fillId="5" borderId="23" xfId="5" applyFont="1" applyFill="1" applyBorder="1" applyAlignment="1">
      <alignment horizontal="center" vertical="center"/>
    </xf>
    <xf numFmtId="0" fontId="102" fillId="5" borderId="29" xfId="5" applyFont="1" applyFill="1" applyBorder="1" applyAlignment="1">
      <alignment horizontal="center" vertical="center"/>
    </xf>
    <xf numFmtId="0" fontId="102" fillId="5" borderId="30" xfId="5" applyFont="1" applyFill="1" applyBorder="1" applyAlignment="1">
      <alignment horizontal="center" vertical="center"/>
    </xf>
    <xf numFmtId="0" fontId="39" fillId="5" borderId="23" xfId="5" applyFont="1" applyFill="1" applyBorder="1" applyAlignment="1">
      <alignment horizontal="center" vertical="center"/>
    </xf>
    <xf numFmtId="0" fontId="39" fillId="5" borderId="29" xfId="5" applyFont="1" applyFill="1" applyBorder="1" applyAlignment="1">
      <alignment horizontal="center" vertical="center"/>
    </xf>
    <xf numFmtId="0" fontId="39" fillId="5" borderId="30" xfId="5" applyFont="1" applyFill="1" applyBorder="1" applyAlignment="1">
      <alignment horizontal="center" vertical="center"/>
    </xf>
    <xf numFmtId="0" fontId="43" fillId="0" borderId="26" xfId="11" applyFont="1" applyBorder="1" applyAlignment="1">
      <alignment horizontal="center" vertical="center"/>
    </xf>
    <xf numFmtId="0" fontId="37" fillId="0" borderId="26" xfId="11" applyFont="1" applyBorder="1" applyAlignment="1">
      <alignment horizontal="center" vertical="center"/>
    </xf>
    <xf numFmtId="0" fontId="102" fillId="5" borderId="22" xfId="22" applyFont="1" applyFill="1" applyBorder="1" applyAlignment="1">
      <alignment horizontal="center" vertical="center" wrapText="1"/>
    </xf>
    <xf numFmtId="0" fontId="41" fillId="5" borderId="27" xfId="22" applyFont="1" applyFill="1" applyBorder="1" applyAlignment="1">
      <alignment horizontal="center"/>
    </xf>
    <xf numFmtId="0" fontId="41" fillId="5" borderId="28" xfId="22" applyFont="1" applyFill="1" applyBorder="1" applyAlignment="1">
      <alignment horizontal="center"/>
    </xf>
    <xf numFmtId="0" fontId="41" fillId="5" borderId="25" xfId="22" applyFont="1" applyFill="1" applyBorder="1" applyAlignment="1">
      <alignment horizontal="center"/>
    </xf>
    <xf numFmtId="0" fontId="63" fillId="5" borderId="23" xfId="5" applyFont="1" applyFill="1" applyBorder="1" applyAlignment="1">
      <alignment horizontal="center" vertical="center"/>
    </xf>
    <xf numFmtId="0" fontId="63" fillId="5" borderId="29" xfId="5" applyFont="1" applyFill="1" applyBorder="1" applyAlignment="1">
      <alignment horizontal="center" vertical="center"/>
    </xf>
    <xf numFmtId="0" fontId="63" fillId="5" borderId="30" xfId="5" applyFont="1" applyFill="1" applyBorder="1" applyAlignment="1">
      <alignment horizontal="center" vertical="center"/>
    </xf>
    <xf numFmtId="0" fontId="11" fillId="0" borderId="4" xfId="0" applyFont="1" applyBorder="1" applyAlignment="1">
      <alignment shrinkToFit="1"/>
    </xf>
    <xf numFmtId="0" fontId="12" fillId="0" borderId="2" xfId="0" applyFont="1" applyBorder="1" applyAlignment="1">
      <alignment shrinkToFit="1"/>
    </xf>
    <xf numFmtId="0" fontId="12" fillId="0" borderId="3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4" fillId="0" borderId="4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10" fillId="0" borderId="9" xfId="0" applyFont="1" applyBorder="1" applyAlignment="1">
      <alignment shrinkToFit="1"/>
    </xf>
    <xf numFmtId="0" fontId="12" fillId="0" borderId="8" xfId="0" applyFont="1" applyBorder="1" applyAlignment="1">
      <alignment shrinkToFit="1"/>
    </xf>
    <xf numFmtId="0" fontId="14" fillId="0" borderId="12" xfId="0" applyFont="1" applyBorder="1" applyAlignment="1">
      <alignment shrinkToFit="1"/>
    </xf>
    <xf numFmtId="0" fontId="12" fillId="0" borderId="11" xfId="0" applyFont="1" applyBorder="1" applyAlignment="1">
      <alignment shrinkToFit="1"/>
    </xf>
    <xf numFmtId="0" fontId="12" fillId="0" borderId="10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1" fillId="0" borderId="9" xfId="0" applyFont="1" applyBorder="1" applyAlignment="1">
      <alignment shrinkToFit="1"/>
    </xf>
    <xf numFmtId="0" fontId="12" fillId="0" borderId="13" xfId="0" applyFont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0" borderId="19" xfId="0" applyFont="1" applyBorder="1" applyAlignment="1">
      <alignment shrinkToFit="1"/>
    </xf>
    <xf numFmtId="0" fontId="12" fillId="0" borderId="20" xfId="0" applyFont="1" applyBorder="1" applyAlignment="1">
      <alignment shrinkToFit="1"/>
    </xf>
    <xf numFmtId="0" fontId="12" fillId="0" borderId="21" xfId="0" applyFont="1" applyBorder="1" applyAlignment="1">
      <alignment shrinkToFit="1"/>
    </xf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0" borderId="19" xfId="0" applyFont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40" fillId="5" borderId="22" xfId="5" applyFont="1" applyFill="1" applyBorder="1" applyAlignment="1">
      <alignment horizontal="center"/>
    </xf>
    <xf numFmtId="10" fontId="40" fillId="9" borderId="22" xfId="13" applyNumberFormat="1" applyFont="1" applyFill="1" applyBorder="1" applyAlignment="1">
      <alignment horizontal="right" vertical="center"/>
    </xf>
  </cellXfs>
  <cellStyles count="36">
    <cellStyle name="一般" xfId="0" builtinId="0"/>
    <cellStyle name="一般 2" xfId="1"/>
    <cellStyle name="一般 2 2" xfId="23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2 2 2 2 2" xfId="35"/>
    <cellStyle name="一般 2 2 30 2 2 30 2 2 2 2 3" xfId="33"/>
    <cellStyle name="一般 2 2 30 2 2 30 2 2 2 3" xfId="31"/>
    <cellStyle name="一般 2 2 30 2 2 30 2 2 3" xfId="28"/>
    <cellStyle name="一般 2 2 30 2 2 30 2 3" xfId="15"/>
    <cellStyle name="一般 2 2 30 2 2 30 2 3 2" xfId="29"/>
    <cellStyle name="一般 2 2 30 2 2 30 2 4" xfId="25"/>
    <cellStyle name="一般 2 2 30 2 3 2" xfId="6"/>
    <cellStyle name="一般 2 2 30 2 3 2 2" xfId="16"/>
    <cellStyle name="一般 2 2 30 2 3 2 2 2" xfId="18"/>
    <cellStyle name="一般 2 2 30 2 3 2 2 2 2" xfId="32"/>
    <cellStyle name="一般 2 2 30 2 3 2 2 3" xfId="30"/>
    <cellStyle name="一般 2 2 30 2 3 2 3" xfId="26"/>
    <cellStyle name="一般 2 2 30 3 30" xfId="7"/>
    <cellStyle name="一般 2 2 30 3 30 2" xfId="27"/>
    <cellStyle name="一般 3" xfId="11"/>
    <cellStyle name="一般 4" xfId="5"/>
    <cellStyle name="千分位 2" xfId="2"/>
    <cellStyle name="千分位 2 2" xfId="24"/>
    <cellStyle name="千分位 3" xfId="21"/>
    <cellStyle name="千分位 3 2" xfId="34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79998168889431442"/>
  </sheetPr>
  <dimension ref="B1:P45"/>
  <sheetViews>
    <sheetView topLeftCell="C1" zoomScale="85" zoomScaleNormal="85" workbookViewId="0">
      <selection activeCell="F7" sqref="F7"/>
    </sheetView>
  </sheetViews>
  <sheetFormatPr defaultColWidth="8.7265625" defaultRowHeight="13"/>
  <cols>
    <col min="1" max="1" width="8.7265625" style="439"/>
    <col min="2" max="2" width="27.7265625" style="439" bestFit="1" customWidth="1"/>
    <col min="3" max="3" width="34.7265625" style="439" customWidth="1"/>
    <col min="4" max="15" width="12.7265625" style="439" customWidth="1"/>
    <col min="16" max="16" width="15.7265625" style="439" customWidth="1"/>
    <col min="17" max="16384" width="8.7265625" style="439"/>
  </cols>
  <sheetData>
    <row r="1" spans="2:16" ht="18.5">
      <c r="B1" s="502" t="s">
        <v>199</v>
      </c>
      <c r="C1" s="503"/>
      <c r="D1" s="462" t="s">
        <v>797</v>
      </c>
      <c r="E1" s="462" t="s">
        <v>819</v>
      </c>
      <c r="F1" s="462" t="s">
        <v>820</v>
      </c>
      <c r="G1" s="462" t="s">
        <v>821</v>
      </c>
      <c r="H1" s="462" t="s">
        <v>822</v>
      </c>
      <c r="I1" s="462" t="s">
        <v>823</v>
      </c>
      <c r="J1" s="462" t="s">
        <v>824</v>
      </c>
      <c r="K1" s="462" t="s">
        <v>825</v>
      </c>
      <c r="L1" s="462" t="s">
        <v>826</v>
      </c>
      <c r="M1" s="462" t="s">
        <v>827</v>
      </c>
      <c r="N1" s="462" t="s">
        <v>828</v>
      </c>
      <c r="O1" s="462" t="s">
        <v>829</v>
      </c>
      <c r="P1" s="463" t="s">
        <v>830</v>
      </c>
    </row>
    <row r="2" spans="2:16" ht="15.5">
      <c r="B2" s="499" t="s">
        <v>850</v>
      </c>
      <c r="C2" s="473" t="s">
        <v>831</v>
      </c>
      <c r="D2" s="464">
        <v>146299.93539000006</v>
      </c>
      <c r="E2" s="464">
        <v>116569.43023000001</v>
      </c>
      <c r="F2" s="464">
        <v>148837.99842999995</v>
      </c>
      <c r="G2" s="464"/>
      <c r="H2" s="464"/>
      <c r="I2" s="464"/>
      <c r="J2" s="464"/>
      <c r="K2" s="464"/>
      <c r="L2" s="464"/>
      <c r="M2" s="464"/>
      <c r="N2" s="464"/>
      <c r="O2" s="464"/>
      <c r="P2" s="474">
        <f>SUM(D2:O2)</f>
        <v>411707.36404999997</v>
      </c>
    </row>
    <row r="3" spans="2:16" ht="15.5">
      <c r="B3" s="499"/>
      <c r="C3" s="473" t="s">
        <v>832</v>
      </c>
      <c r="D3" s="464">
        <v>4768701</v>
      </c>
      <c r="E3" s="464">
        <v>3787002</v>
      </c>
      <c r="F3" s="464">
        <v>5045753</v>
      </c>
      <c r="G3" s="464"/>
      <c r="H3" s="464"/>
      <c r="I3" s="464"/>
      <c r="J3" s="464"/>
      <c r="K3" s="464"/>
      <c r="L3" s="464"/>
      <c r="M3" s="464"/>
      <c r="N3" s="464"/>
      <c r="O3" s="464"/>
      <c r="P3" s="474">
        <f>SUM(D3:O3)</f>
        <v>13601456</v>
      </c>
    </row>
    <row r="4" spans="2:16" ht="15.5">
      <c r="B4" s="499"/>
      <c r="C4" s="473" t="s">
        <v>833</v>
      </c>
      <c r="D4" s="464">
        <v>93253</v>
      </c>
      <c r="E4" s="464">
        <v>74777</v>
      </c>
      <c r="F4" s="464">
        <v>93614</v>
      </c>
      <c r="G4" s="464"/>
      <c r="H4" s="464"/>
      <c r="I4" s="464"/>
      <c r="J4" s="464"/>
      <c r="K4" s="464"/>
      <c r="L4" s="464"/>
      <c r="M4" s="464"/>
      <c r="N4" s="464"/>
      <c r="O4" s="464"/>
      <c r="P4" s="474">
        <f>SUM(D4:O4)</f>
        <v>261644</v>
      </c>
    </row>
    <row r="5" spans="2:16" ht="15.5">
      <c r="B5" s="499"/>
      <c r="C5" s="475" t="s">
        <v>851</v>
      </c>
      <c r="D5" s="952">
        <v>0.65500000000000003</v>
      </c>
      <c r="E5" s="952">
        <v>0.65300000000000002</v>
      </c>
      <c r="F5" s="952">
        <v>0.64800000000000002</v>
      </c>
      <c r="G5" s="476" t="str">
        <f t="shared" ref="G5:O5" si="0">IFERROR(G4/G2, "")</f>
        <v/>
      </c>
      <c r="H5" s="476" t="str">
        <f t="shared" si="0"/>
        <v/>
      </c>
      <c r="I5" s="476" t="str">
        <f t="shared" si="0"/>
        <v/>
      </c>
      <c r="J5" s="476" t="str">
        <f t="shared" si="0"/>
        <v/>
      </c>
      <c r="K5" s="476" t="str">
        <f t="shared" si="0"/>
        <v/>
      </c>
      <c r="L5" s="476" t="str">
        <f t="shared" si="0"/>
        <v/>
      </c>
      <c r="M5" s="476" t="str">
        <f t="shared" si="0"/>
        <v/>
      </c>
      <c r="N5" s="476" t="str">
        <f t="shared" si="0"/>
        <v/>
      </c>
      <c r="O5" s="476" t="str">
        <f t="shared" si="0"/>
        <v/>
      </c>
      <c r="P5" s="477">
        <f>AVERAGEIF(D5:O5, "&gt;0")</f>
        <v>0.65200000000000002</v>
      </c>
    </row>
    <row r="6" spans="2:16" ht="15.5">
      <c r="B6" s="499"/>
      <c r="C6" s="473" t="s">
        <v>834</v>
      </c>
      <c r="D6" s="464">
        <v>22378</v>
      </c>
      <c r="E6" s="464">
        <v>22860</v>
      </c>
      <c r="F6" s="464">
        <v>22710</v>
      </c>
      <c r="G6" s="464"/>
      <c r="H6" s="464"/>
      <c r="I6" s="464"/>
      <c r="J6" s="464"/>
      <c r="K6" s="464"/>
      <c r="L6" s="464"/>
      <c r="M6" s="464"/>
      <c r="N6" s="464"/>
      <c r="O6" s="464"/>
      <c r="P6" s="474">
        <f t="shared" ref="P6" si="1">SUM(D6:O6)</f>
        <v>67948</v>
      </c>
    </row>
    <row r="7" spans="2:16" ht="15.5">
      <c r="B7" s="499"/>
      <c r="C7" s="475" t="s">
        <v>852</v>
      </c>
      <c r="D7" s="952">
        <v>0.157</v>
      </c>
      <c r="E7" s="952">
        <v>0.2</v>
      </c>
      <c r="F7" s="952">
        <v>0.157</v>
      </c>
      <c r="G7" s="476" t="str">
        <f t="shared" ref="G7:O7" si="2">IFERROR(G6/G2, "")</f>
        <v/>
      </c>
      <c r="H7" s="476" t="str">
        <f t="shared" si="2"/>
        <v/>
      </c>
      <c r="I7" s="476" t="str">
        <f t="shared" si="2"/>
        <v/>
      </c>
      <c r="J7" s="476" t="str">
        <f t="shared" si="2"/>
        <v/>
      </c>
      <c r="K7" s="476" t="str">
        <f t="shared" si="2"/>
        <v/>
      </c>
      <c r="L7" s="476" t="str">
        <f t="shared" si="2"/>
        <v/>
      </c>
      <c r="M7" s="476" t="str">
        <f t="shared" si="2"/>
        <v/>
      </c>
      <c r="N7" s="476" t="str">
        <f t="shared" si="2"/>
        <v/>
      </c>
      <c r="O7" s="476" t="str">
        <f t="shared" si="2"/>
        <v/>
      </c>
      <c r="P7" s="477">
        <f>AVERAGEIF(D7:O7, "&gt;0")</f>
        <v>0.17133333333333334</v>
      </c>
    </row>
    <row r="8" spans="2:16" ht="3" customHeight="1">
      <c r="B8" s="478"/>
      <c r="C8" s="473"/>
      <c r="D8" s="464"/>
      <c r="E8" s="464"/>
      <c r="F8" s="464"/>
      <c r="G8" s="464"/>
      <c r="H8" s="464"/>
      <c r="I8" s="464"/>
      <c r="J8" s="464"/>
      <c r="K8" s="464"/>
      <c r="L8" s="464"/>
      <c r="M8" s="464"/>
      <c r="N8" s="464"/>
      <c r="O8" s="464"/>
      <c r="P8" s="474"/>
    </row>
    <row r="9" spans="2:16" ht="15.5">
      <c r="B9" s="499" t="s">
        <v>131</v>
      </c>
      <c r="C9" s="473" t="s">
        <v>853</v>
      </c>
      <c r="D9" s="479">
        <v>497.6</v>
      </c>
      <c r="E9" s="479">
        <v>497.6</v>
      </c>
      <c r="F9" s="479">
        <v>497.6</v>
      </c>
      <c r="G9" s="465"/>
      <c r="H9" s="465"/>
      <c r="I9" s="465"/>
      <c r="J9" s="465"/>
      <c r="K9" s="465"/>
      <c r="L9" s="465"/>
      <c r="M9" s="465"/>
      <c r="N9" s="465"/>
      <c r="O9" s="465"/>
      <c r="P9" s="480">
        <f>AVERAGEIF(D9:O9, "&gt;0")</f>
        <v>497.60000000000008</v>
      </c>
    </row>
    <row r="10" spans="2:16" ht="15.5">
      <c r="B10" s="499"/>
      <c r="C10" s="473" t="s">
        <v>835</v>
      </c>
      <c r="D10" s="479">
        <v>458.3841382804668</v>
      </c>
      <c r="E10" s="479">
        <v>476.04171528829499</v>
      </c>
      <c r="F10" s="479">
        <v>409.81563372836604</v>
      </c>
      <c r="G10" s="465"/>
      <c r="H10" s="465"/>
      <c r="I10" s="465"/>
      <c r="J10" s="465"/>
      <c r="K10" s="465"/>
      <c r="L10" s="465"/>
      <c r="M10" s="465"/>
      <c r="N10" s="465"/>
      <c r="O10" s="465"/>
      <c r="P10" s="480">
        <f>AVERAGEIF(D10:O10, "&gt;0")</f>
        <v>448.08049576570926</v>
      </c>
    </row>
    <row r="11" spans="2:16" ht="15.5">
      <c r="B11" s="499"/>
      <c r="C11" s="475" t="s">
        <v>836</v>
      </c>
      <c r="D11" s="476">
        <f t="shared" ref="D11:O11" si="3">IFERROR(D10/D9, "")</f>
        <v>0.92118998850576117</v>
      </c>
      <c r="E11" s="476">
        <f t="shared" si="3"/>
        <v>0.95667547284625198</v>
      </c>
      <c r="F11" s="476">
        <f t="shared" si="3"/>
        <v>0.82358447292678061</v>
      </c>
      <c r="G11" s="476" t="str">
        <f t="shared" si="3"/>
        <v/>
      </c>
      <c r="H11" s="476" t="str">
        <f t="shared" si="3"/>
        <v/>
      </c>
      <c r="I11" s="476" t="str">
        <f t="shared" si="3"/>
        <v/>
      </c>
      <c r="J11" s="476" t="str">
        <f t="shared" si="3"/>
        <v/>
      </c>
      <c r="K11" s="476" t="str">
        <f t="shared" si="3"/>
        <v/>
      </c>
      <c r="L11" s="476" t="str">
        <f t="shared" si="3"/>
        <v/>
      </c>
      <c r="M11" s="476" t="str">
        <f t="shared" si="3"/>
        <v/>
      </c>
      <c r="N11" s="476" t="str">
        <f t="shared" si="3"/>
        <v/>
      </c>
      <c r="O11" s="476" t="str">
        <f t="shared" si="3"/>
        <v/>
      </c>
      <c r="P11" s="481">
        <f>AVERAGEIF(D11:O11, "&gt;0")</f>
        <v>0.90048331142626459</v>
      </c>
    </row>
    <row r="12" spans="2:16" ht="15.5">
      <c r="B12" s="499"/>
      <c r="C12" s="473" t="s">
        <v>837</v>
      </c>
      <c r="D12" s="467">
        <v>2.4135432458014692E-3</v>
      </c>
      <c r="E12" s="466">
        <v>2.3657636051419204E-3</v>
      </c>
      <c r="F12" s="466">
        <v>2.0222247634522129E-3</v>
      </c>
      <c r="G12" s="466"/>
      <c r="H12" s="466"/>
      <c r="I12" s="466"/>
      <c r="J12" s="466"/>
      <c r="K12" s="466"/>
      <c r="L12" s="466"/>
      <c r="M12" s="466"/>
      <c r="N12" s="466"/>
      <c r="O12" s="466"/>
      <c r="P12" s="482">
        <f>AVERAGEIF(D12:O12, "&gt;0")</f>
        <v>2.267177204798534E-3</v>
      </c>
    </row>
    <row r="13" spans="2:16" ht="15.5">
      <c r="B13" s="499"/>
      <c r="C13" s="473" t="s">
        <v>838</v>
      </c>
      <c r="D13" s="467">
        <v>5.599443330875099E-3</v>
      </c>
      <c r="E13" s="467">
        <v>5.2393000579921759E-3</v>
      </c>
      <c r="F13" s="467">
        <v>4.8799137535570384E-3</v>
      </c>
      <c r="G13" s="467"/>
      <c r="H13" s="467"/>
      <c r="I13" s="467"/>
      <c r="J13" s="467"/>
      <c r="K13" s="467"/>
      <c r="L13" s="467"/>
      <c r="M13" s="467"/>
      <c r="N13" s="467"/>
      <c r="O13" s="467"/>
      <c r="P13" s="481">
        <f>AVERAGEIF(D13:O13, "&gt;0")</f>
        <v>5.2395523808081044E-3</v>
      </c>
    </row>
    <row r="14" spans="2:16" ht="15.5">
      <c r="B14" s="499"/>
      <c r="C14" s="473" t="s">
        <v>854</v>
      </c>
      <c r="D14" s="467">
        <v>0.89999999999999947</v>
      </c>
      <c r="E14" s="467">
        <v>0.89999999999999958</v>
      </c>
      <c r="F14" s="467">
        <v>0.89999999999999947</v>
      </c>
      <c r="G14" s="467"/>
      <c r="H14" s="467"/>
      <c r="I14" s="467"/>
      <c r="J14" s="467"/>
      <c r="K14" s="467"/>
      <c r="L14" s="467"/>
      <c r="M14" s="467"/>
      <c r="N14" s="467"/>
      <c r="O14" s="467"/>
      <c r="P14" s="481">
        <f t="shared" ref="P14" si="4">AVERAGEIF(D14:O14, "&gt;0")</f>
        <v>0.89999999999999947</v>
      </c>
    </row>
    <row r="15" spans="2:16" ht="15.5">
      <c r="B15" s="499"/>
      <c r="C15" s="473" t="s">
        <v>855</v>
      </c>
      <c r="D15" s="467">
        <v>5.7692307692307702E-2</v>
      </c>
      <c r="E15" s="467">
        <v>0.13873626373626369</v>
      </c>
      <c r="F15" s="467">
        <v>0.21960297766749381</v>
      </c>
      <c r="G15" s="467"/>
      <c r="H15" s="467"/>
      <c r="I15" s="467"/>
      <c r="J15" s="467"/>
      <c r="K15" s="467"/>
      <c r="L15" s="467"/>
      <c r="M15" s="467"/>
      <c r="N15" s="467"/>
      <c r="O15" s="467"/>
      <c r="P15" s="498">
        <v>0.21959999999999999</v>
      </c>
    </row>
    <row r="16" spans="2:16" ht="3" customHeight="1">
      <c r="B16" s="478"/>
      <c r="C16" s="473"/>
      <c r="D16" s="467"/>
      <c r="E16" s="467"/>
      <c r="F16" s="467"/>
      <c r="G16" s="467"/>
      <c r="H16" s="467"/>
      <c r="I16" s="467"/>
      <c r="J16" s="467"/>
      <c r="K16" s="467"/>
      <c r="L16" s="467"/>
      <c r="M16" s="467"/>
      <c r="N16" s="467"/>
      <c r="O16" s="467"/>
      <c r="P16" s="481"/>
    </row>
    <row r="17" spans="2:16" ht="16" customHeight="1">
      <c r="B17" s="500" t="s">
        <v>856</v>
      </c>
      <c r="C17" s="473" t="s">
        <v>857</v>
      </c>
      <c r="D17" s="483">
        <v>0.36139567422949059</v>
      </c>
      <c r="E17" s="483">
        <v>0.34737656751091073</v>
      </c>
      <c r="F17" s="483">
        <v>0.36414345188530645</v>
      </c>
      <c r="G17" s="483"/>
      <c r="H17" s="483"/>
      <c r="I17" s="483"/>
      <c r="J17" s="483"/>
      <c r="K17" s="483"/>
      <c r="L17" s="483"/>
      <c r="M17" s="483"/>
      <c r="N17" s="483"/>
      <c r="O17" s="483"/>
      <c r="P17" s="481">
        <f>AVERAGEIF(D17:O17, "&gt;0")</f>
        <v>0.35763856454190263</v>
      </c>
    </row>
    <row r="18" spans="2:16" ht="16" customHeight="1">
      <c r="B18" s="504"/>
      <c r="C18" s="473" t="s">
        <v>224</v>
      </c>
      <c r="D18" s="483">
        <v>6.9633574224369291E-2</v>
      </c>
      <c r="E18" s="483">
        <v>7.7793665132509071E-2</v>
      </c>
      <c r="F18" s="483">
        <v>8.4480826486750038E-2</v>
      </c>
      <c r="G18" s="483"/>
      <c r="H18" s="483"/>
      <c r="I18" s="483"/>
      <c r="J18" s="483"/>
      <c r="K18" s="483"/>
      <c r="L18" s="483"/>
      <c r="M18" s="483"/>
      <c r="N18" s="483"/>
      <c r="O18" s="483"/>
      <c r="P18" s="481">
        <f t="shared" ref="P18:P45" si="5">AVERAGEIF(D18:O18, "&gt;0")</f>
        <v>7.73026886145428E-2</v>
      </c>
    </row>
    <row r="19" spans="2:16" ht="16" customHeight="1">
      <c r="B19" s="504"/>
      <c r="C19" s="473" t="s">
        <v>237</v>
      </c>
      <c r="D19" s="483">
        <v>2.2453221877666876E-2</v>
      </c>
      <c r="E19" s="483">
        <v>2.1676449691951108E-2</v>
      </c>
      <c r="F19" s="483">
        <v>2.4365160296787799E-2</v>
      </c>
      <c r="G19" s="483"/>
      <c r="H19" s="483"/>
      <c r="I19" s="483"/>
      <c r="J19" s="483"/>
      <c r="K19" s="483"/>
      <c r="L19" s="483"/>
      <c r="M19" s="483"/>
      <c r="N19" s="483"/>
      <c r="O19" s="483"/>
      <c r="P19" s="481">
        <f t="shared" si="5"/>
        <v>2.2831610622135262E-2</v>
      </c>
    </row>
    <row r="20" spans="2:16" ht="16" customHeight="1">
      <c r="B20" s="504"/>
      <c r="C20" s="473" t="s">
        <v>222</v>
      </c>
      <c r="D20" s="483">
        <v>8.5850389930237133E-3</v>
      </c>
      <c r="E20" s="483">
        <v>9.9523222144173289E-3</v>
      </c>
      <c r="F20" s="483">
        <v>1.4684918119400437E-2</v>
      </c>
      <c r="G20" s="483"/>
      <c r="H20" s="483"/>
      <c r="I20" s="483"/>
      <c r="J20" s="483"/>
      <c r="K20" s="483"/>
      <c r="L20" s="483"/>
      <c r="M20" s="483"/>
      <c r="N20" s="483"/>
      <c r="O20" s="483"/>
      <c r="P20" s="481">
        <f t="shared" si="5"/>
        <v>1.1074093108947159E-2</v>
      </c>
    </row>
    <row r="21" spans="2:16" ht="16" customHeight="1">
      <c r="B21" s="504"/>
      <c r="C21" s="473" t="s">
        <v>226</v>
      </c>
      <c r="D21" s="483">
        <v>0.16215294044225204</v>
      </c>
      <c r="E21" s="483">
        <v>0.18214707911075978</v>
      </c>
      <c r="F21" s="483">
        <v>0.20289323995580696</v>
      </c>
      <c r="G21" s="483"/>
      <c r="H21" s="483"/>
      <c r="I21" s="483"/>
      <c r="J21" s="483"/>
      <c r="K21" s="483"/>
      <c r="L21" s="483"/>
      <c r="M21" s="483"/>
      <c r="N21" s="483"/>
      <c r="O21" s="483"/>
      <c r="P21" s="481">
        <f t="shared" si="5"/>
        <v>0.18239775316960627</v>
      </c>
    </row>
    <row r="22" spans="2:16" ht="16" customHeight="1">
      <c r="B22" s="504"/>
      <c r="C22" s="473" t="s">
        <v>228</v>
      </c>
      <c r="D22" s="483">
        <v>0.27057088032525339</v>
      </c>
      <c r="E22" s="483">
        <v>0.27529225824200032</v>
      </c>
      <c r="F22" s="483">
        <v>0.29293399487971084</v>
      </c>
      <c r="G22" s="483"/>
      <c r="H22" s="483"/>
      <c r="I22" s="483"/>
      <c r="J22" s="483"/>
      <c r="K22" s="483"/>
      <c r="L22" s="483"/>
      <c r="M22" s="483"/>
      <c r="N22" s="483"/>
      <c r="O22" s="483"/>
      <c r="P22" s="481">
        <f t="shared" si="5"/>
        <v>0.27959904448232148</v>
      </c>
    </row>
    <row r="23" spans="2:16" ht="16" customHeight="1">
      <c r="B23" s="504"/>
      <c r="C23" s="473" t="s">
        <v>238</v>
      </c>
      <c r="D23" s="483">
        <v>2.9234371078829206E-2</v>
      </c>
      <c r="E23" s="483">
        <v>8.9796818765835347E-3</v>
      </c>
      <c r="F23" s="483">
        <v>0</v>
      </c>
      <c r="G23" s="483"/>
      <c r="H23" s="483"/>
      <c r="I23" s="483"/>
      <c r="J23" s="483"/>
      <c r="K23" s="483"/>
      <c r="L23" s="483"/>
      <c r="M23" s="483"/>
      <c r="N23" s="483"/>
      <c r="O23" s="483"/>
      <c r="P23" s="481">
        <f t="shared" si="5"/>
        <v>1.910702647770637E-2</v>
      </c>
    </row>
    <row r="24" spans="2:16" ht="16" customHeight="1">
      <c r="B24" s="504"/>
      <c r="C24" s="473" t="s">
        <v>239</v>
      </c>
      <c r="D24" s="483">
        <v>4.0564165966170615E-2</v>
      </c>
      <c r="E24" s="483">
        <v>4.0109498783470192E-2</v>
      </c>
      <c r="F24" s="483">
        <v>1.6541184549440737E-3</v>
      </c>
      <c r="G24" s="483"/>
      <c r="H24" s="483"/>
      <c r="I24" s="483"/>
      <c r="J24" s="483"/>
      <c r="K24" s="483"/>
      <c r="L24" s="483"/>
      <c r="M24" s="483"/>
      <c r="N24" s="483"/>
      <c r="O24" s="483"/>
      <c r="P24" s="481">
        <f t="shared" si="5"/>
        <v>2.7442594401528294E-2</v>
      </c>
    </row>
    <row r="25" spans="2:16" ht="16" customHeight="1">
      <c r="B25" s="505"/>
      <c r="C25" s="473" t="s">
        <v>234</v>
      </c>
      <c r="D25" s="483">
        <v>3.5410132862943831E-2</v>
      </c>
      <c r="E25" s="483">
        <v>3.6672477437397863E-2</v>
      </c>
      <c r="F25" s="483">
        <v>1.4844289921293864E-2</v>
      </c>
      <c r="G25" s="483"/>
      <c r="H25" s="483"/>
      <c r="I25" s="483"/>
      <c r="J25" s="483"/>
      <c r="K25" s="483"/>
      <c r="L25" s="483"/>
      <c r="M25" s="483"/>
      <c r="N25" s="483"/>
      <c r="O25" s="483"/>
      <c r="P25" s="481">
        <f t="shared" si="5"/>
        <v>2.8975633407211848E-2</v>
      </c>
    </row>
    <row r="26" spans="2:16" ht="3" customHeight="1">
      <c r="B26" s="478"/>
      <c r="C26" s="473"/>
      <c r="D26" s="467"/>
      <c r="E26" s="467"/>
      <c r="F26" s="467"/>
      <c r="G26" s="467"/>
      <c r="H26" s="467"/>
      <c r="I26" s="467"/>
      <c r="J26" s="467"/>
      <c r="K26" s="467"/>
      <c r="L26" s="467"/>
      <c r="M26" s="467"/>
      <c r="N26" s="467"/>
      <c r="O26" s="467"/>
      <c r="P26" s="481"/>
    </row>
    <row r="27" spans="2:16" ht="16" customHeight="1">
      <c r="B27" s="500" t="s">
        <v>858</v>
      </c>
      <c r="C27" s="473" t="s">
        <v>857</v>
      </c>
      <c r="D27" s="483">
        <v>0.58577126139802016</v>
      </c>
      <c r="E27" s="483">
        <v>0.57025346170928881</v>
      </c>
      <c r="F27" s="483">
        <v>0.57640851623137324</v>
      </c>
      <c r="G27" s="483"/>
      <c r="H27" s="483"/>
      <c r="I27" s="483"/>
      <c r="J27" s="483"/>
      <c r="K27" s="483"/>
      <c r="L27" s="483"/>
      <c r="M27" s="483"/>
      <c r="N27" s="483"/>
      <c r="O27" s="483"/>
      <c r="P27" s="481">
        <f>AVERAGEIF(D27:O27, "&gt;0")</f>
        <v>0.5774777464462274</v>
      </c>
    </row>
    <row r="28" spans="2:16" ht="16" customHeight="1">
      <c r="B28" s="504"/>
      <c r="C28" s="473" t="s">
        <v>224</v>
      </c>
      <c r="D28" s="483">
        <v>8.1693945583923164E-2</v>
      </c>
      <c r="E28" s="483">
        <v>9.1615478418020382E-2</v>
      </c>
      <c r="F28" s="483">
        <v>0.10179987010858439</v>
      </c>
      <c r="G28" s="483"/>
      <c r="H28" s="483"/>
      <c r="I28" s="483"/>
      <c r="J28" s="483"/>
      <c r="K28" s="483"/>
      <c r="L28" s="483"/>
      <c r="M28" s="483"/>
      <c r="N28" s="483"/>
      <c r="O28" s="483"/>
      <c r="P28" s="481">
        <f t="shared" si="5"/>
        <v>9.1703098036842637E-2</v>
      </c>
    </row>
    <row r="29" spans="2:16" ht="16" customHeight="1">
      <c r="B29" s="504"/>
      <c r="C29" s="473" t="s">
        <v>237</v>
      </c>
      <c r="D29" s="483">
        <v>2.4966128092325353E-2</v>
      </c>
      <c r="E29" s="483">
        <v>2.3825971045169769E-2</v>
      </c>
      <c r="F29" s="483">
        <v>2.6809080825002728E-2</v>
      </c>
      <c r="G29" s="483"/>
      <c r="H29" s="483"/>
      <c r="I29" s="483"/>
      <c r="J29" s="483"/>
      <c r="K29" s="483"/>
      <c r="L29" s="483"/>
      <c r="M29" s="483"/>
      <c r="N29" s="483"/>
      <c r="O29" s="483"/>
      <c r="P29" s="481">
        <f t="shared" si="5"/>
        <v>2.5200393320832615E-2</v>
      </c>
    </row>
    <row r="30" spans="2:16" ht="16" customHeight="1">
      <c r="B30" s="504"/>
      <c r="C30" s="473" t="s">
        <v>222</v>
      </c>
      <c r="D30" s="483">
        <v>9.7963785106258503E-3</v>
      </c>
      <c r="E30" s="483">
        <v>1.1706621755150907E-2</v>
      </c>
      <c r="F30" s="483">
        <v>1.640151628508173E-2</v>
      </c>
      <c r="G30" s="483"/>
      <c r="H30" s="483"/>
      <c r="I30" s="483"/>
      <c r="J30" s="483"/>
      <c r="K30" s="483"/>
      <c r="L30" s="483"/>
      <c r="M30" s="483"/>
      <c r="N30" s="483"/>
      <c r="O30" s="483"/>
      <c r="P30" s="481">
        <f t="shared" si="5"/>
        <v>1.2634838850286162E-2</v>
      </c>
    </row>
    <row r="31" spans="2:16" ht="16" customHeight="1">
      <c r="B31" s="504"/>
      <c r="C31" s="473" t="s">
        <v>226</v>
      </c>
      <c r="D31" s="483">
        <v>8.9953008167213674E-2</v>
      </c>
      <c r="E31" s="483">
        <v>0.10114834901064219</v>
      </c>
      <c r="F31" s="483">
        <v>0.11343936177613133</v>
      </c>
      <c r="G31" s="483"/>
      <c r="H31" s="483"/>
      <c r="I31" s="483"/>
      <c r="J31" s="483"/>
      <c r="K31" s="483"/>
      <c r="L31" s="483"/>
      <c r="M31" s="483"/>
      <c r="N31" s="483"/>
      <c r="O31" s="483"/>
      <c r="P31" s="481">
        <f t="shared" si="5"/>
        <v>0.1015135729846624</v>
      </c>
    </row>
    <row r="32" spans="2:16" ht="16" customHeight="1">
      <c r="B32" s="504"/>
      <c r="C32" s="473" t="s">
        <v>228</v>
      </c>
      <c r="D32" s="483">
        <v>0.13708177551916129</v>
      </c>
      <c r="E32" s="483">
        <v>0.14060779476747043</v>
      </c>
      <c r="F32" s="483">
        <v>0.14223546019791297</v>
      </c>
      <c r="G32" s="483"/>
      <c r="H32" s="483"/>
      <c r="I32" s="483"/>
      <c r="J32" s="483"/>
      <c r="K32" s="483"/>
      <c r="L32" s="483"/>
      <c r="M32" s="483"/>
      <c r="N32" s="483"/>
      <c r="O32" s="483"/>
      <c r="P32" s="481">
        <f t="shared" si="5"/>
        <v>0.1399750101615149</v>
      </c>
    </row>
    <row r="33" spans="2:16" ht="16" customHeight="1">
      <c r="B33" s="504"/>
      <c r="C33" s="473" t="s">
        <v>238</v>
      </c>
      <c r="D33" s="483">
        <v>1.5652480623129864E-2</v>
      </c>
      <c r="E33" s="483">
        <v>4.823868590510383E-3</v>
      </c>
      <c r="F33" s="483">
        <v>0</v>
      </c>
      <c r="G33" s="483"/>
      <c r="H33" s="483"/>
      <c r="I33" s="483"/>
      <c r="J33" s="483"/>
      <c r="K33" s="483"/>
      <c r="L33" s="483"/>
      <c r="M33" s="483"/>
      <c r="N33" s="483"/>
      <c r="O33" s="483"/>
      <c r="P33" s="481">
        <f t="shared" si="5"/>
        <v>1.0238174606820123E-2</v>
      </c>
    </row>
    <row r="34" spans="2:16" ht="16" customHeight="1">
      <c r="B34" s="504"/>
      <c r="C34" s="473" t="s">
        <v>239</v>
      </c>
      <c r="D34" s="483">
        <v>2.2004734622699137E-2</v>
      </c>
      <c r="E34" s="483">
        <v>2.0902022232890293E-2</v>
      </c>
      <c r="F34" s="483">
        <v>6.7918504928798538E-4</v>
      </c>
      <c r="G34" s="483"/>
      <c r="H34" s="483"/>
      <c r="I34" s="483"/>
      <c r="J34" s="483"/>
      <c r="K34" s="483"/>
      <c r="L34" s="483"/>
      <c r="M34" s="483"/>
      <c r="N34" s="483"/>
      <c r="O34" s="483"/>
      <c r="P34" s="481">
        <f t="shared" si="5"/>
        <v>1.4528647301625805E-2</v>
      </c>
    </row>
    <row r="35" spans="2:16" ht="16" customHeight="1">
      <c r="B35" s="505"/>
      <c r="C35" s="473" t="s">
        <v>234</v>
      </c>
      <c r="D35" s="483">
        <v>3.3080287482901531E-2</v>
      </c>
      <c r="E35" s="483">
        <v>3.5116432470856891E-2</v>
      </c>
      <c r="F35" s="483">
        <v>2.2227009526625659E-2</v>
      </c>
      <c r="G35" s="483"/>
      <c r="H35" s="483"/>
      <c r="I35" s="483"/>
      <c r="J35" s="483"/>
      <c r="K35" s="483"/>
      <c r="L35" s="483"/>
      <c r="M35" s="483"/>
      <c r="N35" s="483"/>
      <c r="O35" s="483"/>
      <c r="P35" s="481">
        <f t="shared" si="5"/>
        <v>3.0141243160128024E-2</v>
      </c>
    </row>
    <row r="36" spans="2:16" ht="3" customHeight="1">
      <c r="B36" s="478"/>
      <c r="C36" s="473"/>
      <c r="D36" s="467"/>
      <c r="E36" s="467"/>
      <c r="F36" s="467"/>
      <c r="G36" s="467"/>
      <c r="H36" s="467"/>
      <c r="I36" s="467"/>
      <c r="J36" s="467"/>
      <c r="K36" s="467"/>
      <c r="L36" s="467"/>
      <c r="M36" s="467"/>
      <c r="N36" s="467"/>
      <c r="O36" s="467"/>
      <c r="P36" s="481"/>
    </row>
    <row r="37" spans="2:16" ht="15.5">
      <c r="B37" s="499" t="s">
        <v>859</v>
      </c>
      <c r="C37" s="473" t="s">
        <v>857</v>
      </c>
      <c r="D37" s="468">
        <v>768.96508698264131</v>
      </c>
      <c r="E37" s="468">
        <v>774.12086448722914</v>
      </c>
      <c r="F37" s="468">
        <v>757.5904244152307</v>
      </c>
      <c r="G37" s="468"/>
      <c r="H37" s="468"/>
      <c r="I37" s="468"/>
      <c r="J37" s="468"/>
      <c r="K37" s="468"/>
      <c r="L37" s="468"/>
      <c r="M37" s="468"/>
      <c r="N37" s="468"/>
      <c r="O37" s="468"/>
      <c r="P37" s="484">
        <f>AVERAGEIF(D37:O37, "&gt;0")</f>
        <v>766.89212529503368</v>
      </c>
    </row>
    <row r="38" spans="2:16" ht="15.5">
      <c r="B38" s="500"/>
      <c r="C38" s="485" t="s">
        <v>224</v>
      </c>
      <c r="D38" s="486">
        <v>280.52357557404559</v>
      </c>
      <c r="E38" s="486">
        <v>304.46478382945497</v>
      </c>
      <c r="F38" s="486">
        <v>311.70581961708376</v>
      </c>
      <c r="G38" s="486"/>
      <c r="H38" s="486"/>
      <c r="I38" s="486"/>
      <c r="J38" s="486"/>
      <c r="K38" s="486"/>
      <c r="L38" s="486"/>
      <c r="M38" s="486"/>
      <c r="N38" s="486"/>
      <c r="O38" s="486"/>
      <c r="P38" s="484">
        <f t="shared" si="5"/>
        <v>298.89805967352811</v>
      </c>
    </row>
    <row r="39" spans="2:16" ht="15.5">
      <c r="B39" s="500"/>
      <c r="C39" s="485" t="s">
        <v>237</v>
      </c>
      <c r="D39" s="486">
        <v>258.56166578115295</v>
      </c>
      <c r="E39" s="486">
        <v>203.2437413385673</v>
      </c>
      <c r="F39" s="486">
        <v>331.13667122055222</v>
      </c>
      <c r="G39" s="486"/>
      <c r="H39" s="486"/>
      <c r="I39" s="486"/>
      <c r="J39" s="486"/>
      <c r="K39" s="486"/>
      <c r="L39" s="486"/>
      <c r="M39" s="486"/>
      <c r="N39" s="486"/>
      <c r="O39" s="486"/>
      <c r="P39" s="484">
        <f t="shared" si="5"/>
        <v>264.31402611342418</v>
      </c>
    </row>
    <row r="40" spans="2:16" ht="15.5">
      <c r="B40" s="500"/>
      <c r="C40" s="485" t="s">
        <v>222</v>
      </c>
      <c r="D40" s="486">
        <v>486.07170829520021</v>
      </c>
      <c r="E40" s="486">
        <v>490.19814173593841</v>
      </c>
      <c r="F40" s="486">
        <v>493.97618103140815</v>
      </c>
      <c r="G40" s="486"/>
      <c r="H40" s="486"/>
      <c r="I40" s="486"/>
      <c r="J40" s="486"/>
      <c r="K40" s="486"/>
      <c r="L40" s="486"/>
      <c r="M40" s="486"/>
      <c r="N40" s="486"/>
      <c r="O40" s="486"/>
      <c r="P40" s="484">
        <f t="shared" si="5"/>
        <v>490.08201035418227</v>
      </c>
    </row>
    <row r="41" spans="2:16" ht="15.5">
      <c r="B41" s="500"/>
      <c r="C41" s="485" t="s">
        <v>226</v>
      </c>
      <c r="D41" s="486">
        <v>82.669482447974161</v>
      </c>
      <c r="E41" s="486">
        <v>81.452411562244222</v>
      </c>
      <c r="F41" s="486">
        <v>79.94999927589204</v>
      </c>
      <c r="G41" s="486"/>
      <c r="H41" s="486"/>
      <c r="I41" s="486"/>
      <c r="J41" s="486"/>
      <c r="K41" s="486"/>
      <c r="L41" s="486"/>
      <c r="M41" s="486"/>
      <c r="N41" s="486"/>
      <c r="O41" s="486"/>
      <c r="P41" s="484">
        <f t="shared" si="5"/>
        <v>81.357297762036808</v>
      </c>
    </row>
    <row r="42" spans="2:16" ht="15.5">
      <c r="B42" s="500"/>
      <c r="C42" s="485" t="s">
        <v>228</v>
      </c>
      <c r="D42" s="486">
        <v>78.306366965294018</v>
      </c>
      <c r="E42" s="486">
        <v>77.971322564328403</v>
      </c>
      <c r="F42" s="486">
        <v>77.906796798443906</v>
      </c>
      <c r="G42" s="486"/>
      <c r="H42" s="486"/>
      <c r="I42" s="486"/>
      <c r="J42" s="486"/>
      <c r="K42" s="486"/>
      <c r="L42" s="486"/>
      <c r="M42" s="486"/>
      <c r="N42" s="486"/>
      <c r="O42" s="486"/>
      <c r="P42" s="484">
        <f t="shared" si="5"/>
        <v>78.061495442688781</v>
      </c>
    </row>
    <row r="43" spans="2:16" ht="15.5">
      <c r="B43" s="500"/>
      <c r="C43" s="485" t="s">
        <v>238</v>
      </c>
      <c r="D43" s="486">
        <v>76.250132772766719</v>
      </c>
      <c r="E43" s="486">
        <v>72.949975663847383</v>
      </c>
      <c r="F43" s="486">
        <v>0</v>
      </c>
      <c r="G43" s="486"/>
      <c r="H43" s="486"/>
      <c r="I43" s="486"/>
      <c r="J43" s="486"/>
      <c r="K43" s="486"/>
      <c r="L43" s="486"/>
      <c r="M43" s="486"/>
      <c r="N43" s="486"/>
      <c r="O43" s="486"/>
      <c r="P43" s="484">
        <f t="shared" si="5"/>
        <v>74.600054218307051</v>
      </c>
    </row>
    <row r="44" spans="2:16" ht="15.5">
      <c r="B44" s="500"/>
      <c r="C44" s="485" t="s">
        <v>239</v>
      </c>
      <c r="D44" s="486">
        <v>110.80830487807768</v>
      </c>
      <c r="E44" s="486">
        <v>97.15750138812345</v>
      </c>
      <c r="F44" s="486">
        <v>84.60142398436416</v>
      </c>
      <c r="G44" s="486"/>
      <c r="H44" s="486"/>
      <c r="I44" s="486"/>
      <c r="J44" s="486"/>
      <c r="K44" s="486"/>
      <c r="L44" s="486"/>
      <c r="M44" s="486"/>
      <c r="N44" s="486"/>
      <c r="O44" s="486"/>
      <c r="P44" s="484">
        <f t="shared" si="5"/>
        <v>97.522410083521763</v>
      </c>
    </row>
    <row r="45" spans="2:16" ht="16" thickBot="1">
      <c r="B45" s="501"/>
      <c r="C45" s="487" t="s">
        <v>234</v>
      </c>
      <c r="D45" s="469">
        <v>76.123665150077642</v>
      </c>
      <c r="E45" s="469">
        <v>77.592138128204311</v>
      </c>
      <c r="F45" s="469">
        <v>83.044478559400275</v>
      </c>
      <c r="G45" s="469"/>
      <c r="H45" s="469"/>
      <c r="I45" s="469"/>
      <c r="J45" s="469"/>
      <c r="K45" s="469"/>
      <c r="L45" s="469"/>
      <c r="M45" s="469"/>
      <c r="N45" s="469"/>
      <c r="O45" s="469"/>
      <c r="P45" s="488">
        <f t="shared" si="5"/>
        <v>78.920093945894067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6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FF0000"/>
    <outlinePr summaryBelow="0" summaryRight="0"/>
  </sheetPr>
  <dimension ref="A1:P37"/>
  <sheetViews>
    <sheetView tabSelected="1" view="pageBreakPreview" zoomScale="115" zoomScaleNormal="100" zoomScaleSheetLayoutView="115" workbookViewId="0">
      <selection activeCell="A10" sqref="A10"/>
    </sheetView>
  </sheetViews>
  <sheetFormatPr defaultColWidth="12.54296875" defaultRowHeight="15.75" customHeight="1"/>
  <cols>
    <col min="1" max="1" width="27.453125" style="99" bestFit="1" customWidth="1"/>
    <col min="2" max="2" width="12.54296875" style="99" customWidth="1"/>
    <col min="3" max="4" width="12.54296875" style="99"/>
    <col min="5" max="5" width="16.453125" style="99" customWidth="1"/>
    <col min="6" max="6" width="2.453125" style="99" customWidth="1"/>
    <col min="7" max="7" width="24.81640625" style="99" bestFit="1" customWidth="1"/>
    <col min="8" max="10" width="12.54296875" style="99"/>
    <col min="11" max="11" width="16.453125" style="99" customWidth="1"/>
    <col min="12" max="12" width="12.54296875" style="100"/>
    <col min="13" max="16384" width="12.54296875" style="99"/>
  </cols>
  <sheetData>
    <row r="1" spans="1:12" ht="15.75" customHeight="1">
      <c r="A1" s="506" t="s">
        <v>336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99"/>
    </row>
    <row r="2" spans="1:12" s="100" customFormat="1" ht="15.75" customHeight="1">
      <c r="A2" s="507"/>
      <c r="B2" s="507"/>
      <c r="C2" s="507"/>
      <c r="D2" s="507"/>
      <c r="E2" s="507"/>
      <c r="F2" s="507"/>
      <c r="G2" s="507"/>
      <c r="H2" s="507"/>
      <c r="I2" s="507"/>
      <c r="J2" s="507"/>
      <c r="K2" s="507"/>
    </row>
    <row r="3" spans="1:12" ht="21.65" customHeight="1">
      <c r="A3" s="114" t="s">
        <v>327</v>
      </c>
      <c r="B3" s="115">
        <v>3</v>
      </c>
      <c r="C3" s="114" t="s">
        <v>20</v>
      </c>
      <c r="D3" s="508" t="s">
        <v>373</v>
      </c>
      <c r="E3" s="508"/>
      <c r="F3" s="100"/>
      <c r="G3" s="109"/>
      <c r="H3" s="100"/>
      <c r="I3" s="100"/>
      <c r="J3" s="100"/>
      <c r="K3" s="100"/>
    </row>
    <row r="4" spans="1:12" ht="15.75" customHeight="1">
      <c r="A4" s="110" t="s">
        <v>798</v>
      </c>
      <c r="E4" s="102" t="s">
        <v>23</v>
      </c>
      <c r="G4" s="111" t="s">
        <v>130</v>
      </c>
      <c r="L4" s="99"/>
    </row>
    <row r="5" spans="1:12" s="104" customFormat="1" ht="15.75" customHeight="1">
      <c r="A5" s="121" t="s">
        <v>199</v>
      </c>
      <c r="B5" s="116" t="s">
        <v>22</v>
      </c>
      <c r="C5" s="116" t="s">
        <v>1</v>
      </c>
      <c r="D5" s="116" t="s">
        <v>2</v>
      </c>
      <c r="E5" s="116" t="s">
        <v>3</v>
      </c>
      <c r="G5" s="121" t="s">
        <v>199</v>
      </c>
      <c r="H5" s="116" t="s">
        <v>69</v>
      </c>
      <c r="I5" s="116" t="s">
        <v>22</v>
      </c>
      <c r="J5" s="116" t="s">
        <v>67</v>
      </c>
      <c r="K5" s="116" t="s">
        <v>3</v>
      </c>
      <c r="L5" s="105" t="s">
        <v>60</v>
      </c>
    </row>
    <row r="6" spans="1:12" ht="18" customHeight="1">
      <c r="A6" s="107" t="s">
        <v>24</v>
      </c>
      <c r="B6" s="490">
        <f>'（１）收支狀況'!H10/1000</f>
        <v>148837.99842999995</v>
      </c>
      <c r="C6" s="461">
        <f>'數值累積總表(月)'!E2</f>
        <v>116569.43023000001</v>
      </c>
      <c r="D6" s="117">
        <f t="shared" ref="D6:D11" si="0">B6-C6</f>
        <v>32268.568199999936</v>
      </c>
      <c r="E6" s="461">
        <f>'數值累積總表(月)'!P2</f>
        <v>411707.36404999997</v>
      </c>
      <c r="G6" s="107" t="s">
        <v>200</v>
      </c>
      <c r="H6" s="119">
        <v>497.6</v>
      </c>
      <c r="I6" s="491">
        <f>'（２）ＫＰＩ達成進度'!H10</f>
        <v>409.82815360439037</v>
      </c>
      <c r="J6" s="471">
        <f>'數值累積總表(月)'!E10</f>
        <v>476.04171528829499</v>
      </c>
      <c r="K6" s="471">
        <f>'數值累積總表(月)'!P10</f>
        <v>448.08049576570926</v>
      </c>
      <c r="L6" s="101" t="s">
        <v>197</v>
      </c>
    </row>
    <row r="7" spans="1:12" ht="18" customHeight="1">
      <c r="A7" s="107" t="s">
        <v>25</v>
      </c>
      <c r="B7" s="490">
        <f>'（１）收支狀況'!K10</f>
        <v>5045753</v>
      </c>
      <c r="C7" s="461">
        <f>'數值累積總表(月)'!E3</f>
        <v>3787002</v>
      </c>
      <c r="D7" s="117">
        <f t="shared" si="0"/>
        <v>1258751</v>
      </c>
      <c r="E7" s="461">
        <f>'數值累積總表(月)'!P3</f>
        <v>13601456</v>
      </c>
      <c r="G7" s="107" t="s">
        <v>201</v>
      </c>
      <c r="H7" s="118">
        <v>0.8</v>
      </c>
      <c r="I7" s="470">
        <f>'（２）ＫＰＩ達成進度'!K10</f>
        <v>0.82360963344933713</v>
      </c>
      <c r="J7" s="496">
        <f>'數值累積總表(月)'!E11</f>
        <v>0.95667547284625198</v>
      </c>
      <c r="K7" s="496">
        <f>'數值累積總表(月)'!P11</f>
        <v>0.90048331142626459</v>
      </c>
      <c r="L7" s="101" t="s">
        <v>4</v>
      </c>
    </row>
    <row r="8" spans="1:12" ht="18" customHeight="1">
      <c r="A8" s="107" t="s">
        <v>5</v>
      </c>
      <c r="B8" s="490">
        <v>93614</v>
      </c>
      <c r="C8" s="461">
        <f>'數值累積總表(月)'!E4</f>
        <v>74777</v>
      </c>
      <c r="D8" s="117">
        <f>B8-C8</f>
        <v>18837</v>
      </c>
      <c r="E8" s="461">
        <f>'數值累積總表(月)'!P4</f>
        <v>261644</v>
      </c>
      <c r="G8" s="107" t="s">
        <v>202</v>
      </c>
      <c r="H8" s="118">
        <v>2.5000000000000001E-3</v>
      </c>
      <c r="I8" s="492">
        <f>'（２）ＫＰＩ達成進度'!N10</f>
        <v>2.0218797278943137E-3</v>
      </c>
      <c r="J8" s="497">
        <f>'數值累積總表(月)'!E12</f>
        <v>2.3657636051419204E-3</v>
      </c>
      <c r="K8" s="497">
        <f>'數值累積總表(月)'!P12</f>
        <v>2.267177204798534E-3</v>
      </c>
      <c r="L8" s="101" t="s">
        <v>55</v>
      </c>
    </row>
    <row r="9" spans="1:12" ht="18" customHeight="1">
      <c r="A9" s="107" t="s">
        <v>6</v>
      </c>
      <c r="B9" s="470">
        <v>0.64800000000000002</v>
      </c>
      <c r="C9" s="495">
        <f>'數值累積總表(月)'!E5</f>
        <v>0.65300000000000002</v>
      </c>
      <c r="D9" s="118">
        <f t="shared" si="0"/>
        <v>-5.0000000000000044E-3</v>
      </c>
      <c r="E9" s="495">
        <f>'數值累積總表(月)'!P5</f>
        <v>0.65200000000000002</v>
      </c>
      <c r="G9" s="107" t="s">
        <v>203</v>
      </c>
      <c r="H9" s="118">
        <v>4.0000000000000001E-3</v>
      </c>
      <c r="I9" s="470">
        <f>'（２）ＫＰＩ達成進度'!Q10</f>
        <v>4.8669348978313889E-3</v>
      </c>
      <c r="J9" s="496">
        <f>'數值累積總表(月)'!E13</f>
        <v>5.2393000579921759E-3</v>
      </c>
      <c r="K9" s="496">
        <f>'數值累積總表(月)'!P13</f>
        <v>5.2395523808081044E-3</v>
      </c>
      <c r="L9" s="101" t="s">
        <v>98</v>
      </c>
    </row>
    <row r="10" spans="1:12" ht="18" customHeight="1">
      <c r="A10" s="107" t="s">
        <v>64</v>
      </c>
      <c r="B10" s="490">
        <v>22710</v>
      </c>
      <c r="C10" s="461">
        <f>'數值累積總表(月)'!E6</f>
        <v>22860</v>
      </c>
      <c r="D10" s="117">
        <f>B10-C10</f>
        <v>-150</v>
      </c>
      <c r="E10" s="461">
        <f>'數值累積總表(月)'!P6</f>
        <v>67948</v>
      </c>
      <c r="G10" s="107" t="s">
        <v>204</v>
      </c>
      <c r="H10" s="118">
        <v>0.8</v>
      </c>
      <c r="I10" s="470">
        <f>'（２）ＫＰＩ達成進度'!T10</f>
        <v>0.89999999999999947</v>
      </c>
      <c r="J10" s="496">
        <f>'數值累積總表(月)'!E14</f>
        <v>0.89999999999999958</v>
      </c>
      <c r="K10" s="496">
        <f>'數值累積總表(月)'!P14</f>
        <v>0.89999999999999947</v>
      </c>
      <c r="L10" s="101" t="s">
        <v>7</v>
      </c>
    </row>
    <row r="11" spans="1:12" ht="18" customHeight="1">
      <c r="A11" s="107" t="s">
        <v>65</v>
      </c>
      <c r="B11" s="470">
        <v>0.157</v>
      </c>
      <c r="C11" s="495">
        <f>'數值累積總表(月)'!E7</f>
        <v>0.2</v>
      </c>
      <c r="D11" s="118">
        <f t="shared" si="0"/>
        <v>-4.300000000000001E-2</v>
      </c>
      <c r="E11" s="495">
        <f>'數值累積總表(月)'!P7</f>
        <v>0.17133333333333334</v>
      </c>
      <c r="G11" s="107" t="s">
        <v>205</v>
      </c>
      <c r="H11" s="118">
        <v>1</v>
      </c>
      <c r="I11" s="470">
        <f>'（２）ＫＰＩ達成進度'!W10</f>
        <v>0.21960297766749381</v>
      </c>
      <c r="J11" s="496">
        <f>'數值累積總表(月)'!E15</f>
        <v>0.13873626373626369</v>
      </c>
      <c r="K11" s="496">
        <f>'數值累積總表(月)'!P15</f>
        <v>0.21959999999999999</v>
      </c>
      <c r="L11" s="101" t="s">
        <v>62</v>
      </c>
    </row>
    <row r="12" spans="1:12" ht="9.65" customHeight="1">
      <c r="L12" s="99"/>
    </row>
    <row r="13" spans="1:12" ht="15.75" customHeight="1">
      <c r="A13" s="110" t="s">
        <v>32</v>
      </c>
      <c r="E13" s="317" t="s">
        <v>23</v>
      </c>
      <c r="G13" s="110" t="s">
        <v>154</v>
      </c>
      <c r="K13" s="317" t="s">
        <v>452</v>
      </c>
      <c r="L13" s="99"/>
    </row>
    <row r="14" spans="1:12" s="106" customFormat="1" ht="13.5">
      <c r="A14" s="120"/>
      <c r="B14" s="120" t="s">
        <v>22</v>
      </c>
      <c r="C14" s="120" t="s">
        <v>66</v>
      </c>
      <c r="D14" s="120" t="s">
        <v>67</v>
      </c>
      <c r="E14" s="120" t="s">
        <v>68</v>
      </c>
      <c r="G14" s="120"/>
      <c r="H14" s="120" t="s">
        <v>22</v>
      </c>
      <c r="I14" s="120" t="s">
        <v>66</v>
      </c>
      <c r="J14" s="120" t="s">
        <v>67</v>
      </c>
      <c r="K14" s="120" t="s">
        <v>68</v>
      </c>
    </row>
    <row r="15" spans="1:12" ht="18" customHeight="1">
      <c r="A15" s="107" t="s">
        <v>394</v>
      </c>
      <c r="B15" s="490">
        <f>SUM('（３）業績構成比'!M12:M42)/1000</f>
        <v>54198.382520000006</v>
      </c>
      <c r="C15" s="118">
        <f>IFERROR(B15/$B$6,"")</f>
        <v>0.36414345188530645</v>
      </c>
      <c r="D15" s="489">
        <f>'數值累積總表(月)'!E17</f>
        <v>0.34737656751091073</v>
      </c>
      <c r="E15" s="118">
        <f>IFERROR(C15-D15,"")</f>
        <v>1.6766884374395719E-2</v>
      </c>
      <c r="G15" s="107" t="s">
        <v>395</v>
      </c>
      <c r="H15" s="490">
        <f>SUM('（４）訂單數量構成比'!M12:M42)</f>
        <v>2908415</v>
      </c>
      <c r="I15" s="118">
        <f t="shared" ref="I15:I23" si="1">IFERROR(H15/$B$7,"")</f>
        <v>0.57640851623137324</v>
      </c>
      <c r="J15" s="489">
        <f>'數值累積總表(月)'!E27</f>
        <v>0.57025346170928881</v>
      </c>
      <c r="K15" s="118">
        <f>IFERROR(I15-J15,"")</f>
        <v>6.1550545220844244E-3</v>
      </c>
      <c r="L15" s="99"/>
    </row>
    <row r="16" spans="1:12" ht="18" customHeight="1">
      <c r="A16" s="107" t="s">
        <v>225</v>
      </c>
      <c r="B16" s="490">
        <f>SUM('（３）業績構成比'!S12:S42)/1000</f>
        <v>12573.957120000001</v>
      </c>
      <c r="C16" s="118">
        <f t="shared" ref="C16:C23" si="2">IFERROR(B16/$B$6,"")</f>
        <v>8.4480826486750038E-2</v>
      </c>
      <c r="D16" s="489">
        <f>'數值累積總表(月)'!E18</f>
        <v>7.7793665132509071E-2</v>
      </c>
      <c r="E16" s="118">
        <f t="shared" ref="E16:E23" si="3">IFERROR(C16-D16,"")</f>
        <v>6.6871613542409669E-3</v>
      </c>
      <c r="G16" s="107" t="s">
        <v>225</v>
      </c>
      <c r="H16" s="490">
        <f>SUM('（４）訂單數量構成比'!S12:S42)</f>
        <v>513657</v>
      </c>
      <c r="I16" s="118">
        <f t="shared" si="1"/>
        <v>0.10179987010858439</v>
      </c>
      <c r="J16" s="489">
        <f>'數值累積總表(月)'!E28</f>
        <v>9.1615478418020382E-2</v>
      </c>
      <c r="K16" s="118">
        <f t="shared" ref="K16:K23" si="4">IFERROR(I16-J16,"")</f>
        <v>1.018439169056401E-2</v>
      </c>
      <c r="L16" s="99"/>
    </row>
    <row r="17" spans="1:16" ht="18" customHeight="1">
      <c r="A17" s="107" t="s">
        <v>221</v>
      </c>
      <c r="B17" s="490">
        <f>SUM('（３）業績構成比'!U12:U42)/1000</f>
        <v>3626.4616899999996</v>
      </c>
      <c r="C17" s="118">
        <f t="shared" si="2"/>
        <v>2.4365160296787799E-2</v>
      </c>
      <c r="D17" s="489">
        <f>'數值累積總表(月)'!E19</f>
        <v>2.1676449691951108E-2</v>
      </c>
      <c r="E17" s="118">
        <f t="shared" si="3"/>
        <v>2.6887106048366916E-3</v>
      </c>
      <c r="G17" s="107" t="s">
        <v>237</v>
      </c>
      <c r="H17" s="490">
        <f>SUM('（４）訂單數量構成比'!U12:U42)</f>
        <v>135272</v>
      </c>
      <c r="I17" s="118">
        <f t="shared" si="1"/>
        <v>2.6809080825002728E-2</v>
      </c>
      <c r="J17" s="489">
        <f>'數值累積總表(月)'!E29</f>
        <v>2.3825971045169769E-2</v>
      </c>
      <c r="K17" s="118">
        <f t="shared" si="4"/>
        <v>2.9831097798329598E-3</v>
      </c>
      <c r="L17" s="99"/>
    </row>
    <row r="18" spans="1:16" ht="18" customHeight="1">
      <c r="A18" s="107" t="s">
        <v>223</v>
      </c>
      <c r="B18" s="490">
        <f>SUM('（３）業績構成比'!W12:W42)/1000</f>
        <v>2185.67382</v>
      </c>
      <c r="C18" s="118">
        <f t="shared" si="2"/>
        <v>1.4684918119400437E-2</v>
      </c>
      <c r="D18" s="489">
        <f>'數值累積總表(月)'!E20</f>
        <v>9.9523222144173289E-3</v>
      </c>
      <c r="E18" s="118">
        <f t="shared" si="3"/>
        <v>4.7325959049831084E-3</v>
      </c>
      <c r="G18" s="107" t="s">
        <v>222</v>
      </c>
      <c r="H18" s="490">
        <f>SUM('（４）訂單數量構成比'!W12:W42)</f>
        <v>82758</v>
      </c>
      <c r="I18" s="118">
        <f t="shared" si="1"/>
        <v>1.640151628508173E-2</v>
      </c>
      <c r="J18" s="489">
        <f>'數值累積總表(月)'!E30</f>
        <v>1.1706621755150907E-2</v>
      </c>
      <c r="K18" s="118">
        <f t="shared" si="4"/>
        <v>4.694894529930823E-3</v>
      </c>
      <c r="L18" s="99"/>
    </row>
    <row r="19" spans="1:16" ht="18" customHeight="1">
      <c r="A19" s="107" t="s">
        <v>227</v>
      </c>
      <c r="B19" s="490">
        <f>SUM('（３）業績構成比'!AC12:AC42)/1000</f>
        <v>30198.223729999998</v>
      </c>
      <c r="C19" s="118">
        <f t="shared" si="2"/>
        <v>0.20289323995580696</v>
      </c>
      <c r="D19" s="489">
        <f>'數值累積總表(月)'!E21</f>
        <v>0.18214707911075978</v>
      </c>
      <c r="E19" s="118">
        <f t="shared" si="3"/>
        <v>2.0746160845047185E-2</v>
      </c>
      <c r="G19" s="107" t="s">
        <v>226</v>
      </c>
      <c r="H19" s="490">
        <f>SUM('（４）訂單數量構成比'!AC12:AC42)</f>
        <v>572387</v>
      </c>
      <c r="I19" s="118">
        <f t="shared" si="1"/>
        <v>0.11343936177613133</v>
      </c>
      <c r="J19" s="489">
        <f>'數值累積總表(月)'!E31</f>
        <v>0.10114834901064219</v>
      </c>
      <c r="K19" s="118">
        <f t="shared" si="4"/>
        <v>1.2291012765489134E-2</v>
      </c>
      <c r="L19" s="99"/>
    </row>
    <row r="20" spans="1:16" ht="18" customHeight="1">
      <c r="A20" s="107" t="s">
        <v>229</v>
      </c>
      <c r="B20" s="490">
        <f>SUM('（３）業績構成比'!AE12:AE42)/1000</f>
        <v>43599.709470000016</v>
      </c>
      <c r="C20" s="118">
        <f t="shared" si="2"/>
        <v>0.29293399487971084</v>
      </c>
      <c r="D20" s="489">
        <f>'數值累積總表(月)'!E22</f>
        <v>0.27529225824200032</v>
      </c>
      <c r="E20" s="118">
        <f t="shared" si="3"/>
        <v>1.7641736637710514E-2</v>
      </c>
      <c r="G20" s="107" t="s">
        <v>228</v>
      </c>
      <c r="H20" s="490">
        <f>SUM('（４）訂單數量構成比'!AE12:AE42)</f>
        <v>717685</v>
      </c>
      <c r="I20" s="118">
        <f t="shared" si="1"/>
        <v>0.14223546019791297</v>
      </c>
      <c r="J20" s="489">
        <f>'數值累積總表(月)'!E32</f>
        <v>0.14060779476747043</v>
      </c>
      <c r="K20" s="118">
        <f t="shared" si="4"/>
        <v>1.6276654304425431E-3</v>
      </c>
      <c r="L20" s="99"/>
    </row>
    <row r="21" spans="1:16" ht="18" customHeight="1">
      <c r="A21" s="107" t="s">
        <v>232</v>
      </c>
      <c r="B21" s="490">
        <f>SUM('（３）業績構成比'!AG12:AG42)/1000</f>
        <v>0</v>
      </c>
      <c r="C21" s="118">
        <f t="shared" si="2"/>
        <v>0</v>
      </c>
      <c r="D21" s="489">
        <f>'數值累積總表(月)'!E23</f>
        <v>8.9796818765835347E-3</v>
      </c>
      <c r="E21" s="118">
        <f t="shared" ref="E21" si="5">IFERROR(C21-D21,"")</f>
        <v>-8.9796818765835347E-3</v>
      </c>
      <c r="G21" s="107" t="s">
        <v>238</v>
      </c>
      <c r="H21" s="490">
        <f>SUM('（４）訂單數量構成比'!AG12:AG42)</f>
        <v>0</v>
      </c>
      <c r="I21" s="118">
        <f t="shared" ref="I21" si="6">IFERROR(H21/$B$7,"")</f>
        <v>0</v>
      </c>
      <c r="J21" s="489">
        <f>'數值累積總表(月)'!E33</f>
        <v>4.823868590510383E-3</v>
      </c>
      <c r="K21" s="118">
        <f t="shared" ref="K21" si="7">IFERROR(I21-J21,"")</f>
        <v>-4.823868590510383E-3</v>
      </c>
      <c r="L21" s="99"/>
    </row>
    <row r="22" spans="1:16" ht="18" customHeight="1">
      <c r="A22" s="107" t="s">
        <v>233</v>
      </c>
      <c r="B22" s="490">
        <f>SUM('（３）業績構成比'!AI12:AI42)/1000</f>
        <v>246.19567999999998</v>
      </c>
      <c r="C22" s="118">
        <f t="shared" si="2"/>
        <v>1.6541184549440737E-3</v>
      </c>
      <c r="D22" s="489">
        <f>'數值累積總表(月)'!E24</f>
        <v>4.0109498783470192E-2</v>
      </c>
      <c r="E22" s="118">
        <f t="shared" si="3"/>
        <v>-3.845538032852612E-2</v>
      </c>
      <c r="G22" s="107" t="s">
        <v>239</v>
      </c>
      <c r="H22" s="490">
        <f>SUM('（４）訂單數量構成比'!AI12:AI42)</f>
        <v>3427</v>
      </c>
      <c r="I22" s="118">
        <f t="shared" si="1"/>
        <v>6.7918504928798538E-4</v>
      </c>
      <c r="J22" s="489">
        <f>'數值累積總表(月)'!E34</f>
        <v>2.0902022232890293E-2</v>
      </c>
      <c r="K22" s="118">
        <f t="shared" si="4"/>
        <v>-2.0222837183602307E-2</v>
      </c>
      <c r="L22" s="99"/>
    </row>
    <row r="23" spans="1:16" ht="18" customHeight="1">
      <c r="A23" s="107" t="s">
        <v>235</v>
      </c>
      <c r="B23" s="490">
        <f>SUM('（３）業績構成比'!AK12:AK42)/1000</f>
        <v>2209.3944000000001</v>
      </c>
      <c r="C23" s="118">
        <f t="shared" si="2"/>
        <v>1.4844289921293864E-2</v>
      </c>
      <c r="D23" s="489">
        <f>'數值累積總表(月)'!E25</f>
        <v>3.6672477437397863E-2</v>
      </c>
      <c r="E23" s="118">
        <f t="shared" si="3"/>
        <v>-2.1828187516103999E-2</v>
      </c>
      <c r="G23" s="107" t="s">
        <v>234</v>
      </c>
      <c r="H23" s="490">
        <f>SUM('（４）訂單數量構成比'!AK12:AK42)</f>
        <v>112152</v>
      </c>
      <c r="I23" s="118">
        <f t="shared" si="1"/>
        <v>2.2227009526625659E-2</v>
      </c>
      <c r="J23" s="489">
        <f>'數值累積總表(月)'!E35</f>
        <v>3.5116432470856891E-2</v>
      </c>
      <c r="K23" s="118">
        <f t="shared" si="4"/>
        <v>-1.2889422944231232E-2</v>
      </c>
      <c r="L23" s="99"/>
    </row>
    <row r="24" spans="1:16" ht="15.75" customHeight="1">
      <c r="C24" s="112">
        <f>SUM(C15:C23)</f>
        <v>1.0000000000000004</v>
      </c>
      <c r="D24" s="112">
        <f t="shared" ref="D24" si="8">SUM(D15:D23)</f>
        <v>0.99999999999999989</v>
      </c>
      <c r="I24" s="112">
        <f t="shared" ref="I24:J24" si="9">SUM(I15:I23)</f>
        <v>1</v>
      </c>
      <c r="J24" s="112">
        <f t="shared" si="9"/>
        <v>1.0000000000000002</v>
      </c>
      <c r="L24" s="99"/>
    </row>
    <row r="25" spans="1:16" ht="9.65" customHeight="1">
      <c r="A25" s="113"/>
      <c r="L25" s="99"/>
    </row>
    <row r="26" spans="1:16" ht="15.75" customHeight="1">
      <c r="A26" s="110" t="s">
        <v>198</v>
      </c>
      <c r="L26" s="99"/>
    </row>
    <row r="27" spans="1:16" ht="15.75" customHeight="1">
      <c r="A27" s="107" t="s">
        <v>190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6" ht="18" customHeight="1">
      <c r="A28" s="107" t="s">
        <v>236</v>
      </c>
      <c r="B28" s="493">
        <f>'（５-1）品群別人時生產性(18℃-飯糰)'!C1</f>
        <v>757.5904244152307</v>
      </c>
      <c r="C28" s="494">
        <f>'數值累積總表(月)'!E37</f>
        <v>774.12086448722914</v>
      </c>
      <c r="D28" s="222">
        <f t="shared" ref="D28:D36" si="10">B28-C28</f>
        <v>-16.530440071998441</v>
      </c>
      <c r="E28" s="472">
        <f>'數值累積總表(月)'!P37</f>
        <v>766.89212529503368</v>
      </c>
      <c r="G28" s="122"/>
      <c r="H28" s="122"/>
      <c r="I28" s="122"/>
      <c r="J28" s="122"/>
      <c r="K28" s="122"/>
      <c r="L28" s="122"/>
      <c r="M28" s="122"/>
      <c r="N28" s="122"/>
      <c r="O28" s="123"/>
      <c r="P28" s="123"/>
    </row>
    <row r="29" spans="1:16" ht="18" customHeight="1">
      <c r="A29" s="107" t="s">
        <v>224</v>
      </c>
      <c r="B29" s="493">
        <f>'（５-2）品群別人時生產性(18℃-壽司手卷)'!C1</f>
        <v>311.70581961708376</v>
      </c>
      <c r="C29" s="494">
        <f>'數值累積總表(月)'!E38</f>
        <v>304.46478382945497</v>
      </c>
      <c r="D29" s="222">
        <f t="shared" si="10"/>
        <v>7.241035787628789</v>
      </c>
      <c r="E29" s="472">
        <f>'數值累積總表(月)'!P38</f>
        <v>298.89805967352811</v>
      </c>
      <c r="G29" s="124"/>
      <c r="H29" s="124"/>
      <c r="I29" s="125"/>
      <c r="J29" s="1"/>
      <c r="K29" s="126"/>
      <c r="L29" s="67"/>
      <c r="M29" s="67"/>
      <c r="N29" s="67"/>
      <c r="O29" s="67"/>
      <c r="P29" s="67"/>
    </row>
    <row r="30" spans="1:16" ht="18" customHeight="1">
      <c r="A30" s="107" t="s">
        <v>237</v>
      </c>
      <c r="B30" s="493">
        <f>'（５-3）品群別人時生產性(4℃-飯糰)'!C1</f>
        <v>331.13667122055222</v>
      </c>
      <c r="C30" s="494">
        <f>'數值累積總表(月)'!E39</f>
        <v>203.2437413385673</v>
      </c>
      <c r="D30" s="222">
        <f t="shared" si="10"/>
        <v>127.89292988198491</v>
      </c>
      <c r="E30" s="472">
        <f>'數值累積總表(月)'!P39</f>
        <v>264.31402611342418</v>
      </c>
      <c r="L30" s="99"/>
    </row>
    <row r="31" spans="1:16" ht="18" customHeight="1">
      <c r="A31" s="107" t="s">
        <v>222</v>
      </c>
      <c r="B31" s="493">
        <f>'（５-4）品群別人時生產性(4℃-壽司手卷)'!C1</f>
        <v>493.97618103140815</v>
      </c>
      <c r="C31" s="494">
        <f>'數值累積總表(月)'!E40</f>
        <v>490.19814173593841</v>
      </c>
      <c r="D31" s="222">
        <f t="shared" si="10"/>
        <v>3.778039295469739</v>
      </c>
      <c r="E31" s="472">
        <f>'數值累積總表(月)'!P40</f>
        <v>490.08201035418227</v>
      </c>
      <c r="L31" s="99"/>
    </row>
    <row r="32" spans="1:16" ht="18" customHeight="1">
      <c r="A32" s="107" t="s">
        <v>226</v>
      </c>
      <c r="B32" s="493">
        <f>'（５-5）品群別人時生產性(微波主食) '!C1</f>
        <v>79.94999927589204</v>
      </c>
      <c r="C32" s="494">
        <f>'數值累積總表(月)'!E41</f>
        <v>81.452411562244222</v>
      </c>
      <c r="D32" s="222">
        <f t="shared" si="10"/>
        <v>-1.5024122863521825</v>
      </c>
      <c r="E32" s="472">
        <f>'數值累積總表(月)'!P41</f>
        <v>81.357297762036808</v>
      </c>
      <c r="L32" s="99"/>
    </row>
    <row r="33" spans="1:12" ht="18" customHeight="1">
      <c r="A33" s="107" t="s">
        <v>228</v>
      </c>
      <c r="B33" s="493">
        <f>'（５-6）品群別人時生產性(便當)'!C1</f>
        <v>77.906796798443906</v>
      </c>
      <c r="C33" s="494">
        <f>'數值累積總表(月)'!E42</f>
        <v>77.971322564328403</v>
      </c>
      <c r="D33" s="222">
        <f t="shared" si="10"/>
        <v>-6.4525765884496877E-2</v>
      </c>
      <c r="E33" s="472">
        <f>'數值累積總表(月)'!P42</f>
        <v>78.061495442688781</v>
      </c>
      <c r="L33" s="99"/>
    </row>
    <row r="34" spans="1:12" ht="18" customHeight="1">
      <c r="A34" s="107" t="s">
        <v>238</v>
      </c>
      <c r="B34" s="493">
        <f>'（５-7）品群別人時生產性(熱食義麵) '!C1</f>
        <v>0</v>
      </c>
      <c r="C34" s="494">
        <f>'數值累積總表(月)'!E43</f>
        <v>72.949975663847383</v>
      </c>
      <c r="D34" s="222">
        <f t="shared" si="10"/>
        <v>-72.949975663847383</v>
      </c>
      <c r="E34" s="472">
        <f>'數值累積總表(月)'!P43</f>
        <v>74.600054218307051</v>
      </c>
      <c r="L34" s="99"/>
    </row>
    <row r="35" spans="1:12" ht="18" customHeight="1">
      <c r="A35" s="107" t="s">
        <v>239</v>
      </c>
      <c r="B35" s="493">
        <f>'（５-8）品群別人時生產性(季節調理麵) '!C1</f>
        <v>84.60142398436416</v>
      </c>
      <c r="C35" s="494">
        <f>'數值累積總表(月)'!E44</f>
        <v>97.15750138812345</v>
      </c>
      <c r="D35" s="222">
        <f t="shared" si="10"/>
        <v>-12.556077403759289</v>
      </c>
      <c r="E35" s="472">
        <f>'數值累積總表(月)'!P44</f>
        <v>97.522410083521763</v>
      </c>
      <c r="L35" s="99"/>
    </row>
    <row r="36" spans="1:12" ht="18" customHeight="1">
      <c r="A36" s="103" t="s">
        <v>234</v>
      </c>
      <c r="B36" s="493">
        <f>'（５-9）品群別人時生產性(微波小吃)'!C1</f>
        <v>83.044478559400275</v>
      </c>
      <c r="C36" s="494">
        <f>'數值累積總表(月)'!E45</f>
        <v>77.592138128204311</v>
      </c>
      <c r="D36" s="222">
        <f t="shared" si="10"/>
        <v>5.4523404311959638</v>
      </c>
      <c r="E36" s="472">
        <f>'數值累積總表(月)'!P45</f>
        <v>78.920093945894067</v>
      </c>
      <c r="L36" s="99"/>
    </row>
    <row r="37" spans="1:12" ht="15.75" customHeight="1">
      <c r="L37" s="99"/>
    </row>
  </sheetData>
  <mergeCells count="2">
    <mergeCell ref="A1:K2"/>
    <mergeCell ref="D3:E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92D050"/>
    <outlinePr summaryBelow="0" summaryRight="0"/>
  </sheetPr>
  <dimension ref="A1:Q38"/>
  <sheetViews>
    <sheetView view="pageBreakPreview" topLeftCell="A10" zoomScaleNormal="60" zoomScaleSheetLayoutView="100" workbookViewId="0">
      <selection activeCell="B35" sqref="B35"/>
    </sheetView>
  </sheetViews>
  <sheetFormatPr defaultColWidth="12.54296875" defaultRowHeight="15.75" customHeight="1"/>
  <cols>
    <col min="1" max="1" width="27.453125" style="99" bestFit="1" customWidth="1"/>
    <col min="2" max="2" width="12.54296875" style="99" customWidth="1"/>
    <col min="3" max="4" width="12.54296875" style="99"/>
    <col min="5" max="5" width="16.453125" style="99" customWidth="1"/>
    <col min="6" max="6" width="2.453125" style="99" customWidth="1"/>
    <col min="7" max="7" width="24.81640625" style="99" bestFit="1" customWidth="1"/>
    <col min="8" max="10" width="12.54296875" style="99"/>
    <col min="11" max="11" width="16.453125" style="99" customWidth="1"/>
    <col min="12" max="12" width="12.54296875" style="100"/>
    <col min="13" max="16384" width="12.54296875" style="99"/>
  </cols>
  <sheetData>
    <row r="1" spans="1:16" ht="15.75" customHeight="1">
      <c r="A1" s="506" t="s">
        <v>374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99"/>
    </row>
    <row r="2" spans="1:16" s="100" customFormat="1" ht="15.75" customHeight="1">
      <c r="A2" s="507"/>
      <c r="B2" s="507"/>
      <c r="C2" s="507"/>
      <c r="D2" s="507"/>
      <c r="E2" s="507"/>
      <c r="F2" s="507"/>
      <c r="G2" s="507"/>
      <c r="H2" s="507"/>
      <c r="I2" s="507"/>
      <c r="J2" s="507"/>
      <c r="K2" s="507"/>
    </row>
    <row r="3" spans="1:16" ht="21.65" customHeight="1">
      <c r="A3" s="114" t="s">
        <v>327</v>
      </c>
      <c r="B3" s="115">
        <v>4</v>
      </c>
      <c r="C3" s="157" t="s">
        <v>328</v>
      </c>
      <c r="D3" s="115" t="s">
        <v>840</v>
      </c>
      <c r="E3" s="114" t="s">
        <v>20</v>
      </c>
      <c r="F3" s="509" t="s">
        <v>373</v>
      </c>
      <c r="G3" s="510"/>
      <c r="H3" s="100"/>
      <c r="I3" s="109"/>
      <c r="J3" s="100"/>
      <c r="K3" s="100"/>
      <c r="M3" s="100"/>
      <c r="N3" s="100"/>
    </row>
    <row r="4" spans="1:16" ht="15.75" customHeight="1">
      <c r="A4" s="110" t="s">
        <v>417</v>
      </c>
      <c r="E4" s="102" t="s">
        <v>423</v>
      </c>
      <c r="G4" s="111" t="s">
        <v>71</v>
      </c>
      <c r="L4" s="99"/>
    </row>
    <row r="5" spans="1:16" s="104" customFormat="1" ht="15.75" customHeight="1">
      <c r="A5" s="121" t="s">
        <v>199</v>
      </c>
      <c r="B5" s="121" t="s">
        <v>330</v>
      </c>
      <c r="C5" s="121" t="s">
        <v>332</v>
      </c>
      <c r="D5" s="116" t="s">
        <v>2</v>
      </c>
      <c r="E5" s="116" t="s">
        <v>3</v>
      </c>
      <c r="G5" s="121" t="s">
        <v>199</v>
      </c>
      <c r="H5" s="116" t="s">
        <v>69</v>
      </c>
      <c r="I5" s="116" t="s">
        <v>329</v>
      </c>
      <c r="J5" s="116" t="s">
        <v>331</v>
      </c>
      <c r="K5" s="116" t="s">
        <v>3</v>
      </c>
      <c r="L5" s="105" t="s">
        <v>60</v>
      </c>
    </row>
    <row r="6" spans="1:16" ht="18" customHeight="1">
      <c r="A6" s="107" t="s">
        <v>24</v>
      </c>
      <c r="B6" s="117">
        <f>'（１）收支狀況'!G40/1000</f>
        <v>30121.754649999999</v>
      </c>
      <c r="C6" s="117">
        <v>32252.126790000006</v>
      </c>
      <c r="D6" s="117">
        <f>B6-C6</f>
        <v>-2130.3721400000068</v>
      </c>
      <c r="E6" s="216">
        <f>'（１）收支狀況'!H10:H10/1000</f>
        <v>148837.99842999995</v>
      </c>
      <c r="G6" s="217" t="s">
        <v>419</v>
      </c>
      <c r="H6" s="218"/>
      <c r="I6" s="218">
        <f>'（２）ＫＰＩ達成進度'!G40</f>
        <v>410.90558034951437</v>
      </c>
      <c r="J6" s="218">
        <v>416.99684163107656</v>
      </c>
      <c r="K6" s="218">
        <f>'（２）ＫＰＩ達成進度'!H10</f>
        <v>409.82815360439037</v>
      </c>
      <c r="L6" s="101" t="s">
        <v>197</v>
      </c>
    </row>
    <row r="7" spans="1:16" ht="18" customHeight="1">
      <c r="A7" s="107" t="s">
        <v>25</v>
      </c>
      <c r="B7" s="117">
        <f>'（１）收支狀況'!J40</f>
        <v>995977</v>
      </c>
      <c r="C7" s="117">
        <v>1105590</v>
      </c>
      <c r="D7" s="117">
        <f t="shared" ref="D7:D11" si="0">B7-C7</f>
        <v>-109613</v>
      </c>
      <c r="E7" s="216">
        <f>'（１）收支狀況'!K10:K10</f>
        <v>5045753</v>
      </c>
      <c r="G7" s="217" t="s">
        <v>420</v>
      </c>
      <c r="H7" s="219">
        <v>0.8</v>
      </c>
      <c r="I7" s="118">
        <f>'（２）ＫＰＩ達成進度'!J40</f>
        <v>0.82577488012362221</v>
      </c>
      <c r="J7" s="118">
        <v>0.83801616083415709</v>
      </c>
      <c r="K7" s="219">
        <f>'（２）ＫＰＩ達成進度'!K10</f>
        <v>0.82360963344933713</v>
      </c>
      <c r="L7" s="101" t="s">
        <v>4</v>
      </c>
    </row>
    <row r="8" spans="1:16" ht="18" customHeight="1">
      <c r="A8" s="107" t="s">
        <v>418</v>
      </c>
      <c r="B8" s="117">
        <f>'（１）收支狀況'!M40/1000</f>
        <v>20020.073787437112</v>
      </c>
      <c r="C8" s="117">
        <v>21273.508314725364</v>
      </c>
      <c r="D8" s="117">
        <f>B8-C8</f>
        <v>-1253.4345272882529</v>
      </c>
      <c r="E8" s="216">
        <f>'（１）收支狀況'!N10:N10/1000</f>
        <v>98384.727458801222</v>
      </c>
      <c r="G8" s="217" t="s">
        <v>202</v>
      </c>
      <c r="H8" s="118">
        <v>2.5000000000000001E-3</v>
      </c>
      <c r="I8" s="220">
        <f>'（２）ＫＰＩ達成進度'!M40</f>
        <v>2.0108330140377051E-3</v>
      </c>
      <c r="J8" s="220">
        <v>2.0062482167812513E-3</v>
      </c>
      <c r="K8" s="220">
        <f>'（２）ＫＰＩ達成進度'!N10</f>
        <v>2.0218797278943137E-3</v>
      </c>
      <c r="L8" s="101" t="s">
        <v>55</v>
      </c>
    </row>
    <row r="9" spans="1:16" ht="18" customHeight="1">
      <c r="A9" s="107" t="s">
        <v>6</v>
      </c>
      <c r="B9" s="219">
        <f>'（１）收支狀況'!P40</f>
        <v>0.66463836586083846</v>
      </c>
      <c r="C9" s="219">
        <v>0.65960017003658078</v>
      </c>
      <c r="D9" s="219">
        <f t="shared" si="0"/>
        <v>5.0381958242576852E-3</v>
      </c>
      <c r="E9" s="219">
        <f>'（１）收支狀況'!Q10</f>
        <v>0.6610188829237218</v>
      </c>
      <c r="G9" s="217" t="s">
        <v>203</v>
      </c>
      <c r="H9" s="118">
        <v>4.0000000000000001E-3</v>
      </c>
      <c r="I9" s="118">
        <f>'（２）ＫＰＩ達成進度'!P40</f>
        <v>4.4376523250051862E-3</v>
      </c>
      <c r="J9" s="118">
        <v>4.527447465509103E-3</v>
      </c>
      <c r="K9" s="118">
        <f>'（２）ＫＰＩ達成進度'!Q10</f>
        <v>4.8669348978313889E-3</v>
      </c>
      <c r="L9" s="101" t="s">
        <v>98</v>
      </c>
    </row>
    <row r="10" spans="1:16" ht="18" customHeight="1">
      <c r="A10" s="107" t="s">
        <v>64</v>
      </c>
      <c r="B10" s="117">
        <f>'（１）收支狀況'!S40/1000</f>
        <v>5296.902767999999</v>
      </c>
      <c r="C10" s="117">
        <v>5198.275983999999</v>
      </c>
      <c r="D10" s="117">
        <f t="shared" si="0"/>
        <v>98.626784000000043</v>
      </c>
      <c r="E10" s="216">
        <f>'（１）收支狀況'!T10/1000</f>
        <v>23834.465345999994</v>
      </c>
      <c r="G10" s="217" t="s">
        <v>421</v>
      </c>
      <c r="H10" s="219">
        <v>0.8</v>
      </c>
      <c r="I10" s="219">
        <f>'（２）ＫＰＩ達成進度'!S40</f>
        <v>0.90000000000000013</v>
      </c>
      <c r="J10" s="219">
        <v>0.90000000000000013</v>
      </c>
      <c r="K10" s="219">
        <f>'（２）ＫＰＩ達成進度'!T10</f>
        <v>0.89999999999999947</v>
      </c>
      <c r="L10" s="101" t="s">
        <v>7</v>
      </c>
      <c r="M10" s="318"/>
      <c r="N10" s="318"/>
      <c r="O10" s="318"/>
      <c r="P10" s="318"/>
    </row>
    <row r="11" spans="1:16" ht="18" customHeight="1">
      <c r="A11" s="107" t="s">
        <v>65</v>
      </c>
      <c r="B11" s="219">
        <f>'（１）收支狀況'!V40</f>
        <v>0.17584974147580076</v>
      </c>
      <c r="C11" s="219">
        <v>0.16117622313241559</v>
      </c>
      <c r="D11" s="219">
        <f t="shared" si="0"/>
        <v>1.4673518343385178E-2</v>
      </c>
      <c r="E11" s="219">
        <f>'（１）收支狀況'!W10</f>
        <v>0.16013696500500568</v>
      </c>
      <c r="G11" s="217" t="s">
        <v>422</v>
      </c>
      <c r="H11" s="219">
        <v>1</v>
      </c>
      <c r="I11" s="315">
        <f>14/52*100%</f>
        <v>0.26923076923076922</v>
      </c>
      <c r="J11" s="315">
        <v>0.25</v>
      </c>
      <c r="K11" s="315">
        <f>'（２）ＫＰＩ達成進度'!W10</f>
        <v>0.21960297766749381</v>
      </c>
      <c r="L11" s="101" t="s">
        <v>62</v>
      </c>
      <c r="M11" s="319"/>
      <c r="N11" s="319"/>
      <c r="O11" s="319"/>
      <c r="P11" s="319"/>
    </row>
    <row r="12" spans="1:16" ht="9.65" customHeight="1">
      <c r="L12" s="99"/>
    </row>
    <row r="13" spans="1:16" ht="15.75" customHeight="1">
      <c r="A13" s="110" t="s">
        <v>32</v>
      </c>
      <c r="E13" s="317" t="s">
        <v>23</v>
      </c>
      <c r="G13" s="110" t="s">
        <v>33</v>
      </c>
      <c r="K13" s="317" t="s">
        <v>452</v>
      </c>
      <c r="L13" s="99"/>
    </row>
    <row r="14" spans="1:16" s="106" customFormat="1" ht="13.5">
      <c r="A14" s="120"/>
      <c r="B14" s="158" t="s">
        <v>330</v>
      </c>
      <c r="C14" s="120" t="s">
        <v>66</v>
      </c>
      <c r="D14" s="158" t="s">
        <v>333</v>
      </c>
      <c r="E14" s="120" t="s">
        <v>68</v>
      </c>
      <c r="G14" s="120"/>
      <c r="H14" s="158" t="s">
        <v>330</v>
      </c>
      <c r="I14" s="120" t="s">
        <v>66</v>
      </c>
      <c r="J14" s="158" t="s">
        <v>333</v>
      </c>
      <c r="K14" s="120" t="s">
        <v>68</v>
      </c>
    </row>
    <row r="15" spans="1:16" ht="18" customHeight="1">
      <c r="A15" s="107" t="s">
        <v>394</v>
      </c>
      <c r="B15" s="117">
        <f>SUM('（３）業績構成比'!M42:M48)/1000</f>
        <v>10717.80834</v>
      </c>
      <c r="C15" s="219">
        <f>IFERROR(B15/$B$6,"")</f>
        <v>0.35581620209498654</v>
      </c>
      <c r="D15" s="219">
        <v>0.36971719594309582</v>
      </c>
      <c r="E15" s="219">
        <f>IFERROR(C15-D15,"")</f>
        <v>-1.3900993848109278E-2</v>
      </c>
      <c r="G15" s="107" t="s">
        <v>395</v>
      </c>
      <c r="H15" s="117">
        <f>SUM('（４）訂單數量構成比'!M42:M48)</f>
        <v>577172</v>
      </c>
      <c r="I15" s="219">
        <f>IFERROR(H15/$B$7,"")</f>
        <v>0.57950334194464326</v>
      </c>
      <c r="J15" s="219">
        <v>0.5832722799591169</v>
      </c>
      <c r="K15" s="219">
        <f t="shared" ref="K15:K23" si="1">IFERROR(I15-J15,"")</f>
        <v>-3.768938014473644E-3</v>
      </c>
      <c r="L15" s="99"/>
    </row>
    <row r="16" spans="1:16" ht="18" customHeight="1">
      <c r="A16" s="107" t="s">
        <v>225</v>
      </c>
      <c r="B16" s="117">
        <f>SUM('（３）業績構成比'!S42:S48)/1000</f>
        <v>2325.4889600000001</v>
      </c>
      <c r="C16" s="219">
        <f t="shared" ref="C16:C23" si="2">IFERROR(B16/$B$6,"")</f>
        <v>7.7202971308313217E-2</v>
      </c>
      <c r="D16" s="219">
        <v>8.8579640611043231E-2</v>
      </c>
      <c r="E16" s="219">
        <f t="shared" ref="E16:E23" si="3">IFERROR(C16-D16,"")</f>
        <v>-1.1376669302730014E-2</v>
      </c>
      <c r="G16" s="107" t="s">
        <v>256</v>
      </c>
      <c r="H16" s="117">
        <f>SUM('（４）訂單數量構成比'!S42:S48)</f>
        <v>92852</v>
      </c>
      <c r="I16" s="219">
        <f>IFERROR(H16/$B$7,"")</f>
        <v>9.3227052431933674E-2</v>
      </c>
      <c r="J16" s="219">
        <v>0.10566484863285666</v>
      </c>
      <c r="K16" s="219">
        <f t="shared" si="1"/>
        <v>-1.2437796200922988E-2</v>
      </c>
      <c r="L16" s="99"/>
    </row>
    <row r="17" spans="1:17" ht="18" customHeight="1">
      <c r="A17" s="107" t="s">
        <v>221</v>
      </c>
      <c r="B17" s="117">
        <f>SUM('（３）業績構成比'!U42:U48)/1000</f>
        <v>712.35164000000009</v>
      </c>
      <c r="C17" s="219">
        <f t="shared" si="2"/>
        <v>2.3649075170991081E-2</v>
      </c>
      <c r="D17" s="219">
        <v>2.4091208466937814E-2</v>
      </c>
      <c r="E17" s="219">
        <f t="shared" si="3"/>
        <v>-4.421332959467332E-4</v>
      </c>
      <c r="G17" s="107" t="s">
        <v>237</v>
      </c>
      <c r="H17" s="117">
        <f>SUM('（４）訂單數量構成比'!U42:U48)</f>
        <v>25977</v>
      </c>
      <c r="I17" s="219">
        <f t="shared" ref="I17:I23" si="4">IFERROR(H17/$B$7,"")</f>
        <v>2.6081927594713533E-2</v>
      </c>
      <c r="J17" s="219">
        <v>2.574914751399705E-2</v>
      </c>
      <c r="K17" s="219">
        <f t="shared" si="1"/>
        <v>3.3278008071648338E-4</v>
      </c>
      <c r="L17" s="99"/>
    </row>
    <row r="18" spans="1:17" ht="18" customHeight="1">
      <c r="A18" s="107" t="s">
        <v>223</v>
      </c>
      <c r="B18" s="117">
        <f>SUM('（３）業績構成比'!W42:W48)/1000</f>
        <v>370.31261000000006</v>
      </c>
      <c r="C18" s="219">
        <f t="shared" si="2"/>
        <v>1.2293859182602434E-2</v>
      </c>
      <c r="D18" s="219">
        <v>1.2003447788752786E-2</v>
      </c>
      <c r="E18" s="219">
        <f t="shared" si="3"/>
        <v>2.9041139384964818E-4</v>
      </c>
      <c r="G18" s="107" t="s">
        <v>222</v>
      </c>
      <c r="H18" s="117">
        <f>SUM('（４）訂單數量構成比'!W42:W48)</f>
        <v>14005</v>
      </c>
      <c r="I18" s="219">
        <f t="shared" si="4"/>
        <v>1.4061569694882512E-2</v>
      </c>
      <c r="J18" s="219">
        <v>1.3238180518998905E-2</v>
      </c>
      <c r="K18" s="219">
        <f t="shared" si="1"/>
        <v>8.2338917588360705E-4</v>
      </c>
      <c r="L18" s="99"/>
    </row>
    <row r="19" spans="1:17" ht="18" customHeight="1">
      <c r="A19" s="107" t="s">
        <v>227</v>
      </c>
      <c r="B19" s="117">
        <f>SUM('（３）業績構成比'!AC42:AC48)/1000</f>
        <v>5428.5813799999996</v>
      </c>
      <c r="C19" s="219">
        <f t="shared" si="2"/>
        <v>0.18022128667726864</v>
      </c>
      <c r="D19" s="219">
        <v>0.1886709673325081</v>
      </c>
      <c r="E19" s="219">
        <f t="shared" si="3"/>
        <v>-8.449680655239461E-3</v>
      </c>
      <c r="G19" s="107" t="s">
        <v>226</v>
      </c>
      <c r="H19" s="117">
        <f>SUM('（４）訂單數量構成比'!AC42:AC48)</f>
        <v>102309</v>
      </c>
      <c r="I19" s="219">
        <f t="shared" si="4"/>
        <v>0.10272225161826026</v>
      </c>
      <c r="J19" s="219">
        <v>0.10414258450239239</v>
      </c>
      <c r="K19" s="219">
        <f t="shared" si="1"/>
        <v>-1.420332884132125E-3</v>
      </c>
      <c r="L19" s="99"/>
    </row>
    <row r="20" spans="1:17" ht="18" customHeight="1">
      <c r="A20" s="107" t="s">
        <v>229</v>
      </c>
      <c r="B20" s="117">
        <f>SUM('（３）業績構成比'!AE42:AE48)/1000</f>
        <v>10120.77032</v>
      </c>
      <c r="C20" s="219">
        <f t="shared" si="2"/>
        <v>0.33599537734764728</v>
      </c>
      <c r="D20" s="219">
        <v>0.3014112986500509</v>
      </c>
      <c r="E20" s="219">
        <f t="shared" si="3"/>
        <v>3.4584078697596388E-2</v>
      </c>
      <c r="G20" s="107" t="s">
        <v>228</v>
      </c>
      <c r="H20" s="117">
        <f>SUM('（４）訂單數量構成比'!AE42:AE48)</f>
        <v>161000</v>
      </c>
      <c r="I20" s="219">
        <f t="shared" si="4"/>
        <v>0.1616503192342795</v>
      </c>
      <c r="J20" s="219">
        <v>0.14494161488436039</v>
      </c>
      <c r="K20" s="219">
        <f t="shared" si="1"/>
        <v>1.6708704349919112E-2</v>
      </c>
      <c r="L20" s="99"/>
    </row>
    <row r="21" spans="1:17" ht="18" customHeight="1">
      <c r="A21" s="107" t="s">
        <v>232</v>
      </c>
      <c r="B21" s="117">
        <f>SUM('（３）業績構成比'!AG42:AG48)/1000</f>
        <v>0</v>
      </c>
      <c r="C21" s="219">
        <f t="shared" si="2"/>
        <v>0</v>
      </c>
      <c r="D21" s="219">
        <v>0</v>
      </c>
      <c r="E21" s="219">
        <f t="shared" si="3"/>
        <v>0</v>
      </c>
      <c r="G21" s="107" t="s">
        <v>238</v>
      </c>
      <c r="H21" s="117">
        <f>SUM('（４）訂單數量構成比'!AG42:AG48)</f>
        <v>0</v>
      </c>
      <c r="I21" s="219">
        <f t="shared" si="4"/>
        <v>0</v>
      </c>
      <c r="J21" s="219">
        <v>0</v>
      </c>
      <c r="K21" s="219">
        <f t="shared" si="1"/>
        <v>0</v>
      </c>
      <c r="L21" s="99"/>
    </row>
    <row r="22" spans="1:17" ht="18" customHeight="1">
      <c r="A22" s="107" t="s">
        <v>233</v>
      </c>
      <c r="B22" s="117">
        <f>SUM('（３）業績構成比'!AI42:AI48)/1000</f>
        <v>0</v>
      </c>
      <c r="C22" s="219">
        <f t="shared" si="2"/>
        <v>0</v>
      </c>
      <c r="D22" s="219">
        <v>0</v>
      </c>
      <c r="E22" s="219">
        <f t="shared" si="3"/>
        <v>0</v>
      </c>
      <c r="G22" s="107" t="s">
        <v>239</v>
      </c>
      <c r="H22" s="117">
        <f>SUM('（４）訂單數量構成比'!AI42:AI48)</f>
        <v>0</v>
      </c>
      <c r="I22" s="219">
        <f t="shared" si="4"/>
        <v>0</v>
      </c>
      <c r="J22" s="219">
        <v>0</v>
      </c>
      <c r="K22" s="219">
        <f t="shared" si="1"/>
        <v>0</v>
      </c>
      <c r="L22" s="99"/>
    </row>
    <row r="23" spans="1:17" ht="18" customHeight="1">
      <c r="A23" s="107" t="s">
        <v>235</v>
      </c>
      <c r="B23" s="117">
        <f>SUM('（３）業績構成比'!AK42:AK48)/1000</f>
        <v>446.44139999999993</v>
      </c>
      <c r="C23" s="219">
        <f t="shared" si="2"/>
        <v>1.4821228218190799E-2</v>
      </c>
      <c r="D23" s="219">
        <v>1.5526241207611225E-2</v>
      </c>
      <c r="E23" s="219">
        <f t="shared" si="3"/>
        <v>-7.0501298942042545E-4</v>
      </c>
      <c r="G23" s="107" t="s">
        <v>234</v>
      </c>
      <c r="H23" s="117">
        <f>SUM('（４）訂單數量構成比'!AK42:AK48)</f>
        <v>22662</v>
      </c>
      <c r="I23" s="219">
        <f t="shared" si="4"/>
        <v>2.2753537481287219E-2</v>
      </c>
      <c r="J23" s="219">
        <v>2.2991343988277752E-2</v>
      </c>
      <c r="K23" s="219">
        <f t="shared" si="1"/>
        <v>-2.3780650699053302E-4</v>
      </c>
      <c r="L23" s="99"/>
    </row>
    <row r="24" spans="1:17" ht="15.75" customHeight="1">
      <c r="B24" s="102"/>
      <c r="C24" s="112">
        <f>SUM(C15:C23)</f>
        <v>1</v>
      </c>
      <c r="D24" s="112">
        <f>SUM(D15:D23)</f>
        <v>0.99999999999999989</v>
      </c>
      <c r="I24" s="112">
        <f>SUM(I15:I23)</f>
        <v>0.99999999999999989</v>
      </c>
      <c r="J24" s="112">
        <f>SUM(J15:J23)</f>
        <v>1</v>
      </c>
      <c r="L24" s="99"/>
    </row>
    <row r="25" spans="1:17" ht="9.65" customHeight="1">
      <c r="A25" s="113"/>
      <c r="L25" s="99"/>
    </row>
    <row r="26" spans="1:17" ht="15.75" customHeight="1">
      <c r="A26" s="110" t="s">
        <v>435</v>
      </c>
      <c r="L26" s="99"/>
    </row>
    <row r="27" spans="1:17" ht="15.75" customHeight="1">
      <c r="A27" s="107" t="s">
        <v>190</v>
      </c>
      <c r="B27" s="159" t="s">
        <v>330</v>
      </c>
      <c r="C27" s="159" t="s">
        <v>332</v>
      </c>
      <c r="D27" s="107" t="s">
        <v>2</v>
      </c>
      <c r="E27" s="107" t="s">
        <v>3</v>
      </c>
      <c r="L27" s="99"/>
    </row>
    <row r="28" spans="1:17" ht="18" customHeight="1">
      <c r="A28" s="107" t="s">
        <v>395</v>
      </c>
      <c r="B28" s="210">
        <f>'（５-1）品群別人時生產性(18℃-飯糰)'!L197</f>
        <v>738.89977406999492</v>
      </c>
      <c r="C28" s="210">
        <v>746.14935108026543</v>
      </c>
      <c r="D28" s="221">
        <f>B28-C28</f>
        <v>-7.2495770102705137</v>
      </c>
      <c r="E28" s="222">
        <f>'（５-1）品群別人時生產性(18℃-飯糰)'!C1</f>
        <v>757.5904244152307</v>
      </c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3"/>
    </row>
    <row r="29" spans="1:17" ht="18" customHeight="1">
      <c r="A29" s="107" t="s">
        <v>224</v>
      </c>
      <c r="B29" s="210">
        <f>'（５-2）品群別人時生產性(18℃-壽司手卷)'!L107</f>
        <v>316.08100089952649</v>
      </c>
      <c r="C29" s="210">
        <v>316.00339601530197</v>
      </c>
      <c r="D29" s="221">
        <f>B29-C29</f>
        <v>7.7604884224513171E-2</v>
      </c>
      <c r="E29" s="222">
        <f>'（５-2）品群別人時生產性(18℃-壽司手卷)'!C1</f>
        <v>311.70581961708376</v>
      </c>
      <c r="G29" s="124"/>
      <c r="H29" s="124"/>
      <c r="I29" s="125"/>
      <c r="J29" s="1"/>
      <c r="K29" s="126"/>
      <c r="L29" s="67"/>
      <c r="M29" s="66"/>
      <c r="N29" s="67"/>
      <c r="O29" s="67"/>
      <c r="P29" s="67"/>
      <c r="Q29" s="67"/>
    </row>
    <row r="30" spans="1:17" ht="18" customHeight="1">
      <c r="A30" s="107" t="s">
        <v>237</v>
      </c>
      <c r="B30" s="210">
        <f>'（５-3）品群別人時生產性(4℃-飯糰)'!L107</f>
        <v>331.18525128733052</v>
      </c>
      <c r="C30" s="210">
        <v>331.58149900618611</v>
      </c>
      <c r="D30" s="221">
        <f>B30-C30</f>
        <v>-0.39624771885559085</v>
      </c>
      <c r="E30" s="222">
        <f>'（５-3）品群別人時生產性(4℃-飯糰)'!C1</f>
        <v>331.13667122055222</v>
      </c>
      <c r="L30" s="99"/>
    </row>
    <row r="31" spans="1:17" ht="18" customHeight="1">
      <c r="A31" s="107" t="s">
        <v>222</v>
      </c>
      <c r="B31" s="210">
        <f>'（５-4）品群別人時生產性(4℃-壽司手卷)'!L107</f>
        <v>493.97915432640377</v>
      </c>
      <c r="C31" s="210">
        <v>493.90750339427871</v>
      </c>
      <c r="D31" s="221">
        <f>B31-C31</f>
        <v>7.1650932125066902E-2</v>
      </c>
      <c r="E31" s="222">
        <f>'（５-4）品群別人時生產性(4℃-壽司手卷)'!C1</f>
        <v>493.97618103140815</v>
      </c>
      <c r="L31" s="99"/>
    </row>
    <row r="32" spans="1:17" ht="18" customHeight="1">
      <c r="A32" s="107" t="s">
        <v>227</v>
      </c>
      <c r="B32" s="210">
        <f>'（５-5）品群別人時生產性(微波主食) '!L107</f>
        <v>80.926905816289917</v>
      </c>
      <c r="C32" s="210">
        <v>80.897158858139605</v>
      </c>
      <c r="D32" s="221">
        <f t="shared" ref="D32:D36" si="5">B32-C32</f>
        <v>2.9746958150312253E-2</v>
      </c>
      <c r="E32" s="222">
        <f>'（５-5）品群別人時生產性(微波主食) '!C1</f>
        <v>79.94999927589204</v>
      </c>
      <c r="L32" s="99"/>
    </row>
    <row r="33" spans="1:12" ht="18" customHeight="1">
      <c r="A33" s="107" t="s">
        <v>228</v>
      </c>
      <c r="B33" s="210">
        <f>'（５-6）品群別人時生產性(便當)'!L107</f>
        <v>77.801136303755044</v>
      </c>
      <c r="C33" s="210">
        <v>78.901579647228814</v>
      </c>
      <c r="D33" s="221">
        <f t="shared" si="5"/>
        <v>-1.1004433434737706</v>
      </c>
      <c r="E33" s="222">
        <f>'（５-6）品群別人時生產性(便當)'!C1</f>
        <v>77.906796798443906</v>
      </c>
      <c r="L33" s="99"/>
    </row>
    <row r="34" spans="1:12" ht="18" customHeight="1">
      <c r="A34" s="107" t="s">
        <v>238</v>
      </c>
      <c r="B34" s="210">
        <v>0</v>
      </c>
      <c r="C34" s="210">
        <v>0</v>
      </c>
      <c r="D34" s="221">
        <f t="shared" si="5"/>
        <v>0</v>
      </c>
      <c r="E34" s="222">
        <f>'（５-7）品群別人時生產性(熱食義麵) '!C1</f>
        <v>0</v>
      </c>
      <c r="L34" s="99"/>
    </row>
    <row r="35" spans="1:12" ht="18" customHeight="1">
      <c r="A35" s="107" t="s">
        <v>239</v>
      </c>
      <c r="B35" s="210">
        <v>0</v>
      </c>
      <c r="C35" s="210">
        <v>0</v>
      </c>
      <c r="D35" s="221">
        <f t="shared" si="5"/>
        <v>0</v>
      </c>
      <c r="E35" s="222">
        <f>'（５-8）品群別人時生產性(季節調理麵) '!C1</f>
        <v>84.60142398436416</v>
      </c>
      <c r="L35" s="99"/>
    </row>
    <row r="36" spans="1:12" ht="18" customHeight="1">
      <c r="A36" s="103" t="s">
        <v>234</v>
      </c>
      <c r="B36" s="210">
        <f>'（５-9）品群別人時生產性(微波小吃)'!L107</f>
        <v>83.048290158429268</v>
      </c>
      <c r="C36" s="210">
        <v>83.046577659116465</v>
      </c>
      <c r="D36" s="221">
        <f t="shared" si="5"/>
        <v>1.7124993128021515E-3</v>
      </c>
      <c r="E36" s="223">
        <f>'（５-9）品群別人時生產性(微波小吃)'!C1</f>
        <v>83.044478559400275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  <pageSetUpPr fitToPage="1"/>
  </sheetPr>
  <dimension ref="B2:W46"/>
  <sheetViews>
    <sheetView topLeftCell="A10" zoomScale="80" zoomScaleNormal="80" workbookViewId="0">
      <selection activeCell="G40" sqref="G40:G46"/>
    </sheetView>
  </sheetViews>
  <sheetFormatPr defaultColWidth="8.81640625" defaultRowHeight="13.5"/>
  <cols>
    <col min="1" max="1" width="8.81640625" style="75"/>
    <col min="2" max="2" width="12.54296875" style="78" customWidth="1"/>
    <col min="3" max="3" width="8.81640625" style="75"/>
    <col min="4" max="4" width="17.453125" style="77" customWidth="1"/>
    <col min="5" max="5" width="4.453125" style="77" customWidth="1"/>
    <col min="6" max="8" width="19.54296875" style="81" customWidth="1"/>
    <col min="9" max="13" width="19.54296875" style="82" customWidth="1"/>
    <col min="14" max="14" width="19.54296875" style="83" customWidth="1"/>
    <col min="15" max="17" width="19.54296875" style="84" customWidth="1"/>
    <col min="18" max="20" width="19.54296875" style="83" customWidth="1"/>
    <col min="21" max="21" width="19.54296875" style="84" customWidth="1"/>
    <col min="22" max="23" width="19.54296875" style="75" customWidth="1"/>
    <col min="24" max="16384" width="8.81640625" style="75"/>
  </cols>
  <sheetData>
    <row r="2" spans="2:23" ht="38.15" customHeight="1">
      <c r="B2" s="520" t="s">
        <v>126</v>
      </c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0"/>
      <c r="N2" s="520"/>
      <c r="O2" s="520"/>
      <c r="P2" s="520"/>
      <c r="Q2" s="520"/>
      <c r="R2" s="520"/>
      <c r="S2" s="520"/>
      <c r="T2" s="520"/>
      <c r="U2" s="520"/>
      <c r="V2" s="520"/>
      <c r="W2" s="520"/>
    </row>
    <row r="3" spans="2:23" s="77" customFormat="1" ht="23.5" customHeight="1">
      <c r="B3" s="524" t="s">
        <v>122</v>
      </c>
      <c r="C3" s="525" t="s">
        <v>119</v>
      </c>
      <c r="D3" s="526" t="s">
        <v>105</v>
      </c>
      <c r="E3" s="526"/>
      <c r="F3" s="523" t="s">
        <v>123</v>
      </c>
      <c r="G3" s="523"/>
      <c r="H3" s="523"/>
      <c r="I3" s="521" t="s">
        <v>124</v>
      </c>
      <c r="J3" s="521"/>
      <c r="K3" s="521"/>
      <c r="L3" s="522" t="s">
        <v>125</v>
      </c>
      <c r="M3" s="522"/>
      <c r="N3" s="522"/>
      <c r="O3" s="519" t="s">
        <v>127</v>
      </c>
      <c r="P3" s="519"/>
      <c r="Q3" s="519"/>
      <c r="R3" s="527" t="s">
        <v>128</v>
      </c>
      <c r="S3" s="527"/>
      <c r="T3" s="527"/>
      <c r="U3" s="519" t="s">
        <v>129</v>
      </c>
      <c r="V3" s="519"/>
      <c r="W3" s="519"/>
    </row>
    <row r="4" spans="2:23" s="77" customFormat="1" ht="23.5" customHeight="1">
      <c r="B4" s="524"/>
      <c r="C4" s="525"/>
      <c r="D4" s="526"/>
      <c r="E4" s="526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511">
        <f>D6+7</f>
        <v>46085</v>
      </c>
      <c r="C5" s="518"/>
      <c r="D5" s="80">
        <v>46077</v>
      </c>
      <c r="E5" s="80" t="s">
        <v>118</v>
      </c>
      <c r="F5" s="164">
        <v>5238957.08</v>
      </c>
      <c r="G5" s="513">
        <f>SUM(F5:F11)</f>
        <v>32338420.109999999</v>
      </c>
      <c r="H5" s="513"/>
      <c r="I5" s="214">
        <v>175154</v>
      </c>
      <c r="J5" s="514">
        <f t="shared" ref="J5" si="0">SUM(I5:I11)</f>
        <v>1076054</v>
      </c>
      <c r="K5" s="514"/>
      <c r="L5" s="164">
        <v>3399597.0561187635</v>
      </c>
      <c r="M5" s="513">
        <f t="shared" ref="M5" si="1">SUM(L5:L11)</f>
        <v>21241350.674792171</v>
      </c>
      <c r="N5" s="513"/>
      <c r="O5" s="154">
        <f t="shared" ref="O5:O11" si="2">L5/F5</f>
        <v>0.64890721649484551</v>
      </c>
      <c r="P5" s="516">
        <f t="shared" ref="P5" si="3">M5/G5</f>
        <v>0.65684565302012743</v>
      </c>
      <c r="Q5" s="515"/>
      <c r="R5" s="165">
        <v>840082.54599999997</v>
      </c>
      <c r="S5" s="517">
        <f t="shared" ref="S5" si="4">SUM(R5:R11)</f>
        <v>5488297.7599999998</v>
      </c>
      <c r="T5" s="513"/>
      <c r="U5" s="154">
        <f t="shared" ref="U5:U8" si="5">R5/F5</f>
        <v>0.16035301171049104</v>
      </c>
      <c r="V5" s="516">
        <f>S5/G5</f>
        <v>0.16971446784757599</v>
      </c>
      <c r="W5" s="515"/>
    </row>
    <row r="6" spans="2:23">
      <c r="B6" s="512"/>
      <c r="C6" s="518"/>
      <c r="D6" s="80">
        <f t="shared" ref="D6:D46" si="6">D5+1</f>
        <v>46078</v>
      </c>
      <c r="E6" s="80" t="s">
        <v>112</v>
      </c>
      <c r="F6" s="164">
        <v>4692647.5</v>
      </c>
      <c r="G6" s="513"/>
      <c r="H6" s="513"/>
      <c r="I6" s="214">
        <v>156618</v>
      </c>
      <c r="J6" s="514"/>
      <c r="K6" s="514"/>
      <c r="L6" s="164">
        <v>3098792.1955154645</v>
      </c>
      <c r="M6" s="513"/>
      <c r="N6" s="513"/>
      <c r="O6" s="154">
        <f t="shared" si="2"/>
        <v>0.66035051546391765</v>
      </c>
      <c r="P6" s="516"/>
      <c r="Q6" s="515"/>
      <c r="R6" s="165">
        <v>789675.11600000004</v>
      </c>
      <c r="S6" s="517"/>
      <c r="T6" s="513"/>
      <c r="U6" s="154">
        <f t="shared" si="5"/>
        <v>0.1682792317130149</v>
      </c>
      <c r="V6" s="516"/>
      <c r="W6" s="515"/>
    </row>
    <row r="7" spans="2:23">
      <c r="B7" s="512"/>
      <c r="C7" s="518"/>
      <c r="D7" s="80">
        <f t="shared" si="6"/>
        <v>46079</v>
      </c>
      <c r="E7" s="80" t="s">
        <v>113</v>
      </c>
      <c r="F7" s="164">
        <v>3909306.83</v>
      </c>
      <c r="G7" s="513"/>
      <c r="H7" s="513"/>
      <c r="I7" s="214">
        <v>129387</v>
      </c>
      <c r="J7" s="514"/>
      <c r="K7" s="514"/>
      <c r="L7" s="164">
        <v>2647205.2558940202</v>
      </c>
      <c r="M7" s="513"/>
      <c r="N7" s="513"/>
      <c r="O7" s="154">
        <f t="shared" si="2"/>
        <v>0.67715463917525764</v>
      </c>
      <c r="P7" s="516"/>
      <c r="Q7" s="515"/>
      <c r="R7" s="165">
        <v>725122.696</v>
      </c>
      <c r="S7" s="517"/>
      <c r="T7" s="513"/>
      <c r="U7" s="154">
        <f t="shared" si="5"/>
        <v>0.1854862581865952</v>
      </c>
      <c r="V7" s="516"/>
      <c r="W7" s="515"/>
    </row>
    <row r="8" spans="2:23">
      <c r="B8" s="512"/>
      <c r="C8" s="518"/>
      <c r="D8" s="80">
        <f t="shared" si="6"/>
        <v>46080</v>
      </c>
      <c r="E8" s="80" t="s">
        <v>114</v>
      </c>
      <c r="F8" s="164">
        <v>3610052.0600000005</v>
      </c>
      <c r="G8" s="513"/>
      <c r="H8" s="513"/>
      <c r="I8" s="214">
        <v>120519</v>
      </c>
      <c r="J8" s="514"/>
      <c r="K8" s="514"/>
      <c r="L8" s="164">
        <v>2369385.0963694849</v>
      </c>
      <c r="M8" s="513"/>
      <c r="N8" s="513"/>
      <c r="O8" s="154">
        <f t="shared" si="2"/>
        <v>0.65632989690721655</v>
      </c>
      <c r="P8" s="516"/>
      <c r="Q8" s="515"/>
      <c r="R8" s="165">
        <v>750061.98600000003</v>
      </c>
      <c r="S8" s="517"/>
      <c r="T8" s="513"/>
      <c r="U8" s="154">
        <f t="shared" si="5"/>
        <v>0.20777040705612426</v>
      </c>
      <c r="V8" s="516"/>
      <c r="W8" s="515"/>
    </row>
    <row r="9" spans="2:23">
      <c r="B9" s="512"/>
      <c r="C9" s="518"/>
      <c r="D9" s="80">
        <f t="shared" si="6"/>
        <v>46081</v>
      </c>
      <c r="E9" s="80" t="s">
        <v>115</v>
      </c>
      <c r="F9" s="164">
        <v>3915929.62</v>
      </c>
      <c r="G9" s="513"/>
      <c r="H9" s="513"/>
      <c r="I9" s="214">
        <v>131697</v>
      </c>
      <c r="J9" s="514"/>
      <c r="K9" s="514"/>
      <c r="L9" s="164">
        <v>2568526.8674523714</v>
      </c>
      <c r="M9" s="513"/>
      <c r="N9" s="513"/>
      <c r="O9" s="154">
        <f t="shared" si="2"/>
        <v>0.65591752577319595</v>
      </c>
      <c r="P9" s="516"/>
      <c r="Q9" s="515"/>
      <c r="R9" s="165">
        <v>774937.55</v>
      </c>
      <c r="S9" s="517"/>
      <c r="T9" s="513"/>
      <c r="U9" s="154">
        <f t="shared" ref="U9:U15" si="7">R9/F9</f>
        <v>0.19789363579011413</v>
      </c>
      <c r="V9" s="516"/>
      <c r="W9" s="515"/>
    </row>
    <row r="10" spans="2:23">
      <c r="B10" s="512"/>
      <c r="C10" s="518" t="s">
        <v>112</v>
      </c>
      <c r="D10" s="80">
        <f t="shared" si="6"/>
        <v>46082</v>
      </c>
      <c r="E10" s="80" t="s">
        <v>116</v>
      </c>
      <c r="F10" s="164">
        <v>5447490.2600000007</v>
      </c>
      <c r="G10" s="513"/>
      <c r="H10" s="513">
        <f>SUM(F10:F40)</f>
        <v>148837998.42999995</v>
      </c>
      <c r="I10" s="214">
        <v>179915</v>
      </c>
      <c r="J10" s="514"/>
      <c r="K10" s="514">
        <f>SUM(I10:I40)</f>
        <v>5045753</v>
      </c>
      <c r="L10" s="164">
        <v>3643303.9497653628</v>
      </c>
      <c r="M10" s="513"/>
      <c r="N10" s="513">
        <f>SUM(L10:L40)</f>
        <v>98384727.458801225</v>
      </c>
      <c r="O10" s="154">
        <f t="shared" si="2"/>
        <v>0.66880412371134046</v>
      </c>
      <c r="P10" s="516"/>
      <c r="Q10" s="515">
        <f>N10/H10</f>
        <v>0.6610188829237218</v>
      </c>
      <c r="R10" s="165">
        <v>804587.51</v>
      </c>
      <c r="S10" s="517"/>
      <c r="T10" s="513">
        <f>SUM(R10:R40)</f>
        <v>23834465.345999993</v>
      </c>
      <c r="U10" s="154">
        <f t="shared" si="7"/>
        <v>0.14769875146137479</v>
      </c>
      <c r="V10" s="516"/>
      <c r="W10" s="515">
        <f>T10/H10</f>
        <v>0.16013696500500568</v>
      </c>
    </row>
    <row r="11" spans="2:23">
      <c r="B11" s="512"/>
      <c r="C11" s="518"/>
      <c r="D11" s="80">
        <f t="shared" si="6"/>
        <v>46083</v>
      </c>
      <c r="E11" s="80" t="s">
        <v>117</v>
      </c>
      <c r="F11" s="164">
        <v>5524036.7599999998</v>
      </c>
      <c r="G11" s="513"/>
      <c r="H11" s="513"/>
      <c r="I11" s="214">
        <v>182764</v>
      </c>
      <c r="J11" s="514"/>
      <c r="K11" s="514"/>
      <c r="L11" s="164">
        <v>3514540.2536767018</v>
      </c>
      <c r="M11" s="513"/>
      <c r="N11" s="513"/>
      <c r="O11" s="154">
        <f t="shared" si="2"/>
        <v>0.63622680412371146</v>
      </c>
      <c r="P11" s="516"/>
      <c r="Q11" s="515"/>
      <c r="R11" s="165">
        <v>803830.35600000003</v>
      </c>
      <c r="S11" s="517"/>
      <c r="T11" s="513"/>
      <c r="U11" s="154">
        <f t="shared" si="7"/>
        <v>0.14551502658718732</v>
      </c>
      <c r="V11" s="516"/>
      <c r="W11" s="515"/>
    </row>
    <row r="12" spans="2:23">
      <c r="B12" s="511">
        <f>B5+7</f>
        <v>46092</v>
      </c>
      <c r="C12" s="518"/>
      <c r="D12" s="80">
        <f t="shared" si="6"/>
        <v>46084</v>
      </c>
      <c r="E12" s="80" t="s">
        <v>118</v>
      </c>
      <c r="F12" s="164">
        <v>5503117.0600000005</v>
      </c>
      <c r="G12" s="513">
        <f>SUM(F12:F18)</f>
        <v>33854096.109999999</v>
      </c>
      <c r="H12" s="513"/>
      <c r="I12" s="214">
        <v>182389</v>
      </c>
      <c r="J12" s="514">
        <f t="shared" ref="J12" si="8">SUM(I12:I18)</f>
        <v>1137743</v>
      </c>
      <c r="K12" s="514"/>
      <c r="L12" s="164">
        <v>3633986.187229279</v>
      </c>
      <c r="M12" s="513">
        <f t="shared" ref="M12" si="9">SUM(L12:L18)</f>
        <v>22517866.401008666</v>
      </c>
      <c r="N12" s="513"/>
      <c r="O12" s="154">
        <f t="shared" ref="O12:O18" si="10">L12/F12</f>
        <v>0.66035051546391754</v>
      </c>
      <c r="P12" s="516">
        <f t="shared" ref="P12" si="11">M12/G12</f>
        <v>0.66514451686563336</v>
      </c>
      <c r="Q12" s="515"/>
      <c r="R12" s="165">
        <v>830265.72600000002</v>
      </c>
      <c r="S12" s="517">
        <f t="shared" ref="S12" si="12">SUM(R12:R18)</f>
        <v>5405163.9479999999</v>
      </c>
      <c r="T12" s="513"/>
      <c r="U12" s="154">
        <f t="shared" si="7"/>
        <v>0.15087189986105801</v>
      </c>
      <c r="V12" s="516">
        <f>S12/G12</f>
        <v>0.15966056014129984</v>
      </c>
      <c r="W12" s="515"/>
    </row>
    <row r="13" spans="2:23">
      <c r="B13" s="512"/>
      <c r="C13" s="518"/>
      <c r="D13" s="80">
        <f t="shared" si="6"/>
        <v>46085</v>
      </c>
      <c r="E13" s="80" t="s">
        <v>112</v>
      </c>
      <c r="F13" s="164">
        <v>5072703.08</v>
      </c>
      <c r="G13" s="513"/>
      <c r="H13" s="513"/>
      <c r="I13" s="214">
        <v>171444</v>
      </c>
      <c r="J13" s="514"/>
      <c r="K13" s="514"/>
      <c r="L13" s="164">
        <v>3462721.2550424747</v>
      </c>
      <c r="M13" s="513"/>
      <c r="N13" s="513"/>
      <c r="O13" s="154">
        <f t="shared" si="10"/>
        <v>0.682618556701031</v>
      </c>
      <c r="P13" s="516"/>
      <c r="Q13" s="515"/>
      <c r="R13" s="165">
        <v>794675.29200000002</v>
      </c>
      <c r="S13" s="517"/>
      <c r="T13" s="513"/>
      <c r="U13" s="154">
        <f t="shared" si="7"/>
        <v>0.1566571666954337</v>
      </c>
      <c r="V13" s="516"/>
      <c r="W13" s="515"/>
    </row>
    <row r="14" spans="2:23">
      <c r="B14" s="512"/>
      <c r="C14" s="518"/>
      <c r="D14" s="80">
        <f t="shared" si="6"/>
        <v>46086</v>
      </c>
      <c r="E14" s="80" t="s">
        <v>113</v>
      </c>
      <c r="F14" s="164">
        <v>4496569.9800000004</v>
      </c>
      <c r="G14" s="513"/>
      <c r="H14" s="513"/>
      <c r="I14" s="214">
        <v>153251</v>
      </c>
      <c r="J14" s="514"/>
      <c r="K14" s="514"/>
      <c r="L14" s="164">
        <v>3011033.0565043311</v>
      </c>
      <c r="M14" s="513"/>
      <c r="N14" s="513"/>
      <c r="O14" s="154">
        <f t="shared" si="10"/>
        <v>0.66962886597938165</v>
      </c>
      <c r="P14" s="516"/>
      <c r="Q14" s="515"/>
      <c r="R14" s="165">
        <v>724960.16</v>
      </c>
      <c r="S14" s="517"/>
      <c r="T14" s="513"/>
      <c r="U14" s="154">
        <f t="shared" si="7"/>
        <v>0.16122514788483286</v>
      </c>
      <c r="V14" s="516"/>
      <c r="W14" s="515"/>
    </row>
    <row r="15" spans="2:23">
      <c r="B15" s="512"/>
      <c r="C15" s="518"/>
      <c r="D15" s="80">
        <f t="shared" si="6"/>
        <v>46087</v>
      </c>
      <c r="E15" s="80" t="s">
        <v>114</v>
      </c>
      <c r="F15" s="164">
        <v>3821772.9</v>
      </c>
      <c r="G15" s="513"/>
      <c r="H15" s="513"/>
      <c r="I15" s="214">
        <v>131075</v>
      </c>
      <c r="J15" s="514"/>
      <c r="K15" s="514"/>
      <c r="L15" s="164">
        <v>2509131.807872165</v>
      </c>
      <c r="M15" s="513"/>
      <c r="N15" s="513"/>
      <c r="O15" s="154">
        <f t="shared" si="10"/>
        <v>0.65653608247422679</v>
      </c>
      <c r="P15" s="516"/>
      <c r="Q15" s="515"/>
      <c r="R15" s="165">
        <v>685553.826</v>
      </c>
      <c r="S15" s="517"/>
      <c r="T15" s="513"/>
      <c r="U15" s="154">
        <f t="shared" si="7"/>
        <v>0.17938109980318298</v>
      </c>
      <c r="V15" s="516"/>
      <c r="W15" s="515"/>
    </row>
    <row r="16" spans="2:23">
      <c r="B16" s="512"/>
      <c r="C16" s="518"/>
      <c r="D16" s="80">
        <f t="shared" si="6"/>
        <v>46088</v>
      </c>
      <c r="E16" s="80" t="s">
        <v>115</v>
      </c>
      <c r="F16" s="164">
        <v>4127790.8299999996</v>
      </c>
      <c r="G16" s="513"/>
      <c r="H16" s="513"/>
      <c r="I16" s="214">
        <v>139687</v>
      </c>
      <c r="J16" s="514"/>
      <c r="K16" s="514"/>
      <c r="L16" s="164">
        <v>3057288.7050569076</v>
      </c>
      <c r="M16" s="513"/>
      <c r="N16" s="513"/>
      <c r="O16" s="154">
        <f t="shared" si="10"/>
        <v>0.74065979381443314</v>
      </c>
      <c r="P16" s="516"/>
      <c r="Q16" s="515"/>
      <c r="R16" s="165">
        <v>750910.43799999997</v>
      </c>
      <c r="S16" s="517"/>
      <c r="T16" s="513"/>
      <c r="U16" s="154">
        <f t="shared" ref="U16:U22" si="13">R16/F16</f>
        <v>0.18191581621397226</v>
      </c>
      <c r="V16" s="516"/>
      <c r="W16" s="515"/>
    </row>
    <row r="17" spans="2:23">
      <c r="B17" s="512"/>
      <c r="C17" s="518"/>
      <c r="D17" s="80">
        <f t="shared" si="6"/>
        <v>46089</v>
      </c>
      <c r="E17" s="80" t="s">
        <v>116</v>
      </c>
      <c r="F17" s="164">
        <v>5624945.9799999995</v>
      </c>
      <c r="G17" s="513"/>
      <c r="H17" s="513"/>
      <c r="I17" s="214">
        <v>184408</v>
      </c>
      <c r="J17" s="514"/>
      <c r="K17" s="514"/>
      <c r="L17" s="164">
        <v>3467402.2673002062</v>
      </c>
      <c r="M17" s="513"/>
      <c r="N17" s="513"/>
      <c r="O17" s="154">
        <f t="shared" si="10"/>
        <v>0.61643298969072169</v>
      </c>
      <c r="P17" s="516"/>
      <c r="Q17" s="515"/>
      <c r="R17" s="165">
        <v>835817.76800000004</v>
      </c>
      <c r="S17" s="517"/>
      <c r="T17" s="513"/>
      <c r="U17" s="154">
        <f t="shared" si="13"/>
        <v>0.14859125242656998</v>
      </c>
      <c r="V17" s="516"/>
      <c r="W17" s="515"/>
    </row>
    <row r="18" spans="2:23">
      <c r="B18" s="512"/>
      <c r="C18" s="518"/>
      <c r="D18" s="80">
        <f t="shared" si="6"/>
        <v>46090</v>
      </c>
      <c r="E18" s="80" t="s">
        <v>117</v>
      </c>
      <c r="F18" s="164">
        <v>5207196.28</v>
      </c>
      <c r="G18" s="513"/>
      <c r="H18" s="513"/>
      <c r="I18" s="214">
        <v>175489</v>
      </c>
      <c r="J18" s="514"/>
      <c r="K18" s="514"/>
      <c r="L18" s="164">
        <v>3376303.1220033006</v>
      </c>
      <c r="M18" s="513"/>
      <c r="N18" s="513"/>
      <c r="O18" s="154">
        <f t="shared" si="10"/>
        <v>0.64839175257731985</v>
      </c>
      <c r="P18" s="516"/>
      <c r="Q18" s="515"/>
      <c r="R18" s="165">
        <v>782980.73800000001</v>
      </c>
      <c r="S18" s="517"/>
      <c r="T18" s="513"/>
      <c r="U18" s="154">
        <f t="shared" si="13"/>
        <v>0.15036512854476075</v>
      </c>
      <c r="V18" s="516"/>
      <c r="W18" s="515"/>
    </row>
    <row r="19" spans="2:23">
      <c r="B19" s="511">
        <f>B12+7</f>
        <v>46099</v>
      </c>
      <c r="C19" s="518"/>
      <c r="D19" s="80">
        <f t="shared" si="6"/>
        <v>46091</v>
      </c>
      <c r="E19" s="80" t="s">
        <v>118</v>
      </c>
      <c r="F19" s="164">
        <v>5094346.5200000005</v>
      </c>
      <c r="G19" s="513">
        <f>SUM(F19:F25)</f>
        <v>32874069.779999997</v>
      </c>
      <c r="H19" s="513"/>
      <c r="I19" s="214">
        <v>171919</v>
      </c>
      <c r="J19" s="514">
        <f t="shared" ref="J19" si="14">SUM(I19:I25)</f>
        <v>1114939</v>
      </c>
      <c r="K19" s="514"/>
      <c r="L19" s="164">
        <v>3469092.4230111339</v>
      </c>
      <c r="M19" s="513">
        <f t="shared" ref="M19" si="15">SUM(L19:L25)</f>
        <v>21771219.140586805</v>
      </c>
      <c r="N19" s="513"/>
      <c r="O19" s="154">
        <f t="shared" ref="O19:O39" si="16">L19/F19</f>
        <v>0.6809690721649484</v>
      </c>
      <c r="P19" s="516">
        <f t="shared" ref="P19" si="17">M19/G19</f>
        <v>0.66226114643803635</v>
      </c>
      <c r="Q19" s="515"/>
      <c r="R19" s="165">
        <v>815273.36800000002</v>
      </c>
      <c r="S19" s="517">
        <f t="shared" ref="S19" si="18">SUM(R19:R25)</f>
        <v>5363313.2300000004</v>
      </c>
      <c r="T19" s="513"/>
      <c r="U19" s="154">
        <f t="shared" si="13"/>
        <v>0.16003492593197213</v>
      </c>
      <c r="V19" s="516">
        <f>S19/G19</f>
        <v>0.16314722411591842</v>
      </c>
      <c r="W19" s="515"/>
    </row>
    <row r="20" spans="2:23">
      <c r="B20" s="512"/>
      <c r="C20" s="518"/>
      <c r="D20" s="80">
        <f t="shared" si="6"/>
        <v>46092</v>
      </c>
      <c r="E20" s="80" t="s">
        <v>112</v>
      </c>
      <c r="F20" s="164">
        <v>4787261.34</v>
      </c>
      <c r="G20" s="513"/>
      <c r="H20" s="513"/>
      <c r="I20" s="214">
        <v>163607</v>
      </c>
      <c r="J20" s="514"/>
      <c r="K20" s="514"/>
      <c r="L20" s="164">
        <v>3043809.8544655675</v>
      </c>
      <c r="M20" s="513"/>
      <c r="N20" s="513"/>
      <c r="O20" s="154">
        <f t="shared" si="16"/>
        <v>0.63581443298969087</v>
      </c>
      <c r="P20" s="516"/>
      <c r="Q20" s="515"/>
      <c r="R20" s="165">
        <v>784041.19799999997</v>
      </c>
      <c r="S20" s="517"/>
      <c r="T20" s="513"/>
      <c r="U20" s="154">
        <f t="shared" si="13"/>
        <v>0.16377656081754668</v>
      </c>
      <c r="V20" s="516"/>
      <c r="W20" s="515"/>
    </row>
    <row r="21" spans="2:23">
      <c r="B21" s="512"/>
      <c r="C21" s="518"/>
      <c r="D21" s="80">
        <f t="shared" si="6"/>
        <v>46093</v>
      </c>
      <c r="E21" s="80" t="s">
        <v>113</v>
      </c>
      <c r="F21" s="164">
        <v>4340566.67</v>
      </c>
      <c r="G21" s="513"/>
      <c r="H21" s="513"/>
      <c r="I21" s="214">
        <v>150153</v>
      </c>
      <c r="J21" s="514"/>
      <c r="K21" s="514"/>
      <c r="L21" s="164">
        <v>2939234.8572399993</v>
      </c>
      <c r="M21" s="513"/>
      <c r="N21" s="513"/>
      <c r="O21" s="154">
        <f t="shared" si="16"/>
        <v>0.67715463917525764</v>
      </c>
      <c r="P21" s="516"/>
      <c r="Q21" s="515"/>
      <c r="R21" s="165">
        <v>743956.576</v>
      </c>
      <c r="S21" s="517"/>
      <c r="T21" s="513"/>
      <c r="U21" s="154">
        <f t="shared" si="13"/>
        <v>0.17139618684857108</v>
      </c>
      <c r="V21" s="516"/>
      <c r="W21" s="515"/>
    </row>
    <row r="22" spans="2:23">
      <c r="B22" s="512"/>
      <c r="C22" s="518"/>
      <c r="D22" s="80">
        <f t="shared" si="6"/>
        <v>46094</v>
      </c>
      <c r="E22" s="80" t="s">
        <v>114</v>
      </c>
      <c r="F22" s="164">
        <v>3843289.15</v>
      </c>
      <c r="G22" s="513"/>
      <c r="H22" s="513"/>
      <c r="I22" s="214">
        <v>130207</v>
      </c>
      <c r="J22" s="514"/>
      <c r="K22" s="514"/>
      <c r="L22" s="164">
        <v>2539106.6174082472</v>
      </c>
      <c r="M22" s="513"/>
      <c r="N22" s="513"/>
      <c r="O22" s="154">
        <f t="shared" si="16"/>
        <v>0.66065979381443296</v>
      </c>
      <c r="P22" s="516"/>
      <c r="Q22" s="515"/>
      <c r="R22" s="165">
        <v>712778.80200000003</v>
      </c>
      <c r="S22" s="517"/>
      <c r="T22" s="513"/>
      <c r="U22" s="154">
        <f t="shared" si="13"/>
        <v>0.18546062348704626</v>
      </c>
      <c r="V22" s="516"/>
      <c r="W22" s="515"/>
    </row>
    <row r="23" spans="2:23">
      <c r="B23" s="512"/>
      <c r="C23" s="518"/>
      <c r="D23" s="80">
        <f t="shared" si="6"/>
        <v>46095</v>
      </c>
      <c r="E23" s="80" t="s">
        <v>115</v>
      </c>
      <c r="F23" s="164">
        <v>4118703.79</v>
      </c>
      <c r="G23" s="513"/>
      <c r="H23" s="513"/>
      <c r="I23" s="214">
        <v>139203</v>
      </c>
      <c r="J23" s="514"/>
      <c r="K23" s="514"/>
      <c r="L23" s="164">
        <v>2754181.4704593816</v>
      </c>
      <c r="M23" s="513"/>
      <c r="N23" s="513"/>
      <c r="O23" s="154">
        <f t="shared" si="16"/>
        <v>0.66870103092783506</v>
      </c>
      <c r="P23" s="516"/>
      <c r="Q23" s="515"/>
      <c r="R23" s="165">
        <v>704575.66200000001</v>
      </c>
      <c r="S23" s="517"/>
      <c r="T23" s="513"/>
      <c r="U23" s="154">
        <f t="shared" ref="U23:U39" si="19">R23/F23</f>
        <v>0.17106733038454314</v>
      </c>
      <c r="V23" s="516"/>
      <c r="W23" s="515"/>
    </row>
    <row r="24" spans="2:23">
      <c r="B24" s="512"/>
      <c r="C24" s="518"/>
      <c r="D24" s="80">
        <f t="shared" si="6"/>
        <v>46096</v>
      </c>
      <c r="E24" s="80" t="s">
        <v>116</v>
      </c>
      <c r="F24" s="164">
        <v>5467294.6299999999</v>
      </c>
      <c r="G24" s="513"/>
      <c r="H24" s="513"/>
      <c r="I24" s="214">
        <v>181125</v>
      </c>
      <c r="J24" s="514"/>
      <c r="K24" s="514"/>
      <c r="L24" s="164">
        <v>3588348.9208692787</v>
      </c>
      <c r="M24" s="513"/>
      <c r="N24" s="513"/>
      <c r="O24" s="154">
        <f t="shared" si="16"/>
        <v>0.65632989690721655</v>
      </c>
      <c r="P24" s="516"/>
      <c r="Q24" s="515"/>
      <c r="R24" s="165">
        <v>827032.39</v>
      </c>
      <c r="S24" s="517"/>
      <c r="T24" s="513"/>
      <c r="U24" s="154">
        <f t="shared" si="19"/>
        <v>0.15126903632775321</v>
      </c>
      <c r="V24" s="516"/>
      <c r="W24" s="515"/>
    </row>
    <row r="25" spans="2:23">
      <c r="B25" s="512"/>
      <c r="C25" s="518"/>
      <c r="D25" s="80">
        <f t="shared" si="6"/>
        <v>46097</v>
      </c>
      <c r="E25" s="80" t="s">
        <v>117</v>
      </c>
      <c r="F25" s="164">
        <v>5222607.68</v>
      </c>
      <c r="G25" s="513"/>
      <c r="H25" s="513"/>
      <c r="I25" s="214">
        <v>178725</v>
      </c>
      <c r="J25" s="514"/>
      <c r="K25" s="514"/>
      <c r="L25" s="164">
        <v>3437444.9971331959</v>
      </c>
      <c r="M25" s="513"/>
      <c r="N25" s="513"/>
      <c r="O25" s="154">
        <f t="shared" si="16"/>
        <v>0.65818556701030928</v>
      </c>
      <c r="P25" s="516"/>
      <c r="Q25" s="515"/>
      <c r="R25" s="165">
        <v>775655.23400000005</v>
      </c>
      <c r="S25" s="517"/>
      <c r="T25" s="513"/>
      <c r="U25" s="154">
        <f t="shared" si="19"/>
        <v>0.14851876333165429</v>
      </c>
      <c r="V25" s="516"/>
      <c r="W25" s="515"/>
    </row>
    <row r="26" spans="2:23">
      <c r="B26" s="511">
        <f>B19+7</f>
        <v>46106</v>
      </c>
      <c r="C26" s="518"/>
      <c r="D26" s="80">
        <f t="shared" si="6"/>
        <v>46098</v>
      </c>
      <c r="E26" s="80" t="s">
        <v>118</v>
      </c>
      <c r="F26" s="164">
        <v>5386755.8800000008</v>
      </c>
      <c r="G26" s="513">
        <f>SUM(F26:F32)</f>
        <v>33319856.75</v>
      </c>
      <c r="H26" s="513"/>
      <c r="I26" s="214">
        <v>183844</v>
      </c>
      <c r="J26" s="514">
        <f t="shared" ref="J26" si="20">SUM(I26:I32)</f>
        <v>1145620</v>
      </c>
      <c r="K26" s="514"/>
      <c r="L26" s="164">
        <v>3448301.2331208242</v>
      </c>
      <c r="M26" s="513">
        <f t="shared" ref="M26" si="21">SUM(L26:L32)</f>
        <v>21956430.343206186</v>
      </c>
      <c r="N26" s="513"/>
      <c r="O26" s="154">
        <f t="shared" si="16"/>
        <v>0.64014432989690706</v>
      </c>
      <c r="P26" s="516">
        <f t="shared" ref="P26" si="22">M26/G26</f>
        <v>0.65895932590425033</v>
      </c>
      <c r="Q26" s="515"/>
      <c r="R26" s="165">
        <v>835414.32799999998</v>
      </c>
      <c r="S26" s="517">
        <f t="shared" ref="S26" si="23">SUM(R26:R32)</f>
        <v>5396122.182</v>
      </c>
      <c r="T26" s="513"/>
      <c r="U26" s="154">
        <f t="shared" si="19"/>
        <v>0.1550867250364425</v>
      </c>
      <c r="V26" s="516">
        <f>S26/G26</f>
        <v>0.16194914109287101</v>
      </c>
      <c r="W26" s="515"/>
    </row>
    <row r="27" spans="2:23">
      <c r="B27" s="512"/>
      <c r="C27" s="518"/>
      <c r="D27" s="80">
        <f t="shared" si="6"/>
        <v>46099</v>
      </c>
      <c r="E27" s="80" t="s">
        <v>112</v>
      </c>
      <c r="F27" s="164">
        <v>4992178.209999999</v>
      </c>
      <c r="G27" s="513"/>
      <c r="H27" s="513"/>
      <c r="I27" s="214">
        <v>172254</v>
      </c>
      <c r="J27" s="514"/>
      <c r="K27" s="514"/>
      <c r="L27" s="164">
        <v>3347023.8939086599</v>
      </c>
      <c r="M27" s="513"/>
      <c r="N27" s="513"/>
      <c r="O27" s="154">
        <f t="shared" si="16"/>
        <v>0.67045360824742284</v>
      </c>
      <c r="P27" s="516"/>
      <c r="Q27" s="515"/>
      <c r="R27" s="165">
        <v>798270.96200000006</v>
      </c>
      <c r="S27" s="517"/>
      <c r="T27" s="513"/>
      <c r="U27" s="154">
        <f t="shared" si="19"/>
        <v>0.15990434003356627</v>
      </c>
      <c r="V27" s="516"/>
      <c r="W27" s="515"/>
    </row>
    <row r="28" spans="2:23">
      <c r="B28" s="512"/>
      <c r="C28" s="518"/>
      <c r="D28" s="80">
        <f t="shared" si="6"/>
        <v>46100</v>
      </c>
      <c r="E28" s="80" t="s">
        <v>113</v>
      </c>
      <c r="F28" s="164">
        <v>4465947.1900000004</v>
      </c>
      <c r="G28" s="513"/>
      <c r="H28" s="513"/>
      <c r="I28" s="214">
        <v>157187</v>
      </c>
      <c r="J28" s="514"/>
      <c r="K28" s="514"/>
      <c r="L28" s="164">
        <v>2975794.1307057738</v>
      </c>
      <c r="M28" s="513"/>
      <c r="N28" s="513"/>
      <c r="O28" s="154">
        <f t="shared" si="16"/>
        <v>0.66632989690721656</v>
      </c>
      <c r="P28" s="516"/>
      <c r="Q28" s="515"/>
      <c r="R28" s="165">
        <v>739644.10600000003</v>
      </c>
      <c r="S28" s="517"/>
      <c r="T28" s="513"/>
      <c r="U28" s="154">
        <f t="shared" si="19"/>
        <v>0.16561864136149804</v>
      </c>
      <c r="V28" s="516"/>
      <c r="W28" s="515"/>
    </row>
    <row r="29" spans="2:23">
      <c r="B29" s="512"/>
      <c r="C29" s="518"/>
      <c r="D29" s="80">
        <f t="shared" si="6"/>
        <v>46101</v>
      </c>
      <c r="E29" s="80" t="s">
        <v>114</v>
      </c>
      <c r="F29" s="164">
        <v>3808013.83</v>
      </c>
      <c r="G29" s="513"/>
      <c r="H29" s="513"/>
      <c r="I29" s="214">
        <v>133801</v>
      </c>
      <c r="J29" s="514"/>
      <c r="K29" s="514"/>
      <c r="L29" s="164">
        <v>2437678.4614435052</v>
      </c>
      <c r="M29" s="513"/>
      <c r="N29" s="513"/>
      <c r="O29" s="154">
        <f t="shared" si="16"/>
        <v>0.64014432989690728</v>
      </c>
      <c r="P29" s="516"/>
      <c r="Q29" s="515"/>
      <c r="R29" s="165">
        <v>691617.07200000004</v>
      </c>
      <c r="S29" s="517"/>
      <c r="T29" s="513"/>
      <c r="U29" s="154">
        <f t="shared" si="19"/>
        <v>0.18162147063420725</v>
      </c>
      <c r="V29" s="516"/>
      <c r="W29" s="515"/>
    </row>
    <row r="30" spans="2:23">
      <c r="B30" s="512"/>
      <c r="C30" s="518"/>
      <c r="D30" s="80">
        <f t="shared" si="6"/>
        <v>46102</v>
      </c>
      <c r="E30" s="80" t="s">
        <v>115</v>
      </c>
      <c r="F30" s="164">
        <v>4071503.5</v>
      </c>
      <c r="G30" s="513"/>
      <c r="H30" s="513"/>
      <c r="I30" s="214">
        <v>141397</v>
      </c>
      <c r="J30" s="514"/>
      <c r="K30" s="514"/>
      <c r="L30" s="164">
        <v>2767950.7917938144</v>
      </c>
      <c r="M30" s="513"/>
      <c r="N30" s="513"/>
      <c r="O30" s="154">
        <f t="shared" si="16"/>
        <v>0.67983505154639179</v>
      </c>
      <c r="P30" s="516"/>
      <c r="Q30" s="515"/>
      <c r="R30" s="165">
        <v>737899.23400000005</v>
      </c>
      <c r="S30" s="517"/>
      <c r="T30" s="513"/>
      <c r="U30" s="154">
        <f t="shared" si="19"/>
        <v>0.18123507298962166</v>
      </c>
      <c r="V30" s="516"/>
      <c r="W30" s="515"/>
    </row>
    <row r="31" spans="2:23">
      <c r="B31" s="512"/>
      <c r="C31" s="518"/>
      <c r="D31" s="80">
        <f t="shared" si="6"/>
        <v>46103</v>
      </c>
      <c r="E31" s="80" t="s">
        <v>116</v>
      </c>
      <c r="F31" s="164">
        <v>5501397.21</v>
      </c>
      <c r="G31" s="513"/>
      <c r="H31" s="513"/>
      <c r="I31" s="214">
        <v>183666</v>
      </c>
      <c r="J31" s="514"/>
      <c r="K31" s="514"/>
      <c r="L31" s="164">
        <v>3580105.1287014433</v>
      </c>
      <c r="M31" s="513"/>
      <c r="N31" s="513"/>
      <c r="O31" s="154">
        <f t="shared" si="16"/>
        <v>0.65076288659793813</v>
      </c>
      <c r="P31" s="516"/>
      <c r="Q31" s="515"/>
      <c r="R31" s="165">
        <v>823068.39199999999</v>
      </c>
      <c r="S31" s="517"/>
      <c r="T31" s="513"/>
      <c r="U31" s="154">
        <f t="shared" si="19"/>
        <v>0.14961079169195274</v>
      </c>
      <c r="V31" s="516"/>
      <c r="W31" s="515"/>
    </row>
    <row r="32" spans="2:23">
      <c r="B32" s="512"/>
      <c r="C32" s="518"/>
      <c r="D32" s="80">
        <f t="shared" si="6"/>
        <v>46104</v>
      </c>
      <c r="E32" s="80" t="s">
        <v>117</v>
      </c>
      <c r="F32" s="164">
        <v>5094060.93</v>
      </c>
      <c r="G32" s="513"/>
      <c r="H32" s="513"/>
      <c r="I32" s="214">
        <v>173471</v>
      </c>
      <c r="J32" s="514"/>
      <c r="K32" s="514"/>
      <c r="L32" s="164">
        <v>3399576.7035321654</v>
      </c>
      <c r="M32" s="513"/>
      <c r="N32" s="513"/>
      <c r="O32" s="154">
        <f t="shared" si="16"/>
        <v>0.66736082474226821</v>
      </c>
      <c r="P32" s="516"/>
      <c r="Q32" s="515"/>
      <c r="R32" s="165">
        <v>770208.08799999999</v>
      </c>
      <c r="S32" s="517"/>
      <c r="T32" s="513"/>
      <c r="U32" s="154">
        <f t="shared" si="19"/>
        <v>0.15119726649991208</v>
      </c>
      <c r="V32" s="516"/>
      <c r="W32" s="515"/>
    </row>
    <row r="33" spans="2:23">
      <c r="B33" s="511">
        <f>B26+7</f>
        <v>46113</v>
      </c>
      <c r="C33" s="518"/>
      <c r="D33" s="80">
        <f t="shared" si="6"/>
        <v>46105</v>
      </c>
      <c r="E33" s="80" t="s">
        <v>118</v>
      </c>
      <c r="F33" s="164">
        <v>4902681.6100000013</v>
      </c>
      <c r="G33" s="513">
        <f>SUM(F33:F39)</f>
        <v>32252126.790000007</v>
      </c>
      <c r="H33" s="513"/>
      <c r="I33" s="214">
        <v>168684</v>
      </c>
      <c r="J33" s="514">
        <f t="shared" ref="J33" si="24">SUM(I33:I39)</f>
        <v>1105590</v>
      </c>
      <c r="K33" s="514"/>
      <c r="L33" s="164">
        <v>3217776.5156602073</v>
      </c>
      <c r="M33" s="513">
        <f t="shared" ref="M33" si="25">SUM(L33:L39)</f>
        <v>21273508.314725365</v>
      </c>
      <c r="N33" s="513"/>
      <c r="O33" s="154">
        <f t="shared" si="16"/>
        <v>0.65632989690721655</v>
      </c>
      <c r="P33" s="516">
        <f>M33/G33</f>
        <v>0.65960017003658078</v>
      </c>
      <c r="Q33" s="515"/>
      <c r="R33" s="165">
        <v>769537.37600000005</v>
      </c>
      <c r="S33" s="517">
        <f t="shared" ref="S33" si="26">SUM(R33:R39)</f>
        <v>5198275.9839999992</v>
      </c>
      <c r="T33" s="513"/>
      <c r="U33" s="154">
        <f t="shared" si="19"/>
        <v>0.15696254360682416</v>
      </c>
      <c r="V33" s="516">
        <f>S33/G33</f>
        <v>0.16117622313241559</v>
      </c>
      <c r="W33" s="515"/>
    </row>
    <row r="34" spans="2:23">
      <c r="B34" s="512"/>
      <c r="C34" s="518"/>
      <c r="D34" s="80">
        <f t="shared" si="6"/>
        <v>46106</v>
      </c>
      <c r="E34" s="80" t="s">
        <v>112</v>
      </c>
      <c r="F34" s="164">
        <v>4675847.41</v>
      </c>
      <c r="G34" s="513"/>
      <c r="H34" s="513"/>
      <c r="I34" s="214">
        <v>162126</v>
      </c>
      <c r="J34" s="514"/>
      <c r="K34" s="514"/>
      <c r="L34" s="164">
        <v>3087698.2474241233</v>
      </c>
      <c r="M34" s="513"/>
      <c r="N34" s="513"/>
      <c r="O34" s="154">
        <f t="shared" si="16"/>
        <v>0.66035051546391743</v>
      </c>
      <c r="P34" s="516"/>
      <c r="Q34" s="515"/>
      <c r="R34" s="165">
        <v>754913.81599999999</v>
      </c>
      <c r="S34" s="517"/>
      <c r="T34" s="513"/>
      <c r="U34" s="154">
        <f t="shared" si="19"/>
        <v>0.16144962609034327</v>
      </c>
      <c r="V34" s="516"/>
      <c r="W34" s="515"/>
    </row>
    <row r="35" spans="2:23">
      <c r="B35" s="512"/>
      <c r="C35" s="518"/>
      <c r="D35" s="80">
        <f t="shared" si="6"/>
        <v>46107</v>
      </c>
      <c r="E35" s="80" t="s">
        <v>113</v>
      </c>
      <c r="F35" s="164">
        <v>4316808.2699999996</v>
      </c>
      <c r="G35" s="513"/>
      <c r="H35" s="513"/>
      <c r="I35" s="214">
        <v>150942</v>
      </c>
      <c r="J35" s="514"/>
      <c r="K35" s="514"/>
      <c r="L35" s="164">
        <v>2899115.0303183505</v>
      </c>
      <c r="M35" s="513"/>
      <c r="N35" s="513"/>
      <c r="O35" s="154">
        <f t="shared" si="16"/>
        <v>0.67158762886597945</v>
      </c>
      <c r="P35" s="516"/>
      <c r="Q35" s="515"/>
      <c r="R35" s="165">
        <v>720741.674</v>
      </c>
      <c r="S35" s="517"/>
      <c r="T35" s="513"/>
      <c r="U35" s="154">
        <f t="shared" si="19"/>
        <v>0.16696170617742076</v>
      </c>
      <c r="V35" s="516"/>
      <c r="W35" s="515"/>
    </row>
    <row r="36" spans="2:23">
      <c r="B36" s="512"/>
      <c r="C36" s="518"/>
      <c r="D36" s="80">
        <f t="shared" si="6"/>
        <v>46108</v>
      </c>
      <c r="E36" s="80" t="s">
        <v>114</v>
      </c>
      <c r="F36" s="164">
        <v>3793881.7500000005</v>
      </c>
      <c r="G36" s="513"/>
      <c r="H36" s="513"/>
      <c r="I36" s="214">
        <v>130555</v>
      </c>
      <c r="J36" s="514"/>
      <c r="K36" s="514"/>
      <c r="L36" s="164">
        <v>2432151.9870309285</v>
      </c>
      <c r="M36" s="513"/>
      <c r="N36" s="513"/>
      <c r="O36" s="154">
        <f t="shared" si="16"/>
        <v>0.64107216494845365</v>
      </c>
      <c r="P36" s="516"/>
      <c r="Q36" s="515"/>
      <c r="R36" s="165">
        <v>711990.06599999999</v>
      </c>
      <c r="S36" s="517"/>
      <c r="T36" s="513"/>
      <c r="U36" s="154">
        <f t="shared" si="19"/>
        <v>0.18766796461170671</v>
      </c>
      <c r="V36" s="516"/>
      <c r="W36" s="515"/>
    </row>
    <row r="37" spans="2:23">
      <c r="B37" s="512"/>
      <c r="C37" s="518"/>
      <c r="D37" s="80">
        <f t="shared" si="6"/>
        <v>46109</v>
      </c>
      <c r="E37" s="80" t="s">
        <v>115</v>
      </c>
      <c r="F37" s="164">
        <v>4079657.8599999994</v>
      </c>
      <c r="G37" s="513"/>
      <c r="H37" s="513"/>
      <c r="I37" s="214">
        <v>139511</v>
      </c>
      <c r="J37" s="514"/>
      <c r="K37" s="514"/>
      <c r="L37" s="164">
        <v>2742371.2484890721</v>
      </c>
      <c r="M37" s="513"/>
      <c r="N37" s="513"/>
      <c r="O37" s="154">
        <f t="shared" si="16"/>
        <v>0.67220618556701039</v>
      </c>
      <c r="P37" s="516"/>
      <c r="Q37" s="515"/>
      <c r="R37" s="165">
        <v>710266.78399999999</v>
      </c>
      <c r="S37" s="517"/>
      <c r="T37" s="513"/>
      <c r="U37" s="154">
        <f t="shared" si="19"/>
        <v>0.17409959569501746</v>
      </c>
      <c r="V37" s="516"/>
      <c r="W37" s="515"/>
    </row>
    <row r="38" spans="2:23">
      <c r="B38" s="512"/>
      <c r="D38" s="80">
        <f t="shared" si="6"/>
        <v>46110</v>
      </c>
      <c r="E38" s="80" t="s">
        <v>116</v>
      </c>
      <c r="F38" s="164">
        <v>5382127.5800000001</v>
      </c>
      <c r="G38" s="513"/>
      <c r="H38" s="513"/>
      <c r="I38" s="214">
        <v>178715</v>
      </c>
      <c r="J38" s="514"/>
      <c r="K38" s="514"/>
      <c r="L38" s="164">
        <v>3557419.8728259802</v>
      </c>
      <c r="M38" s="513"/>
      <c r="N38" s="513"/>
      <c r="O38" s="154">
        <f t="shared" si="16"/>
        <v>0.6609690721649486</v>
      </c>
      <c r="P38" s="516"/>
      <c r="Q38" s="515"/>
      <c r="R38" s="165">
        <v>820657.25399999996</v>
      </c>
      <c r="S38" s="517"/>
      <c r="T38" s="513"/>
      <c r="U38" s="154">
        <f t="shared" si="19"/>
        <v>0.15247822386254173</v>
      </c>
      <c r="V38" s="516"/>
      <c r="W38" s="515"/>
    </row>
    <row r="39" spans="2:23">
      <c r="B39" s="512"/>
      <c r="D39" s="80">
        <f t="shared" si="6"/>
        <v>46111</v>
      </c>
      <c r="E39" s="80" t="s">
        <v>117</v>
      </c>
      <c r="F39" s="164">
        <v>5101122.3100000005</v>
      </c>
      <c r="G39" s="513"/>
      <c r="H39" s="513"/>
      <c r="I39" s="214">
        <v>175057</v>
      </c>
      <c r="J39" s="514"/>
      <c r="K39" s="514"/>
      <c r="L39" s="164">
        <v>3336975.4129767008</v>
      </c>
      <c r="M39" s="513"/>
      <c r="N39" s="513"/>
      <c r="O39" s="154">
        <f t="shared" si="16"/>
        <v>0.65416494845360817</v>
      </c>
      <c r="P39" s="516"/>
      <c r="Q39" s="515"/>
      <c r="R39" s="165">
        <v>710169.01399999997</v>
      </c>
      <c r="S39" s="517"/>
      <c r="T39" s="513"/>
      <c r="U39" s="154">
        <f t="shared" si="19"/>
        <v>0.13921818981046935</v>
      </c>
      <c r="V39" s="516"/>
      <c r="W39" s="515"/>
    </row>
    <row r="40" spans="2:23">
      <c r="B40" s="511">
        <f>B33+7</f>
        <v>46120</v>
      </c>
      <c r="D40" s="80">
        <f t="shared" si="6"/>
        <v>46112</v>
      </c>
      <c r="E40" s="80" t="s">
        <v>118</v>
      </c>
      <c r="F40" s="164">
        <v>5566321.9800000004</v>
      </c>
      <c r="G40" s="513">
        <f>SUM(F40:F46)</f>
        <v>30121754.649999999</v>
      </c>
      <c r="H40" s="513"/>
      <c r="I40" s="214">
        <v>179182</v>
      </c>
      <c r="J40" s="514">
        <f t="shared" ref="J40" si="27">SUM(I40:I46)</f>
        <v>995977</v>
      </c>
      <c r="K40" s="514"/>
      <c r="L40" s="164">
        <v>3707859.0558321653</v>
      </c>
      <c r="M40" s="513">
        <f t="shared" ref="M40" si="28">SUM(L40:L46)</f>
        <v>20020073.787437111</v>
      </c>
      <c r="N40" s="513"/>
      <c r="O40" s="154">
        <f t="shared" ref="O40:O46" si="29">L40/F40</f>
        <v>0.6661237113402062</v>
      </c>
      <c r="P40" s="516">
        <f>M40/G40</f>
        <v>0.66463836586083846</v>
      </c>
      <c r="Q40" s="515"/>
      <c r="R40" s="165">
        <v>863172.13600000006</v>
      </c>
      <c r="S40" s="517">
        <f t="shared" ref="S40" si="30">SUM(R40:R46)</f>
        <v>5296902.7679999992</v>
      </c>
      <c r="T40" s="513"/>
      <c r="U40" s="154">
        <f t="shared" ref="U40:U46" si="31">R40/F40</f>
        <v>0.15507046468052141</v>
      </c>
      <c r="V40" s="516">
        <f>S40/G40</f>
        <v>0.17584974147580076</v>
      </c>
      <c r="W40" s="515"/>
    </row>
    <row r="41" spans="2:23">
      <c r="B41" s="512"/>
      <c r="D41" s="80">
        <f t="shared" si="6"/>
        <v>46113</v>
      </c>
      <c r="E41" s="80" t="s">
        <v>112</v>
      </c>
      <c r="F41" s="164">
        <v>4658389.7299999995</v>
      </c>
      <c r="G41" s="513"/>
      <c r="I41" s="214">
        <v>156110</v>
      </c>
      <c r="J41" s="514"/>
      <c r="L41" s="164">
        <v>3067045.3785228869</v>
      </c>
      <c r="M41" s="513"/>
      <c r="O41" s="154">
        <f t="shared" si="29"/>
        <v>0.65839175257731974</v>
      </c>
      <c r="P41" s="516"/>
      <c r="R41" s="165">
        <v>766317.89199999999</v>
      </c>
      <c r="S41" s="517"/>
      <c r="U41" s="154">
        <f t="shared" si="31"/>
        <v>0.16450274374102231</v>
      </c>
      <c r="V41" s="516"/>
    </row>
    <row r="42" spans="2:23">
      <c r="B42" s="512"/>
      <c r="D42" s="80">
        <f t="shared" si="6"/>
        <v>46114</v>
      </c>
      <c r="E42" s="80" t="s">
        <v>113</v>
      </c>
      <c r="F42" s="164">
        <v>3718970.84</v>
      </c>
      <c r="G42" s="513"/>
      <c r="I42" s="214">
        <v>125387</v>
      </c>
      <c r="J42" s="514"/>
      <c r="L42" s="164">
        <v>2504899.3903150517</v>
      </c>
      <c r="M42" s="513"/>
      <c r="O42" s="154">
        <f t="shared" si="29"/>
        <v>0.67354639175257736</v>
      </c>
      <c r="P42" s="516"/>
      <c r="R42" s="165">
        <v>713559.71799999999</v>
      </c>
      <c r="S42" s="517"/>
      <c r="U42" s="154">
        <f t="shared" si="31"/>
        <v>0.19187021052308117</v>
      </c>
      <c r="V42" s="516"/>
    </row>
    <row r="43" spans="2:23">
      <c r="B43" s="512"/>
      <c r="D43" s="80">
        <f t="shared" si="6"/>
        <v>46115</v>
      </c>
      <c r="E43" s="80" t="s">
        <v>114</v>
      </c>
      <c r="F43" s="164">
        <v>3549995.84</v>
      </c>
      <c r="G43" s="513"/>
      <c r="I43" s="214">
        <v>119195</v>
      </c>
      <c r="J43" s="514"/>
      <c r="L43" s="164">
        <v>2351927.1408428866</v>
      </c>
      <c r="M43" s="513"/>
      <c r="O43" s="154">
        <f t="shared" si="29"/>
        <v>0.6625154639175258</v>
      </c>
      <c r="P43" s="516"/>
      <c r="R43" s="165">
        <v>705005.23800000001</v>
      </c>
      <c r="S43" s="517"/>
      <c r="U43" s="154">
        <f t="shared" si="31"/>
        <v>0.19859325750646514</v>
      </c>
      <c r="V43" s="516"/>
    </row>
    <row r="44" spans="2:23">
      <c r="B44" s="512"/>
      <c r="D44" s="80">
        <f t="shared" si="6"/>
        <v>46116</v>
      </c>
      <c r="E44" s="80" t="s">
        <v>115</v>
      </c>
      <c r="F44" s="164">
        <v>3467991.8799999994</v>
      </c>
      <c r="G44" s="513"/>
      <c r="I44" s="214">
        <v>114970</v>
      </c>
      <c r="J44" s="514"/>
      <c r="L44" s="164">
        <v>2303676.1731538144</v>
      </c>
      <c r="M44" s="513"/>
      <c r="O44" s="154">
        <f t="shared" si="29"/>
        <v>0.66426804123711347</v>
      </c>
      <c r="P44" s="516"/>
      <c r="R44" s="165">
        <v>709401.67599999998</v>
      </c>
      <c r="S44" s="517"/>
      <c r="U44" s="154">
        <f t="shared" si="31"/>
        <v>0.20455690224972503</v>
      </c>
      <c r="V44" s="516"/>
    </row>
    <row r="45" spans="2:23">
      <c r="B45" s="512"/>
      <c r="D45" s="80">
        <f t="shared" si="6"/>
        <v>46117</v>
      </c>
      <c r="E45" s="80" t="s">
        <v>116</v>
      </c>
      <c r="F45" s="164">
        <v>3900098.7399999998</v>
      </c>
      <c r="G45" s="513"/>
      <c r="I45" s="214">
        <v>129122</v>
      </c>
      <c r="J45" s="514"/>
      <c r="L45" s="164">
        <v>2586288.1582655669</v>
      </c>
      <c r="M45" s="513"/>
      <c r="O45" s="154">
        <f t="shared" si="29"/>
        <v>0.66313402061855675</v>
      </c>
      <c r="P45" s="516"/>
      <c r="R45" s="165">
        <v>736893.51199999999</v>
      </c>
      <c r="S45" s="517"/>
      <c r="U45" s="154">
        <f t="shared" si="31"/>
        <v>0.18894227072825343</v>
      </c>
      <c r="V45" s="516"/>
    </row>
    <row r="46" spans="2:23">
      <c r="B46" s="512"/>
      <c r="D46" s="80">
        <f t="shared" si="6"/>
        <v>46118</v>
      </c>
      <c r="E46" s="80" t="s">
        <v>117</v>
      </c>
      <c r="F46" s="164">
        <v>5259985.6399999997</v>
      </c>
      <c r="G46" s="513"/>
      <c r="I46" s="214">
        <v>172011</v>
      </c>
      <c r="J46" s="514"/>
      <c r="L46" s="164">
        <v>3498378.4905047417</v>
      </c>
      <c r="M46" s="513"/>
      <c r="O46" s="154">
        <f t="shared" si="29"/>
        <v>0.66509278350515455</v>
      </c>
      <c r="P46" s="516"/>
      <c r="R46" s="165">
        <v>802552.59600000002</v>
      </c>
      <c r="S46" s="517"/>
      <c r="U46" s="154">
        <f t="shared" si="31"/>
        <v>0.15257695570438859</v>
      </c>
      <c r="V46" s="516"/>
    </row>
  </sheetData>
  <mergeCells count="66">
    <mergeCell ref="S19:S25"/>
    <mergeCell ref="S33:S39"/>
    <mergeCell ref="V12:V18"/>
    <mergeCell ref="M5:M11"/>
    <mergeCell ref="P5:P11"/>
    <mergeCell ref="S5:S11"/>
    <mergeCell ref="T5:T9"/>
    <mergeCell ref="T10:T40"/>
    <mergeCell ref="M40:M46"/>
    <mergeCell ref="P40:P46"/>
    <mergeCell ref="Q10:Q40"/>
    <mergeCell ref="N5:N9"/>
    <mergeCell ref="Q5:Q9"/>
    <mergeCell ref="S40:S46"/>
    <mergeCell ref="V40:V46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G26:G32"/>
    <mergeCell ref="J26:J32"/>
    <mergeCell ref="M12:M18"/>
    <mergeCell ref="C5:C9"/>
    <mergeCell ref="G5:G11"/>
    <mergeCell ref="J5:J11"/>
    <mergeCell ref="C10:C37"/>
    <mergeCell ref="K5:K9"/>
    <mergeCell ref="K10:K40"/>
    <mergeCell ref="W10:W40"/>
    <mergeCell ref="V33:V39"/>
    <mergeCell ref="M33:M39"/>
    <mergeCell ref="P33:P39"/>
    <mergeCell ref="V19:V25"/>
    <mergeCell ref="M26:M32"/>
    <mergeCell ref="P26:P32"/>
    <mergeCell ref="S26:S32"/>
    <mergeCell ref="V26:V32"/>
    <mergeCell ref="M19:M25"/>
    <mergeCell ref="V5:V11"/>
    <mergeCell ref="P19:P25"/>
    <mergeCell ref="W5:W9"/>
    <mergeCell ref="P12:P18"/>
    <mergeCell ref="S12:S18"/>
    <mergeCell ref="N10:N40"/>
    <mergeCell ref="B40:B46"/>
    <mergeCell ref="G40:G46"/>
    <mergeCell ref="J40:J46"/>
    <mergeCell ref="H5:H9"/>
    <mergeCell ref="H10:H40"/>
    <mergeCell ref="B19:B25"/>
    <mergeCell ref="G19:G25"/>
    <mergeCell ref="J19:J25"/>
    <mergeCell ref="B12:B18"/>
    <mergeCell ref="G12:G18"/>
    <mergeCell ref="J12:J18"/>
    <mergeCell ref="B5:B11"/>
    <mergeCell ref="B33:B39"/>
    <mergeCell ref="G33:G39"/>
    <mergeCell ref="J33:J39"/>
    <mergeCell ref="B26:B32"/>
  </mergeCells>
  <phoneticPr fontId="16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B1:W46"/>
  <sheetViews>
    <sheetView topLeftCell="C1" zoomScale="85" zoomScaleNormal="85" workbookViewId="0">
      <selection activeCell="C1" sqref="C1"/>
    </sheetView>
  </sheetViews>
  <sheetFormatPr defaultColWidth="8.81640625" defaultRowHeight="13.5"/>
  <cols>
    <col min="1" max="1" width="4.453125" style="73" customWidth="1"/>
    <col min="2" max="2" width="18.54296875" style="78" bestFit="1" customWidth="1"/>
    <col min="3" max="3" width="8.81640625" style="75"/>
    <col min="4" max="4" width="17.453125" style="77" customWidth="1"/>
    <col min="5" max="5" width="4.453125" style="77" customWidth="1"/>
    <col min="6" max="8" width="25.54296875" style="88" customWidth="1"/>
    <col min="9" max="11" width="15" style="72" customWidth="1"/>
    <col min="12" max="12" width="14.54296875" style="168" customWidth="1"/>
    <col min="13" max="17" width="14.54296875" style="72" customWidth="1"/>
    <col min="18" max="21" width="14.1796875" style="72" customWidth="1"/>
    <col min="22" max="23" width="14.1796875" style="73" customWidth="1"/>
    <col min="24" max="16384" width="8.81640625" style="73"/>
  </cols>
  <sheetData>
    <row r="1" spans="2:23">
      <c r="B1" s="163" t="s">
        <v>366</v>
      </c>
      <c r="C1" s="166">
        <v>497.6</v>
      </c>
    </row>
    <row r="2" spans="2:23" ht="38.15" customHeight="1">
      <c r="B2" s="520" t="s">
        <v>131</v>
      </c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  <c r="Q2" s="533"/>
      <c r="R2" s="533"/>
      <c r="S2" s="533"/>
      <c r="T2" s="533"/>
      <c r="U2" s="533"/>
    </row>
    <row r="3" spans="2:23" s="71" customFormat="1" ht="23.5" customHeight="1">
      <c r="B3" s="524" t="s">
        <v>122</v>
      </c>
      <c r="C3" s="525" t="s">
        <v>119</v>
      </c>
      <c r="D3" s="526" t="s">
        <v>105</v>
      </c>
      <c r="E3" s="526"/>
      <c r="F3" s="534" t="s">
        <v>107</v>
      </c>
      <c r="G3" s="534"/>
      <c r="H3" s="534"/>
      <c r="I3" s="535" t="s">
        <v>108</v>
      </c>
      <c r="J3" s="535"/>
      <c r="K3" s="535"/>
      <c r="L3" s="532" t="s">
        <v>326</v>
      </c>
      <c r="M3" s="532"/>
      <c r="N3" s="532"/>
      <c r="O3" s="532" t="s">
        <v>106</v>
      </c>
      <c r="P3" s="532"/>
      <c r="Q3" s="532"/>
      <c r="R3" s="532" t="s">
        <v>365</v>
      </c>
      <c r="S3" s="532"/>
      <c r="T3" s="532"/>
      <c r="U3" s="532" t="s">
        <v>455</v>
      </c>
      <c r="V3" s="532"/>
      <c r="W3" s="532"/>
    </row>
    <row r="4" spans="2:23" ht="15">
      <c r="B4" s="524"/>
      <c r="C4" s="525"/>
      <c r="D4" s="526"/>
      <c r="E4" s="526"/>
      <c r="F4" s="79" t="s">
        <v>116</v>
      </c>
      <c r="G4" s="90" t="s">
        <v>132</v>
      </c>
      <c r="H4" s="90" t="s">
        <v>133</v>
      </c>
      <c r="I4" s="79" t="s">
        <v>116</v>
      </c>
      <c r="J4" s="89" t="s">
        <v>132</v>
      </c>
      <c r="K4" s="89" t="s">
        <v>133</v>
      </c>
      <c r="L4" s="169" t="s">
        <v>116</v>
      </c>
      <c r="M4" s="89" t="s">
        <v>132</v>
      </c>
      <c r="N4" s="89" t="s">
        <v>133</v>
      </c>
      <c r="O4" s="167" t="s">
        <v>116</v>
      </c>
      <c r="P4" s="89" t="s">
        <v>132</v>
      </c>
      <c r="Q4" s="89" t="s">
        <v>133</v>
      </c>
      <c r="R4" s="79" t="s">
        <v>116</v>
      </c>
      <c r="S4" s="89" t="s">
        <v>132</v>
      </c>
      <c r="T4" s="89" t="s">
        <v>133</v>
      </c>
      <c r="U4" s="79" t="s">
        <v>116</v>
      </c>
      <c r="V4" s="89" t="s">
        <v>132</v>
      </c>
      <c r="W4" s="89" t="s">
        <v>133</v>
      </c>
    </row>
    <row r="5" spans="2:23">
      <c r="B5" s="511">
        <f>D6+7</f>
        <v>46085</v>
      </c>
      <c r="C5" s="518"/>
      <c r="D5" s="80">
        <v>46077</v>
      </c>
      <c r="E5" s="80" t="s">
        <v>118</v>
      </c>
      <c r="F5" s="87">
        <v>464.32903674831493</v>
      </c>
      <c r="G5" s="529">
        <f>AVERAGE(F5:F11)</f>
        <v>468.73196966875156</v>
      </c>
      <c r="H5" s="529"/>
      <c r="I5" s="154">
        <f>F5/$C$1</f>
        <v>0.93313713172892865</v>
      </c>
      <c r="J5" s="516">
        <f t="shared" ref="J5" si="0">AVERAGE(I5:I11)</f>
        <v>0.94198546959154261</v>
      </c>
      <c r="K5" s="528"/>
      <c r="L5" s="162">
        <v>2.3089761216367891E-3</v>
      </c>
      <c r="M5" s="530">
        <f t="shared" ref="M5" si="1">AVERAGE(L5:L11)</f>
        <v>2.2409997247341139E-3</v>
      </c>
      <c r="N5" s="530"/>
      <c r="O5" s="84">
        <v>5.0852114253243713E-3</v>
      </c>
      <c r="P5" s="528">
        <f t="shared" ref="P5" si="2">AVERAGE(O5:O11)</f>
        <v>5.0772954698878481E-3</v>
      </c>
      <c r="Q5" s="528"/>
      <c r="R5" s="154">
        <v>0.9</v>
      </c>
      <c r="S5" s="516">
        <f t="shared" ref="S5" si="3">AVERAGE(R5:R11)</f>
        <v>0.90000000000000013</v>
      </c>
      <c r="T5" s="528"/>
      <c r="U5" s="154">
        <f>9/52*100%</f>
        <v>0.17307692307692307</v>
      </c>
      <c r="V5" s="516">
        <f t="shared" ref="V5" si="4">AVERAGE(U5:U11)</f>
        <v>0.1730769230769231</v>
      </c>
      <c r="W5" s="528"/>
    </row>
    <row r="6" spans="2:23">
      <c r="B6" s="511"/>
      <c r="C6" s="518"/>
      <c r="D6" s="80">
        <f t="shared" ref="D6:D46" si="5">D5+1</f>
        <v>46078</v>
      </c>
      <c r="E6" s="80" t="s">
        <v>112</v>
      </c>
      <c r="F6" s="87">
        <v>465.0372140296048</v>
      </c>
      <c r="G6" s="529"/>
      <c r="H6" s="529"/>
      <c r="I6" s="154">
        <f t="shared" ref="I6:I11" si="6">F6/$C$1</f>
        <v>0.93456031758361091</v>
      </c>
      <c r="J6" s="516"/>
      <c r="K6" s="528"/>
      <c r="L6" s="162">
        <v>2.3055099067210991E-3</v>
      </c>
      <c r="M6" s="530"/>
      <c r="N6" s="530"/>
      <c r="O6" s="84">
        <v>5.0598021692445493E-3</v>
      </c>
      <c r="P6" s="528"/>
      <c r="Q6" s="528"/>
      <c r="R6" s="154">
        <v>0.9</v>
      </c>
      <c r="S6" s="516"/>
      <c r="T6" s="528"/>
      <c r="U6" s="154">
        <f>9/52*100%</f>
        <v>0.17307692307692307</v>
      </c>
      <c r="V6" s="516"/>
      <c r="W6" s="528"/>
    </row>
    <row r="7" spans="2:23">
      <c r="B7" s="511"/>
      <c r="C7" s="518"/>
      <c r="D7" s="80">
        <f t="shared" si="5"/>
        <v>46079</v>
      </c>
      <c r="E7" s="80" t="s">
        <v>113</v>
      </c>
      <c r="F7" s="87">
        <v>463.6233114830336</v>
      </c>
      <c r="G7" s="529"/>
      <c r="H7" s="529"/>
      <c r="I7" s="154">
        <f t="shared" si="6"/>
        <v>0.93171887355915106</v>
      </c>
      <c r="J7" s="516"/>
      <c r="K7" s="528"/>
      <c r="L7" s="162">
        <v>2.2997823887873229E-3</v>
      </c>
      <c r="M7" s="530"/>
      <c r="N7" s="530"/>
      <c r="O7" s="84">
        <v>5.0498787530576118E-3</v>
      </c>
      <c r="P7" s="528"/>
      <c r="Q7" s="528"/>
      <c r="R7" s="154">
        <v>0.9</v>
      </c>
      <c r="S7" s="516"/>
      <c r="T7" s="528"/>
      <c r="U7" s="154">
        <f t="shared" ref="U7:U11" si="7">9/52*100%</f>
        <v>0.17307692307692307</v>
      </c>
      <c r="V7" s="516"/>
      <c r="W7" s="528"/>
    </row>
    <row r="8" spans="2:23">
      <c r="B8" s="511"/>
      <c r="C8" s="518"/>
      <c r="D8" s="80">
        <f t="shared" si="5"/>
        <v>46080</v>
      </c>
      <c r="E8" s="80" t="s">
        <v>114</v>
      </c>
      <c r="F8" s="87">
        <v>486.84866489480203</v>
      </c>
      <c r="G8" s="529"/>
      <c r="H8" s="529"/>
      <c r="I8" s="154">
        <f t="shared" si="6"/>
        <v>0.97839361916157963</v>
      </c>
      <c r="J8" s="516"/>
      <c r="K8" s="528"/>
      <c r="L8" s="162">
        <v>2.29803500396058E-3</v>
      </c>
      <c r="M8" s="530"/>
      <c r="N8" s="530"/>
      <c r="O8" s="84">
        <v>5.0264344664325998E-3</v>
      </c>
      <c r="P8" s="528"/>
      <c r="Q8" s="528"/>
      <c r="R8" s="154">
        <v>0.9</v>
      </c>
      <c r="S8" s="516"/>
      <c r="T8" s="528"/>
      <c r="U8" s="154">
        <f t="shared" si="7"/>
        <v>0.17307692307692307</v>
      </c>
      <c r="V8" s="516"/>
      <c r="W8" s="528"/>
    </row>
    <row r="9" spans="2:23">
      <c r="B9" s="511"/>
      <c r="C9" s="518"/>
      <c r="D9" s="80">
        <f t="shared" si="5"/>
        <v>46081</v>
      </c>
      <c r="E9" s="80" t="s">
        <v>115</v>
      </c>
      <c r="F9" s="87">
        <v>489.05638532781512</v>
      </c>
      <c r="G9" s="529"/>
      <c r="H9" s="529"/>
      <c r="I9" s="154">
        <f t="shared" si="6"/>
        <v>0.98283035636618787</v>
      </c>
      <c r="J9" s="516"/>
      <c r="K9" s="528"/>
      <c r="L9" s="162">
        <v>2.3042698351662407E-3</v>
      </c>
      <c r="M9" s="530"/>
      <c r="N9" s="530"/>
      <c r="O9" s="84">
        <v>5.0678557649869093E-3</v>
      </c>
      <c r="P9" s="528"/>
      <c r="Q9" s="528"/>
      <c r="R9" s="154">
        <v>0.9</v>
      </c>
      <c r="S9" s="516"/>
      <c r="T9" s="528"/>
      <c r="U9" s="154">
        <f t="shared" si="7"/>
        <v>0.17307692307692307</v>
      </c>
      <c r="V9" s="516"/>
      <c r="W9" s="528"/>
    </row>
    <row r="10" spans="2:23">
      <c r="B10" s="511"/>
      <c r="C10" s="531" t="s">
        <v>112</v>
      </c>
      <c r="D10" s="80">
        <f t="shared" si="5"/>
        <v>46082</v>
      </c>
      <c r="E10" s="80" t="s">
        <v>116</v>
      </c>
      <c r="F10" s="87">
        <v>467.10924719659278</v>
      </c>
      <c r="G10" s="529"/>
      <c r="H10" s="529">
        <f>AVERAGEIF(F10:F40,"&lt;&gt;0")</f>
        <v>409.82815360439037</v>
      </c>
      <c r="I10" s="154">
        <f t="shared" si="6"/>
        <v>0.93872437137578935</v>
      </c>
      <c r="J10" s="516"/>
      <c r="K10" s="528">
        <f>AVERAGEIF(I10:I40,"&lt;&gt;0")</f>
        <v>0.82360963344933713</v>
      </c>
      <c r="L10" s="162">
        <v>2.0801357761399642E-3</v>
      </c>
      <c r="M10" s="530"/>
      <c r="N10" s="530">
        <f>AVERAGEIF(L10:L40,"&lt;&gt;0")</f>
        <v>2.0218797278943137E-3</v>
      </c>
      <c r="O10" s="84">
        <v>5.1182745428167108E-3</v>
      </c>
      <c r="P10" s="528"/>
      <c r="Q10" s="528">
        <f>AVERAGEIF(O10:O40,"&lt;&gt;0")</f>
        <v>4.8669348978313889E-3</v>
      </c>
      <c r="R10" s="154">
        <v>0.9</v>
      </c>
      <c r="S10" s="516"/>
      <c r="T10" s="528">
        <f>AVERAGEIF(R10:R40,"&lt;&gt;0")</f>
        <v>0.89999999999999947</v>
      </c>
      <c r="U10" s="154">
        <f t="shared" si="7"/>
        <v>0.17307692307692307</v>
      </c>
      <c r="V10" s="516"/>
      <c r="W10" s="528">
        <f>AVERAGEIF(U10:U40,"&lt;&gt;0")</f>
        <v>0.21960297766749381</v>
      </c>
    </row>
    <row r="11" spans="2:23">
      <c r="B11" s="511"/>
      <c r="C11" s="512"/>
      <c r="D11" s="80">
        <f t="shared" si="5"/>
        <v>46083</v>
      </c>
      <c r="E11" s="80" t="s">
        <v>117</v>
      </c>
      <c r="F11" s="87">
        <v>445.11992800109806</v>
      </c>
      <c r="G11" s="529"/>
      <c r="H11" s="529"/>
      <c r="I11" s="154">
        <f t="shared" si="6"/>
        <v>0.8945336173655507</v>
      </c>
      <c r="J11" s="516"/>
      <c r="K11" s="528"/>
      <c r="L11" s="162">
        <v>2.090289040726803E-3</v>
      </c>
      <c r="M11" s="530"/>
      <c r="N11" s="530"/>
      <c r="O11" s="84">
        <v>5.13361116735219E-3</v>
      </c>
      <c r="P11" s="528"/>
      <c r="Q11" s="528"/>
      <c r="R11" s="154">
        <v>0.9</v>
      </c>
      <c r="S11" s="516"/>
      <c r="T11" s="528"/>
      <c r="U11" s="154">
        <f t="shared" si="7"/>
        <v>0.17307692307692307</v>
      </c>
      <c r="V11" s="516"/>
      <c r="W11" s="528"/>
    </row>
    <row r="12" spans="2:23">
      <c r="B12" s="511">
        <f t="shared" ref="B12" si="8">B5+7</f>
        <v>46092</v>
      </c>
      <c r="C12" s="512"/>
      <c r="D12" s="80">
        <f t="shared" si="5"/>
        <v>46084</v>
      </c>
      <c r="E12" s="80" t="s">
        <v>118</v>
      </c>
      <c r="F12" s="87">
        <v>401.96085807216724</v>
      </c>
      <c r="G12" s="529">
        <f t="shared" ref="G12" si="9">AVERAGE(F12:F18)</f>
        <v>413.80533027826323</v>
      </c>
      <c r="H12" s="529"/>
      <c r="I12" s="154">
        <f>F12/$C$1</f>
        <v>0.80779915207429109</v>
      </c>
      <c r="J12" s="516">
        <f t="shared" ref="J12" si="10">AVERAGE(I12:I18)</f>
        <v>0.83160235184538422</v>
      </c>
      <c r="K12" s="528"/>
      <c r="L12" s="162">
        <v>2.0397947704205296E-3</v>
      </c>
      <c r="M12" s="530">
        <f t="shared" ref="M12" si="11">AVERAGE(L12:L18)</f>
        <v>2.0348074918875199E-3</v>
      </c>
      <c r="N12" s="530"/>
      <c r="O12" s="84">
        <v>5.0565527130545847E-3</v>
      </c>
      <c r="P12" s="516">
        <f t="shared" ref="P12" si="12">AVERAGE(O12:O18)</f>
        <v>5.0385612013626093E-3</v>
      </c>
      <c r="Q12" s="528"/>
      <c r="R12" s="154">
        <v>0.9</v>
      </c>
      <c r="S12" s="516">
        <f t="shared" ref="S12" si="13">AVERAGE(R12:R18)</f>
        <v>0.90000000000000013</v>
      </c>
      <c r="T12" s="528"/>
      <c r="U12" s="154">
        <f>10/52*100%</f>
        <v>0.19230769230769232</v>
      </c>
      <c r="V12" s="516">
        <f t="shared" ref="V12" si="14">AVERAGE(U12:U18)</f>
        <v>0.19230769230769232</v>
      </c>
      <c r="W12" s="528"/>
    </row>
    <row r="13" spans="2:23">
      <c r="B13" s="511"/>
      <c r="C13" s="512"/>
      <c r="D13" s="80">
        <f t="shared" si="5"/>
        <v>46085</v>
      </c>
      <c r="E13" s="80" t="s">
        <v>112</v>
      </c>
      <c r="F13" s="87">
        <v>422.79756758347418</v>
      </c>
      <c r="G13" s="529"/>
      <c r="H13" s="529"/>
      <c r="I13" s="154">
        <f t="shared" ref="I13:I18" si="15">F13/$C$1</f>
        <v>0.84967356829476315</v>
      </c>
      <c r="J13" s="516"/>
      <c r="K13" s="528"/>
      <c r="L13" s="162">
        <v>2.0279246661525476E-3</v>
      </c>
      <c r="M13" s="530"/>
      <c r="N13" s="530"/>
      <c r="O13" s="84">
        <v>5.0497071474563766E-3</v>
      </c>
      <c r="P13" s="516"/>
      <c r="Q13" s="528"/>
      <c r="R13" s="154">
        <v>0.9</v>
      </c>
      <c r="S13" s="516"/>
      <c r="T13" s="528"/>
      <c r="U13" s="154">
        <f t="shared" ref="U13:U18" si="16">10/52*100%</f>
        <v>0.19230769230769232</v>
      </c>
      <c r="V13" s="516"/>
      <c r="W13" s="528"/>
    </row>
    <row r="14" spans="2:23">
      <c r="B14" s="511"/>
      <c r="C14" s="512"/>
      <c r="D14" s="80">
        <f t="shared" si="5"/>
        <v>46086</v>
      </c>
      <c r="E14" s="80" t="s">
        <v>113</v>
      </c>
      <c r="F14" s="87">
        <v>422.77990495896722</v>
      </c>
      <c r="G14" s="529"/>
      <c r="H14" s="529"/>
      <c r="I14" s="154">
        <f t="shared" si="15"/>
        <v>0.84963807266673474</v>
      </c>
      <c r="J14" s="516"/>
      <c r="K14" s="528"/>
      <c r="L14" s="162">
        <v>2.0499699639946441E-3</v>
      </c>
      <c r="M14" s="530"/>
      <c r="N14" s="530"/>
      <c r="O14" s="84">
        <v>5.0196275384109508E-3</v>
      </c>
      <c r="P14" s="516"/>
      <c r="Q14" s="528"/>
      <c r="R14" s="154">
        <v>0.9</v>
      </c>
      <c r="S14" s="516"/>
      <c r="T14" s="528"/>
      <c r="U14" s="154">
        <f t="shared" si="16"/>
        <v>0.19230769230769232</v>
      </c>
      <c r="V14" s="516"/>
      <c r="W14" s="528"/>
    </row>
    <row r="15" spans="2:23">
      <c r="B15" s="511"/>
      <c r="C15" s="512"/>
      <c r="D15" s="80">
        <f t="shared" si="5"/>
        <v>46087</v>
      </c>
      <c r="E15" s="80" t="s">
        <v>114</v>
      </c>
      <c r="F15" s="87">
        <v>423.29065402436635</v>
      </c>
      <c r="G15" s="529"/>
      <c r="H15" s="529"/>
      <c r="I15" s="154">
        <f t="shared" si="15"/>
        <v>0.85066449763739216</v>
      </c>
      <c r="J15" s="516"/>
      <c r="K15" s="528"/>
      <c r="L15" s="162">
        <v>2.029787588896242E-3</v>
      </c>
      <c r="M15" s="530"/>
      <c r="N15" s="530"/>
      <c r="O15" s="84">
        <v>5.0801225002144986E-3</v>
      </c>
      <c r="P15" s="516"/>
      <c r="Q15" s="528"/>
      <c r="R15" s="154">
        <v>0.9</v>
      </c>
      <c r="S15" s="516"/>
      <c r="T15" s="528"/>
      <c r="U15" s="154">
        <f t="shared" si="16"/>
        <v>0.19230769230769232</v>
      </c>
      <c r="V15" s="516"/>
      <c r="W15" s="528"/>
    </row>
    <row r="16" spans="2:23">
      <c r="B16" s="511"/>
      <c r="C16" s="512"/>
      <c r="D16" s="80">
        <f t="shared" si="5"/>
        <v>46088</v>
      </c>
      <c r="E16" s="80" t="s">
        <v>115</v>
      </c>
      <c r="F16" s="87">
        <v>424.20122417620701</v>
      </c>
      <c r="G16" s="529"/>
      <c r="H16" s="529"/>
      <c r="I16" s="154">
        <f t="shared" si="15"/>
        <v>0.85249442157597866</v>
      </c>
      <c r="J16" s="516"/>
      <c r="K16" s="528"/>
      <c r="L16" s="162">
        <v>2.0559927936077129E-3</v>
      </c>
      <c r="M16" s="530"/>
      <c r="N16" s="530"/>
      <c r="O16" s="84">
        <v>5.0015599506528308E-3</v>
      </c>
      <c r="P16" s="516"/>
      <c r="Q16" s="528"/>
      <c r="R16" s="154">
        <v>0.9</v>
      </c>
      <c r="S16" s="516"/>
      <c r="T16" s="528"/>
      <c r="U16" s="154">
        <f t="shared" si="16"/>
        <v>0.19230769230769232</v>
      </c>
      <c r="V16" s="516"/>
      <c r="W16" s="528"/>
    </row>
    <row r="17" spans="2:23">
      <c r="B17" s="511"/>
      <c r="C17" s="512"/>
      <c r="D17" s="80">
        <f t="shared" si="5"/>
        <v>46089</v>
      </c>
      <c r="E17" s="80" t="s">
        <v>116</v>
      </c>
      <c r="F17" s="87">
        <v>404.74220047303766</v>
      </c>
      <c r="G17" s="529"/>
      <c r="H17" s="529"/>
      <c r="I17" s="154">
        <f t="shared" si="15"/>
        <v>0.81338866654549369</v>
      </c>
      <c r="J17" s="516"/>
      <c r="K17" s="528"/>
      <c r="L17" s="162">
        <v>2.0164628283239078E-3</v>
      </c>
      <c r="M17" s="530"/>
      <c r="N17" s="530"/>
      <c r="O17" s="84">
        <v>5.0375200261034312E-3</v>
      </c>
      <c r="P17" s="516"/>
      <c r="Q17" s="528"/>
      <c r="R17" s="154">
        <v>0.9</v>
      </c>
      <c r="S17" s="516"/>
      <c r="T17" s="528"/>
      <c r="U17" s="154">
        <f t="shared" si="16"/>
        <v>0.19230769230769232</v>
      </c>
      <c r="V17" s="516"/>
      <c r="W17" s="528"/>
    </row>
    <row r="18" spans="2:23">
      <c r="B18" s="511"/>
      <c r="C18" s="512"/>
      <c r="D18" s="80">
        <f t="shared" si="5"/>
        <v>46090</v>
      </c>
      <c r="E18" s="80" t="s">
        <v>117</v>
      </c>
      <c r="F18" s="87">
        <v>396.86490265962254</v>
      </c>
      <c r="G18" s="529"/>
      <c r="H18" s="529"/>
      <c r="I18" s="154">
        <f t="shared" si="15"/>
        <v>0.79755808412303564</v>
      </c>
      <c r="J18" s="516"/>
      <c r="K18" s="528"/>
      <c r="L18" s="162">
        <v>2.0237198318170551E-3</v>
      </c>
      <c r="M18" s="530"/>
      <c r="N18" s="530"/>
      <c r="O18" s="84">
        <v>5.0248385336455923E-3</v>
      </c>
      <c r="P18" s="516"/>
      <c r="Q18" s="528"/>
      <c r="R18" s="154">
        <v>0.9</v>
      </c>
      <c r="S18" s="516"/>
      <c r="T18" s="528"/>
      <c r="U18" s="154">
        <f t="shared" si="16"/>
        <v>0.19230769230769232</v>
      </c>
      <c r="V18" s="516"/>
      <c r="W18" s="528"/>
    </row>
    <row r="19" spans="2:23">
      <c r="B19" s="511">
        <f t="shared" ref="B19" si="17">B12+7</f>
        <v>46099</v>
      </c>
      <c r="C19" s="512"/>
      <c r="D19" s="80">
        <f t="shared" si="5"/>
        <v>46091</v>
      </c>
      <c r="E19" s="80" t="s">
        <v>118</v>
      </c>
      <c r="F19" s="87">
        <v>392.51459012987237</v>
      </c>
      <c r="G19" s="529">
        <f t="shared" ref="G19" si="18">AVERAGE(F19:F25)</f>
        <v>392.43176311714012</v>
      </c>
      <c r="H19" s="529"/>
      <c r="I19" s="154">
        <f>F19/$C$1</f>
        <v>0.78881549463398781</v>
      </c>
      <c r="J19" s="516">
        <f t="shared" ref="J19" si="19">AVERAGE(I19:I25)</f>
        <v>0.78864904163412397</v>
      </c>
      <c r="K19" s="528"/>
      <c r="L19" s="162">
        <v>2.0177079512840044E-3</v>
      </c>
      <c r="M19" s="530">
        <f t="shared" ref="M19" si="20">AVERAGE(L19:L25)</f>
        <v>2.0197510516285397E-3</v>
      </c>
      <c r="N19" s="530"/>
      <c r="O19" s="84">
        <v>5.0322367470205008E-3</v>
      </c>
      <c r="P19" s="516">
        <f t="shared" ref="P19" si="21">AVERAGE(O19:O25)</f>
        <v>5.008759660823388E-3</v>
      </c>
      <c r="Q19" s="528"/>
      <c r="R19" s="154">
        <v>0.9</v>
      </c>
      <c r="S19" s="516">
        <f t="shared" ref="S19" si="22">AVERAGE(R19:R25)</f>
        <v>0.90000000000000013</v>
      </c>
      <c r="T19" s="528"/>
      <c r="U19" s="154">
        <f t="shared" ref="U19:U25" si="23">11/52*100%</f>
        <v>0.21153846153846154</v>
      </c>
      <c r="V19" s="516">
        <f t="shared" ref="V19" si="24">AVERAGE(U19:U25)</f>
        <v>0.21153846153846151</v>
      </c>
      <c r="W19" s="528"/>
    </row>
    <row r="20" spans="2:23">
      <c r="B20" s="511"/>
      <c r="C20" s="512"/>
      <c r="D20" s="80">
        <f t="shared" si="5"/>
        <v>46092</v>
      </c>
      <c r="E20" s="80" t="s">
        <v>112</v>
      </c>
      <c r="F20" s="87">
        <v>391.54418280731323</v>
      </c>
      <c r="G20" s="529"/>
      <c r="H20" s="529"/>
      <c r="I20" s="154">
        <f t="shared" ref="I20:I25" si="25">F20/$C$1</f>
        <v>0.7868653191465298</v>
      </c>
      <c r="J20" s="516"/>
      <c r="K20" s="528"/>
      <c r="L20" s="162">
        <v>2.0163198568975559E-3</v>
      </c>
      <c r="M20" s="530"/>
      <c r="N20" s="530"/>
      <c r="O20" s="84">
        <v>5.0263543581683771E-3</v>
      </c>
      <c r="P20" s="516"/>
      <c r="Q20" s="528"/>
      <c r="R20" s="154">
        <v>0.9</v>
      </c>
      <c r="S20" s="516"/>
      <c r="T20" s="528"/>
      <c r="U20" s="154">
        <f t="shared" si="23"/>
        <v>0.21153846153846154</v>
      </c>
      <c r="V20" s="516"/>
      <c r="W20" s="528"/>
    </row>
    <row r="21" spans="2:23">
      <c r="B21" s="511"/>
      <c r="C21" s="512"/>
      <c r="D21" s="80">
        <f t="shared" si="5"/>
        <v>46093</v>
      </c>
      <c r="E21" s="80" t="s">
        <v>113</v>
      </c>
      <c r="F21" s="87">
        <v>391.47562424789862</v>
      </c>
      <c r="G21" s="529"/>
      <c r="H21" s="529"/>
      <c r="I21" s="154">
        <f t="shared" si="25"/>
        <v>0.78672754069111461</v>
      </c>
      <c r="J21" s="516"/>
      <c r="K21" s="528"/>
      <c r="L21" s="162">
        <v>2.028334701284521E-3</v>
      </c>
      <c r="M21" s="530"/>
      <c r="N21" s="530"/>
      <c r="O21" s="84">
        <v>5.0357554120923067E-3</v>
      </c>
      <c r="P21" s="516"/>
      <c r="Q21" s="528"/>
      <c r="R21" s="154">
        <v>0.9</v>
      </c>
      <c r="S21" s="516"/>
      <c r="T21" s="528"/>
      <c r="U21" s="154">
        <f t="shared" si="23"/>
        <v>0.21153846153846154</v>
      </c>
      <c r="V21" s="516"/>
      <c r="W21" s="528"/>
    </row>
    <row r="22" spans="2:23">
      <c r="B22" s="511"/>
      <c r="C22" s="512"/>
      <c r="D22" s="80">
        <f t="shared" si="5"/>
        <v>46094</v>
      </c>
      <c r="E22" s="80" t="s">
        <v>114</v>
      </c>
      <c r="F22" s="87">
        <v>395.13760757063915</v>
      </c>
      <c r="G22" s="529"/>
      <c r="H22" s="529"/>
      <c r="I22" s="154">
        <f t="shared" si="25"/>
        <v>0.7940868319345642</v>
      </c>
      <c r="J22" s="516"/>
      <c r="K22" s="528"/>
      <c r="L22" s="162">
        <v>2.0163307254672728E-3</v>
      </c>
      <c r="M22" s="530"/>
      <c r="N22" s="530"/>
      <c r="O22" s="84">
        <v>5.3638097981776886E-3</v>
      </c>
      <c r="P22" s="516"/>
      <c r="Q22" s="528"/>
      <c r="R22" s="154">
        <v>0.9</v>
      </c>
      <c r="S22" s="516"/>
      <c r="T22" s="528"/>
      <c r="U22" s="154">
        <f t="shared" si="23"/>
        <v>0.21153846153846154</v>
      </c>
      <c r="V22" s="516"/>
      <c r="W22" s="528"/>
    </row>
    <row r="23" spans="2:23">
      <c r="B23" s="511"/>
      <c r="C23" s="512"/>
      <c r="D23" s="80">
        <f t="shared" si="5"/>
        <v>46095</v>
      </c>
      <c r="E23" s="80" t="s">
        <v>115</v>
      </c>
      <c r="F23" s="87">
        <v>391.54923519262633</v>
      </c>
      <c r="G23" s="529"/>
      <c r="H23" s="529"/>
      <c r="I23" s="154">
        <f t="shared" si="25"/>
        <v>0.78687547265399183</v>
      </c>
      <c r="J23" s="516"/>
      <c r="K23" s="528"/>
      <c r="L23" s="162">
        <v>2.0344156140444367E-3</v>
      </c>
      <c r="M23" s="530"/>
      <c r="N23" s="530"/>
      <c r="O23" s="84">
        <v>5.3782839770567777E-3</v>
      </c>
      <c r="P23" s="516"/>
      <c r="Q23" s="528"/>
      <c r="R23" s="154">
        <v>0.9</v>
      </c>
      <c r="S23" s="516"/>
      <c r="T23" s="528"/>
      <c r="U23" s="154">
        <f t="shared" si="23"/>
        <v>0.21153846153846154</v>
      </c>
      <c r="V23" s="516"/>
      <c r="W23" s="528"/>
    </row>
    <row r="24" spans="2:23">
      <c r="B24" s="511"/>
      <c r="C24" s="512"/>
      <c r="D24" s="80">
        <f t="shared" si="5"/>
        <v>46096</v>
      </c>
      <c r="E24" s="80" t="s">
        <v>116</v>
      </c>
      <c r="F24" s="87">
        <v>392.71577510336158</v>
      </c>
      <c r="G24" s="529"/>
      <c r="H24" s="529"/>
      <c r="I24" s="154">
        <f t="shared" si="25"/>
        <v>0.78921980527202884</v>
      </c>
      <c r="J24" s="516"/>
      <c r="K24" s="528"/>
      <c r="L24" s="162">
        <v>2.0156149148303723E-3</v>
      </c>
      <c r="M24" s="530"/>
      <c r="N24" s="530"/>
      <c r="O24" s="84">
        <v>4.6699915639995451E-3</v>
      </c>
      <c r="P24" s="516"/>
      <c r="Q24" s="528"/>
      <c r="R24" s="154">
        <v>0.9</v>
      </c>
      <c r="S24" s="516"/>
      <c r="T24" s="528"/>
      <c r="U24" s="154">
        <f t="shared" si="23"/>
        <v>0.21153846153846154</v>
      </c>
      <c r="V24" s="516"/>
      <c r="W24" s="528"/>
    </row>
    <row r="25" spans="2:23">
      <c r="B25" s="511"/>
      <c r="C25" s="512"/>
      <c r="D25" s="80">
        <f t="shared" si="5"/>
        <v>46097</v>
      </c>
      <c r="E25" s="80" t="s">
        <v>117</v>
      </c>
      <c r="F25" s="87">
        <v>392.08532676826917</v>
      </c>
      <c r="G25" s="529"/>
      <c r="H25" s="529"/>
      <c r="I25" s="154">
        <f t="shared" si="25"/>
        <v>0.78795282710665027</v>
      </c>
      <c r="J25" s="516"/>
      <c r="K25" s="528"/>
      <c r="L25" s="162">
        <v>2.0095335975916155E-3</v>
      </c>
      <c r="M25" s="530"/>
      <c r="N25" s="530"/>
      <c r="O25" s="84">
        <v>4.554885769248518E-3</v>
      </c>
      <c r="P25" s="516"/>
      <c r="Q25" s="528"/>
      <c r="R25" s="154">
        <v>0.9</v>
      </c>
      <c r="S25" s="516"/>
      <c r="T25" s="528"/>
      <c r="U25" s="154">
        <f t="shared" si="23"/>
        <v>0.21153846153846154</v>
      </c>
      <c r="V25" s="516"/>
      <c r="W25" s="528"/>
    </row>
    <row r="26" spans="2:23">
      <c r="B26" s="511">
        <f t="shared" ref="B26" si="26">B19+7</f>
        <v>46106</v>
      </c>
      <c r="C26" s="512"/>
      <c r="D26" s="80">
        <f t="shared" si="5"/>
        <v>46098</v>
      </c>
      <c r="E26" s="80" t="s">
        <v>118</v>
      </c>
      <c r="F26" s="87">
        <v>400.20531068700939</v>
      </c>
      <c r="G26" s="529">
        <f t="shared" ref="G26" si="27">AVERAGE(F26:F32)</f>
        <v>402.80032735256106</v>
      </c>
      <c r="H26" s="529"/>
      <c r="I26" s="154">
        <f>F26/$C$1</f>
        <v>0.8042711227632825</v>
      </c>
      <c r="J26" s="516">
        <f t="shared" ref="J26" si="28">AVERAGE(I26:I32)</f>
        <v>0.80948618840948772</v>
      </c>
      <c r="K26" s="528"/>
      <c r="L26" s="162">
        <v>2.0115592466759423E-3</v>
      </c>
      <c r="M26" s="530">
        <f t="shared" ref="M26" si="29">AVERAGE(L26:L32)</f>
        <v>2.0100958235169221E-3</v>
      </c>
      <c r="N26" s="530"/>
      <c r="O26" s="84">
        <v>5.0103059988677295E-3</v>
      </c>
      <c r="P26" s="516">
        <f t="shared" ref="P26" si="30">AVERAGE(O26:O32)</f>
        <v>4.8745926575252205E-3</v>
      </c>
      <c r="Q26" s="528"/>
      <c r="R26" s="154">
        <v>0.9</v>
      </c>
      <c r="S26" s="516">
        <f t="shared" ref="S26" si="31">AVERAGE(R26:R32)</f>
        <v>0.90000000000000013</v>
      </c>
      <c r="T26" s="528"/>
      <c r="U26" s="154">
        <f>12/52*100%</f>
        <v>0.23076923076923078</v>
      </c>
      <c r="V26" s="516">
        <f t="shared" ref="V26" si="32">AVERAGE(U26:U32)</f>
        <v>0.23076923076923081</v>
      </c>
      <c r="W26" s="528"/>
    </row>
    <row r="27" spans="2:23">
      <c r="B27" s="511"/>
      <c r="C27" s="512"/>
      <c r="D27" s="80">
        <f t="shared" si="5"/>
        <v>46099</v>
      </c>
      <c r="E27" s="80" t="s">
        <v>112</v>
      </c>
      <c r="F27" s="87">
        <v>400.32305895273396</v>
      </c>
      <c r="G27" s="529"/>
      <c r="H27" s="529"/>
      <c r="I27" s="154">
        <f t="shared" ref="I27:I32" si="33">F27/$C$1</f>
        <v>0.80450775513009232</v>
      </c>
      <c r="J27" s="516"/>
      <c r="K27" s="528"/>
      <c r="L27" s="162">
        <v>2.00841884608923E-3</v>
      </c>
      <c r="M27" s="530"/>
      <c r="N27" s="530"/>
      <c r="O27" s="84">
        <v>5.0035344391281301E-3</v>
      </c>
      <c r="P27" s="516"/>
      <c r="Q27" s="528"/>
      <c r="R27" s="154">
        <v>0.9</v>
      </c>
      <c r="S27" s="516"/>
      <c r="T27" s="528"/>
      <c r="U27" s="154">
        <f t="shared" ref="U27:U32" si="34">12/52*100%</f>
        <v>0.23076923076923078</v>
      </c>
      <c r="V27" s="516"/>
      <c r="W27" s="528"/>
    </row>
    <row r="28" spans="2:23">
      <c r="B28" s="511"/>
      <c r="C28" s="512"/>
      <c r="D28" s="80">
        <f t="shared" si="5"/>
        <v>46100</v>
      </c>
      <c r="E28" s="80" t="s">
        <v>113</v>
      </c>
      <c r="F28" s="87">
        <v>399.38335469443189</v>
      </c>
      <c r="G28" s="529"/>
      <c r="H28" s="529"/>
      <c r="I28" s="154">
        <f t="shared" si="33"/>
        <v>0.80261928194218624</v>
      </c>
      <c r="J28" s="516"/>
      <c r="K28" s="528"/>
      <c r="L28" s="162">
        <v>2.0024370910664514E-3</v>
      </c>
      <c r="M28" s="530"/>
      <c r="N28" s="530"/>
      <c r="O28" s="84">
        <v>4.8816166587943889E-3</v>
      </c>
      <c r="P28" s="516"/>
      <c r="Q28" s="528"/>
      <c r="R28" s="154">
        <v>0.9</v>
      </c>
      <c r="S28" s="516"/>
      <c r="T28" s="528"/>
      <c r="U28" s="154">
        <f t="shared" si="34"/>
        <v>0.23076923076923078</v>
      </c>
      <c r="V28" s="516"/>
      <c r="W28" s="528"/>
    </row>
    <row r="29" spans="2:23">
      <c r="B29" s="511"/>
      <c r="C29" s="512"/>
      <c r="D29" s="80">
        <f t="shared" si="5"/>
        <v>46101</v>
      </c>
      <c r="E29" s="80" t="s">
        <v>114</v>
      </c>
      <c r="F29" s="87">
        <v>401.40399530460746</v>
      </c>
      <c r="G29" s="529"/>
      <c r="H29" s="529"/>
      <c r="I29" s="154">
        <f t="shared" si="33"/>
        <v>0.80668005487260341</v>
      </c>
      <c r="J29" s="516"/>
      <c r="K29" s="528"/>
      <c r="L29" s="162">
        <v>2.0056843123387501E-3</v>
      </c>
      <c r="M29" s="530"/>
      <c r="N29" s="530"/>
      <c r="O29" s="84">
        <v>4.8724363482681938E-3</v>
      </c>
      <c r="P29" s="516"/>
      <c r="Q29" s="528"/>
      <c r="R29" s="154">
        <v>0.9</v>
      </c>
      <c r="S29" s="516"/>
      <c r="T29" s="528"/>
      <c r="U29" s="154">
        <f t="shared" si="34"/>
        <v>0.23076923076923078</v>
      </c>
      <c r="V29" s="516"/>
      <c r="W29" s="528"/>
    </row>
    <row r="30" spans="2:23">
      <c r="B30" s="511"/>
      <c r="C30" s="512"/>
      <c r="D30" s="80">
        <f t="shared" si="5"/>
        <v>46102</v>
      </c>
      <c r="E30" s="80" t="s">
        <v>115</v>
      </c>
      <c r="F30" s="87">
        <v>400.81668471280864</v>
      </c>
      <c r="G30" s="529"/>
      <c r="H30" s="529"/>
      <c r="I30" s="154">
        <f t="shared" si="33"/>
        <v>0.8054997683135221</v>
      </c>
      <c r="J30" s="516"/>
      <c r="K30" s="528"/>
      <c r="L30" s="162">
        <v>2.0097472592127213E-3</v>
      </c>
      <c r="M30" s="530"/>
      <c r="N30" s="530"/>
      <c r="O30" s="84">
        <v>4.8515454057696293E-3</v>
      </c>
      <c r="P30" s="516"/>
      <c r="Q30" s="528"/>
      <c r="R30" s="154">
        <v>0.9</v>
      </c>
      <c r="S30" s="516"/>
      <c r="T30" s="528"/>
      <c r="U30" s="154">
        <f t="shared" si="34"/>
        <v>0.23076923076923078</v>
      </c>
      <c r="V30" s="516"/>
      <c r="W30" s="528"/>
    </row>
    <row r="31" spans="2:23">
      <c r="B31" s="511"/>
      <c r="C31" s="512"/>
      <c r="D31" s="80">
        <f t="shared" si="5"/>
        <v>46103</v>
      </c>
      <c r="E31" s="80" t="s">
        <v>116</v>
      </c>
      <c r="F31" s="87">
        <v>400.96778542668596</v>
      </c>
      <c r="G31" s="529"/>
      <c r="H31" s="529"/>
      <c r="I31" s="154">
        <f t="shared" si="33"/>
        <v>0.80580342730443322</v>
      </c>
      <c r="J31" s="516"/>
      <c r="K31" s="528"/>
      <c r="L31" s="162">
        <v>2.0223339226945222E-3</v>
      </c>
      <c r="M31" s="530"/>
      <c r="N31" s="530"/>
      <c r="O31" s="84">
        <v>4.7545107545506598E-3</v>
      </c>
      <c r="P31" s="516"/>
      <c r="Q31" s="528"/>
      <c r="R31" s="154">
        <v>0.9</v>
      </c>
      <c r="S31" s="516"/>
      <c r="T31" s="528"/>
      <c r="U31" s="154">
        <f t="shared" si="34"/>
        <v>0.23076923076923078</v>
      </c>
      <c r="V31" s="516"/>
      <c r="W31" s="528"/>
    </row>
    <row r="32" spans="2:23">
      <c r="B32" s="511"/>
      <c r="C32" s="512"/>
      <c r="D32" s="80">
        <f t="shared" si="5"/>
        <v>46104</v>
      </c>
      <c r="E32" s="80" t="s">
        <v>117</v>
      </c>
      <c r="F32" s="87">
        <v>416.50210168965049</v>
      </c>
      <c r="G32" s="529"/>
      <c r="H32" s="529"/>
      <c r="I32" s="154">
        <f t="shared" si="33"/>
        <v>0.83702190854029435</v>
      </c>
      <c r="J32" s="516"/>
      <c r="K32" s="528"/>
      <c r="L32" s="162">
        <v>2.0104900865408376E-3</v>
      </c>
      <c r="M32" s="530"/>
      <c r="N32" s="530"/>
      <c r="O32" s="84">
        <v>4.7481989972978185E-3</v>
      </c>
      <c r="P32" s="516"/>
      <c r="Q32" s="528"/>
      <c r="R32" s="154">
        <v>0.9</v>
      </c>
      <c r="S32" s="516"/>
      <c r="T32" s="528"/>
      <c r="U32" s="154">
        <f t="shared" si="34"/>
        <v>0.23076923076923078</v>
      </c>
      <c r="V32" s="516"/>
      <c r="W32" s="528"/>
    </row>
    <row r="33" spans="2:23">
      <c r="B33" s="511">
        <f t="shared" ref="B33" si="35">B26+7</f>
        <v>46113</v>
      </c>
      <c r="C33" s="512"/>
      <c r="D33" s="80">
        <f t="shared" si="5"/>
        <v>46105</v>
      </c>
      <c r="E33" s="80" t="s">
        <v>118</v>
      </c>
      <c r="F33" s="87">
        <v>416.77437739166766</v>
      </c>
      <c r="G33" s="529">
        <f t="shared" ref="G33" si="36">AVERAGE(F33:F39)</f>
        <v>416.99684163107656</v>
      </c>
      <c r="H33" s="529"/>
      <c r="I33" s="154">
        <f>F33/$C$1</f>
        <v>0.83756908639804595</v>
      </c>
      <c r="J33" s="516">
        <f t="shared" ref="J33" si="37">AVERAGE(I33:I39)</f>
        <v>0.83801616083415709</v>
      </c>
      <c r="K33" s="528"/>
      <c r="L33" s="162">
        <v>2.0062219377937535E-3</v>
      </c>
      <c r="M33" s="530">
        <f t="shared" ref="M33" si="38">AVERAGE(L33:L39)</f>
        <v>2.0062482167812513E-3</v>
      </c>
      <c r="N33" s="530"/>
      <c r="O33" s="84">
        <v>4.682190569580965E-3</v>
      </c>
      <c r="P33" s="516">
        <f t="shared" ref="P33" si="39">AVERAGE(O33:O39)</f>
        <v>4.527447465509103E-3</v>
      </c>
      <c r="Q33" s="528"/>
      <c r="R33" s="154">
        <v>0.9</v>
      </c>
      <c r="S33" s="516">
        <f t="shared" ref="S33" si="40">AVERAGE(R33:R39)</f>
        <v>0.90000000000000013</v>
      </c>
      <c r="T33" s="528"/>
      <c r="U33" s="154">
        <f>13/52*100%</f>
        <v>0.25</v>
      </c>
      <c r="V33" s="516">
        <f t="shared" ref="V33" si="41">AVERAGE(U33:U39)</f>
        <v>0.25</v>
      </c>
      <c r="W33" s="528"/>
    </row>
    <row r="34" spans="2:23">
      <c r="B34" s="511"/>
      <c r="C34" s="512"/>
      <c r="D34" s="80">
        <f t="shared" si="5"/>
        <v>46106</v>
      </c>
      <c r="E34" s="80" t="s">
        <v>112</v>
      </c>
      <c r="F34" s="87">
        <v>416.76588883618302</v>
      </c>
      <c r="G34" s="529"/>
      <c r="H34" s="529"/>
      <c r="I34" s="154">
        <f t="shared" ref="I34:I39" si="42">F34/$C$1</f>
        <v>0.83755202740390478</v>
      </c>
      <c r="J34" s="516"/>
      <c r="K34" s="528"/>
      <c r="L34" s="162">
        <v>2.0039150507693755E-3</v>
      </c>
      <c r="M34" s="530"/>
      <c r="N34" s="530"/>
      <c r="O34" s="84">
        <v>4.6582940139186487E-3</v>
      </c>
      <c r="P34" s="516"/>
      <c r="Q34" s="528"/>
      <c r="R34" s="154">
        <v>0.9</v>
      </c>
      <c r="S34" s="516"/>
      <c r="T34" s="528"/>
      <c r="U34" s="154">
        <f t="shared" ref="U34:U39" si="43">13/52*100%</f>
        <v>0.25</v>
      </c>
      <c r="V34" s="516"/>
      <c r="W34" s="528"/>
    </row>
    <row r="35" spans="2:23">
      <c r="B35" s="511"/>
      <c r="C35" s="512"/>
      <c r="D35" s="80">
        <f t="shared" si="5"/>
        <v>46107</v>
      </c>
      <c r="E35" s="80" t="s">
        <v>113</v>
      </c>
      <c r="F35" s="87">
        <v>417.50916599749223</v>
      </c>
      <c r="G35" s="529"/>
      <c r="H35" s="529"/>
      <c r="I35" s="154">
        <f t="shared" si="42"/>
        <v>0.83904575160267725</v>
      </c>
      <c r="J35" s="516"/>
      <c r="K35" s="528"/>
      <c r="L35" s="162">
        <v>2.0063306633722696E-3</v>
      </c>
      <c r="M35" s="530"/>
      <c r="N35" s="530"/>
      <c r="O35" s="84">
        <v>4.4976332015783486E-3</v>
      </c>
      <c r="P35" s="516"/>
      <c r="Q35" s="528"/>
      <c r="R35" s="154">
        <v>0.9</v>
      </c>
      <c r="S35" s="516"/>
      <c r="T35" s="528"/>
      <c r="U35" s="154">
        <f t="shared" si="43"/>
        <v>0.25</v>
      </c>
      <c r="V35" s="516"/>
      <c r="W35" s="528"/>
    </row>
    <row r="36" spans="2:23">
      <c r="B36" s="511"/>
      <c r="C36" s="512"/>
      <c r="D36" s="80">
        <f t="shared" si="5"/>
        <v>46108</v>
      </c>
      <c r="E36" s="80" t="s">
        <v>114</v>
      </c>
      <c r="F36" s="87">
        <v>417.5316053697336</v>
      </c>
      <c r="G36" s="529"/>
      <c r="H36" s="529"/>
      <c r="I36" s="154">
        <f t="shared" si="42"/>
        <v>0.83909084680412693</v>
      </c>
      <c r="J36" s="516"/>
      <c r="K36" s="528"/>
      <c r="L36" s="162">
        <v>2.0097253690102498E-3</v>
      </c>
      <c r="M36" s="530"/>
      <c r="N36" s="530"/>
      <c r="O36" s="84">
        <v>4.5419019715097868E-3</v>
      </c>
      <c r="P36" s="516"/>
      <c r="Q36" s="528"/>
      <c r="R36" s="154">
        <v>0.9</v>
      </c>
      <c r="S36" s="516"/>
      <c r="T36" s="528"/>
      <c r="U36" s="154">
        <f t="shared" si="43"/>
        <v>0.25</v>
      </c>
      <c r="V36" s="516"/>
      <c r="W36" s="528"/>
    </row>
    <row r="37" spans="2:23">
      <c r="B37" s="511"/>
      <c r="C37" s="512"/>
      <c r="D37" s="80">
        <f t="shared" si="5"/>
        <v>46109</v>
      </c>
      <c r="E37" s="80" t="s">
        <v>115</v>
      </c>
      <c r="F37" s="87">
        <v>416.84179397509365</v>
      </c>
      <c r="G37" s="529"/>
      <c r="H37" s="529"/>
      <c r="I37" s="154">
        <f t="shared" si="42"/>
        <v>0.83770456988563835</v>
      </c>
      <c r="J37" s="516"/>
      <c r="K37" s="528"/>
      <c r="L37" s="162">
        <v>2.010129300401676E-3</v>
      </c>
      <c r="M37" s="530"/>
      <c r="N37" s="530"/>
      <c r="O37" s="84">
        <v>4.4162257763448844E-3</v>
      </c>
      <c r="P37" s="516"/>
      <c r="Q37" s="528"/>
      <c r="R37" s="154">
        <v>0.9</v>
      </c>
      <c r="S37" s="516"/>
      <c r="T37" s="528"/>
      <c r="U37" s="154">
        <f t="shared" si="43"/>
        <v>0.25</v>
      </c>
      <c r="V37" s="516"/>
      <c r="W37" s="528"/>
    </row>
    <row r="38" spans="2:23">
      <c r="B38" s="511"/>
      <c r="C38" s="512"/>
      <c r="D38" s="80">
        <f t="shared" si="5"/>
        <v>46110</v>
      </c>
      <c r="E38" s="80" t="s">
        <v>116</v>
      </c>
      <c r="F38" s="87">
        <v>416.92232255234853</v>
      </c>
      <c r="G38" s="529"/>
      <c r="H38" s="529"/>
      <c r="I38" s="154">
        <f t="shared" si="42"/>
        <v>0.83786640384314415</v>
      </c>
      <c r="J38" s="516"/>
      <c r="K38" s="528"/>
      <c r="L38" s="162">
        <v>2.0058749703588414E-3</v>
      </c>
      <c r="M38" s="530"/>
      <c r="N38" s="530"/>
      <c r="O38" s="84">
        <v>4.4501829330474601E-3</v>
      </c>
      <c r="P38" s="516"/>
      <c r="Q38" s="528"/>
      <c r="R38" s="154">
        <v>0.9</v>
      </c>
      <c r="S38" s="516"/>
      <c r="T38" s="528"/>
      <c r="U38" s="154">
        <f t="shared" si="43"/>
        <v>0.25</v>
      </c>
      <c r="V38" s="516"/>
      <c r="W38" s="528"/>
    </row>
    <row r="39" spans="2:23">
      <c r="B39" s="511"/>
      <c r="C39" s="512"/>
      <c r="D39" s="80">
        <f t="shared" si="5"/>
        <v>46111</v>
      </c>
      <c r="E39" s="80" t="s">
        <v>117</v>
      </c>
      <c r="F39" s="87">
        <v>416.63273729501708</v>
      </c>
      <c r="G39" s="529"/>
      <c r="H39" s="529"/>
      <c r="I39" s="154">
        <f t="shared" si="42"/>
        <v>0.83728443990156165</v>
      </c>
      <c r="J39" s="516"/>
      <c r="K39" s="528"/>
      <c r="L39" s="162">
        <v>2.0015402257625931E-3</v>
      </c>
      <c r="M39" s="530"/>
      <c r="N39" s="530"/>
      <c r="O39" s="84">
        <v>4.4457037925836338E-3</v>
      </c>
      <c r="P39" s="516"/>
      <c r="Q39" s="528"/>
      <c r="R39" s="154">
        <v>0.9</v>
      </c>
      <c r="S39" s="516"/>
      <c r="T39" s="528"/>
      <c r="U39" s="154">
        <f t="shared" si="43"/>
        <v>0.25</v>
      </c>
      <c r="V39" s="516"/>
      <c r="W39" s="528"/>
    </row>
    <row r="40" spans="2:23">
      <c r="B40" s="511">
        <f t="shared" ref="B40" si="44">B33+7</f>
        <v>46120</v>
      </c>
      <c r="C40" s="512"/>
      <c r="D40" s="80">
        <f t="shared" si="5"/>
        <v>46112</v>
      </c>
      <c r="E40" s="80" t="s">
        <v>118</v>
      </c>
      <c r="F40" s="87">
        <v>410.20374988511981</v>
      </c>
      <c r="G40" s="529">
        <f t="shared" ref="G40" si="45">AVERAGE(F40:F46)</f>
        <v>410.90558034951437</v>
      </c>
      <c r="H40" s="529"/>
      <c r="I40" s="154">
        <f>F40/$C$1</f>
        <v>0.82436444912604456</v>
      </c>
      <c r="J40" s="516">
        <f t="shared" ref="J40" si="46">AVERAGE(I40:I46)</f>
        <v>0.82577488012362221</v>
      </c>
      <c r="K40" s="528"/>
      <c r="L40" s="162">
        <v>2.0115286611573271E-3</v>
      </c>
      <c r="M40" s="530">
        <f t="shared" ref="M40" si="47">AVERAGE(L40:L46)</f>
        <v>2.0108330140377051E-3</v>
      </c>
      <c r="N40" s="530"/>
      <c r="O40" s="84">
        <v>4.4775692260619086E-3</v>
      </c>
      <c r="P40" s="516">
        <f t="shared" ref="P40" si="48">AVERAGE(O40:O46)</f>
        <v>4.4376523250051862E-3</v>
      </c>
      <c r="Q40" s="528"/>
      <c r="R40" s="154">
        <v>0.9</v>
      </c>
      <c r="S40" s="516">
        <f t="shared" ref="S40" si="49">AVERAGE(R40:R46)</f>
        <v>0.90000000000000013</v>
      </c>
      <c r="T40" s="528"/>
      <c r="U40" s="154">
        <f>14/52*100%</f>
        <v>0.26923076923076922</v>
      </c>
      <c r="V40" s="516">
        <f t="shared" ref="V40" si="50">AVERAGE(U40:U46)</f>
        <v>0.26923076923076922</v>
      </c>
      <c r="W40" s="528"/>
    </row>
    <row r="41" spans="2:23">
      <c r="B41" s="511"/>
      <c r="D41" s="80">
        <f t="shared" si="5"/>
        <v>46113</v>
      </c>
      <c r="E41" s="80" t="s">
        <v>112</v>
      </c>
      <c r="F41" s="87">
        <v>412.35390058150983</v>
      </c>
      <c r="G41" s="529"/>
      <c r="I41" s="154">
        <f t="shared" ref="I41:I46" si="51">F41/$C$1</f>
        <v>0.82868549152232684</v>
      </c>
      <c r="J41" s="516"/>
      <c r="K41" s="84"/>
      <c r="L41" s="162">
        <v>2.0102006149665804E-3</v>
      </c>
      <c r="M41" s="530"/>
      <c r="O41" s="84">
        <v>4.4516756007874792E-3</v>
      </c>
      <c r="P41" s="516"/>
      <c r="Q41" s="84"/>
      <c r="R41" s="154">
        <v>0.9</v>
      </c>
      <c r="S41" s="516"/>
      <c r="U41" s="154">
        <f t="shared" ref="U41:U46" si="52">14/52*100%</f>
        <v>0.26923076923076922</v>
      </c>
      <c r="V41" s="516"/>
    </row>
    <row r="42" spans="2:23">
      <c r="B42" s="511"/>
      <c r="D42" s="80">
        <f t="shared" si="5"/>
        <v>46114</v>
      </c>
      <c r="E42" s="80" t="s">
        <v>113</v>
      </c>
      <c r="F42" s="87">
        <v>413.1263650492188</v>
      </c>
      <c r="G42" s="529"/>
      <c r="I42" s="154">
        <f t="shared" si="51"/>
        <v>0.83023787188347831</v>
      </c>
      <c r="J42" s="516"/>
      <c r="K42" s="84"/>
      <c r="L42" s="162">
        <v>2.0157613013174359E-3</v>
      </c>
      <c r="M42" s="530"/>
      <c r="O42" s="84">
        <v>4.4335571880956166E-3</v>
      </c>
      <c r="P42" s="516"/>
      <c r="R42" s="154">
        <v>0.9</v>
      </c>
      <c r="S42" s="516"/>
      <c r="U42" s="154">
        <f t="shared" si="52"/>
        <v>0.26923076923076922</v>
      </c>
      <c r="V42" s="516"/>
    </row>
    <row r="43" spans="2:23">
      <c r="B43" s="511"/>
      <c r="D43" s="80">
        <f t="shared" si="5"/>
        <v>46115</v>
      </c>
      <c r="E43" s="80" t="s">
        <v>114</v>
      </c>
      <c r="F43" s="87">
        <v>413.20841431372912</v>
      </c>
      <c r="G43" s="529"/>
      <c r="I43" s="154">
        <f t="shared" si="51"/>
        <v>0.83040276188450379</v>
      </c>
      <c r="J43" s="516"/>
      <c r="K43" s="84"/>
      <c r="L43" s="162">
        <v>2.0102222147956096E-3</v>
      </c>
      <c r="M43" s="530"/>
      <c r="O43" s="84">
        <v>4.4111784085921609E-3</v>
      </c>
      <c r="P43" s="516"/>
      <c r="R43" s="154">
        <v>0.9</v>
      </c>
      <c r="S43" s="516"/>
      <c r="U43" s="154">
        <f t="shared" si="52"/>
        <v>0.26923076923076922</v>
      </c>
      <c r="V43" s="516"/>
    </row>
    <row r="44" spans="2:23">
      <c r="B44" s="511"/>
      <c r="D44" s="80">
        <f t="shared" si="5"/>
        <v>46116</v>
      </c>
      <c r="E44" s="80" t="s">
        <v>115</v>
      </c>
      <c r="F44" s="87">
        <v>410.99928332311958</v>
      </c>
      <c r="G44" s="529"/>
      <c r="I44" s="154">
        <f t="shared" si="51"/>
        <v>0.82596318995803775</v>
      </c>
      <c r="J44" s="516"/>
      <c r="L44" s="162">
        <v>2.0057929605071627E-3</v>
      </c>
      <c r="M44" s="530"/>
      <c r="O44" s="84">
        <v>4.4036966718618772E-3</v>
      </c>
      <c r="P44" s="516"/>
      <c r="R44" s="154">
        <v>0.9</v>
      </c>
      <c r="S44" s="516"/>
      <c r="U44" s="154">
        <f t="shared" si="52"/>
        <v>0.26923076923076922</v>
      </c>
      <c r="V44" s="516"/>
    </row>
    <row r="45" spans="2:23">
      <c r="B45" s="511"/>
      <c r="D45" s="80">
        <f t="shared" si="5"/>
        <v>46117</v>
      </c>
      <c r="E45" s="80" t="s">
        <v>116</v>
      </c>
      <c r="F45" s="87">
        <v>410.97079120142928</v>
      </c>
      <c r="G45" s="529"/>
      <c r="I45" s="154">
        <f t="shared" si="51"/>
        <v>0.82590593087103947</v>
      </c>
      <c r="J45" s="516"/>
      <c r="L45" s="162">
        <v>2.0082163868497338E-3</v>
      </c>
      <c r="M45" s="530"/>
      <c r="O45" s="84">
        <v>4.411943657611093E-3</v>
      </c>
      <c r="P45" s="516"/>
      <c r="R45" s="154">
        <v>0.9</v>
      </c>
      <c r="S45" s="516"/>
      <c r="U45" s="154">
        <f t="shared" si="52"/>
        <v>0.26923076923076922</v>
      </c>
      <c r="V45" s="516"/>
    </row>
    <row r="46" spans="2:23">
      <c r="B46" s="511"/>
      <c r="D46" s="80">
        <f t="shared" si="5"/>
        <v>46118</v>
      </c>
      <c r="E46" s="80" t="s">
        <v>117</v>
      </c>
      <c r="F46" s="87">
        <v>405.47655809247465</v>
      </c>
      <c r="G46" s="529"/>
      <c r="I46" s="154">
        <f t="shared" si="51"/>
        <v>0.81486446561992487</v>
      </c>
      <c r="J46" s="516"/>
      <c r="L46" s="162">
        <v>2.0141089586700849E-3</v>
      </c>
      <c r="M46" s="530"/>
      <c r="O46" s="84">
        <v>4.4739455220261697E-3</v>
      </c>
      <c r="P46" s="516"/>
      <c r="R46" s="154">
        <v>0.9</v>
      </c>
      <c r="S46" s="516"/>
      <c r="U46" s="154">
        <f t="shared" si="52"/>
        <v>0.26923076923076922</v>
      </c>
      <c r="V46" s="516"/>
    </row>
  </sheetData>
  <mergeCells count="66">
    <mergeCell ref="S33:S39"/>
    <mergeCell ref="V33:V39"/>
    <mergeCell ref="T5:T9"/>
    <mergeCell ref="Q5:Q9"/>
    <mergeCell ref="S19:S25"/>
    <mergeCell ref="V19:V25"/>
    <mergeCell ref="S26:S32"/>
    <mergeCell ref="V26:V32"/>
    <mergeCell ref="U3:W3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C5:C9"/>
    <mergeCell ref="H5:H9"/>
    <mergeCell ref="K5:K9"/>
    <mergeCell ref="N5:N9"/>
    <mergeCell ref="B19:B25"/>
    <mergeCell ref="G19:G25"/>
    <mergeCell ref="J19:J25"/>
    <mergeCell ref="M19:M25"/>
    <mergeCell ref="B5:B11"/>
    <mergeCell ref="G5:G11"/>
    <mergeCell ref="J5:J11"/>
    <mergeCell ref="M5:M11"/>
    <mergeCell ref="B12:B18"/>
    <mergeCell ref="G12:G18"/>
    <mergeCell ref="J12:J18"/>
    <mergeCell ref="M12:M18"/>
    <mergeCell ref="B40:B46"/>
    <mergeCell ref="G40:G46"/>
    <mergeCell ref="J40:J46"/>
    <mergeCell ref="M40:M46"/>
    <mergeCell ref="P40:P46"/>
    <mergeCell ref="C10:C40"/>
    <mergeCell ref="B33:B39"/>
    <mergeCell ref="G33:G39"/>
    <mergeCell ref="J33:J39"/>
    <mergeCell ref="M33:M39"/>
    <mergeCell ref="P33:P39"/>
    <mergeCell ref="P19:P25"/>
    <mergeCell ref="P5:P11"/>
    <mergeCell ref="B26:B32"/>
    <mergeCell ref="G26:G32"/>
    <mergeCell ref="J26:J32"/>
    <mergeCell ref="W10:W40"/>
    <mergeCell ref="S40:S46"/>
    <mergeCell ref="V40:V46"/>
    <mergeCell ref="H10:H40"/>
    <mergeCell ref="K10:K40"/>
    <mergeCell ref="N10:N40"/>
    <mergeCell ref="Q10:Q40"/>
    <mergeCell ref="T10:T40"/>
    <mergeCell ref="M26:M32"/>
    <mergeCell ref="P26:P32"/>
    <mergeCell ref="S12:S18"/>
    <mergeCell ref="V12:V18"/>
    <mergeCell ref="S5:S11"/>
    <mergeCell ref="V5:V11"/>
    <mergeCell ref="P12:P18"/>
    <mergeCell ref="W5:W9"/>
  </mergeCells>
  <phoneticPr fontId="16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N48"/>
  <sheetViews>
    <sheetView topLeftCell="A13" zoomScale="85" zoomScaleNormal="85" workbookViewId="0">
      <selection activeCell="G42" sqref="G42:G48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5"/>
    <col min="4" max="4" width="17" style="95" customWidth="1"/>
    <col min="5" max="5" width="8.54296875" style="77" customWidth="1"/>
    <col min="6" max="6" width="20.26953125" style="330" bestFit="1" customWidth="1"/>
    <col min="7" max="8" width="20.26953125" style="94" bestFit="1" customWidth="1"/>
    <col min="9" max="9" width="18.26953125" style="91" bestFit="1" customWidth="1"/>
    <col min="10" max="10" width="10.54296875" style="84" customWidth="1"/>
    <col min="11" max="11" width="18.26953125" style="91" bestFit="1" customWidth="1"/>
    <col min="12" max="12" width="10.54296875" style="84" customWidth="1"/>
    <col min="13" max="13" width="20.26953125" style="84" bestFit="1" customWidth="1"/>
    <col min="14" max="14" width="10.54296875" style="84" customWidth="1"/>
    <col min="15" max="15" width="18.26953125" style="91" bestFit="1" customWidth="1"/>
    <col min="16" max="16" width="10.54296875" style="84" customWidth="1"/>
    <col min="17" max="17" width="18.26953125" style="91" bestFit="1" customWidth="1"/>
    <col min="18" max="18" width="10.54296875" style="84" customWidth="1"/>
    <col min="19" max="19" width="18.26953125" style="91" bestFit="1" customWidth="1"/>
    <col min="20" max="20" width="10.54296875" style="84" customWidth="1"/>
    <col min="21" max="21" width="18.26953125" style="91" bestFit="1" customWidth="1"/>
    <col min="22" max="22" width="10.54296875" style="84" customWidth="1"/>
    <col min="23" max="23" width="17" style="91" bestFit="1" customWidth="1"/>
    <col min="24" max="24" width="10.54296875" style="84" customWidth="1"/>
    <col min="25" max="25" width="18.26953125" style="91" bestFit="1" customWidth="1"/>
    <col min="26" max="26" width="10.54296875" style="84" customWidth="1"/>
    <col min="27" max="27" width="18.26953125" style="91" bestFit="1" customWidth="1"/>
    <col min="28" max="28" width="10.54296875" style="84" customWidth="1"/>
    <col min="29" max="29" width="18.26953125" style="91" bestFit="1" customWidth="1"/>
    <col min="30" max="30" width="10.54296875" style="84" customWidth="1"/>
    <col min="31" max="31" width="20.26953125" style="91" bestFit="1" customWidth="1"/>
    <col min="32" max="32" width="10.54296875" style="84" customWidth="1"/>
    <col min="33" max="33" width="18.26953125" style="91" bestFit="1" customWidth="1"/>
    <col min="34" max="34" width="10.453125" style="84" customWidth="1"/>
    <col min="35" max="35" width="20.26953125" style="91" bestFit="1" customWidth="1"/>
    <col min="36" max="36" width="10.453125" style="84" customWidth="1"/>
    <col min="37" max="37" width="18.26953125" style="91" bestFit="1" customWidth="1"/>
    <col min="38" max="38" width="10.453125" style="84" customWidth="1"/>
    <col min="39" max="16384" width="8.81640625" style="75"/>
  </cols>
  <sheetData>
    <row r="2" spans="1:40" ht="38.15" customHeight="1">
      <c r="A2" s="74"/>
      <c r="B2" s="520" t="s">
        <v>324</v>
      </c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0"/>
      <c r="N2" s="520"/>
      <c r="O2" s="520"/>
      <c r="P2" s="520"/>
      <c r="Q2" s="520"/>
      <c r="R2" s="520"/>
      <c r="S2" s="520"/>
      <c r="T2" s="520"/>
      <c r="U2" s="520"/>
      <c r="V2" s="520"/>
      <c r="W2" s="520"/>
      <c r="X2" s="520"/>
      <c r="Y2" s="520"/>
      <c r="Z2" s="520"/>
      <c r="AA2" s="520"/>
      <c r="AB2" s="520"/>
      <c r="AC2" s="520"/>
      <c r="AD2" s="520"/>
      <c r="AE2" s="520"/>
      <c r="AF2" s="520"/>
      <c r="AG2" s="520"/>
      <c r="AH2" s="520"/>
      <c r="AI2" s="520"/>
      <c r="AJ2" s="520"/>
      <c r="AK2" s="520"/>
      <c r="AL2" s="520"/>
    </row>
    <row r="3" spans="1:40" ht="25.4" customHeight="1">
      <c r="B3" s="538" t="s">
        <v>152</v>
      </c>
      <c r="C3" s="539" t="s">
        <v>145</v>
      </c>
      <c r="D3" s="540" t="s">
        <v>105</v>
      </c>
      <c r="E3" s="540"/>
      <c r="F3" s="542" t="s">
        <v>136</v>
      </c>
      <c r="G3" s="542"/>
      <c r="H3" s="542"/>
      <c r="I3" s="543" t="s">
        <v>109</v>
      </c>
      <c r="J3" s="543"/>
      <c r="K3" s="543"/>
      <c r="L3" s="543"/>
      <c r="M3" s="543"/>
      <c r="N3" s="543"/>
      <c r="O3" s="543"/>
      <c r="P3" s="543"/>
      <c r="Q3" s="543"/>
      <c r="R3" s="543"/>
      <c r="S3" s="543"/>
      <c r="T3" s="543"/>
      <c r="U3" s="543"/>
      <c r="V3" s="543"/>
      <c r="W3" s="543"/>
      <c r="X3" s="543"/>
      <c r="Y3" s="543"/>
      <c r="Z3" s="543"/>
      <c r="AA3" s="543"/>
      <c r="AB3" s="543"/>
      <c r="AC3" s="543"/>
      <c r="AD3" s="543"/>
      <c r="AE3" s="543"/>
      <c r="AF3" s="543"/>
      <c r="AG3" s="543"/>
      <c r="AH3" s="543"/>
      <c r="AI3" s="543"/>
      <c r="AJ3" s="543"/>
      <c r="AK3" s="543"/>
      <c r="AL3" s="543"/>
    </row>
    <row r="4" spans="1:40" ht="25.4" customHeight="1">
      <c r="B4" s="538"/>
      <c r="C4" s="539"/>
      <c r="D4" s="540"/>
      <c r="E4" s="540"/>
      <c r="F4" s="542"/>
      <c r="G4" s="542"/>
      <c r="H4" s="542"/>
      <c r="I4" s="536" t="s">
        <v>146</v>
      </c>
      <c r="J4" s="536"/>
      <c r="K4" s="536"/>
      <c r="L4" s="536"/>
      <c r="M4" s="536"/>
      <c r="N4" s="536"/>
      <c r="O4" s="536" t="s">
        <v>147</v>
      </c>
      <c r="P4" s="536"/>
      <c r="Q4" s="536"/>
      <c r="R4" s="536"/>
      <c r="S4" s="536"/>
      <c r="T4" s="536"/>
      <c r="U4" s="536" t="s">
        <v>148</v>
      </c>
      <c r="V4" s="536"/>
      <c r="W4" s="536" t="s">
        <v>149</v>
      </c>
      <c r="X4" s="536"/>
      <c r="Y4" s="536" t="s">
        <v>140</v>
      </c>
      <c r="Z4" s="536"/>
      <c r="AA4" s="536"/>
      <c r="AB4" s="536"/>
      <c r="AC4" s="536"/>
      <c r="AD4" s="536"/>
      <c r="AE4" s="536" t="s">
        <v>138</v>
      </c>
      <c r="AF4" s="536"/>
      <c r="AG4" s="536" t="s">
        <v>150</v>
      </c>
      <c r="AH4" s="536"/>
      <c r="AI4" s="536" t="s">
        <v>151</v>
      </c>
      <c r="AJ4" s="536"/>
      <c r="AK4" s="536" t="s">
        <v>144</v>
      </c>
      <c r="AL4" s="536"/>
    </row>
    <row r="5" spans="1:40" ht="25.4" customHeight="1">
      <c r="B5" s="538"/>
      <c r="C5" s="539"/>
      <c r="D5" s="540"/>
      <c r="E5" s="540"/>
      <c r="F5" s="545" t="s">
        <v>116</v>
      </c>
      <c r="G5" s="537" t="s">
        <v>120</v>
      </c>
      <c r="H5" s="537" t="s">
        <v>121</v>
      </c>
      <c r="I5" s="536" t="s">
        <v>134</v>
      </c>
      <c r="J5" s="536"/>
      <c r="K5" s="536" t="s">
        <v>135</v>
      </c>
      <c r="L5" s="536"/>
      <c r="M5" s="544" t="s">
        <v>153</v>
      </c>
      <c r="N5" s="536"/>
      <c r="O5" s="536" t="s">
        <v>134</v>
      </c>
      <c r="P5" s="536"/>
      <c r="Q5" s="536" t="s">
        <v>135</v>
      </c>
      <c r="R5" s="536"/>
      <c r="S5" s="544" t="s">
        <v>153</v>
      </c>
      <c r="T5" s="536"/>
      <c r="U5" s="536" t="s">
        <v>134</v>
      </c>
      <c r="V5" s="536"/>
      <c r="W5" s="536" t="s">
        <v>134</v>
      </c>
      <c r="X5" s="536"/>
      <c r="Y5" s="536" t="s">
        <v>134</v>
      </c>
      <c r="Z5" s="536"/>
      <c r="AA5" s="536" t="s">
        <v>135</v>
      </c>
      <c r="AB5" s="536"/>
      <c r="AC5" s="544" t="s">
        <v>153</v>
      </c>
      <c r="AD5" s="536"/>
      <c r="AE5" s="536" t="s">
        <v>134</v>
      </c>
      <c r="AF5" s="536"/>
      <c r="AG5" s="536" t="s">
        <v>134</v>
      </c>
      <c r="AH5" s="536"/>
      <c r="AI5" s="536" t="s">
        <v>134</v>
      </c>
      <c r="AJ5" s="536"/>
      <c r="AK5" s="536" t="s">
        <v>134</v>
      </c>
      <c r="AL5" s="536"/>
    </row>
    <row r="6" spans="1:40" s="77" customFormat="1" ht="23.5" customHeight="1">
      <c r="B6" s="538"/>
      <c r="C6" s="539"/>
      <c r="D6" s="541"/>
      <c r="E6" s="541"/>
      <c r="F6" s="546"/>
      <c r="G6" s="537"/>
      <c r="H6" s="537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>
      <c r="B7" s="547">
        <f>D8+7</f>
        <v>46085</v>
      </c>
      <c r="C7" s="556"/>
      <c r="D7" s="171">
        <v>46077</v>
      </c>
      <c r="E7" s="171" t="s">
        <v>118</v>
      </c>
      <c r="F7" s="331">
        <f t="shared" ref="F7:F48" si="0">SUM(M7,S7,U7,W7,AC7,AE7,AG7,AI7,AK7)</f>
        <v>5238957.08</v>
      </c>
      <c r="G7" s="553">
        <f>SUM(F7:F13)</f>
        <v>32338420.109999999</v>
      </c>
      <c r="H7" s="551"/>
      <c r="I7" s="172">
        <v>815562.12999999989</v>
      </c>
      <c r="J7" s="173">
        <f t="shared" ref="J7:J48" si="1">I7/$F7</f>
        <v>0.15567261146563924</v>
      </c>
      <c r="K7" s="172">
        <v>962970.78</v>
      </c>
      <c r="L7" s="173">
        <f t="shared" ref="L7:L48" si="2">K7/$F7</f>
        <v>0.18380963334786474</v>
      </c>
      <c r="M7" s="172">
        <f t="shared" ref="M7:M48" si="3">I7+K7</f>
        <v>1778532.91</v>
      </c>
      <c r="N7" s="173">
        <f t="shared" ref="N7" si="4">M7/$F7</f>
        <v>0.33948224481350397</v>
      </c>
      <c r="O7" s="172">
        <v>220466.87</v>
      </c>
      <c r="P7" s="173">
        <f t="shared" ref="P7:P48" si="5">O7/$F7</f>
        <v>4.208220579657812E-2</v>
      </c>
      <c r="Q7" s="172">
        <v>178349.54</v>
      </c>
      <c r="R7" s="173">
        <f t="shared" ref="R7:R48" si="6">Q7/$F7</f>
        <v>3.4042947341725506E-2</v>
      </c>
      <c r="S7" s="172">
        <f t="shared" ref="S7:S48" si="7">O7+Q7</f>
        <v>398816.41000000003</v>
      </c>
      <c r="T7" s="173">
        <f t="shared" ref="T7" si="8">S7/$F7</f>
        <v>7.6125153138303633E-2</v>
      </c>
      <c r="U7" s="172">
        <v>185358.40999999997</v>
      </c>
      <c r="V7" s="173">
        <f t="shared" ref="V7" si="9">U7/$F7</f>
        <v>3.5380784222801838E-2</v>
      </c>
      <c r="W7" s="172">
        <v>233726.34000000003</v>
      </c>
      <c r="X7" s="173">
        <f t="shared" ref="X7:X48" si="10">W7/$F7</f>
        <v>4.461314273641654E-2</v>
      </c>
      <c r="Y7" s="172">
        <v>262050.32</v>
      </c>
      <c r="Z7" s="173">
        <f t="shared" ref="Z7:Z48" si="11">Y7/$F7</f>
        <v>5.0019558472885979E-2</v>
      </c>
      <c r="AA7" s="172">
        <v>622985.41</v>
      </c>
      <c r="AB7" s="173">
        <f t="shared" ref="AB7:AB48" si="12">AA7/$F7</f>
        <v>0.1189140129393845</v>
      </c>
      <c r="AC7" s="172">
        <f t="shared" ref="AC7:AC48" si="13">Y7+AA7</f>
        <v>885035.73</v>
      </c>
      <c r="AD7" s="173">
        <f t="shared" ref="AD7:AD48" si="14">AC7/$F7</f>
        <v>0.16893357141227047</v>
      </c>
      <c r="AE7" s="172">
        <v>1459250.84</v>
      </c>
      <c r="AF7" s="173">
        <f t="shared" ref="AF7:AF48" si="15">AE7/F7</f>
        <v>0.27853842238386883</v>
      </c>
      <c r="AG7" s="172">
        <v>0</v>
      </c>
      <c r="AH7" s="173">
        <f t="shared" ref="AH7:AH48" si="16">AG7/$F7</f>
        <v>0</v>
      </c>
      <c r="AI7" s="172">
        <v>147496.78000000003</v>
      </c>
      <c r="AJ7" s="173">
        <f t="shared" ref="AJ7:AJ48" si="17">AI7/$F7</f>
        <v>2.8153843932617221E-2</v>
      </c>
      <c r="AK7" s="172">
        <v>150739.65999999997</v>
      </c>
      <c r="AL7" s="173">
        <f t="shared" ref="AL7:AL48" si="18">AK7/$F7</f>
        <v>2.8772837360217497E-2</v>
      </c>
      <c r="AN7" s="72"/>
    </row>
    <row r="8" spans="1:40" s="73" customFormat="1" ht="14.25" customHeight="1">
      <c r="B8" s="548"/>
      <c r="C8" s="556"/>
      <c r="D8" s="171">
        <v>46078</v>
      </c>
      <c r="E8" s="171" t="s">
        <v>112</v>
      </c>
      <c r="F8" s="331">
        <f t="shared" si="0"/>
        <v>4692647.5</v>
      </c>
      <c r="G8" s="553"/>
      <c r="H8" s="551"/>
      <c r="I8" s="172">
        <v>799279.10000000021</v>
      </c>
      <c r="J8" s="173">
        <f t="shared" si="1"/>
        <v>0.1703258341906142</v>
      </c>
      <c r="K8" s="172">
        <v>843869.38</v>
      </c>
      <c r="L8" s="173">
        <f t="shared" si="2"/>
        <v>0.1798279926203705</v>
      </c>
      <c r="M8" s="172">
        <f t="shared" si="3"/>
        <v>1643148.4800000002</v>
      </c>
      <c r="N8" s="173">
        <f t="shared" ref="N8" si="19">M8/F8</f>
        <v>0.35015382681098467</v>
      </c>
      <c r="O8" s="172">
        <v>220683.47999999998</v>
      </c>
      <c r="P8" s="173">
        <f t="shared" si="5"/>
        <v>4.7027499934738329E-2</v>
      </c>
      <c r="Q8" s="172">
        <v>169504.31000000003</v>
      </c>
      <c r="R8" s="173">
        <f t="shared" si="6"/>
        <v>3.6121253514141013E-2</v>
      </c>
      <c r="S8" s="172">
        <f t="shared" si="7"/>
        <v>390187.79000000004</v>
      </c>
      <c r="T8" s="173">
        <f t="shared" ref="T8" si="20">S8/F8</f>
        <v>8.3148753448879342E-2</v>
      </c>
      <c r="U8" s="172">
        <v>148052.13999999998</v>
      </c>
      <c r="V8" s="173">
        <f t="shared" ref="V8" si="21">U8/F8</f>
        <v>3.1549810634615108E-2</v>
      </c>
      <c r="W8" s="172">
        <v>127954.87000000001</v>
      </c>
      <c r="X8" s="173">
        <f t="shared" si="10"/>
        <v>2.7267096026283671E-2</v>
      </c>
      <c r="Y8" s="172">
        <v>246268.26</v>
      </c>
      <c r="Z8" s="173">
        <f t="shared" si="11"/>
        <v>5.2479599202795442E-2</v>
      </c>
      <c r="AA8" s="172">
        <v>471199.58</v>
      </c>
      <c r="AB8" s="173">
        <f t="shared" si="12"/>
        <v>0.10041231096092344</v>
      </c>
      <c r="AC8" s="172">
        <f t="shared" si="13"/>
        <v>717467.84000000008</v>
      </c>
      <c r="AD8" s="173">
        <f t="shared" si="14"/>
        <v>0.15289191016371889</v>
      </c>
      <c r="AE8" s="172">
        <v>1390723.68</v>
      </c>
      <c r="AF8" s="173">
        <f t="shared" si="15"/>
        <v>0.29636227310915636</v>
      </c>
      <c r="AG8" s="172">
        <v>0</v>
      </c>
      <c r="AH8" s="173">
        <f t="shared" si="16"/>
        <v>0</v>
      </c>
      <c r="AI8" s="172">
        <v>133540.96000000002</v>
      </c>
      <c r="AJ8" s="173">
        <f t="shared" si="17"/>
        <v>2.8457488017158764E-2</v>
      </c>
      <c r="AK8" s="172">
        <v>141571.74</v>
      </c>
      <c r="AL8" s="173">
        <f t="shared" si="18"/>
        <v>3.0168841789203215E-2</v>
      </c>
      <c r="AN8" s="72"/>
    </row>
    <row r="9" spans="1:40" s="73" customFormat="1" ht="14.25" customHeight="1">
      <c r="B9" s="548"/>
      <c r="C9" s="556"/>
      <c r="D9" s="171">
        <v>46079</v>
      </c>
      <c r="E9" s="171" t="s">
        <v>113</v>
      </c>
      <c r="F9" s="331">
        <f t="shared" si="0"/>
        <v>3909306.83</v>
      </c>
      <c r="G9" s="553"/>
      <c r="H9" s="551"/>
      <c r="I9" s="172">
        <v>569381.54</v>
      </c>
      <c r="J9" s="173">
        <f t="shared" si="1"/>
        <v>0.14564769785542775</v>
      </c>
      <c r="K9" s="172">
        <v>745558.51</v>
      </c>
      <c r="L9" s="173">
        <f t="shared" si="2"/>
        <v>0.19071373581592213</v>
      </c>
      <c r="M9" s="172">
        <f t="shared" si="3"/>
        <v>1314940.05</v>
      </c>
      <c r="N9" s="173">
        <f t="shared" ref="N9" si="22">M9/$F9</f>
        <v>0.33636143367134985</v>
      </c>
      <c r="O9" s="172">
        <v>181316.11</v>
      </c>
      <c r="P9" s="173">
        <f t="shared" si="5"/>
        <v>4.6380629069220435E-2</v>
      </c>
      <c r="Q9" s="172">
        <v>144695.62</v>
      </c>
      <c r="R9" s="173">
        <f t="shared" si="6"/>
        <v>3.7013114163771073E-2</v>
      </c>
      <c r="S9" s="172">
        <f t="shared" si="7"/>
        <v>326011.73</v>
      </c>
      <c r="T9" s="173">
        <f t="shared" ref="T9" si="23">S9/$F9</f>
        <v>8.3393743232991507E-2</v>
      </c>
      <c r="U9" s="172">
        <v>126261.09</v>
      </c>
      <c r="V9" s="173">
        <f t="shared" ref="V9" si="24">U9/$F9</f>
        <v>3.2297564629891175E-2</v>
      </c>
      <c r="W9" s="172">
        <v>117881.98000000001</v>
      </c>
      <c r="X9" s="173">
        <f t="shared" si="10"/>
        <v>3.0154189764634055E-2</v>
      </c>
      <c r="Y9" s="172">
        <v>228101.86000000002</v>
      </c>
      <c r="Z9" s="173">
        <f t="shared" si="11"/>
        <v>5.83484156959867E-2</v>
      </c>
      <c r="AA9" s="172">
        <v>422415.5</v>
      </c>
      <c r="AB9" s="173">
        <f t="shared" si="12"/>
        <v>0.10805381065471395</v>
      </c>
      <c r="AC9" s="172">
        <f t="shared" si="13"/>
        <v>650517.36</v>
      </c>
      <c r="AD9" s="173">
        <f t="shared" si="14"/>
        <v>0.16640222635070065</v>
      </c>
      <c r="AE9" s="172">
        <v>1113115.73</v>
      </c>
      <c r="AF9" s="173">
        <f t="shared" si="15"/>
        <v>0.28473480808872709</v>
      </c>
      <c r="AG9" s="172">
        <v>0</v>
      </c>
      <c r="AH9" s="173">
        <f t="shared" si="16"/>
        <v>0</v>
      </c>
      <c r="AI9" s="172">
        <v>126738.1</v>
      </c>
      <c r="AJ9" s="173">
        <f t="shared" si="17"/>
        <v>3.241958370405016E-2</v>
      </c>
      <c r="AK9" s="172">
        <v>133840.78999999998</v>
      </c>
      <c r="AL9" s="173">
        <f t="shared" si="18"/>
        <v>3.4236450557655507E-2</v>
      </c>
      <c r="AN9" s="72"/>
    </row>
    <row r="10" spans="1:40" s="73" customFormat="1" ht="14.25" customHeight="1">
      <c r="B10" s="548"/>
      <c r="C10" s="556"/>
      <c r="D10" s="171">
        <v>46080</v>
      </c>
      <c r="E10" s="171" t="s">
        <v>114</v>
      </c>
      <c r="F10" s="331">
        <f t="shared" si="0"/>
        <v>3610052.0600000005</v>
      </c>
      <c r="G10" s="553"/>
      <c r="H10" s="551"/>
      <c r="I10" s="172">
        <v>545361.13</v>
      </c>
      <c r="J10" s="173">
        <f t="shared" si="1"/>
        <v>0.15106738654622059</v>
      </c>
      <c r="K10" s="172">
        <v>729491.75000000012</v>
      </c>
      <c r="L10" s="173">
        <f t="shared" si="2"/>
        <v>0.20207236291212932</v>
      </c>
      <c r="M10" s="172">
        <f t="shared" si="3"/>
        <v>1274852.8800000001</v>
      </c>
      <c r="N10" s="173">
        <f t="shared" ref="N10" si="25">M10/F10</f>
        <v>0.35313974945834992</v>
      </c>
      <c r="O10" s="172">
        <v>174530.93</v>
      </c>
      <c r="P10" s="173">
        <f t="shared" si="5"/>
        <v>4.8345820807913768E-2</v>
      </c>
      <c r="Q10" s="172">
        <v>138334.66</v>
      </c>
      <c r="R10" s="173">
        <f t="shared" si="6"/>
        <v>3.8319297810901924E-2</v>
      </c>
      <c r="S10" s="172">
        <f t="shared" si="7"/>
        <v>312865.58999999997</v>
      </c>
      <c r="T10" s="173">
        <f t="shared" ref="T10" si="26">S10/F10</f>
        <v>8.6665118618815692E-2</v>
      </c>
      <c r="U10" s="172">
        <v>105159.82</v>
      </c>
      <c r="V10" s="173">
        <f t="shared" ref="V10" si="27">U10/F10</f>
        <v>2.9129723963038912E-2</v>
      </c>
      <c r="W10" s="172">
        <v>54549.87</v>
      </c>
      <c r="X10" s="173">
        <f t="shared" si="10"/>
        <v>1.5110549402991157E-2</v>
      </c>
      <c r="Y10" s="172">
        <v>204485.54</v>
      </c>
      <c r="Z10" s="173">
        <f t="shared" si="11"/>
        <v>5.6643377048695522E-2</v>
      </c>
      <c r="AA10" s="172">
        <v>465150.63999999996</v>
      </c>
      <c r="AB10" s="173">
        <f t="shared" si="12"/>
        <v>0.1288487346633998</v>
      </c>
      <c r="AC10" s="172">
        <f t="shared" si="13"/>
        <v>669636.17999999993</v>
      </c>
      <c r="AD10" s="173">
        <f t="shared" si="14"/>
        <v>0.18549211171209531</v>
      </c>
      <c r="AE10" s="172">
        <v>952067.01000000013</v>
      </c>
      <c r="AF10" s="173">
        <f t="shared" si="15"/>
        <v>0.26372667046801535</v>
      </c>
      <c r="AG10" s="172">
        <v>0</v>
      </c>
      <c r="AH10" s="173">
        <f t="shared" si="16"/>
        <v>0</v>
      </c>
      <c r="AI10" s="172">
        <v>118704.20000000001</v>
      </c>
      <c r="AJ10" s="173">
        <f t="shared" si="17"/>
        <v>3.288157567456243E-2</v>
      </c>
      <c r="AK10" s="172">
        <v>122216.51</v>
      </c>
      <c r="AL10" s="173">
        <f t="shared" si="18"/>
        <v>3.3854500702131141E-2</v>
      </c>
      <c r="AN10" s="72"/>
    </row>
    <row r="11" spans="1:40" s="73" customFormat="1" ht="14.25" customHeight="1">
      <c r="B11" s="548"/>
      <c r="C11" s="557"/>
      <c r="D11" s="171">
        <v>46081</v>
      </c>
      <c r="E11" s="171" t="s">
        <v>115</v>
      </c>
      <c r="F11" s="331">
        <f t="shared" si="0"/>
        <v>3915929.62</v>
      </c>
      <c r="G11" s="553"/>
      <c r="H11" s="552"/>
      <c r="I11" s="172">
        <v>533505.22</v>
      </c>
      <c r="J11" s="173">
        <f t="shared" si="1"/>
        <v>0.13623973660691072</v>
      </c>
      <c r="K11" s="172">
        <v>882554.59</v>
      </c>
      <c r="L11" s="173">
        <f t="shared" si="2"/>
        <v>0.22537549844933116</v>
      </c>
      <c r="M11" s="172">
        <f t="shared" si="3"/>
        <v>1416059.81</v>
      </c>
      <c r="N11" s="173">
        <f t="shared" ref="N11" si="28">M11/$F11</f>
        <v>0.36161523505624188</v>
      </c>
      <c r="O11" s="172">
        <v>166313.66999999998</v>
      </c>
      <c r="P11" s="173">
        <f t="shared" si="5"/>
        <v>4.2471056974716509E-2</v>
      </c>
      <c r="Q11" s="172">
        <v>136605.65</v>
      </c>
      <c r="R11" s="173">
        <f t="shared" si="6"/>
        <v>3.4884602956679285E-2</v>
      </c>
      <c r="S11" s="172">
        <f t="shared" si="7"/>
        <v>302919.31999999995</v>
      </c>
      <c r="T11" s="173">
        <f t="shared" ref="T11" si="29">S11/$F11</f>
        <v>7.7355659931395787E-2</v>
      </c>
      <c r="U11" s="172">
        <v>117254.27</v>
      </c>
      <c r="V11" s="173">
        <f t="shared" ref="V11" si="30">U11/$F11</f>
        <v>2.9942895143248258E-2</v>
      </c>
      <c r="W11" s="172">
        <v>65953.22</v>
      </c>
      <c r="X11" s="173">
        <f t="shared" si="10"/>
        <v>1.6842289417857311E-2</v>
      </c>
      <c r="Y11" s="172">
        <v>222027.47</v>
      </c>
      <c r="Z11" s="173">
        <f t="shared" si="11"/>
        <v>5.6698534331676778E-2</v>
      </c>
      <c r="AA11" s="172">
        <v>550814.38</v>
      </c>
      <c r="AB11" s="173">
        <f t="shared" si="12"/>
        <v>0.14065992840800851</v>
      </c>
      <c r="AC11" s="172">
        <f t="shared" si="13"/>
        <v>772841.85</v>
      </c>
      <c r="AD11" s="173">
        <f t="shared" si="14"/>
        <v>0.1973584627396853</v>
      </c>
      <c r="AE11" s="172">
        <v>1029063.2100000001</v>
      </c>
      <c r="AF11" s="173">
        <f t="shared" si="15"/>
        <v>0.26278899517096022</v>
      </c>
      <c r="AG11" s="172">
        <v>0</v>
      </c>
      <c r="AH11" s="173">
        <f t="shared" si="16"/>
        <v>0</v>
      </c>
      <c r="AI11" s="172">
        <v>70403.199999999997</v>
      </c>
      <c r="AJ11" s="173">
        <f t="shared" si="17"/>
        <v>1.7978668370449414E-2</v>
      </c>
      <c r="AK11" s="172">
        <v>141434.74</v>
      </c>
      <c r="AL11" s="173">
        <f t="shared" si="18"/>
        <v>3.6117794170161817E-2</v>
      </c>
      <c r="AN11" s="72"/>
    </row>
    <row r="12" spans="1:40" s="73" customFormat="1" ht="14.25" customHeight="1">
      <c r="B12" s="548"/>
      <c r="C12" s="558" t="s">
        <v>112</v>
      </c>
      <c r="D12" s="171">
        <v>46082</v>
      </c>
      <c r="E12" s="171" t="s">
        <v>116</v>
      </c>
      <c r="F12" s="331">
        <f t="shared" si="0"/>
        <v>5447490.2600000007</v>
      </c>
      <c r="G12" s="553"/>
      <c r="H12" s="554">
        <f>SUM(F12:F42)</f>
        <v>148837998.42999995</v>
      </c>
      <c r="I12" s="172">
        <v>880068.55</v>
      </c>
      <c r="J12" s="173">
        <f t="shared" si="1"/>
        <v>0.16155486434958766</v>
      </c>
      <c r="K12" s="172">
        <v>1018931.31</v>
      </c>
      <c r="L12" s="173">
        <f t="shared" si="2"/>
        <v>0.1870460085962595</v>
      </c>
      <c r="M12" s="172">
        <f t="shared" si="3"/>
        <v>1898999.86</v>
      </c>
      <c r="N12" s="173">
        <f t="shared" ref="N12" si="31">M12/F12</f>
        <v>0.34860087294584713</v>
      </c>
      <c r="O12" s="172">
        <v>229722.55</v>
      </c>
      <c r="P12" s="173">
        <f t="shared" si="5"/>
        <v>4.2170346165979186E-2</v>
      </c>
      <c r="Q12" s="172">
        <v>170790.6</v>
      </c>
      <c r="R12" s="173">
        <f t="shared" si="6"/>
        <v>3.1352162527776596E-2</v>
      </c>
      <c r="S12" s="172">
        <f t="shared" si="7"/>
        <v>400513.15</v>
      </c>
      <c r="T12" s="173">
        <f t="shared" ref="T12" si="32">S12/F12</f>
        <v>7.3522508693755789E-2</v>
      </c>
      <c r="U12" s="172">
        <v>173999.35999999999</v>
      </c>
      <c r="V12" s="173">
        <f t="shared" ref="V12" si="33">U12/F12</f>
        <v>3.1941197082562559E-2</v>
      </c>
      <c r="W12" s="172">
        <v>148402.32</v>
      </c>
      <c r="X12" s="173">
        <f t="shared" si="10"/>
        <v>2.7242328653562381E-2</v>
      </c>
      <c r="Y12" s="172">
        <v>296339.40000000002</v>
      </c>
      <c r="Z12" s="173">
        <f t="shared" si="11"/>
        <v>5.4399252840518157E-2</v>
      </c>
      <c r="AA12" s="172">
        <v>622748.12</v>
      </c>
      <c r="AB12" s="173">
        <f t="shared" si="12"/>
        <v>0.11431835400840164</v>
      </c>
      <c r="AC12" s="172">
        <f t="shared" si="13"/>
        <v>919087.52</v>
      </c>
      <c r="AD12" s="173">
        <f t="shared" si="14"/>
        <v>0.16871760684891979</v>
      </c>
      <c r="AE12" s="172">
        <v>1756824.69</v>
      </c>
      <c r="AF12" s="173">
        <f t="shared" si="15"/>
        <v>0.32250166703372862</v>
      </c>
      <c r="AG12" s="172">
        <v>0</v>
      </c>
      <c r="AH12" s="173">
        <f t="shared" si="16"/>
        <v>0</v>
      </c>
      <c r="AI12" s="172">
        <v>81107.360000000001</v>
      </c>
      <c r="AJ12" s="173">
        <f t="shared" si="17"/>
        <v>1.4888940801887728E-2</v>
      </c>
      <c r="AK12" s="172">
        <v>68556</v>
      </c>
      <c r="AL12" s="173">
        <f t="shared" si="18"/>
        <v>1.2584877939735865E-2</v>
      </c>
      <c r="AN12" s="72"/>
    </row>
    <row r="13" spans="1:40" s="73" customFormat="1" ht="14.25" customHeight="1">
      <c r="B13" s="549"/>
      <c r="C13" s="556"/>
      <c r="D13" s="171">
        <v>46083</v>
      </c>
      <c r="E13" s="171" t="s">
        <v>117</v>
      </c>
      <c r="F13" s="331">
        <f t="shared" si="0"/>
        <v>5524036.7599999998</v>
      </c>
      <c r="G13" s="553"/>
      <c r="H13" s="555"/>
      <c r="I13" s="172">
        <v>846957.79999999981</v>
      </c>
      <c r="J13" s="173">
        <f t="shared" si="1"/>
        <v>0.15332225993369383</v>
      </c>
      <c r="K13" s="172">
        <v>1097915.22</v>
      </c>
      <c r="L13" s="173">
        <f t="shared" si="2"/>
        <v>0.19875233777408824</v>
      </c>
      <c r="M13" s="172">
        <f t="shared" si="3"/>
        <v>1944873.0199999998</v>
      </c>
      <c r="N13" s="173">
        <f t="shared" ref="N13:N14" si="34">M13/$F13</f>
        <v>0.35207459770778204</v>
      </c>
      <c r="O13" s="172">
        <v>211406.03</v>
      </c>
      <c r="P13" s="173">
        <f t="shared" si="5"/>
        <v>3.8270206949165921E-2</v>
      </c>
      <c r="Q13" s="172">
        <v>168666.66</v>
      </c>
      <c r="R13" s="173">
        <f t="shared" si="6"/>
        <v>3.053322548852843E-2</v>
      </c>
      <c r="S13" s="172">
        <f t="shared" si="7"/>
        <v>380072.69</v>
      </c>
      <c r="T13" s="173">
        <f t="shared" ref="T13:T14" si="35">S13/$F13</f>
        <v>6.8803432437694351E-2</v>
      </c>
      <c r="U13" s="172">
        <v>130781.56</v>
      </c>
      <c r="V13" s="173">
        <f t="shared" ref="V13:V14" si="36">U13/$F13</f>
        <v>2.3674998136688722E-2</v>
      </c>
      <c r="W13" s="172">
        <v>113746.98000000001</v>
      </c>
      <c r="X13" s="173">
        <f t="shared" si="10"/>
        <v>2.0591278614156074E-2</v>
      </c>
      <c r="Y13" s="172">
        <v>253080.66</v>
      </c>
      <c r="Z13" s="173">
        <f t="shared" si="11"/>
        <v>4.5814441683766062E-2</v>
      </c>
      <c r="AA13" s="172">
        <v>1069349</v>
      </c>
      <c r="AB13" s="173">
        <f t="shared" si="12"/>
        <v>0.19358107964509635</v>
      </c>
      <c r="AC13" s="172">
        <f t="shared" si="13"/>
        <v>1322429.6599999999</v>
      </c>
      <c r="AD13" s="173">
        <f t="shared" si="14"/>
        <v>0.23939552132886241</v>
      </c>
      <c r="AE13" s="172">
        <v>1465668.83</v>
      </c>
      <c r="AF13" s="173">
        <f t="shared" si="15"/>
        <v>0.26532568367629766</v>
      </c>
      <c r="AG13" s="172">
        <v>0</v>
      </c>
      <c r="AH13" s="173">
        <f t="shared" si="16"/>
        <v>0</v>
      </c>
      <c r="AI13" s="172">
        <v>92529.919999999998</v>
      </c>
      <c r="AJ13" s="173">
        <f t="shared" si="17"/>
        <v>1.6750417135167651E-2</v>
      </c>
      <c r="AK13" s="172">
        <v>73934.099999999991</v>
      </c>
      <c r="AL13" s="173">
        <f t="shared" si="18"/>
        <v>1.3384070963351083E-2</v>
      </c>
      <c r="AN13" s="72"/>
    </row>
    <row r="14" spans="1:40" s="73" customFormat="1" ht="14.25" customHeight="1">
      <c r="B14" s="547">
        <f>D15+7</f>
        <v>46092</v>
      </c>
      <c r="C14" s="556"/>
      <c r="D14" s="171">
        <v>46084</v>
      </c>
      <c r="E14" s="171" t="s">
        <v>118</v>
      </c>
      <c r="F14" s="331">
        <f t="shared" si="0"/>
        <v>5503117.0600000005</v>
      </c>
      <c r="G14" s="553">
        <f t="shared" ref="G14" si="37">SUM(F14:F20)</f>
        <v>33854096.109999999</v>
      </c>
      <c r="H14" s="555"/>
      <c r="I14" s="172">
        <v>830881.12</v>
      </c>
      <c r="J14" s="173">
        <f t="shared" si="1"/>
        <v>0.15098372630292548</v>
      </c>
      <c r="K14" s="172">
        <v>1064969.9800000002</v>
      </c>
      <c r="L14" s="173">
        <f t="shared" si="2"/>
        <v>0.19352122958474741</v>
      </c>
      <c r="M14" s="172">
        <f t="shared" si="3"/>
        <v>1895851.1</v>
      </c>
      <c r="N14" s="173">
        <f t="shared" si="34"/>
        <v>0.34450495588767283</v>
      </c>
      <c r="O14" s="172">
        <v>287774.40000000002</v>
      </c>
      <c r="P14" s="173">
        <f t="shared" si="5"/>
        <v>5.2292981752417964E-2</v>
      </c>
      <c r="Q14" s="172">
        <v>169433.19</v>
      </c>
      <c r="R14" s="173">
        <f t="shared" si="6"/>
        <v>3.0788585478499705E-2</v>
      </c>
      <c r="S14" s="172">
        <f t="shared" si="7"/>
        <v>457207.59</v>
      </c>
      <c r="T14" s="173">
        <f t="shared" si="35"/>
        <v>8.3081567230917669E-2</v>
      </c>
      <c r="U14" s="172">
        <v>122084.54000000001</v>
      </c>
      <c r="V14" s="173">
        <f t="shared" si="36"/>
        <v>2.2184616221847187E-2</v>
      </c>
      <c r="W14" s="172">
        <v>86700.45</v>
      </c>
      <c r="X14" s="173">
        <f t="shared" si="10"/>
        <v>1.5754789341152046E-2</v>
      </c>
      <c r="Y14" s="172">
        <v>202214.74000000002</v>
      </c>
      <c r="Z14" s="173">
        <f t="shared" si="11"/>
        <v>3.6745491290712251E-2</v>
      </c>
      <c r="AA14" s="172">
        <v>974142.49999999988</v>
      </c>
      <c r="AB14" s="173">
        <f t="shared" si="12"/>
        <v>0.17701649617462431</v>
      </c>
      <c r="AC14" s="172">
        <f t="shared" si="13"/>
        <v>1176357.24</v>
      </c>
      <c r="AD14" s="173">
        <f t="shared" si="14"/>
        <v>0.21376198746533659</v>
      </c>
      <c r="AE14" s="172">
        <v>1623033.4400000002</v>
      </c>
      <c r="AF14" s="173">
        <f t="shared" si="15"/>
        <v>0.29492984108900638</v>
      </c>
      <c r="AG14" s="172">
        <v>0</v>
      </c>
      <c r="AH14" s="173">
        <f t="shared" si="16"/>
        <v>0</v>
      </c>
      <c r="AI14" s="172">
        <v>72558.400000000009</v>
      </c>
      <c r="AJ14" s="173">
        <f t="shared" si="17"/>
        <v>1.318496394114502E-2</v>
      </c>
      <c r="AK14" s="172">
        <v>69324.3</v>
      </c>
      <c r="AL14" s="173">
        <f t="shared" si="18"/>
        <v>1.2597278822922222E-2</v>
      </c>
      <c r="AN14" s="72"/>
    </row>
    <row r="15" spans="1:40" s="73" customFormat="1" ht="14.25" customHeight="1">
      <c r="B15" s="548"/>
      <c r="C15" s="556"/>
      <c r="D15" s="171">
        <v>46085</v>
      </c>
      <c r="E15" s="171" t="s">
        <v>112</v>
      </c>
      <c r="F15" s="331">
        <f t="shared" si="0"/>
        <v>5072703.08</v>
      </c>
      <c r="G15" s="553"/>
      <c r="H15" s="555"/>
      <c r="I15" s="172">
        <v>815697.95000000007</v>
      </c>
      <c r="J15" s="173">
        <f t="shared" si="1"/>
        <v>0.16080143803725253</v>
      </c>
      <c r="K15" s="172">
        <v>1020941.84</v>
      </c>
      <c r="L15" s="173">
        <f t="shared" si="2"/>
        <v>0.20126189605404618</v>
      </c>
      <c r="M15" s="172">
        <f t="shared" si="3"/>
        <v>1836639.79</v>
      </c>
      <c r="N15" s="173">
        <f t="shared" ref="N15" si="38">M15/F15</f>
        <v>0.36206333409129871</v>
      </c>
      <c r="O15" s="172">
        <v>271042.24</v>
      </c>
      <c r="P15" s="173">
        <f t="shared" si="5"/>
        <v>5.343152077412739E-2</v>
      </c>
      <c r="Q15" s="172">
        <v>176841.24000000002</v>
      </c>
      <c r="R15" s="173">
        <f t="shared" si="6"/>
        <v>3.4861342603951503E-2</v>
      </c>
      <c r="S15" s="172">
        <f t="shared" si="7"/>
        <v>447883.48</v>
      </c>
      <c r="T15" s="173">
        <f t="shared" ref="T15" si="39">S15/F15</f>
        <v>8.8292863378078887E-2</v>
      </c>
      <c r="U15" s="172">
        <v>113916.98</v>
      </c>
      <c r="V15" s="173">
        <f t="shared" ref="V15" si="40">U15/F15</f>
        <v>2.2456859430455764E-2</v>
      </c>
      <c r="W15" s="172">
        <v>80208.430000000008</v>
      </c>
      <c r="X15" s="173">
        <f t="shared" si="10"/>
        <v>1.5811773079373689E-2</v>
      </c>
      <c r="Y15" s="172">
        <v>188760.25</v>
      </c>
      <c r="Z15" s="173">
        <f t="shared" si="11"/>
        <v>3.7210979437022361E-2</v>
      </c>
      <c r="AA15" s="172">
        <v>879092.45</v>
      </c>
      <c r="AB15" s="173">
        <f t="shared" si="12"/>
        <v>0.17329862129442827</v>
      </c>
      <c r="AC15" s="172">
        <f t="shared" si="13"/>
        <v>1067852.7</v>
      </c>
      <c r="AD15" s="173">
        <f t="shared" si="14"/>
        <v>0.21050960073145064</v>
      </c>
      <c r="AE15" s="172">
        <v>1451322</v>
      </c>
      <c r="AF15" s="173">
        <f t="shared" si="15"/>
        <v>0.28610426770730685</v>
      </c>
      <c r="AG15" s="172">
        <v>0</v>
      </c>
      <c r="AH15" s="173">
        <f t="shared" si="16"/>
        <v>0</v>
      </c>
      <c r="AI15" s="172">
        <v>0</v>
      </c>
      <c r="AJ15" s="173">
        <f t="shared" si="17"/>
        <v>0</v>
      </c>
      <c r="AK15" s="172">
        <v>74879.7</v>
      </c>
      <c r="AL15" s="173">
        <f t="shared" si="18"/>
        <v>1.476130158203543E-2</v>
      </c>
      <c r="AN15" s="72"/>
    </row>
    <row r="16" spans="1:40" s="73" customFormat="1" ht="14.25" customHeight="1">
      <c r="B16" s="548"/>
      <c r="C16" s="556"/>
      <c r="D16" s="171">
        <v>46086</v>
      </c>
      <c r="E16" s="171" t="s">
        <v>113</v>
      </c>
      <c r="F16" s="331">
        <f t="shared" si="0"/>
        <v>4496569.9800000004</v>
      </c>
      <c r="G16" s="553"/>
      <c r="H16" s="555"/>
      <c r="I16" s="172">
        <v>759369.68</v>
      </c>
      <c r="J16" s="173">
        <f t="shared" si="1"/>
        <v>0.16887754074273298</v>
      </c>
      <c r="K16" s="172">
        <v>904680.64999999991</v>
      </c>
      <c r="L16" s="173">
        <f t="shared" si="2"/>
        <v>0.20119349949491941</v>
      </c>
      <c r="M16" s="172">
        <f t="shared" si="3"/>
        <v>1664050.33</v>
      </c>
      <c r="N16" s="173">
        <f t="shared" ref="N16" si="41">M16/$F16</f>
        <v>0.37007104023765242</v>
      </c>
      <c r="O16" s="172">
        <v>250314.84999999998</v>
      </c>
      <c r="P16" s="173">
        <f t="shared" si="5"/>
        <v>5.5667953821103427E-2</v>
      </c>
      <c r="Q16" s="172">
        <v>157714.79</v>
      </c>
      <c r="R16" s="173">
        <f t="shared" si="6"/>
        <v>3.5074465804266208E-2</v>
      </c>
      <c r="S16" s="172">
        <f t="shared" si="7"/>
        <v>408029.64</v>
      </c>
      <c r="T16" s="173">
        <f t="shared" ref="T16" si="42">S16/$F16</f>
        <v>9.0742419625369636E-2</v>
      </c>
      <c r="U16" s="172">
        <v>98671.55</v>
      </c>
      <c r="V16" s="173">
        <f t="shared" ref="V16" si="43">U16/$F16</f>
        <v>2.1943737212781016E-2</v>
      </c>
      <c r="W16" s="172">
        <v>81953.75</v>
      </c>
      <c r="X16" s="173">
        <f t="shared" si="10"/>
        <v>1.8225836663171423E-2</v>
      </c>
      <c r="Y16" s="172">
        <v>185070.2</v>
      </c>
      <c r="Z16" s="173">
        <f t="shared" si="11"/>
        <v>4.1158082899445947E-2</v>
      </c>
      <c r="AA16" s="172">
        <v>699113.47</v>
      </c>
      <c r="AB16" s="173">
        <f t="shared" si="12"/>
        <v>0.15547705764828326</v>
      </c>
      <c r="AC16" s="172">
        <f t="shared" si="13"/>
        <v>884183.66999999993</v>
      </c>
      <c r="AD16" s="173">
        <f t="shared" si="14"/>
        <v>0.19663514054772918</v>
      </c>
      <c r="AE16" s="172">
        <v>1289233.8400000001</v>
      </c>
      <c r="AF16" s="173">
        <f t="shared" si="15"/>
        <v>0.28671495067002156</v>
      </c>
      <c r="AG16" s="172">
        <v>0</v>
      </c>
      <c r="AH16" s="173">
        <f t="shared" si="16"/>
        <v>0</v>
      </c>
      <c r="AI16" s="172">
        <v>0</v>
      </c>
      <c r="AJ16" s="173">
        <f t="shared" si="17"/>
        <v>0</v>
      </c>
      <c r="AK16" s="172">
        <v>70447.199999999997</v>
      </c>
      <c r="AL16" s="173">
        <f t="shared" si="18"/>
        <v>1.5666875043274648E-2</v>
      </c>
      <c r="AN16" s="72"/>
    </row>
    <row r="17" spans="2:40" s="73" customFormat="1" ht="14.25" customHeight="1">
      <c r="B17" s="548"/>
      <c r="C17" s="556"/>
      <c r="D17" s="171">
        <v>46087</v>
      </c>
      <c r="E17" s="171" t="s">
        <v>114</v>
      </c>
      <c r="F17" s="331">
        <f t="shared" si="0"/>
        <v>3821772.9</v>
      </c>
      <c r="G17" s="553"/>
      <c r="H17" s="555"/>
      <c r="I17" s="172">
        <v>565614.91</v>
      </c>
      <c r="J17" s="173">
        <f t="shared" si="1"/>
        <v>0.14799804300250285</v>
      </c>
      <c r="K17" s="172">
        <v>832303.86</v>
      </c>
      <c r="L17" s="173">
        <f t="shared" si="2"/>
        <v>0.21777951798234793</v>
      </c>
      <c r="M17" s="172">
        <f t="shared" si="3"/>
        <v>1397918.77</v>
      </c>
      <c r="N17" s="173">
        <f t="shared" ref="N17" si="44">M17/F17</f>
        <v>0.36577756098485081</v>
      </c>
      <c r="O17" s="172">
        <v>196738.65</v>
      </c>
      <c r="P17" s="173">
        <f t="shared" si="5"/>
        <v>5.147837277301328E-2</v>
      </c>
      <c r="Q17" s="172">
        <v>127782.41</v>
      </c>
      <c r="R17" s="173">
        <f t="shared" si="6"/>
        <v>3.3435374980025634E-2</v>
      </c>
      <c r="S17" s="172">
        <f t="shared" si="7"/>
        <v>324521.06</v>
      </c>
      <c r="T17" s="173">
        <f t="shared" ref="T17" si="45">S17/F17</f>
        <v>8.4913747753038907E-2</v>
      </c>
      <c r="U17" s="172">
        <v>108285.89</v>
      </c>
      <c r="V17" s="173">
        <f t="shared" ref="V17" si="46">U17/F17</f>
        <v>2.8333941558903199E-2</v>
      </c>
      <c r="W17" s="172">
        <v>79685.59</v>
      </c>
      <c r="X17" s="173">
        <f t="shared" si="10"/>
        <v>2.0850425204490826E-2</v>
      </c>
      <c r="Y17" s="172">
        <v>196026.81</v>
      </c>
      <c r="Z17" s="173">
        <f t="shared" si="11"/>
        <v>5.1292113667978548E-2</v>
      </c>
      <c r="AA17" s="172">
        <v>672018.1399999999</v>
      </c>
      <c r="AB17" s="173">
        <f t="shared" si="12"/>
        <v>0.17583937025666802</v>
      </c>
      <c r="AC17" s="172">
        <f t="shared" si="13"/>
        <v>868044.95</v>
      </c>
      <c r="AD17" s="173">
        <f t="shared" si="14"/>
        <v>0.22713148392464658</v>
      </c>
      <c r="AE17" s="172">
        <v>974997.0399999998</v>
      </c>
      <c r="AF17" s="173">
        <f t="shared" si="15"/>
        <v>0.2551164251544093</v>
      </c>
      <c r="AG17" s="172">
        <v>0</v>
      </c>
      <c r="AH17" s="173">
        <f t="shared" si="16"/>
        <v>0</v>
      </c>
      <c r="AI17" s="172">
        <v>0</v>
      </c>
      <c r="AJ17" s="173">
        <f t="shared" si="17"/>
        <v>0</v>
      </c>
      <c r="AK17" s="172">
        <v>68319.599999999991</v>
      </c>
      <c r="AL17" s="173">
        <f t="shared" si="18"/>
        <v>1.7876415419660334E-2</v>
      </c>
      <c r="AN17" s="72"/>
    </row>
    <row r="18" spans="2:40" s="73" customFormat="1" ht="14.25" customHeight="1">
      <c r="B18" s="548"/>
      <c r="C18" s="556"/>
      <c r="D18" s="171">
        <v>46088</v>
      </c>
      <c r="E18" s="171" t="s">
        <v>115</v>
      </c>
      <c r="F18" s="331">
        <f t="shared" si="0"/>
        <v>4127790.8299999996</v>
      </c>
      <c r="G18" s="553"/>
      <c r="H18" s="555"/>
      <c r="I18" s="172">
        <v>535411.80000000005</v>
      </c>
      <c r="J18" s="173">
        <f t="shared" si="1"/>
        <v>0.12970904342069098</v>
      </c>
      <c r="K18" s="172">
        <v>954382.0199999999</v>
      </c>
      <c r="L18" s="173">
        <f t="shared" si="2"/>
        <v>0.23120891036041183</v>
      </c>
      <c r="M18" s="172">
        <f t="shared" si="3"/>
        <v>1489793.8199999998</v>
      </c>
      <c r="N18" s="173">
        <f t="shared" ref="N18" si="47">M18/$F18</f>
        <v>0.36091795378110281</v>
      </c>
      <c r="O18" s="172">
        <v>191833.53999999998</v>
      </c>
      <c r="P18" s="173">
        <f t="shared" si="5"/>
        <v>4.6473658162567315E-2</v>
      </c>
      <c r="Q18" s="172">
        <v>123847.84999999999</v>
      </c>
      <c r="R18" s="173">
        <f t="shared" si="6"/>
        <v>3.0003421951494573E-2</v>
      </c>
      <c r="S18" s="172">
        <f t="shared" si="7"/>
        <v>315681.38999999996</v>
      </c>
      <c r="T18" s="173">
        <f t="shared" ref="T18" si="48">S18/$F18</f>
        <v>7.6477080114061874E-2</v>
      </c>
      <c r="U18" s="172">
        <v>101929.25</v>
      </c>
      <c r="V18" s="173">
        <f t="shared" ref="V18" si="49">U18/$F18</f>
        <v>2.4693414515870711E-2</v>
      </c>
      <c r="W18" s="172">
        <v>65524.79</v>
      </c>
      <c r="X18" s="173">
        <f t="shared" si="10"/>
        <v>1.5874057746283622E-2</v>
      </c>
      <c r="Y18" s="172">
        <v>216407.24000000002</v>
      </c>
      <c r="Z18" s="173">
        <f t="shared" si="11"/>
        <v>5.2426891020541377E-2</v>
      </c>
      <c r="AA18" s="172">
        <v>773297.12999999989</v>
      </c>
      <c r="AB18" s="173">
        <f t="shared" si="12"/>
        <v>0.18733922377554194</v>
      </c>
      <c r="AC18" s="172">
        <f t="shared" si="13"/>
        <v>989704.36999999988</v>
      </c>
      <c r="AD18" s="173">
        <f t="shared" si="14"/>
        <v>0.23976611479608331</v>
      </c>
      <c r="AE18" s="172">
        <v>1094887.31</v>
      </c>
      <c r="AF18" s="173">
        <f t="shared" si="15"/>
        <v>0.26524776934978561</v>
      </c>
      <c r="AG18" s="172">
        <v>0</v>
      </c>
      <c r="AH18" s="173">
        <f t="shared" si="16"/>
        <v>0</v>
      </c>
      <c r="AI18" s="172">
        <v>0</v>
      </c>
      <c r="AJ18" s="173">
        <f t="shared" si="17"/>
        <v>0</v>
      </c>
      <c r="AK18" s="172">
        <v>70269.899999999994</v>
      </c>
      <c r="AL18" s="173">
        <f t="shared" si="18"/>
        <v>1.7023609696812086E-2</v>
      </c>
      <c r="AN18" s="72"/>
    </row>
    <row r="19" spans="2:40" s="73" customFormat="1" ht="14.25" customHeight="1">
      <c r="B19" s="548"/>
      <c r="C19" s="556"/>
      <c r="D19" s="171">
        <v>46089</v>
      </c>
      <c r="E19" s="171" t="s">
        <v>116</v>
      </c>
      <c r="F19" s="331">
        <f t="shared" si="0"/>
        <v>5624945.9799999995</v>
      </c>
      <c r="G19" s="553"/>
      <c r="H19" s="555"/>
      <c r="I19" s="172">
        <v>852217.39</v>
      </c>
      <c r="J19" s="173">
        <f t="shared" si="1"/>
        <v>0.15150676878144884</v>
      </c>
      <c r="K19" s="172">
        <v>1075261.6499999999</v>
      </c>
      <c r="L19" s="173">
        <f t="shared" si="2"/>
        <v>0.19115946247718454</v>
      </c>
      <c r="M19" s="172">
        <f t="shared" si="3"/>
        <v>1927479.04</v>
      </c>
      <c r="N19" s="173">
        <f t="shared" ref="N19" si="50">M19/F19</f>
        <v>0.34266623125863338</v>
      </c>
      <c r="O19" s="172">
        <v>281846.31</v>
      </c>
      <c r="P19" s="173">
        <f t="shared" si="5"/>
        <v>5.0106491867145012E-2</v>
      </c>
      <c r="Q19" s="172">
        <v>159148.46</v>
      </c>
      <c r="R19" s="173">
        <f t="shared" si="6"/>
        <v>2.8293331272134282E-2</v>
      </c>
      <c r="S19" s="172">
        <f t="shared" si="7"/>
        <v>440994.77</v>
      </c>
      <c r="T19" s="173">
        <f t="shared" ref="T19" si="51">S19/F19</f>
        <v>7.839982313927929E-2</v>
      </c>
      <c r="U19" s="172">
        <v>129839.87</v>
      </c>
      <c r="V19" s="173">
        <f t="shared" ref="V19" si="52">U19/F19</f>
        <v>2.3082865233134204E-2</v>
      </c>
      <c r="W19" s="172">
        <v>81957.960000000006</v>
      </c>
      <c r="X19" s="173">
        <f t="shared" si="10"/>
        <v>1.4570443928067734E-2</v>
      </c>
      <c r="Y19" s="172">
        <v>246041.18000000002</v>
      </c>
      <c r="Z19" s="173">
        <f t="shared" si="11"/>
        <v>4.3741074292059257E-2</v>
      </c>
      <c r="AA19" s="172">
        <v>937191.64</v>
      </c>
      <c r="AB19" s="173">
        <f t="shared" si="12"/>
        <v>0.16661344719260754</v>
      </c>
      <c r="AC19" s="172">
        <f t="shared" si="13"/>
        <v>1183232.82</v>
      </c>
      <c r="AD19" s="173">
        <f t="shared" si="14"/>
        <v>0.2103545214846668</v>
      </c>
      <c r="AE19" s="172">
        <v>1792767.3199999998</v>
      </c>
      <c r="AF19" s="173">
        <f t="shared" si="15"/>
        <v>0.31871725104104909</v>
      </c>
      <c r="AG19" s="172">
        <v>0</v>
      </c>
      <c r="AH19" s="173">
        <f t="shared" si="16"/>
        <v>0</v>
      </c>
      <c r="AI19" s="172">
        <v>0</v>
      </c>
      <c r="AJ19" s="173">
        <f t="shared" si="17"/>
        <v>0</v>
      </c>
      <c r="AK19" s="172">
        <v>68674.2</v>
      </c>
      <c r="AL19" s="173">
        <f t="shared" si="18"/>
        <v>1.2208863915169546E-2</v>
      </c>
      <c r="AN19" s="72"/>
    </row>
    <row r="20" spans="2:40" s="73" customFormat="1" ht="14.25" customHeight="1">
      <c r="B20" s="549"/>
      <c r="C20" s="556"/>
      <c r="D20" s="171">
        <v>46090</v>
      </c>
      <c r="E20" s="171" t="s">
        <v>117</v>
      </c>
      <c r="F20" s="331">
        <f t="shared" si="0"/>
        <v>5207196.28</v>
      </c>
      <c r="G20" s="553"/>
      <c r="H20" s="555"/>
      <c r="I20" s="172">
        <v>822660.51</v>
      </c>
      <c r="J20" s="173">
        <f t="shared" si="1"/>
        <v>0.15798530836252633</v>
      </c>
      <c r="K20" s="172">
        <v>1054563.19</v>
      </c>
      <c r="L20" s="173">
        <f t="shared" si="2"/>
        <v>0.20252034555532442</v>
      </c>
      <c r="M20" s="172">
        <f t="shared" si="3"/>
        <v>1877223.7</v>
      </c>
      <c r="N20" s="173">
        <f t="shared" ref="N20:N21" si="53">M20/$F20</f>
        <v>0.36050565391785078</v>
      </c>
      <c r="O20" s="172">
        <v>254532.38</v>
      </c>
      <c r="P20" s="173">
        <f t="shared" si="5"/>
        <v>4.8880888353991528E-2</v>
      </c>
      <c r="Q20" s="172">
        <v>160772.09</v>
      </c>
      <c r="R20" s="173">
        <f t="shared" si="6"/>
        <v>3.0874981728170998E-2</v>
      </c>
      <c r="S20" s="172">
        <f t="shared" si="7"/>
        <v>415304.47</v>
      </c>
      <c r="T20" s="173">
        <f t="shared" ref="T20:T21" si="54">S20/$F20</f>
        <v>7.9755870082162519E-2</v>
      </c>
      <c r="U20" s="172">
        <v>135905.56</v>
      </c>
      <c r="V20" s="173">
        <f t="shared" ref="V20:V21" si="55">U20/$F20</f>
        <v>2.609956542679048E-2</v>
      </c>
      <c r="W20" s="172">
        <v>87841.760000000009</v>
      </c>
      <c r="X20" s="173">
        <f t="shared" si="10"/>
        <v>1.686930072856789E-2</v>
      </c>
      <c r="Y20" s="172">
        <v>235368.42</v>
      </c>
      <c r="Z20" s="173">
        <f t="shared" si="11"/>
        <v>4.5200604575635468E-2</v>
      </c>
      <c r="AA20" s="172">
        <v>909672.17999999993</v>
      </c>
      <c r="AB20" s="173">
        <f t="shared" si="12"/>
        <v>0.17469519700916669</v>
      </c>
      <c r="AC20" s="172">
        <f t="shared" si="13"/>
        <v>1145040.5999999999</v>
      </c>
      <c r="AD20" s="173">
        <f t="shared" si="14"/>
        <v>0.21989580158480213</v>
      </c>
      <c r="AE20" s="172">
        <v>1470113.9899999998</v>
      </c>
      <c r="AF20" s="173">
        <f t="shared" si="15"/>
        <v>0.28232352132499211</v>
      </c>
      <c r="AG20" s="172">
        <v>0</v>
      </c>
      <c r="AH20" s="173">
        <f t="shared" si="16"/>
        <v>0</v>
      </c>
      <c r="AI20" s="172">
        <v>0</v>
      </c>
      <c r="AJ20" s="173">
        <f t="shared" si="17"/>
        <v>0</v>
      </c>
      <c r="AK20" s="172">
        <v>75766.2</v>
      </c>
      <c r="AL20" s="173">
        <f t="shared" si="18"/>
        <v>1.4550286934833959E-2</v>
      </c>
      <c r="AN20" s="72"/>
    </row>
    <row r="21" spans="2:40" s="73" customFormat="1" ht="14.25" customHeight="1">
      <c r="B21" s="547">
        <f>D22+7</f>
        <v>46099</v>
      </c>
      <c r="C21" s="556"/>
      <c r="D21" s="171">
        <v>46091</v>
      </c>
      <c r="E21" s="171" t="s">
        <v>118</v>
      </c>
      <c r="F21" s="331">
        <f t="shared" si="0"/>
        <v>5094346.5200000005</v>
      </c>
      <c r="G21" s="553">
        <f t="shared" ref="G21" si="56">SUM(F21:F27)</f>
        <v>32874069.779999997</v>
      </c>
      <c r="H21" s="555"/>
      <c r="I21" s="172">
        <v>807843.41</v>
      </c>
      <c r="J21" s="173">
        <f t="shared" si="1"/>
        <v>0.15857645466959713</v>
      </c>
      <c r="K21" s="172">
        <v>1030178.4099999999</v>
      </c>
      <c r="L21" s="173">
        <f t="shared" si="2"/>
        <v>0.20221993261659787</v>
      </c>
      <c r="M21" s="172">
        <f t="shared" si="3"/>
        <v>1838021.8199999998</v>
      </c>
      <c r="N21" s="173">
        <f t="shared" si="53"/>
        <v>0.36079638728619501</v>
      </c>
      <c r="O21" s="172">
        <v>271243.90000000002</v>
      </c>
      <c r="P21" s="173">
        <f t="shared" si="5"/>
        <v>5.3244100874394386E-2</v>
      </c>
      <c r="Q21" s="172">
        <v>159494</v>
      </c>
      <c r="R21" s="173">
        <f t="shared" si="6"/>
        <v>3.1308039092715664E-2</v>
      </c>
      <c r="S21" s="172">
        <f t="shared" si="7"/>
        <v>430737.9</v>
      </c>
      <c r="T21" s="173">
        <f t="shared" si="54"/>
        <v>8.4552139967110043E-2</v>
      </c>
      <c r="U21" s="172">
        <v>116434.23999999999</v>
      </c>
      <c r="V21" s="173">
        <f t="shared" si="55"/>
        <v>2.2855579129312936E-2</v>
      </c>
      <c r="W21" s="172">
        <v>78826.87</v>
      </c>
      <c r="X21" s="173">
        <f t="shared" si="10"/>
        <v>1.547340167978993E-2</v>
      </c>
      <c r="Y21" s="172">
        <v>226512.30000000002</v>
      </c>
      <c r="Z21" s="173">
        <f t="shared" si="11"/>
        <v>4.4463465355317054E-2</v>
      </c>
      <c r="AA21" s="172">
        <v>899228.06</v>
      </c>
      <c r="AB21" s="173">
        <f t="shared" si="12"/>
        <v>0.17651489871560602</v>
      </c>
      <c r="AC21" s="172">
        <f t="shared" si="13"/>
        <v>1125740.3600000001</v>
      </c>
      <c r="AD21" s="173">
        <f t="shared" si="14"/>
        <v>0.22097836407092308</v>
      </c>
      <c r="AE21" s="172">
        <v>1431892.33</v>
      </c>
      <c r="AF21" s="173">
        <f t="shared" si="15"/>
        <v>0.28107478051964158</v>
      </c>
      <c r="AG21" s="172">
        <v>0</v>
      </c>
      <c r="AH21" s="173">
        <f t="shared" si="16"/>
        <v>0</v>
      </c>
      <c r="AI21" s="172">
        <v>0</v>
      </c>
      <c r="AJ21" s="173">
        <f t="shared" si="17"/>
        <v>0</v>
      </c>
      <c r="AK21" s="172">
        <v>72693</v>
      </c>
      <c r="AL21" s="173">
        <f t="shared" si="18"/>
        <v>1.4269347347027346E-2</v>
      </c>
      <c r="AN21" s="72"/>
    </row>
    <row r="22" spans="2:40" s="73" customFormat="1" ht="14.25" customHeight="1">
      <c r="B22" s="548"/>
      <c r="C22" s="556"/>
      <c r="D22" s="171">
        <v>46092</v>
      </c>
      <c r="E22" s="171" t="s">
        <v>112</v>
      </c>
      <c r="F22" s="331">
        <f t="shared" si="0"/>
        <v>4787261.34</v>
      </c>
      <c r="G22" s="553"/>
      <c r="H22" s="555"/>
      <c r="I22" s="172">
        <v>781949.40999999992</v>
      </c>
      <c r="J22" s="173">
        <f t="shared" si="1"/>
        <v>0.16333961203797576</v>
      </c>
      <c r="K22" s="172">
        <v>977079.32000000007</v>
      </c>
      <c r="L22" s="173">
        <f t="shared" si="2"/>
        <v>0.20409984970655479</v>
      </c>
      <c r="M22" s="172">
        <f t="shared" si="3"/>
        <v>1759028.73</v>
      </c>
      <c r="N22" s="173">
        <f t="shared" ref="N22" si="57">M22/F22</f>
        <v>0.36743946174453057</v>
      </c>
      <c r="O22" s="172">
        <v>258881.73</v>
      </c>
      <c r="P22" s="173">
        <f t="shared" si="5"/>
        <v>5.4077208577879732E-2</v>
      </c>
      <c r="Q22" s="172">
        <v>156677.39000000001</v>
      </c>
      <c r="R22" s="173">
        <f t="shared" si="6"/>
        <v>3.2727979291809463E-2</v>
      </c>
      <c r="S22" s="172">
        <f t="shared" si="7"/>
        <v>415559.12</v>
      </c>
      <c r="T22" s="173">
        <f t="shared" ref="T22" si="58">S22/F22</f>
        <v>8.6805187869689188E-2</v>
      </c>
      <c r="U22" s="172">
        <v>121306.90000000001</v>
      </c>
      <c r="V22" s="173">
        <f t="shared" ref="V22" si="59">U22/F22</f>
        <v>2.5339519066239241E-2</v>
      </c>
      <c r="W22" s="172">
        <v>88332.53</v>
      </c>
      <c r="X22" s="173">
        <f t="shared" si="10"/>
        <v>1.8451578831081738E-2</v>
      </c>
      <c r="Y22" s="172">
        <v>207380.81</v>
      </c>
      <c r="Z22" s="173">
        <f t="shared" si="11"/>
        <v>4.3319299965353469E-2</v>
      </c>
      <c r="AA22" s="172">
        <v>818354.55000000016</v>
      </c>
      <c r="AB22" s="173">
        <f t="shared" si="12"/>
        <v>0.17094419792005761</v>
      </c>
      <c r="AC22" s="172">
        <f t="shared" si="13"/>
        <v>1025735.3600000001</v>
      </c>
      <c r="AD22" s="173">
        <f t="shared" si="14"/>
        <v>0.21426349788541107</v>
      </c>
      <c r="AE22" s="172">
        <v>1299818.6000000001</v>
      </c>
      <c r="AF22" s="173">
        <f t="shared" si="15"/>
        <v>0.27151611489002186</v>
      </c>
      <c r="AG22" s="172">
        <v>0</v>
      </c>
      <c r="AH22" s="173">
        <f t="shared" si="16"/>
        <v>0</v>
      </c>
      <c r="AI22" s="172">
        <v>0</v>
      </c>
      <c r="AJ22" s="173">
        <f t="shared" si="17"/>
        <v>0</v>
      </c>
      <c r="AK22" s="172">
        <v>77480.099999999991</v>
      </c>
      <c r="AL22" s="173">
        <f t="shared" si="18"/>
        <v>1.6184639713026402E-2</v>
      </c>
      <c r="AN22" s="72"/>
    </row>
    <row r="23" spans="2:40" s="73" customFormat="1" ht="14.25" customHeight="1">
      <c r="B23" s="548"/>
      <c r="C23" s="556"/>
      <c r="D23" s="171">
        <v>46093</v>
      </c>
      <c r="E23" s="171" t="s">
        <v>113</v>
      </c>
      <c r="F23" s="331">
        <f t="shared" si="0"/>
        <v>4340566.67</v>
      </c>
      <c r="G23" s="553"/>
      <c r="H23" s="555"/>
      <c r="I23" s="172">
        <v>753783.90999999992</v>
      </c>
      <c r="J23" s="173">
        <f t="shared" si="1"/>
        <v>0.17366025390412904</v>
      </c>
      <c r="K23" s="172">
        <v>877314.46</v>
      </c>
      <c r="L23" s="173">
        <f t="shared" si="2"/>
        <v>0.2021197983349948</v>
      </c>
      <c r="M23" s="172">
        <f t="shared" si="3"/>
        <v>1631098.3699999999</v>
      </c>
      <c r="N23" s="173">
        <f t="shared" ref="N23" si="60">M23/$F23</f>
        <v>0.37578005223912386</v>
      </c>
      <c r="O23" s="172">
        <v>251565.22</v>
      </c>
      <c r="P23" s="173">
        <f t="shared" si="5"/>
        <v>5.7956769040941838E-2</v>
      </c>
      <c r="Q23" s="172">
        <v>150375.46</v>
      </c>
      <c r="R23" s="173">
        <f t="shared" si="6"/>
        <v>3.4644200039438626E-2</v>
      </c>
      <c r="S23" s="172">
        <f t="shared" si="7"/>
        <v>401940.68</v>
      </c>
      <c r="T23" s="173">
        <f t="shared" ref="T23" si="61">S23/$F23</f>
        <v>9.2600969080380471E-2</v>
      </c>
      <c r="U23" s="172">
        <v>117010.15</v>
      </c>
      <c r="V23" s="173">
        <f t="shared" ref="V23" si="62">U23/$F23</f>
        <v>2.6957344258462915E-2</v>
      </c>
      <c r="W23" s="172">
        <v>71085.010000000009</v>
      </c>
      <c r="X23" s="173">
        <f t="shared" si="10"/>
        <v>1.6376896245208467E-2</v>
      </c>
      <c r="Y23" s="172">
        <v>194494.02000000002</v>
      </c>
      <c r="Z23" s="173">
        <f t="shared" si="11"/>
        <v>4.4808439723839105E-2</v>
      </c>
      <c r="AA23" s="172">
        <v>634941.24999999988</v>
      </c>
      <c r="AB23" s="173">
        <f t="shared" si="12"/>
        <v>0.14628072744243781</v>
      </c>
      <c r="AC23" s="172">
        <f t="shared" si="13"/>
        <v>829435.2699999999</v>
      </c>
      <c r="AD23" s="173">
        <f t="shared" si="14"/>
        <v>0.19108916716627691</v>
      </c>
      <c r="AE23" s="172">
        <v>1213048.99</v>
      </c>
      <c r="AF23" s="173">
        <f t="shared" si="15"/>
        <v>0.27946788569889652</v>
      </c>
      <c r="AG23" s="172">
        <v>0</v>
      </c>
      <c r="AH23" s="173">
        <f t="shared" si="16"/>
        <v>0</v>
      </c>
      <c r="AI23" s="172">
        <v>0</v>
      </c>
      <c r="AJ23" s="173">
        <f t="shared" si="17"/>
        <v>0</v>
      </c>
      <c r="AK23" s="172">
        <v>76948.2</v>
      </c>
      <c r="AL23" s="173">
        <f t="shared" si="18"/>
        <v>1.7727685311650795E-2</v>
      </c>
      <c r="AN23" s="72"/>
    </row>
    <row r="24" spans="2:40" s="73" customFormat="1" ht="14.25" customHeight="1">
      <c r="B24" s="548"/>
      <c r="C24" s="556"/>
      <c r="D24" s="171">
        <v>46094</v>
      </c>
      <c r="E24" s="171" t="s">
        <v>114</v>
      </c>
      <c r="F24" s="331">
        <f t="shared" si="0"/>
        <v>3843289.15</v>
      </c>
      <c r="G24" s="553"/>
      <c r="H24" s="555"/>
      <c r="I24" s="172">
        <v>573975.47000000009</v>
      </c>
      <c r="J24" s="173">
        <f t="shared" si="1"/>
        <v>0.14934485738602316</v>
      </c>
      <c r="K24" s="172">
        <v>816225.12999999989</v>
      </c>
      <c r="L24" s="173">
        <f t="shared" si="2"/>
        <v>0.21237671643831427</v>
      </c>
      <c r="M24" s="172">
        <f t="shared" si="3"/>
        <v>1390200.6</v>
      </c>
      <c r="N24" s="173">
        <f t="shared" ref="N24" si="63">M24/F24</f>
        <v>0.36172157382433745</v>
      </c>
      <c r="O24" s="172">
        <v>185737.19</v>
      </c>
      <c r="P24" s="173">
        <f t="shared" si="5"/>
        <v>4.8327664859668447E-2</v>
      </c>
      <c r="Q24" s="172">
        <v>118476.73000000001</v>
      </c>
      <c r="R24" s="173">
        <f t="shared" si="6"/>
        <v>3.0826910330179039E-2</v>
      </c>
      <c r="S24" s="172">
        <f t="shared" si="7"/>
        <v>304213.92000000004</v>
      </c>
      <c r="T24" s="173">
        <f t="shared" ref="T24" si="64">S24/F24</f>
        <v>7.915457518984749E-2</v>
      </c>
      <c r="U24" s="172">
        <v>102084.05</v>
      </c>
      <c r="V24" s="173">
        <f t="shared" ref="V24" si="65">U24/F24</f>
        <v>2.6561636664782302E-2</v>
      </c>
      <c r="W24" s="172">
        <v>54659.41</v>
      </c>
      <c r="X24" s="173">
        <f t="shared" si="10"/>
        <v>1.4222039473662814E-2</v>
      </c>
      <c r="Y24" s="172">
        <v>191428.44</v>
      </c>
      <c r="Z24" s="173">
        <f t="shared" si="11"/>
        <v>4.9808492811424299E-2</v>
      </c>
      <c r="AA24" s="172">
        <v>703211.52000000002</v>
      </c>
      <c r="AB24" s="173">
        <f t="shared" si="12"/>
        <v>0.18297127604879795</v>
      </c>
      <c r="AC24" s="172">
        <f t="shared" si="13"/>
        <v>894639.96</v>
      </c>
      <c r="AD24" s="173">
        <f t="shared" si="14"/>
        <v>0.23277976886022222</v>
      </c>
      <c r="AE24" s="172">
        <v>1028344.21</v>
      </c>
      <c r="AF24" s="173">
        <f t="shared" si="15"/>
        <v>0.2675687854503479</v>
      </c>
      <c r="AG24" s="172">
        <v>0</v>
      </c>
      <c r="AH24" s="173">
        <f t="shared" si="16"/>
        <v>0</v>
      </c>
      <c r="AI24" s="172">
        <v>0</v>
      </c>
      <c r="AJ24" s="173">
        <f t="shared" si="17"/>
        <v>0</v>
      </c>
      <c r="AK24" s="172">
        <v>69147</v>
      </c>
      <c r="AL24" s="173">
        <f t="shared" si="18"/>
        <v>1.7991620536799841E-2</v>
      </c>
      <c r="AN24" s="72"/>
    </row>
    <row r="25" spans="2:40" s="73" customFormat="1" ht="14.25" customHeight="1">
      <c r="B25" s="548"/>
      <c r="C25" s="556"/>
      <c r="D25" s="171">
        <v>46095</v>
      </c>
      <c r="E25" s="171" t="s">
        <v>115</v>
      </c>
      <c r="F25" s="331">
        <f t="shared" si="0"/>
        <v>4118703.79</v>
      </c>
      <c r="G25" s="553"/>
      <c r="H25" s="555"/>
      <c r="I25" s="172">
        <v>551491.26</v>
      </c>
      <c r="J25" s="173">
        <f t="shared" si="1"/>
        <v>0.13389922852403038</v>
      </c>
      <c r="K25" s="172">
        <v>949671.46999999986</v>
      </c>
      <c r="L25" s="173">
        <f t="shared" si="2"/>
        <v>0.23057532622417595</v>
      </c>
      <c r="M25" s="172">
        <f t="shared" si="3"/>
        <v>1501162.73</v>
      </c>
      <c r="N25" s="173">
        <f t="shared" ref="N25" si="66">M25/$F25</f>
        <v>0.36447455474820634</v>
      </c>
      <c r="O25" s="172">
        <v>173302.42</v>
      </c>
      <c r="P25" s="173">
        <f t="shared" si="5"/>
        <v>4.2076932169963117E-2</v>
      </c>
      <c r="Q25" s="172">
        <v>115724.43</v>
      </c>
      <c r="R25" s="173">
        <f t="shared" si="6"/>
        <v>2.8097293687633699E-2</v>
      </c>
      <c r="S25" s="172">
        <f t="shared" si="7"/>
        <v>289026.84999999998</v>
      </c>
      <c r="T25" s="173">
        <f t="shared" ref="T25" si="67">S25/$F25</f>
        <v>7.0174225857596806E-2</v>
      </c>
      <c r="U25" s="172">
        <v>101894.10999999999</v>
      </c>
      <c r="V25" s="173">
        <f t="shared" ref="V25" si="68">U25/$F25</f>
        <v>2.4739363449101055E-2</v>
      </c>
      <c r="W25" s="172">
        <v>57240.58</v>
      </c>
      <c r="X25" s="173">
        <f t="shared" si="10"/>
        <v>1.3897717077634273E-2</v>
      </c>
      <c r="Y25" s="172">
        <v>212490.11000000002</v>
      </c>
      <c r="Z25" s="173">
        <f t="shared" si="11"/>
        <v>5.1591500829924947E-2</v>
      </c>
      <c r="AA25" s="172">
        <v>780383.38000000012</v>
      </c>
      <c r="AB25" s="173">
        <f t="shared" si="12"/>
        <v>0.18947305263727163</v>
      </c>
      <c r="AC25" s="172">
        <f t="shared" si="13"/>
        <v>992873.49000000011</v>
      </c>
      <c r="AD25" s="173">
        <f t="shared" si="14"/>
        <v>0.24106455346719655</v>
      </c>
      <c r="AE25" s="172">
        <v>1109132.03</v>
      </c>
      <c r="AF25" s="173">
        <f t="shared" si="15"/>
        <v>0.26929152630323044</v>
      </c>
      <c r="AG25" s="172">
        <v>0</v>
      </c>
      <c r="AH25" s="173">
        <f t="shared" si="16"/>
        <v>0</v>
      </c>
      <c r="AI25" s="172">
        <v>0</v>
      </c>
      <c r="AJ25" s="173">
        <f t="shared" si="17"/>
        <v>0</v>
      </c>
      <c r="AK25" s="172">
        <v>67374</v>
      </c>
      <c r="AL25" s="173">
        <f t="shared" si="18"/>
        <v>1.6358059097034507E-2</v>
      </c>
      <c r="AN25" s="72"/>
    </row>
    <row r="26" spans="2:40" s="73" customFormat="1" ht="14.25" customHeight="1">
      <c r="B26" s="548"/>
      <c r="C26" s="556"/>
      <c r="D26" s="171">
        <v>46096</v>
      </c>
      <c r="E26" s="171" t="s">
        <v>116</v>
      </c>
      <c r="F26" s="331">
        <f t="shared" si="0"/>
        <v>5467294.6299999999</v>
      </c>
      <c r="G26" s="553"/>
      <c r="H26" s="555"/>
      <c r="I26" s="172">
        <v>843803.95</v>
      </c>
      <c r="J26" s="173">
        <f t="shared" si="1"/>
        <v>0.15433665223928128</v>
      </c>
      <c r="K26" s="172">
        <v>1075482.24</v>
      </c>
      <c r="L26" s="173">
        <f t="shared" si="2"/>
        <v>0.19671195953088777</v>
      </c>
      <c r="M26" s="172">
        <f t="shared" si="3"/>
        <v>1919286.19</v>
      </c>
      <c r="N26" s="173">
        <f t="shared" ref="N26" si="69">M26/F26</f>
        <v>0.35104861177016905</v>
      </c>
      <c r="O26" s="172">
        <v>262713.42</v>
      </c>
      <c r="P26" s="173">
        <f t="shared" si="5"/>
        <v>4.8051813150592905E-2</v>
      </c>
      <c r="Q26" s="172">
        <v>152639.29999999999</v>
      </c>
      <c r="R26" s="173">
        <f t="shared" si="6"/>
        <v>2.7918616121845988E-2</v>
      </c>
      <c r="S26" s="172">
        <f t="shared" si="7"/>
        <v>415352.72</v>
      </c>
      <c r="T26" s="173">
        <f t="shared" ref="T26" si="70">S26/F26</f>
        <v>7.5970429272438897E-2</v>
      </c>
      <c r="U26" s="172">
        <v>137935.52000000002</v>
      </c>
      <c r="V26" s="173">
        <f t="shared" ref="V26" si="71">U26/F26</f>
        <v>2.5229209203967855E-2</v>
      </c>
      <c r="W26" s="172">
        <v>64624.58</v>
      </c>
      <c r="X26" s="173">
        <f t="shared" si="10"/>
        <v>1.1820211708619771E-2</v>
      </c>
      <c r="Y26" s="172">
        <v>253080.66</v>
      </c>
      <c r="Z26" s="173">
        <f t="shared" si="11"/>
        <v>4.6289925297111713E-2</v>
      </c>
      <c r="AA26" s="172">
        <v>932493</v>
      </c>
      <c r="AB26" s="173">
        <f t="shared" si="12"/>
        <v>0.1705583955331853</v>
      </c>
      <c r="AC26" s="172">
        <f t="shared" si="13"/>
        <v>1185573.6599999999</v>
      </c>
      <c r="AD26" s="173">
        <f t="shared" si="14"/>
        <v>0.21684832083029701</v>
      </c>
      <c r="AE26" s="172">
        <v>1672597.26</v>
      </c>
      <c r="AF26" s="173">
        <f t="shared" si="15"/>
        <v>0.30592777108117913</v>
      </c>
      <c r="AG26" s="172">
        <v>0</v>
      </c>
      <c r="AH26" s="173">
        <f t="shared" si="16"/>
        <v>0</v>
      </c>
      <c r="AI26" s="172">
        <v>0</v>
      </c>
      <c r="AJ26" s="173">
        <f t="shared" si="17"/>
        <v>0</v>
      </c>
      <c r="AK26" s="172">
        <v>71924.7</v>
      </c>
      <c r="AL26" s="173">
        <f t="shared" si="18"/>
        <v>1.3155446133328285E-2</v>
      </c>
      <c r="AN26" s="72"/>
    </row>
    <row r="27" spans="2:40" s="73" customFormat="1" ht="14.25" customHeight="1">
      <c r="B27" s="549"/>
      <c r="C27" s="556"/>
      <c r="D27" s="171">
        <v>46097</v>
      </c>
      <c r="E27" s="171" t="s">
        <v>117</v>
      </c>
      <c r="F27" s="331">
        <f t="shared" si="0"/>
        <v>5222607.68</v>
      </c>
      <c r="G27" s="553"/>
      <c r="H27" s="555"/>
      <c r="I27" s="172">
        <v>821624.16000000015</v>
      </c>
      <c r="J27" s="173">
        <f t="shared" si="1"/>
        <v>0.15732067395114011</v>
      </c>
      <c r="K27" s="172">
        <v>1158382.2100000002</v>
      </c>
      <c r="L27" s="173">
        <f t="shared" si="2"/>
        <v>0.22180149859542969</v>
      </c>
      <c r="M27" s="172">
        <f t="shared" si="3"/>
        <v>1980006.3700000003</v>
      </c>
      <c r="N27" s="173">
        <f t="shared" ref="N27:N28" si="72">M27/$F27</f>
        <v>0.37912217254656977</v>
      </c>
      <c r="O27" s="172">
        <v>250081.2</v>
      </c>
      <c r="P27" s="173">
        <f t="shared" si="5"/>
        <v>4.7884354966521249E-2</v>
      </c>
      <c r="Q27" s="172">
        <v>155437</v>
      </c>
      <c r="R27" s="173">
        <f t="shared" si="6"/>
        <v>2.9762335125275964E-2</v>
      </c>
      <c r="S27" s="172">
        <f t="shared" si="7"/>
        <v>405518.2</v>
      </c>
      <c r="T27" s="173">
        <f t="shared" ref="T27:T28" si="73">S27/$F27</f>
        <v>7.7646690091797213E-2</v>
      </c>
      <c r="U27" s="172">
        <v>128918.03</v>
      </c>
      <c r="V27" s="173">
        <f t="shared" ref="V27:V28" si="74">U27/$F27</f>
        <v>2.4684609279324615E-2</v>
      </c>
      <c r="W27" s="172">
        <v>73732.210000000006</v>
      </c>
      <c r="X27" s="173">
        <f t="shared" si="10"/>
        <v>1.4117891773176424E-2</v>
      </c>
      <c r="Y27" s="172">
        <v>241896.97</v>
      </c>
      <c r="Z27" s="173">
        <f t="shared" si="11"/>
        <v>4.6317277655441282E-2</v>
      </c>
      <c r="AA27" s="172">
        <v>882633.85</v>
      </c>
      <c r="AB27" s="173">
        <f t="shared" si="12"/>
        <v>0.16900251829752605</v>
      </c>
      <c r="AC27" s="172">
        <f t="shared" si="13"/>
        <v>1124530.82</v>
      </c>
      <c r="AD27" s="173">
        <f t="shared" si="14"/>
        <v>0.21531979595296732</v>
      </c>
      <c r="AE27" s="172">
        <v>1439277.55</v>
      </c>
      <c r="AF27" s="173">
        <f t="shared" si="15"/>
        <v>0.27558599806600831</v>
      </c>
      <c r="AG27" s="172">
        <v>0</v>
      </c>
      <c r="AH27" s="173">
        <f t="shared" si="16"/>
        <v>0</v>
      </c>
      <c r="AI27" s="172">
        <v>0</v>
      </c>
      <c r="AJ27" s="173">
        <f t="shared" si="17"/>
        <v>0</v>
      </c>
      <c r="AK27" s="172">
        <v>70624.5</v>
      </c>
      <c r="AL27" s="173">
        <f t="shared" si="18"/>
        <v>1.3522842290156477E-2</v>
      </c>
      <c r="AN27" s="72"/>
    </row>
    <row r="28" spans="2:40" s="73" customFormat="1" ht="14.25" customHeight="1">
      <c r="B28" s="547">
        <f>D29+7</f>
        <v>46106</v>
      </c>
      <c r="C28" s="556"/>
      <c r="D28" s="171">
        <v>46098</v>
      </c>
      <c r="E28" s="171" t="s">
        <v>118</v>
      </c>
      <c r="F28" s="331">
        <f t="shared" si="0"/>
        <v>5386755.8800000008</v>
      </c>
      <c r="G28" s="553">
        <f t="shared" ref="G28" si="75">SUM(F28:F34)</f>
        <v>33319856.75</v>
      </c>
      <c r="H28" s="555"/>
      <c r="I28" s="172">
        <v>819850.68</v>
      </c>
      <c r="J28" s="173">
        <f t="shared" si="1"/>
        <v>0.15219748179863682</v>
      </c>
      <c r="K28" s="172">
        <v>1139067.08</v>
      </c>
      <c r="L28" s="173">
        <f t="shared" si="2"/>
        <v>0.21145697064705296</v>
      </c>
      <c r="M28" s="172">
        <f t="shared" si="3"/>
        <v>1958917.7600000002</v>
      </c>
      <c r="N28" s="173">
        <f t="shared" si="72"/>
        <v>0.36365445244568978</v>
      </c>
      <c r="O28" s="172">
        <v>338811.95999999996</v>
      </c>
      <c r="P28" s="173">
        <f t="shared" si="5"/>
        <v>6.2897218204735109E-2</v>
      </c>
      <c r="Q28" s="172">
        <v>160574.43</v>
      </c>
      <c r="R28" s="173">
        <f t="shared" si="6"/>
        <v>2.9809115834668189E-2</v>
      </c>
      <c r="S28" s="172">
        <f t="shared" si="7"/>
        <v>499386.38999999996</v>
      </c>
      <c r="T28" s="173">
        <f t="shared" si="73"/>
        <v>9.2706334039403301E-2</v>
      </c>
      <c r="U28" s="172">
        <v>128088.44</v>
      </c>
      <c r="V28" s="173">
        <f t="shared" si="74"/>
        <v>2.3778400739407554E-2</v>
      </c>
      <c r="W28" s="172">
        <v>69813.990000000005</v>
      </c>
      <c r="X28" s="173">
        <f t="shared" si="10"/>
        <v>1.2960303298541162E-2</v>
      </c>
      <c r="Y28" s="172">
        <v>225887.83000000002</v>
      </c>
      <c r="Z28" s="173">
        <f t="shared" si="11"/>
        <v>4.1933927401217222E-2</v>
      </c>
      <c r="AA28" s="172">
        <v>832095.48</v>
      </c>
      <c r="AB28" s="173">
        <f t="shared" si="12"/>
        <v>0.15447061246814842</v>
      </c>
      <c r="AC28" s="172">
        <f t="shared" si="13"/>
        <v>1057983.31</v>
      </c>
      <c r="AD28" s="173">
        <f t="shared" si="14"/>
        <v>0.19640453986936565</v>
      </c>
      <c r="AE28" s="172">
        <v>1599341.09</v>
      </c>
      <c r="AF28" s="173">
        <f t="shared" si="15"/>
        <v>0.29690246330598519</v>
      </c>
      <c r="AG28" s="172">
        <v>0</v>
      </c>
      <c r="AH28" s="173">
        <f t="shared" si="16"/>
        <v>0</v>
      </c>
      <c r="AI28" s="172">
        <v>0</v>
      </c>
      <c r="AJ28" s="173">
        <f t="shared" si="17"/>
        <v>0</v>
      </c>
      <c r="AK28" s="172">
        <v>73224.899999999994</v>
      </c>
      <c r="AL28" s="173">
        <f t="shared" si="18"/>
        <v>1.3593506301607263E-2</v>
      </c>
      <c r="AN28" s="72"/>
    </row>
    <row r="29" spans="2:40" s="73" customFormat="1" ht="14.25" customHeight="1">
      <c r="B29" s="548"/>
      <c r="C29" s="556"/>
      <c r="D29" s="171">
        <v>46099</v>
      </c>
      <c r="E29" s="171" t="s">
        <v>112</v>
      </c>
      <c r="F29" s="331">
        <f t="shared" si="0"/>
        <v>4992178.209999999</v>
      </c>
      <c r="G29" s="553"/>
      <c r="H29" s="555"/>
      <c r="I29" s="172">
        <v>797653.16999999993</v>
      </c>
      <c r="J29" s="173">
        <f t="shared" si="1"/>
        <v>0.15978058804114689</v>
      </c>
      <c r="K29" s="172">
        <v>1085995.0399999998</v>
      </c>
      <c r="L29" s="173">
        <f t="shared" si="2"/>
        <v>0.21753931737144455</v>
      </c>
      <c r="M29" s="172">
        <f t="shared" si="3"/>
        <v>1883648.2099999997</v>
      </c>
      <c r="N29" s="173">
        <f t="shared" ref="N29" si="76">M29/F29</f>
        <v>0.37731990541259147</v>
      </c>
      <c r="O29" s="172">
        <v>302953.40000000002</v>
      </c>
      <c r="P29" s="173">
        <f t="shared" si="5"/>
        <v>6.0685614025786171E-2</v>
      </c>
      <c r="Q29" s="172">
        <v>163103.89000000001</v>
      </c>
      <c r="R29" s="173">
        <f t="shared" si="6"/>
        <v>3.2671888530197334E-2</v>
      </c>
      <c r="S29" s="172">
        <f t="shared" si="7"/>
        <v>466057.29000000004</v>
      </c>
      <c r="T29" s="173">
        <f t="shared" ref="T29" si="77">S29/F29</f>
        <v>9.3357502555983504E-2</v>
      </c>
      <c r="U29" s="172">
        <v>112605.85999999999</v>
      </c>
      <c r="V29" s="173">
        <f t="shared" ref="V29" si="78">U29/F29</f>
        <v>2.2556458376112341E-2</v>
      </c>
      <c r="W29" s="172">
        <v>69856.5</v>
      </c>
      <c r="X29" s="173">
        <f t="shared" si="10"/>
        <v>1.3993190359284072E-2</v>
      </c>
      <c r="Y29" s="172">
        <v>185808.21000000002</v>
      </c>
      <c r="Z29" s="173">
        <f t="shared" si="11"/>
        <v>3.7219867197008587E-2</v>
      </c>
      <c r="AA29" s="172">
        <v>717688.72</v>
      </c>
      <c r="AB29" s="173">
        <f t="shared" si="12"/>
        <v>0.14376264023635488</v>
      </c>
      <c r="AC29" s="172">
        <f t="shared" si="13"/>
        <v>903496.92999999993</v>
      </c>
      <c r="AD29" s="173">
        <f t="shared" si="14"/>
        <v>0.18098250743336347</v>
      </c>
      <c r="AE29" s="172">
        <v>1481692.8199999998</v>
      </c>
      <c r="AF29" s="173">
        <f t="shared" si="15"/>
        <v>0.29680286994401989</v>
      </c>
      <c r="AG29" s="172">
        <v>0</v>
      </c>
      <c r="AH29" s="173">
        <f t="shared" si="16"/>
        <v>0</v>
      </c>
      <c r="AI29" s="172">
        <v>0</v>
      </c>
      <c r="AJ29" s="173">
        <f t="shared" si="17"/>
        <v>0</v>
      </c>
      <c r="AK29" s="172">
        <v>74820.599999999991</v>
      </c>
      <c r="AL29" s="173">
        <f t="shared" si="18"/>
        <v>1.4987565918645361E-2</v>
      </c>
      <c r="AN29" s="72"/>
    </row>
    <row r="30" spans="2:40" s="73" customFormat="1" ht="14.25" customHeight="1">
      <c r="B30" s="548"/>
      <c r="C30" s="556"/>
      <c r="D30" s="171">
        <v>46100</v>
      </c>
      <c r="E30" s="171" t="s">
        <v>113</v>
      </c>
      <c r="F30" s="331">
        <f t="shared" si="0"/>
        <v>4465947.1900000004</v>
      </c>
      <c r="G30" s="553"/>
      <c r="H30" s="555"/>
      <c r="I30" s="172">
        <v>775144.91</v>
      </c>
      <c r="J30" s="173">
        <f t="shared" si="1"/>
        <v>0.17356786299123253</v>
      </c>
      <c r="K30" s="172">
        <v>976799.45000000007</v>
      </c>
      <c r="L30" s="173">
        <f t="shared" si="2"/>
        <v>0.2187216750317193</v>
      </c>
      <c r="M30" s="172">
        <f t="shared" si="3"/>
        <v>1751944.36</v>
      </c>
      <c r="N30" s="173">
        <f t="shared" ref="N30" si="79">M30/$F30</f>
        <v>0.39228953802295186</v>
      </c>
      <c r="O30" s="172">
        <v>290629.45999999996</v>
      </c>
      <c r="P30" s="173">
        <f t="shared" si="5"/>
        <v>6.5076779378575658E-2</v>
      </c>
      <c r="Q30" s="172">
        <v>156703.49000000002</v>
      </c>
      <c r="R30" s="173">
        <f t="shared" si="6"/>
        <v>3.508852284480328E-2</v>
      </c>
      <c r="S30" s="172">
        <f t="shared" si="7"/>
        <v>447332.94999999995</v>
      </c>
      <c r="T30" s="173">
        <f t="shared" ref="T30" si="80">S30/$F30</f>
        <v>0.10016530222337894</v>
      </c>
      <c r="U30" s="172">
        <v>109740.16</v>
      </c>
      <c r="V30" s="173">
        <f t="shared" ref="V30" si="81">U30/$F30</f>
        <v>2.4572650622857007E-2</v>
      </c>
      <c r="W30" s="172">
        <v>69458.98000000001</v>
      </c>
      <c r="X30" s="173">
        <f t="shared" si="10"/>
        <v>1.5553023142667301E-2</v>
      </c>
      <c r="Y30" s="172">
        <v>176952.09</v>
      </c>
      <c r="Z30" s="173">
        <f t="shared" si="11"/>
        <v>3.9622521823864193E-2</v>
      </c>
      <c r="AA30" s="172">
        <v>591093.82000000007</v>
      </c>
      <c r="AB30" s="173">
        <f t="shared" si="12"/>
        <v>0.13235575676388597</v>
      </c>
      <c r="AC30" s="172">
        <f t="shared" si="13"/>
        <v>768045.91</v>
      </c>
      <c r="AD30" s="173">
        <f t="shared" si="14"/>
        <v>0.17197827858775017</v>
      </c>
      <c r="AE30" s="172">
        <v>1243895.03</v>
      </c>
      <c r="AF30" s="173">
        <f t="shared" si="15"/>
        <v>0.27852882649066879</v>
      </c>
      <c r="AG30" s="172">
        <v>0</v>
      </c>
      <c r="AH30" s="173">
        <f t="shared" si="16"/>
        <v>0</v>
      </c>
      <c r="AI30" s="172">
        <v>0</v>
      </c>
      <c r="AJ30" s="173">
        <f t="shared" si="17"/>
        <v>0</v>
      </c>
      <c r="AK30" s="172">
        <v>75529.8</v>
      </c>
      <c r="AL30" s="173">
        <f t="shared" si="18"/>
        <v>1.6912380909725893E-2</v>
      </c>
      <c r="AN30" s="72"/>
    </row>
    <row r="31" spans="2:40" s="73" customFormat="1" ht="14.25" customHeight="1">
      <c r="B31" s="548"/>
      <c r="C31" s="556"/>
      <c r="D31" s="171">
        <v>46101</v>
      </c>
      <c r="E31" s="171" t="s">
        <v>114</v>
      </c>
      <c r="F31" s="331">
        <f t="shared" si="0"/>
        <v>3808013.83</v>
      </c>
      <c r="G31" s="553"/>
      <c r="H31" s="555"/>
      <c r="I31" s="172">
        <v>589074.29999999993</v>
      </c>
      <c r="J31" s="173">
        <f t="shared" si="1"/>
        <v>0.15469331948303347</v>
      </c>
      <c r="K31" s="172">
        <v>892198.3600000001</v>
      </c>
      <c r="L31" s="173">
        <f t="shared" si="2"/>
        <v>0.23429493689627701</v>
      </c>
      <c r="M31" s="172">
        <f t="shared" si="3"/>
        <v>1481272.6600000001</v>
      </c>
      <c r="N31" s="173">
        <f t="shared" ref="N31" si="82">M31/F31</f>
        <v>0.3889882563793105</v>
      </c>
      <c r="O31" s="172">
        <v>236807.41000000003</v>
      </c>
      <c r="P31" s="173">
        <f t="shared" si="5"/>
        <v>6.2186594001944588E-2</v>
      </c>
      <c r="Q31" s="172">
        <v>125220.64000000001</v>
      </c>
      <c r="R31" s="173">
        <f t="shared" si="6"/>
        <v>3.2883452001538561E-2</v>
      </c>
      <c r="S31" s="172">
        <f t="shared" si="7"/>
        <v>362028.05000000005</v>
      </c>
      <c r="T31" s="173">
        <f t="shared" ref="T31" si="83">S31/F31</f>
        <v>9.507004600348315E-2</v>
      </c>
      <c r="U31" s="172">
        <v>91302.239999999991</v>
      </c>
      <c r="V31" s="173">
        <f t="shared" ref="V31" si="84">U31/F31</f>
        <v>2.3976341493486642E-2</v>
      </c>
      <c r="W31" s="172">
        <v>47037.68</v>
      </c>
      <c r="X31" s="173">
        <f t="shared" si="10"/>
        <v>1.235228707139438E-2</v>
      </c>
      <c r="Y31" s="172">
        <v>179620.28</v>
      </c>
      <c r="Z31" s="173">
        <f t="shared" si="11"/>
        <v>4.7169019866716184E-2</v>
      </c>
      <c r="AA31" s="172">
        <v>616121.14999999991</v>
      </c>
      <c r="AB31" s="173">
        <f t="shared" si="12"/>
        <v>0.16179593286823749</v>
      </c>
      <c r="AC31" s="172">
        <f t="shared" si="13"/>
        <v>795741.42999999993</v>
      </c>
      <c r="AD31" s="173">
        <f t="shared" si="14"/>
        <v>0.20896495273495366</v>
      </c>
      <c r="AE31" s="172">
        <v>964380.66999999993</v>
      </c>
      <c r="AF31" s="173">
        <f t="shared" si="15"/>
        <v>0.25325030660405978</v>
      </c>
      <c r="AG31" s="172">
        <v>0</v>
      </c>
      <c r="AH31" s="173">
        <f t="shared" si="16"/>
        <v>0</v>
      </c>
      <c r="AI31" s="172">
        <v>0</v>
      </c>
      <c r="AJ31" s="173">
        <f t="shared" si="17"/>
        <v>0</v>
      </c>
      <c r="AK31" s="172">
        <v>66251.099999999991</v>
      </c>
      <c r="AL31" s="173">
        <f t="shared" si="18"/>
        <v>1.7397809713311885E-2</v>
      </c>
      <c r="AN31" s="72"/>
    </row>
    <row r="32" spans="2:40" s="73" customFormat="1" ht="14.25" customHeight="1">
      <c r="B32" s="548"/>
      <c r="C32" s="556"/>
      <c r="D32" s="171">
        <v>46102</v>
      </c>
      <c r="E32" s="171" t="s">
        <v>115</v>
      </c>
      <c r="F32" s="331">
        <f t="shared" si="0"/>
        <v>4071503.5</v>
      </c>
      <c r="G32" s="553"/>
      <c r="H32" s="555"/>
      <c r="I32" s="172">
        <v>559096.29</v>
      </c>
      <c r="J32" s="173">
        <f t="shared" si="1"/>
        <v>0.13731936863126853</v>
      </c>
      <c r="K32" s="172">
        <v>995771.27</v>
      </c>
      <c r="L32" s="173">
        <f t="shared" si="2"/>
        <v>0.24457089868644347</v>
      </c>
      <c r="M32" s="172">
        <f t="shared" si="3"/>
        <v>1554867.56</v>
      </c>
      <c r="N32" s="173">
        <f t="shared" ref="N32" si="85">M32/$F32</f>
        <v>0.38189026731771203</v>
      </c>
      <c r="O32" s="172">
        <v>220236.06</v>
      </c>
      <c r="P32" s="173">
        <f t="shared" si="5"/>
        <v>5.4092071884501637E-2</v>
      </c>
      <c r="Q32" s="172">
        <v>119582.45999999999</v>
      </c>
      <c r="R32" s="173">
        <f t="shared" si="6"/>
        <v>2.9370590004405006E-2</v>
      </c>
      <c r="S32" s="172">
        <f t="shared" si="7"/>
        <v>339818.52</v>
      </c>
      <c r="T32" s="173">
        <f t="shared" ref="T32" si="86">S32/$F32</f>
        <v>8.346266188890665E-2</v>
      </c>
      <c r="U32" s="172">
        <v>93877.92</v>
      </c>
      <c r="V32" s="173">
        <f t="shared" ref="V32" si="87">U32/$F32</f>
        <v>2.3057310401427875E-2</v>
      </c>
      <c r="W32" s="172">
        <v>51233.119999999995</v>
      </c>
      <c r="X32" s="173">
        <f t="shared" si="10"/>
        <v>1.2583341755692951E-2</v>
      </c>
      <c r="Y32" s="172">
        <v>198581.46000000002</v>
      </c>
      <c r="Z32" s="173">
        <f t="shared" si="11"/>
        <v>4.8773496080747575E-2</v>
      </c>
      <c r="AA32" s="172">
        <v>704003.3</v>
      </c>
      <c r="AB32" s="173">
        <f t="shared" si="12"/>
        <v>0.17290990907904169</v>
      </c>
      <c r="AC32" s="172">
        <f t="shared" si="13"/>
        <v>902584.76</v>
      </c>
      <c r="AD32" s="173">
        <f t="shared" si="14"/>
        <v>0.22168340515978927</v>
      </c>
      <c r="AE32" s="172">
        <v>1061984.02</v>
      </c>
      <c r="AF32" s="173">
        <f t="shared" si="15"/>
        <v>0.2608333801014785</v>
      </c>
      <c r="AG32" s="172">
        <v>0</v>
      </c>
      <c r="AH32" s="173">
        <f t="shared" si="16"/>
        <v>0</v>
      </c>
      <c r="AI32" s="172">
        <v>0</v>
      </c>
      <c r="AJ32" s="173">
        <f t="shared" si="17"/>
        <v>0</v>
      </c>
      <c r="AK32" s="172">
        <v>67137.599999999991</v>
      </c>
      <c r="AL32" s="173">
        <f t="shared" si="18"/>
        <v>1.6489633374992797E-2</v>
      </c>
      <c r="AN32" s="72"/>
    </row>
    <row r="33" spans="2:40" s="73" customFormat="1" ht="14.25" customHeight="1">
      <c r="B33" s="548"/>
      <c r="C33" s="556"/>
      <c r="D33" s="171">
        <v>46103</v>
      </c>
      <c r="E33" s="171" t="s">
        <v>116</v>
      </c>
      <c r="F33" s="331">
        <f t="shared" si="0"/>
        <v>5501397.21</v>
      </c>
      <c r="G33" s="553"/>
      <c r="H33" s="555"/>
      <c r="I33" s="172">
        <v>841377.17999999993</v>
      </c>
      <c r="J33" s="173">
        <f t="shared" si="1"/>
        <v>0.15293881679196183</v>
      </c>
      <c r="K33" s="172">
        <v>1106539.44</v>
      </c>
      <c r="L33" s="173">
        <f t="shared" si="2"/>
        <v>0.20113789238643248</v>
      </c>
      <c r="M33" s="172">
        <f t="shared" si="3"/>
        <v>1947916.6199999999</v>
      </c>
      <c r="N33" s="173">
        <f t="shared" ref="N33" si="88">M33/F33</f>
        <v>0.35407670917839434</v>
      </c>
      <c r="O33" s="172">
        <v>322406.59999999998</v>
      </c>
      <c r="P33" s="173">
        <f t="shared" si="5"/>
        <v>5.8604494039069754E-2</v>
      </c>
      <c r="Q33" s="172">
        <v>152896.97</v>
      </c>
      <c r="R33" s="173">
        <f t="shared" si="6"/>
        <v>2.7792388762999356E-2</v>
      </c>
      <c r="S33" s="172">
        <f t="shared" si="7"/>
        <v>475303.56999999995</v>
      </c>
      <c r="T33" s="173">
        <f t="shared" ref="T33" si="89">S33/F33</f>
        <v>8.63968828020691E-2</v>
      </c>
      <c r="U33" s="172">
        <v>131149.62</v>
      </c>
      <c r="V33" s="173">
        <f t="shared" ref="V33" si="90">U33/F33</f>
        <v>2.3839329354660432E-2</v>
      </c>
      <c r="W33" s="172">
        <v>55524</v>
      </c>
      <c r="X33" s="173">
        <f t="shared" si="10"/>
        <v>1.0092708793881109E-2</v>
      </c>
      <c r="Y33" s="172">
        <v>230599.74000000002</v>
      </c>
      <c r="Z33" s="173">
        <f t="shared" si="11"/>
        <v>4.1916577043525277E-2</v>
      </c>
      <c r="AA33" s="172">
        <v>823314.61</v>
      </c>
      <c r="AB33" s="173">
        <f t="shared" si="12"/>
        <v>0.14965554723142777</v>
      </c>
      <c r="AC33" s="172">
        <f t="shared" si="13"/>
        <v>1053914.3500000001</v>
      </c>
      <c r="AD33" s="173">
        <f t="shared" si="14"/>
        <v>0.19157212427495307</v>
      </c>
      <c r="AE33" s="172">
        <v>1770333.25</v>
      </c>
      <c r="AF33" s="173">
        <f t="shared" si="15"/>
        <v>0.32179702399638221</v>
      </c>
      <c r="AG33" s="172">
        <v>0</v>
      </c>
      <c r="AH33" s="173">
        <f t="shared" si="16"/>
        <v>0</v>
      </c>
      <c r="AI33" s="172">
        <v>0</v>
      </c>
      <c r="AJ33" s="173">
        <f t="shared" si="17"/>
        <v>0</v>
      </c>
      <c r="AK33" s="172">
        <v>67255.8</v>
      </c>
      <c r="AL33" s="173">
        <f t="shared" si="18"/>
        <v>1.2225221599659771E-2</v>
      </c>
      <c r="AN33" s="72"/>
    </row>
    <row r="34" spans="2:40" s="73" customFormat="1" ht="14.25" customHeight="1">
      <c r="B34" s="549"/>
      <c r="C34" s="556"/>
      <c r="D34" s="171">
        <v>46104</v>
      </c>
      <c r="E34" s="171" t="s">
        <v>117</v>
      </c>
      <c r="F34" s="331">
        <f t="shared" si="0"/>
        <v>5094060.93</v>
      </c>
      <c r="G34" s="553"/>
      <c r="H34" s="555"/>
      <c r="I34" s="172">
        <v>777432.90999999992</v>
      </c>
      <c r="J34" s="173">
        <f t="shared" si="1"/>
        <v>0.15261554988899592</v>
      </c>
      <c r="K34" s="172">
        <v>1085000.6500000001</v>
      </c>
      <c r="L34" s="173">
        <f t="shared" si="2"/>
        <v>0.21299326115441658</v>
      </c>
      <c r="M34" s="172">
        <f t="shared" si="3"/>
        <v>1862433.56</v>
      </c>
      <c r="N34" s="173">
        <f t="shared" ref="N34:N35" si="91">M34/$F34</f>
        <v>0.36560881104341253</v>
      </c>
      <c r="O34" s="172">
        <v>287518.68000000005</v>
      </c>
      <c r="P34" s="173">
        <f t="shared" si="5"/>
        <v>5.6441939731568948E-2</v>
      </c>
      <c r="Q34" s="172">
        <v>155574.51</v>
      </c>
      <c r="R34" s="173">
        <f t="shared" si="6"/>
        <v>3.054037086281966E-2</v>
      </c>
      <c r="S34" s="172">
        <f t="shared" si="7"/>
        <v>443093.19000000006</v>
      </c>
      <c r="T34" s="173">
        <f t="shared" ref="T34:T35" si="92">S34/$F34</f>
        <v>8.6982310594388615E-2</v>
      </c>
      <c r="U34" s="172">
        <v>120567.11</v>
      </c>
      <c r="V34" s="173">
        <f t="shared" ref="V34:V35" si="93">U34/$F34</f>
        <v>2.3668171947052077E-2</v>
      </c>
      <c r="W34" s="172">
        <v>65519.41</v>
      </c>
      <c r="X34" s="173">
        <f t="shared" si="10"/>
        <v>1.2861921147064099E-2</v>
      </c>
      <c r="Y34" s="172">
        <v>229237.26</v>
      </c>
      <c r="Z34" s="173">
        <f t="shared" si="11"/>
        <v>4.5000886944632605E-2</v>
      </c>
      <c r="AA34" s="172">
        <v>765801.78</v>
      </c>
      <c r="AB34" s="173">
        <f t="shared" si="12"/>
        <v>0.15033227723878051</v>
      </c>
      <c r="AC34" s="172">
        <f t="shared" si="13"/>
        <v>995039.04</v>
      </c>
      <c r="AD34" s="173">
        <f t="shared" si="14"/>
        <v>0.19533316418341312</v>
      </c>
      <c r="AE34" s="172">
        <v>1539798.2199999997</v>
      </c>
      <c r="AF34" s="173">
        <f t="shared" si="15"/>
        <v>0.30227322388937344</v>
      </c>
      <c r="AG34" s="172">
        <v>0</v>
      </c>
      <c r="AH34" s="173">
        <f t="shared" si="16"/>
        <v>0</v>
      </c>
      <c r="AI34" s="172">
        <v>0</v>
      </c>
      <c r="AJ34" s="173">
        <f t="shared" si="17"/>
        <v>0</v>
      </c>
      <c r="AK34" s="172">
        <v>67610.399999999994</v>
      </c>
      <c r="AL34" s="173">
        <f t="shared" si="18"/>
        <v>1.327239719529621E-2</v>
      </c>
      <c r="AN34" s="72"/>
    </row>
    <row r="35" spans="2:40" s="73" customFormat="1" ht="14.25" customHeight="1">
      <c r="B35" s="547">
        <f>D36+7</f>
        <v>46113</v>
      </c>
      <c r="C35" s="556"/>
      <c r="D35" s="171">
        <v>46105</v>
      </c>
      <c r="E35" s="171" t="s">
        <v>118</v>
      </c>
      <c r="F35" s="331">
        <f t="shared" si="0"/>
        <v>4902681.6100000013</v>
      </c>
      <c r="G35" s="553">
        <f t="shared" ref="G35" si="94">SUM(F35:F41)</f>
        <v>32252126.790000007</v>
      </c>
      <c r="H35" s="555"/>
      <c r="I35" s="172">
        <v>755646.37</v>
      </c>
      <c r="J35" s="173">
        <f t="shared" si="1"/>
        <v>0.15412919502231348</v>
      </c>
      <c r="K35" s="172">
        <v>1062250.7300000004</v>
      </c>
      <c r="L35" s="173">
        <f t="shared" si="2"/>
        <v>0.21666728833325161</v>
      </c>
      <c r="M35" s="172">
        <f t="shared" si="3"/>
        <v>1817897.1000000006</v>
      </c>
      <c r="N35" s="173">
        <f t="shared" si="91"/>
        <v>0.37079648335556509</v>
      </c>
      <c r="O35" s="172">
        <v>289343.34000000003</v>
      </c>
      <c r="P35" s="173">
        <f t="shared" si="5"/>
        <v>5.901736294884545E-2</v>
      </c>
      <c r="Q35" s="172">
        <v>155689.04</v>
      </c>
      <c r="R35" s="173">
        <f t="shared" si="6"/>
        <v>3.1755894505252194E-2</v>
      </c>
      <c r="S35" s="172">
        <f t="shared" si="7"/>
        <v>445032.38</v>
      </c>
      <c r="T35" s="173">
        <f t="shared" si="92"/>
        <v>9.0773257454097631E-2</v>
      </c>
      <c r="U35" s="172">
        <v>118411.66</v>
      </c>
      <c r="V35" s="173">
        <f t="shared" si="93"/>
        <v>2.4152427063278126E-2</v>
      </c>
      <c r="W35" s="172">
        <v>60207.69</v>
      </c>
      <c r="X35" s="173">
        <f t="shared" si="10"/>
        <v>1.228056292237994E-2</v>
      </c>
      <c r="Y35" s="172">
        <v>217826.49000000002</v>
      </c>
      <c r="Z35" s="173">
        <f t="shared" si="11"/>
        <v>4.4430070587431023E-2</v>
      </c>
      <c r="AA35" s="172">
        <v>733801.88</v>
      </c>
      <c r="AB35" s="173">
        <f t="shared" si="12"/>
        <v>0.14967357425439662</v>
      </c>
      <c r="AC35" s="172">
        <f t="shared" si="13"/>
        <v>951628.37</v>
      </c>
      <c r="AD35" s="173">
        <f t="shared" si="14"/>
        <v>0.19410364484182765</v>
      </c>
      <c r="AE35" s="172">
        <v>1437166.01</v>
      </c>
      <c r="AF35" s="173">
        <f t="shared" si="15"/>
        <v>0.29313876044257331</v>
      </c>
      <c r="AG35" s="172">
        <v>0</v>
      </c>
      <c r="AH35" s="173">
        <f t="shared" si="16"/>
        <v>0</v>
      </c>
      <c r="AI35" s="172">
        <v>0</v>
      </c>
      <c r="AJ35" s="173">
        <f t="shared" si="17"/>
        <v>0</v>
      </c>
      <c r="AK35" s="172">
        <v>72338.399999999994</v>
      </c>
      <c r="AL35" s="173">
        <f t="shared" si="18"/>
        <v>1.4754863920278105E-2</v>
      </c>
      <c r="AN35" s="72"/>
    </row>
    <row r="36" spans="2:40" s="73" customFormat="1" ht="14.25" customHeight="1">
      <c r="B36" s="548"/>
      <c r="C36" s="556"/>
      <c r="D36" s="171">
        <v>46106</v>
      </c>
      <c r="E36" s="171" t="s">
        <v>112</v>
      </c>
      <c r="F36" s="331">
        <f t="shared" si="0"/>
        <v>4675847.41</v>
      </c>
      <c r="G36" s="553"/>
      <c r="H36" s="555"/>
      <c r="I36" s="172">
        <v>743118.09</v>
      </c>
      <c r="J36" s="173">
        <f t="shared" si="1"/>
        <v>0.15892693341761552</v>
      </c>
      <c r="K36" s="172">
        <v>1013465.1400000001</v>
      </c>
      <c r="L36" s="173">
        <f t="shared" si="2"/>
        <v>0.21674469911754457</v>
      </c>
      <c r="M36" s="172">
        <f t="shared" si="3"/>
        <v>1756583.23</v>
      </c>
      <c r="N36" s="173">
        <f t="shared" ref="N36" si="95">M36/F36</f>
        <v>0.37567163253516006</v>
      </c>
      <c r="O36" s="172">
        <v>287140.96999999997</v>
      </c>
      <c r="P36" s="173">
        <f t="shared" si="5"/>
        <v>6.1409397018796205E-2</v>
      </c>
      <c r="Q36" s="172">
        <v>157036.26</v>
      </c>
      <c r="R36" s="173">
        <f t="shared" si="6"/>
        <v>3.3584556173530053E-2</v>
      </c>
      <c r="S36" s="172">
        <f t="shared" si="7"/>
        <v>444177.23</v>
      </c>
      <c r="T36" s="173">
        <f t="shared" ref="T36" si="96">S36/F36</f>
        <v>9.4993953192326258E-2</v>
      </c>
      <c r="U36" s="172">
        <v>110618.09999999999</v>
      </c>
      <c r="V36" s="173">
        <f t="shared" ref="V36" si="97">U36/F36</f>
        <v>2.3657337440787015E-2</v>
      </c>
      <c r="W36" s="172">
        <v>60606.22</v>
      </c>
      <c r="X36" s="173">
        <f t="shared" si="10"/>
        <v>1.2961547861973536E-2</v>
      </c>
      <c r="Y36" s="172">
        <v>193245.08000000002</v>
      </c>
      <c r="Z36" s="173">
        <f t="shared" si="11"/>
        <v>4.1328354639357232E-2</v>
      </c>
      <c r="AA36" s="172">
        <v>643602.93999999994</v>
      </c>
      <c r="AB36" s="173">
        <f t="shared" si="12"/>
        <v>0.13764412812607157</v>
      </c>
      <c r="AC36" s="172">
        <f t="shared" si="13"/>
        <v>836848.02</v>
      </c>
      <c r="AD36" s="173">
        <f t="shared" si="14"/>
        <v>0.17897248276542882</v>
      </c>
      <c r="AE36" s="172">
        <v>1387879.7099999997</v>
      </c>
      <c r="AF36" s="173">
        <f t="shared" si="15"/>
        <v>0.29681886261553597</v>
      </c>
      <c r="AG36" s="172">
        <v>0</v>
      </c>
      <c r="AH36" s="173">
        <f t="shared" si="16"/>
        <v>0</v>
      </c>
      <c r="AI36" s="172">
        <v>0</v>
      </c>
      <c r="AJ36" s="173">
        <f t="shared" si="17"/>
        <v>0</v>
      </c>
      <c r="AK36" s="172">
        <v>79134.899999999994</v>
      </c>
      <c r="AL36" s="173">
        <f t="shared" si="18"/>
        <v>1.6924183588788239E-2</v>
      </c>
      <c r="AN36" s="72"/>
    </row>
    <row r="37" spans="2:40" s="73" customFormat="1" ht="14.25" customHeight="1">
      <c r="B37" s="548"/>
      <c r="C37" s="556"/>
      <c r="D37" s="171">
        <v>46107</v>
      </c>
      <c r="E37" s="171" t="s">
        <v>113</v>
      </c>
      <c r="F37" s="331">
        <f t="shared" si="0"/>
        <v>4316808.2699999996</v>
      </c>
      <c r="G37" s="553"/>
      <c r="H37" s="555"/>
      <c r="I37" s="172">
        <v>721209.32</v>
      </c>
      <c r="J37" s="173">
        <f t="shared" si="1"/>
        <v>0.16707003760442668</v>
      </c>
      <c r="K37" s="172">
        <v>906975.33000000007</v>
      </c>
      <c r="L37" s="173">
        <f t="shared" si="2"/>
        <v>0.21010322286099589</v>
      </c>
      <c r="M37" s="172">
        <f t="shared" si="3"/>
        <v>1628184.65</v>
      </c>
      <c r="N37" s="173">
        <f t="shared" ref="N37" si="98">M37/$F37</f>
        <v>0.37717326046542254</v>
      </c>
      <c r="O37" s="172">
        <v>286028.63</v>
      </c>
      <c r="P37" s="173">
        <f t="shared" si="5"/>
        <v>6.6259285126879175E-2</v>
      </c>
      <c r="Q37" s="172">
        <v>161599.25</v>
      </c>
      <c r="R37" s="173">
        <f t="shared" si="6"/>
        <v>3.7434891682136262E-2</v>
      </c>
      <c r="S37" s="172">
        <f t="shared" si="7"/>
        <v>447627.88</v>
      </c>
      <c r="T37" s="173">
        <f t="shared" ref="T37" si="99">S37/$F37</f>
        <v>0.10369417680901544</v>
      </c>
      <c r="U37" s="172">
        <v>108568.76999999999</v>
      </c>
      <c r="V37" s="173">
        <f t="shared" ref="V37" si="100">U37/$F37</f>
        <v>2.5150241384243828E-2</v>
      </c>
      <c r="W37" s="172">
        <v>58938.020000000004</v>
      </c>
      <c r="X37" s="173">
        <f t="shared" si="10"/>
        <v>1.3653147490842813E-2</v>
      </c>
      <c r="Y37" s="172">
        <v>179904.13</v>
      </c>
      <c r="Z37" s="173">
        <f t="shared" si="11"/>
        <v>4.1675265322821488E-2</v>
      </c>
      <c r="AA37" s="172">
        <v>549156.75</v>
      </c>
      <c r="AB37" s="173">
        <f t="shared" si="12"/>
        <v>0.12721360682530383</v>
      </c>
      <c r="AC37" s="172">
        <f t="shared" si="13"/>
        <v>729060.88</v>
      </c>
      <c r="AD37" s="173">
        <f t="shared" si="14"/>
        <v>0.16888887214812534</v>
      </c>
      <c r="AE37" s="172">
        <v>1265411.3699999999</v>
      </c>
      <c r="AF37" s="173">
        <f t="shared" si="15"/>
        <v>0.29313587513118805</v>
      </c>
      <c r="AG37" s="172">
        <v>0</v>
      </c>
      <c r="AH37" s="173">
        <f t="shared" si="16"/>
        <v>0</v>
      </c>
      <c r="AI37" s="172">
        <v>0</v>
      </c>
      <c r="AJ37" s="173">
        <f t="shared" si="17"/>
        <v>0</v>
      </c>
      <c r="AK37" s="172">
        <v>79016.7</v>
      </c>
      <c r="AL37" s="173">
        <f t="shared" si="18"/>
        <v>1.8304426571162033E-2</v>
      </c>
      <c r="AN37" s="72"/>
    </row>
    <row r="38" spans="2:40" s="73" customFormat="1" ht="14.25" customHeight="1">
      <c r="B38" s="548"/>
      <c r="C38" s="556"/>
      <c r="D38" s="171">
        <v>46108</v>
      </c>
      <c r="E38" s="171" t="s">
        <v>114</v>
      </c>
      <c r="F38" s="331">
        <f t="shared" si="0"/>
        <v>3793881.7500000005</v>
      </c>
      <c r="G38" s="553"/>
      <c r="H38" s="555"/>
      <c r="I38" s="172">
        <v>549545.15000000014</v>
      </c>
      <c r="J38" s="173">
        <f t="shared" si="1"/>
        <v>0.14485036335146714</v>
      </c>
      <c r="K38" s="172">
        <v>855229.01</v>
      </c>
      <c r="L38" s="173">
        <f t="shared" si="2"/>
        <v>0.22542321199125406</v>
      </c>
      <c r="M38" s="172">
        <f t="shared" si="3"/>
        <v>1404774.1600000001</v>
      </c>
      <c r="N38" s="173">
        <f t="shared" ref="N38" si="101">M38/F38</f>
        <v>0.37027357534272121</v>
      </c>
      <c r="O38" s="172">
        <v>209172.45</v>
      </c>
      <c r="P38" s="173">
        <f t="shared" si="5"/>
        <v>5.5134151189609425E-2</v>
      </c>
      <c r="Q38" s="172">
        <v>125425.96000000002</v>
      </c>
      <c r="R38" s="173">
        <f t="shared" si="6"/>
        <v>3.3060060451277906E-2</v>
      </c>
      <c r="S38" s="172">
        <f t="shared" si="7"/>
        <v>334598.41000000003</v>
      </c>
      <c r="T38" s="173">
        <f t="shared" ref="T38" si="102">S38/F38</f>
        <v>8.8194211640887324E-2</v>
      </c>
      <c r="U38" s="172">
        <v>91175.07</v>
      </c>
      <c r="V38" s="173">
        <f t="shared" ref="V38" si="103">U38/F38</f>
        <v>2.403213278853512E-2</v>
      </c>
      <c r="W38" s="172">
        <v>42006.2</v>
      </c>
      <c r="X38" s="173">
        <f t="shared" si="10"/>
        <v>1.1072089951143045E-2</v>
      </c>
      <c r="Y38" s="172">
        <v>177917.18000000002</v>
      </c>
      <c r="Z38" s="173">
        <f t="shared" si="11"/>
        <v>4.6895815875125785E-2</v>
      </c>
      <c r="AA38" s="172">
        <v>587884.92999999993</v>
      </c>
      <c r="AB38" s="173">
        <f t="shared" si="12"/>
        <v>0.1549560499612303</v>
      </c>
      <c r="AC38" s="172">
        <f t="shared" si="13"/>
        <v>765802.11</v>
      </c>
      <c r="AD38" s="173">
        <f t="shared" si="14"/>
        <v>0.20185186583635609</v>
      </c>
      <c r="AE38" s="172">
        <v>1086851.6000000001</v>
      </c>
      <c r="AF38" s="173">
        <f t="shared" si="15"/>
        <v>0.28647482225823195</v>
      </c>
      <c r="AG38" s="172">
        <v>0</v>
      </c>
      <c r="AH38" s="173">
        <f t="shared" si="16"/>
        <v>0</v>
      </c>
      <c r="AI38" s="172">
        <v>0</v>
      </c>
      <c r="AJ38" s="173">
        <f t="shared" si="17"/>
        <v>0</v>
      </c>
      <c r="AK38" s="172">
        <v>68674.2</v>
      </c>
      <c r="AL38" s="173">
        <f t="shared" si="18"/>
        <v>1.8101302182125203E-2</v>
      </c>
      <c r="AN38" s="72"/>
    </row>
    <row r="39" spans="2:40" s="73" customFormat="1" ht="14.25" customHeight="1">
      <c r="B39" s="548"/>
      <c r="C39" s="556"/>
      <c r="D39" s="171">
        <v>46109</v>
      </c>
      <c r="E39" s="171" t="s">
        <v>115</v>
      </c>
      <c r="F39" s="331">
        <f t="shared" si="0"/>
        <v>4079657.8599999994</v>
      </c>
      <c r="G39" s="553"/>
      <c r="H39" s="555"/>
      <c r="I39" s="172">
        <v>525934.67999999993</v>
      </c>
      <c r="J39" s="173">
        <f t="shared" si="1"/>
        <v>0.12891636947221843</v>
      </c>
      <c r="K39" s="172">
        <v>985718.8899999999</v>
      </c>
      <c r="L39" s="173">
        <f t="shared" si="2"/>
        <v>0.2416180287236146</v>
      </c>
      <c r="M39" s="172">
        <f t="shared" si="3"/>
        <v>1511653.5699999998</v>
      </c>
      <c r="N39" s="173">
        <f t="shared" ref="N39" si="104">M39/$F39</f>
        <v>0.37053439819583306</v>
      </c>
      <c r="O39" s="172">
        <v>194490.30000000002</v>
      </c>
      <c r="P39" s="173">
        <f t="shared" si="5"/>
        <v>4.767318894727119E-2</v>
      </c>
      <c r="Q39" s="172">
        <v>120338.01000000001</v>
      </c>
      <c r="R39" s="173">
        <f t="shared" si="6"/>
        <v>2.9497083855948653E-2</v>
      </c>
      <c r="S39" s="172">
        <f t="shared" si="7"/>
        <v>314828.31000000006</v>
      </c>
      <c r="T39" s="173">
        <f t="shared" ref="T39" si="105">S39/$F39</f>
        <v>7.717027280321985E-2</v>
      </c>
      <c r="U39" s="172">
        <v>97445.98000000001</v>
      </c>
      <c r="V39" s="173">
        <f t="shared" ref="V39" si="106">U39/$F39</f>
        <v>2.3885821640935355E-2</v>
      </c>
      <c r="W39" s="172">
        <v>52274.46</v>
      </c>
      <c r="X39" s="173">
        <f t="shared" si="10"/>
        <v>1.281344215468108E-2</v>
      </c>
      <c r="Y39" s="172">
        <v>203009.52000000002</v>
      </c>
      <c r="Z39" s="173">
        <f t="shared" si="11"/>
        <v>4.9761408178478982E-2</v>
      </c>
      <c r="AA39" s="172">
        <v>652511.22</v>
      </c>
      <c r="AB39" s="173">
        <f t="shared" si="12"/>
        <v>0.15994263303246711</v>
      </c>
      <c r="AC39" s="172">
        <f t="shared" si="13"/>
        <v>855520.74</v>
      </c>
      <c r="AD39" s="173">
        <f t="shared" si="14"/>
        <v>0.20970404121094607</v>
      </c>
      <c r="AE39" s="172">
        <v>1182747.5</v>
      </c>
      <c r="AF39" s="173">
        <f t="shared" si="15"/>
        <v>0.28991340465006549</v>
      </c>
      <c r="AG39" s="172">
        <v>0</v>
      </c>
      <c r="AH39" s="173">
        <f t="shared" si="16"/>
        <v>0</v>
      </c>
      <c r="AI39" s="172">
        <v>0</v>
      </c>
      <c r="AJ39" s="173">
        <f t="shared" si="17"/>
        <v>0</v>
      </c>
      <c r="AK39" s="172">
        <v>65187.299999999996</v>
      </c>
      <c r="AL39" s="173">
        <f t="shared" si="18"/>
        <v>1.5978619344319232E-2</v>
      </c>
      <c r="AN39" s="72"/>
    </row>
    <row r="40" spans="2:40" s="73" customFormat="1" ht="14.25" customHeight="1">
      <c r="B40" s="548"/>
      <c r="C40" s="556"/>
      <c r="D40" s="171">
        <v>46110</v>
      </c>
      <c r="E40" s="171" t="s">
        <v>116</v>
      </c>
      <c r="F40" s="331">
        <f t="shared" si="0"/>
        <v>5382127.5800000001</v>
      </c>
      <c r="G40" s="553"/>
      <c r="H40" s="555"/>
      <c r="I40" s="172">
        <v>788879.20000000007</v>
      </c>
      <c r="J40" s="173">
        <f t="shared" si="1"/>
        <v>0.14657385732205183</v>
      </c>
      <c r="K40" s="172">
        <v>1088017.77</v>
      </c>
      <c r="L40" s="173">
        <f t="shared" si="2"/>
        <v>0.20215384229149025</v>
      </c>
      <c r="M40" s="172">
        <f t="shared" si="3"/>
        <v>1876896.9700000002</v>
      </c>
      <c r="N40" s="173">
        <f t="shared" ref="N40" si="107">M40/F40</f>
        <v>0.34872769961354211</v>
      </c>
      <c r="O40" s="172">
        <v>291133.39</v>
      </c>
      <c r="P40" s="173">
        <f t="shared" si="5"/>
        <v>5.4092621490774845E-2</v>
      </c>
      <c r="Q40" s="172">
        <v>153893.88</v>
      </c>
      <c r="R40" s="173">
        <f t="shared" si="6"/>
        <v>2.859350279466991E-2</v>
      </c>
      <c r="S40" s="172">
        <f t="shared" si="7"/>
        <v>445027.27</v>
      </c>
      <c r="T40" s="173">
        <f t="shared" ref="T40" si="108">S40/F40</f>
        <v>8.2686124285444751E-2</v>
      </c>
      <c r="U40" s="172">
        <v>129861.94</v>
      </c>
      <c r="V40" s="173">
        <f t="shared" ref="V40" si="109">U40/F40</f>
        <v>2.4128365236559479E-2</v>
      </c>
      <c r="W40" s="172">
        <v>51682.05</v>
      </c>
      <c r="X40" s="173">
        <f t="shared" si="10"/>
        <v>9.6025315698666514E-3</v>
      </c>
      <c r="Y40" s="172">
        <v>229691.42</v>
      </c>
      <c r="Z40" s="173">
        <f t="shared" si="11"/>
        <v>4.2676695523445767E-2</v>
      </c>
      <c r="AA40" s="172">
        <v>775022.29</v>
      </c>
      <c r="AB40" s="173">
        <f t="shared" si="12"/>
        <v>0.14399924165305647</v>
      </c>
      <c r="AC40" s="172">
        <f t="shared" si="13"/>
        <v>1004713.7100000001</v>
      </c>
      <c r="AD40" s="173">
        <f t="shared" si="14"/>
        <v>0.18667593717650224</v>
      </c>
      <c r="AE40" s="172">
        <v>1809231.1400000001</v>
      </c>
      <c r="AF40" s="173">
        <f t="shared" si="15"/>
        <v>0.33615537965378373</v>
      </c>
      <c r="AG40" s="172">
        <v>0</v>
      </c>
      <c r="AH40" s="173">
        <f t="shared" si="16"/>
        <v>0</v>
      </c>
      <c r="AI40" s="172">
        <v>0</v>
      </c>
      <c r="AJ40" s="173">
        <f t="shared" si="17"/>
        <v>0</v>
      </c>
      <c r="AK40" s="172">
        <v>64714.5</v>
      </c>
      <c r="AL40" s="173">
        <f t="shared" si="18"/>
        <v>1.2023962464301152E-2</v>
      </c>
      <c r="AN40" s="72"/>
    </row>
    <row r="41" spans="2:40" s="73" customFormat="1" ht="14.25" customHeight="1">
      <c r="B41" s="549"/>
      <c r="C41" s="557"/>
      <c r="D41" s="171">
        <v>46111</v>
      </c>
      <c r="E41" s="171" t="s">
        <v>117</v>
      </c>
      <c r="F41" s="331">
        <f t="shared" si="0"/>
        <v>5101122.3100000005</v>
      </c>
      <c r="G41" s="553"/>
      <c r="H41" s="555"/>
      <c r="I41" s="172">
        <v>761016.3</v>
      </c>
      <c r="J41" s="173">
        <f t="shared" si="1"/>
        <v>0.14918605235325164</v>
      </c>
      <c r="K41" s="172">
        <v>1167159.9000000001</v>
      </c>
      <c r="L41" s="173">
        <f t="shared" si="2"/>
        <v>0.22880453144829613</v>
      </c>
      <c r="M41" s="172">
        <f t="shared" si="3"/>
        <v>1928176.2000000002</v>
      </c>
      <c r="N41" s="173">
        <f t="shared" ref="N41:N42" si="110">M41/$F41</f>
        <v>0.37799058380154776</v>
      </c>
      <c r="O41" s="172">
        <v>271256.50000000006</v>
      </c>
      <c r="P41" s="173">
        <f t="shared" si="5"/>
        <v>5.3175847100988258E-2</v>
      </c>
      <c r="Q41" s="172">
        <v>154333.82</v>
      </c>
      <c r="R41" s="173">
        <f t="shared" si="6"/>
        <v>3.0254875421718713E-2</v>
      </c>
      <c r="S41" s="172">
        <f t="shared" si="7"/>
        <v>425590.32000000007</v>
      </c>
      <c r="T41" s="173">
        <f t="shared" ref="T41:T42" si="111">S41/$F41</f>
        <v>8.3430722522706974E-2</v>
      </c>
      <c r="U41" s="172">
        <v>120911.18999999999</v>
      </c>
      <c r="V41" s="173">
        <f t="shared" ref="V41:V42" si="112">U41/$F41</f>
        <v>2.3702860400538008E-2</v>
      </c>
      <c r="W41" s="172">
        <v>61422.080000000002</v>
      </c>
      <c r="X41" s="173">
        <f t="shared" si="10"/>
        <v>1.2040895369160438E-2</v>
      </c>
      <c r="Y41" s="172">
        <v>224525.35</v>
      </c>
      <c r="Z41" s="173">
        <f t="shared" si="11"/>
        <v>4.4014892479611996E-2</v>
      </c>
      <c r="AA41" s="172">
        <v>716940.78</v>
      </c>
      <c r="AB41" s="173">
        <f t="shared" si="12"/>
        <v>0.14054569493355276</v>
      </c>
      <c r="AC41" s="172">
        <f t="shared" si="13"/>
        <v>941466.13</v>
      </c>
      <c r="AD41" s="173">
        <f t="shared" si="14"/>
        <v>0.18456058741316475</v>
      </c>
      <c r="AE41" s="172">
        <v>1551868.09</v>
      </c>
      <c r="AF41" s="173">
        <f t="shared" si="15"/>
        <v>0.30422091369144211</v>
      </c>
      <c r="AG41" s="172">
        <v>0</v>
      </c>
      <c r="AH41" s="173">
        <f t="shared" si="16"/>
        <v>0</v>
      </c>
      <c r="AI41" s="172">
        <v>0</v>
      </c>
      <c r="AJ41" s="173">
        <f t="shared" si="17"/>
        <v>0</v>
      </c>
      <c r="AK41" s="172">
        <v>71688.3</v>
      </c>
      <c r="AL41" s="173">
        <f t="shared" si="18"/>
        <v>1.4053436801439877E-2</v>
      </c>
      <c r="AN41" s="72"/>
    </row>
    <row r="42" spans="2:40" s="73" customFormat="1" ht="14.25" customHeight="1">
      <c r="B42" s="547">
        <f>D43+7</f>
        <v>46120</v>
      </c>
      <c r="C42" s="550"/>
      <c r="D42" s="171">
        <v>46112</v>
      </c>
      <c r="E42" s="171" t="s">
        <v>118</v>
      </c>
      <c r="F42" s="331">
        <f t="shared" si="0"/>
        <v>5566321.9800000004</v>
      </c>
      <c r="G42" s="553">
        <f t="shared" ref="G42" si="113">SUM(F42:F48)</f>
        <v>30121754.649999999</v>
      </c>
      <c r="H42" s="555"/>
      <c r="I42" s="172">
        <v>752249.45</v>
      </c>
      <c r="J42" s="173">
        <f t="shared" si="1"/>
        <v>0.13514299975870239</v>
      </c>
      <c r="K42" s="172">
        <v>1129332.2199999997</v>
      </c>
      <c r="L42" s="173">
        <f t="shared" si="2"/>
        <v>0.20288661418756082</v>
      </c>
      <c r="M42" s="172">
        <f t="shared" si="3"/>
        <v>1881581.6699999997</v>
      </c>
      <c r="N42" s="173">
        <f t="shared" si="110"/>
        <v>0.33802961394626324</v>
      </c>
      <c r="O42" s="172">
        <v>273203.44</v>
      </c>
      <c r="P42" s="173">
        <f t="shared" si="5"/>
        <v>4.9081501390259137E-2</v>
      </c>
      <c r="Q42" s="172">
        <v>158294.29</v>
      </c>
      <c r="R42" s="173">
        <f t="shared" si="6"/>
        <v>2.8437860865533328E-2</v>
      </c>
      <c r="S42" s="172">
        <f t="shared" si="7"/>
        <v>431497.73</v>
      </c>
      <c r="T42" s="173">
        <f t="shared" si="111"/>
        <v>7.7519362255792465E-2</v>
      </c>
      <c r="U42" s="172">
        <v>121140.07</v>
      </c>
      <c r="V42" s="173">
        <f t="shared" si="112"/>
        <v>2.176303678358182E-2</v>
      </c>
      <c r="W42" s="172">
        <v>55570.200000000004</v>
      </c>
      <c r="X42" s="173">
        <f t="shared" si="10"/>
        <v>9.9832888215352581E-3</v>
      </c>
      <c r="Y42" s="172">
        <v>210219.31</v>
      </c>
      <c r="Z42" s="173">
        <f t="shared" si="11"/>
        <v>3.776628638359867E-2</v>
      </c>
      <c r="AA42" s="172">
        <v>691696.28</v>
      </c>
      <c r="AB42" s="173">
        <f t="shared" si="12"/>
        <v>0.12426451119523632</v>
      </c>
      <c r="AC42" s="172">
        <f t="shared" si="13"/>
        <v>901915.59000000008</v>
      </c>
      <c r="AD42" s="173">
        <f t="shared" si="14"/>
        <v>0.16203079757883498</v>
      </c>
      <c r="AE42" s="172">
        <v>2104169.5200000005</v>
      </c>
      <c r="AF42" s="173">
        <f t="shared" si="15"/>
        <v>0.37801793133066303</v>
      </c>
      <c r="AG42" s="172">
        <v>0</v>
      </c>
      <c r="AH42" s="173">
        <f t="shared" si="16"/>
        <v>0</v>
      </c>
      <c r="AI42" s="172">
        <v>0</v>
      </c>
      <c r="AJ42" s="173">
        <f t="shared" si="17"/>
        <v>0</v>
      </c>
      <c r="AK42" s="172">
        <v>70447.199999999997</v>
      </c>
      <c r="AL42" s="173">
        <f t="shared" si="18"/>
        <v>1.2655969283329167E-2</v>
      </c>
      <c r="AN42" s="72"/>
    </row>
    <row r="43" spans="2:40" s="73" customFormat="1" ht="14.25" customHeight="1">
      <c r="B43" s="548"/>
      <c r="C43" s="550"/>
      <c r="D43" s="171">
        <v>46113</v>
      </c>
      <c r="E43" s="171" t="s">
        <v>112</v>
      </c>
      <c r="F43" s="331">
        <f t="shared" si="0"/>
        <v>4658389.7299999995</v>
      </c>
      <c r="G43" s="553"/>
      <c r="H43" s="449"/>
      <c r="I43" s="172">
        <v>719533.40999999992</v>
      </c>
      <c r="J43" s="173">
        <f t="shared" si="1"/>
        <v>0.15445968493494855</v>
      </c>
      <c r="K43" s="172">
        <v>970987.48000000021</v>
      </c>
      <c r="L43" s="173">
        <f t="shared" si="2"/>
        <v>0.20843843823260366</v>
      </c>
      <c r="M43" s="172">
        <f t="shared" si="3"/>
        <v>1690520.8900000001</v>
      </c>
      <c r="N43" s="173">
        <f t="shared" ref="N43" si="114">M43/F43</f>
        <v>0.36289812316755221</v>
      </c>
      <c r="O43" s="172">
        <v>261602.18</v>
      </c>
      <c r="P43" s="173">
        <f t="shared" si="5"/>
        <v>5.6157212075941966E-2</v>
      </c>
      <c r="Q43" s="172">
        <v>149817.69</v>
      </c>
      <c r="R43" s="173">
        <f t="shared" si="6"/>
        <v>3.2160832107965345E-2</v>
      </c>
      <c r="S43" s="172">
        <f t="shared" si="7"/>
        <v>411419.87</v>
      </c>
      <c r="T43" s="173">
        <f t="shared" ref="T43" si="115">S43/F43</f>
        <v>8.8318044183907304E-2</v>
      </c>
      <c r="U43" s="172">
        <v>107039.31999999999</v>
      </c>
      <c r="V43" s="173">
        <f t="shared" ref="V43" si="116">U43/F43</f>
        <v>2.2977751155225906E-2</v>
      </c>
      <c r="W43" s="172">
        <v>53783.390000000007</v>
      </c>
      <c r="X43" s="173">
        <f t="shared" si="10"/>
        <v>1.1545489561260907E-2</v>
      </c>
      <c r="Y43" s="172">
        <v>181153.07</v>
      </c>
      <c r="Z43" s="173">
        <f t="shared" si="11"/>
        <v>3.8887486985765794E-2</v>
      </c>
      <c r="AA43" s="172">
        <v>510626.15999999992</v>
      </c>
      <c r="AB43" s="173">
        <f t="shared" si="12"/>
        <v>0.10961430657284228</v>
      </c>
      <c r="AC43" s="172">
        <f t="shared" si="13"/>
        <v>691779.23</v>
      </c>
      <c r="AD43" s="173">
        <f t="shared" si="14"/>
        <v>0.1485017935586081</v>
      </c>
      <c r="AE43" s="172">
        <v>1631567.73</v>
      </c>
      <c r="AF43" s="173">
        <f t="shared" si="15"/>
        <v>0.35024285741759958</v>
      </c>
      <c r="AG43" s="172">
        <v>0</v>
      </c>
      <c r="AH43" s="173">
        <f t="shared" si="16"/>
        <v>0</v>
      </c>
      <c r="AI43" s="172">
        <v>0</v>
      </c>
      <c r="AJ43" s="173">
        <f t="shared" si="17"/>
        <v>0</v>
      </c>
      <c r="AK43" s="172">
        <v>72279.3</v>
      </c>
      <c r="AL43" s="173">
        <f t="shared" si="18"/>
        <v>1.5515940955846134E-2</v>
      </c>
      <c r="AN43" s="72"/>
    </row>
    <row r="44" spans="2:40" s="73" customFormat="1" ht="14.25" customHeight="1">
      <c r="B44" s="548"/>
      <c r="C44" s="550"/>
      <c r="D44" s="171">
        <v>46114</v>
      </c>
      <c r="E44" s="171" t="s">
        <v>113</v>
      </c>
      <c r="F44" s="331">
        <f t="shared" si="0"/>
        <v>3718970.84</v>
      </c>
      <c r="G44" s="553"/>
      <c r="H44" s="450"/>
      <c r="I44" s="172">
        <v>518858.25</v>
      </c>
      <c r="J44" s="173">
        <f t="shared" si="1"/>
        <v>0.13951662229220382</v>
      </c>
      <c r="K44" s="172">
        <v>839779.05999999994</v>
      </c>
      <c r="L44" s="173">
        <f t="shared" si="2"/>
        <v>0.22580953068188078</v>
      </c>
      <c r="M44" s="172">
        <f t="shared" si="3"/>
        <v>1358637.31</v>
      </c>
      <c r="N44" s="173">
        <f t="shared" ref="N44" si="117">M44/$F44</f>
        <v>0.36532615297408466</v>
      </c>
      <c r="O44" s="172">
        <v>182456.07</v>
      </c>
      <c r="P44" s="173">
        <f t="shared" si="5"/>
        <v>4.9060903634296854E-2</v>
      </c>
      <c r="Q44" s="172">
        <v>128612.81</v>
      </c>
      <c r="R44" s="173">
        <f t="shared" si="6"/>
        <v>3.4582903586305079E-2</v>
      </c>
      <c r="S44" s="172">
        <f t="shared" si="7"/>
        <v>311068.88</v>
      </c>
      <c r="T44" s="173">
        <f t="shared" ref="T44" si="118">S44/$F44</f>
        <v>8.3643807220601926E-2</v>
      </c>
      <c r="U44" s="172">
        <v>100483.61</v>
      </c>
      <c r="V44" s="173">
        <f t="shared" ref="V44" si="119">U44/$F44</f>
        <v>2.7019198139235749E-2</v>
      </c>
      <c r="W44" s="172">
        <v>56261.58</v>
      </c>
      <c r="X44" s="173">
        <f t="shared" si="10"/>
        <v>1.5128265969409969E-2</v>
      </c>
      <c r="Y44" s="172">
        <v>162305.43000000002</v>
      </c>
      <c r="Z44" s="173">
        <f t="shared" si="11"/>
        <v>4.3642565909443924E-2</v>
      </c>
      <c r="AA44" s="172">
        <v>451157.26</v>
      </c>
      <c r="AB44" s="173">
        <f t="shared" si="12"/>
        <v>0.12131239512488354</v>
      </c>
      <c r="AC44" s="172">
        <f t="shared" si="13"/>
        <v>613462.69000000006</v>
      </c>
      <c r="AD44" s="173">
        <f t="shared" si="14"/>
        <v>0.16495496103432747</v>
      </c>
      <c r="AE44" s="172">
        <v>1213869.47</v>
      </c>
      <c r="AF44" s="173">
        <f t="shared" si="15"/>
        <v>0.3263992976078296</v>
      </c>
      <c r="AG44" s="172">
        <v>0</v>
      </c>
      <c r="AH44" s="173">
        <f t="shared" si="16"/>
        <v>0</v>
      </c>
      <c r="AI44" s="172">
        <v>0</v>
      </c>
      <c r="AJ44" s="173">
        <f t="shared" si="17"/>
        <v>0</v>
      </c>
      <c r="AK44" s="172">
        <v>65187.299999999996</v>
      </c>
      <c r="AL44" s="173">
        <f t="shared" si="18"/>
        <v>1.7528317054510703E-2</v>
      </c>
      <c r="AN44" s="72"/>
    </row>
    <row r="45" spans="2:40" s="73" customFormat="1" ht="14.25" customHeight="1">
      <c r="B45" s="548"/>
      <c r="C45" s="550"/>
      <c r="D45" s="171">
        <v>46115</v>
      </c>
      <c r="E45" s="171" t="s">
        <v>114</v>
      </c>
      <c r="F45" s="331">
        <f t="shared" si="0"/>
        <v>3549995.84</v>
      </c>
      <c r="G45" s="553"/>
      <c r="H45" s="450"/>
      <c r="I45" s="172">
        <v>491564.32</v>
      </c>
      <c r="J45" s="173">
        <f t="shared" si="1"/>
        <v>0.13846898479745826</v>
      </c>
      <c r="K45" s="172">
        <v>782541.5900000002</v>
      </c>
      <c r="L45" s="173">
        <f t="shared" si="2"/>
        <v>0.22043450901621345</v>
      </c>
      <c r="M45" s="172">
        <f t="shared" si="3"/>
        <v>1274105.9100000001</v>
      </c>
      <c r="N45" s="173">
        <f t="shared" ref="N45" si="120">M45/F45</f>
        <v>0.3589034938136717</v>
      </c>
      <c r="O45" s="172">
        <v>173037.11000000004</v>
      </c>
      <c r="P45" s="173">
        <f t="shared" si="5"/>
        <v>4.8742905005770387E-2</v>
      </c>
      <c r="Q45" s="172">
        <v>126119.12000000001</v>
      </c>
      <c r="R45" s="173">
        <f t="shared" si="6"/>
        <v>3.5526554307173504E-2</v>
      </c>
      <c r="S45" s="172">
        <f t="shared" si="7"/>
        <v>299156.23000000004</v>
      </c>
      <c r="T45" s="173">
        <f t="shared" ref="T45" si="121">S45/F45</f>
        <v>8.4269459312943884E-2</v>
      </c>
      <c r="U45" s="172">
        <v>90274.5</v>
      </c>
      <c r="V45" s="173">
        <f t="shared" ref="V45" si="122">U45/F45</f>
        <v>2.5429466418755015E-2</v>
      </c>
      <c r="W45" s="172">
        <v>51525.3</v>
      </c>
      <c r="X45" s="173">
        <f t="shared" si="10"/>
        <v>1.4514186022257425E-2</v>
      </c>
      <c r="Y45" s="172">
        <v>165257.47</v>
      </c>
      <c r="Z45" s="173">
        <f t="shared" si="11"/>
        <v>4.6551454550436883E-2</v>
      </c>
      <c r="AA45" s="172">
        <v>533278.96</v>
      </c>
      <c r="AB45" s="173">
        <f t="shared" si="12"/>
        <v>0.15021960138409626</v>
      </c>
      <c r="AC45" s="172">
        <f t="shared" si="13"/>
        <v>698536.42999999993</v>
      </c>
      <c r="AD45" s="173">
        <f t="shared" si="14"/>
        <v>0.19677105593453315</v>
      </c>
      <c r="AE45" s="172">
        <v>1069673.5699999998</v>
      </c>
      <c r="AF45" s="173">
        <f t="shared" si="15"/>
        <v>0.30131685168397265</v>
      </c>
      <c r="AG45" s="172">
        <v>0</v>
      </c>
      <c r="AH45" s="173">
        <f t="shared" si="16"/>
        <v>0</v>
      </c>
      <c r="AI45" s="172">
        <v>0</v>
      </c>
      <c r="AJ45" s="173">
        <f t="shared" si="17"/>
        <v>0</v>
      </c>
      <c r="AK45" s="172">
        <v>66723.899999999994</v>
      </c>
      <c r="AL45" s="173">
        <f t="shared" si="18"/>
        <v>1.8795486813866238E-2</v>
      </c>
      <c r="AN45" s="72"/>
    </row>
    <row r="46" spans="2:40" s="73" customFormat="1" ht="14.25" customHeight="1">
      <c r="B46" s="548"/>
      <c r="C46" s="550"/>
      <c r="D46" s="171">
        <v>46116</v>
      </c>
      <c r="E46" s="171" t="s">
        <v>115</v>
      </c>
      <c r="F46" s="331">
        <f t="shared" si="0"/>
        <v>3467991.8799999994</v>
      </c>
      <c r="G46" s="553"/>
      <c r="H46" s="450"/>
      <c r="I46" s="172">
        <v>462930.57</v>
      </c>
      <c r="J46" s="173">
        <f t="shared" si="1"/>
        <v>0.13348663607597608</v>
      </c>
      <c r="K46" s="172">
        <v>745948.21000000008</v>
      </c>
      <c r="L46" s="173">
        <f t="shared" si="2"/>
        <v>0.21509514318701353</v>
      </c>
      <c r="M46" s="172">
        <f t="shared" si="3"/>
        <v>1208878.78</v>
      </c>
      <c r="N46" s="173">
        <f t="shared" ref="N46" si="123">M46/$F46</f>
        <v>0.34858177926298956</v>
      </c>
      <c r="O46" s="172">
        <v>165347.72999999998</v>
      </c>
      <c r="P46" s="173">
        <f t="shared" si="5"/>
        <v>4.7678234471529385E-2</v>
      </c>
      <c r="Q46" s="172">
        <v>120162.98000000001</v>
      </c>
      <c r="R46" s="173">
        <f t="shared" si="6"/>
        <v>3.4649152638731098E-2</v>
      </c>
      <c r="S46" s="172">
        <f t="shared" si="7"/>
        <v>285510.70999999996</v>
      </c>
      <c r="T46" s="173">
        <f t="shared" ref="T46" si="124">S46/$F46</f>
        <v>8.2327387110260483E-2</v>
      </c>
      <c r="U46" s="172">
        <v>88877.66</v>
      </c>
      <c r="V46" s="173">
        <f t="shared" ref="V46" si="125">U46/$F46</f>
        <v>2.562798964800345E-2</v>
      </c>
      <c r="W46" s="172">
        <v>54072.54</v>
      </c>
      <c r="X46" s="173">
        <f t="shared" si="10"/>
        <v>1.559188771803007E-2</v>
      </c>
      <c r="Y46" s="172">
        <v>179279.66</v>
      </c>
      <c r="Z46" s="173">
        <f t="shared" si="11"/>
        <v>5.1695524731159417E-2</v>
      </c>
      <c r="AA46" s="172">
        <v>516766.38999999996</v>
      </c>
      <c r="AB46" s="173">
        <f t="shared" si="12"/>
        <v>0.14901026527201675</v>
      </c>
      <c r="AC46" s="172">
        <f t="shared" si="13"/>
        <v>696046.04999999993</v>
      </c>
      <c r="AD46" s="173">
        <f t="shared" si="14"/>
        <v>0.20070579000317615</v>
      </c>
      <c r="AE46" s="172">
        <v>1077988.3399999999</v>
      </c>
      <c r="AF46" s="173">
        <f t="shared" si="15"/>
        <v>0.31083934948544345</v>
      </c>
      <c r="AG46" s="172">
        <v>0</v>
      </c>
      <c r="AH46" s="173">
        <f t="shared" si="16"/>
        <v>0</v>
      </c>
      <c r="AI46" s="172">
        <v>0</v>
      </c>
      <c r="AJ46" s="173">
        <f t="shared" si="17"/>
        <v>0</v>
      </c>
      <c r="AK46" s="172">
        <v>56617.799999999996</v>
      </c>
      <c r="AL46" s="173">
        <f t="shared" si="18"/>
        <v>1.6325816772096942E-2</v>
      </c>
      <c r="AN46" s="72"/>
    </row>
    <row r="47" spans="2:40" s="73" customFormat="1" ht="14.25" customHeight="1">
      <c r="B47" s="548"/>
      <c r="C47" s="550"/>
      <c r="D47" s="171">
        <v>46117</v>
      </c>
      <c r="E47" s="171" t="s">
        <v>116</v>
      </c>
      <c r="F47" s="331">
        <f t="shared" si="0"/>
        <v>3900098.7399999998</v>
      </c>
      <c r="G47" s="553"/>
      <c r="H47" s="450"/>
      <c r="I47" s="172">
        <v>479277.5</v>
      </c>
      <c r="J47" s="173">
        <f t="shared" si="1"/>
        <v>0.12288855538052353</v>
      </c>
      <c r="K47" s="172">
        <v>911676.7300000001</v>
      </c>
      <c r="L47" s="173">
        <f t="shared" si="2"/>
        <v>0.23375734584606958</v>
      </c>
      <c r="M47" s="172">
        <f t="shared" si="3"/>
        <v>1390954.23</v>
      </c>
      <c r="N47" s="173">
        <f t="shared" ref="N47" si="126">M47/F47</f>
        <v>0.35664590122659307</v>
      </c>
      <c r="O47" s="172">
        <v>173959.83</v>
      </c>
      <c r="P47" s="173">
        <f t="shared" si="5"/>
        <v>4.4603955334730834E-2</v>
      </c>
      <c r="Q47" s="172">
        <v>131401.9</v>
      </c>
      <c r="R47" s="173">
        <f t="shared" si="6"/>
        <v>3.3691941860938629E-2</v>
      </c>
      <c r="S47" s="172">
        <f t="shared" si="7"/>
        <v>305361.73</v>
      </c>
      <c r="T47" s="173">
        <f t="shared" ref="T47" si="127">S47/F47</f>
        <v>7.8295897195669456E-2</v>
      </c>
      <c r="U47" s="172">
        <v>89975.67</v>
      </c>
      <c r="V47" s="173">
        <f t="shared" ref="V47" si="128">U47/F47</f>
        <v>2.3070100527762538E-2</v>
      </c>
      <c r="W47" s="172">
        <v>44345.78</v>
      </c>
      <c r="X47" s="173">
        <f t="shared" si="10"/>
        <v>1.137042494467717E-2</v>
      </c>
      <c r="Y47" s="172">
        <v>184161.88</v>
      </c>
      <c r="Z47" s="173">
        <f t="shared" si="11"/>
        <v>4.7219799363336125E-2</v>
      </c>
      <c r="AA47" s="172">
        <v>669396.05999999994</v>
      </c>
      <c r="AB47" s="173">
        <f t="shared" si="12"/>
        <v>0.17163566992152612</v>
      </c>
      <c r="AC47" s="172">
        <f t="shared" si="13"/>
        <v>853557.94</v>
      </c>
      <c r="AD47" s="173">
        <f t="shared" si="14"/>
        <v>0.21885546928486227</v>
      </c>
      <c r="AE47" s="172">
        <v>1167677.79</v>
      </c>
      <c r="AF47" s="173">
        <f t="shared" si="15"/>
        <v>0.29939698142103965</v>
      </c>
      <c r="AG47" s="172">
        <v>0</v>
      </c>
      <c r="AH47" s="173">
        <f t="shared" si="16"/>
        <v>0</v>
      </c>
      <c r="AI47" s="172">
        <v>0</v>
      </c>
      <c r="AJ47" s="173">
        <f t="shared" si="17"/>
        <v>0</v>
      </c>
      <c r="AK47" s="172">
        <v>48225.599999999999</v>
      </c>
      <c r="AL47" s="173">
        <f t="shared" si="18"/>
        <v>1.2365225399395914E-2</v>
      </c>
      <c r="AN47" s="72"/>
    </row>
    <row r="48" spans="2:40" s="73" customFormat="1" ht="14.25" customHeight="1">
      <c r="B48" s="549"/>
      <c r="C48" s="550"/>
      <c r="D48" s="171">
        <v>46118</v>
      </c>
      <c r="E48" s="171" t="s">
        <v>117</v>
      </c>
      <c r="F48" s="331">
        <f t="shared" si="0"/>
        <v>5259985.6399999997</v>
      </c>
      <c r="G48" s="553"/>
      <c r="H48" s="451"/>
      <c r="I48" s="172">
        <v>734783.02</v>
      </c>
      <c r="J48" s="173">
        <f t="shared" si="1"/>
        <v>0.13969297072073378</v>
      </c>
      <c r="K48" s="172">
        <v>1178346.53</v>
      </c>
      <c r="L48" s="173">
        <f t="shared" si="2"/>
        <v>0.22402086443718885</v>
      </c>
      <c r="M48" s="172">
        <f t="shared" si="3"/>
        <v>1913129.55</v>
      </c>
      <c r="N48" s="173">
        <f t="shared" ref="N48" si="129">M48/$F48</f>
        <v>0.3637138351579226</v>
      </c>
      <c r="O48" s="172">
        <v>244577.84999999998</v>
      </c>
      <c r="P48" s="173">
        <f t="shared" si="5"/>
        <v>4.6497817054876975E-2</v>
      </c>
      <c r="Q48" s="172">
        <v>36895.96</v>
      </c>
      <c r="R48" s="173">
        <f t="shared" si="6"/>
        <v>7.0144602143818787E-3</v>
      </c>
      <c r="S48" s="172">
        <f t="shared" si="7"/>
        <v>281473.81</v>
      </c>
      <c r="T48" s="173">
        <f t="shared" ref="T48" si="130">S48/$F48</f>
        <v>5.3512277269258862E-2</v>
      </c>
      <c r="U48" s="172">
        <v>114560.81</v>
      </c>
      <c r="V48" s="173">
        <f t="shared" ref="V48" si="131">U48/$F48</f>
        <v>2.1779681132361419E-2</v>
      </c>
      <c r="W48" s="172">
        <v>54753.820000000007</v>
      </c>
      <c r="X48" s="173">
        <f t="shared" si="10"/>
        <v>1.0409499901220264E-2</v>
      </c>
      <c r="Y48" s="172">
        <v>233835.63</v>
      </c>
      <c r="Z48" s="173">
        <f t="shared" si="11"/>
        <v>4.4455564331160421E-2</v>
      </c>
      <c r="AA48" s="172">
        <v>739447.82000000007</v>
      </c>
      <c r="AB48" s="173">
        <f t="shared" si="12"/>
        <v>0.14057981724832239</v>
      </c>
      <c r="AC48" s="172">
        <f t="shared" si="13"/>
        <v>973283.45000000007</v>
      </c>
      <c r="AD48" s="173">
        <f t="shared" si="14"/>
        <v>0.18503538157948282</v>
      </c>
      <c r="AE48" s="172">
        <v>1855823.8999999997</v>
      </c>
      <c r="AF48" s="173">
        <f t="shared" si="15"/>
        <v>0.35281919514898141</v>
      </c>
      <c r="AG48" s="172">
        <v>0</v>
      </c>
      <c r="AH48" s="173">
        <f t="shared" si="16"/>
        <v>0</v>
      </c>
      <c r="AI48" s="172">
        <v>0</v>
      </c>
      <c r="AJ48" s="173">
        <f t="shared" si="17"/>
        <v>0</v>
      </c>
      <c r="AK48" s="172">
        <v>66960.3</v>
      </c>
      <c r="AL48" s="173">
        <f t="shared" si="18"/>
        <v>1.2730129810772641E-2</v>
      </c>
      <c r="AN48" s="72"/>
    </row>
  </sheetData>
  <mergeCells count="50">
    <mergeCell ref="C42:C48"/>
    <mergeCell ref="B42:B48"/>
    <mergeCell ref="H7:H11"/>
    <mergeCell ref="G21:G27"/>
    <mergeCell ref="G28:G34"/>
    <mergeCell ref="G35:G41"/>
    <mergeCell ref="G14:G20"/>
    <mergeCell ref="G7:G13"/>
    <mergeCell ref="G42:G48"/>
    <mergeCell ref="H12:H42"/>
    <mergeCell ref="C7:C11"/>
    <mergeCell ref="C12:C41"/>
    <mergeCell ref="B21:B27"/>
    <mergeCell ref="B28:B34"/>
    <mergeCell ref="B35:B41"/>
    <mergeCell ref="B7:B13"/>
    <mergeCell ref="B14:B20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</mergeCells>
  <phoneticPr fontId="16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2:AL48"/>
  <sheetViews>
    <sheetView topLeftCell="A9" zoomScale="85" zoomScaleNormal="85" workbookViewId="0">
      <selection activeCell="G42" sqref="G42:G48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5"/>
    <col min="4" max="4" width="17" style="95" customWidth="1"/>
    <col min="5" max="5" width="8.54296875" style="77" customWidth="1"/>
    <col min="6" max="8" width="17.453125" style="96" customWidth="1"/>
    <col min="9" max="9" width="10.54296875" style="82" customWidth="1"/>
    <col min="10" max="10" width="10.54296875" style="84" customWidth="1"/>
    <col min="11" max="11" width="10.54296875" style="82" customWidth="1"/>
    <col min="12" max="12" width="10.54296875" style="84" customWidth="1"/>
    <col min="13" max="13" width="10.54296875" style="82" customWidth="1"/>
    <col min="14" max="14" width="10.54296875" style="84" customWidth="1"/>
    <col min="15" max="15" width="10.54296875" style="82" customWidth="1"/>
    <col min="16" max="16" width="10.54296875" style="84" customWidth="1"/>
    <col min="17" max="17" width="10.54296875" style="82" customWidth="1"/>
    <col min="18" max="18" width="10.54296875" style="84" customWidth="1"/>
    <col min="19" max="19" width="10.54296875" style="82" customWidth="1"/>
    <col min="20" max="20" width="10.54296875" style="84" customWidth="1"/>
    <col min="21" max="21" width="10.54296875" style="82" customWidth="1"/>
    <col min="22" max="22" width="10.54296875" style="84" customWidth="1"/>
    <col min="23" max="23" width="10.54296875" style="82" customWidth="1"/>
    <col min="24" max="24" width="10.54296875" style="84" customWidth="1"/>
    <col min="25" max="25" width="10.54296875" style="82" customWidth="1"/>
    <col min="26" max="26" width="10.54296875" style="84" customWidth="1"/>
    <col min="27" max="27" width="10.54296875" style="82" customWidth="1"/>
    <col min="28" max="28" width="10.54296875" style="84" customWidth="1"/>
    <col min="29" max="29" width="10.54296875" style="82" customWidth="1"/>
    <col min="30" max="30" width="10.54296875" style="84" customWidth="1"/>
    <col min="31" max="31" width="10.54296875" style="82" customWidth="1"/>
    <col min="32" max="32" width="10.54296875" style="84" customWidth="1"/>
    <col min="33" max="33" width="10.453125" style="82" customWidth="1"/>
    <col min="34" max="34" width="10.453125" style="84" customWidth="1"/>
    <col min="35" max="35" width="10.453125" style="82" customWidth="1"/>
    <col min="36" max="36" width="10.453125" style="84" customWidth="1"/>
    <col min="37" max="37" width="10.453125" style="82" customWidth="1"/>
    <col min="38" max="38" width="10.453125" style="84" customWidth="1"/>
    <col min="39" max="16384" width="8.81640625" style="75"/>
  </cols>
  <sheetData>
    <row r="2" spans="1:38" ht="38.15" customHeight="1">
      <c r="A2" s="74"/>
      <c r="B2" s="520" t="s">
        <v>325</v>
      </c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0"/>
      <c r="N2" s="520"/>
      <c r="O2" s="520"/>
      <c r="P2" s="520"/>
      <c r="Q2" s="520"/>
      <c r="R2" s="520"/>
      <c r="S2" s="520"/>
      <c r="T2" s="520"/>
      <c r="U2" s="520"/>
      <c r="V2" s="520"/>
      <c r="W2" s="520"/>
      <c r="X2" s="520"/>
      <c r="Y2" s="520"/>
      <c r="Z2" s="520"/>
      <c r="AA2" s="520"/>
      <c r="AB2" s="520"/>
      <c r="AC2" s="520"/>
      <c r="AD2" s="520"/>
      <c r="AE2" s="520"/>
      <c r="AF2" s="520"/>
      <c r="AG2" s="520"/>
      <c r="AH2" s="520"/>
      <c r="AI2" s="520"/>
      <c r="AJ2" s="520"/>
      <c r="AK2" s="520"/>
      <c r="AL2" s="520"/>
    </row>
    <row r="3" spans="1:38" ht="25.4" customHeight="1">
      <c r="B3" s="538" t="s">
        <v>424</v>
      </c>
      <c r="C3" s="539" t="s">
        <v>425</v>
      </c>
      <c r="D3" s="540" t="s">
        <v>105</v>
      </c>
      <c r="E3" s="540"/>
      <c r="F3" s="569" t="s">
        <v>155</v>
      </c>
      <c r="G3" s="569"/>
      <c r="H3" s="569"/>
      <c r="I3" s="571" t="s">
        <v>323</v>
      </c>
      <c r="J3" s="571"/>
      <c r="K3" s="571"/>
      <c r="L3" s="571"/>
      <c r="M3" s="571"/>
      <c r="N3" s="571"/>
      <c r="O3" s="571"/>
      <c r="P3" s="571"/>
      <c r="Q3" s="571"/>
      <c r="R3" s="571"/>
      <c r="S3" s="571"/>
      <c r="T3" s="571"/>
      <c r="U3" s="571"/>
      <c r="V3" s="571"/>
      <c r="W3" s="571"/>
      <c r="X3" s="571"/>
      <c r="Y3" s="571"/>
      <c r="Z3" s="571"/>
      <c r="AA3" s="571"/>
      <c r="AB3" s="571"/>
      <c r="AC3" s="571"/>
      <c r="AD3" s="571"/>
      <c r="AE3" s="571"/>
      <c r="AF3" s="571"/>
      <c r="AG3" s="571"/>
      <c r="AH3" s="571"/>
      <c r="AI3" s="571"/>
      <c r="AJ3" s="571"/>
      <c r="AK3" s="571"/>
      <c r="AL3" s="571"/>
    </row>
    <row r="4" spans="1:38" ht="25.4" customHeight="1">
      <c r="B4" s="538"/>
      <c r="C4" s="539"/>
      <c r="D4" s="540"/>
      <c r="E4" s="540"/>
      <c r="F4" s="569"/>
      <c r="G4" s="569"/>
      <c r="H4" s="569"/>
      <c r="I4" s="566" t="s">
        <v>426</v>
      </c>
      <c r="J4" s="566"/>
      <c r="K4" s="566"/>
      <c r="L4" s="566"/>
      <c r="M4" s="566"/>
      <c r="N4" s="566"/>
      <c r="O4" s="566" t="s">
        <v>427</v>
      </c>
      <c r="P4" s="566"/>
      <c r="Q4" s="566"/>
      <c r="R4" s="566"/>
      <c r="S4" s="566"/>
      <c r="T4" s="566"/>
      <c r="U4" s="566" t="s">
        <v>428</v>
      </c>
      <c r="V4" s="566"/>
      <c r="W4" s="566" t="s">
        <v>429</v>
      </c>
      <c r="X4" s="566"/>
      <c r="Y4" s="566" t="s">
        <v>140</v>
      </c>
      <c r="Z4" s="566"/>
      <c r="AA4" s="566"/>
      <c r="AB4" s="566"/>
      <c r="AC4" s="566"/>
      <c r="AD4" s="566"/>
      <c r="AE4" s="566" t="s">
        <v>138</v>
      </c>
      <c r="AF4" s="566"/>
      <c r="AG4" s="566" t="s">
        <v>430</v>
      </c>
      <c r="AH4" s="566"/>
      <c r="AI4" s="566" t="s">
        <v>431</v>
      </c>
      <c r="AJ4" s="566"/>
      <c r="AK4" s="566" t="s">
        <v>144</v>
      </c>
      <c r="AL4" s="566"/>
    </row>
    <row r="5" spans="1:38" ht="25.4" customHeight="1">
      <c r="B5" s="538"/>
      <c r="C5" s="539"/>
      <c r="D5" s="540"/>
      <c r="E5" s="540"/>
      <c r="F5" s="567" t="s">
        <v>116</v>
      </c>
      <c r="G5" s="567" t="s">
        <v>120</v>
      </c>
      <c r="H5" s="567" t="s">
        <v>121</v>
      </c>
      <c r="I5" s="566" t="s">
        <v>134</v>
      </c>
      <c r="J5" s="566"/>
      <c r="K5" s="566" t="s">
        <v>135</v>
      </c>
      <c r="L5" s="566"/>
      <c r="M5" s="566" t="s">
        <v>153</v>
      </c>
      <c r="N5" s="566"/>
      <c r="O5" s="566" t="s">
        <v>134</v>
      </c>
      <c r="P5" s="566"/>
      <c r="Q5" s="566" t="s">
        <v>135</v>
      </c>
      <c r="R5" s="566"/>
      <c r="S5" s="566" t="s">
        <v>153</v>
      </c>
      <c r="T5" s="566"/>
      <c r="U5" s="566" t="s">
        <v>134</v>
      </c>
      <c r="V5" s="566"/>
      <c r="W5" s="566" t="s">
        <v>134</v>
      </c>
      <c r="X5" s="566"/>
      <c r="Y5" s="566" t="s">
        <v>134</v>
      </c>
      <c r="Z5" s="566"/>
      <c r="AA5" s="566" t="s">
        <v>135</v>
      </c>
      <c r="AB5" s="566"/>
      <c r="AC5" s="566" t="s">
        <v>153</v>
      </c>
      <c r="AD5" s="566"/>
      <c r="AE5" s="566" t="s">
        <v>134</v>
      </c>
      <c r="AF5" s="566"/>
      <c r="AG5" s="566" t="s">
        <v>134</v>
      </c>
      <c r="AH5" s="566"/>
      <c r="AI5" s="566" t="s">
        <v>134</v>
      </c>
      <c r="AJ5" s="566"/>
      <c r="AK5" s="566" t="s">
        <v>134</v>
      </c>
      <c r="AL5" s="566"/>
    </row>
    <row r="6" spans="1:38" s="77" customFormat="1" ht="23.5" customHeight="1">
      <c r="B6" s="538"/>
      <c r="C6" s="570"/>
      <c r="D6" s="541"/>
      <c r="E6" s="541"/>
      <c r="F6" s="568"/>
      <c r="G6" s="567"/>
      <c r="H6" s="567"/>
      <c r="I6" s="215" t="s">
        <v>156</v>
      </c>
      <c r="J6" s="174" t="s">
        <v>111</v>
      </c>
      <c r="K6" s="215" t="s">
        <v>156</v>
      </c>
      <c r="L6" s="174" t="s">
        <v>111</v>
      </c>
      <c r="M6" s="215" t="s">
        <v>156</v>
      </c>
      <c r="N6" s="174" t="s">
        <v>111</v>
      </c>
      <c r="O6" s="215" t="s">
        <v>156</v>
      </c>
      <c r="P6" s="174" t="s">
        <v>111</v>
      </c>
      <c r="Q6" s="215" t="s">
        <v>156</v>
      </c>
      <c r="R6" s="174" t="s">
        <v>111</v>
      </c>
      <c r="S6" s="215" t="s">
        <v>156</v>
      </c>
      <c r="T6" s="174" t="s">
        <v>111</v>
      </c>
      <c r="U6" s="215" t="s">
        <v>156</v>
      </c>
      <c r="V6" s="174" t="s">
        <v>111</v>
      </c>
      <c r="W6" s="215" t="s">
        <v>156</v>
      </c>
      <c r="X6" s="174" t="s">
        <v>111</v>
      </c>
      <c r="Y6" s="215" t="s">
        <v>156</v>
      </c>
      <c r="Z6" s="174" t="s">
        <v>111</v>
      </c>
      <c r="AA6" s="215" t="s">
        <v>156</v>
      </c>
      <c r="AB6" s="174" t="s">
        <v>111</v>
      </c>
      <c r="AC6" s="215" t="s">
        <v>156</v>
      </c>
      <c r="AD6" s="174" t="s">
        <v>111</v>
      </c>
      <c r="AE6" s="215" t="s">
        <v>156</v>
      </c>
      <c r="AF6" s="174" t="s">
        <v>111</v>
      </c>
      <c r="AG6" s="215" t="s">
        <v>156</v>
      </c>
      <c r="AH6" s="174" t="s">
        <v>111</v>
      </c>
      <c r="AI6" s="215" t="s">
        <v>156</v>
      </c>
      <c r="AJ6" s="174" t="s">
        <v>111</v>
      </c>
      <c r="AK6" s="215" t="s">
        <v>156</v>
      </c>
      <c r="AL6" s="174" t="s">
        <v>111</v>
      </c>
    </row>
    <row r="7" spans="1:38" s="73" customFormat="1" ht="14.25" customHeight="1">
      <c r="B7" s="563">
        <f t="shared" ref="B7" si="0">D15</f>
        <v>46085</v>
      </c>
      <c r="C7" s="556"/>
      <c r="D7" s="171">
        <v>46077</v>
      </c>
      <c r="E7" s="171" t="s">
        <v>118</v>
      </c>
      <c r="F7" s="332">
        <f t="shared" ref="F7:F48" si="1">SUM(M7,S7,U7,W7,AC7,AE7,AG7,AI7,AK7)</f>
        <v>175154</v>
      </c>
      <c r="G7" s="559">
        <f t="shared" ref="G7" si="2">SUM(F7:F13)</f>
        <v>1076054</v>
      </c>
      <c r="H7" s="561"/>
      <c r="I7" s="316">
        <v>41576</v>
      </c>
      <c r="J7" s="237">
        <f t="shared" ref="J7:J48" si="3">I7/$F7</f>
        <v>0.23736825878940818</v>
      </c>
      <c r="K7" s="316">
        <v>53591</v>
      </c>
      <c r="L7" s="237">
        <f t="shared" ref="L7:L48" si="4">K7/$F7</f>
        <v>0.30596503648218137</v>
      </c>
      <c r="M7" s="316">
        <f t="shared" ref="M7:M48" si="5">I7+K7</f>
        <v>95167</v>
      </c>
      <c r="N7" s="237">
        <f t="shared" ref="N7:N48" si="6">M7/$F7</f>
        <v>0.54333329527158958</v>
      </c>
      <c r="O7" s="316">
        <v>8958</v>
      </c>
      <c r="P7" s="237">
        <f t="shared" ref="P7:P48" si="7">O7/$F7</f>
        <v>5.1143565091291095E-2</v>
      </c>
      <c r="Q7" s="316">
        <v>6240</v>
      </c>
      <c r="R7" s="237">
        <f t="shared" ref="R7:R48" si="8">Q7/$F7</f>
        <v>3.5625792160042018E-2</v>
      </c>
      <c r="S7" s="316">
        <f t="shared" ref="S7:S48" si="9">O7+Q7</f>
        <v>15198</v>
      </c>
      <c r="T7" s="237">
        <f t="shared" ref="T7:T48" si="10">S7/$F7</f>
        <v>8.6769357251333112E-2</v>
      </c>
      <c r="U7" s="316">
        <v>7835</v>
      </c>
      <c r="V7" s="237">
        <f t="shared" ref="V7:V48" si="11">U7/$F7</f>
        <v>4.4732064354796354E-2</v>
      </c>
      <c r="W7" s="316">
        <v>9313</v>
      </c>
      <c r="X7" s="237">
        <f t="shared" ref="X7:X48" si="12">W7/$F7</f>
        <v>5.3170352946549891E-2</v>
      </c>
      <c r="Y7" s="316">
        <v>4616</v>
      </c>
      <c r="Z7" s="237">
        <f t="shared" ref="Z7:Z48" si="13">Y7/$F7</f>
        <v>2.635395137992852E-2</v>
      </c>
      <c r="AA7" s="316">
        <v>11354</v>
      </c>
      <c r="AB7" s="237">
        <f t="shared" ref="AB7:AB48" si="14">AA7/$F7</f>
        <v>6.4822955798896964E-2</v>
      </c>
      <c r="AC7" s="316">
        <f t="shared" ref="AC7:AC48" si="15">Y7+AA7</f>
        <v>15970</v>
      </c>
      <c r="AD7" s="237">
        <f t="shared" ref="AD7:AD48" si="16">AC7/$F7</f>
        <v>9.1176907178825498E-2</v>
      </c>
      <c r="AE7" s="316">
        <v>24205</v>
      </c>
      <c r="AF7" s="237">
        <f t="shared" ref="AF7:AF48" si="17">AE7/$F7</f>
        <v>0.13819267615926556</v>
      </c>
      <c r="AG7" s="316">
        <v>0</v>
      </c>
      <c r="AH7" s="237">
        <f t="shared" ref="AH7:AH48" si="18">AG7/$F7</f>
        <v>0</v>
      </c>
      <c r="AI7" s="316">
        <v>2347</v>
      </c>
      <c r="AJ7" s="237">
        <f t="shared" ref="AJ7:AJ48" si="19">AI7/$F7</f>
        <v>1.3399636890964522E-2</v>
      </c>
      <c r="AK7" s="316">
        <v>5119</v>
      </c>
      <c r="AL7" s="237">
        <f t="shared" ref="AL7:AL48" si="20">AK7/$F7</f>
        <v>2.9225709946675497E-2</v>
      </c>
    </row>
    <row r="8" spans="1:38" s="73" customFormat="1" ht="14.25" customHeight="1">
      <c r="B8" s="564"/>
      <c r="C8" s="556"/>
      <c r="D8" s="171">
        <v>46078</v>
      </c>
      <c r="E8" s="171" t="s">
        <v>112</v>
      </c>
      <c r="F8" s="332">
        <f t="shared" si="1"/>
        <v>156618</v>
      </c>
      <c r="G8" s="559"/>
      <c r="H8" s="561"/>
      <c r="I8" s="316">
        <v>40753</v>
      </c>
      <c r="J8" s="237">
        <f t="shared" si="3"/>
        <v>0.2602063619762735</v>
      </c>
      <c r="K8" s="316">
        <v>47002</v>
      </c>
      <c r="L8" s="237">
        <f t="shared" si="4"/>
        <v>0.30010599037147712</v>
      </c>
      <c r="M8" s="316">
        <f t="shared" si="5"/>
        <v>87755</v>
      </c>
      <c r="N8" s="237">
        <f t="shared" si="6"/>
        <v>0.56031235234775056</v>
      </c>
      <c r="O8" s="316">
        <v>8950</v>
      </c>
      <c r="P8" s="237">
        <f t="shared" si="7"/>
        <v>5.7145411127712015E-2</v>
      </c>
      <c r="Q8" s="316">
        <v>5935</v>
      </c>
      <c r="R8" s="237">
        <f t="shared" si="8"/>
        <v>3.7894750284130814E-2</v>
      </c>
      <c r="S8" s="316">
        <f t="shared" si="9"/>
        <v>14885</v>
      </c>
      <c r="T8" s="237">
        <f t="shared" si="10"/>
        <v>9.5040161411842822E-2</v>
      </c>
      <c r="U8" s="316">
        <v>5976</v>
      </c>
      <c r="V8" s="237">
        <f t="shared" si="11"/>
        <v>3.8156533731754969E-2</v>
      </c>
      <c r="W8" s="316">
        <v>5080</v>
      </c>
      <c r="X8" s="237">
        <f t="shared" si="12"/>
        <v>3.2435607656846596E-2</v>
      </c>
      <c r="Y8" s="316">
        <v>4338</v>
      </c>
      <c r="Z8" s="237">
        <f t="shared" si="13"/>
        <v>2.7697965751063095E-2</v>
      </c>
      <c r="AA8" s="316">
        <v>8607</v>
      </c>
      <c r="AB8" s="237">
        <f t="shared" si="14"/>
        <v>5.4955369114661153E-2</v>
      </c>
      <c r="AC8" s="316">
        <f t="shared" si="15"/>
        <v>12945</v>
      </c>
      <c r="AD8" s="237">
        <f t="shared" si="16"/>
        <v>8.2653334865724251E-2</v>
      </c>
      <c r="AE8" s="316">
        <v>22954</v>
      </c>
      <c r="AF8" s="237">
        <f t="shared" si="17"/>
        <v>0.14656042089670407</v>
      </c>
      <c r="AG8" s="316">
        <v>0</v>
      </c>
      <c r="AH8" s="237">
        <f t="shared" si="18"/>
        <v>0</v>
      </c>
      <c r="AI8" s="316">
        <v>2130</v>
      </c>
      <c r="AJ8" s="237">
        <f t="shared" si="19"/>
        <v>1.3599969352181742E-2</v>
      </c>
      <c r="AK8" s="316">
        <v>4893</v>
      </c>
      <c r="AL8" s="237">
        <f t="shared" si="20"/>
        <v>3.124161973719496E-2</v>
      </c>
    </row>
    <row r="9" spans="1:38" s="73" customFormat="1" ht="14.25" customHeight="1">
      <c r="B9" s="564"/>
      <c r="C9" s="556"/>
      <c r="D9" s="171">
        <v>46079</v>
      </c>
      <c r="E9" s="171" t="s">
        <v>113</v>
      </c>
      <c r="F9" s="332">
        <f t="shared" si="1"/>
        <v>129387</v>
      </c>
      <c r="G9" s="559"/>
      <c r="H9" s="561"/>
      <c r="I9" s="316">
        <v>29097</v>
      </c>
      <c r="J9" s="237">
        <f t="shared" si="3"/>
        <v>0.22488348906768069</v>
      </c>
      <c r="K9" s="316">
        <v>41590</v>
      </c>
      <c r="L9" s="237">
        <f t="shared" si="4"/>
        <v>0.32143878442192803</v>
      </c>
      <c r="M9" s="316">
        <f t="shared" si="5"/>
        <v>70687</v>
      </c>
      <c r="N9" s="237">
        <f t="shared" si="6"/>
        <v>0.54632227348960871</v>
      </c>
      <c r="O9" s="316">
        <v>7351</v>
      </c>
      <c r="P9" s="237">
        <f t="shared" si="7"/>
        <v>5.6814053962144576E-2</v>
      </c>
      <c r="Q9" s="316">
        <v>5068</v>
      </c>
      <c r="R9" s="237">
        <f t="shared" si="8"/>
        <v>3.9169313764133955E-2</v>
      </c>
      <c r="S9" s="316">
        <f t="shared" si="9"/>
        <v>12419</v>
      </c>
      <c r="T9" s="237">
        <f t="shared" si="10"/>
        <v>9.5983367726278523E-2</v>
      </c>
      <c r="U9" s="316">
        <v>5083</v>
      </c>
      <c r="V9" s="237">
        <f t="shared" si="11"/>
        <v>3.928524504007358E-2</v>
      </c>
      <c r="W9" s="316">
        <v>4674</v>
      </c>
      <c r="X9" s="237">
        <f t="shared" si="12"/>
        <v>3.6124185582786524E-2</v>
      </c>
      <c r="Y9" s="316">
        <v>4018</v>
      </c>
      <c r="Z9" s="237">
        <f t="shared" si="13"/>
        <v>3.1054124448360344E-2</v>
      </c>
      <c r="AA9" s="316">
        <v>7686</v>
      </c>
      <c r="AB9" s="237">
        <f t="shared" si="14"/>
        <v>5.9403185791462823E-2</v>
      </c>
      <c r="AC9" s="316">
        <f t="shared" si="15"/>
        <v>11704</v>
      </c>
      <c r="AD9" s="237">
        <f t="shared" si="16"/>
        <v>9.045731023982316E-2</v>
      </c>
      <c r="AE9" s="316">
        <v>18371</v>
      </c>
      <c r="AF9" s="237">
        <f t="shared" si="17"/>
        <v>0.14198489801912093</v>
      </c>
      <c r="AG9" s="316">
        <v>0</v>
      </c>
      <c r="AH9" s="237">
        <f t="shared" si="18"/>
        <v>0</v>
      </c>
      <c r="AI9" s="316">
        <v>2016</v>
      </c>
      <c r="AJ9" s="237">
        <f t="shared" si="19"/>
        <v>1.558116348628533E-2</v>
      </c>
      <c r="AK9" s="316">
        <v>4433</v>
      </c>
      <c r="AL9" s="237">
        <f t="shared" si="20"/>
        <v>3.4261556416023249E-2</v>
      </c>
    </row>
    <row r="10" spans="1:38" s="73" customFormat="1" ht="14.25" customHeight="1">
      <c r="B10" s="564"/>
      <c r="C10" s="556"/>
      <c r="D10" s="171">
        <v>46080</v>
      </c>
      <c r="E10" s="171" t="s">
        <v>114</v>
      </c>
      <c r="F10" s="332">
        <f t="shared" si="1"/>
        <v>120519</v>
      </c>
      <c r="G10" s="559"/>
      <c r="H10" s="561"/>
      <c r="I10" s="316">
        <v>27884</v>
      </c>
      <c r="J10" s="237">
        <f t="shared" si="3"/>
        <v>0.23136600867912943</v>
      </c>
      <c r="K10" s="316">
        <v>40646</v>
      </c>
      <c r="L10" s="237">
        <f t="shared" si="4"/>
        <v>0.33725802570549041</v>
      </c>
      <c r="M10" s="316">
        <f t="shared" si="5"/>
        <v>68530</v>
      </c>
      <c r="N10" s="237">
        <f t="shared" si="6"/>
        <v>0.56862403438461984</v>
      </c>
      <c r="O10" s="316">
        <v>7105</v>
      </c>
      <c r="P10" s="237">
        <f t="shared" si="7"/>
        <v>5.895336005111227E-2</v>
      </c>
      <c r="Q10" s="316">
        <v>4845</v>
      </c>
      <c r="R10" s="237">
        <f t="shared" si="8"/>
        <v>4.0201130112264456E-2</v>
      </c>
      <c r="S10" s="316">
        <f t="shared" si="9"/>
        <v>11950</v>
      </c>
      <c r="T10" s="237">
        <f t="shared" si="10"/>
        <v>9.9154490163376727E-2</v>
      </c>
      <c r="U10" s="316">
        <v>4096</v>
      </c>
      <c r="V10" s="237">
        <f t="shared" si="11"/>
        <v>3.3986342402442769E-2</v>
      </c>
      <c r="W10" s="316">
        <v>2067</v>
      </c>
      <c r="X10" s="237">
        <f t="shared" si="12"/>
        <v>1.7150822691857717E-2</v>
      </c>
      <c r="Y10" s="316">
        <v>3602</v>
      </c>
      <c r="Z10" s="237">
        <f t="shared" si="13"/>
        <v>2.9887403645898158E-2</v>
      </c>
      <c r="AA10" s="316">
        <v>8442</v>
      </c>
      <c r="AB10" s="237">
        <f t="shared" si="14"/>
        <v>7.0047046523784628E-2</v>
      </c>
      <c r="AC10" s="316">
        <f t="shared" si="15"/>
        <v>12044</v>
      </c>
      <c r="AD10" s="237">
        <f t="shared" si="16"/>
        <v>9.993445016968279E-2</v>
      </c>
      <c r="AE10" s="316">
        <v>15752</v>
      </c>
      <c r="AF10" s="237">
        <f t="shared" si="17"/>
        <v>0.13070138318439417</v>
      </c>
      <c r="AG10" s="316">
        <v>0</v>
      </c>
      <c r="AH10" s="237">
        <f t="shared" si="18"/>
        <v>0</v>
      </c>
      <c r="AI10" s="316">
        <v>1878</v>
      </c>
      <c r="AJ10" s="237">
        <f t="shared" si="19"/>
        <v>1.5582605232369999E-2</v>
      </c>
      <c r="AK10" s="316">
        <v>4202</v>
      </c>
      <c r="AL10" s="237">
        <f t="shared" si="20"/>
        <v>3.4865871771255982E-2</v>
      </c>
    </row>
    <row r="11" spans="1:38" s="73" customFormat="1" ht="14.25" customHeight="1">
      <c r="B11" s="564"/>
      <c r="C11" s="557"/>
      <c r="D11" s="171">
        <v>46081</v>
      </c>
      <c r="E11" s="171" t="s">
        <v>115</v>
      </c>
      <c r="F11" s="332">
        <f t="shared" si="1"/>
        <v>131697</v>
      </c>
      <c r="G11" s="559"/>
      <c r="H11" s="562"/>
      <c r="I11" s="316">
        <v>27309</v>
      </c>
      <c r="J11" s="237">
        <f t="shared" si="3"/>
        <v>0.2073623544955466</v>
      </c>
      <c r="K11" s="316">
        <v>49114</v>
      </c>
      <c r="L11" s="237">
        <f t="shared" si="4"/>
        <v>0.37293180558403</v>
      </c>
      <c r="M11" s="316">
        <f t="shared" si="5"/>
        <v>76423</v>
      </c>
      <c r="N11" s="237">
        <f t="shared" si="6"/>
        <v>0.58029416007957657</v>
      </c>
      <c r="O11" s="316">
        <v>6731</v>
      </c>
      <c r="P11" s="237">
        <f t="shared" si="7"/>
        <v>5.1109744337380504E-2</v>
      </c>
      <c r="Q11" s="316">
        <v>4780</v>
      </c>
      <c r="R11" s="237">
        <f t="shared" si="8"/>
        <v>3.6295435735058508E-2</v>
      </c>
      <c r="S11" s="316">
        <f t="shared" si="9"/>
        <v>11511</v>
      </c>
      <c r="T11" s="237">
        <f t="shared" si="10"/>
        <v>8.7405180072439012E-2</v>
      </c>
      <c r="U11" s="316">
        <v>4571</v>
      </c>
      <c r="V11" s="237">
        <f t="shared" si="11"/>
        <v>3.4708459570073728E-2</v>
      </c>
      <c r="W11" s="316">
        <v>2494</v>
      </c>
      <c r="X11" s="237">
        <f t="shared" si="12"/>
        <v>1.8937409356325506E-2</v>
      </c>
      <c r="Y11" s="316">
        <v>3911</v>
      </c>
      <c r="Z11" s="237">
        <f t="shared" si="13"/>
        <v>2.9696955891174437E-2</v>
      </c>
      <c r="AA11" s="316">
        <v>9991</v>
      </c>
      <c r="AB11" s="237">
        <f t="shared" si="14"/>
        <v>7.5863535236186094E-2</v>
      </c>
      <c r="AC11" s="316">
        <f t="shared" si="15"/>
        <v>13902</v>
      </c>
      <c r="AD11" s="237">
        <f t="shared" si="16"/>
        <v>0.10556049112736053</v>
      </c>
      <c r="AE11" s="316">
        <v>17123</v>
      </c>
      <c r="AF11" s="237">
        <f t="shared" si="17"/>
        <v>0.13001814771786752</v>
      </c>
      <c r="AG11" s="316">
        <v>0</v>
      </c>
      <c r="AH11" s="237">
        <f t="shared" si="18"/>
        <v>0</v>
      </c>
      <c r="AI11" s="316">
        <v>980</v>
      </c>
      <c r="AJ11" s="237">
        <f t="shared" si="19"/>
        <v>7.4413236444262204E-3</v>
      </c>
      <c r="AK11" s="316">
        <v>4693</v>
      </c>
      <c r="AL11" s="237">
        <f t="shared" si="20"/>
        <v>3.5634828431930873E-2</v>
      </c>
    </row>
    <row r="12" spans="1:38" s="73" customFormat="1" ht="14.25" customHeight="1">
      <c r="B12" s="564"/>
      <c r="C12" s="558" t="s">
        <v>112</v>
      </c>
      <c r="D12" s="171">
        <v>46082</v>
      </c>
      <c r="E12" s="171" t="s">
        <v>116</v>
      </c>
      <c r="F12" s="332">
        <f t="shared" si="1"/>
        <v>179915</v>
      </c>
      <c r="G12" s="559"/>
      <c r="H12" s="560">
        <f>SUM(F12:F42)</f>
        <v>5045753</v>
      </c>
      <c r="I12" s="422">
        <v>45109</v>
      </c>
      <c r="J12" s="237">
        <f t="shared" si="3"/>
        <v>0.25072395297779509</v>
      </c>
      <c r="K12" s="316">
        <v>56909</v>
      </c>
      <c r="L12" s="237">
        <f t="shared" si="4"/>
        <v>0.31631047994886474</v>
      </c>
      <c r="M12" s="316">
        <f t="shared" si="5"/>
        <v>102018</v>
      </c>
      <c r="N12" s="237">
        <f t="shared" si="6"/>
        <v>0.56703443292665978</v>
      </c>
      <c r="O12" s="316">
        <v>9378</v>
      </c>
      <c r="P12" s="237">
        <f t="shared" si="7"/>
        <v>5.212461440124503E-2</v>
      </c>
      <c r="Q12" s="316">
        <v>5980</v>
      </c>
      <c r="R12" s="237">
        <f t="shared" si="8"/>
        <v>3.3237917905677684E-2</v>
      </c>
      <c r="S12" s="316">
        <f t="shared" si="9"/>
        <v>15358</v>
      </c>
      <c r="T12" s="237">
        <f t="shared" si="10"/>
        <v>8.5362532306922714E-2</v>
      </c>
      <c r="U12" s="316">
        <v>6798</v>
      </c>
      <c r="V12" s="237">
        <f t="shared" si="11"/>
        <v>3.7784509351638275E-2</v>
      </c>
      <c r="W12" s="316">
        <v>5640</v>
      </c>
      <c r="X12" s="237">
        <f t="shared" si="12"/>
        <v>3.1348136620070591E-2</v>
      </c>
      <c r="Y12" s="316">
        <v>5220</v>
      </c>
      <c r="Z12" s="237">
        <f t="shared" si="13"/>
        <v>2.901370091432065E-2</v>
      </c>
      <c r="AA12" s="316">
        <v>11326</v>
      </c>
      <c r="AB12" s="237">
        <f t="shared" si="14"/>
        <v>6.2951949531723311E-2</v>
      </c>
      <c r="AC12" s="316">
        <f t="shared" si="15"/>
        <v>16546</v>
      </c>
      <c r="AD12" s="237">
        <f t="shared" si="16"/>
        <v>9.1965650446043962E-2</v>
      </c>
      <c r="AE12" s="316">
        <v>28946</v>
      </c>
      <c r="AF12" s="237">
        <f t="shared" si="17"/>
        <v>0.16088708556818498</v>
      </c>
      <c r="AG12" s="316">
        <v>0</v>
      </c>
      <c r="AH12" s="237">
        <f t="shared" si="18"/>
        <v>0</v>
      </c>
      <c r="AI12" s="316">
        <v>1129</v>
      </c>
      <c r="AJ12" s="237">
        <f t="shared" si="19"/>
        <v>6.2751855042659033E-3</v>
      </c>
      <c r="AK12" s="316">
        <v>3480</v>
      </c>
      <c r="AL12" s="237">
        <f t="shared" si="20"/>
        <v>1.9342467276213769E-2</v>
      </c>
    </row>
    <row r="13" spans="1:38" s="73" customFormat="1" ht="14.25" customHeight="1">
      <c r="B13" s="564"/>
      <c r="C13" s="556"/>
      <c r="D13" s="171">
        <v>46083</v>
      </c>
      <c r="E13" s="171" t="s">
        <v>117</v>
      </c>
      <c r="F13" s="332">
        <f t="shared" si="1"/>
        <v>182764</v>
      </c>
      <c r="G13" s="559"/>
      <c r="H13" s="561"/>
      <c r="I13" s="422">
        <v>43427</v>
      </c>
      <c r="J13" s="237">
        <f t="shared" si="3"/>
        <v>0.23761244008666915</v>
      </c>
      <c r="K13" s="316">
        <v>60484</v>
      </c>
      <c r="L13" s="237">
        <f t="shared" si="4"/>
        <v>0.33094044779059334</v>
      </c>
      <c r="M13" s="316">
        <f t="shared" si="5"/>
        <v>103911</v>
      </c>
      <c r="N13" s="237">
        <f t="shared" si="6"/>
        <v>0.56855288787726244</v>
      </c>
      <c r="O13" s="316">
        <v>8646</v>
      </c>
      <c r="P13" s="237">
        <f t="shared" si="7"/>
        <v>4.7306909457004664E-2</v>
      </c>
      <c r="Q13" s="316">
        <v>5908</v>
      </c>
      <c r="R13" s="237">
        <f t="shared" si="8"/>
        <v>3.2325840975246767E-2</v>
      </c>
      <c r="S13" s="316">
        <f t="shared" si="9"/>
        <v>14554</v>
      </c>
      <c r="T13" s="237">
        <f t="shared" si="10"/>
        <v>7.9632750432251431E-2</v>
      </c>
      <c r="U13" s="316">
        <v>4963</v>
      </c>
      <c r="V13" s="237">
        <f t="shared" si="11"/>
        <v>2.7155238449585256E-2</v>
      </c>
      <c r="W13" s="316">
        <v>4314</v>
      </c>
      <c r="X13" s="237">
        <f t="shared" si="12"/>
        <v>2.3604210894924604E-2</v>
      </c>
      <c r="Y13" s="316">
        <v>4458</v>
      </c>
      <c r="Z13" s="237">
        <f t="shared" si="13"/>
        <v>2.4392112232168261E-2</v>
      </c>
      <c r="AA13" s="316">
        <v>21302</v>
      </c>
      <c r="AB13" s="237">
        <f t="shared" si="14"/>
        <v>0.11655468254141954</v>
      </c>
      <c r="AC13" s="316">
        <f t="shared" si="15"/>
        <v>25760</v>
      </c>
      <c r="AD13" s="237">
        <f t="shared" si="16"/>
        <v>0.14094679477358779</v>
      </c>
      <c r="AE13" s="316">
        <v>24221</v>
      </c>
      <c r="AF13" s="237">
        <f t="shared" si="17"/>
        <v>0.1325260992317962</v>
      </c>
      <c r="AG13" s="316">
        <v>0</v>
      </c>
      <c r="AH13" s="237">
        <f t="shared" si="18"/>
        <v>0</v>
      </c>
      <c r="AI13" s="316">
        <v>1288</v>
      </c>
      <c r="AJ13" s="237">
        <f t="shared" si="19"/>
        <v>7.0473397386793899E-3</v>
      </c>
      <c r="AK13" s="316">
        <v>3753</v>
      </c>
      <c r="AL13" s="237">
        <f t="shared" si="20"/>
        <v>2.053467860191285E-2</v>
      </c>
    </row>
    <row r="14" spans="1:38" s="73" customFormat="1" ht="14.25" customHeight="1">
      <c r="B14" s="547">
        <f>B7+7</f>
        <v>46092</v>
      </c>
      <c r="C14" s="556"/>
      <c r="D14" s="171">
        <v>46084</v>
      </c>
      <c r="E14" s="171" t="s">
        <v>118</v>
      </c>
      <c r="F14" s="332">
        <f t="shared" si="1"/>
        <v>182389</v>
      </c>
      <c r="G14" s="559">
        <f t="shared" ref="G14" si="21">SUM(F14:F20)</f>
        <v>1137743</v>
      </c>
      <c r="H14" s="561"/>
      <c r="I14" s="316">
        <v>42651</v>
      </c>
      <c r="J14" s="237">
        <f t="shared" si="3"/>
        <v>0.23384633941739907</v>
      </c>
      <c r="K14" s="316">
        <v>58621</v>
      </c>
      <c r="L14" s="237">
        <f t="shared" si="4"/>
        <v>0.32140644446759398</v>
      </c>
      <c r="M14" s="316">
        <f t="shared" si="5"/>
        <v>101272</v>
      </c>
      <c r="N14" s="237">
        <f t="shared" si="6"/>
        <v>0.55525278388499311</v>
      </c>
      <c r="O14" s="316">
        <v>13280</v>
      </c>
      <c r="P14" s="237">
        <f t="shared" si="7"/>
        <v>7.2811408582754436E-2</v>
      </c>
      <c r="Q14" s="316">
        <v>5934</v>
      </c>
      <c r="R14" s="237">
        <f t="shared" si="8"/>
        <v>3.2534856817022957E-2</v>
      </c>
      <c r="S14" s="316">
        <f t="shared" si="9"/>
        <v>19214</v>
      </c>
      <c r="T14" s="237">
        <f t="shared" si="10"/>
        <v>0.1053462653997774</v>
      </c>
      <c r="U14" s="316">
        <v>4542</v>
      </c>
      <c r="V14" s="237">
        <f t="shared" si="11"/>
        <v>2.4902817604131829E-2</v>
      </c>
      <c r="W14" s="316">
        <v>3285</v>
      </c>
      <c r="X14" s="237">
        <f t="shared" si="12"/>
        <v>1.8010954608008157E-2</v>
      </c>
      <c r="Y14" s="316">
        <v>3562</v>
      </c>
      <c r="Z14" s="237">
        <f t="shared" si="13"/>
        <v>1.9529686549079165E-2</v>
      </c>
      <c r="AA14" s="316">
        <v>19243</v>
      </c>
      <c r="AB14" s="237">
        <f t="shared" si="14"/>
        <v>0.10550526621671263</v>
      </c>
      <c r="AC14" s="316">
        <f t="shared" si="15"/>
        <v>22805</v>
      </c>
      <c r="AD14" s="237">
        <f t="shared" si="16"/>
        <v>0.1250349527657918</v>
      </c>
      <c r="AE14" s="316">
        <v>26742</v>
      </c>
      <c r="AF14" s="237">
        <f t="shared" si="17"/>
        <v>0.14662068436144723</v>
      </c>
      <c r="AG14" s="316">
        <v>0</v>
      </c>
      <c r="AH14" s="237">
        <f t="shared" si="18"/>
        <v>0</v>
      </c>
      <c r="AI14" s="316">
        <v>1010</v>
      </c>
      <c r="AJ14" s="237">
        <f t="shared" si="19"/>
        <v>5.5376146587787639E-3</v>
      </c>
      <c r="AK14" s="316">
        <v>3519</v>
      </c>
      <c r="AL14" s="237">
        <f t="shared" si="20"/>
        <v>1.9293926717071752E-2</v>
      </c>
    </row>
    <row r="15" spans="1:38" s="73" customFormat="1" ht="14.25" customHeight="1">
      <c r="B15" s="548"/>
      <c r="C15" s="556"/>
      <c r="D15" s="171">
        <v>46085</v>
      </c>
      <c r="E15" s="171" t="s">
        <v>112</v>
      </c>
      <c r="F15" s="332">
        <f t="shared" si="1"/>
        <v>171444</v>
      </c>
      <c r="G15" s="559"/>
      <c r="H15" s="561"/>
      <c r="I15" s="316">
        <v>41657</v>
      </c>
      <c r="J15" s="237">
        <f t="shared" si="3"/>
        <v>0.2429772987097828</v>
      </c>
      <c r="K15" s="316">
        <v>56001</v>
      </c>
      <c r="L15" s="237">
        <f t="shared" si="4"/>
        <v>0.3266431021208091</v>
      </c>
      <c r="M15" s="316">
        <f t="shared" si="5"/>
        <v>97658</v>
      </c>
      <c r="N15" s="237">
        <f t="shared" si="6"/>
        <v>0.56962040083059196</v>
      </c>
      <c r="O15" s="316">
        <v>11933</v>
      </c>
      <c r="P15" s="237">
        <f t="shared" si="7"/>
        <v>6.9602902405450182E-2</v>
      </c>
      <c r="Q15" s="316">
        <v>6206</v>
      </c>
      <c r="R15" s="237">
        <f t="shared" si="8"/>
        <v>3.6198408809873781E-2</v>
      </c>
      <c r="S15" s="316">
        <f t="shared" si="9"/>
        <v>18139</v>
      </c>
      <c r="T15" s="237">
        <f t="shared" si="10"/>
        <v>0.10580131121532395</v>
      </c>
      <c r="U15" s="316">
        <v>4259</v>
      </c>
      <c r="V15" s="237">
        <f t="shared" si="11"/>
        <v>2.4841930892886308E-2</v>
      </c>
      <c r="W15" s="316">
        <v>3035</v>
      </c>
      <c r="X15" s="237">
        <f t="shared" si="12"/>
        <v>1.770257343505751E-2</v>
      </c>
      <c r="Y15" s="316">
        <v>3325</v>
      </c>
      <c r="Z15" s="237">
        <f t="shared" si="13"/>
        <v>1.9394087865425444E-2</v>
      </c>
      <c r="AA15" s="316">
        <v>17352</v>
      </c>
      <c r="AB15" s="237">
        <f t="shared" si="14"/>
        <v>0.10121089101980822</v>
      </c>
      <c r="AC15" s="316">
        <f t="shared" si="15"/>
        <v>20677</v>
      </c>
      <c r="AD15" s="237">
        <f t="shared" si="16"/>
        <v>0.12060497888523367</v>
      </c>
      <c r="AE15" s="316">
        <v>23875</v>
      </c>
      <c r="AF15" s="237">
        <f t="shared" si="17"/>
        <v>0.13925830008632556</v>
      </c>
      <c r="AG15" s="316">
        <v>0</v>
      </c>
      <c r="AH15" s="237">
        <f t="shared" si="18"/>
        <v>0</v>
      </c>
      <c r="AI15" s="316">
        <v>0</v>
      </c>
      <c r="AJ15" s="237">
        <f t="shared" si="19"/>
        <v>0</v>
      </c>
      <c r="AK15" s="316">
        <v>3801</v>
      </c>
      <c r="AL15" s="237">
        <f t="shared" si="20"/>
        <v>2.2170504654581088E-2</v>
      </c>
    </row>
    <row r="16" spans="1:38" s="73" customFormat="1" ht="14.25" customHeight="1">
      <c r="B16" s="548"/>
      <c r="C16" s="556"/>
      <c r="D16" s="171">
        <v>46086</v>
      </c>
      <c r="E16" s="171" t="s">
        <v>113</v>
      </c>
      <c r="F16" s="332">
        <f t="shared" si="1"/>
        <v>153251</v>
      </c>
      <c r="G16" s="559"/>
      <c r="H16" s="561"/>
      <c r="I16" s="316">
        <v>38873</v>
      </c>
      <c r="J16" s="237">
        <f t="shared" si="3"/>
        <v>0.25365576733593909</v>
      </c>
      <c r="K16" s="316">
        <v>49420</v>
      </c>
      <c r="L16" s="237">
        <f t="shared" si="4"/>
        <v>0.3224775042250948</v>
      </c>
      <c r="M16" s="316">
        <f t="shared" si="5"/>
        <v>88293</v>
      </c>
      <c r="N16" s="237">
        <f t="shared" si="6"/>
        <v>0.57613327156103389</v>
      </c>
      <c r="O16" s="316">
        <v>10955</v>
      </c>
      <c r="P16" s="237">
        <f t="shared" si="7"/>
        <v>7.1484035993239853E-2</v>
      </c>
      <c r="Q16" s="316">
        <v>5524</v>
      </c>
      <c r="R16" s="237">
        <f t="shared" si="8"/>
        <v>3.6045441791570688E-2</v>
      </c>
      <c r="S16" s="316">
        <f t="shared" si="9"/>
        <v>16479</v>
      </c>
      <c r="T16" s="237">
        <f t="shared" si="10"/>
        <v>0.10752947778481053</v>
      </c>
      <c r="U16" s="316">
        <v>3735</v>
      </c>
      <c r="V16" s="237">
        <f t="shared" si="11"/>
        <v>2.4371782239593871E-2</v>
      </c>
      <c r="W16" s="316">
        <v>3103</v>
      </c>
      <c r="X16" s="237">
        <f t="shared" si="12"/>
        <v>2.0247828725424303E-2</v>
      </c>
      <c r="Y16" s="316">
        <v>3260</v>
      </c>
      <c r="Z16" s="237">
        <f t="shared" si="13"/>
        <v>2.1272291861064527E-2</v>
      </c>
      <c r="AA16" s="316">
        <v>13639</v>
      </c>
      <c r="AB16" s="237">
        <f t="shared" si="14"/>
        <v>8.899778794265617E-2</v>
      </c>
      <c r="AC16" s="316">
        <f t="shared" si="15"/>
        <v>16899</v>
      </c>
      <c r="AD16" s="237">
        <f t="shared" si="16"/>
        <v>0.11027007980372069</v>
      </c>
      <c r="AE16" s="316">
        <v>21166</v>
      </c>
      <c r="AF16" s="237">
        <f t="shared" si="17"/>
        <v>0.13811329126726743</v>
      </c>
      <c r="AG16" s="316">
        <v>0</v>
      </c>
      <c r="AH16" s="237">
        <f t="shared" si="18"/>
        <v>0</v>
      </c>
      <c r="AI16" s="316">
        <v>0</v>
      </c>
      <c r="AJ16" s="237">
        <f t="shared" si="19"/>
        <v>0</v>
      </c>
      <c r="AK16" s="316">
        <v>3576</v>
      </c>
      <c r="AL16" s="237">
        <f t="shared" si="20"/>
        <v>2.3334268618149311E-2</v>
      </c>
    </row>
    <row r="17" spans="2:38" s="73" customFormat="1" ht="14.25" customHeight="1">
      <c r="B17" s="548"/>
      <c r="C17" s="556"/>
      <c r="D17" s="171">
        <v>46087</v>
      </c>
      <c r="E17" s="171" t="s">
        <v>114</v>
      </c>
      <c r="F17" s="332">
        <f t="shared" si="1"/>
        <v>131075</v>
      </c>
      <c r="G17" s="559"/>
      <c r="H17" s="561"/>
      <c r="I17" s="316">
        <v>28949</v>
      </c>
      <c r="J17" s="237">
        <f t="shared" si="3"/>
        <v>0.22085828724012971</v>
      </c>
      <c r="K17" s="316">
        <v>45623</v>
      </c>
      <c r="L17" s="237">
        <f t="shared" si="4"/>
        <v>0.34806790005721916</v>
      </c>
      <c r="M17" s="316">
        <f t="shared" si="5"/>
        <v>74572</v>
      </c>
      <c r="N17" s="237">
        <f t="shared" si="6"/>
        <v>0.5689261872973489</v>
      </c>
      <c r="O17" s="316">
        <v>8718</v>
      </c>
      <c r="P17" s="237">
        <f t="shared" si="7"/>
        <v>6.6511539195117306E-2</v>
      </c>
      <c r="Q17" s="316">
        <v>4474</v>
      </c>
      <c r="R17" s="237">
        <f t="shared" si="8"/>
        <v>3.4133129887469006E-2</v>
      </c>
      <c r="S17" s="316">
        <f t="shared" si="9"/>
        <v>13192</v>
      </c>
      <c r="T17" s="237">
        <f t="shared" si="10"/>
        <v>0.1006446690825863</v>
      </c>
      <c r="U17" s="316">
        <v>4167</v>
      </c>
      <c r="V17" s="237">
        <f t="shared" si="11"/>
        <v>3.1790959374403967E-2</v>
      </c>
      <c r="W17" s="316">
        <v>3023</v>
      </c>
      <c r="X17" s="237">
        <f t="shared" si="12"/>
        <v>2.3063131794773983E-2</v>
      </c>
      <c r="Y17" s="316">
        <v>3453</v>
      </c>
      <c r="Z17" s="237">
        <f t="shared" si="13"/>
        <v>2.6343696357047492E-2</v>
      </c>
      <c r="AA17" s="316">
        <v>13042</v>
      </c>
      <c r="AB17" s="237">
        <f t="shared" si="14"/>
        <v>9.9500286095746709E-2</v>
      </c>
      <c r="AC17" s="316">
        <f t="shared" si="15"/>
        <v>16495</v>
      </c>
      <c r="AD17" s="237">
        <f t="shared" si="16"/>
        <v>0.12584398245279421</v>
      </c>
      <c r="AE17" s="316">
        <v>16158</v>
      </c>
      <c r="AF17" s="237">
        <f t="shared" si="17"/>
        <v>0.12327293534236124</v>
      </c>
      <c r="AG17" s="316">
        <v>0</v>
      </c>
      <c r="AH17" s="237">
        <f t="shared" si="18"/>
        <v>0</v>
      </c>
      <c r="AI17" s="316">
        <v>0</v>
      </c>
      <c r="AJ17" s="237">
        <f t="shared" si="19"/>
        <v>0</v>
      </c>
      <c r="AK17" s="316">
        <v>3468</v>
      </c>
      <c r="AL17" s="237">
        <f t="shared" si="20"/>
        <v>2.6458134655731453E-2</v>
      </c>
    </row>
    <row r="18" spans="2:38" s="73" customFormat="1" ht="14.25" customHeight="1">
      <c r="B18" s="548"/>
      <c r="C18" s="556"/>
      <c r="D18" s="171">
        <v>46088</v>
      </c>
      <c r="E18" s="171" t="s">
        <v>115</v>
      </c>
      <c r="F18" s="332">
        <f t="shared" si="1"/>
        <v>139687</v>
      </c>
      <c r="G18" s="559"/>
      <c r="H18" s="561"/>
      <c r="I18" s="316">
        <v>27370</v>
      </c>
      <c r="J18" s="237">
        <f t="shared" si="3"/>
        <v>0.19593806152326274</v>
      </c>
      <c r="K18" s="316">
        <v>52622</v>
      </c>
      <c r="L18" s="237">
        <f t="shared" si="4"/>
        <v>0.37671365266631829</v>
      </c>
      <c r="M18" s="316">
        <f t="shared" si="5"/>
        <v>79992</v>
      </c>
      <c r="N18" s="237">
        <f t="shared" si="6"/>
        <v>0.57265171418958094</v>
      </c>
      <c r="O18" s="316">
        <v>8516</v>
      </c>
      <c r="P18" s="237">
        <f t="shared" si="7"/>
        <v>6.0964871462627163E-2</v>
      </c>
      <c r="Q18" s="316">
        <v>4336</v>
      </c>
      <c r="R18" s="237">
        <f t="shared" si="8"/>
        <v>3.1040826991774469E-2</v>
      </c>
      <c r="S18" s="316">
        <f t="shared" si="9"/>
        <v>12852</v>
      </c>
      <c r="T18" s="237">
        <f t="shared" si="10"/>
        <v>9.2005698454401624E-2</v>
      </c>
      <c r="U18" s="316">
        <v>3830</v>
      </c>
      <c r="V18" s="237">
        <f t="shared" si="11"/>
        <v>2.74184426610923E-2</v>
      </c>
      <c r="W18" s="316">
        <v>2479</v>
      </c>
      <c r="X18" s="237">
        <f t="shared" si="12"/>
        <v>1.7746819675417181E-2</v>
      </c>
      <c r="Y18" s="316">
        <v>3812</v>
      </c>
      <c r="Z18" s="237">
        <f t="shared" si="13"/>
        <v>2.7289583139447481E-2</v>
      </c>
      <c r="AA18" s="316">
        <v>14992</v>
      </c>
      <c r="AB18" s="237">
        <f t="shared" si="14"/>
        <v>0.10732566380550802</v>
      </c>
      <c r="AC18" s="316">
        <f t="shared" si="15"/>
        <v>18804</v>
      </c>
      <c r="AD18" s="237">
        <f t="shared" si="16"/>
        <v>0.1346152469449555</v>
      </c>
      <c r="AE18" s="316">
        <v>18163</v>
      </c>
      <c r="AF18" s="237">
        <f t="shared" si="17"/>
        <v>0.13002641620193719</v>
      </c>
      <c r="AG18" s="316">
        <v>0</v>
      </c>
      <c r="AH18" s="237">
        <f t="shared" si="18"/>
        <v>0</v>
      </c>
      <c r="AI18" s="316">
        <v>0</v>
      </c>
      <c r="AJ18" s="237">
        <f t="shared" si="19"/>
        <v>0</v>
      </c>
      <c r="AK18" s="316">
        <v>3567</v>
      </c>
      <c r="AL18" s="237">
        <f t="shared" si="20"/>
        <v>2.5535661872615203E-2</v>
      </c>
    </row>
    <row r="19" spans="2:38" s="73" customFormat="1" ht="14.25" customHeight="1">
      <c r="B19" s="548"/>
      <c r="C19" s="556"/>
      <c r="D19" s="171">
        <v>46089</v>
      </c>
      <c r="E19" s="171" t="s">
        <v>116</v>
      </c>
      <c r="F19" s="332">
        <f t="shared" si="1"/>
        <v>184408</v>
      </c>
      <c r="G19" s="559"/>
      <c r="H19" s="561"/>
      <c r="I19" s="316">
        <v>43794</v>
      </c>
      <c r="J19" s="237">
        <f t="shared" si="3"/>
        <v>0.23748427400112793</v>
      </c>
      <c r="K19" s="316">
        <v>59347</v>
      </c>
      <c r="L19" s="237">
        <f t="shared" si="4"/>
        <v>0.32182443277948897</v>
      </c>
      <c r="M19" s="316">
        <f t="shared" si="5"/>
        <v>103141</v>
      </c>
      <c r="N19" s="237">
        <f t="shared" si="6"/>
        <v>0.55930870678061684</v>
      </c>
      <c r="O19" s="316">
        <v>12412</v>
      </c>
      <c r="P19" s="237">
        <f t="shared" si="7"/>
        <v>6.7307275172443712E-2</v>
      </c>
      <c r="Q19" s="316">
        <v>5576</v>
      </c>
      <c r="R19" s="237">
        <f t="shared" si="8"/>
        <v>3.0237299900221247E-2</v>
      </c>
      <c r="S19" s="316">
        <f t="shared" si="9"/>
        <v>17988</v>
      </c>
      <c r="T19" s="237">
        <f t="shared" si="10"/>
        <v>9.7544575072664966E-2</v>
      </c>
      <c r="U19" s="316">
        <v>4916</v>
      </c>
      <c r="V19" s="237">
        <f t="shared" si="11"/>
        <v>2.6658279467268231E-2</v>
      </c>
      <c r="W19" s="316">
        <v>3108</v>
      </c>
      <c r="X19" s="237">
        <f t="shared" si="12"/>
        <v>1.6853932584269662E-2</v>
      </c>
      <c r="Y19" s="316">
        <v>4334</v>
      </c>
      <c r="Z19" s="237">
        <f t="shared" si="13"/>
        <v>2.3502234176391478E-2</v>
      </c>
      <c r="AA19" s="316">
        <v>18040</v>
      </c>
      <c r="AB19" s="237">
        <f t="shared" si="14"/>
        <v>9.782655850071581E-2</v>
      </c>
      <c r="AC19" s="316">
        <f t="shared" si="15"/>
        <v>22374</v>
      </c>
      <c r="AD19" s="237">
        <f t="shared" si="16"/>
        <v>0.12132879267710728</v>
      </c>
      <c r="AE19" s="316">
        <v>29395</v>
      </c>
      <c r="AF19" s="237">
        <f t="shared" si="17"/>
        <v>0.15940197822220295</v>
      </c>
      <c r="AG19" s="316">
        <v>0</v>
      </c>
      <c r="AH19" s="237">
        <f t="shared" si="18"/>
        <v>0</v>
      </c>
      <c r="AI19" s="316">
        <v>0</v>
      </c>
      <c r="AJ19" s="237">
        <f t="shared" si="19"/>
        <v>0</v>
      </c>
      <c r="AK19" s="316">
        <v>3486</v>
      </c>
      <c r="AL19" s="237">
        <f t="shared" si="20"/>
        <v>1.8903735195870026E-2</v>
      </c>
    </row>
    <row r="20" spans="2:38" s="73" customFormat="1" ht="14.25" customHeight="1">
      <c r="B20" s="549"/>
      <c r="C20" s="556"/>
      <c r="D20" s="171">
        <v>46090</v>
      </c>
      <c r="E20" s="171" t="s">
        <v>117</v>
      </c>
      <c r="F20" s="332">
        <f t="shared" si="1"/>
        <v>175489</v>
      </c>
      <c r="G20" s="559"/>
      <c r="H20" s="561"/>
      <c r="I20" s="316">
        <v>42280</v>
      </c>
      <c r="J20" s="237">
        <f t="shared" si="3"/>
        <v>0.24092678173560736</v>
      </c>
      <c r="K20" s="316">
        <v>58182</v>
      </c>
      <c r="L20" s="237">
        <f t="shared" si="4"/>
        <v>0.33154214794089659</v>
      </c>
      <c r="M20" s="316">
        <f t="shared" si="5"/>
        <v>100462</v>
      </c>
      <c r="N20" s="237">
        <f t="shared" si="6"/>
        <v>0.57246892967650398</v>
      </c>
      <c r="O20" s="316">
        <v>11112</v>
      </c>
      <c r="P20" s="237">
        <f t="shared" si="7"/>
        <v>6.3320208104211656E-2</v>
      </c>
      <c r="Q20" s="316">
        <v>5630</v>
      </c>
      <c r="R20" s="237">
        <f t="shared" si="8"/>
        <v>3.2081782903771748E-2</v>
      </c>
      <c r="S20" s="316">
        <f t="shared" si="9"/>
        <v>16742</v>
      </c>
      <c r="T20" s="237">
        <f t="shared" si="10"/>
        <v>9.5401991007983411E-2</v>
      </c>
      <c r="U20" s="316">
        <v>5138</v>
      </c>
      <c r="V20" s="237">
        <f t="shared" si="11"/>
        <v>2.9278188376479438E-2</v>
      </c>
      <c r="W20" s="316">
        <v>3328</v>
      </c>
      <c r="X20" s="237">
        <f t="shared" si="12"/>
        <v>1.8964151599245537E-2</v>
      </c>
      <c r="Y20" s="316">
        <v>4146</v>
      </c>
      <c r="Z20" s="237">
        <f t="shared" si="13"/>
        <v>2.3625412419012018E-2</v>
      </c>
      <c r="AA20" s="316">
        <v>17538</v>
      </c>
      <c r="AB20" s="237">
        <f t="shared" si="14"/>
        <v>9.9937887844822187E-2</v>
      </c>
      <c r="AC20" s="316">
        <f t="shared" si="15"/>
        <v>21684</v>
      </c>
      <c r="AD20" s="237">
        <f t="shared" si="16"/>
        <v>0.12356330026383421</v>
      </c>
      <c r="AE20" s="316">
        <v>24289</v>
      </c>
      <c r="AF20" s="237">
        <f t="shared" si="17"/>
        <v>0.13840753551504653</v>
      </c>
      <c r="AG20" s="316">
        <v>0</v>
      </c>
      <c r="AH20" s="237">
        <f t="shared" si="18"/>
        <v>0</v>
      </c>
      <c r="AI20" s="316">
        <v>0</v>
      </c>
      <c r="AJ20" s="237">
        <f t="shared" si="19"/>
        <v>0</v>
      </c>
      <c r="AK20" s="316">
        <v>3846</v>
      </c>
      <c r="AL20" s="237">
        <f t="shared" si="20"/>
        <v>2.191590356090695E-2</v>
      </c>
    </row>
    <row r="21" spans="2:38" s="73" customFormat="1" ht="14.25" customHeight="1">
      <c r="B21" s="547">
        <f>B14+7</f>
        <v>46099</v>
      </c>
      <c r="C21" s="556"/>
      <c r="D21" s="171">
        <v>46091</v>
      </c>
      <c r="E21" s="171" t="s">
        <v>118</v>
      </c>
      <c r="F21" s="332">
        <f t="shared" si="1"/>
        <v>171919</v>
      </c>
      <c r="G21" s="559">
        <f t="shared" ref="G21" si="22">SUM(F21:F27)</f>
        <v>1114939</v>
      </c>
      <c r="H21" s="561"/>
      <c r="I21" s="316">
        <v>41567</v>
      </c>
      <c r="J21" s="237">
        <f t="shared" si="3"/>
        <v>0.2417824673247285</v>
      </c>
      <c r="K21" s="316">
        <v>56844</v>
      </c>
      <c r="L21" s="237">
        <f t="shared" si="4"/>
        <v>0.33064408238763604</v>
      </c>
      <c r="M21" s="316">
        <f t="shared" si="5"/>
        <v>98411</v>
      </c>
      <c r="N21" s="237">
        <f t="shared" si="6"/>
        <v>0.57242654971236451</v>
      </c>
      <c r="O21" s="316">
        <v>11916</v>
      </c>
      <c r="P21" s="237">
        <f t="shared" si="7"/>
        <v>6.9311710747503183E-2</v>
      </c>
      <c r="Q21" s="316">
        <v>5584</v>
      </c>
      <c r="R21" s="237">
        <f t="shared" si="8"/>
        <v>3.2480412287181751E-2</v>
      </c>
      <c r="S21" s="316">
        <f t="shared" si="9"/>
        <v>17500</v>
      </c>
      <c r="T21" s="237">
        <f t="shared" si="10"/>
        <v>0.10179212303468493</v>
      </c>
      <c r="U21" s="316">
        <v>4307</v>
      </c>
      <c r="V21" s="237">
        <f t="shared" si="11"/>
        <v>2.5052495652022173E-2</v>
      </c>
      <c r="W21" s="316">
        <v>2987</v>
      </c>
      <c r="X21" s="237">
        <f t="shared" si="12"/>
        <v>1.7374461228834508E-2</v>
      </c>
      <c r="Y21" s="316">
        <v>3990</v>
      </c>
      <c r="Z21" s="237">
        <f t="shared" si="13"/>
        <v>2.3208604051908166E-2</v>
      </c>
      <c r="AA21" s="316">
        <v>17368</v>
      </c>
      <c r="AB21" s="237">
        <f t="shared" si="14"/>
        <v>0.10102431959236617</v>
      </c>
      <c r="AC21" s="316">
        <f t="shared" si="15"/>
        <v>21358</v>
      </c>
      <c r="AD21" s="237">
        <f t="shared" si="16"/>
        <v>0.12423292364427434</v>
      </c>
      <c r="AE21" s="316">
        <v>23666</v>
      </c>
      <c r="AF21" s="237">
        <f t="shared" si="17"/>
        <v>0.13765785049936308</v>
      </c>
      <c r="AG21" s="316">
        <v>0</v>
      </c>
      <c r="AH21" s="237">
        <f t="shared" si="18"/>
        <v>0</v>
      </c>
      <c r="AI21" s="316">
        <v>0</v>
      </c>
      <c r="AJ21" s="237">
        <f t="shared" si="19"/>
        <v>0</v>
      </c>
      <c r="AK21" s="316">
        <v>3690</v>
      </c>
      <c r="AL21" s="237">
        <f t="shared" si="20"/>
        <v>2.1463596228456425E-2</v>
      </c>
    </row>
    <row r="22" spans="2:38" s="73" customFormat="1" ht="14.25" customHeight="1">
      <c r="B22" s="548"/>
      <c r="C22" s="556"/>
      <c r="D22" s="171">
        <v>46092</v>
      </c>
      <c r="E22" s="171" t="s">
        <v>112</v>
      </c>
      <c r="F22" s="332">
        <f t="shared" si="1"/>
        <v>163607</v>
      </c>
      <c r="G22" s="559"/>
      <c r="H22" s="561"/>
      <c r="I22" s="316">
        <v>40082</v>
      </c>
      <c r="J22" s="237">
        <f t="shared" si="3"/>
        <v>0.24498951756342943</v>
      </c>
      <c r="K22" s="316">
        <v>53840</v>
      </c>
      <c r="L22" s="237">
        <f t="shared" si="4"/>
        <v>0.32908127402861737</v>
      </c>
      <c r="M22" s="316">
        <f t="shared" si="5"/>
        <v>93922</v>
      </c>
      <c r="N22" s="237">
        <f t="shared" si="6"/>
        <v>0.57407079159204677</v>
      </c>
      <c r="O22" s="316">
        <v>11444</v>
      </c>
      <c r="P22" s="237">
        <f t="shared" si="7"/>
        <v>6.994810735481978E-2</v>
      </c>
      <c r="Q22" s="316">
        <v>5489</v>
      </c>
      <c r="R22" s="237">
        <f t="shared" si="8"/>
        <v>3.3549909233712497E-2</v>
      </c>
      <c r="S22" s="316">
        <f t="shared" si="9"/>
        <v>16933</v>
      </c>
      <c r="T22" s="237">
        <f t="shared" si="10"/>
        <v>0.10349801658853228</v>
      </c>
      <c r="U22" s="316">
        <v>4555</v>
      </c>
      <c r="V22" s="237">
        <f t="shared" si="11"/>
        <v>2.7841107043097179E-2</v>
      </c>
      <c r="W22" s="316">
        <v>3349</v>
      </c>
      <c r="X22" s="237">
        <f t="shared" si="12"/>
        <v>2.0469784300182755E-2</v>
      </c>
      <c r="Y22" s="316">
        <v>3653</v>
      </c>
      <c r="Z22" s="237">
        <f t="shared" si="13"/>
        <v>2.2327895505693522E-2</v>
      </c>
      <c r="AA22" s="316">
        <v>15836</v>
      </c>
      <c r="AB22" s="237">
        <f t="shared" si="14"/>
        <v>9.6792924508120062E-2</v>
      </c>
      <c r="AC22" s="316">
        <f t="shared" si="15"/>
        <v>19489</v>
      </c>
      <c r="AD22" s="237">
        <f t="shared" si="16"/>
        <v>0.11912082001381359</v>
      </c>
      <c r="AE22" s="316">
        <v>21426</v>
      </c>
      <c r="AF22" s="237">
        <f t="shared" si="17"/>
        <v>0.13096016674103186</v>
      </c>
      <c r="AG22" s="316">
        <v>0</v>
      </c>
      <c r="AH22" s="237">
        <f t="shared" si="18"/>
        <v>0</v>
      </c>
      <c r="AI22" s="316">
        <v>0</v>
      </c>
      <c r="AJ22" s="237">
        <f t="shared" si="19"/>
        <v>0</v>
      </c>
      <c r="AK22" s="316">
        <v>3933</v>
      </c>
      <c r="AL22" s="237">
        <f t="shared" si="20"/>
        <v>2.4039313721295544E-2</v>
      </c>
    </row>
    <row r="23" spans="2:38" s="73" customFormat="1" ht="14.25" customHeight="1">
      <c r="B23" s="548"/>
      <c r="C23" s="556"/>
      <c r="D23" s="171">
        <v>46093</v>
      </c>
      <c r="E23" s="171" t="s">
        <v>113</v>
      </c>
      <c r="F23" s="332">
        <f t="shared" si="1"/>
        <v>150153</v>
      </c>
      <c r="G23" s="559"/>
      <c r="H23" s="561"/>
      <c r="I23" s="316">
        <v>38669</v>
      </c>
      <c r="J23" s="237">
        <f t="shared" si="3"/>
        <v>0.25753065206822373</v>
      </c>
      <c r="K23" s="316">
        <v>48385</v>
      </c>
      <c r="L23" s="237">
        <f t="shared" si="4"/>
        <v>0.32223798392306513</v>
      </c>
      <c r="M23" s="316">
        <f t="shared" si="5"/>
        <v>87054</v>
      </c>
      <c r="N23" s="237">
        <f t="shared" si="6"/>
        <v>0.57976863599128892</v>
      </c>
      <c r="O23" s="316">
        <v>11048</v>
      </c>
      <c r="P23" s="237">
        <f t="shared" si="7"/>
        <v>7.3578283484179469E-2</v>
      </c>
      <c r="Q23" s="316">
        <v>5266</v>
      </c>
      <c r="R23" s="237">
        <f t="shared" si="8"/>
        <v>3.5070894354425154E-2</v>
      </c>
      <c r="S23" s="316">
        <f t="shared" si="9"/>
        <v>16314</v>
      </c>
      <c r="T23" s="237">
        <f t="shared" si="10"/>
        <v>0.10864917783860463</v>
      </c>
      <c r="U23" s="316">
        <v>4435</v>
      </c>
      <c r="V23" s="237">
        <f t="shared" si="11"/>
        <v>2.9536539396482254E-2</v>
      </c>
      <c r="W23" s="316">
        <v>2693</v>
      </c>
      <c r="X23" s="237">
        <f t="shared" si="12"/>
        <v>1.7935039592948527E-2</v>
      </c>
      <c r="Y23" s="316">
        <v>3426</v>
      </c>
      <c r="Z23" s="237">
        <f t="shared" si="13"/>
        <v>2.2816726938522706E-2</v>
      </c>
      <c r="AA23" s="316">
        <v>12267</v>
      </c>
      <c r="AB23" s="237">
        <f t="shared" si="14"/>
        <v>8.1696669397214844E-2</v>
      </c>
      <c r="AC23" s="316">
        <f t="shared" si="15"/>
        <v>15693</v>
      </c>
      <c r="AD23" s="237">
        <f t="shared" si="16"/>
        <v>0.10451339633573754</v>
      </c>
      <c r="AE23" s="316">
        <v>20058</v>
      </c>
      <c r="AF23" s="237">
        <f t="shared" si="17"/>
        <v>0.13358374458052785</v>
      </c>
      <c r="AG23" s="316">
        <v>0</v>
      </c>
      <c r="AH23" s="237">
        <f t="shared" si="18"/>
        <v>0</v>
      </c>
      <c r="AI23" s="316">
        <v>0</v>
      </c>
      <c r="AJ23" s="237">
        <f t="shared" si="19"/>
        <v>0</v>
      </c>
      <c r="AK23" s="316">
        <v>3906</v>
      </c>
      <c r="AL23" s="237">
        <f t="shared" si="20"/>
        <v>2.6013466264410302E-2</v>
      </c>
    </row>
    <row r="24" spans="2:38" s="73" customFormat="1" ht="14.25" customHeight="1">
      <c r="B24" s="548"/>
      <c r="C24" s="556"/>
      <c r="D24" s="171">
        <v>46094</v>
      </c>
      <c r="E24" s="171" t="s">
        <v>114</v>
      </c>
      <c r="F24" s="332">
        <f t="shared" si="1"/>
        <v>130207</v>
      </c>
      <c r="G24" s="559"/>
      <c r="H24" s="561"/>
      <c r="I24" s="316">
        <v>29456</v>
      </c>
      <c r="J24" s="237">
        <f t="shared" si="3"/>
        <v>0.22622439653782056</v>
      </c>
      <c r="K24" s="316">
        <v>45025</v>
      </c>
      <c r="L24" s="237">
        <f t="shared" si="4"/>
        <v>0.3457955409463393</v>
      </c>
      <c r="M24" s="316">
        <f t="shared" si="5"/>
        <v>74481</v>
      </c>
      <c r="N24" s="237">
        <f t="shared" si="6"/>
        <v>0.5720199374841598</v>
      </c>
      <c r="O24" s="316">
        <v>8234</v>
      </c>
      <c r="P24" s="237">
        <f t="shared" si="7"/>
        <v>6.3237767554739754E-2</v>
      </c>
      <c r="Q24" s="316">
        <v>4146</v>
      </c>
      <c r="R24" s="237">
        <f t="shared" si="8"/>
        <v>3.1841606058046035E-2</v>
      </c>
      <c r="S24" s="316">
        <f t="shared" si="9"/>
        <v>12380</v>
      </c>
      <c r="T24" s="237">
        <f t="shared" si="10"/>
        <v>9.5079373612785789E-2</v>
      </c>
      <c r="U24" s="316">
        <v>3840</v>
      </c>
      <c r="V24" s="237">
        <f t="shared" si="11"/>
        <v>2.949150199298041E-2</v>
      </c>
      <c r="W24" s="316">
        <v>2069</v>
      </c>
      <c r="X24" s="237">
        <f t="shared" si="12"/>
        <v>1.5890082714446994E-2</v>
      </c>
      <c r="Y24" s="316">
        <v>3372</v>
      </c>
      <c r="Z24" s="237">
        <f t="shared" si="13"/>
        <v>2.5897225187585922E-2</v>
      </c>
      <c r="AA24" s="316">
        <v>13540</v>
      </c>
      <c r="AB24" s="237">
        <f t="shared" si="14"/>
        <v>0.10398826483983196</v>
      </c>
      <c r="AC24" s="316">
        <f t="shared" si="15"/>
        <v>16912</v>
      </c>
      <c r="AD24" s="237">
        <f t="shared" si="16"/>
        <v>0.12988549002741789</v>
      </c>
      <c r="AE24" s="316">
        <v>17015</v>
      </c>
      <c r="AF24" s="237">
        <f t="shared" si="17"/>
        <v>0.13067653812775043</v>
      </c>
      <c r="AG24" s="316">
        <v>0</v>
      </c>
      <c r="AH24" s="237">
        <f t="shared" si="18"/>
        <v>0</v>
      </c>
      <c r="AI24" s="316">
        <v>0</v>
      </c>
      <c r="AJ24" s="237">
        <f t="shared" si="19"/>
        <v>0</v>
      </c>
      <c r="AK24" s="316">
        <v>3510</v>
      </c>
      <c r="AL24" s="237">
        <f t="shared" si="20"/>
        <v>2.6957076040458654E-2</v>
      </c>
    </row>
    <row r="25" spans="2:38" s="73" customFormat="1" ht="14.25" customHeight="1">
      <c r="B25" s="548"/>
      <c r="C25" s="556"/>
      <c r="D25" s="171">
        <v>46095</v>
      </c>
      <c r="E25" s="171" t="s">
        <v>115</v>
      </c>
      <c r="F25" s="332">
        <f t="shared" si="1"/>
        <v>139203</v>
      </c>
      <c r="G25" s="559"/>
      <c r="H25" s="561"/>
      <c r="I25" s="316">
        <v>28401</v>
      </c>
      <c r="J25" s="237">
        <f t="shared" si="3"/>
        <v>0.20402577530656668</v>
      </c>
      <c r="K25" s="316">
        <v>52513</v>
      </c>
      <c r="L25" s="237">
        <f t="shared" si="4"/>
        <v>0.37724043303664434</v>
      </c>
      <c r="M25" s="316">
        <f t="shared" si="5"/>
        <v>80914</v>
      </c>
      <c r="N25" s="237">
        <f t="shared" si="6"/>
        <v>0.58126620834321097</v>
      </c>
      <c r="O25" s="316">
        <v>7698</v>
      </c>
      <c r="P25" s="237">
        <f t="shared" si="7"/>
        <v>5.5300532316113878E-2</v>
      </c>
      <c r="Q25" s="316">
        <v>4046</v>
      </c>
      <c r="R25" s="237">
        <f t="shared" si="8"/>
        <v>2.9065465543127663E-2</v>
      </c>
      <c r="S25" s="316">
        <f t="shared" si="9"/>
        <v>11744</v>
      </c>
      <c r="T25" s="237">
        <f t="shared" si="10"/>
        <v>8.4365997859241537E-2</v>
      </c>
      <c r="U25" s="316">
        <v>3788</v>
      </c>
      <c r="V25" s="237">
        <f t="shared" si="11"/>
        <v>2.7212057211410675E-2</v>
      </c>
      <c r="W25" s="316">
        <v>2162</v>
      </c>
      <c r="X25" s="237">
        <f t="shared" si="12"/>
        <v>1.5531274469659418E-2</v>
      </c>
      <c r="Y25" s="316">
        <v>3743</v>
      </c>
      <c r="Z25" s="237">
        <f t="shared" si="13"/>
        <v>2.6888788316343757E-2</v>
      </c>
      <c r="AA25" s="316">
        <v>15061</v>
      </c>
      <c r="AB25" s="237">
        <f t="shared" si="14"/>
        <v>0.10819450730228515</v>
      </c>
      <c r="AC25" s="316">
        <f t="shared" si="15"/>
        <v>18804</v>
      </c>
      <c r="AD25" s="237">
        <f t="shared" si="16"/>
        <v>0.13508329561862892</v>
      </c>
      <c r="AE25" s="316">
        <v>18371</v>
      </c>
      <c r="AF25" s="237">
        <f t="shared" si="17"/>
        <v>0.13197273047276281</v>
      </c>
      <c r="AG25" s="316">
        <v>0</v>
      </c>
      <c r="AH25" s="237">
        <f t="shared" si="18"/>
        <v>0</v>
      </c>
      <c r="AI25" s="316">
        <v>0</v>
      </c>
      <c r="AJ25" s="237">
        <f t="shared" si="19"/>
        <v>0</v>
      </c>
      <c r="AK25" s="316">
        <v>3420</v>
      </c>
      <c r="AL25" s="237">
        <f t="shared" si="20"/>
        <v>2.4568436025085665E-2</v>
      </c>
    </row>
    <row r="26" spans="2:38" s="73" customFormat="1" ht="14.25" customHeight="1">
      <c r="B26" s="548"/>
      <c r="C26" s="556"/>
      <c r="D26" s="171">
        <v>46096</v>
      </c>
      <c r="E26" s="171" t="s">
        <v>116</v>
      </c>
      <c r="F26" s="332">
        <f t="shared" si="1"/>
        <v>181125</v>
      </c>
      <c r="G26" s="559"/>
      <c r="H26" s="561"/>
      <c r="I26" s="316">
        <v>43529</v>
      </c>
      <c r="J26" s="237">
        <f t="shared" si="3"/>
        <v>0.24032574189095929</v>
      </c>
      <c r="K26" s="316">
        <v>59509</v>
      </c>
      <c r="L26" s="237">
        <f t="shared" si="4"/>
        <v>0.32855210489993097</v>
      </c>
      <c r="M26" s="316">
        <f t="shared" si="5"/>
        <v>103038</v>
      </c>
      <c r="N26" s="237">
        <f t="shared" si="6"/>
        <v>0.56887784679089026</v>
      </c>
      <c r="O26" s="316">
        <v>11592</v>
      </c>
      <c r="P26" s="237">
        <f t="shared" si="7"/>
        <v>6.4000000000000001E-2</v>
      </c>
      <c r="Q26" s="316">
        <v>5349</v>
      </c>
      <c r="R26" s="237">
        <f t="shared" si="8"/>
        <v>2.9532091097308488E-2</v>
      </c>
      <c r="S26" s="316">
        <f t="shared" si="9"/>
        <v>16941</v>
      </c>
      <c r="T26" s="237">
        <f t="shared" si="10"/>
        <v>9.3532091097308492E-2</v>
      </c>
      <c r="U26" s="316">
        <v>5141</v>
      </c>
      <c r="V26" s="237">
        <f t="shared" si="11"/>
        <v>2.8383712905452035E-2</v>
      </c>
      <c r="W26" s="316">
        <v>2446</v>
      </c>
      <c r="X26" s="237">
        <f t="shared" si="12"/>
        <v>1.350448585231194E-2</v>
      </c>
      <c r="Y26" s="316">
        <v>4458</v>
      </c>
      <c r="Z26" s="237">
        <f t="shared" si="13"/>
        <v>2.4612836438923397E-2</v>
      </c>
      <c r="AA26" s="316">
        <v>17956</v>
      </c>
      <c r="AB26" s="237">
        <f t="shared" si="14"/>
        <v>9.9135955831608003E-2</v>
      </c>
      <c r="AC26" s="316">
        <f t="shared" si="15"/>
        <v>22414</v>
      </c>
      <c r="AD26" s="237">
        <f t="shared" si="16"/>
        <v>0.1237487922705314</v>
      </c>
      <c r="AE26" s="316">
        <v>27494</v>
      </c>
      <c r="AF26" s="237">
        <f t="shared" si="17"/>
        <v>0.15179572118702553</v>
      </c>
      <c r="AG26" s="316">
        <v>0</v>
      </c>
      <c r="AH26" s="237">
        <f t="shared" si="18"/>
        <v>0</v>
      </c>
      <c r="AI26" s="316">
        <v>0</v>
      </c>
      <c r="AJ26" s="237">
        <f t="shared" si="19"/>
        <v>0</v>
      </c>
      <c r="AK26" s="316">
        <v>3651</v>
      </c>
      <c r="AL26" s="237">
        <f t="shared" si="20"/>
        <v>2.0157349896480332E-2</v>
      </c>
    </row>
    <row r="27" spans="2:38" s="73" customFormat="1" ht="14.25" customHeight="1">
      <c r="B27" s="549"/>
      <c r="C27" s="556"/>
      <c r="D27" s="171">
        <v>46097</v>
      </c>
      <c r="E27" s="171" t="s">
        <v>117</v>
      </c>
      <c r="F27" s="332">
        <f t="shared" si="1"/>
        <v>178725</v>
      </c>
      <c r="G27" s="559"/>
      <c r="H27" s="561"/>
      <c r="I27" s="316">
        <v>42365</v>
      </c>
      <c r="J27" s="237">
        <f t="shared" si="3"/>
        <v>0.23704014547489161</v>
      </c>
      <c r="K27" s="316">
        <v>63752</v>
      </c>
      <c r="L27" s="237">
        <f t="shared" si="4"/>
        <v>0.35670443418659953</v>
      </c>
      <c r="M27" s="316">
        <f t="shared" si="5"/>
        <v>106117</v>
      </c>
      <c r="N27" s="237">
        <f t="shared" si="6"/>
        <v>0.59374457966149108</v>
      </c>
      <c r="O27" s="316">
        <v>11020</v>
      </c>
      <c r="P27" s="237">
        <f t="shared" si="7"/>
        <v>6.1658973282976641E-2</v>
      </c>
      <c r="Q27" s="316">
        <v>5439</v>
      </c>
      <c r="R27" s="237">
        <f t="shared" si="8"/>
        <v>3.043222828367604E-2</v>
      </c>
      <c r="S27" s="316">
        <f t="shared" si="9"/>
        <v>16459</v>
      </c>
      <c r="T27" s="237">
        <f t="shared" si="10"/>
        <v>9.2091201566652681E-2</v>
      </c>
      <c r="U27" s="316">
        <v>4824</v>
      </c>
      <c r="V27" s="237">
        <f t="shared" si="11"/>
        <v>2.6991187578682335E-2</v>
      </c>
      <c r="W27" s="316">
        <v>2789</v>
      </c>
      <c r="X27" s="237">
        <f t="shared" si="12"/>
        <v>1.5604979717442999E-2</v>
      </c>
      <c r="Y27" s="316">
        <v>4261</v>
      </c>
      <c r="Z27" s="237">
        <f t="shared" si="13"/>
        <v>2.3841096656875088E-2</v>
      </c>
      <c r="AA27" s="316">
        <v>17016</v>
      </c>
      <c r="AB27" s="237">
        <f t="shared" si="14"/>
        <v>9.5207721359630723E-2</v>
      </c>
      <c r="AC27" s="316">
        <f t="shared" si="15"/>
        <v>21277</v>
      </c>
      <c r="AD27" s="237">
        <f t="shared" si="16"/>
        <v>0.11904881801650581</v>
      </c>
      <c r="AE27" s="316">
        <v>23674</v>
      </c>
      <c r="AF27" s="237">
        <f t="shared" si="17"/>
        <v>0.13246048398377394</v>
      </c>
      <c r="AG27" s="316">
        <v>0</v>
      </c>
      <c r="AH27" s="237">
        <f t="shared" si="18"/>
        <v>0</v>
      </c>
      <c r="AI27" s="316">
        <v>0</v>
      </c>
      <c r="AJ27" s="237">
        <f t="shared" si="19"/>
        <v>0</v>
      </c>
      <c r="AK27" s="316">
        <v>3585</v>
      </c>
      <c r="AL27" s="237">
        <f t="shared" si="20"/>
        <v>2.0058749475451113E-2</v>
      </c>
    </row>
    <row r="28" spans="2:38" s="73" customFormat="1" ht="14.25" customHeight="1">
      <c r="B28" s="547">
        <f>B21+7</f>
        <v>46106</v>
      </c>
      <c r="C28" s="556"/>
      <c r="D28" s="171">
        <v>46098</v>
      </c>
      <c r="E28" s="171" t="s">
        <v>118</v>
      </c>
      <c r="F28" s="332">
        <f t="shared" si="1"/>
        <v>183844</v>
      </c>
      <c r="G28" s="559">
        <f t="shared" ref="G28" si="23">SUM(F28:F34)</f>
        <v>1145620</v>
      </c>
      <c r="H28" s="561"/>
      <c r="I28" s="316">
        <v>42214</v>
      </c>
      <c r="J28" s="237">
        <f t="shared" si="3"/>
        <v>0.22961858967385393</v>
      </c>
      <c r="K28" s="316">
        <v>62593</v>
      </c>
      <c r="L28" s="237">
        <f t="shared" si="4"/>
        <v>0.3404680054829094</v>
      </c>
      <c r="M28" s="316">
        <f t="shared" si="5"/>
        <v>104807</v>
      </c>
      <c r="N28" s="237">
        <f t="shared" si="6"/>
        <v>0.5700865951567633</v>
      </c>
      <c r="O28" s="316">
        <v>15731</v>
      </c>
      <c r="P28" s="237">
        <f t="shared" si="7"/>
        <v>8.5567111246491592E-2</v>
      </c>
      <c r="Q28" s="316">
        <v>5626</v>
      </c>
      <c r="R28" s="237">
        <f t="shared" si="8"/>
        <v>3.0602032157698918E-2</v>
      </c>
      <c r="S28" s="316">
        <f t="shared" si="9"/>
        <v>21357</v>
      </c>
      <c r="T28" s="237">
        <f t="shared" si="10"/>
        <v>0.1161691434041905</v>
      </c>
      <c r="U28" s="316">
        <v>4752</v>
      </c>
      <c r="V28" s="237">
        <f t="shared" si="11"/>
        <v>2.5848001566545549E-2</v>
      </c>
      <c r="W28" s="316">
        <v>2643</v>
      </c>
      <c r="X28" s="237">
        <f t="shared" si="12"/>
        <v>1.4376319053110246E-2</v>
      </c>
      <c r="Y28" s="316">
        <v>3979</v>
      </c>
      <c r="Z28" s="237">
        <f t="shared" si="13"/>
        <v>2.1643349796566656E-2</v>
      </c>
      <c r="AA28" s="316">
        <v>15964</v>
      </c>
      <c r="AB28" s="237">
        <f t="shared" si="14"/>
        <v>8.6834490111181217E-2</v>
      </c>
      <c r="AC28" s="316">
        <f t="shared" si="15"/>
        <v>19943</v>
      </c>
      <c r="AD28" s="237">
        <f t="shared" si="16"/>
        <v>0.10847783990774787</v>
      </c>
      <c r="AE28" s="316">
        <v>26625</v>
      </c>
      <c r="AF28" s="237">
        <f t="shared" si="17"/>
        <v>0.14482387241356803</v>
      </c>
      <c r="AG28" s="316">
        <v>0</v>
      </c>
      <c r="AH28" s="237">
        <f t="shared" si="18"/>
        <v>0</v>
      </c>
      <c r="AI28" s="316">
        <v>0</v>
      </c>
      <c r="AJ28" s="237">
        <f t="shared" si="19"/>
        <v>0</v>
      </c>
      <c r="AK28" s="316">
        <v>3717</v>
      </c>
      <c r="AL28" s="237">
        <f t="shared" si="20"/>
        <v>2.0218228498074454E-2</v>
      </c>
    </row>
    <row r="29" spans="2:38" s="73" customFormat="1" ht="14.25" customHeight="1">
      <c r="B29" s="548"/>
      <c r="C29" s="556"/>
      <c r="D29" s="171">
        <v>46099</v>
      </c>
      <c r="E29" s="171" t="s">
        <v>112</v>
      </c>
      <c r="F29" s="332">
        <f t="shared" si="1"/>
        <v>172254</v>
      </c>
      <c r="G29" s="559"/>
      <c r="H29" s="561"/>
      <c r="I29" s="316">
        <v>40954</v>
      </c>
      <c r="J29" s="237">
        <f t="shared" si="3"/>
        <v>0.23775354999013085</v>
      </c>
      <c r="K29" s="316">
        <v>59602</v>
      </c>
      <c r="L29" s="237">
        <f t="shared" si="4"/>
        <v>0.34601228418498264</v>
      </c>
      <c r="M29" s="316">
        <f t="shared" si="5"/>
        <v>100556</v>
      </c>
      <c r="N29" s="237">
        <f t="shared" si="6"/>
        <v>0.58376583417511352</v>
      </c>
      <c r="O29" s="316">
        <v>13690</v>
      </c>
      <c r="P29" s="237">
        <f t="shared" si="7"/>
        <v>7.9475658039871347E-2</v>
      </c>
      <c r="Q29" s="316">
        <v>5710</v>
      </c>
      <c r="R29" s="237">
        <f t="shared" si="8"/>
        <v>3.3148722235768112E-2</v>
      </c>
      <c r="S29" s="316">
        <f t="shared" si="9"/>
        <v>19400</v>
      </c>
      <c r="T29" s="237">
        <f t="shared" si="10"/>
        <v>0.11262438027563947</v>
      </c>
      <c r="U29" s="316">
        <v>4208</v>
      </c>
      <c r="V29" s="237">
        <f t="shared" si="11"/>
        <v>2.442904083504592E-2</v>
      </c>
      <c r="W29" s="316">
        <v>2646</v>
      </c>
      <c r="X29" s="237">
        <f t="shared" si="12"/>
        <v>1.536103660872897E-2</v>
      </c>
      <c r="Y29" s="316">
        <v>3273</v>
      </c>
      <c r="Z29" s="237">
        <f t="shared" si="13"/>
        <v>1.9001010136194225E-2</v>
      </c>
      <c r="AA29" s="316">
        <v>13801</v>
      </c>
      <c r="AB29" s="237">
        <f t="shared" si="14"/>
        <v>8.0120055267221657E-2</v>
      </c>
      <c r="AC29" s="316">
        <f t="shared" si="15"/>
        <v>17074</v>
      </c>
      <c r="AD29" s="237">
        <f t="shared" si="16"/>
        <v>9.9121065403415892E-2</v>
      </c>
      <c r="AE29" s="316">
        <v>24572</v>
      </c>
      <c r="AF29" s="237">
        <f t="shared" si="17"/>
        <v>0.14264980784190789</v>
      </c>
      <c r="AG29" s="316">
        <v>0</v>
      </c>
      <c r="AH29" s="237">
        <f t="shared" si="18"/>
        <v>0</v>
      </c>
      <c r="AI29" s="316">
        <v>0</v>
      </c>
      <c r="AJ29" s="237">
        <f t="shared" si="19"/>
        <v>0</v>
      </c>
      <c r="AK29" s="316">
        <v>3798</v>
      </c>
      <c r="AL29" s="237">
        <f t="shared" si="20"/>
        <v>2.2048834860148386E-2</v>
      </c>
    </row>
    <row r="30" spans="2:38" s="73" customFormat="1" ht="14.25" customHeight="1">
      <c r="B30" s="548"/>
      <c r="C30" s="556"/>
      <c r="D30" s="171">
        <v>46100</v>
      </c>
      <c r="E30" s="171" t="s">
        <v>113</v>
      </c>
      <c r="F30" s="332">
        <f t="shared" si="1"/>
        <v>157187</v>
      </c>
      <c r="G30" s="559"/>
      <c r="H30" s="561"/>
      <c r="I30" s="316">
        <v>39810</v>
      </c>
      <c r="J30" s="237">
        <f t="shared" si="3"/>
        <v>0.25326521913389782</v>
      </c>
      <c r="K30" s="316">
        <v>53352</v>
      </c>
      <c r="L30" s="237">
        <f t="shared" si="4"/>
        <v>0.33941738184455456</v>
      </c>
      <c r="M30" s="316">
        <f t="shared" si="5"/>
        <v>93162</v>
      </c>
      <c r="N30" s="237">
        <f t="shared" si="6"/>
        <v>0.59268260097845238</v>
      </c>
      <c r="O30" s="316">
        <v>12981</v>
      </c>
      <c r="P30" s="237">
        <f t="shared" si="7"/>
        <v>8.2583165274481993E-2</v>
      </c>
      <c r="Q30" s="316">
        <v>5484</v>
      </c>
      <c r="R30" s="237">
        <f t="shared" si="8"/>
        <v>3.4888381354692181E-2</v>
      </c>
      <c r="S30" s="316">
        <f t="shared" si="9"/>
        <v>18465</v>
      </c>
      <c r="T30" s="237">
        <f t="shared" si="10"/>
        <v>0.11747154662917417</v>
      </c>
      <c r="U30" s="316">
        <v>4078</v>
      </c>
      <c r="V30" s="237">
        <f t="shared" si="11"/>
        <v>2.594362129183711E-2</v>
      </c>
      <c r="W30" s="316">
        <v>2630</v>
      </c>
      <c r="X30" s="237">
        <f t="shared" si="12"/>
        <v>1.6731663559963611E-2</v>
      </c>
      <c r="Y30" s="316">
        <v>3117</v>
      </c>
      <c r="Z30" s="237">
        <f t="shared" si="13"/>
        <v>1.9829884150724932E-2</v>
      </c>
      <c r="AA30" s="316">
        <v>11360</v>
      </c>
      <c r="AB30" s="237">
        <f t="shared" si="14"/>
        <v>7.227060762022304E-2</v>
      </c>
      <c r="AC30" s="316">
        <f t="shared" si="15"/>
        <v>14477</v>
      </c>
      <c r="AD30" s="237">
        <f t="shared" si="16"/>
        <v>9.2100491770947979E-2</v>
      </c>
      <c r="AE30" s="316">
        <v>20541</v>
      </c>
      <c r="AF30" s="237">
        <f t="shared" si="17"/>
        <v>0.13067874569779944</v>
      </c>
      <c r="AG30" s="316">
        <v>0</v>
      </c>
      <c r="AH30" s="237">
        <f t="shared" si="18"/>
        <v>0</v>
      </c>
      <c r="AI30" s="316">
        <v>0</v>
      </c>
      <c r="AJ30" s="237">
        <f t="shared" si="19"/>
        <v>0</v>
      </c>
      <c r="AK30" s="316">
        <v>3834</v>
      </c>
      <c r="AL30" s="237">
        <f t="shared" si="20"/>
        <v>2.4391330071825278E-2</v>
      </c>
    </row>
    <row r="31" spans="2:38" s="73" customFormat="1" ht="14.25" customHeight="1">
      <c r="B31" s="548"/>
      <c r="C31" s="556"/>
      <c r="D31" s="171">
        <v>46101</v>
      </c>
      <c r="E31" s="171" t="s">
        <v>114</v>
      </c>
      <c r="F31" s="332">
        <f t="shared" si="1"/>
        <v>133801</v>
      </c>
      <c r="G31" s="559"/>
      <c r="H31" s="561"/>
      <c r="I31" s="316">
        <v>30314</v>
      </c>
      <c r="J31" s="237">
        <f t="shared" si="3"/>
        <v>0.22656033960882205</v>
      </c>
      <c r="K31" s="316">
        <v>48994</v>
      </c>
      <c r="L31" s="237">
        <f t="shared" si="4"/>
        <v>0.36617065642259772</v>
      </c>
      <c r="M31" s="316">
        <f t="shared" si="5"/>
        <v>79308</v>
      </c>
      <c r="N31" s="237">
        <f t="shared" si="6"/>
        <v>0.59273099603141977</v>
      </c>
      <c r="O31" s="316">
        <v>10741</v>
      </c>
      <c r="P31" s="237">
        <f t="shared" si="7"/>
        <v>8.0275932167921019E-2</v>
      </c>
      <c r="Q31" s="316">
        <v>4379</v>
      </c>
      <c r="R31" s="237">
        <f t="shared" si="8"/>
        <v>3.2727707565713263E-2</v>
      </c>
      <c r="S31" s="316">
        <f t="shared" si="9"/>
        <v>15120</v>
      </c>
      <c r="T31" s="237">
        <f t="shared" si="10"/>
        <v>0.11300363973363428</v>
      </c>
      <c r="U31" s="316">
        <v>3372</v>
      </c>
      <c r="V31" s="237">
        <f t="shared" si="11"/>
        <v>2.5201605369167643E-2</v>
      </c>
      <c r="W31" s="316">
        <v>1780</v>
      </c>
      <c r="X31" s="237">
        <f t="shared" si="12"/>
        <v>1.3303338540070701E-2</v>
      </c>
      <c r="Y31" s="316">
        <v>3164</v>
      </c>
      <c r="Z31" s="237">
        <f t="shared" si="13"/>
        <v>2.3647057944260506E-2</v>
      </c>
      <c r="AA31" s="316">
        <v>11811</v>
      </c>
      <c r="AB31" s="237">
        <f t="shared" si="14"/>
        <v>8.8272882863356772E-2</v>
      </c>
      <c r="AC31" s="316">
        <f t="shared" si="15"/>
        <v>14975</v>
      </c>
      <c r="AD31" s="237">
        <f t="shared" si="16"/>
        <v>0.11191994080761729</v>
      </c>
      <c r="AE31" s="316">
        <v>15883</v>
      </c>
      <c r="AF31" s="237">
        <f t="shared" si="17"/>
        <v>0.11870613822019267</v>
      </c>
      <c r="AG31" s="316">
        <v>0</v>
      </c>
      <c r="AH31" s="237">
        <f t="shared" si="18"/>
        <v>0</v>
      </c>
      <c r="AI31" s="316">
        <v>0</v>
      </c>
      <c r="AJ31" s="237">
        <f t="shared" si="19"/>
        <v>0</v>
      </c>
      <c r="AK31" s="316">
        <v>3363</v>
      </c>
      <c r="AL31" s="237">
        <f t="shared" si="20"/>
        <v>2.5134341297897624E-2</v>
      </c>
    </row>
    <row r="32" spans="2:38" s="73" customFormat="1" ht="14.25" customHeight="1">
      <c r="B32" s="548"/>
      <c r="C32" s="556"/>
      <c r="D32" s="171">
        <v>46102</v>
      </c>
      <c r="E32" s="171" t="s">
        <v>115</v>
      </c>
      <c r="F32" s="332">
        <f t="shared" si="1"/>
        <v>141397</v>
      </c>
      <c r="G32" s="559"/>
      <c r="H32" s="561"/>
      <c r="I32" s="316">
        <v>28846</v>
      </c>
      <c r="J32" s="237">
        <f t="shared" si="3"/>
        <v>0.20400715715326351</v>
      </c>
      <c r="K32" s="316">
        <v>54906</v>
      </c>
      <c r="L32" s="237">
        <f t="shared" si="4"/>
        <v>0.38831092597438416</v>
      </c>
      <c r="M32" s="316">
        <f t="shared" si="5"/>
        <v>83752</v>
      </c>
      <c r="N32" s="237">
        <f t="shared" si="6"/>
        <v>0.59231808312764767</v>
      </c>
      <c r="O32" s="316">
        <v>9985</v>
      </c>
      <c r="P32" s="237">
        <f t="shared" si="7"/>
        <v>7.061677404753991E-2</v>
      </c>
      <c r="Q32" s="316">
        <v>4182</v>
      </c>
      <c r="R32" s="237">
        <f t="shared" si="8"/>
        <v>2.957629935571476E-2</v>
      </c>
      <c r="S32" s="316">
        <f t="shared" si="9"/>
        <v>14167</v>
      </c>
      <c r="T32" s="237">
        <f t="shared" si="10"/>
        <v>0.10019307340325466</v>
      </c>
      <c r="U32" s="316">
        <v>3466</v>
      </c>
      <c r="V32" s="237">
        <f t="shared" si="11"/>
        <v>2.4512542698925721E-2</v>
      </c>
      <c r="W32" s="316">
        <v>1936</v>
      </c>
      <c r="X32" s="237">
        <f t="shared" si="12"/>
        <v>1.3691945373664222E-2</v>
      </c>
      <c r="Y32" s="316">
        <v>3498</v>
      </c>
      <c r="Z32" s="237">
        <f t="shared" si="13"/>
        <v>2.4738855845597856E-2</v>
      </c>
      <c r="AA32" s="316">
        <v>13538</v>
      </c>
      <c r="AB32" s="237">
        <f t="shared" si="14"/>
        <v>9.5744605613980488E-2</v>
      </c>
      <c r="AC32" s="316">
        <f t="shared" si="15"/>
        <v>17036</v>
      </c>
      <c r="AD32" s="237">
        <f t="shared" si="16"/>
        <v>0.12048346145957835</v>
      </c>
      <c r="AE32" s="316">
        <v>17632</v>
      </c>
      <c r="AF32" s="237">
        <f t="shared" si="17"/>
        <v>0.12469854381634689</v>
      </c>
      <c r="AG32" s="316">
        <v>0</v>
      </c>
      <c r="AH32" s="237">
        <f t="shared" si="18"/>
        <v>0</v>
      </c>
      <c r="AI32" s="316">
        <v>0</v>
      </c>
      <c r="AJ32" s="237">
        <f t="shared" si="19"/>
        <v>0</v>
      </c>
      <c r="AK32" s="316">
        <v>3408</v>
      </c>
      <c r="AL32" s="237">
        <f t="shared" si="20"/>
        <v>2.4102350120582473E-2</v>
      </c>
    </row>
    <row r="33" spans="2:38" s="73" customFormat="1" ht="14.25" customHeight="1">
      <c r="B33" s="548"/>
      <c r="C33" s="556"/>
      <c r="D33" s="171">
        <v>46103</v>
      </c>
      <c r="E33" s="171" t="s">
        <v>116</v>
      </c>
      <c r="F33" s="332">
        <f t="shared" si="1"/>
        <v>183666</v>
      </c>
      <c r="G33" s="559"/>
      <c r="H33" s="561"/>
      <c r="I33" s="316">
        <v>43435</v>
      </c>
      <c r="J33" s="237">
        <f t="shared" si="3"/>
        <v>0.23648906166628553</v>
      </c>
      <c r="K33" s="316">
        <v>61132</v>
      </c>
      <c r="L33" s="237">
        <f t="shared" si="4"/>
        <v>0.33284331340585627</v>
      </c>
      <c r="M33" s="316">
        <f t="shared" si="5"/>
        <v>104567</v>
      </c>
      <c r="N33" s="237">
        <f t="shared" si="6"/>
        <v>0.56933237507214185</v>
      </c>
      <c r="O33" s="316">
        <v>14467</v>
      </c>
      <c r="P33" s="237">
        <f t="shared" si="7"/>
        <v>7.8767981009005478E-2</v>
      </c>
      <c r="Q33" s="316">
        <v>5353</v>
      </c>
      <c r="R33" s="237">
        <f t="shared" si="8"/>
        <v>2.9145296353162806E-2</v>
      </c>
      <c r="S33" s="316">
        <f t="shared" si="9"/>
        <v>19820</v>
      </c>
      <c r="T33" s="237">
        <f t="shared" si="10"/>
        <v>0.10791327736216828</v>
      </c>
      <c r="U33" s="316">
        <v>4816</v>
      </c>
      <c r="V33" s="237">
        <f t="shared" si="11"/>
        <v>2.622151078588307E-2</v>
      </c>
      <c r="W33" s="316">
        <v>2100</v>
      </c>
      <c r="X33" s="237">
        <f t="shared" si="12"/>
        <v>1.143379830779785E-2</v>
      </c>
      <c r="Y33" s="316">
        <v>4062</v>
      </c>
      <c r="Z33" s="237">
        <f t="shared" si="13"/>
        <v>2.2116232726797556E-2</v>
      </c>
      <c r="AA33" s="316">
        <v>15800</v>
      </c>
      <c r="AB33" s="237">
        <f t="shared" si="14"/>
        <v>8.602572060152669E-2</v>
      </c>
      <c r="AC33" s="316">
        <f t="shared" si="15"/>
        <v>19862</v>
      </c>
      <c r="AD33" s="237">
        <f t="shared" si="16"/>
        <v>0.10814195332832424</v>
      </c>
      <c r="AE33" s="316">
        <v>29087</v>
      </c>
      <c r="AF33" s="237">
        <f t="shared" si="17"/>
        <v>0.15836899589472195</v>
      </c>
      <c r="AG33" s="316">
        <v>0</v>
      </c>
      <c r="AH33" s="237">
        <f t="shared" si="18"/>
        <v>0</v>
      </c>
      <c r="AI33" s="316">
        <v>0</v>
      </c>
      <c r="AJ33" s="237">
        <f t="shared" si="19"/>
        <v>0</v>
      </c>
      <c r="AK33" s="316">
        <v>3414</v>
      </c>
      <c r="AL33" s="237">
        <f t="shared" si="20"/>
        <v>1.858808924896279E-2</v>
      </c>
    </row>
    <row r="34" spans="2:38" s="73" customFormat="1" ht="14.25" customHeight="1">
      <c r="B34" s="549"/>
      <c r="C34" s="556"/>
      <c r="D34" s="171">
        <v>46104</v>
      </c>
      <c r="E34" s="171" t="s">
        <v>117</v>
      </c>
      <c r="F34" s="332">
        <f t="shared" si="1"/>
        <v>173471</v>
      </c>
      <c r="G34" s="559"/>
      <c r="H34" s="561"/>
      <c r="I34" s="316">
        <v>40768</v>
      </c>
      <c r="J34" s="237">
        <f t="shared" si="3"/>
        <v>0.23501334517008607</v>
      </c>
      <c r="K34" s="316">
        <v>59944</v>
      </c>
      <c r="L34" s="237">
        <f t="shared" si="4"/>
        <v>0.34555631777069368</v>
      </c>
      <c r="M34" s="316">
        <f t="shared" si="5"/>
        <v>100712</v>
      </c>
      <c r="N34" s="237">
        <f t="shared" si="6"/>
        <v>0.58056966294077972</v>
      </c>
      <c r="O34" s="316">
        <v>12748</v>
      </c>
      <c r="P34" s="237">
        <f t="shared" si="7"/>
        <v>7.3487787584091871E-2</v>
      </c>
      <c r="Q34" s="316">
        <v>5447</v>
      </c>
      <c r="R34" s="237">
        <f t="shared" si="8"/>
        <v>3.1400061105314431E-2</v>
      </c>
      <c r="S34" s="316">
        <f t="shared" si="9"/>
        <v>18195</v>
      </c>
      <c r="T34" s="237">
        <f t="shared" si="10"/>
        <v>0.1048878486894063</v>
      </c>
      <c r="U34" s="316">
        <v>4468</v>
      </c>
      <c r="V34" s="237">
        <f t="shared" si="11"/>
        <v>2.5756466498723131E-2</v>
      </c>
      <c r="W34" s="316">
        <v>2477</v>
      </c>
      <c r="X34" s="237">
        <f t="shared" si="12"/>
        <v>1.4279043759475647E-2</v>
      </c>
      <c r="Y34" s="316">
        <v>4038</v>
      </c>
      <c r="Z34" s="237">
        <f t="shared" si="13"/>
        <v>2.3277666007574752E-2</v>
      </c>
      <c r="AA34" s="316">
        <v>14789</v>
      </c>
      <c r="AB34" s="237">
        <f t="shared" si="14"/>
        <v>8.5253442938589163E-2</v>
      </c>
      <c r="AC34" s="316">
        <f t="shared" si="15"/>
        <v>18827</v>
      </c>
      <c r="AD34" s="237">
        <f t="shared" si="16"/>
        <v>0.10853110894616391</v>
      </c>
      <c r="AE34" s="316">
        <v>25360</v>
      </c>
      <c r="AF34" s="237">
        <f t="shared" si="17"/>
        <v>0.14619158245470423</v>
      </c>
      <c r="AG34" s="316">
        <v>0</v>
      </c>
      <c r="AH34" s="237">
        <f t="shared" si="18"/>
        <v>0</v>
      </c>
      <c r="AI34" s="316">
        <v>0</v>
      </c>
      <c r="AJ34" s="237">
        <f t="shared" si="19"/>
        <v>0</v>
      </c>
      <c r="AK34" s="316">
        <v>3432</v>
      </c>
      <c r="AL34" s="237">
        <f t="shared" si="20"/>
        <v>1.9784286710747043E-2</v>
      </c>
    </row>
    <row r="35" spans="2:38" s="73" customFormat="1" ht="14.25" customHeight="1">
      <c r="B35" s="547">
        <f>B28+7</f>
        <v>46113</v>
      </c>
      <c r="C35" s="556"/>
      <c r="D35" s="171">
        <v>46105</v>
      </c>
      <c r="E35" s="171" t="s">
        <v>118</v>
      </c>
      <c r="F35" s="332">
        <f t="shared" si="1"/>
        <v>168684</v>
      </c>
      <c r="G35" s="559">
        <f t="shared" ref="G35" si="24">SUM(F35:F41)</f>
        <v>1105590</v>
      </c>
      <c r="H35" s="561"/>
      <c r="I35" s="316">
        <v>39636</v>
      </c>
      <c r="J35" s="237">
        <f t="shared" si="3"/>
        <v>0.23497190012093619</v>
      </c>
      <c r="K35" s="316">
        <v>58707</v>
      </c>
      <c r="L35" s="237">
        <f t="shared" si="4"/>
        <v>0.34802945151881626</v>
      </c>
      <c r="M35" s="316">
        <f t="shared" si="5"/>
        <v>98343</v>
      </c>
      <c r="N35" s="237">
        <f t="shared" si="6"/>
        <v>0.58300135163975242</v>
      </c>
      <c r="O35" s="316">
        <v>12899</v>
      </c>
      <c r="P35" s="237">
        <f t="shared" si="7"/>
        <v>7.6468426169642639E-2</v>
      </c>
      <c r="Q35" s="316">
        <v>5446</v>
      </c>
      <c r="R35" s="237">
        <f t="shared" si="8"/>
        <v>3.2285219700742218E-2</v>
      </c>
      <c r="S35" s="316">
        <f t="shared" si="9"/>
        <v>18345</v>
      </c>
      <c r="T35" s="237">
        <f t="shared" si="10"/>
        <v>0.10875364587038486</v>
      </c>
      <c r="U35" s="316">
        <v>4348</v>
      </c>
      <c r="V35" s="237">
        <f t="shared" si="11"/>
        <v>2.5776007208745347E-2</v>
      </c>
      <c r="W35" s="316">
        <v>2277</v>
      </c>
      <c r="X35" s="237">
        <f t="shared" si="12"/>
        <v>1.3498612790780394E-2</v>
      </c>
      <c r="Y35" s="316">
        <v>3837</v>
      </c>
      <c r="Z35" s="237">
        <f t="shared" si="13"/>
        <v>2.2746674254819663E-2</v>
      </c>
      <c r="AA35" s="316">
        <v>14203</v>
      </c>
      <c r="AB35" s="237">
        <f t="shared" si="14"/>
        <v>8.4198857034454955E-2</v>
      </c>
      <c r="AC35" s="316">
        <f t="shared" si="15"/>
        <v>18040</v>
      </c>
      <c r="AD35" s="237">
        <f t="shared" si="16"/>
        <v>0.10694553128927461</v>
      </c>
      <c r="AE35" s="316">
        <v>23659</v>
      </c>
      <c r="AF35" s="237">
        <f t="shared" si="17"/>
        <v>0.14025633729340067</v>
      </c>
      <c r="AG35" s="316">
        <v>0</v>
      </c>
      <c r="AH35" s="237">
        <f t="shared" si="18"/>
        <v>0</v>
      </c>
      <c r="AI35" s="316">
        <v>0</v>
      </c>
      <c r="AJ35" s="237">
        <f t="shared" si="19"/>
        <v>0</v>
      </c>
      <c r="AK35" s="316">
        <v>3672</v>
      </c>
      <c r="AL35" s="237">
        <f t="shared" si="20"/>
        <v>2.1768513907661664E-2</v>
      </c>
    </row>
    <row r="36" spans="2:38" s="73" customFormat="1" ht="14.25" customHeight="1">
      <c r="B36" s="548"/>
      <c r="C36" s="556"/>
      <c r="D36" s="171">
        <v>46106</v>
      </c>
      <c r="E36" s="171" t="s">
        <v>112</v>
      </c>
      <c r="F36" s="332">
        <f t="shared" si="1"/>
        <v>162126</v>
      </c>
      <c r="G36" s="559"/>
      <c r="H36" s="561"/>
      <c r="I36" s="316">
        <v>38888</v>
      </c>
      <c r="J36" s="237">
        <f t="shared" si="3"/>
        <v>0.23986282274280499</v>
      </c>
      <c r="K36" s="316">
        <v>55942</v>
      </c>
      <c r="L36" s="237">
        <f t="shared" si="4"/>
        <v>0.34505261339945476</v>
      </c>
      <c r="M36" s="316">
        <f t="shared" si="5"/>
        <v>94830</v>
      </c>
      <c r="N36" s="237">
        <f t="shared" si="6"/>
        <v>0.58491543614225971</v>
      </c>
      <c r="O36" s="316">
        <v>12718</v>
      </c>
      <c r="P36" s="237">
        <f t="shared" si="7"/>
        <v>7.8445159937332698E-2</v>
      </c>
      <c r="Q36" s="316">
        <v>5501</v>
      </c>
      <c r="R36" s="237">
        <f t="shared" si="8"/>
        <v>3.3930399812491518E-2</v>
      </c>
      <c r="S36" s="316">
        <f t="shared" si="9"/>
        <v>18219</v>
      </c>
      <c r="T36" s="237">
        <f t="shared" si="10"/>
        <v>0.11237555974982422</v>
      </c>
      <c r="U36" s="316">
        <v>4085</v>
      </c>
      <c r="V36" s="237">
        <f t="shared" si="11"/>
        <v>2.5196452142161034E-2</v>
      </c>
      <c r="W36" s="316">
        <v>2294</v>
      </c>
      <c r="X36" s="237">
        <f t="shared" si="12"/>
        <v>1.4149488669306589E-2</v>
      </c>
      <c r="Y36" s="316">
        <v>3404</v>
      </c>
      <c r="Z36" s="237">
        <f t="shared" si="13"/>
        <v>2.099601544477752E-2</v>
      </c>
      <c r="AA36" s="316">
        <v>12438</v>
      </c>
      <c r="AB36" s="237">
        <f t="shared" si="14"/>
        <v>7.6718108138114804E-2</v>
      </c>
      <c r="AC36" s="316">
        <f t="shared" si="15"/>
        <v>15842</v>
      </c>
      <c r="AD36" s="237">
        <f t="shared" si="16"/>
        <v>9.7714123582892318E-2</v>
      </c>
      <c r="AE36" s="316">
        <v>22839</v>
      </c>
      <c r="AF36" s="237">
        <f t="shared" si="17"/>
        <v>0.14087191443691943</v>
      </c>
      <c r="AG36" s="316">
        <v>0</v>
      </c>
      <c r="AH36" s="237">
        <f t="shared" si="18"/>
        <v>0</v>
      </c>
      <c r="AI36" s="316">
        <v>0</v>
      </c>
      <c r="AJ36" s="237">
        <f t="shared" si="19"/>
        <v>0</v>
      </c>
      <c r="AK36" s="316">
        <v>4017</v>
      </c>
      <c r="AL36" s="237">
        <f t="shared" si="20"/>
        <v>2.477702527663669E-2</v>
      </c>
    </row>
    <row r="37" spans="2:38" s="73" customFormat="1" ht="14.25" customHeight="1">
      <c r="B37" s="548"/>
      <c r="C37" s="556"/>
      <c r="D37" s="171">
        <v>46107</v>
      </c>
      <c r="E37" s="171" t="s">
        <v>113</v>
      </c>
      <c r="F37" s="332">
        <f t="shared" si="1"/>
        <v>150942</v>
      </c>
      <c r="G37" s="559"/>
      <c r="H37" s="561"/>
      <c r="I37" s="316">
        <v>37746</v>
      </c>
      <c r="J37" s="237">
        <f t="shared" si="3"/>
        <v>0.25006956314345907</v>
      </c>
      <c r="K37" s="316">
        <v>50052</v>
      </c>
      <c r="L37" s="237">
        <f t="shared" si="4"/>
        <v>0.33159756727749734</v>
      </c>
      <c r="M37" s="316">
        <f t="shared" si="5"/>
        <v>87798</v>
      </c>
      <c r="N37" s="237">
        <f t="shared" si="6"/>
        <v>0.58166713042095641</v>
      </c>
      <c r="O37" s="316">
        <v>12618</v>
      </c>
      <c r="P37" s="237">
        <f t="shared" si="7"/>
        <v>8.3595023253965103E-2</v>
      </c>
      <c r="Q37" s="316">
        <v>5646</v>
      </c>
      <c r="R37" s="237">
        <f t="shared" si="8"/>
        <v>3.7405095997137976E-2</v>
      </c>
      <c r="S37" s="316">
        <f t="shared" si="9"/>
        <v>18264</v>
      </c>
      <c r="T37" s="237">
        <f t="shared" si="10"/>
        <v>0.12100011925110307</v>
      </c>
      <c r="U37" s="316">
        <v>3986</v>
      </c>
      <c r="V37" s="237">
        <f t="shared" si="11"/>
        <v>2.6407494269321992E-2</v>
      </c>
      <c r="W37" s="316">
        <v>2230</v>
      </c>
      <c r="X37" s="237">
        <f t="shared" si="12"/>
        <v>1.477388665845159E-2</v>
      </c>
      <c r="Y37" s="316">
        <v>3169</v>
      </c>
      <c r="Z37" s="237">
        <f t="shared" si="13"/>
        <v>2.099481920207762E-2</v>
      </c>
      <c r="AA37" s="316">
        <v>10603</v>
      </c>
      <c r="AB37" s="237">
        <f t="shared" si="14"/>
        <v>7.0245524771104129E-2</v>
      </c>
      <c r="AC37" s="316">
        <f t="shared" si="15"/>
        <v>13772</v>
      </c>
      <c r="AD37" s="237">
        <f t="shared" si="16"/>
        <v>9.1240343973181745E-2</v>
      </c>
      <c r="AE37" s="316">
        <v>20881</v>
      </c>
      <c r="AF37" s="237">
        <f t="shared" si="17"/>
        <v>0.13833790462561779</v>
      </c>
      <c r="AG37" s="316">
        <v>0</v>
      </c>
      <c r="AH37" s="237">
        <f t="shared" si="18"/>
        <v>0</v>
      </c>
      <c r="AI37" s="316">
        <v>0</v>
      </c>
      <c r="AJ37" s="237">
        <f t="shared" si="19"/>
        <v>0</v>
      </c>
      <c r="AK37" s="316">
        <v>4011</v>
      </c>
      <c r="AL37" s="237">
        <f t="shared" si="20"/>
        <v>2.6573120801367412E-2</v>
      </c>
    </row>
    <row r="38" spans="2:38" s="73" customFormat="1" ht="14.25" customHeight="1">
      <c r="B38" s="548"/>
      <c r="C38" s="556"/>
      <c r="D38" s="171">
        <v>46108</v>
      </c>
      <c r="E38" s="171" t="s">
        <v>114</v>
      </c>
      <c r="F38" s="332">
        <f t="shared" si="1"/>
        <v>130555</v>
      </c>
      <c r="G38" s="559"/>
      <c r="H38" s="561"/>
      <c r="I38" s="316">
        <v>28774</v>
      </c>
      <c r="J38" s="237">
        <f t="shared" si="3"/>
        <v>0.22039753360652597</v>
      </c>
      <c r="K38" s="316">
        <v>47257</v>
      </c>
      <c r="L38" s="237">
        <f t="shared" si="4"/>
        <v>0.36197005093638696</v>
      </c>
      <c r="M38" s="316">
        <f t="shared" si="5"/>
        <v>76031</v>
      </c>
      <c r="N38" s="237">
        <f t="shared" si="6"/>
        <v>0.58236758454291293</v>
      </c>
      <c r="O38" s="316">
        <v>9293</v>
      </c>
      <c r="P38" s="237">
        <f t="shared" si="7"/>
        <v>7.1180728428631615E-2</v>
      </c>
      <c r="Q38" s="316">
        <v>4386</v>
      </c>
      <c r="R38" s="237">
        <f t="shared" si="8"/>
        <v>3.3595036574623718E-2</v>
      </c>
      <c r="S38" s="316">
        <f t="shared" si="9"/>
        <v>13679</v>
      </c>
      <c r="T38" s="237">
        <f t="shared" si="10"/>
        <v>0.10477576500325533</v>
      </c>
      <c r="U38" s="316">
        <v>3346</v>
      </c>
      <c r="V38" s="237">
        <f t="shared" si="11"/>
        <v>2.5629045229979702E-2</v>
      </c>
      <c r="W38" s="316">
        <v>1588</v>
      </c>
      <c r="X38" s="237">
        <f t="shared" si="12"/>
        <v>1.2163456014706446E-2</v>
      </c>
      <c r="Y38" s="316">
        <v>3134</v>
      </c>
      <c r="Z38" s="237">
        <f t="shared" si="13"/>
        <v>2.4005208532802268E-2</v>
      </c>
      <c r="AA38" s="316">
        <v>11341</v>
      </c>
      <c r="AB38" s="237">
        <f t="shared" si="14"/>
        <v>8.6867603691930598E-2</v>
      </c>
      <c r="AC38" s="316">
        <f t="shared" si="15"/>
        <v>14475</v>
      </c>
      <c r="AD38" s="237">
        <f t="shared" si="16"/>
        <v>0.11087281222473287</v>
      </c>
      <c r="AE38" s="316">
        <v>17950</v>
      </c>
      <c r="AF38" s="237">
        <f t="shared" si="17"/>
        <v>0.13748994676573092</v>
      </c>
      <c r="AG38" s="316">
        <v>0</v>
      </c>
      <c r="AH38" s="237">
        <f t="shared" si="18"/>
        <v>0</v>
      </c>
      <c r="AI38" s="316">
        <v>0</v>
      </c>
      <c r="AJ38" s="237">
        <f t="shared" si="19"/>
        <v>0</v>
      </c>
      <c r="AK38" s="316">
        <v>3486</v>
      </c>
      <c r="AL38" s="237">
        <f t="shared" si="20"/>
        <v>2.6701390218681783E-2</v>
      </c>
    </row>
    <row r="39" spans="2:38" s="73" customFormat="1" ht="14.25" customHeight="1">
      <c r="B39" s="548"/>
      <c r="C39" s="556"/>
      <c r="D39" s="171">
        <v>46109</v>
      </c>
      <c r="E39" s="171" t="s">
        <v>115</v>
      </c>
      <c r="F39" s="332">
        <f t="shared" si="1"/>
        <v>139511</v>
      </c>
      <c r="G39" s="559"/>
      <c r="H39" s="561"/>
      <c r="I39" s="316">
        <v>27541</v>
      </c>
      <c r="J39" s="237">
        <f t="shared" si="3"/>
        <v>0.19741095684211279</v>
      </c>
      <c r="K39" s="316">
        <v>54555</v>
      </c>
      <c r="L39" s="237">
        <f t="shared" si="4"/>
        <v>0.39104443377224735</v>
      </c>
      <c r="M39" s="316">
        <f t="shared" si="5"/>
        <v>82096</v>
      </c>
      <c r="N39" s="237">
        <f t="shared" si="6"/>
        <v>0.58845539061436014</v>
      </c>
      <c r="O39" s="316">
        <v>8615</v>
      </c>
      <c r="P39" s="237">
        <f t="shared" si="7"/>
        <v>6.1751403115166546E-2</v>
      </c>
      <c r="Q39" s="316">
        <v>4208</v>
      </c>
      <c r="R39" s="237">
        <f t="shared" si="8"/>
        <v>3.0162496147257207E-2</v>
      </c>
      <c r="S39" s="316">
        <f t="shared" si="9"/>
        <v>12823</v>
      </c>
      <c r="T39" s="237">
        <f t="shared" si="10"/>
        <v>9.1913899262423757E-2</v>
      </c>
      <c r="U39" s="316">
        <v>3559</v>
      </c>
      <c r="V39" s="237">
        <f t="shared" si="11"/>
        <v>2.5510533219602755E-2</v>
      </c>
      <c r="W39" s="316">
        <v>1974</v>
      </c>
      <c r="X39" s="237">
        <f t="shared" si="12"/>
        <v>1.4149421909383489E-2</v>
      </c>
      <c r="Y39" s="316">
        <v>3576</v>
      </c>
      <c r="Z39" s="237">
        <f t="shared" si="13"/>
        <v>2.5632387410311732E-2</v>
      </c>
      <c r="AA39" s="316">
        <v>12605</v>
      </c>
      <c r="AB39" s="237">
        <f t="shared" si="14"/>
        <v>9.0351298463920413E-2</v>
      </c>
      <c r="AC39" s="316">
        <f t="shared" si="15"/>
        <v>16181</v>
      </c>
      <c r="AD39" s="237">
        <f t="shared" si="16"/>
        <v>0.11598368587423213</v>
      </c>
      <c r="AE39" s="316">
        <v>19569</v>
      </c>
      <c r="AF39" s="237">
        <f t="shared" si="17"/>
        <v>0.14026850929317403</v>
      </c>
      <c r="AG39" s="316">
        <v>0</v>
      </c>
      <c r="AH39" s="237">
        <f t="shared" si="18"/>
        <v>0</v>
      </c>
      <c r="AI39" s="316">
        <v>0</v>
      </c>
      <c r="AJ39" s="237">
        <f t="shared" si="19"/>
        <v>0</v>
      </c>
      <c r="AK39" s="316">
        <v>3309</v>
      </c>
      <c r="AL39" s="237">
        <f t="shared" si="20"/>
        <v>2.3718559826823693E-2</v>
      </c>
    </row>
    <row r="40" spans="2:38" s="73" customFormat="1" ht="14.25" customHeight="1">
      <c r="B40" s="548"/>
      <c r="C40" s="556"/>
      <c r="D40" s="171">
        <v>46110</v>
      </c>
      <c r="E40" s="171" t="s">
        <v>116</v>
      </c>
      <c r="F40" s="332">
        <f t="shared" si="1"/>
        <v>178715</v>
      </c>
      <c r="G40" s="559"/>
      <c r="H40" s="561"/>
      <c r="I40" s="316">
        <v>41424</v>
      </c>
      <c r="J40" s="237">
        <f t="shared" si="3"/>
        <v>0.23178804241389922</v>
      </c>
      <c r="K40" s="316">
        <v>60341</v>
      </c>
      <c r="L40" s="237">
        <f t="shared" si="4"/>
        <v>0.33763813893629524</v>
      </c>
      <c r="M40" s="316">
        <f t="shared" si="5"/>
        <v>101765</v>
      </c>
      <c r="N40" s="237">
        <f t="shared" si="6"/>
        <v>0.5694261813501944</v>
      </c>
      <c r="O40" s="316">
        <v>12813</v>
      </c>
      <c r="P40" s="237">
        <f t="shared" si="7"/>
        <v>7.1695157093696671E-2</v>
      </c>
      <c r="Q40" s="316">
        <v>5387</v>
      </c>
      <c r="R40" s="237">
        <f t="shared" si="8"/>
        <v>3.01429650560949E-2</v>
      </c>
      <c r="S40" s="316">
        <f t="shared" si="9"/>
        <v>18200</v>
      </c>
      <c r="T40" s="237">
        <f t="shared" si="10"/>
        <v>0.10183812214979157</v>
      </c>
      <c r="U40" s="316">
        <v>4722</v>
      </c>
      <c r="V40" s="237">
        <f t="shared" si="11"/>
        <v>2.6421956746775593E-2</v>
      </c>
      <c r="W40" s="316">
        <v>1953</v>
      </c>
      <c r="X40" s="237">
        <f t="shared" si="12"/>
        <v>1.0928013876843019E-2</v>
      </c>
      <c r="Y40" s="316">
        <v>4046</v>
      </c>
      <c r="Z40" s="237">
        <f t="shared" si="13"/>
        <v>2.2639397924069049E-2</v>
      </c>
      <c r="AA40" s="316">
        <v>14966</v>
      </c>
      <c r="AB40" s="237">
        <f t="shared" si="14"/>
        <v>8.3742271213943995E-2</v>
      </c>
      <c r="AC40" s="316">
        <f t="shared" si="15"/>
        <v>19012</v>
      </c>
      <c r="AD40" s="237">
        <f t="shared" si="16"/>
        <v>0.10638166913801304</v>
      </c>
      <c r="AE40" s="316">
        <v>29778</v>
      </c>
      <c r="AF40" s="237">
        <f t="shared" si="17"/>
        <v>0.16662283524046667</v>
      </c>
      <c r="AG40" s="316">
        <v>0</v>
      </c>
      <c r="AH40" s="237">
        <f t="shared" si="18"/>
        <v>0</v>
      </c>
      <c r="AI40" s="316">
        <v>0</v>
      </c>
      <c r="AJ40" s="237">
        <f t="shared" si="19"/>
        <v>0</v>
      </c>
      <c r="AK40" s="316">
        <v>3285</v>
      </c>
      <c r="AL40" s="237">
        <f t="shared" si="20"/>
        <v>1.8381221497915677E-2</v>
      </c>
    </row>
    <row r="41" spans="2:38" s="73" customFormat="1" ht="14.25" customHeight="1">
      <c r="B41" s="549"/>
      <c r="C41" s="557"/>
      <c r="D41" s="171">
        <v>46111</v>
      </c>
      <c r="E41" s="171" t="s">
        <v>117</v>
      </c>
      <c r="F41" s="332">
        <f t="shared" si="1"/>
        <v>175057</v>
      </c>
      <c r="G41" s="559"/>
      <c r="H41" s="561"/>
      <c r="I41" s="316">
        <v>40009</v>
      </c>
      <c r="J41" s="237">
        <f t="shared" si="3"/>
        <v>0.22854841565889966</v>
      </c>
      <c r="K41" s="316">
        <v>63988</v>
      </c>
      <c r="L41" s="237">
        <f t="shared" si="4"/>
        <v>0.36552665703170967</v>
      </c>
      <c r="M41" s="316">
        <f t="shared" si="5"/>
        <v>103997</v>
      </c>
      <c r="N41" s="237">
        <f t="shared" si="6"/>
        <v>0.59407507269060933</v>
      </c>
      <c r="O41" s="316">
        <v>11891</v>
      </c>
      <c r="P41" s="237">
        <f t="shared" si="7"/>
        <v>6.7926446814466149E-2</v>
      </c>
      <c r="Q41" s="316">
        <v>5401</v>
      </c>
      <c r="R41" s="237">
        <f t="shared" si="8"/>
        <v>3.0852807942555852E-2</v>
      </c>
      <c r="S41" s="316">
        <f t="shared" si="9"/>
        <v>17292</v>
      </c>
      <c r="T41" s="237">
        <f t="shared" si="10"/>
        <v>9.8779254757021998E-2</v>
      </c>
      <c r="U41" s="316">
        <v>4422</v>
      </c>
      <c r="V41" s="237">
        <f t="shared" si="11"/>
        <v>2.5260343773742266E-2</v>
      </c>
      <c r="W41" s="316">
        <v>2320</v>
      </c>
      <c r="X41" s="237">
        <f t="shared" si="12"/>
        <v>1.3252826222316159E-2</v>
      </c>
      <c r="Y41" s="316">
        <v>3955</v>
      </c>
      <c r="Z41" s="237">
        <f t="shared" si="13"/>
        <v>2.2592641253991557E-2</v>
      </c>
      <c r="AA41" s="316">
        <v>13862</v>
      </c>
      <c r="AB41" s="237">
        <f t="shared" si="14"/>
        <v>7.9185636678339055E-2</v>
      </c>
      <c r="AC41" s="316">
        <f t="shared" si="15"/>
        <v>17817</v>
      </c>
      <c r="AD41" s="237">
        <f t="shared" si="16"/>
        <v>0.10177827793233062</v>
      </c>
      <c r="AE41" s="316">
        <v>25570</v>
      </c>
      <c r="AF41" s="237">
        <f t="shared" si="17"/>
        <v>0.14606670970026905</v>
      </c>
      <c r="AG41" s="316">
        <v>0</v>
      </c>
      <c r="AH41" s="237">
        <f t="shared" si="18"/>
        <v>0</v>
      </c>
      <c r="AI41" s="316">
        <v>0</v>
      </c>
      <c r="AJ41" s="237">
        <f t="shared" si="19"/>
        <v>0</v>
      </c>
      <c r="AK41" s="316">
        <v>3639</v>
      </c>
      <c r="AL41" s="237">
        <f t="shared" si="20"/>
        <v>2.0787514923710563E-2</v>
      </c>
    </row>
    <row r="42" spans="2:38" s="73" customFormat="1" ht="14.25" customHeight="1">
      <c r="B42" s="547">
        <f>B35+7</f>
        <v>46120</v>
      </c>
      <c r="C42" s="565"/>
      <c r="D42" s="171">
        <v>46112</v>
      </c>
      <c r="E42" s="171" t="s">
        <v>118</v>
      </c>
      <c r="F42" s="332">
        <f t="shared" si="1"/>
        <v>179182</v>
      </c>
      <c r="G42" s="559">
        <f t="shared" ref="G42" si="25">SUM(F42:F48)</f>
        <v>995977</v>
      </c>
      <c r="H42" s="562"/>
      <c r="I42" s="316">
        <v>39563</v>
      </c>
      <c r="J42" s="237">
        <f t="shared" si="3"/>
        <v>0.22079784799812482</v>
      </c>
      <c r="K42" s="316">
        <v>61872</v>
      </c>
      <c r="L42" s="237">
        <f t="shared" si="4"/>
        <v>0.34530254154993245</v>
      </c>
      <c r="M42" s="316">
        <f t="shared" si="5"/>
        <v>101435</v>
      </c>
      <c r="N42" s="237">
        <f t="shared" si="6"/>
        <v>0.5661003895480573</v>
      </c>
      <c r="O42" s="316">
        <v>11990</v>
      </c>
      <c r="P42" s="237">
        <f t="shared" si="7"/>
        <v>6.6915203536069473E-2</v>
      </c>
      <c r="Q42" s="316">
        <v>5532</v>
      </c>
      <c r="R42" s="237">
        <f t="shared" si="8"/>
        <v>3.0873636860845398E-2</v>
      </c>
      <c r="S42" s="316">
        <f t="shared" si="9"/>
        <v>17522</v>
      </c>
      <c r="T42" s="237">
        <f t="shared" si="10"/>
        <v>9.7788840396914864E-2</v>
      </c>
      <c r="U42" s="316">
        <v>4406</v>
      </c>
      <c r="V42" s="237">
        <f t="shared" si="11"/>
        <v>2.4589523501244544E-2</v>
      </c>
      <c r="W42" s="316">
        <v>2100</v>
      </c>
      <c r="X42" s="237">
        <f t="shared" si="12"/>
        <v>1.1719927224832852E-2</v>
      </c>
      <c r="Y42" s="316">
        <v>3703</v>
      </c>
      <c r="Z42" s="237">
        <f t="shared" si="13"/>
        <v>2.0666138339788594E-2</v>
      </c>
      <c r="AA42" s="316">
        <v>13360</v>
      </c>
      <c r="AB42" s="237">
        <f t="shared" si="14"/>
        <v>7.4561060820841379E-2</v>
      </c>
      <c r="AC42" s="316">
        <f t="shared" si="15"/>
        <v>17063</v>
      </c>
      <c r="AD42" s="237">
        <f t="shared" si="16"/>
        <v>9.522719916062998E-2</v>
      </c>
      <c r="AE42" s="316">
        <v>33080</v>
      </c>
      <c r="AF42" s="237">
        <f t="shared" si="17"/>
        <v>0.18461675837974797</v>
      </c>
      <c r="AG42" s="316">
        <v>0</v>
      </c>
      <c r="AH42" s="237">
        <f t="shared" si="18"/>
        <v>0</v>
      </c>
      <c r="AI42" s="316">
        <v>0</v>
      </c>
      <c r="AJ42" s="237">
        <f t="shared" si="19"/>
        <v>0</v>
      </c>
      <c r="AK42" s="316">
        <v>3576</v>
      </c>
      <c r="AL42" s="237">
        <f t="shared" si="20"/>
        <v>1.9957361788572513E-2</v>
      </c>
    </row>
    <row r="43" spans="2:38" s="73" customFormat="1" ht="14.25" customHeight="1">
      <c r="B43" s="548"/>
      <c r="C43" s="565"/>
      <c r="D43" s="171">
        <v>46113</v>
      </c>
      <c r="E43" s="171" t="s">
        <v>112</v>
      </c>
      <c r="F43" s="332">
        <f t="shared" si="1"/>
        <v>156110</v>
      </c>
      <c r="G43" s="559"/>
      <c r="H43" s="452"/>
      <c r="I43" s="316">
        <v>37671</v>
      </c>
      <c r="J43" s="237">
        <f t="shared" si="3"/>
        <v>0.24131061431042214</v>
      </c>
      <c r="K43" s="316">
        <v>53228</v>
      </c>
      <c r="L43" s="237">
        <f t="shared" si="4"/>
        <v>0.34096470437512011</v>
      </c>
      <c r="M43" s="316">
        <f t="shared" si="5"/>
        <v>90899</v>
      </c>
      <c r="N43" s="237">
        <f t="shared" si="6"/>
        <v>0.58227531868554228</v>
      </c>
      <c r="O43" s="316">
        <v>11422</v>
      </c>
      <c r="P43" s="237">
        <f t="shared" si="7"/>
        <v>7.3166357055922102E-2</v>
      </c>
      <c r="Q43" s="316">
        <v>5248</v>
      </c>
      <c r="R43" s="237">
        <f t="shared" si="8"/>
        <v>3.3617321119723272E-2</v>
      </c>
      <c r="S43" s="316">
        <f t="shared" si="9"/>
        <v>16670</v>
      </c>
      <c r="T43" s="237">
        <f t="shared" si="10"/>
        <v>0.10678367817564538</v>
      </c>
      <c r="U43" s="316">
        <v>3921</v>
      </c>
      <c r="V43" s="237">
        <f t="shared" si="11"/>
        <v>2.5116904746653002E-2</v>
      </c>
      <c r="W43" s="316">
        <v>2035</v>
      </c>
      <c r="X43" s="237">
        <f t="shared" si="12"/>
        <v>1.3035679969252451E-2</v>
      </c>
      <c r="Y43" s="316">
        <v>3191</v>
      </c>
      <c r="Z43" s="237">
        <f t="shared" si="13"/>
        <v>2.0440714880532958E-2</v>
      </c>
      <c r="AA43" s="316">
        <v>9792</v>
      </c>
      <c r="AB43" s="237">
        <f t="shared" si="14"/>
        <v>6.272500160143489E-2</v>
      </c>
      <c r="AC43" s="316">
        <f t="shared" si="15"/>
        <v>12983</v>
      </c>
      <c r="AD43" s="237">
        <f t="shared" si="16"/>
        <v>8.3165716481967841E-2</v>
      </c>
      <c r="AE43" s="316">
        <v>25933</v>
      </c>
      <c r="AF43" s="237">
        <f t="shared" si="17"/>
        <v>0.1661200435590289</v>
      </c>
      <c r="AG43" s="316">
        <v>0</v>
      </c>
      <c r="AH43" s="237">
        <f t="shared" si="18"/>
        <v>0</v>
      </c>
      <c r="AI43" s="316">
        <v>0</v>
      </c>
      <c r="AJ43" s="237">
        <f t="shared" si="19"/>
        <v>0</v>
      </c>
      <c r="AK43" s="316">
        <v>3669</v>
      </c>
      <c r="AL43" s="237">
        <f t="shared" si="20"/>
        <v>2.350265838191019E-2</v>
      </c>
    </row>
    <row r="44" spans="2:38" s="73" customFormat="1" ht="14.25" customHeight="1">
      <c r="B44" s="548"/>
      <c r="C44" s="565"/>
      <c r="D44" s="171">
        <v>46114</v>
      </c>
      <c r="E44" s="171" t="s">
        <v>113</v>
      </c>
      <c r="F44" s="332">
        <f t="shared" si="1"/>
        <v>125387</v>
      </c>
      <c r="G44" s="559"/>
      <c r="H44" s="453"/>
      <c r="I44" s="316">
        <v>27133</v>
      </c>
      <c r="J44" s="237">
        <f t="shared" si="3"/>
        <v>0.21639404403965323</v>
      </c>
      <c r="K44" s="316">
        <v>46135</v>
      </c>
      <c r="L44" s="237">
        <f t="shared" si="4"/>
        <v>0.36794085511257146</v>
      </c>
      <c r="M44" s="316">
        <f t="shared" si="5"/>
        <v>73268</v>
      </c>
      <c r="N44" s="237">
        <f t="shared" si="6"/>
        <v>0.5843348991522247</v>
      </c>
      <c r="O44" s="316">
        <v>7731</v>
      </c>
      <c r="P44" s="237">
        <f t="shared" si="7"/>
        <v>6.1657109588713344E-2</v>
      </c>
      <c r="Q44" s="316">
        <v>4501</v>
      </c>
      <c r="R44" s="237">
        <f t="shared" si="8"/>
        <v>3.5896863311188562E-2</v>
      </c>
      <c r="S44" s="316">
        <f t="shared" si="9"/>
        <v>12232</v>
      </c>
      <c r="T44" s="237">
        <f t="shared" si="10"/>
        <v>9.7553972899901906E-2</v>
      </c>
      <c r="U44" s="316">
        <v>3648</v>
      </c>
      <c r="V44" s="237">
        <f t="shared" si="11"/>
        <v>2.9093925207557401E-2</v>
      </c>
      <c r="W44" s="316">
        <v>2130</v>
      </c>
      <c r="X44" s="237">
        <f t="shared" si="12"/>
        <v>1.6987406987965258E-2</v>
      </c>
      <c r="Y44" s="316">
        <v>2859</v>
      </c>
      <c r="Z44" s="237">
        <f t="shared" si="13"/>
        <v>2.2801406844409709E-2</v>
      </c>
      <c r="AA44" s="316">
        <v>8660</v>
      </c>
      <c r="AB44" s="237">
        <f t="shared" si="14"/>
        <v>6.9066171134168616E-2</v>
      </c>
      <c r="AC44" s="316">
        <f t="shared" si="15"/>
        <v>11519</v>
      </c>
      <c r="AD44" s="237">
        <f t="shared" si="16"/>
        <v>9.1867577978578321E-2</v>
      </c>
      <c r="AE44" s="316">
        <v>19281</v>
      </c>
      <c r="AF44" s="237">
        <f t="shared" si="17"/>
        <v>0.15377192212908833</v>
      </c>
      <c r="AG44" s="316">
        <v>0</v>
      </c>
      <c r="AH44" s="237">
        <f t="shared" si="18"/>
        <v>0</v>
      </c>
      <c r="AI44" s="316">
        <v>0</v>
      </c>
      <c r="AJ44" s="237">
        <f t="shared" si="19"/>
        <v>0</v>
      </c>
      <c r="AK44" s="316">
        <v>3309</v>
      </c>
      <c r="AL44" s="237">
        <f t="shared" si="20"/>
        <v>2.6390295644684057E-2</v>
      </c>
    </row>
    <row r="45" spans="2:38" s="73" customFormat="1" ht="14.25" customHeight="1">
      <c r="B45" s="548"/>
      <c r="C45" s="565"/>
      <c r="D45" s="171">
        <v>46115</v>
      </c>
      <c r="E45" s="171" t="s">
        <v>114</v>
      </c>
      <c r="F45" s="332">
        <f t="shared" si="1"/>
        <v>119195</v>
      </c>
      <c r="G45" s="559"/>
      <c r="H45" s="453"/>
      <c r="I45" s="316">
        <v>25747</v>
      </c>
      <c r="J45" s="237">
        <f t="shared" si="3"/>
        <v>0.2160073828600193</v>
      </c>
      <c r="K45" s="316">
        <v>43064</v>
      </c>
      <c r="L45" s="237">
        <f t="shared" si="4"/>
        <v>0.36129032258064514</v>
      </c>
      <c r="M45" s="316">
        <f t="shared" si="5"/>
        <v>68811</v>
      </c>
      <c r="N45" s="237">
        <f t="shared" si="6"/>
        <v>0.5772977054406645</v>
      </c>
      <c r="O45" s="316">
        <v>7237</v>
      </c>
      <c r="P45" s="237">
        <f t="shared" si="7"/>
        <v>6.0715634045052223E-2</v>
      </c>
      <c r="Q45" s="316">
        <v>4414</v>
      </c>
      <c r="R45" s="237">
        <f t="shared" si="8"/>
        <v>3.7031754687696629E-2</v>
      </c>
      <c r="S45" s="316">
        <f t="shared" si="9"/>
        <v>11651</v>
      </c>
      <c r="T45" s="237">
        <f t="shared" si="10"/>
        <v>9.7747388732748852E-2</v>
      </c>
      <c r="U45" s="316">
        <v>3295</v>
      </c>
      <c r="V45" s="237">
        <f t="shared" si="11"/>
        <v>2.7643777004068962E-2</v>
      </c>
      <c r="W45" s="316">
        <v>1950</v>
      </c>
      <c r="X45" s="237">
        <f t="shared" si="12"/>
        <v>1.6359746633667519E-2</v>
      </c>
      <c r="Y45" s="316">
        <v>2911</v>
      </c>
      <c r="Z45" s="237">
        <f t="shared" si="13"/>
        <v>2.4422165359285205E-2</v>
      </c>
      <c r="AA45" s="316">
        <v>10214</v>
      </c>
      <c r="AB45" s="237">
        <f t="shared" si="14"/>
        <v>8.5691513905784639E-2</v>
      </c>
      <c r="AC45" s="316">
        <f t="shared" si="15"/>
        <v>13125</v>
      </c>
      <c r="AD45" s="237">
        <f t="shared" si="16"/>
        <v>0.11011367926506985</v>
      </c>
      <c r="AE45" s="316">
        <v>16976</v>
      </c>
      <c r="AF45" s="237">
        <f t="shared" si="17"/>
        <v>0.14242208146314861</v>
      </c>
      <c r="AG45" s="316">
        <v>0</v>
      </c>
      <c r="AH45" s="237">
        <f t="shared" si="18"/>
        <v>0</v>
      </c>
      <c r="AI45" s="316">
        <v>0</v>
      </c>
      <c r="AJ45" s="237">
        <f t="shared" si="19"/>
        <v>0</v>
      </c>
      <c r="AK45" s="316">
        <v>3387</v>
      </c>
      <c r="AL45" s="237">
        <f t="shared" si="20"/>
        <v>2.841562146063174E-2</v>
      </c>
    </row>
    <row r="46" spans="2:38" s="73" customFormat="1" ht="14.25" customHeight="1">
      <c r="B46" s="548"/>
      <c r="C46" s="565"/>
      <c r="D46" s="171">
        <v>46116</v>
      </c>
      <c r="E46" s="171" t="s">
        <v>115</v>
      </c>
      <c r="F46" s="332">
        <f t="shared" si="1"/>
        <v>114970</v>
      </c>
      <c r="G46" s="559"/>
      <c r="H46" s="453"/>
      <c r="I46" s="316">
        <v>24260</v>
      </c>
      <c r="J46" s="237">
        <f t="shared" si="3"/>
        <v>0.21101156823519179</v>
      </c>
      <c r="K46" s="316">
        <v>41153</v>
      </c>
      <c r="L46" s="237">
        <f t="shared" si="4"/>
        <v>0.35794555101330783</v>
      </c>
      <c r="M46" s="316">
        <f t="shared" si="5"/>
        <v>65413</v>
      </c>
      <c r="N46" s="237">
        <f t="shared" si="6"/>
        <v>0.56895711924849957</v>
      </c>
      <c r="O46" s="316">
        <v>6856</v>
      </c>
      <c r="P46" s="237">
        <f t="shared" si="7"/>
        <v>5.9632947725493608E-2</v>
      </c>
      <c r="Q46" s="316">
        <v>4201</v>
      </c>
      <c r="R46" s="237">
        <f t="shared" si="8"/>
        <v>3.6539966947899453E-2</v>
      </c>
      <c r="S46" s="316">
        <f t="shared" si="9"/>
        <v>11057</v>
      </c>
      <c r="T46" s="237">
        <f t="shared" si="10"/>
        <v>9.6172914673393062E-2</v>
      </c>
      <c r="U46" s="316">
        <v>3268</v>
      </c>
      <c r="V46" s="237">
        <f t="shared" si="11"/>
        <v>2.842480647125337E-2</v>
      </c>
      <c r="W46" s="316">
        <v>2046</v>
      </c>
      <c r="X46" s="237">
        <f t="shared" si="12"/>
        <v>1.7795946768722277E-2</v>
      </c>
      <c r="Y46" s="316">
        <v>3158</v>
      </c>
      <c r="Z46" s="237">
        <f t="shared" si="13"/>
        <v>2.7468035139601634E-2</v>
      </c>
      <c r="AA46" s="316">
        <v>9944</v>
      </c>
      <c r="AB46" s="237">
        <f t="shared" si="14"/>
        <v>8.6492128381316868E-2</v>
      </c>
      <c r="AC46" s="316">
        <f t="shared" si="15"/>
        <v>13102</v>
      </c>
      <c r="AD46" s="237">
        <f t="shared" si="16"/>
        <v>0.11396016352091851</v>
      </c>
      <c r="AE46" s="316">
        <v>17210</v>
      </c>
      <c r="AF46" s="237">
        <f t="shared" si="17"/>
        <v>0.1496912237975124</v>
      </c>
      <c r="AG46" s="316">
        <v>0</v>
      </c>
      <c r="AH46" s="237">
        <f t="shared" si="18"/>
        <v>0</v>
      </c>
      <c r="AI46" s="316">
        <v>0</v>
      </c>
      <c r="AJ46" s="237">
        <f t="shared" si="19"/>
        <v>0</v>
      </c>
      <c r="AK46" s="316">
        <v>2874</v>
      </c>
      <c r="AL46" s="237">
        <f t="shared" si="20"/>
        <v>2.4997825519700791E-2</v>
      </c>
    </row>
    <row r="47" spans="2:38" s="73" customFormat="1" ht="14.25" customHeight="1">
      <c r="B47" s="548"/>
      <c r="C47" s="565"/>
      <c r="D47" s="171">
        <v>46117</v>
      </c>
      <c r="E47" s="171" t="s">
        <v>116</v>
      </c>
      <c r="F47" s="332">
        <f t="shared" si="1"/>
        <v>129122</v>
      </c>
      <c r="G47" s="559"/>
      <c r="H47" s="453"/>
      <c r="I47" s="316">
        <v>25018</v>
      </c>
      <c r="J47" s="237">
        <f t="shared" si="3"/>
        <v>0.19375474357584299</v>
      </c>
      <c r="K47" s="316">
        <v>50126</v>
      </c>
      <c r="L47" s="237">
        <f t="shared" si="4"/>
        <v>0.38820650237759641</v>
      </c>
      <c r="M47" s="316">
        <f t="shared" si="5"/>
        <v>75144</v>
      </c>
      <c r="N47" s="237">
        <f t="shared" si="6"/>
        <v>0.58196124595343934</v>
      </c>
      <c r="O47" s="316">
        <v>7276</v>
      </c>
      <c r="P47" s="237">
        <f t="shared" si="7"/>
        <v>5.6349808708043556E-2</v>
      </c>
      <c r="Q47" s="316">
        <v>4599</v>
      </c>
      <c r="R47" s="237">
        <f t="shared" si="8"/>
        <v>3.5617478044020386E-2</v>
      </c>
      <c r="S47" s="316">
        <f t="shared" si="9"/>
        <v>11875</v>
      </c>
      <c r="T47" s="237">
        <f t="shared" si="10"/>
        <v>9.1967286752063934E-2</v>
      </c>
      <c r="U47" s="316">
        <v>3281</v>
      </c>
      <c r="V47" s="237">
        <f t="shared" si="11"/>
        <v>2.5410077291243938E-2</v>
      </c>
      <c r="W47" s="316">
        <v>1678</v>
      </c>
      <c r="X47" s="237">
        <f t="shared" si="12"/>
        <v>1.2995461656417961E-2</v>
      </c>
      <c r="Y47" s="316">
        <v>3244</v>
      </c>
      <c r="Z47" s="237">
        <f t="shared" si="13"/>
        <v>2.5123526587258561E-2</v>
      </c>
      <c r="AA47" s="316">
        <v>12878</v>
      </c>
      <c r="AB47" s="237">
        <f t="shared" si="14"/>
        <v>9.9735134214154059E-2</v>
      </c>
      <c r="AC47" s="316">
        <f t="shared" si="15"/>
        <v>16122</v>
      </c>
      <c r="AD47" s="237">
        <f t="shared" si="16"/>
        <v>0.12485866080141261</v>
      </c>
      <c r="AE47" s="316">
        <v>18574</v>
      </c>
      <c r="AF47" s="237">
        <f t="shared" si="17"/>
        <v>0.14384845340065985</v>
      </c>
      <c r="AG47" s="316">
        <v>0</v>
      </c>
      <c r="AH47" s="237">
        <f t="shared" si="18"/>
        <v>0</v>
      </c>
      <c r="AI47" s="316">
        <v>0</v>
      </c>
      <c r="AJ47" s="237">
        <f t="shared" si="19"/>
        <v>0</v>
      </c>
      <c r="AK47" s="316">
        <v>2448</v>
      </c>
      <c r="AL47" s="237">
        <f t="shared" si="20"/>
        <v>1.8958814144762318E-2</v>
      </c>
    </row>
    <row r="48" spans="2:38" s="73" customFormat="1" ht="14.25" customHeight="1">
      <c r="B48" s="549"/>
      <c r="C48" s="565"/>
      <c r="D48" s="171">
        <v>46118</v>
      </c>
      <c r="E48" s="171" t="s">
        <v>117</v>
      </c>
      <c r="F48" s="332">
        <f t="shared" si="1"/>
        <v>172011</v>
      </c>
      <c r="G48" s="559"/>
      <c r="H48" s="454"/>
      <c r="I48" s="316">
        <v>38598</v>
      </c>
      <c r="J48" s="237">
        <f t="shared" si="3"/>
        <v>0.22439262605298499</v>
      </c>
      <c r="K48" s="316">
        <v>63604</v>
      </c>
      <c r="L48" s="237">
        <f t="shared" si="4"/>
        <v>0.3697670497817</v>
      </c>
      <c r="M48" s="316">
        <f t="shared" si="5"/>
        <v>102202</v>
      </c>
      <c r="N48" s="237">
        <f t="shared" si="6"/>
        <v>0.59415967583468499</v>
      </c>
      <c r="O48" s="316">
        <v>10406</v>
      </c>
      <c r="P48" s="237">
        <f t="shared" si="7"/>
        <v>6.0496131061385607E-2</v>
      </c>
      <c r="Q48" s="316">
        <v>1439</v>
      </c>
      <c r="R48" s="237">
        <f t="shared" si="8"/>
        <v>8.3657440512525365E-3</v>
      </c>
      <c r="S48" s="316">
        <f t="shared" si="9"/>
        <v>11845</v>
      </c>
      <c r="T48" s="237">
        <f t="shared" si="10"/>
        <v>6.8861875112638152E-2</v>
      </c>
      <c r="U48" s="316">
        <v>4158</v>
      </c>
      <c r="V48" s="237">
        <f t="shared" si="11"/>
        <v>2.4172872665120256E-2</v>
      </c>
      <c r="W48" s="316">
        <v>2066</v>
      </c>
      <c r="X48" s="237">
        <f t="shared" si="12"/>
        <v>1.2010859770596067E-2</v>
      </c>
      <c r="Y48" s="316">
        <v>4119</v>
      </c>
      <c r="Z48" s="237">
        <f t="shared" si="13"/>
        <v>2.3946142979228074E-2</v>
      </c>
      <c r="AA48" s="316">
        <v>14276</v>
      </c>
      <c r="AB48" s="237">
        <f t="shared" si="14"/>
        <v>8.2994692199917453E-2</v>
      </c>
      <c r="AC48" s="316">
        <f t="shared" si="15"/>
        <v>18395</v>
      </c>
      <c r="AD48" s="237">
        <f t="shared" si="16"/>
        <v>0.10694083517914552</v>
      </c>
      <c r="AE48" s="316">
        <v>29946</v>
      </c>
      <c r="AF48" s="237">
        <f t="shared" si="17"/>
        <v>0.17409351727505798</v>
      </c>
      <c r="AG48" s="316">
        <v>0</v>
      </c>
      <c r="AH48" s="237">
        <f t="shared" si="18"/>
        <v>0</v>
      </c>
      <c r="AI48" s="316">
        <v>0</v>
      </c>
      <c r="AJ48" s="237">
        <f t="shared" si="19"/>
        <v>0</v>
      </c>
      <c r="AK48" s="316">
        <v>3399</v>
      </c>
      <c r="AL48" s="237">
        <f t="shared" si="20"/>
        <v>1.9760364162757033E-2</v>
      </c>
    </row>
  </sheetData>
  <mergeCells count="50">
    <mergeCell ref="AI5:AJ5"/>
    <mergeCell ref="K5:L5"/>
    <mergeCell ref="S5:T5"/>
    <mergeCell ref="B21:B27"/>
    <mergeCell ref="H5:H6"/>
    <mergeCell ref="B14:B20"/>
    <mergeCell ref="C3:C6"/>
    <mergeCell ref="D3:E6"/>
    <mergeCell ref="G5:G6"/>
    <mergeCell ref="M5:N5"/>
    <mergeCell ref="I3:AL3"/>
    <mergeCell ref="AI4:AJ4"/>
    <mergeCell ref="O5:P5"/>
    <mergeCell ref="I5:J5"/>
    <mergeCell ref="Q5:R5"/>
    <mergeCell ref="O4:T4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A5:AB5"/>
    <mergeCell ref="AK4:AL4"/>
    <mergeCell ref="F3:H4"/>
    <mergeCell ref="B3:B6"/>
    <mergeCell ref="I4:N4"/>
    <mergeCell ref="B28:B34"/>
    <mergeCell ref="Y4:AD4"/>
    <mergeCell ref="B35:B41"/>
    <mergeCell ref="F5:F6"/>
    <mergeCell ref="B42:B48"/>
    <mergeCell ref="G42:G48"/>
    <mergeCell ref="H12:H42"/>
    <mergeCell ref="C12:C41"/>
    <mergeCell ref="H7:H11"/>
    <mergeCell ref="G35:G41"/>
    <mergeCell ref="G7:G13"/>
    <mergeCell ref="G14:G20"/>
    <mergeCell ref="G21:G27"/>
    <mergeCell ref="G28:G34"/>
    <mergeCell ref="C7:C11"/>
    <mergeCell ref="B7:B13"/>
    <mergeCell ref="C42:C48"/>
  </mergeCells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229"/>
  <sheetViews>
    <sheetView zoomScale="85" zoomScaleNormal="85" workbookViewId="0">
      <pane xSplit="13" ySplit="1" topLeftCell="N191" activePane="bottomRight" state="frozen"/>
      <selection activeCell="E31" sqref="E31"/>
      <selection pane="topRight" activeCell="E31" sqref="E31"/>
      <selection pane="bottomLeft" activeCell="E31" sqref="E31"/>
      <selection pane="bottomRight" activeCell="L197" sqref="L197:L229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5429687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8" customWidth="1"/>
    <col min="15" max="15" width="7.1796875" style="178" customWidth="1" collapsed="1"/>
    <col min="16" max="16" width="7.7265625" style="178" customWidth="1"/>
    <col min="17" max="18" width="8.7265625" style="178" customWidth="1"/>
    <col min="19" max="19" width="5.453125" style="178" customWidth="1"/>
    <col min="20" max="20" width="10.7265625" style="178" customWidth="1"/>
    <col min="21" max="21" width="7.7265625" style="179" customWidth="1"/>
    <col min="22" max="23" width="8.7265625" style="179" customWidth="1"/>
    <col min="24" max="24" width="5.453125" style="178" customWidth="1"/>
    <col min="25" max="25" width="10.7265625" style="179" customWidth="1"/>
    <col min="26" max="26" width="7.7265625" style="179" customWidth="1"/>
    <col min="27" max="28" width="8.7265625" style="179" customWidth="1"/>
    <col min="29" max="29" width="5.453125" style="178" customWidth="1"/>
    <col min="30" max="30" width="10.7265625" style="179" customWidth="1"/>
    <col min="31" max="31" width="7.7265625" style="179" customWidth="1"/>
    <col min="32" max="33" width="8.7265625" style="179" customWidth="1"/>
    <col min="34" max="34" width="5.453125" style="178" customWidth="1"/>
    <col min="35" max="35" width="10.7265625" style="179" customWidth="1"/>
    <col min="36" max="36" width="7.7265625" style="179" customWidth="1"/>
    <col min="37" max="38" width="8.7265625" style="179" customWidth="1"/>
    <col min="39" max="39" width="5.453125" style="178" customWidth="1"/>
    <col min="40" max="40" width="10.7265625" style="179" customWidth="1"/>
    <col min="41" max="41" width="7.7265625" style="179" customWidth="1"/>
    <col min="42" max="43" width="8.7265625" style="179" customWidth="1"/>
    <col min="44" max="44" width="5.453125" style="179" customWidth="1"/>
    <col min="45" max="45" width="10.7265625" style="179" customWidth="1"/>
    <col min="46" max="46" width="7.7265625" style="179" customWidth="1"/>
    <col min="47" max="48" width="8.7265625" style="179" customWidth="1"/>
    <col min="49" max="49" width="5.453125" style="179" customWidth="1"/>
    <col min="50" max="50" width="10.7265625" style="179" customWidth="1"/>
    <col min="51" max="16384" width="8.81640625" style="78"/>
  </cols>
  <sheetData>
    <row r="1" spans="1:50" ht="24.5">
      <c r="A1" s="74"/>
      <c r="B1" s="367" t="s">
        <v>647</v>
      </c>
      <c r="C1" s="175">
        <f>AVERAGE(L45,L83,L121,L159)</f>
        <v>757.5904244152307</v>
      </c>
    </row>
    <row r="2" spans="1:50" ht="14.25" customHeight="1" collapsed="1">
      <c r="B2" s="641" t="s">
        <v>557</v>
      </c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3"/>
      <c r="N2" s="584" t="s">
        <v>377</v>
      </c>
      <c r="O2" s="584" t="s">
        <v>105</v>
      </c>
      <c r="P2" s="637">
        <v>46077</v>
      </c>
      <c r="Q2" s="638"/>
      <c r="R2" s="638"/>
      <c r="S2" s="638"/>
      <c r="T2" s="638"/>
      <c r="U2" s="639">
        <f>P2+1</f>
        <v>46078</v>
      </c>
      <c r="V2" s="640"/>
      <c r="W2" s="640"/>
      <c r="X2" s="640"/>
      <c r="Y2" s="640"/>
      <c r="Z2" s="637">
        <f t="shared" ref="Z2" si="0">U2+1</f>
        <v>46079</v>
      </c>
      <c r="AA2" s="638"/>
      <c r="AB2" s="638"/>
      <c r="AC2" s="638"/>
      <c r="AD2" s="638"/>
      <c r="AE2" s="639">
        <f t="shared" ref="AE2" si="1">Z2+1</f>
        <v>46080</v>
      </c>
      <c r="AF2" s="640"/>
      <c r="AG2" s="640"/>
      <c r="AH2" s="640"/>
      <c r="AI2" s="640"/>
      <c r="AJ2" s="596">
        <f t="shared" ref="AJ2" si="2">AE2+1</f>
        <v>46081</v>
      </c>
      <c r="AK2" s="597"/>
      <c r="AL2" s="597"/>
      <c r="AM2" s="597"/>
      <c r="AN2" s="598"/>
      <c r="AO2" s="639">
        <f t="shared" ref="AO2" si="3">AJ2+1</f>
        <v>46082</v>
      </c>
      <c r="AP2" s="640"/>
      <c r="AQ2" s="640"/>
      <c r="AR2" s="640"/>
      <c r="AS2" s="640"/>
      <c r="AT2" s="596">
        <f t="shared" ref="AT2" si="4">AO2+1</f>
        <v>46083</v>
      </c>
      <c r="AU2" s="597"/>
      <c r="AV2" s="597"/>
      <c r="AW2" s="597"/>
      <c r="AX2" s="598"/>
    </row>
    <row r="3" spans="1:50" ht="14.25" customHeight="1"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5"/>
      <c r="N3" s="586"/>
      <c r="O3" s="586"/>
      <c r="P3" s="629">
        <f>P2</f>
        <v>46077</v>
      </c>
      <c r="Q3" s="629"/>
      <c r="R3" s="629"/>
      <c r="S3" s="629"/>
      <c r="T3" s="629"/>
      <c r="U3" s="630">
        <f>U2</f>
        <v>46078</v>
      </c>
      <c r="V3" s="630"/>
      <c r="W3" s="630"/>
      <c r="X3" s="630"/>
      <c r="Y3" s="630"/>
      <c r="Z3" s="629">
        <f t="shared" ref="Z3" si="5">Z2</f>
        <v>46079</v>
      </c>
      <c r="AA3" s="629"/>
      <c r="AB3" s="629"/>
      <c r="AC3" s="629"/>
      <c r="AD3" s="629"/>
      <c r="AE3" s="630">
        <f t="shared" ref="AE3" si="6">AE2</f>
        <v>46080</v>
      </c>
      <c r="AF3" s="630"/>
      <c r="AG3" s="630"/>
      <c r="AH3" s="630"/>
      <c r="AI3" s="630"/>
      <c r="AJ3" s="599">
        <f t="shared" ref="AJ3" si="7">AJ2</f>
        <v>46081</v>
      </c>
      <c r="AK3" s="600"/>
      <c r="AL3" s="600"/>
      <c r="AM3" s="600"/>
      <c r="AN3" s="601"/>
      <c r="AO3" s="630">
        <f t="shared" ref="AO3" si="8">AO2</f>
        <v>46082</v>
      </c>
      <c r="AP3" s="630"/>
      <c r="AQ3" s="630"/>
      <c r="AR3" s="630"/>
      <c r="AS3" s="630"/>
      <c r="AT3" s="599">
        <f t="shared" ref="AT3" si="9">AT2</f>
        <v>46083</v>
      </c>
      <c r="AU3" s="600"/>
      <c r="AV3" s="600"/>
      <c r="AW3" s="600"/>
      <c r="AX3" s="601"/>
    </row>
    <row r="4" spans="1:50" ht="14.25" customHeight="1">
      <c r="B4" s="564" t="s">
        <v>164</v>
      </c>
      <c r="C4" s="564" t="s">
        <v>159</v>
      </c>
      <c r="D4" s="564"/>
      <c r="E4" s="564" t="s">
        <v>160</v>
      </c>
      <c r="F4" s="564"/>
      <c r="G4" s="564"/>
      <c r="H4" s="564" t="s">
        <v>165</v>
      </c>
      <c r="I4" s="628" t="s">
        <v>378</v>
      </c>
      <c r="J4" s="628"/>
      <c r="K4" s="628"/>
      <c r="L4" s="628" t="s">
        <v>165</v>
      </c>
      <c r="M4" s="628" t="s">
        <v>167</v>
      </c>
      <c r="N4" s="631"/>
      <c r="O4" s="627" t="s">
        <v>166</v>
      </c>
      <c r="P4" s="627" t="s">
        <v>162</v>
      </c>
      <c r="Q4" s="627"/>
      <c r="R4" s="627"/>
      <c r="S4" s="627"/>
      <c r="T4" s="627" t="s">
        <v>165</v>
      </c>
      <c r="U4" s="627" t="s">
        <v>162</v>
      </c>
      <c r="V4" s="627"/>
      <c r="W4" s="627"/>
      <c r="X4" s="627"/>
      <c r="Y4" s="627" t="s">
        <v>165</v>
      </c>
      <c r="Z4" s="627" t="s">
        <v>162</v>
      </c>
      <c r="AA4" s="627"/>
      <c r="AB4" s="627"/>
      <c r="AC4" s="627"/>
      <c r="AD4" s="627" t="s">
        <v>165</v>
      </c>
      <c r="AE4" s="627" t="s">
        <v>162</v>
      </c>
      <c r="AF4" s="627"/>
      <c r="AG4" s="627"/>
      <c r="AH4" s="627"/>
      <c r="AI4" s="627" t="s">
        <v>165</v>
      </c>
      <c r="AJ4" s="627" t="s">
        <v>162</v>
      </c>
      <c r="AK4" s="627"/>
      <c r="AL4" s="627"/>
      <c r="AM4" s="627"/>
      <c r="AN4" s="627" t="s">
        <v>165</v>
      </c>
      <c r="AO4" s="627" t="s">
        <v>162</v>
      </c>
      <c r="AP4" s="627"/>
      <c r="AQ4" s="627"/>
      <c r="AR4" s="627"/>
      <c r="AS4" s="627" t="s">
        <v>165</v>
      </c>
      <c r="AT4" s="627" t="s">
        <v>162</v>
      </c>
      <c r="AU4" s="627"/>
      <c r="AV4" s="627"/>
      <c r="AW4" s="627"/>
      <c r="AX4" s="627" t="s">
        <v>165</v>
      </c>
    </row>
    <row r="5" spans="1:50" ht="14.25" customHeight="1">
      <c r="B5" s="564"/>
      <c r="C5" s="564"/>
      <c r="D5" s="564"/>
      <c r="E5" s="564" t="s">
        <v>379</v>
      </c>
      <c r="F5" s="564"/>
      <c r="G5" s="564"/>
      <c r="H5" s="564"/>
      <c r="I5" s="628" t="s">
        <v>379</v>
      </c>
      <c r="J5" s="628"/>
      <c r="K5" s="628"/>
      <c r="L5" s="628"/>
      <c r="M5" s="628"/>
      <c r="N5" s="631"/>
      <c r="O5" s="627"/>
      <c r="P5" s="627" t="s">
        <v>380</v>
      </c>
      <c r="Q5" s="627"/>
      <c r="R5" s="627"/>
      <c r="S5" s="627"/>
      <c r="T5" s="627"/>
      <c r="U5" s="627" t="s">
        <v>380</v>
      </c>
      <c r="V5" s="627"/>
      <c r="W5" s="627"/>
      <c r="X5" s="627"/>
      <c r="Y5" s="627"/>
      <c r="Z5" s="627" t="s">
        <v>380</v>
      </c>
      <c r="AA5" s="627"/>
      <c r="AB5" s="627"/>
      <c r="AC5" s="627"/>
      <c r="AD5" s="627"/>
      <c r="AE5" s="627" t="s">
        <v>380</v>
      </c>
      <c r="AF5" s="627"/>
      <c r="AG5" s="627"/>
      <c r="AH5" s="627"/>
      <c r="AI5" s="627"/>
      <c r="AJ5" s="627" t="s">
        <v>380</v>
      </c>
      <c r="AK5" s="627"/>
      <c r="AL5" s="627"/>
      <c r="AM5" s="627"/>
      <c r="AN5" s="627"/>
      <c r="AO5" s="627" t="s">
        <v>380</v>
      </c>
      <c r="AP5" s="627"/>
      <c r="AQ5" s="627"/>
      <c r="AR5" s="627"/>
      <c r="AS5" s="627"/>
      <c r="AT5" s="627" t="s">
        <v>380</v>
      </c>
      <c r="AU5" s="627"/>
      <c r="AV5" s="627"/>
      <c r="AW5" s="627"/>
      <c r="AX5" s="627"/>
    </row>
    <row r="6" spans="1:50" ht="14.25" customHeight="1">
      <c r="A6" s="177"/>
      <c r="B6" s="564"/>
      <c r="C6" s="564"/>
      <c r="D6" s="564"/>
      <c r="E6" s="180" t="s">
        <v>161</v>
      </c>
      <c r="F6" s="180" t="s">
        <v>381</v>
      </c>
      <c r="G6" s="180" t="s">
        <v>163</v>
      </c>
      <c r="H6" s="564"/>
      <c r="I6" s="181" t="s">
        <v>161</v>
      </c>
      <c r="J6" s="181" t="s">
        <v>381</v>
      </c>
      <c r="K6" s="181" t="s">
        <v>163</v>
      </c>
      <c r="L6" s="628"/>
      <c r="M6" s="628"/>
      <c r="N6" s="631"/>
      <c r="O6" s="627"/>
      <c r="P6" s="182" t="s">
        <v>161</v>
      </c>
      <c r="Q6" s="182" t="s">
        <v>381</v>
      </c>
      <c r="R6" s="182" t="s">
        <v>163</v>
      </c>
      <c r="S6" s="182" t="s">
        <v>167</v>
      </c>
      <c r="T6" s="627"/>
      <c r="U6" s="182" t="s">
        <v>161</v>
      </c>
      <c r="V6" s="182" t="s">
        <v>381</v>
      </c>
      <c r="W6" s="182" t="s">
        <v>163</v>
      </c>
      <c r="X6" s="182" t="s">
        <v>167</v>
      </c>
      <c r="Y6" s="627"/>
      <c r="Z6" s="182" t="s">
        <v>161</v>
      </c>
      <c r="AA6" s="182" t="s">
        <v>381</v>
      </c>
      <c r="AB6" s="182" t="s">
        <v>163</v>
      </c>
      <c r="AC6" s="182" t="s">
        <v>167</v>
      </c>
      <c r="AD6" s="627"/>
      <c r="AE6" s="182" t="s">
        <v>161</v>
      </c>
      <c r="AF6" s="182" t="s">
        <v>381</v>
      </c>
      <c r="AG6" s="182" t="s">
        <v>163</v>
      </c>
      <c r="AH6" s="182" t="s">
        <v>167</v>
      </c>
      <c r="AI6" s="627"/>
      <c r="AJ6" s="182" t="s">
        <v>161</v>
      </c>
      <c r="AK6" s="182" t="s">
        <v>381</v>
      </c>
      <c r="AL6" s="182" t="s">
        <v>163</v>
      </c>
      <c r="AM6" s="182" t="s">
        <v>167</v>
      </c>
      <c r="AN6" s="627"/>
      <c r="AO6" s="182" t="s">
        <v>161</v>
      </c>
      <c r="AP6" s="182" t="s">
        <v>381</v>
      </c>
      <c r="AQ6" s="182" t="s">
        <v>163</v>
      </c>
      <c r="AR6" s="182" t="s">
        <v>167</v>
      </c>
      <c r="AS6" s="627"/>
      <c r="AT6" s="182" t="s">
        <v>161</v>
      </c>
      <c r="AU6" s="182" t="s">
        <v>381</v>
      </c>
      <c r="AV6" s="182" t="s">
        <v>163</v>
      </c>
      <c r="AW6" s="182" t="s">
        <v>167</v>
      </c>
      <c r="AX6" s="627"/>
    </row>
    <row r="7" spans="1:50" ht="14.25" customHeight="1">
      <c r="B7" s="564" t="s">
        <v>382</v>
      </c>
      <c r="C7" s="180">
        <v>1</v>
      </c>
      <c r="D7" s="183" t="s">
        <v>407</v>
      </c>
      <c r="E7" s="184">
        <v>4</v>
      </c>
      <c r="F7" s="180">
        <v>3300</v>
      </c>
      <c r="G7" s="185">
        <f>F7/E7</f>
        <v>825</v>
      </c>
      <c r="H7" s="625">
        <f>AVERAGE(G7:G39)</f>
        <v>869.33333333333337</v>
      </c>
      <c r="I7" s="186">
        <f>AVERAGE(P7,U7,Z7,AE7,AJ7,AO7,AT7)</f>
        <v>4</v>
      </c>
      <c r="J7" s="186">
        <f>AVERAGE(Q7,V7,AA7,AF7,AK7,AP7,AU7)</f>
        <v>2962.302049454298</v>
      </c>
      <c r="K7" s="187">
        <f>AVERAGE(R7,W7,AB7,AG7,AL7,AQ7,AV7)</f>
        <v>740.57551236357449</v>
      </c>
      <c r="L7" s="626">
        <f>IFERROR(AVERAGE(K7:K39),"-")</f>
        <v>770.91905873162898</v>
      </c>
      <c r="M7" s="186">
        <f>RANK(K7, K$7:$K$39)</f>
        <v>16</v>
      </c>
      <c r="N7" s="631"/>
      <c r="O7" s="627"/>
      <c r="P7" s="188">
        <v>4</v>
      </c>
      <c r="Q7" s="188">
        <v>2961.6641901931662</v>
      </c>
      <c r="R7" s="185">
        <f t="shared" ref="R7:R35" si="10">IFERROR(Q7/P7,"")</f>
        <v>740.41604754829154</v>
      </c>
      <c r="S7" s="182">
        <f>RANK(R7, R$7:R$39)</f>
        <v>16</v>
      </c>
      <c r="T7" s="624">
        <f>AVERAGE(R7:R39)</f>
        <v>776.09340635187971</v>
      </c>
      <c r="U7" s="188">
        <v>4</v>
      </c>
      <c r="V7" s="188">
        <v>2961.8427641462176</v>
      </c>
      <c r="W7" s="185">
        <f t="shared" ref="W7:W35" si="11">IFERROR(V7/U7,"")</f>
        <v>740.46069103655441</v>
      </c>
      <c r="X7" s="182">
        <f>RANK(W7, W$7:W$39)</f>
        <v>16</v>
      </c>
      <c r="Y7" s="624">
        <f>AVERAGE(W7:W39)</f>
        <v>776.16964066600656</v>
      </c>
      <c r="Z7" s="188">
        <v>4</v>
      </c>
      <c r="AA7" s="188">
        <v>2961.993769470404</v>
      </c>
      <c r="AB7" s="185">
        <f>IFERROR(AA7/Z7,"")</f>
        <v>740.498442367601</v>
      </c>
      <c r="AC7" s="182">
        <f>RANK(AB7, AB$7:AB$39)</f>
        <v>16</v>
      </c>
      <c r="AD7" s="624">
        <f>AVERAGE(AB7:AB39)</f>
        <v>776.34172697461179</v>
      </c>
      <c r="AE7" s="188">
        <v>4</v>
      </c>
      <c r="AF7" s="188">
        <v>2962.1739130434785</v>
      </c>
      <c r="AG7" s="185">
        <f>IFERROR(AF7/AE7,"")</f>
        <v>740.54347826086962</v>
      </c>
      <c r="AH7" s="182">
        <f>RANK(AG7, AG$7:AG$39)</f>
        <v>17</v>
      </c>
      <c r="AI7" s="624">
        <f>AVERAGE(AG7:AG39)</f>
        <v>776.65641373881761</v>
      </c>
      <c r="AJ7" s="188">
        <v>4</v>
      </c>
      <c r="AK7" s="188">
        <v>2962.8435324294628</v>
      </c>
      <c r="AL7" s="185">
        <f>IFERROR(AK7/AJ7,"")</f>
        <v>740.7108831073657</v>
      </c>
      <c r="AM7" s="182">
        <f>RANK(AL7, AL$7:AL$39)</f>
        <v>16</v>
      </c>
      <c r="AN7" s="624">
        <f>AVERAGE(AL7:AL39)</f>
        <v>776.78819237673417</v>
      </c>
      <c r="AO7" s="188">
        <v>4</v>
      </c>
      <c r="AP7" s="188">
        <v>2962.8099173553724</v>
      </c>
      <c r="AQ7" s="185">
        <f>IFERROR(AP7/AO7,"")</f>
        <v>740.70247933884309</v>
      </c>
      <c r="AR7" s="182">
        <f>RANK(AQ7, AQ$7:AQ$39)</f>
        <v>16</v>
      </c>
      <c r="AS7" s="624">
        <f>AVERAGE(AQ7:AQ39)</f>
        <v>776.73268404090675</v>
      </c>
      <c r="AT7" s="188">
        <v>4</v>
      </c>
      <c r="AU7" s="188">
        <v>2962.7862595419851</v>
      </c>
      <c r="AV7" s="185">
        <f>IFERROR(AU7/AT7,"")</f>
        <v>740.69656488549629</v>
      </c>
      <c r="AW7" s="182">
        <f>RANK(AV7, AV$7:AV$39)</f>
        <v>16</v>
      </c>
      <c r="AX7" s="624">
        <f>AVERAGE(AV7:AV39)</f>
        <v>771.19592636995674</v>
      </c>
    </row>
    <row r="8" spans="1:50" ht="14.25" customHeight="1">
      <c r="B8" s="564"/>
      <c r="C8" s="180">
        <v>2</v>
      </c>
      <c r="D8" s="183" t="s">
        <v>405</v>
      </c>
      <c r="E8" s="184">
        <v>3</v>
      </c>
      <c r="F8" s="180">
        <v>3600</v>
      </c>
      <c r="G8" s="185">
        <f t="shared" ref="G8:G27" si="12">F8/E8</f>
        <v>1200</v>
      </c>
      <c r="H8" s="625"/>
      <c r="I8" s="186">
        <f t="shared" ref="I8:K36" si="13">AVERAGE(P8,U8,Z8,AE8,AJ8,AO8,AT8)</f>
        <v>3</v>
      </c>
      <c r="J8" s="186">
        <f t="shared" si="13"/>
        <v>3144.2648275266729</v>
      </c>
      <c r="K8" s="187">
        <f t="shared" si="13"/>
        <v>1048.0882758422244</v>
      </c>
      <c r="L8" s="626"/>
      <c r="M8" s="186">
        <f>RANK(K8, K$7:$K$39)</f>
        <v>6</v>
      </c>
      <c r="N8" s="631"/>
      <c r="O8" s="627"/>
      <c r="P8" s="188">
        <v>3</v>
      </c>
      <c r="Q8" s="188">
        <v>3139.9437976716172</v>
      </c>
      <c r="R8" s="185">
        <f t="shared" si="10"/>
        <v>1046.6479325572056</v>
      </c>
      <c r="S8" s="182">
        <f t="shared" ref="S8:S35" si="14">RANK(R8, R$7:R$39)</f>
        <v>6</v>
      </c>
      <c r="T8" s="624"/>
      <c r="U8" s="188">
        <v>3</v>
      </c>
      <c r="V8" s="188">
        <v>3140.122699386503</v>
      </c>
      <c r="W8" s="185">
        <f t="shared" si="11"/>
        <v>1046.7075664621677</v>
      </c>
      <c r="X8" s="182">
        <f t="shared" ref="X8:X35" si="15">RANK(W8, W$7:W$39)</f>
        <v>6</v>
      </c>
      <c r="Y8" s="624"/>
      <c r="Z8" s="188">
        <v>3</v>
      </c>
      <c r="AA8" s="188">
        <v>3141.3047637268014</v>
      </c>
      <c r="AB8" s="185">
        <f t="shared" ref="AB8:AB35" si="16">IFERROR(AA8/Z8,"")</f>
        <v>1047.1015879089339</v>
      </c>
      <c r="AC8" s="182">
        <f t="shared" ref="AC8:AC35" si="17">RANK(AB8, AB$7:AB$39)</f>
        <v>6</v>
      </c>
      <c r="AD8" s="624"/>
      <c r="AE8" s="188">
        <v>3</v>
      </c>
      <c r="AF8" s="188">
        <v>3146.7729083665345</v>
      </c>
      <c r="AG8" s="185">
        <f t="shared" ref="AG8:AG35" si="18">IFERROR(AF8/AE8,"")</f>
        <v>1048.9243027888449</v>
      </c>
      <c r="AH8" s="182">
        <f t="shared" ref="AH8:AH35" si="19">RANK(AG8, AG$7:AG$39)</f>
        <v>3</v>
      </c>
      <c r="AI8" s="624"/>
      <c r="AJ8" s="188">
        <v>3</v>
      </c>
      <c r="AK8" s="188">
        <v>3147.0731707317063</v>
      </c>
      <c r="AL8" s="185">
        <f t="shared" ref="AL8:AL35" si="20">IFERROR(AK8/AJ8,"")</f>
        <v>1049.0243902439022</v>
      </c>
      <c r="AM8" s="182">
        <f t="shared" ref="AM8:AM35" si="21">RANK(AL8, AL$7:AL$39)</f>
        <v>3</v>
      </c>
      <c r="AN8" s="624"/>
      <c r="AO8" s="188">
        <v>3</v>
      </c>
      <c r="AP8" s="188">
        <v>3147.2485313511565</v>
      </c>
      <c r="AQ8" s="185">
        <f t="shared" ref="AQ8:AQ35" si="22">IFERROR(AP8/AO8,"")</f>
        <v>1049.0828437837188</v>
      </c>
      <c r="AR8" s="182">
        <f t="shared" ref="AR8:AR35" si="23">RANK(AQ8, AQ$7:AQ$39)</f>
        <v>3</v>
      </c>
      <c r="AS8" s="624"/>
      <c r="AT8" s="188">
        <v>3</v>
      </c>
      <c r="AU8" s="188">
        <v>3147.3879214523899</v>
      </c>
      <c r="AV8" s="185">
        <f t="shared" ref="AV8:AV36" si="24">IFERROR(AU8/AT8,"")</f>
        <v>1049.1293071507966</v>
      </c>
      <c r="AW8" s="182">
        <f t="shared" ref="AW8:AW36" si="25">RANK(AV8, AV$7:AV$39)</f>
        <v>3</v>
      </c>
      <c r="AX8" s="624"/>
    </row>
    <row r="9" spans="1:50" ht="14.25" customHeight="1">
      <c r="B9" s="564"/>
      <c r="C9" s="180">
        <v>3</v>
      </c>
      <c r="D9" s="183" t="s">
        <v>406</v>
      </c>
      <c r="E9" s="184">
        <v>4</v>
      </c>
      <c r="F9" s="180">
        <v>3300</v>
      </c>
      <c r="G9" s="185">
        <f t="shared" si="12"/>
        <v>825</v>
      </c>
      <c r="H9" s="625"/>
      <c r="I9" s="186">
        <f t="shared" si="13"/>
        <v>4</v>
      </c>
      <c r="J9" s="186">
        <f t="shared" si="13"/>
        <v>2963.9546154947789</v>
      </c>
      <c r="K9" s="187">
        <f t="shared" si="13"/>
        <v>740.98865387369472</v>
      </c>
      <c r="L9" s="626"/>
      <c r="M9" s="186">
        <f>RANK(K9, K$7:$K$39)</f>
        <v>15</v>
      </c>
      <c r="N9" s="631"/>
      <c r="O9" s="627"/>
      <c r="P9" s="188">
        <v>4</v>
      </c>
      <c r="Q9" s="188">
        <v>2963.5764705882357</v>
      </c>
      <c r="R9" s="185">
        <f t="shared" si="10"/>
        <v>740.89411764705892</v>
      </c>
      <c r="S9" s="182">
        <f t="shared" si="14"/>
        <v>15</v>
      </c>
      <c r="T9" s="624"/>
      <c r="U9" s="188">
        <v>4</v>
      </c>
      <c r="V9" s="188">
        <v>2963.6969985707497</v>
      </c>
      <c r="W9" s="185">
        <f t="shared" si="11"/>
        <v>740.92424964268741</v>
      </c>
      <c r="X9" s="182">
        <f t="shared" si="15"/>
        <v>15</v>
      </c>
      <c r="Y9" s="624"/>
      <c r="Z9" s="188">
        <v>4</v>
      </c>
      <c r="AA9" s="188">
        <v>2963.761979050591</v>
      </c>
      <c r="AB9" s="185">
        <f t="shared" si="16"/>
        <v>740.94049476264775</v>
      </c>
      <c r="AC9" s="182">
        <f t="shared" si="17"/>
        <v>15</v>
      </c>
      <c r="AD9" s="624"/>
      <c r="AE9" s="188">
        <v>4</v>
      </c>
      <c r="AF9" s="188">
        <v>2964.1666666666642</v>
      </c>
      <c r="AG9" s="185">
        <f t="shared" si="18"/>
        <v>741.04166666666606</v>
      </c>
      <c r="AH9" s="182">
        <f t="shared" si="19"/>
        <v>15</v>
      </c>
      <c r="AI9" s="624"/>
      <c r="AJ9" s="188">
        <v>4</v>
      </c>
      <c r="AK9" s="188">
        <v>2964.2589118198862</v>
      </c>
      <c r="AL9" s="185">
        <f t="shared" si="20"/>
        <v>741.06472795497154</v>
      </c>
      <c r="AM9" s="182">
        <f t="shared" si="21"/>
        <v>15</v>
      </c>
      <c r="AN9" s="624"/>
      <c r="AO9" s="188">
        <v>4</v>
      </c>
      <c r="AP9" s="188">
        <v>2964.0614192834414</v>
      </c>
      <c r="AQ9" s="185">
        <f t="shared" si="22"/>
        <v>741.01535482086035</v>
      </c>
      <c r="AR9" s="182">
        <f t="shared" si="23"/>
        <v>15</v>
      </c>
      <c r="AS9" s="624"/>
      <c r="AT9" s="188">
        <v>4</v>
      </c>
      <c r="AU9" s="188">
        <v>2964.1598624838857</v>
      </c>
      <c r="AV9" s="185">
        <f t="shared" si="24"/>
        <v>741.03996562097143</v>
      </c>
      <c r="AW9" s="182">
        <f t="shared" si="25"/>
        <v>15</v>
      </c>
      <c r="AX9" s="624"/>
    </row>
    <row r="10" spans="1:50" ht="14.25" customHeight="1">
      <c r="B10" s="564"/>
      <c r="C10" s="180">
        <v>4</v>
      </c>
      <c r="D10" s="183" t="s">
        <v>231</v>
      </c>
      <c r="E10" s="184">
        <v>5</v>
      </c>
      <c r="F10" s="180">
        <v>3300</v>
      </c>
      <c r="G10" s="185">
        <f t="shared" si="12"/>
        <v>660</v>
      </c>
      <c r="H10" s="625"/>
      <c r="I10" s="186">
        <f t="shared" si="13"/>
        <v>5</v>
      </c>
      <c r="J10" s="186">
        <f t="shared" si="13"/>
        <v>2967.1611207537385</v>
      </c>
      <c r="K10" s="187">
        <f t="shared" si="13"/>
        <v>593.43222415074774</v>
      </c>
      <c r="L10" s="626"/>
      <c r="M10" s="186">
        <f>RANK(K10, K$7:$K$39)</f>
        <v>25</v>
      </c>
      <c r="N10" s="631"/>
      <c r="O10" s="627"/>
      <c r="P10" s="188">
        <v>5</v>
      </c>
      <c r="Q10" s="188">
        <v>2966.081871345028</v>
      </c>
      <c r="R10" s="185">
        <f t="shared" si="10"/>
        <v>593.21637426900566</v>
      </c>
      <c r="S10" s="182">
        <f t="shared" si="14"/>
        <v>24</v>
      </c>
      <c r="T10" s="624"/>
      <c r="U10" s="188">
        <v>5</v>
      </c>
      <c r="V10" s="188">
        <v>2966.3810151615021</v>
      </c>
      <c r="W10" s="185">
        <f t="shared" si="11"/>
        <v>593.27620303230037</v>
      </c>
      <c r="X10" s="182">
        <f t="shared" si="15"/>
        <v>25</v>
      </c>
      <c r="Y10" s="624"/>
      <c r="Z10" s="188">
        <v>5</v>
      </c>
      <c r="AA10" s="188">
        <v>2967.5213675213631</v>
      </c>
      <c r="AB10" s="185">
        <f t="shared" si="16"/>
        <v>593.50427350427265</v>
      </c>
      <c r="AC10" s="182">
        <f t="shared" si="17"/>
        <v>24</v>
      </c>
      <c r="AD10" s="624"/>
      <c r="AE10" s="188">
        <v>5</v>
      </c>
      <c r="AF10" s="188">
        <v>2968.104312938819</v>
      </c>
      <c r="AG10" s="185">
        <f t="shared" si="18"/>
        <v>593.62086258776378</v>
      </c>
      <c r="AH10" s="182">
        <f t="shared" si="19"/>
        <v>24</v>
      </c>
      <c r="AI10" s="624"/>
      <c r="AJ10" s="188">
        <v>5</v>
      </c>
      <c r="AK10" s="188">
        <v>2969.7219361482962</v>
      </c>
      <c r="AL10" s="185">
        <f t="shared" si="20"/>
        <v>593.94438722965924</v>
      </c>
      <c r="AM10" s="182">
        <f t="shared" si="21"/>
        <v>24</v>
      </c>
      <c r="AN10" s="624"/>
      <c r="AO10" s="188">
        <v>5</v>
      </c>
      <c r="AP10" s="188">
        <v>2965.3631284916155</v>
      </c>
      <c r="AQ10" s="185">
        <f t="shared" si="22"/>
        <v>593.07262569832312</v>
      </c>
      <c r="AR10" s="182">
        <f t="shared" si="23"/>
        <v>25</v>
      </c>
      <c r="AS10" s="624"/>
      <c r="AT10" s="188">
        <v>5</v>
      </c>
      <c r="AU10" s="188">
        <v>2966.9542136695472</v>
      </c>
      <c r="AV10" s="185">
        <f t="shared" si="24"/>
        <v>593.39084273390949</v>
      </c>
      <c r="AW10" s="182">
        <f t="shared" si="25"/>
        <v>26</v>
      </c>
      <c r="AX10" s="624"/>
    </row>
    <row r="11" spans="1:50" ht="14.25" customHeight="1">
      <c r="B11" s="564"/>
      <c r="C11" s="180">
        <v>5</v>
      </c>
      <c r="D11" s="183" t="s">
        <v>402</v>
      </c>
      <c r="E11" s="184">
        <v>3</v>
      </c>
      <c r="F11" s="180">
        <v>3600</v>
      </c>
      <c r="G11" s="185">
        <f t="shared" si="12"/>
        <v>1200</v>
      </c>
      <c r="H11" s="625"/>
      <c r="I11" s="186">
        <f t="shared" si="13"/>
        <v>3</v>
      </c>
      <c r="J11" s="186">
        <f t="shared" si="13"/>
        <v>3144.8244057808597</v>
      </c>
      <c r="K11" s="187">
        <f t="shared" si="13"/>
        <v>1048.2748019269532</v>
      </c>
      <c r="L11" s="626"/>
      <c r="M11" s="186">
        <f>RANK(K11, K$7:$K$39)</f>
        <v>5</v>
      </c>
      <c r="N11" s="631"/>
      <c r="O11" s="627"/>
      <c r="P11" s="188">
        <v>3</v>
      </c>
      <c r="Q11" s="188">
        <v>3142.6630434782592</v>
      </c>
      <c r="R11" s="185">
        <f t="shared" si="10"/>
        <v>1047.5543478260863</v>
      </c>
      <c r="S11" s="182">
        <f t="shared" si="14"/>
        <v>3</v>
      </c>
      <c r="T11" s="624"/>
      <c r="U11" s="188">
        <v>3</v>
      </c>
      <c r="V11" s="188">
        <v>3143.3298862461243</v>
      </c>
      <c r="W11" s="185">
        <f t="shared" si="11"/>
        <v>1047.7766287487082</v>
      </c>
      <c r="X11" s="182">
        <f t="shared" si="15"/>
        <v>3</v>
      </c>
      <c r="Y11" s="624"/>
      <c r="Z11" s="188">
        <v>3</v>
      </c>
      <c r="AA11" s="188">
        <v>3144.2389758179252</v>
      </c>
      <c r="AB11" s="185">
        <f t="shared" si="16"/>
        <v>1048.0796586059751</v>
      </c>
      <c r="AC11" s="182">
        <f t="shared" si="17"/>
        <v>4</v>
      </c>
      <c r="AD11" s="624"/>
      <c r="AE11" s="188">
        <v>3</v>
      </c>
      <c r="AF11" s="188">
        <v>3145.3194650817254</v>
      </c>
      <c r="AG11" s="185">
        <f t="shared" si="18"/>
        <v>1048.4398216939085</v>
      </c>
      <c r="AH11" s="182">
        <f t="shared" si="19"/>
        <v>6</v>
      </c>
      <c r="AI11" s="624"/>
      <c r="AJ11" s="188">
        <v>3</v>
      </c>
      <c r="AK11" s="188">
        <v>3146.2481608631674</v>
      </c>
      <c r="AL11" s="185">
        <f t="shared" si="20"/>
        <v>1048.7493869543891</v>
      </c>
      <c r="AM11" s="182">
        <f t="shared" si="21"/>
        <v>5</v>
      </c>
      <c r="AN11" s="624"/>
      <c r="AO11" s="188">
        <v>3</v>
      </c>
      <c r="AP11" s="188">
        <v>3145.8531935176379</v>
      </c>
      <c r="AQ11" s="185">
        <f t="shared" si="22"/>
        <v>1048.617731172546</v>
      </c>
      <c r="AR11" s="182">
        <f t="shared" si="23"/>
        <v>5</v>
      </c>
      <c r="AS11" s="624"/>
      <c r="AT11" s="188">
        <v>3</v>
      </c>
      <c r="AU11" s="188">
        <v>3146.1181154611818</v>
      </c>
      <c r="AV11" s="185">
        <f t="shared" si="24"/>
        <v>1048.7060384870606</v>
      </c>
      <c r="AW11" s="182">
        <f t="shared" si="25"/>
        <v>5</v>
      </c>
      <c r="AX11" s="624"/>
    </row>
    <row r="12" spans="1:50" ht="14.25" customHeight="1">
      <c r="B12" s="564"/>
      <c r="C12" s="180">
        <v>6</v>
      </c>
      <c r="D12" s="183" t="s">
        <v>343</v>
      </c>
      <c r="E12" s="184">
        <v>3</v>
      </c>
      <c r="F12" s="180">
        <v>3000</v>
      </c>
      <c r="G12" s="185">
        <f t="shared" si="12"/>
        <v>1000</v>
      </c>
      <c r="H12" s="625"/>
      <c r="I12" s="186">
        <f t="shared" si="13"/>
        <v>3</v>
      </c>
      <c r="J12" s="186">
        <f t="shared" si="13"/>
        <v>2693.1680216749905</v>
      </c>
      <c r="K12" s="187">
        <f t="shared" si="13"/>
        <v>897.72267389166336</v>
      </c>
      <c r="L12" s="626"/>
      <c r="M12" s="186">
        <f>RANK(K12, K$7:$K$39)</f>
        <v>10</v>
      </c>
      <c r="N12" s="631"/>
      <c r="O12" s="627"/>
      <c r="P12" s="188">
        <v>3</v>
      </c>
      <c r="Q12" s="188">
        <v>2692.3636363636383</v>
      </c>
      <c r="R12" s="185">
        <f t="shared" si="10"/>
        <v>897.45454545454606</v>
      </c>
      <c r="S12" s="182">
        <f t="shared" si="14"/>
        <v>11</v>
      </c>
      <c r="T12" s="624"/>
      <c r="U12" s="188">
        <v>3</v>
      </c>
      <c r="V12" s="188">
        <v>2692.5953627524318</v>
      </c>
      <c r="W12" s="185">
        <f t="shared" si="11"/>
        <v>897.5317875841439</v>
      </c>
      <c r="X12" s="182">
        <f t="shared" si="15"/>
        <v>11</v>
      </c>
      <c r="Y12" s="624"/>
      <c r="Z12" s="188">
        <v>3</v>
      </c>
      <c r="AA12" s="188">
        <v>2693.2423208191167</v>
      </c>
      <c r="AB12" s="185">
        <f t="shared" si="16"/>
        <v>897.74744027303893</v>
      </c>
      <c r="AC12" s="182">
        <f t="shared" si="17"/>
        <v>10</v>
      </c>
      <c r="AD12" s="624"/>
      <c r="AE12" s="188">
        <v>3</v>
      </c>
      <c r="AF12" s="188">
        <v>2693.6260623229446</v>
      </c>
      <c r="AG12" s="185">
        <f t="shared" si="18"/>
        <v>897.87535410764815</v>
      </c>
      <c r="AH12" s="182">
        <f t="shared" si="19"/>
        <v>10</v>
      </c>
      <c r="AI12" s="624"/>
      <c r="AJ12" s="188">
        <v>3</v>
      </c>
      <c r="AK12" s="188">
        <v>2693.3726067746697</v>
      </c>
      <c r="AL12" s="185">
        <f t="shared" si="20"/>
        <v>897.79086892488988</v>
      </c>
      <c r="AM12" s="182">
        <f t="shared" si="21"/>
        <v>10</v>
      </c>
      <c r="AN12" s="624"/>
      <c r="AO12" s="188">
        <v>3</v>
      </c>
      <c r="AP12" s="188">
        <v>2693.4335617952684</v>
      </c>
      <c r="AQ12" s="185">
        <f t="shared" si="22"/>
        <v>897.81118726508942</v>
      </c>
      <c r="AR12" s="182">
        <f t="shared" si="23"/>
        <v>10</v>
      </c>
      <c r="AS12" s="624"/>
      <c r="AT12" s="188">
        <v>3</v>
      </c>
      <c r="AU12" s="188">
        <v>2693.5426008968607</v>
      </c>
      <c r="AV12" s="185">
        <f t="shared" si="24"/>
        <v>897.84753363228685</v>
      </c>
      <c r="AW12" s="182">
        <f t="shared" si="25"/>
        <v>10</v>
      </c>
      <c r="AX12" s="624"/>
    </row>
    <row r="13" spans="1:50" ht="14.25" customHeight="1">
      <c r="B13" s="564"/>
      <c r="C13" s="180">
        <v>7</v>
      </c>
      <c r="D13" s="183" t="s">
        <v>404</v>
      </c>
      <c r="E13" s="184">
        <v>3</v>
      </c>
      <c r="F13" s="180">
        <v>3600</v>
      </c>
      <c r="G13" s="185">
        <f t="shared" si="12"/>
        <v>1200</v>
      </c>
      <c r="H13" s="625"/>
      <c r="I13" s="186">
        <f t="shared" si="13"/>
        <v>3</v>
      </c>
      <c r="J13" s="186">
        <f t="shared" si="13"/>
        <v>3144.8670983138668</v>
      </c>
      <c r="K13" s="187">
        <f t="shared" si="13"/>
        <v>1048.2890327712892</v>
      </c>
      <c r="L13" s="626"/>
      <c r="M13" s="186">
        <f>RANK(K13, K$7:$K$39)</f>
        <v>4</v>
      </c>
      <c r="N13" s="631"/>
      <c r="O13" s="627"/>
      <c r="P13" s="188">
        <v>3</v>
      </c>
      <c r="Q13" s="188">
        <v>3144.0000000000009</v>
      </c>
      <c r="R13" s="185">
        <f t="shared" si="10"/>
        <v>1048.0000000000002</v>
      </c>
      <c r="S13" s="182">
        <f t="shared" si="14"/>
        <v>2</v>
      </c>
      <c r="T13" s="624"/>
      <c r="U13" s="188">
        <v>3</v>
      </c>
      <c r="V13" s="188">
        <v>3143.6260623229491</v>
      </c>
      <c r="W13" s="185">
        <f t="shared" si="11"/>
        <v>1047.8753541076496</v>
      </c>
      <c r="X13" s="182">
        <f t="shared" si="15"/>
        <v>2</v>
      </c>
      <c r="Y13" s="624"/>
      <c r="Z13" s="188">
        <v>3</v>
      </c>
      <c r="AA13" s="188">
        <v>3144.6215139442324</v>
      </c>
      <c r="AB13" s="185">
        <f t="shared" si="16"/>
        <v>1048.2071713147441</v>
      </c>
      <c r="AC13" s="182">
        <f t="shared" si="17"/>
        <v>3</v>
      </c>
      <c r="AD13" s="624"/>
      <c r="AE13" s="188">
        <v>3</v>
      </c>
      <c r="AF13" s="188">
        <v>3145.6684491978749</v>
      </c>
      <c r="AG13" s="185">
        <f t="shared" si="18"/>
        <v>1048.556149732625</v>
      </c>
      <c r="AH13" s="182">
        <f t="shared" si="19"/>
        <v>5</v>
      </c>
      <c r="AI13" s="624"/>
      <c r="AJ13" s="188">
        <v>3</v>
      </c>
      <c r="AK13" s="188">
        <v>3145.6684491978749</v>
      </c>
      <c r="AL13" s="185">
        <f t="shared" si="20"/>
        <v>1048.556149732625</v>
      </c>
      <c r="AM13" s="182">
        <f t="shared" si="21"/>
        <v>6</v>
      </c>
      <c r="AN13" s="624"/>
      <c r="AO13" s="188">
        <v>3</v>
      </c>
      <c r="AP13" s="188">
        <v>3145.0676982591917</v>
      </c>
      <c r="AQ13" s="185">
        <f t="shared" si="22"/>
        <v>1048.3558994197306</v>
      </c>
      <c r="AR13" s="182">
        <f t="shared" si="23"/>
        <v>6</v>
      </c>
      <c r="AS13" s="624"/>
      <c r="AT13" s="188">
        <v>3</v>
      </c>
      <c r="AU13" s="188">
        <v>3145.417515274949</v>
      </c>
      <c r="AV13" s="185">
        <f t="shared" si="24"/>
        <v>1048.4725050916497</v>
      </c>
      <c r="AW13" s="182">
        <f t="shared" si="25"/>
        <v>6</v>
      </c>
      <c r="AX13" s="624"/>
    </row>
    <row r="14" spans="1:50" ht="14.25" customHeight="1">
      <c r="B14" s="564"/>
      <c r="C14" s="180">
        <v>8</v>
      </c>
      <c r="D14" s="183" t="s">
        <v>403</v>
      </c>
      <c r="E14" s="184">
        <v>4</v>
      </c>
      <c r="F14" s="180">
        <v>3300</v>
      </c>
      <c r="G14" s="185">
        <f t="shared" si="12"/>
        <v>825</v>
      </c>
      <c r="H14" s="625"/>
      <c r="I14" s="186">
        <f t="shared" si="13"/>
        <v>4</v>
      </c>
      <c r="J14" s="186">
        <f t="shared" si="13"/>
        <v>2932.9873240869515</v>
      </c>
      <c r="K14" s="187">
        <f t="shared" si="13"/>
        <v>733.24683102173788</v>
      </c>
      <c r="L14" s="626"/>
      <c r="M14" s="186">
        <f>RANK(K14, K$7:$K$39)</f>
        <v>19</v>
      </c>
      <c r="N14" s="631"/>
      <c r="O14" s="627"/>
      <c r="P14" s="188">
        <v>4</v>
      </c>
      <c r="Q14" s="188">
        <v>2929.0258449304156</v>
      </c>
      <c r="R14" s="185">
        <f t="shared" si="10"/>
        <v>732.2564612326039</v>
      </c>
      <c r="S14" s="182">
        <f t="shared" si="14"/>
        <v>21</v>
      </c>
      <c r="T14" s="624"/>
      <c r="U14" s="188">
        <v>4</v>
      </c>
      <c r="V14" s="188">
        <v>2929.7777777777778</v>
      </c>
      <c r="W14" s="185">
        <f t="shared" si="11"/>
        <v>732.44444444444446</v>
      </c>
      <c r="X14" s="182">
        <f t="shared" si="15"/>
        <v>21</v>
      </c>
      <c r="Y14" s="624"/>
      <c r="Z14" s="188">
        <v>4</v>
      </c>
      <c r="AA14" s="188">
        <v>2934.0711462450604</v>
      </c>
      <c r="AB14" s="185">
        <f t="shared" si="16"/>
        <v>733.5177865612651</v>
      </c>
      <c r="AC14" s="182">
        <f t="shared" si="17"/>
        <v>19</v>
      </c>
      <c r="AD14" s="624"/>
      <c r="AE14" s="188">
        <v>4</v>
      </c>
      <c r="AF14" s="188">
        <v>2933.7759336099593</v>
      </c>
      <c r="AG14" s="185">
        <f t="shared" si="18"/>
        <v>733.44398340248983</v>
      </c>
      <c r="AH14" s="182">
        <f t="shared" si="19"/>
        <v>19</v>
      </c>
      <c r="AI14" s="624"/>
      <c r="AJ14" s="188">
        <v>4</v>
      </c>
      <c r="AK14" s="188">
        <v>2935.0125944584288</v>
      </c>
      <c r="AL14" s="185">
        <f t="shared" si="20"/>
        <v>733.7531486146072</v>
      </c>
      <c r="AM14" s="182">
        <f t="shared" si="21"/>
        <v>19</v>
      </c>
      <c r="AN14" s="624"/>
      <c r="AO14" s="188">
        <v>4</v>
      </c>
      <c r="AP14" s="188">
        <v>2934.6919870310326</v>
      </c>
      <c r="AQ14" s="185">
        <f t="shared" si="22"/>
        <v>733.67299675775814</v>
      </c>
      <c r="AR14" s="182">
        <f t="shared" si="23"/>
        <v>18</v>
      </c>
      <c r="AS14" s="624"/>
      <c r="AT14" s="188">
        <v>4</v>
      </c>
      <c r="AU14" s="188">
        <v>2934.5559845559837</v>
      </c>
      <c r="AV14" s="185">
        <f t="shared" si="24"/>
        <v>733.63899613899594</v>
      </c>
      <c r="AW14" s="182">
        <f t="shared" si="25"/>
        <v>19</v>
      </c>
      <c r="AX14" s="624"/>
    </row>
    <row r="15" spans="1:50" ht="14.25" customHeight="1">
      <c r="B15" s="564"/>
      <c r="C15" s="180">
        <v>9</v>
      </c>
      <c r="D15" s="183" t="s">
        <v>401</v>
      </c>
      <c r="E15" s="184">
        <v>4</v>
      </c>
      <c r="F15" s="180">
        <v>3300</v>
      </c>
      <c r="G15" s="185">
        <f t="shared" si="12"/>
        <v>825</v>
      </c>
      <c r="H15" s="625"/>
      <c r="I15" s="186">
        <f t="shared" si="13"/>
        <v>4</v>
      </c>
      <c r="J15" s="186">
        <f t="shared" si="13"/>
        <v>2932.9634050535565</v>
      </c>
      <c r="K15" s="187">
        <f t="shared" si="13"/>
        <v>733.24085126338912</v>
      </c>
      <c r="L15" s="626"/>
      <c r="M15" s="186">
        <f>RANK(K15, K$7:$K$39)</f>
        <v>20</v>
      </c>
      <c r="N15" s="631"/>
      <c r="O15" s="627"/>
      <c r="P15" s="188">
        <v>4</v>
      </c>
      <c r="Q15" s="188">
        <v>2931.4708299096101</v>
      </c>
      <c r="R15" s="185">
        <f t="shared" si="10"/>
        <v>732.86770747740252</v>
      </c>
      <c r="S15" s="182">
        <f t="shared" si="14"/>
        <v>19</v>
      </c>
      <c r="T15" s="624"/>
      <c r="U15" s="188">
        <v>4</v>
      </c>
      <c r="V15" s="188">
        <v>2932.0800980792783</v>
      </c>
      <c r="W15" s="185">
        <f t="shared" si="11"/>
        <v>733.02002451981957</v>
      </c>
      <c r="X15" s="182">
        <f t="shared" si="15"/>
        <v>19</v>
      </c>
      <c r="Y15" s="624"/>
      <c r="Z15" s="188">
        <v>4</v>
      </c>
      <c r="AA15" s="188">
        <v>2933.4112149532675</v>
      </c>
      <c r="AB15" s="185">
        <f t="shared" si="16"/>
        <v>733.35280373831688</v>
      </c>
      <c r="AC15" s="182">
        <f t="shared" si="17"/>
        <v>20</v>
      </c>
      <c r="AD15" s="624"/>
      <c r="AE15" s="188">
        <v>4</v>
      </c>
      <c r="AF15" s="188">
        <v>2933.3333333333362</v>
      </c>
      <c r="AG15" s="185">
        <f t="shared" si="18"/>
        <v>733.33333333333405</v>
      </c>
      <c r="AH15" s="182">
        <f t="shared" si="19"/>
        <v>20</v>
      </c>
      <c r="AI15" s="624"/>
      <c r="AJ15" s="188">
        <v>4</v>
      </c>
      <c r="AK15" s="188">
        <v>2933.579335793358</v>
      </c>
      <c r="AL15" s="185">
        <f t="shared" si="20"/>
        <v>733.39483394833951</v>
      </c>
      <c r="AM15" s="182">
        <f t="shared" si="21"/>
        <v>20</v>
      </c>
      <c r="AN15" s="624"/>
      <c r="AO15" s="188">
        <v>4</v>
      </c>
      <c r="AP15" s="188">
        <v>2933.6405529953922</v>
      </c>
      <c r="AQ15" s="185">
        <f t="shared" si="22"/>
        <v>733.41013824884806</v>
      </c>
      <c r="AR15" s="182">
        <f t="shared" si="23"/>
        <v>20</v>
      </c>
      <c r="AS15" s="624"/>
      <c r="AT15" s="188">
        <v>4</v>
      </c>
      <c r="AU15" s="188">
        <v>2933.2284703106538</v>
      </c>
      <c r="AV15" s="185">
        <f t="shared" si="24"/>
        <v>733.30711757766346</v>
      </c>
      <c r="AW15" s="182">
        <f t="shared" si="25"/>
        <v>21</v>
      </c>
      <c r="AX15" s="624"/>
    </row>
    <row r="16" spans="1:50" ht="14.25" customHeight="1">
      <c r="B16" s="564"/>
      <c r="C16" s="180">
        <v>10</v>
      </c>
      <c r="D16" s="183" t="s">
        <v>462</v>
      </c>
      <c r="E16" s="184">
        <v>4</v>
      </c>
      <c r="F16" s="180">
        <v>3300</v>
      </c>
      <c r="G16" s="185">
        <f t="shared" si="12"/>
        <v>825</v>
      </c>
      <c r="H16" s="625"/>
      <c r="I16" s="186">
        <f t="shared" si="13"/>
        <v>4</v>
      </c>
      <c r="J16" s="186">
        <f t="shared" si="13"/>
        <v>2966.9897160839378</v>
      </c>
      <c r="K16" s="187">
        <f t="shared" si="13"/>
        <v>741.74742902098444</v>
      </c>
      <c r="L16" s="626"/>
      <c r="M16" s="186">
        <f>RANK(K16, K$7:$K$39)</f>
        <v>12</v>
      </c>
      <c r="N16" s="631"/>
      <c r="O16" s="627"/>
      <c r="P16" s="188">
        <v>4</v>
      </c>
      <c r="Q16" s="188">
        <v>2965.3725078698885</v>
      </c>
      <c r="R16" s="185">
        <f t="shared" si="10"/>
        <v>741.34312696747213</v>
      </c>
      <c r="S16" s="182">
        <f t="shared" si="14"/>
        <v>12</v>
      </c>
      <c r="T16" s="624"/>
      <c r="U16" s="188">
        <v>4</v>
      </c>
      <c r="V16" s="188">
        <v>2965.941644562336</v>
      </c>
      <c r="W16" s="185">
        <f t="shared" si="11"/>
        <v>741.48541114058401</v>
      </c>
      <c r="X16" s="182">
        <f t="shared" si="15"/>
        <v>12</v>
      </c>
      <c r="Y16" s="624"/>
      <c r="Z16" s="188">
        <v>4</v>
      </c>
      <c r="AA16" s="188">
        <v>2967.3062164236399</v>
      </c>
      <c r="AB16" s="185">
        <f t="shared" si="16"/>
        <v>741.82655410590996</v>
      </c>
      <c r="AC16" s="182">
        <f t="shared" si="17"/>
        <v>12</v>
      </c>
      <c r="AD16" s="624"/>
      <c r="AE16" s="188">
        <v>4</v>
      </c>
      <c r="AF16" s="188">
        <v>2967.7626303127586</v>
      </c>
      <c r="AG16" s="185">
        <f t="shared" si="18"/>
        <v>741.94065757818964</v>
      </c>
      <c r="AH16" s="182">
        <f t="shared" si="19"/>
        <v>12</v>
      </c>
      <c r="AI16" s="624"/>
      <c r="AJ16" s="188">
        <v>4</v>
      </c>
      <c r="AK16" s="188">
        <v>2967.2904800650849</v>
      </c>
      <c r="AL16" s="185">
        <f t="shared" si="20"/>
        <v>741.82262001627123</v>
      </c>
      <c r="AM16" s="182">
        <f t="shared" si="21"/>
        <v>13</v>
      </c>
      <c r="AN16" s="624"/>
      <c r="AO16" s="188">
        <v>4</v>
      </c>
      <c r="AP16" s="188">
        <v>2966.994106090373</v>
      </c>
      <c r="AQ16" s="185">
        <f t="shared" si="22"/>
        <v>741.74852652259324</v>
      </c>
      <c r="AR16" s="182">
        <f t="shared" si="23"/>
        <v>12</v>
      </c>
      <c r="AS16" s="624"/>
      <c r="AT16" s="188">
        <v>4</v>
      </c>
      <c r="AU16" s="188">
        <v>2968.2604272634831</v>
      </c>
      <c r="AV16" s="185">
        <f t="shared" si="24"/>
        <v>742.06510681587076</v>
      </c>
      <c r="AW16" s="182">
        <f t="shared" si="25"/>
        <v>12</v>
      </c>
      <c r="AX16" s="624"/>
    </row>
    <row r="17" spans="2:50" ht="14.25" customHeight="1">
      <c r="B17" s="564"/>
      <c r="C17" s="180">
        <v>11</v>
      </c>
      <c r="D17" s="183" t="s">
        <v>230</v>
      </c>
      <c r="E17" s="184">
        <v>3</v>
      </c>
      <c r="F17" s="180">
        <v>3000</v>
      </c>
      <c r="G17" s="185">
        <f t="shared" si="12"/>
        <v>1000</v>
      </c>
      <c r="H17" s="625"/>
      <c r="I17" s="186">
        <f t="shared" si="13"/>
        <v>3</v>
      </c>
      <c r="J17" s="186">
        <f t="shared" si="13"/>
        <v>2693.1022887416889</v>
      </c>
      <c r="K17" s="187">
        <f t="shared" si="13"/>
        <v>897.70076291389626</v>
      </c>
      <c r="L17" s="626"/>
      <c r="M17" s="186">
        <f>RANK(K17, K$7:$K$39)</f>
        <v>11</v>
      </c>
      <c r="N17" s="631"/>
      <c r="O17" s="627"/>
      <c r="P17" s="188">
        <v>3</v>
      </c>
      <c r="Q17" s="188">
        <v>2692.8453577321143</v>
      </c>
      <c r="R17" s="185">
        <f t="shared" si="10"/>
        <v>897.61511924403806</v>
      </c>
      <c r="S17" s="182">
        <f t="shared" si="14"/>
        <v>10</v>
      </c>
      <c r="T17" s="624"/>
      <c r="U17" s="188">
        <v>3</v>
      </c>
      <c r="V17" s="188">
        <v>2692.9525564256101</v>
      </c>
      <c r="W17" s="185">
        <f t="shared" si="11"/>
        <v>897.65085214187002</v>
      </c>
      <c r="X17" s="182">
        <f t="shared" si="15"/>
        <v>10</v>
      </c>
      <c r="Y17" s="624"/>
      <c r="Z17" s="188">
        <v>3</v>
      </c>
      <c r="AA17" s="188">
        <v>2692.96131896005</v>
      </c>
      <c r="AB17" s="185">
        <f t="shared" si="16"/>
        <v>897.65377298668329</v>
      </c>
      <c r="AC17" s="182">
        <f t="shared" si="17"/>
        <v>11</v>
      </c>
      <c r="AD17" s="624"/>
      <c r="AE17" s="188">
        <v>3</v>
      </c>
      <c r="AF17" s="188">
        <v>2693.0448222565683</v>
      </c>
      <c r="AG17" s="185">
        <f t="shared" si="18"/>
        <v>897.68160741885606</v>
      </c>
      <c r="AH17" s="182">
        <f t="shared" si="19"/>
        <v>11</v>
      </c>
      <c r="AI17" s="624"/>
      <c r="AJ17" s="188">
        <v>3</v>
      </c>
      <c r="AK17" s="188">
        <v>2693.2911678337477</v>
      </c>
      <c r="AL17" s="185">
        <f t="shared" si="20"/>
        <v>897.76372261124925</v>
      </c>
      <c r="AM17" s="182">
        <f t="shared" si="21"/>
        <v>11</v>
      </c>
      <c r="AN17" s="624"/>
      <c r="AO17" s="188">
        <v>3</v>
      </c>
      <c r="AP17" s="188">
        <v>2693.2496931678706</v>
      </c>
      <c r="AQ17" s="185">
        <f t="shared" si="22"/>
        <v>897.74989772262359</v>
      </c>
      <c r="AR17" s="182">
        <f t="shared" si="23"/>
        <v>11</v>
      </c>
      <c r="AS17" s="624"/>
      <c r="AT17" s="188">
        <v>3</v>
      </c>
      <c r="AU17" s="188">
        <v>2693.3711048158634</v>
      </c>
      <c r="AV17" s="185">
        <f t="shared" si="24"/>
        <v>897.79036827195443</v>
      </c>
      <c r="AW17" s="182">
        <f t="shared" si="25"/>
        <v>11</v>
      </c>
      <c r="AX17" s="624"/>
    </row>
    <row r="18" spans="2:50" ht="14.25" customHeight="1">
      <c r="B18" s="564"/>
      <c r="C18" s="180">
        <v>12</v>
      </c>
      <c r="D18" s="183" t="s">
        <v>481</v>
      </c>
      <c r="E18" s="184">
        <v>12</v>
      </c>
      <c r="F18" s="180">
        <v>3600</v>
      </c>
      <c r="G18" s="185">
        <f t="shared" si="12"/>
        <v>300</v>
      </c>
      <c r="H18" s="625"/>
      <c r="I18" s="186">
        <f t="shared" si="13"/>
        <v>12</v>
      </c>
      <c r="J18" s="186">
        <f t="shared" si="13"/>
        <v>3126.1142403960889</v>
      </c>
      <c r="K18" s="187">
        <f t="shared" si="13"/>
        <v>260.50952003300745</v>
      </c>
      <c r="L18" s="626"/>
      <c r="M18" s="186">
        <f>RANK(K18, K$7:$K$39)</f>
        <v>29</v>
      </c>
      <c r="N18" s="631"/>
      <c r="O18" s="627"/>
      <c r="P18" s="188">
        <v>12</v>
      </c>
      <c r="Q18" s="188">
        <v>3125.7050765511699</v>
      </c>
      <c r="R18" s="185">
        <f t="shared" si="10"/>
        <v>260.47542304593082</v>
      </c>
      <c r="S18" s="182">
        <f t="shared" si="14"/>
        <v>29</v>
      </c>
      <c r="T18" s="624"/>
      <c r="U18" s="188">
        <v>12</v>
      </c>
      <c r="V18" s="188">
        <v>3125.7663628831824</v>
      </c>
      <c r="W18" s="185">
        <f t="shared" si="11"/>
        <v>260.48053024026518</v>
      </c>
      <c r="X18" s="182">
        <f t="shared" si="15"/>
        <v>28</v>
      </c>
      <c r="Y18" s="624"/>
      <c r="Z18" s="188">
        <v>12</v>
      </c>
      <c r="AA18" s="188">
        <v>3126.3681592039802</v>
      </c>
      <c r="AB18" s="185">
        <f t="shared" si="16"/>
        <v>260.530679933665</v>
      </c>
      <c r="AC18" s="182">
        <f t="shared" si="17"/>
        <v>28</v>
      </c>
      <c r="AD18" s="624"/>
      <c r="AE18" s="188">
        <v>12</v>
      </c>
      <c r="AF18" s="188">
        <v>3126.5353418308173</v>
      </c>
      <c r="AG18" s="185">
        <f t="shared" si="18"/>
        <v>260.54461181923477</v>
      </c>
      <c r="AH18" s="182">
        <f t="shared" si="19"/>
        <v>28</v>
      </c>
      <c r="AI18" s="624"/>
      <c r="AJ18" s="188">
        <v>12</v>
      </c>
      <c r="AK18" s="188">
        <v>3128.1451141018106</v>
      </c>
      <c r="AL18" s="185">
        <f t="shared" si="20"/>
        <v>260.67875950848423</v>
      </c>
      <c r="AM18" s="182">
        <f t="shared" si="21"/>
        <v>28</v>
      </c>
      <c r="AN18" s="624"/>
      <c r="AO18" s="188">
        <v>12</v>
      </c>
      <c r="AP18" s="188">
        <v>3125.2595155709323</v>
      </c>
      <c r="AQ18" s="185">
        <f t="shared" si="22"/>
        <v>260.43829296424434</v>
      </c>
      <c r="AR18" s="182">
        <f t="shared" si="23"/>
        <v>28</v>
      </c>
      <c r="AS18" s="624"/>
      <c r="AT18" s="188">
        <v>12</v>
      </c>
      <c r="AU18" s="188">
        <v>3125.0201126307343</v>
      </c>
      <c r="AV18" s="185">
        <f t="shared" si="24"/>
        <v>260.41834271922784</v>
      </c>
      <c r="AW18" s="182">
        <f t="shared" si="25"/>
        <v>29</v>
      </c>
      <c r="AX18" s="624"/>
    </row>
    <row r="19" spans="2:50" ht="14.25" customHeight="1">
      <c r="B19" s="564"/>
      <c r="C19" s="180">
        <v>13</v>
      </c>
      <c r="D19" s="183" t="s">
        <v>516</v>
      </c>
      <c r="E19" s="184">
        <v>3</v>
      </c>
      <c r="F19" s="180">
        <v>3300</v>
      </c>
      <c r="G19" s="185">
        <f t="shared" si="12"/>
        <v>1100</v>
      </c>
      <c r="H19" s="625"/>
      <c r="I19" s="186">
        <f t="shared" si="13"/>
        <v>3</v>
      </c>
      <c r="J19" s="186">
        <f t="shared" si="13"/>
        <v>2962.0824562427224</v>
      </c>
      <c r="K19" s="187">
        <f t="shared" si="13"/>
        <v>987.36081874757417</v>
      </c>
      <c r="L19" s="626"/>
      <c r="M19" s="186">
        <f>RANK(K19, K$7:$K$39)</f>
        <v>8</v>
      </c>
      <c r="N19" s="631"/>
      <c r="O19" s="627"/>
      <c r="P19" s="188">
        <v>3</v>
      </c>
      <c r="Q19" s="188">
        <v>2959.7182478538434</v>
      </c>
      <c r="R19" s="185">
        <f t="shared" si="10"/>
        <v>986.57274928461447</v>
      </c>
      <c r="S19" s="182">
        <f t="shared" si="14"/>
        <v>8</v>
      </c>
      <c r="T19" s="624"/>
      <c r="U19" s="188">
        <v>3</v>
      </c>
      <c r="V19" s="188">
        <v>2959.9634369287041</v>
      </c>
      <c r="W19" s="185">
        <f t="shared" si="11"/>
        <v>986.65447897623471</v>
      </c>
      <c r="X19" s="182">
        <f t="shared" si="15"/>
        <v>8</v>
      </c>
      <c r="Y19" s="624"/>
      <c r="Z19" s="188">
        <v>3</v>
      </c>
      <c r="AA19" s="188">
        <v>2959.4619382451851</v>
      </c>
      <c r="AB19" s="185">
        <f t="shared" si="16"/>
        <v>986.48731274839508</v>
      </c>
      <c r="AC19" s="182">
        <f t="shared" si="17"/>
        <v>8</v>
      </c>
      <c r="AD19" s="624"/>
      <c r="AE19" s="188">
        <v>3</v>
      </c>
      <c r="AF19" s="188">
        <v>2963.3039092055451</v>
      </c>
      <c r="AG19" s="185">
        <f t="shared" si="18"/>
        <v>987.76796973518174</v>
      </c>
      <c r="AH19" s="182">
        <f t="shared" si="19"/>
        <v>8</v>
      </c>
      <c r="AI19" s="624"/>
      <c r="AJ19" s="188">
        <v>3</v>
      </c>
      <c r="AK19" s="188">
        <v>2964.0039774610541</v>
      </c>
      <c r="AL19" s="185">
        <f t="shared" si="20"/>
        <v>988.00132582035133</v>
      </c>
      <c r="AM19" s="182">
        <f t="shared" si="21"/>
        <v>8</v>
      </c>
      <c r="AN19" s="624"/>
      <c r="AO19" s="188">
        <v>3</v>
      </c>
      <c r="AP19" s="188">
        <v>2964.2302980808486</v>
      </c>
      <c r="AQ19" s="185">
        <f t="shared" si="22"/>
        <v>988.07676602694949</v>
      </c>
      <c r="AR19" s="182">
        <f t="shared" si="23"/>
        <v>8</v>
      </c>
      <c r="AS19" s="624"/>
      <c r="AT19" s="188">
        <v>3</v>
      </c>
      <c r="AU19" s="188">
        <v>2963.8953859238786</v>
      </c>
      <c r="AV19" s="185">
        <f t="shared" si="24"/>
        <v>987.96512864129284</v>
      </c>
      <c r="AW19" s="182">
        <f t="shared" si="25"/>
        <v>8</v>
      </c>
      <c r="AX19" s="624"/>
    </row>
    <row r="20" spans="2:50" ht="14.25" customHeight="1">
      <c r="B20" s="564"/>
      <c r="C20" s="180">
        <v>14</v>
      </c>
      <c r="D20" s="183" t="s">
        <v>546</v>
      </c>
      <c r="E20" s="184">
        <v>5</v>
      </c>
      <c r="F20" s="180">
        <v>3300</v>
      </c>
      <c r="G20" s="185">
        <f t="shared" si="12"/>
        <v>660</v>
      </c>
      <c r="H20" s="625"/>
      <c r="I20" s="186">
        <f t="shared" si="13"/>
        <v>5</v>
      </c>
      <c r="J20" s="186">
        <f t="shared" si="13"/>
        <v>2961.9073064467134</v>
      </c>
      <c r="K20" s="187">
        <f t="shared" si="13"/>
        <v>592.38146128934284</v>
      </c>
      <c r="L20" s="626"/>
      <c r="M20" s="186">
        <f>RANK(K20, K$7:$K$39)</f>
        <v>27</v>
      </c>
      <c r="N20" s="631"/>
      <c r="O20" s="627"/>
      <c r="P20" s="188">
        <v>5</v>
      </c>
      <c r="Q20" s="188">
        <v>2960.3305785123962</v>
      </c>
      <c r="R20" s="185">
        <f t="shared" si="10"/>
        <v>592.06611570247924</v>
      </c>
      <c r="S20" s="182">
        <f t="shared" si="14"/>
        <v>26</v>
      </c>
      <c r="T20" s="624"/>
      <c r="U20" s="188">
        <v>5</v>
      </c>
      <c r="V20" s="188">
        <v>2959.9999999999968</v>
      </c>
      <c r="W20" s="185">
        <f t="shared" si="11"/>
        <v>591.99999999999932</v>
      </c>
      <c r="X20" s="182">
        <f t="shared" si="15"/>
        <v>26</v>
      </c>
      <c r="Y20" s="624"/>
      <c r="Z20" s="188">
        <v>5</v>
      </c>
      <c r="AA20" s="188">
        <v>2959.8103141671577</v>
      </c>
      <c r="AB20" s="185">
        <f t="shared" si="16"/>
        <v>591.96206283343156</v>
      </c>
      <c r="AC20" s="182">
        <f t="shared" si="17"/>
        <v>26</v>
      </c>
      <c r="AD20" s="624"/>
      <c r="AE20" s="188">
        <v>5</v>
      </c>
      <c r="AF20" s="188">
        <v>2962.8318584070807</v>
      </c>
      <c r="AG20" s="185">
        <f t="shared" si="18"/>
        <v>592.56637168141617</v>
      </c>
      <c r="AH20" s="182">
        <f t="shared" si="19"/>
        <v>26</v>
      </c>
      <c r="AI20" s="624"/>
      <c r="AJ20" s="188">
        <v>5</v>
      </c>
      <c r="AK20" s="188">
        <v>2963.4293369055558</v>
      </c>
      <c r="AL20" s="185">
        <f t="shared" si="20"/>
        <v>592.68586738111117</v>
      </c>
      <c r="AM20" s="182">
        <f t="shared" si="21"/>
        <v>26</v>
      </c>
      <c r="AN20" s="624"/>
      <c r="AO20" s="188">
        <v>5</v>
      </c>
      <c r="AP20" s="188">
        <v>2963.3126934984489</v>
      </c>
      <c r="AQ20" s="185">
        <f t="shared" si="22"/>
        <v>592.66253869968978</v>
      </c>
      <c r="AR20" s="182">
        <f t="shared" si="23"/>
        <v>26</v>
      </c>
      <c r="AS20" s="624"/>
      <c r="AT20" s="188">
        <v>5</v>
      </c>
      <c r="AU20" s="188">
        <v>2963.6363636363608</v>
      </c>
      <c r="AV20" s="185">
        <f t="shared" si="24"/>
        <v>592.72727272727218</v>
      </c>
      <c r="AW20" s="182">
        <f t="shared" si="25"/>
        <v>27</v>
      </c>
      <c r="AX20" s="624"/>
    </row>
    <row r="21" spans="2:50" ht="14.25" customHeight="1">
      <c r="B21" s="564"/>
      <c r="C21" s="180">
        <v>15</v>
      </c>
      <c r="D21" s="183" t="s">
        <v>415</v>
      </c>
      <c r="E21" s="184">
        <v>4</v>
      </c>
      <c r="F21" s="180">
        <v>3300</v>
      </c>
      <c r="G21" s="185">
        <f t="shared" si="12"/>
        <v>825</v>
      </c>
      <c r="H21" s="625"/>
      <c r="I21" s="186">
        <f t="shared" si="13"/>
        <v>4</v>
      </c>
      <c r="J21" s="186">
        <f t="shared" si="13"/>
        <v>2961.6347281407147</v>
      </c>
      <c r="K21" s="187">
        <f t="shared" si="13"/>
        <v>740.40868203517869</v>
      </c>
      <c r="L21" s="626"/>
      <c r="M21" s="186">
        <f>RANK(K21, K$7:$K$39)</f>
        <v>17</v>
      </c>
      <c r="N21" s="631"/>
      <c r="O21" s="627"/>
      <c r="P21" s="188">
        <v>4</v>
      </c>
      <c r="Q21" s="188">
        <v>2960.6469002695412</v>
      </c>
      <c r="R21" s="185">
        <f t="shared" si="10"/>
        <v>740.16172506738531</v>
      </c>
      <c r="S21" s="182">
        <f t="shared" si="14"/>
        <v>17</v>
      </c>
      <c r="T21" s="624"/>
      <c r="U21" s="188">
        <v>4</v>
      </c>
      <c r="V21" s="188">
        <v>2960.6853438295921</v>
      </c>
      <c r="W21" s="185">
        <f t="shared" si="11"/>
        <v>740.17133595739801</v>
      </c>
      <c r="X21" s="182">
        <f t="shared" si="15"/>
        <v>17</v>
      </c>
      <c r="Y21" s="624"/>
      <c r="Z21" s="188">
        <v>4</v>
      </c>
      <c r="AA21" s="188">
        <v>2960.7822954194544</v>
      </c>
      <c r="AB21" s="185">
        <f t="shared" si="16"/>
        <v>740.1955738548636</v>
      </c>
      <c r="AC21" s="182">
        <f t="shared" si="17"/>
        <v>17</v>
      </c>
      <c r="AD21" s="624"/>
      <c r="AE21" s="188">
        <v>4</v>
      </c>
      <c r="AF21" s="188">
        <v>2962.450066577896</v>
      </c>
      <c r="AG21" s="185">
        <f t="shared" si="18"/>
        <v>740.612516644474</v>
      </c>
      <c r="AH21" s="182">
        <f t="shared" si="19"/>
        <v>16</v>
      </c>
      <c r="AI21" s="624"/>
      <c r="AJ21" s="188">
        <v>4</v>
      </c>
      <c r="AK21" s="188">
        <v>2962.3081110506259</v>
      </c>
      <c r="AL21" s="185">
        <f t="shared" si="20"/>
        <v>740.57702776265648</v>
      </c>
      <c r="AM21" s="182">
        <f t="shared" si="21"/>
        <v>17</v>
      </c>
      <c r="AN21" s="624"/>
      <c r="AO21" s="188">
        <v>4</v>
      </c>
      <c r="AP21" s="188">
        <v>2962.299020513768</v>
      </c>
      <c r="AQ21" s="185">
        <f t="shared" si="22"/>
        <v>740.57475512844201</v>
      </c>
      <c r="AR21" s="182">
        <f t="shared" si="23"/>
        <v>17</v>
      </c>
      <c r="AS21" s="624"/>
      <c r="AT21" s="188">
        <v>4</v>
      </c>
      <c r="AU21" s="188">
        <v>2962.2713593241238</v>
      </c>
      <c r="AV21" s="185">
        <f t="shared" si="24"/>
        <v>740.56783983103094</v>
      </c>
      <c r="AW21" s="182">
        <f t="shared" si="25"/>
        <v>17</v>
      </c>
      <c r="AX21" s="624"/>
    </row>
    <row r="22" spans="2:50" ht="14.25" customHeight="1">
      <c r="B22" s="564"/>
      <c r="C22" s="180">
        <v>16</v>
      </c>
      <c r="D22" s="183" t="s">
        <v>414</v>
      </c>
      <c r="E22" s="184">
        <v>3</v>
      </c>
      <c r="F22" s="180">
        <v>3600</v>
      </c>
      <c r="G22" s="185">
        <f t="shared" si="12"/>
        <v>1200</v>
      </c>
      <c r="H22" s="625"/>
      <c r="I22" s="186">
        <f t="shared" si="13"/>
        <v>3</v>
      </c>
      <c r="J22" s="186">
        <f t="shared" si="13"/>
        <v>3145.717812662132</v>
      </c>
      <c r="K22" s="187">
        <f t="shared" si="13"/>
        <v>1048.5726042207104</v>
      </c>
      <c r="L22" s="626"/>
      <c r="M22" s="186">
        <f>RANK(K22, K$7:$K$39)</f>
        <v>2</v>
      </c>
      <c r="N22" s="631"/>
      <c r="O22" s="627"/>
      <c r="P22" s="188">
        <v>3</v>
      </c>
      <c r="Q22" s="188">
        <v>3141.0357683506836</v>
      </c>
      <c r="R22" s="185">
        <f t="shared" si="10"/>
        <v>1047.0119227835612</v>
      </c>
      <c r="S22" s="182">
        <f t="shared" si="14"/>
        <v>5</v>
      </c>
      <c r="T22" s="624"/>
      <c r="U22" s="188">
        <v>3</v>
      </c>
      <c r="V22" s="188">
        <v>3141.4594514717874</v>
      </c>
      <c r="W22" s="185">
        <f t="shared" si="11"/>
        <v>1047.1531504905959</v>
      </c>
      <c r="X22" s="182">
        <f t="shared" si="15"/>
        <v>5</v>
      </c>
      <c r="Y22" s="624"/>
      <c r="Z22" s="188">
        <v>3</v>
      </c>
      <c r="AA22" s="188">
        <v>3141.6975788249374</v>
      </c>
      <c r="AB22" s="185">
        <f t="shared" si="16"/>
        <v>1047.2325262749791</v>
      </c>
      <c r="AC22" s="182">
        <f t="shared" si="17"/>
        <v>5</v>
      </c>
      <c r="AD22" s="624"/>
      <c r="AE22" s="188">
        <v>3</v>
      </c>
      <c r="AF22" s="188">
        <v>3147.4406423558403</v>
      </c>
      <c r="AG22" s="185">
        <f t="shared" si="18"/>
        <v>1049.14688078528</v>
      </c>
      <c r="AH22" s="182">
        <f t="shared" si="19"/>
        <v>2</v>
      </c>
      <c r="AI22" s="624"/>
      <c r="AJ22" s="188">
        <v>3</v>
      </c>
      <c r="AK22" s="188">
        <v>3149.1798247910442</v>
      </c>
      <c r="AL22" s="185">
        <f t="shared" si="20"/>
        <v>1049.7266082636813</v>
      </c>
      <c r="AM22" s="182">
        <f t="shared" si="21"/>
        <v>2</v>
      </c>
      <c r="AN22" s="624"/>
      <c r="AO22" s="188">
        <v>3</v>
      </c>
      <c r="AP22" s="188">
        <v>3149.3933603934602</v>
      </c>
      <c r="AQ22" s="185">
        <f t="shared" si="22"/>
        <v>1049.79778679782</v>
      </c>
      <c r="AR22" s="182">
        <f t="shared" si="23"/>
        <v>2</v>
      </c>
      <c r="AS22" s="624"/>
      <c r="AT22" s="188">
        <v>3</v>
      </c>
      <c r="AU22" s="188">
        <v>3149.8180624471702</v>
      </c>
      <c r="AV22" s="185">
        <f t="shared" si="24"/>
        <v>1049.9393541490567</v>
      </c>
      <c r="AW22" s="182">
        <f t="shared" si="25"/>
        <v>2</v>
      </c>
      <c r="AX22" s="624"/>
    </row>
    <row r="23" spans="2:50" ht="14.25" customHeight="1">
      <c r="B23" s="564"/>
      <c r="C23" s="180">
        <v>17</v>
      </c>
      <c r="D23" s="183" t="s">
        <v>416</v>
      </c>
      <c r="E23" s="184">
        <v>4</v>
      </c>
      <c r="F23" s="180">
        <v>3300</v>
      </c>
      <c r="G23" s="185">
        <f t="shared" si="12"/>
        <v>825</v>
      </c>
      <c r="H23" s="625"/>
      <c r="I23" s="186">
        <f t="shared" si="13"/>
        <v>4</v>
      </c>
      <c r="J23" s="186">
        <f t="shared" si="13"/>
        <v>2964.8745759425396</v>
      </c>
      <c r="K23" s="187">
        <f t="shared" si="13"/>
        <v>741.21864398563491</v>
      </c>
      <c r="L23" s="626"/>
      <c r="M23" s="186">
        <f>RANK(K23, K$7:$K$39)</f>
        <v>14</v>
      </c>
      <c r="N23" s="631"/>
      <c r="O23" s="627"/>
      <c r="P23" s="188">
        <v>4</v>
      </c>
      <c r="Q23" s="188">
        <v>2964.4808743169383</v>
      </c>
      <c r="R23" s="185">
        <f t="shared" si="10"/>
        <v>741.12021857923457</v>
      </c>
      <c r="S23" s="182">
        <f t="shared" si="14"/>
        <v>14</v>
      </c>
      <c r="T23" s="624"/>
      <c r="U23" s="188">
        <v>4</v>
      </c>
      <c r="V23" s="188">
        <v>2964.6716273050788</v>
      </c>
      <c r="W23" s="185">
        <f t="shared" si="11"/>
        <v>741.1679068262697</v>
      </c>
      <c r="X23" s="182">
        <f t="shared" si="15"/>
        <v>14</v>
      </c>
      <c r="Y23" s="624"/>
      <c r="Z23" s="188">
        <v>4</v>
      </c>
      <c r="AA23" s="188">
        <v>2964.6250715512283</v>
      </c>
      <c r="AB23" s="185">
        <f t="shared" si="16"/>
        <v>741.15626788780708</v>
      </c>
      <c r="AC23" s="182">
        <f t="shared" si="17"/>
        <v>14</v>
      </c>
      <c r="AD23" s="624"/>
      <c r="AE23" s="188">
        <v>4</v>
      </c>
      <c r="AF23" s="188">
        <v>2964.8734177215183</v>
      </c>
      <c r="AG23" s="185">
        <f t="shared" si="18"/>
        <v>741.21835443037958</v>
      </c>
      <c r="AH23" s="182">
        <f t="shared" si="19"/>
        <v>14</v>
      </c>
      <c r="AI23" s="624"/>
      <c r="AJ23" s="188">
        <v>4</v>
      </c>
      <c r="AK23" s="188">
        <v>2964.8464730290461</v>
      </c>
      <c r="AL23" s="185">
        <f t="shared" si="20"/>
        <v>741.21161825726153</v>
      </c>
      <c r="AM23" s="182">
        <f t="shared" si="21"/>
        <v>14</v>
      </c>
      <c r="AN23" s="624"/>
      <c r="AO23" s="188">
        <v>4</v>
      </c>
      <c r="AP23" s="188">
        <v>2965.1601830663649</v>
      </c>
      <c r="AQ23" s="185">
        <f t="shared" si="22"/>
        <v>741.29004576659122</v>
      </c>
      <c r="AR23" s="182">
        <f t="shared" si="23"/>
        <v>14</v>
      </c>
      <c r="AS23" s="624"/>
      <c r="AT23" s="188">
        <v>4</v>
      </c>
      <c r="AU23" s="188">
        <v>2965.4643846076024</v>
      </c>
      <c r="AV23" s="185">
        <f t="shared" si="24"/>
        <v>741.36609615190059</v>
      </c>
      <c r="AW23" s="182">
        <f t="shared" si="25"/>
        <v>14</v>
      </c>
      <c r="AX23" s="624"/>
    </row>
    <row r="24" spans="2:50" ht="14.25" customHeight="1">
      <c r="B24" s="564"/>
      <c r="C24" s="180">
        <v>18</v>
      </c>
      <c r="D24" s="183" t="s">
        <v>348</v>
      </c>
      <c r="E24" s="184">
        <v>5</v>
      </c>
      <c r="F24" s="180">
        <v>3300</v>
      </c>
      <c r="G24" s="185">
        <f t="shared" si="12"/>
        <v>660</v>
      </c>
      <c r="H24" s="625"/>
      <c r="I24" s="186">
        <f t="shared" si="13"/>
        <v>5</v>
      </c>
      <c r="J24" s="186">
        <f t="shared" si="13"/>
        <v>2966.8362262437013</v>
      </c>
      <c r="K24" s="187">
        <f t="shared" si="13"/>
        <v>593.36724524874023</v>
      </c>
      <c r="L24" s="626"/>
      <c r="M24" s="186">
        <f>RANK(K24, K$7:$K$39)</f>
        <v>26</v>
      </c>
      <c r="N24" s="631"/>
      <c r="O24" s="627"/>
      <c r="P24" s="188">
        <v>5</v>
      </c>
      <c r="Q24" s="188">
        <v>2966.0583941605964</v>
      </c>
      <c r="R24" s="185">
        <f t="shared" si="10"/>
        <v>593.21167883211933</v>
      </c>
      <c r="S24" s="182">
        <f t="shared" si="14"/>
        <v>25</v>
      </c>
      <c r="T24" s="624"/>
      <c r="U24" s="188">
        <v>5</v>
      </c>
      <c r="V24" s="188">
        <v>2966.7513980681333</v>
      </c>
      <c r="W24" s="185">
        <f t="shared" si="11"/>
        <v>593.35027961362664</v>
      </c>
      <c r="X24" s="182">
        <f t="shared" si="15"/>
        <v>24</v>
      </c>
      <c r="Y24" s="624"/>
      <c r="Z24" s="188">
        <v>5</v>
      </c>
      <c r="AA24" s="188">
        <v>2966.0249150622858</v>
      </c>
      <c r="AB24" s="185">
        <f t="shared" si="16"/>
        <v>593.20498301245721</v>
      </c>
      <c r="AC24" s="182">
        <f t="shared" si="17"/>
        <v>25</v>
      </c>
      <c r="AD24" s="624"/>
      <c r="AE24" s="188">
        <v>5</v>
      </c>
      <c r="AF24" s="188">
        <v>2967.0329670329697</v>
      </c>
      <c r="AG24" s="185">
        <f t="shared" si="18"/>
        <v>593.40659340659397</v>
      </c>
      <c r="AH24" s="182">
        <f t="shared" si="19"/>
        <v>25</v>
      </c>
      <c r="AI24" s="624"/>
      <c r="AJ24" s="188">
        <v>5</v>
      </c>
      <c r="AK24" s="188">
        <v>2967.326732673273</v>
      </c>
      <c r="AL24" s="185">
        <f t="shared" si="20"/>
        <v>593.4653465346546</v>
      </c>
      <c r="AM24" s="182">
        <f t="shared" si="21"/>
        <v>25</v>
      </c>
      <c r="AN24" s="624"/>
      <c r="AO24" s="188">
        <v>5</v>
      </c>
      <c r="AP24" s="188">
        <v>2967.1378091872762</v>
      </c>
      <c r="AQ24" s="185">
        <f t="shared" si="22"/>
        <v>593.42756183745519</v>
      </c>
      <c r="AR24" s="182">
        <f t="shared" si="23"/>
        <v>24</v>
      </c>
      <c r="AS24" s="624"/>
      <c r="AT24" s="188">
        <v>5</v>
      </c>
      <c r="AU24" s="188">
        <v>2967.5213675213763</v>
      </c>
      <c r="AV24" s="185">
        <f t="shared" si="24"/>
        <v>593.50427350427526</v>
      </c>
      <c r="AW24" s="182">
        <f t="shared" si="25"/>
        <v>25</v>
      </c>
      <c r="AX24" s="624"/>
    </row>
    <row r="25" spans="2:50" ht="14.25" customHeight="1">
      <c r="B25" s="564"/>
      <c r="C25" s="180">
        <v>19</v>
      </c>
      <c r="D25" s="183" t="s">
        <v>409</v>
      </c>
      <c r="E25" s="184">
        <v>3</v>
      </c>
      <c r="F25" s="180">
        <v>3600</v>
      </c>
      <c r="G25" s="185">
        <f t="shared" si="12"/>
        <v>1200</v>
      </c>
      <c r="H25" s="625"/>
      <c r="I25" s="186">
        <f t="shared" si="13"/>
        <v>3</v>
      </c>
      <c r="J25" s="186">
        <f t="shared" si="13"/>
        <v>3145.4611046663422</v>
      </c>
      <c r="K25" s="187">
        <f t="shared" si="13"/>
        <v>1048.487034888781</v>
      </c>
      <c r="L25" s="626"/>
      <c r="M25" s="186">
        <f>RANK(K25, K$7:$K$39)</f>
        <v>3</v>
      </c>
      <c r="N25" s="631"/>
      <c r="O25" s="627"/>
      <c r="P25" s="188">
        <v>3</v>
      </c>
      <c r="Q25" s="188">
        <v>3142.3734019041704</v>
      </c>
      <c r="R25" s="185">
        <f t="shared" si="10"/>
        <v>1047.4578006347235</v>
      </c>
      <c r="S25" s="182">
        <f t="shared" si="14"/>
        <v>4</v>
      </c>
      <c r="T25" s="624"/>
      <c r="U25" s="188">
        <v>3</v>
      </c>
      <c r="V25" s="188">
        <v>3142.3662647695519</v>
      </c>
      <c r="W25" s="185">
        <f t="shared" si="11"/>
        <v>1047.4554215898506</v>
      </c>
      <c r="X25" s="182">
        <f t="shared" si="15"/>
        <v>4</v>
      </c>
      <c r="Y25" s="624"/>
      <c r="Z25" s="188">
        <v>3</v>
      </c>
      <c r="AA25" s="188">
        <v>3145.8715596330262</v>
      </c>
      <c r="AB25" s="185">
        <f t="shared" si="16"/>
        <v>1048.6238532110087</v>
      </c>
      <c r="AC25" s="182">
        <f t="shared" si="17"/>
        <v>2</v>
      </c>
      <c r="AD25" s="624"/>
      <c r="AE25" s="188">
        <v>3</v>
      </c>
      <c r="AF25" s="188">
        <v>3146.5809468147277</v>
      </c>
      <c r="AG25" s="185">
        <f t="shared" si="18"/>
        <v>1048.8603156049091</v>
      </c>
      <c r="AH25" s="182">
        <f t="shared" si="19"/>
        <v>4</v>
      </c>
      <c r="AI25" s="624"/>
      <c r="AJ25" s="188">
        <v>3</v>
      </c>
      <c r="AK25" s="188">
        <v>3146.8373476929137</v>
      </c>
      <c r="AL25" s="185">
        <f t="shared" si="20"/>
        <v>1048.9457825643046</v>
      </c>
      <c r="AM25" s="182">
        <f t="shared" si="21"/>
        <v>4</v>
      </c>
      <c r="AN25" s="624"/>
      <c r="AO25" s="188">
        <v>3</v>
      </c>
      <c r="AP25" s="188">
        <v>3147.0626670626716</v>
      </c>
      <c r="AQ25" s="185">
        <f t="shared" si="22"/>
        <v>1049.0208890208905</v>
      </c>
      <c r="AR25" s="182">
        <f t="shared" si="23"/>
        <v>4</v>
      </c>
      <c r="AS25" s="624"/>
      <c r="AT25" s="188">
        <v>3</v>
      </c>
      <c r="AU25" s="188">
        <v>3147.1355447873375</v>
      </c>
      <c r="AV25" s="185">
        <f t="shared" si="24"/>
        <v>1049.0451815957792</v>
      </c>
      <c r="AW25" s="182">
        <f t="shared" si="25"/>
        <v>4</v>
      </c>
      <c r="AX25" s="624"/>
    </row>
    <row r="26" spans="2:50" ht="14.25" customHeight="1">
      <c r="B26" s="564"/>
      <c r="C26" s="180">
        <v>20</v>
      </c>
      <c r="D26" s="183" t="s">
        <v>413</v>
      </c>
      <c r="E26" s="184">
        <v>3</v>
      </c>
      <c r="F26" s="180">
        <v>3600</v>
      </c>
      <c r="G26" s="185">
        <f t="shared" si="12"/>
        <v>1200</v>
      </c>
      <c r="H26" s="625"/>
      <c r="I26" s="186">
        <f t="shared" si="13"/>
        <v>3</v>
      </c>
      <c r="J26" s="186">
        <f t="shared" si="13"/>
        <v>3151.5025959857621</v>
      </c>
      <c r="K26" s="187">
        <f t="shared" si="13"/>
        <v>1050.5008653285875</v>
      </c>
      <c r="L26" s="626"/>
      <c r="M26" s="186">
        <f>RANK(K26, K$7:$K$39)</f>
        <v>1</v>
      </c>
      <c r="N26" s="631"/>
      <c r="O26" s="627"/>
      <c r="P26" s="188">
        <v>3</v>
      </c>
      <c r="Q26" s="188">
        <v>3148.2071713147502</v>
      </c>
      <c r="R26" s="185">
        <f t="shared" si="10"/>
        <v>1049.40239043825</v>
      </c>
      <c r="S26" s="182">
        <f t="shared" si="14"/>
        <v>1</v>
      </c>
      <c r="T26" s="624"/>
      <c r="U26" s="188">
        <v>3</v>
      </c>
      <c r="V26" s="188">
        <v>3149.3129770992441</v>
      </c>
      <c r="W26" s="185">
        <f t="shared" si="11"/>
        <v>1049.7709923664147</v>
      </c>
      <c r="X26" s="182">
        <f t="shared" si="15"/>
        <v>1</v>
      </c>
      <c r="Y26" s="624"/>
      <c r="Z26" s="188">
        <v>3</v>
      </c>
      <c r="AA26" s="188">
        <v>3149.9999999999941</v>
      </c>
      <c r="AB26" s="185">
        <f t="shared" si="16"/>
        <v>1049.999999999998</v>
      </c>
      <c r="AC26" s="182">
        <f t="shared" si="17"/>
        <v>1</v>
      </c>
      <c r="AD26" s="624"/>
      <c r="AE26" s="188">
        <v>3</v>
      </c>
      <c r="AF26" s="188">
        <v>3152.4680073126101</v>
      </c>
      <c r="AG26" s="185">
        <f t="shared" si="18"/>
        <v>1050.8226691042034</v>
      </c>
      <c r="AH26" s="182">
        <f t="shared" si="19"/>
        <v>1</v>
      </c>
      <c r="AI26" s="624"/>
      <c r="AJ26" s="188">
        <v>3</v>
      </c>
      <c r="AK26" s="188">
        <v>3153.2097004279708</v>
      </c>
      <c r="AL26" s="185">
        <f t="shared" si="20"/>
        <v>1051.0699001426569</v>
      </c>
      <c r="AM26" s="182">
        <f t="shared" si="21"/>
        <v>1</v>
      </c>
      <c r="AN26" s="624"/>
      <c r="AO26" s="188">
        <v>3</v>
      </c>
      <c r="AP26" s="188">
        <v>3153.1034482758746</v>
      </c>
      <c r="AQ26" s="185">
        <f t="shared" si="22"/>
        <v>1051.0344827586248</v>
      </c>
      <c r="AR26" s="182">
        <f t="shared" si="23"/>
        <v>1</v>
      </c>
      <c r="AS26" s="624"/>
      <c r="AT26" s="188">
        <v>3</v>
      </c>
      <c r="AU26" s="188">
        <v>3154.2168674698928</v>
      </c>
      <c r="AV26" s="185">
        <f t="shared" si="24"/>
        <v>1051.4056224899643</v>
      </c>
      <c r="AW26" s="182">
        <f t="shared" si="25"/>
        <v>1</v>
      </c>
      <c r="AX26" s="624"/>
    </row>
    <row r="27" spans="2:50" ht="14.25" customHeight="1">
      <c r="B27" s="564"/>
      <c r="C27" s="180">
        <v>21</v>
      </c>
      <c r="D27" s="183" t="s">
        <v>412</v>
      </c>
      <c r="E27" s="184">
        <v>4</v>
      </c>
      <c r="F27" s="180">
        <v>3300</v>
      </c>
      <c r="G27" s="185">
        <f t="shared" si="12"/>
        <v>825</v>
      </c>
      <c r="H27" s="625"/>
      <c r="I27" s="186">
        <f t="shared" si="13"/>
        <v>4</v>
      </c>
      <c r="J27" s="186">
        <f t="shared" si="13"/>
        <v>2932.7637704402555</v>
      </c>
      <c r="K27" s="187">
        <f t="shared" si="13"/>
        <v>733.19094261006387</v>
      </c>
      <c r="L27" s="626"/>
      <c r="M27" s="186">
        <f>RANK(K27, K$7:$K$39)</f>
        <v>21</v>
      </c>
      <c r="N27" s="631"/>
      <c r="O27" s="627"/>
      <c r="P27" s="188">
        <v>4</v>
      </c>
      <c r="Q27" s="188">
        <v>2931.4674735249541</v>
      </c>
      <c r="R27" s="185">
        <f t="shared" si="10"/>
        <v>732.86686838123853</v>
      </c>
      <c r="S27" s="182">
        <f t="shared" si="14"/>
        <v>20</v>
      </c>
      <c r="T27" s="624"/>
      <c r="U27" s="188">
        <v>4</v>
      </c>
      <c r="V27" s="188">
        <v>2931.958762886602</v>
      </c>
      <c r="W27" s="185">
        <f t="shared" si="11"/>
        <v>732.9896907216505</v>
      </c>
      <c r="X27" s="182">
        <f t="shared" si="15"/>
        <v>20</v>
      </c>
      <c r="Y27" s="624"/>
      <c r="Z27" s="188">
        <v>4</v>
      </c>
      <c r="AA27" s="188">
        <v>2932.0754716981119</v>
      </c>
      <c r="AB27" s="185">
        <f t="shared" si="16"/>
        <v>733.01886792452797</v>
      </c>
      <c r="AC27" s="182">
        <f t="shared" si="17"/>
        <v>21</v>
      </c>
      <c r="AD27" s="624"/>
      <c r="AE27" s="188">
        <v>4</v>
      </c>
      <c r="AF27" s="188">
        <v>2933.052631578938</v>
      </c>
      <c r="AG27" s="185">
        <f t="shared" si="18"/>
        <v>733.26315789473449</v>
      </c>
      <c r="AH27" s="182">
        <f t="shared" si="19"/>
        <v>21</v>
      </c>
      <c r="AI27" s="624"/>
      <c r="AJ27" s="188">
        <v>4</v>
      </c>
      <c r="AK27" s="188">
        <v>2932.8931077177076</v>
      </c>
      <c r="AL27" s="185">
        <f t="shared" si="20"/>
        <v>733.2232769294269</v>
      </c>
      <c r="AM27" s="182">
        <f t="shared" si="21"/>
        <v>21</v>
      </c>
      <c r="AN27" s="624"/>
      <c r="AO27" s="188">
        <v>4</v>
      </c>
      <c r="AP27" s="188">
        <v>2933.523945675483</v>
      </c>
      <c r="AQ27" s="185">
        <f t="shared" si="22"/>
        <v>733.38098641887075</v>
      </c>
      <c r="AR27" s="182">
        <f t="shared" si="23"/>
        <v>21</v>
      </c>
      <c r="AS27" s="624"/>
      <c r="AT27" s="188">
        <v>4</v>
      </c>
      <c r="AU27" s="188">
        <v>2934.3749999999918</v>
      </c>
      <c r="AV27" s="185">
        <f t="shared" si="24"/>
        <v>733.59374999999795</v>
      </c>
      <c r="AW27" s="182">
        <f t="shared" si="25"/>
        <v>20</v>
      </c>
      <c r="AX27" s="624"/>
    </row>
    <row r="28" spans="2:50" ht="14.25" customHeight="1">
      <c r="B28" s="564"/>
      <c r="C28" s="180">
        <v>22</v>
      </c>
      <c r="D28" s="183" t="s">
        <v>408</v>
      </c>
      <c r="E28" s="184">
        <v>4</v>
      </c>
      <c r="F28" s="180">
        <v>3300</v>
      </c>
      <c r="G28" s="185">
        <f>F28/E28</f>
        <v>825</v>
      </c>
      <c r="H28" s="625"/>
      <c r="I28" s="186">
        <f t="shared" si="13"/>
        <v>4</v>
      </c>
      <c r="J28" s="186">
        <f t="shared" si="13"/>
        <v>2934.9088899872909</v>
      </c>
      <c r="K28" s="187">
        <f t="shared" si="13"/>
        <v>733.72722249682272</v>
      </c>
      <c r="L28" s="626"/>
      <c r="M28" s="186">
        <f>RANK(K28, K$7:$K$39)</f>
        <v>18</v>
      </c>
      <c r="N28" s="631"/>
      <c r="O28" s="627"/>
      <c r="P28" s="188">
        <v>4</v>
      </c>
      <c r="Q28" s="188">
        <v>2934.7167694896284</v>
      </c>
      <c r="R28" s="185">
        <f t="shared" si="10"/>
        <v>733.6791923724071</v>
      </c>
      <c r="S28" s="182">
        <f t="shared" si="14"/>
        <v>18</v>
      </c>
      <c r="T28" s="624"/>
      <c r="U28" s="188">
        <v>4</v>
      </c>
      <c r="V28" s="188">
        <v>2934.2546890424528</v>
      </c>
      <c r="W28" s="185">
        <f t="shared" si="11"/>
        <v>733.5636722606132</v>
      </c>
      <c r="X28" s="182">
        <f t="shared" si="15"/>
        <v>18</v>
      </c>
      <c r="Y28" s="624"/>
      <c r="Z28" s="188">
        <v>4</v>
      </c>
      <c r="AA28" s="188">
        <v>2934.7680890537977</v>
      </c>
      <c r="AB28" s="185">
        <f t="shared" si="16"/>
        <v>733.69202226344942</v>
      </c>
      <c r="AC28" s="182">
        <f t="shared" si="17"/>
        <v>18</v>
      </c>
      <c r="AD28" s="624"/>
      <c r="AE28" s="188">
        <v>4</v>
      </c>
      <c r="AF28" s="188">
        <v>2935.0993377483414</v>
      </c>
      <c r="AG28" s="185">
        <f t="shared" si="18"/>
        <v>733.77483443708536</v>
      </c>
      <c r="AH28" s="182">
        <f t="shared" si="19"/>
        <v>18</v>
      </c>
      <c r="AI28" s="624"/>
      <c r="AJ28" s="188">
        <v>4</v>
      </c>
      <c r="AK28" s="188">
        <v>2935.7731015553572</v>
      </c>
      <c r="AL28" s="185">
        <f t="shared" si="20"/>
        <v>733.94327538883931</v>
      </c>
      <c r="AM28" s="182">
        <f t="shared" si="21"/>
        <v>18</v>
      </c>
      <c r="AN28" s="624"/>
      <c r="AO28" s="188">
        <v>4</v>
      </c>
      <c r="AP28" s="188">
        <v>2934.5692475463457</v>
      </c>
      <c r="AQ28" s="185">
        <f t="shared" si="22"/>
        <v>733.64231188658641</v>
      </c>
      <c r="AR28" s="182">
        <f t="shared" si="23"/>
        <v>19</v>
      </c>
      <c r="AS28" s="624"/>
      <c r="AT28" s="188">
        <v>4</v>
      </c>
      <c r="AU28" s="188">
        <v>2935.1809954751138</v>
      </c>
      <c r="AV28" s="185">
        <f t="shared" si="24"/>
        <v>733.79524886877846</v>
      </c>
      <c r="AW28" s="182">
        <f t="shared" si="25"/>
        <v>18</v>
      </c>
      <c r="AX28" s="624"/>
    </row>
    <row r="29" spans="2:50" ht="14.25" customHeight="1">
      <c r="B29" s="564"/>
      <c r="C29" s="180">
        <v>23</v>
      </c>
      <c r="D29" s="183" t="s">
        <v>411</v>
      </c>
      <c r="E29" s="184">
        <v>4</v>
      </c>
      <c r="F29" s="180">
        <v>3000</v>
      </c>
      <c r="G29" s="185">
        <f t="shared" ref="G29:G36" si="26">F29/E29</f>
        <v>750</v>
      </c>
      <c r="H29" s="625"/>
      <c r="I29" s="186">
        <f t="shared" si="13"/>
        <v>4</v>
      </c>
      <c r="J29" s="186">
        <f t="shared" si="13"/>
        <v>2695.0793928698135</v>
      </c>
      <c r="K29" s="187">
        <f t="shared" si="13"/>
        <v>673.76984821745339</v>
      </c>
      <c r="L29" s="626"/>
      <c r="M29" s="186">
        <f>RANK(K29, K$7:$K$39)</f>
        <v>22</v>
      </c>
      <c r="N29" s="631"/>
      <c r="O29" s="627"/>
      <c r="P29" s="188">
        <v>4</v>
      </c>
      <c r="Q29" s="188">
        <v>2695.2091254752936</v>
      </c>
      <c r="R29" s="185">
        <f t="shared" si="10"/>
        <v>673.8022813688234</v>
      </c>
      <c r="S29" s="182">
        <f t="shared" si="14"/>
        <v>22</v>
      </c>
      <c r="T29" s="624"/>
      <c r="U29" s="188">
        <v>4</v>
      </c>
      <c r="V29" s="188">
        <v>2694.5736434108544</v>
      </c>
      <c r="W29" s="185">
        <f t="shared" si="11"/>
        <v>673.6434108527136</v>
      </c>
      <c r="X29" s="182">
        <f t="shared" si="15"/>
        <v>22</v>
      </c>
      <c r="Y29" s="624"/>
      <c r="Z29" s="188">
        <v>4</v>
      </c>
      <c r="AA29" s="188">
        <v>2695.3499295443867</v>
      </c>
      <c r="AB29" s="185">
        <f t="shared" si="16"/>
        <v>673.83748238609667</v>
      </c>
      <c r="AC29" s="182">
        <f t="shared" si="17"/>
        <v>22</v>
      </c>
      <c r="AD29" s="624"/>
      <c r="AE29" s="188">
        <v>4</v>
      </c>
      <c r="AF29" s="188">
        <v>2694.9907235621581</v>
      </c>
      <c r="AG29" s="185">
        <f t="shared" si="18"/>
        <v>673.74768089053953</v>
      </c>
      <c r="AH29" s="182">
        <f t="shared" si="19"/>
        <v>22</v>
      </c>
      <c r="AI29" s="624"/>
      <c r="AJ29" s="188">
        <v>4</v>
      </c>
      <c r="AK29" s="188">
        <v>2695.2573976489675</v>
      </c>
      <c r="AL29" s="185">
        <f t="shared" si="20"/>
        <v>673.81434941224188</v>
      </c>
      <c r="AM29" s="182">
        <f t="shared" si="21"/>
        <v>22</v>
      </c>
      <c r="AN29" s="624"/>
      <c r="AO29" s="188">
        <v>4</v>
      </c>
      <c r="AP29" s="188">
        <v>2695.438088341778</v>
      </c>
      <c r="AQ29" s="185">
        <f t="shared" si="22"/>
        <v>673.8595220854445</v>
      </c>
      <c r="AR29" s="182">
        <f t="shared" si="23"/>
        <v>22</v>
      </c>
      <c r="AS29" s="624"/>
      <c r="AT29" s="188">
        <v>4</v>
      </c>
      <c r="AU29" s="188">
        <v>2694.7368421052547</v>
      </c>
      <c r="AV29" s="185">
        <f t="shared" si="24"/>
        <v>673.68421052631368</v>
      </c>
      <c r="AW29" s="182">
        <f t="shared" si="25"/>
        <v>22</v>
      </c>
      <c r="AX29" s="624"/>
    </row>
    <row r="30" spans="2:50" ht="14.25" customHeight="1">
      <c r="B30" s="564"/>
      <c r="C30" s="180">
        <v>24</v>
      </c>
      <c r="D30" s="183" t="s">
        <v>410</v>
      </c>
      <c r="E30" s="184">
        <v>4</v>
      </c>
      <c r="F30" s="180">
        <v>3300</v>
      </c>
      <c r="G30" s="185">
        <f t="shared" si="26"/>
        <v>825</v>
      </c>
      <c r="H30" s="625"/>
      <c r="I30" s="186">
        <f t="shared" si="13"/>
        <v>4</v>
      </c>
      <c r="J30" s="186">
        <f t="shared" si="13"/>
        <v>2965.9856921749124</v>
      </c>
      <c r="K30" s="187">
        <f t="shared" si="13"/>
        <v>741.4964230437281</v>
      </c>
      <c r="L30" s="626"/>
      <c r="M30" s="186">
        <f>RANK(K30, K$7:$K$39)</f>
        <v>13</v>
      </c>
      <c r="N30" s="631"/>
      <c r="O30" s="627"/>
      <c r="P30" s="188">
        <v>4</v>
      </c>
      <c r="Q30" s="188">
        <v>2964.4820295983063</v>
      </c>
      <c r="R30" s="185">
        <f t="shared" si="10"/>
        <v>741.12050739957658</v>
      </c>
      <c r="S30" s="182">
        <f t="shared" si="14"/>
        <v>13</v>
      </c>
      <c r="T30" s="624"/>
      <c r="U30" s="188">
        <v>4</v>
      </c>
      <c r="V30" s="188">
        <v>2965.7794676806134</v>
      </c>
      <c r="W30" s="185">
        <f t="shared" si="11"/>
        <v>741.44486692015334</v>
      </c>
      <c r="X30" s="182">
        <f t="shared" si="15"/>
        <v>13</v>
      </c>
      <c r="Y30" s="624"/>
      <c r="Z30" s="188">
        <v>4</v>
      </c>
      <c r="AA30" s="188">
        <v>2965.0393700787099</v>
      </c>
      <c r="AB30" s="185">
        <f t="shared" si="16"/>
        <v>741.25984251967748</v>
      </c>
      <c r="AC30" s="182">
        <f t="shared" si="17"/>
        <v>13</v>
      </c>
      <c r="AD30" s="624"/>
      <c r="AE30" s="188">
        <v>4</v>
      </c>
      <c r="AF30" s="188">
        <v>2966.0377358490405</v>
      </c>
      <c r="AG30" s="185">
        <f t="shared" si="18"/>
        <v>741.50943396226012</v>
      </c>
      <c r="AH30" s="182">
        <f t="shared" si="19"/>
        <v>13</v>
      </c>
      <c r="AI30" s="624"/>
      <c r="AJ30" s="188">
        <v>4</v>
      </c>
      <c r="AK30" s="188">
        <v>2967.3988439306436</v>
      </c>
      <c r="AL30" s="185">
        <f t="shared" si="20"/>
        <v>741.84971098266089</v>
      </c>
      <c r="AM30" s="182">
        <f t="shared" si="21"/>
        <v>12</v>
      </c>
      <c r="AN30" s="624"/>
      <c r="AO30" s="188">
        <v>4</v>
      </c>
      <c r="AP30" s="188">
        <v>2966.1721068249126</v>
      </c>
      <c r="AQ30" s="185">
        <f t="shared" si="22"/>
        <v>741.54302670622815</v>
      </c>
      <c r="AR30" s="182">
        <f t="shared" si="23"/>
        <v>13</v>
      </c>
      <c r="AS30" s="624"/>
      <c r="AT30" s="188">
        <v>4</v>
      </c>
      <c r="AU30" s="188">
        <v>2966.9902912621633</v>
      </c>
      <c r="AV30" s="185">
        <f t="shared" si="24"/>
        <v>741.74757281554082</v>
      </c>
      <c r="AW30" s="182">
        <f t="shared" si="25"/>
        <v>13</v>
      </c>
      <c r="AX30" s="624"/>
    </row>
    <row r="31" spans="2:50" ht="14.25" customHeight="1">
      <c r="B31" s="564"/>
      <c r="C31" s="180">
        <v>25</v>
      </c>
      <c r="D31" s="183" t="s">
        <v>472</v>
      </c>
      <c r="E31" s="184">
        <v>3</v>
      </c>
      <c r="F31" s="180">
        <v>3300</v>
      </c>
      <c r="G31" s="185">
        <f t="shared" si="26"/>
        <v>1100</v>
      </c>
      <c r="H31" s="625"/>
      <c r="I31" s="186">
        <f t="shared" si="13"/>
        <v>3</v>
      </c>
      <c r="J31" s="186">
        <f t="shared" si="13"/>
        <v>2967.6519330989481</v>
      </c>
      <c r="K31" s="187">
        <f t="shared" si="13"/>
        <v>989.21731103298282</v>
      </c>
      <c r="L31" s="626"/>
      <c r="M31" s="186">
        <f>RANK(K31, K$7:$K$39)</f>
        <v>7</v>
      </c>
      <c r="N31" s="631"/>
      <c r="O31" s="627"/>
      <c r="P31" s="188">
        <v>3</v>
      </c>
      <c r="Q31" s="188">
        <v>2965.1877133105859</v>
      </c>
      <c r="R31" s="185">
        <f t="shared" si="10"/>
        <v>988.395904436862</v>
      </c>
      <c r="S31" s="182">
        <f t="shared" si="14"/>
        <v>7</v>
      </c>
      <c r="T31" s="624"/>
      <c r="U31" s="188">
        <v>3</v>
      </c>
      <c r="V31" s="188">
        <v>2966.2650602409572</v>
      </c>
      <c r="W31" s="185">
        <f t="shared" si="11"/>
        <v>988.75502008031901</v>
      </c>
      <c r="X31" s="182">
        <f t="shared" si="15"/>
        <v>7</v>
      </c>
      <c r="Y31" s="624"/>
      <c r="Z31" s="188">
        <v>3</v>
      </c>
      <c r="AA31" s="188">
        <v>2966.9724770642133</v>
      </c>
      <c r="AB31" s="185">
        <f t="shared" si="16"/>
        <v>988.99082568807114</v>
      </c>
      <c r="AC31" s="182">
        <f t="shared" si="17"/>
        <v>7</v>
      </c>
      <c r="AD31" s="624"/>
      <c r="AE31" s="188">
        <v>3</v>
      </c>
      <c r="AF31" s="188">
        <v>2967.4922600619111</v>
      </c>
      <c r="AG31" s="185">
        <f t="shared" si="18"/>
        <v>989.16408668730367</v>
      </c>
      <c r="AH31" s="182">
        <f t="shared" si="19"/>
        <v>7</v>
      </c>
      <c r="AI31" s="624"/>
      <c r="AJ31" s="188">
        <v>3</v>
      </c>
      <c r="AK31" s="188">
        <v>2969.0721649484672</v>
      </c>
      <c r="AL31" s="185">
        <f t="shared" si="20"/>
        <v>989.69072164948909</v>
      </c>
      <c r="AM31" s="182">
        <f t="shared" si="21"/>
        <v>7</v>
      </c>
      <c r="AN31" s="624"/>
      <c r="AO31" s="188">
        <v>3</v>
      </c>
      <c r="AP31" s="188">
        <v>2969.1725256895497</v>
      </c>
      <c r="AQ31" s="185">
        <f t="shared" si="22"/>
        <v>989.72417522984995</v>
      </c>
      <c r="AR31" s="182">
        <f t="shared" si="23"/>
        <v>7</v>
      </c>
      <c r="AS31" s="624"/>
      <c r="AT31" s="188">
        <v>3</v>
      </c>
      <c r="AU31" s="188">
        <v>2969.4013303769548</v>
      </c>
      <c r="AV31" s="185">
        <f t="shared" si="24"/>
        <v>989.80044345898489</v>
      </c>
      <c r="AW31" s="182">
        <f t="shared" si="25"/>
        <v>7</v>
      </c>
      <c r="AX31" s="624"/>
    </row>
    <row r="32" spans="2:50" ht="14.25" customHeight="1">
      <c r="B32" s="564"/>
      <c r="C32" s="180">
        <v>26</v>
      </c>
      <c r="D32" s="183" t="s">
        <v>483</v>
      </c>
      <c r="E32" s="184">
        <v>4</v>
      </c>
      <c r="F32" s="180">
        <v>3000</v>
      </c>
      <c r="G32" s="185">
        <f t="shared" si="26"/>
        <v>750</v>
      </c>
      <c r="H32" s="625"/>
      <c r="I32" s="186">
        <f t="shared" si="13"/>
        <v>4</v>
      </c>
      <c r="J32" s="186">
        <f t="shared" si="13"/>
        <v>2674.0351726798567</v>
      </c>
      <c r="K32" s="187">
        <f t="shared" si="13"/>
        <v>668.50879316996418</v>
      </c>
      <c r="L32" s="626"/>
      <c r="M32" s="186">
        <f>RANK(K32, K$7:$K$39)</f>
        <v>23</v>
      </c>
      <c r="N32" s="631"/>
      <c r="O32" s="627"/>
      <c r="P32" s="188">
        <v>4</v>
      </c>
      <c r="Q32" s="188">
        <v>2673.8690074274145</v>
      </c>
      <c r="R32" s="185">
        <f t="shared" si="10"/>
        <v>668.46725185685364</v>
      </c>
      <c r="S32" s="182">
        <f t="shared" si="14"/>
        <v>23</v>
      </c>
      <c r="T32" s="624"/>
      <c r="U32" s="188">
        <v>4</v>
      </c>
      <c r="V32" s="188">
        <v>2673.7660318694207</v>
      </c>
      <c r="W32" s="185">
        <f t="shared" si="11"/>
        <v>668.44150796735516</v>
      </c>
      <c r="X32" s="182">
        <f t="shared" si="15"/>
        <v>23</v>
      </c>
      <c r="Y32" s="624"/>
      <c r="Z32" s="188">
        <v>4</v>
      </c>
      <c r="AA32" s="188">
        <v>2674.4206383909172</v>
      </c>
      <c r="AB32" s="185">
        <f t="shared" si="16"/>
        <v>668.60515959772931</v>
      </c>
      <c r="AC32" s="182">
        <f t="shared" si="17"/>
        <v>23</v>
      </c>
      <c r="AD32" s="624"/>
      <c r="AE32" s="188">
        <v>4</v>
      </c>
      <c r="AF32" s="188">
        <v>2673.9188586714349</v>
      </c>
      <c r="AG32" s="185">
        <f t="shared" si="18"/>
        <v>668.47971466785873</v>
      </c>
      <c r="AH32" s="182">
        <f t="shared" si="19"/>
        <v>23</v>
      </c>
      <c r="AI32" s="624"/>
      <c r="AJ32" s="188">
        <v>4</v>
      </c>
      <c r="AK32" s="188">
        <v>2674.3238236383913</v>
      </c>
      <c r="AL32" s="185">
        <f t="shared" si="20"/>
        <v>668.58095590959783</v>
      </c>
      <c r="AM32" s="182">
        <f t="shared" si="21"/>
        <v>23</v>
      </c>
      <c r="AN32" s="624"/>
      <c r="AO32" s="188">
        <v>4</v>
      </c>
      <c r="AP32" s="188">
        <v>2674.1851368970069</v>
      </c>
      <c r="AQ32" s="185">
        <f t="shared" si="22"/>
        <v>668.54628422425174</v>
      </c>
      <c r="AR32" s="182">
        <f t="shared" si="23"/>
        <v>23</v>
      </c>
      <c r="AS32" s="624"/>
      <c r="AT32" s="188">
        <v>4</v>
      </c>
      <c r="AU32" s="188">
        <v>2673.7627118644091</v>
      </c>
      <c r="AV32" s="185">
        <f t="shared" si="24"/>
        <v>668.44067796610227</v>
      </c>
      <c r="AW32" s="182">
        <f t="shared" si="25"/>
        <v>23</v>
      </c>
      <c r="AX32" s="624"/>
    </row>
    <row r="33" spans="1:50" ht="14.25" customHeight="1">
      <c r="B33" s="564"/>
      <c r="C33" s="180">
        <v>27</v>
      </c>
      <c r="D33" s="183" t="s">
        <v>508</v>
      </c>
      <c r="E33" s="184">
        <v>5</v>
      </c>
      <c r="F33" s="180">
        <v>3000</v>
      </c>
      <c r="G33" s="185">
        <f t="shared" si="26"/>
        <v>600</v>
      </c>
      <c r="H33" s="625"/>
      <c r="I33" s="186">
        <f t="shared" si="13"/>
        <v>5</v>
      </c>
      <c r="J33" s="186">
        <f t="shared" si="13"/>
        <v>2672.8639634656934</v>
      </c>
      <c r="K33" s="187">
        <f t="shared" si="13"/>
        <v>534.57279269313858</v>
      </c>
      <c r="L33" s="626"/>
      <c r="M33" s="186">
        <f>RANK(K33, K$7:$K$39)</f>
        <v>28</v>
      </c>
      <c r="N33" s="631"/>
      <c r="O33" s="627"/>
      <c r="P33" s="188">
        <v>5</v>
      </c>
      <c r="Q33" s="188">
        <v>2672.0229555236842</v>
      </c>
      <c r="R33" s="185">
        <f t="shared" si="10"/>
        <v>534.40459110473682</v>
      </c>
      <c r="S33" s="182">
        <f t="shared" si="14"/>
        <v>27</v>
      </c>
      <c r="T33" s="624"/>
      <c r="U33" s="188">
        <v>5</v>
      </c>
      <c r="V33" s="188">
        <v>2672.5704427832134</v>
      </c>
      <c r="W33" s="185">
        <f t="shared" si="11"/>
        <v>534.51408855664272</v>
      </c>
      <c r="X33" s="182">
        <f t="shared" si="15"/>
        <v>27</v>
      </c>
      <c r="Y33" s="624"/>
      <c r="Z33" s="188">
        <v>5</v>
      </c>
      <c r="AA33" s="188">
        <v>2672.6552179656537</v>
      </c>
      <c r="AB33" s="185">
        <f t="shared" si="16"/>
        <v>534.53104359313079</v>
      </c>
      <c r="AC33" s="182">
        <f t="shared" si="17"/>
        <v>27</v>
      </c>
      <c r="AD33" s="624"/>
      <c r="AE33" s="188">
        <v>5</v>
      </c>
      <c r="AF33" s="188">
        <v>2672.6519337016589</v>
      </c>
      <c r="AG33" s="185">
        <f t="shared" si="18"/>
        <v>534.53038674033178</v>
      </c>
      <c r="AH33" s="182">
        <f t="shared" si="19"/>
        <v>27</v>
      </c>
      <c r="AI33" s="624"/>
      <c r="AJ33" s="188">
        <v>5</v>
      </c>
      <c r="AK33" s="188">
        <v>2673.0192719486113</v>
      </c>
      <c r="AL33" s="185">
        <f t="shared" si="20"/>
        <v>534.6038543897223</v>
      </c>
      <c r="AM33" s="182">
        <f t="shared" si="21"/>
        <v>27</v>
      </c>
      <c r="AN33" s="624"/>
      <c r="AO33" s="188">
        <v>5</v>
      </c>
      <c r="AP33" s="188">
        <v>2673.6646539712101</v>
      </c>
      <c r="AQ33" s="185">
        <f t="shared" si="22"/>
        <v>534.73293079424207</v>
      </c>
      <c r="AR33" s="182">
        <f t="shared" si="23"/>
        <v>27</v>
      </c>
      <c r="AS33" s="624"/>
      <c r="AT33" s="188">
        <v>5</v>
      </c>
      <c r="AU33" s="188">
        <v>2673.4632683658224</v>
      </c>
      <c r="AV33" s="185">
        <f t="shared" si="24"/>
        <v>534.6926536731645</v>
      </c>
      <c r="AW33" s="182">
        <f t="shared" si="25"/>
        <v>28</v>
      </c>
      <c r="AX33" s="624"/>
    </row>
    <row r="34" spans="1:50" ht="14.25" customHeight="1">
      <c r="B34" s="564"/>
      <c r="C34" s="180">
        <v>28</v>
      </c>
      <c r="D34" s="183" t="s">
        <v>349</v>
      </c>
      <c r="E34" s="184">
        <v>3</v>
      </c>
      <c r="F34" s="180">
        <v>3000</v>
      </c>
      <c r="G34" s="185">
        <f t="shared" si="26"/>
        <v>1000</v>
      </c>
      <c r="H34" s="625"/>
      <c r="I34" s="186">
        <f t="shared" si="13"/>
        <v>3</v>
      </c>
      <c r="J34" s="186">
        <f t="shared" si="13"/>
        <v>2693.5179146935952</v>
      </c>
      <c r="K34" s="187">
        <f t="shared" si="13"/>
        <v>897.83930489786519</v>
      </c>
      <c r="L34" s="626"/>
      <c r="M34" s="186">
        <f>RANK(K34, K$7:$K$39)</f>
        <v>9</v>
      </c>
      <c r="N34" s="631"/>
      <c r="O34" s="627"/>
      <c r="P34" s="188">
        <v>3</v>
      </c>
      <c r="Q34" s="188">
        <v>2693.1651601440308</v>
      </c>
      <c r="R34" s="185">
        <f t="shared" si="10"/>
        <v>897.7217200480103</v>
      </c>
      <c r="S34" s="182">
        <f t="shared" si="14"/>
        <v>9</v>
      </c>
      <c r="T34" s="624"/>
      <c r="U34" s="188">
        <v>3</v>
      </c>
      <c r="V34" s="188">
        <v>2693.3113577807871</v>
      </c>
      <c r="W34" s="185">
        <f t="shared" si="11"/>
        <v>897.77045259359568</v>
      </c>
      <c r="X34" s="182">
        <f t="shared" si="15"/>
        <v>9</v>
      </c>
      <c r="Y34" s="624"/>
      <c r="Z34" s="188">
        <v>3</v>
      </c>
      <c r="AA34" s="188">
        <v>2693.3107094185721</v>
      </c>
      <c r="AB34" s="185">
        <f t="shared" si="16"/>
        <v>897.77023647285739</v>
      </c>
      <c r="AC34" s="182">
        <f t="shared" si="17"/>
        <v>9</v>
      </c>
      <c r="AD34" s="624"/>
      <c r="AE34" s="188">
        <v>3</v>
      </c>
      <c r="AF34" s="188">
        <v>2693.708649503737</v>
      </c>
      <c r="AG34" s="185">
        <f t="shared" si="18"/>
        <v>897.90288316791236</v>
      </c>
      <c r="AH34" s="182">
        <f t="shared" si="19"/>
        <v>9</v>
      </c>
      <c r="AI34" s="624"/>
      <c r="AJ34" s="188">
        <v>3</v>
      </c>
      <c r="AK34" s="188">
        <v>2693.5611549885762</v>
      </c>
      <c r="AL34" s="185">
        <f t="shared" si="20"/>
        <v>897.85371832952535</v>
      </c>
      <c r="AM34" s="182">
        <f t="shared" si="21"/>
        <v>9</v>
      </c>
      <c r="AN34" s="624"/>
      <c r="AO34" s="188">
        <v>3</v>
      </c>
      <c r="AP34" s="188">
        <v>2693.6994391024846</v>
      </c>
      <c r="AQ34" s="185">
        <f t="shared" si="22"/>
        <v>897.89981303416153</v>
      </c>
      <c r="AR34" s="182">
        <f t="shared" si="23"/>
        <v>9</v>
      </c>
      <c r="AS34" s="624"/>
      <c r="AT34" s="188">
        <v>3</v>
      </c>
      <c r="AU34" s="188">
        <v>2693.8689319169798</v>
      </c>
      <c r="AV34" s="185">
        <f t="shared" si="24"/>
        <v>897.95631063899327</v>
      </c>
      <c r="AW34" s="182">
        <f t="shared" si="25"/>
        <v>9</v>
      </c>
      <c r="AX34" s="624"/>
    </row>
    <row r="35" spans="1:50" ht="14.25" customHeight="1">
      <c r="B35" s="564"/>
      <c r="C35" s="180">
        <v>29</v>
      </c>
      <c r="D35" s="183" t="s">
        <v>478</v>
      </c>
      <c r="E35" s="184">
        <v>12</v>
      </c>
      <c r="F35" s="180">
        <v>3600</v>
      </c>
      <c r="G35" s="185">
        <f t="shared" si="26"/>
        <v>300</v>
      </c>
      <c r="H35" s="625"/>
      <c r="I35" s="186">
        <f t="shared" si="13"/>
        <v>12</v>
      </c>
      <c r="J35" s="186">
        <f t="shared" si="13"/>
        <v>3124.7330231823698</v>
      </c>
      <c r="K35" s="187">
        <f t="shared" si="13"/>
        <v>260.39441859853076</v>
      </c>
      <c r="L35" s="626"/>
      <c r="M35" s="186">
        <f>RANK(K35, K$7:$K$39)</f>
        <v>30</v>
      </c>
      <c r="N35" s="631"/>
      <c r="O35" s="627"/>
      <c r="P35" s="188">
        <v>12</v>
      </c>
      <c r="Q35" s="188">
        <v>3126.0559517279203</v>
      </c>
      <c r="R35" s="185">
        <f t="shared" si="10"/>
        <v>260.50466264399336</v>
      </c>
      <c r="S35" s="182">
        <f t="shared" si="14"/>
        <v>28</v>
      </c>
      <c r="T35" s="624"/>
      <c r="U35" s="188">
        <v>12</v>
      </c>
      <c r="V35" s="188">
        <v>3125.2747252747308</v>
      </c>
      <c r="W35" s="185">
        <f t="shared" si="11"/>
        <v>260.43956043956092</v>
      </c>
      <c r="X35" s="182">
        <f t="shared" si="15"/>
        <v>29</v>
      </c>
      <c r="Y35" s="624"/>
      <c r="Z35" s="188">
        <v>12</v>
      </c>
      <c r="AA35" s="188">
        <v>3124.576271186439</v>
      </c>
      <c r="AB35" s="185">
        <f t="shared" si="16"/>
        <v>260.38135593220323</v>
      </c>
      <c r="AC35" s="182">
        <f t="shared" si="17"/>
        <v>29</v>
      </c>
      <c r="AD35" s="624"/>
      <c r="AE35" s="188">
        <v>12</v>
      </c>
      <c r="AF35" s="188">
        <v>3123.7958303378864</v>
      </c>
      <c r="AG35" s="185">
        <f t="shared" si="18"/>
        <v>260.31631919482385</v>
      </c>
      <c r="AH35" s="182">
        <f t="shared" si="19"/>
        <v>29</v>
      </c>
      <c r="AI35" s="624"/>
      <c r="AJ35" s="188">
        <v>12</v>
      </c>
      <c r="AK35" s="188">
        <v>3124.3243243243219</v>
      </c>
      <c r="AL35" s="185">
        <f t="shared" si="20"/>
        <v>260.36036036036018</v>
      </c>
      <c r="AM35" s="182">
        <f t="shared" si="21"/>
        <v>29</v>
      </c>
      <c r="AN35" s="624"/>
      <c r="AO35" s="188">
        <v>12</v>
      </c>
      <c r="AP35" s="188">
        <v>3124.2718446601907</v>
      </c>
      <c r="AQ35" s="185">
        <f t="shared" si="22"/>
        <v>260.35598705501587</v>
      </c>
      <c r="AR35" s="182">
        <f t="shared" si="23"/>
        <v>29</v>
      </c>
      <c r="AS35" s="624"/>
      <c r="AT35" s="188">
        <v>12</v>
      </c>
      <c r="AU35" s="188">
        <v>3124.8322147650983</v>
      </c>
      <c r="AV35" s="185">
        <f t="shared" si="24"/>
        <v>260.40268456375821</v>
      </c>
      <c r="AW35" s="182">
        <f t="shared" si="25"/>
        <v>30</v>
      </c>
      <c r="AX35" s="624"/>
    </row>
    <row r="36" spans="1:50" ht="14.25" customHeight="1">
      <c r="B36" s="564"/>
      <c r="C36" s="180">
        <v>30</v>
      </c>
      <c r="D36" s="183" t="s">
        <v>607</v>
      </c>
      <c r="E36" s="184">
        <v>4</v>
      </c>
      <c r="F36" s="180">
        <v>3000</v>
      </c>
      <c r="G36" s="185">
        <f t="shared" si="26"/>
        <v>750</v>
      </c>
      <c r="H36" s="625"/>
      <c r="I36" s="186">
        <f t="shared" si="13"/>
        <v>4</v>
      </c>
      <c r="J36" s="186">
        <f t="shared" si="13"/>
        <v>2434.9631214824349</v>
      </c>
      <c r="K36" s="187">
        <f t="shared" si="13"/>
        <v>608.74078037060872</v>
      </c>
      <c r="L36" s="626"/>
      <c r="M36" s="186">
        <f>RANK(K36, K$7:$K$39)</f>
        <v>24</v>
      </c>
      <c r="N36" s="631"/>
      <c r="O36" s="627"/>
      <c r="P36" s="188"/>
      <c r="Q36" s="188"/>
      <c r="R36" s="185"/>
      <c r="S36" s="182"/>
      <c r="T36" s="624"/>
      <c r="U36" s="188"/>
      <c r="V36" s="188"/>
      <c r="W36" s="185"/>
      <c r="X36" s="182"/>
      <c r="Y36" s="624"/>
      <c r="Z36" s="188"/>
      <c r="AA36" s="188"/>
      <c r="AB36" s="185"/>
      <c r="AC36" s="182"/>
      <c r="AD36" s="624"/>
      <c r="AE36" s="188"/>
      <c r="AF36" s="188"/>
      <c r="AG36" s="185"/>
      <c r="AH36" s="182"/>
      <c r="AI36" s="624"/>
      <c r="AJ36" s="188"/>
      <c r="AK36" s="188"/>
      <c r="AL36" s="185"/>
      <c r="AM36" s="182"/>
      <c r="AN36" s="624"/>
      <c r="AO36" s="188"/>
      <c r="AP36" s="188"/>
      <c r="AQ36" s="185"/>
      <c r="AR36" s="182"/>
      <c r="AS36" s="624"/>
      <c r="AT36" s="188">
        <v>4</v>
      </c>
      <c r="AU36" s="188">
        <v>2434.9631214824349</v>
      </c>
      <c r="AV36" s="185">
        <f t="shared" si="24"/>
        <v>608.74078037060872</v>
      </c>
      <c r="AW36" s="182">
        <f t="shared" si="25"/>
        <v>24</v>
      </c>
      <c r="AX36" s="624"/>
    </row>
    <row r="37" spans="1:50" ht="14.25" customHeight="1">
      <c r="B37" s="564"/>
      <c r="C37" s="180">
        <v>31</v>
      </c>
      <c r="D37" s="183"/>
      <c r="E37" s="180"/>
      <c r="F37" s="180"/>
      <c r="G37" s="185"/>
      <c r="H37" s="625"/>
      <c r="I37" s="186"/>
      <c r="J37" s="186"/>
      <c r="K37" s="187"/>
      <c r="L37" s="626"/>
      <c r="M37" s="186"/>
      <c r="N37" s="631"/>
      <c r="O37" s="627"/>
      <c r="P37" s="188"/>
      <c r="Q37" s="188"/>
      <c r="R37" s="185"/>
      <c r="S37" s="182"/>
      <c r="T37" s="624"/>
      <c r="U37" s="188"/>
      <c r="V37" s="188"/>
      <c r="W37" s="185"/>
      <c r="X37" s="182"/>
      <c r="Y37" s="624"/>
      <c r="Z37" s="188"/>
      <c r="AA37" s="188"/>
      <c r="AB37" s="185"/>
      <c r="AC37" s="182"/>
      <c r="AD37" s="624"/>
      <c r="AE37" s="188"/>
      <c r="AF37" s="188"/>
      <c r="AG37" s="185"/>
      <c r="AH37" s="182"/>
      <c r="AI37" s="624"/>
      <c r="AJ37" s="188"/>
      <c r="AK37" s="188"/>
      <c r="AL37" s="185"/>
      <c r="AM37" s="182"/>
      <c r="AN37" s="624"/>
      <c r="AO37" s="188"/>
      <c r="AP37" s="188"/>
      <c r="AQ37" s="185"/>
      <c r="AR37" s="182"/>
      <c r="AS37" s="624"/>
      <c r="AT37" s="188"/>
      <c r="AU37" s="188"/>
      <c r="AV37" s="185"/>
      <c r="AW37" s="182"/>
      <c r="AX37" s="624"/>
    </row>
    <row r="38" spans="1:50" ht="14.25" customHeight="1">
      <c r="B38" s="564"/>
      <c r="C38" s="180">
        <v>32</v>
      </c>
      <c r="D38" s="183"/>
      <c r="E38" s="180"/>
      <c r="F38" s="180"/>
      <c r="G38" s="185"/>
      <c r="H38" s="625"/>
      <c r="I38" s="186"/>
      <c r="J38" s="186"/>
      <c r="K38" s="187"/>
      <c r="L38" s="626"/>
      <c r="M38" s="186"/>
      <c r="N38" s="631"/>
      <c r="O38" s="627"/>
      <c r="P38" s="188"/>
      <c r="Q38" s="188"/>
      <c r="R38" s="185"/>
      <c r="S38" s="182"/>
      <c r="T38" s="624"/>
      <c r="U38" s="188"/>
      <c r="V38" s="188"/>
      <c r="W38" s="185"/>
      <c r="X38" s="182"/>
      <c r="Y38" s="624"/>
      <c r="Z38" s="188"/>
      <c r="AA38" s="188"/>
      <c r="AB38" s="185"/>
      <c r="AC38" s="182"/>
      <c r="AD38" s="624"/>
      <c r="AE38" s="188"/>
      <c r="AF38" s="188"/>
      <c r="AG38" s="185"/>
      <c r="AH38" s="182"/>
      <c r="AI38" s="624"/>
      <c r="AJ38" s="188"/>
      <c r="AK38" s="188"/>
      <c r="AL38" s="185"/>
      <c r="AM38" s="182"/>
      <c r="AN38" s="624"/>
      <c r="AO38" s="188"/>
      <c r="AP38" s="188"/>
      <c r="AQ38" s="185"/>
      <c r="AR38" s="182"/>
      <c r="AS38" s="624"/>
      <c r="AT38" s="188"/>
      <c r="AU38" s="188"/>
      <c r="AV38" s="185"/>
      <c r="AW38" s="182"/>
      <c r="AX38" s="624"/>
    </row>
    <row r="39" spans="1:50" ht="14.25" customHeight="1">
      <c r="B39" s="564"/>
      <c r="C39" s="180">
        <v>33</v>
      </c>
      <c r="D39" s="183"/>
      <c r="E39" s="180"/>
      <c r="F39" s="180"/>
      <c r="G39" s="185"/>
      <c r="H39" s="625"/>
      <c r="I39" s="186"/>
      <c r="J39" s="186"/>
      <c r="K39" s="187"/>
      <c r="L39" s="626"/>
      <c r="M39" s="186"/>
      <c r="N39" s="631"/>
      <c r="O39" s="627"/>
      <c r="P39" s="188"/>
      <c r="Q39" s="188"/>
      <c r="R39" s="185"/>
      <c r="S39" s="182"/>
      <c r="T39" s="624"/>
      <c r="U39" s="188"/>
      <c r="V39" s="188"/>
      <c r="W39" s="185"/>
      <c r="X39" s="182"/>
      <c r="Y39" s="624"/>
      <c r="Z39" s="188"/>
      <c r="AA39" s="188"/>
      <c r="AB39" s="185"/>
      <c r="AC39" s="182"/>
      <c r="AD39" s="624"/>
      <c r="AE39" s="188"/>
      <c r="AF39" s="188"/>
      <c r="AG39" s="185"/>
      <c r="AH39" s="182"/>
      <c r="AI39" s="624"/>
      <c r="AJ39" s="188"/>
      <c r="AK39" s="188"/>
      <c r="AL39" s="185"/>
      <c r="AM39" s="182"/>
      <c r="AN39" s="624"/>
      <c r="AO39" s="188"/>
      <c r="AP39" s="188"/>
      <c r="AQ39" s="185"/>
      <c r="AR39" s="182"/>
      <c r="AS39" s="624"/>
      <c r="AT39" s="188"/>
      <c r="AU39" s="188"/>
      <c r="AV39" s="185"/>
      <c r="AW39" s="182"/>
      <c r="AX39" s="624"/>
    </row>
    <row r="40" spans="1:50" ht="14.25" customHeight="1">
      <c r="B40" s="646" t="s">
        <v>641</v>
      </c>
      <c r="C40" s="642"/>
      <c r="D40" s="642"/>
      <c r="E40" s="642"/>
      <c r="F40" s="642"/>
      <c r="G40" s="642"/>
      <c r="H40" s="642"/>
      <c r="I40" s="642"/>
      <c r="J40" s="642"/>
      <c r="K40" s="642"/>
      <c r="L40" s="642"/>
      <c r="M40" s="643"/>
      <c r="N40" s="584" t="s">
        <v>377</v>
      </c>
      <c r="O40" s="584" t="s">
        <v>105</v>
      </c>
      <c r="P40" s="637">
        <v>46084</v>
      </c>
      <c r="Q40" s="638"/>
      <c r="R40" s="638"/>
      <c r="S40" s="638"/>
      <c r="T40" s="638"/>
      <c r="U40" s="639">
        <v>46085</v>
      </c>
      <c r="V40" s="640"/>
      <c r="W40" s="640"/>
      <c r="X40" s="640"/>
      <c r="Y40" s="640"/>
      <c r="Z40" s="637">
        <v>46086</v>
      </c>
      <c r="AA40" s="638"/>
      <c r="AB40" s="638"/>
      <c r="AC40" s="638"/>
      <c r="AD40" s="638"/>
      <c r="AE40" s="639">
        <v>46087</v>
      </c>
      <c r="AF40" s="640"/>
      <c r="AG40" s="640"/>
      <c r="AH40" s="640"/>
      <c r="AI40" s="640"/>
      <c r="AJ40" s="596">
        <v>46088</v>
      </c>
      <c r="AK40" s="597"/>
      <c r="AL40" s="597"/>
      <c r="AM40" s="597"/>
      <c r="AN40" s="598"/>
      <c r="AO40" s="639">
        <v>46089</v>
      </c>
      <c r="AP40" s="640"/>
      <c r="AQ40" s="640"/>
      <c r="AR40" s="640"/>
      <c r="AS40" s="640"/>
      <c r="AT40" s="596">
        <v>46090</v>
      </c>
      <c r="AU40" s="597"/>
      <c r="AV40" s="597"/>
      <c r="AW40" s="597"/>
      <c r="AX40" s="598"/>
    </row>
    <row r="41" spans="1:50" ht="14.25" customHeight="1">
      <c r="B41" s="644"/>
      <c r="C41" s="644"/>
      <c r="D41" s="644"/>
      <c r="E41" s="644"/>
      <c r="F41" s="644"/>
      <c r="G41" s="644"/>
      <c r="H41" s="644"/>
      <c r="I41" s="644"/>
      <c r="J41" s="644"/>
      <c r="K41" s="644"/>
      <c r="L41" s="644"/>
      <c r="M41" s="645"/>
      <c r="N41" s="586"/>
      <c r="O41" s="586"/>
      <c r="P41" s="629">
        <v>46084</v>
      </c>
      <c r="Q41" s="629"/>
      <c r="R41" s="629"/>
      <c r="S41" s="629"/>
      <c r="T41" s="629"/>
      <c r="U41" s="630">
        <v>46085</v>
      </c>
      <c r="V41" s="630"/>
      <c r="W41" s="630"/>
      <c r="X41" s="630"/>
      <c r="Y41" s="630"/>
      <c r="Z41" s="629">
        <v>46086</v>
      </c>
      <c r="AA41" s="629"/>
      <c r="AB41" s="629"/>
      <c r="AC41" s="629"/>
      <c r="AD41" s="629"/>
      <c r="AE41" s="630">
        <v>46087</v>
      </c>
      <c r="AF41" s="630"/>
      <c r="AG41" s="630"/>
      <c r="AH41" s="630"/>
      <c r="AI41" s="630"/>
      <c r="AJ41" s="599">
        <v>46088</v>
      </c>
      <c r="AK41" s="600"/>
      <c r="AL41" s="600"/>
      <c r="AM41" s="600"/>
      <c r="AN41" s="601"/>
      <c r="AO41" s="630">
        <v>46089</v>
      </c>
      <c r="AP41" s="630"/>
      <c r="AQ41" s="630"/>
      <c r="AR41" s="630"/>
      <c r="AS41" s="630"/>
      <c r="AT41" s="599">
        <v>46090</v>
      </c>
      <c r="AU41" s="600"/>
      <c r="AV41" s="600"/>
      <c r="AW41" s="600"/>
      <c r="AX41" s="601"/>
    </row>
    <row r="42" spans="1:50" ht="14.25" customHeight="1">
      <c r="B42" s="564" t="s">
        <v>164</v>
      </c>
      <c r="C42" s="564" t="s">
        <v>159</v>
      </c>
      <c r="D42" s="564"/>
      <c r="E42" s="564" t="s">
        <v>160</v>
      </c>
      <c r="F42" s="564"/>
      <c r="G42" s="564"/>
      <c r="H42" s="564" t="s">
        <v>165</v>
      </c>
      <c r="I42" s="628" t="s">
        <v>378</v>
      </c>
      <c r="J42" s="628"/>
      <c r="K42" s="628"/>
      <c r="L42" s="628" t="s">
        <v>165</v>
      </c>
      <c r="M42" s="628" t="s">
        <v>167</v>
      </c>
      <c r="N42" s="631"/>
      <c r="O42" s="627" t="s">
        <v>166</v>
      </c>
      <c r="P42" s="627" t="s">
        <v>162</v>
      </c>
      <c r="Q42" s="627"/>
      <c r="R42" s="627"/>
      <c r="S42" s="627"/>
      <c r="T42" s="627" t="s">
        <v>165</v>
      </c>
      <c r="U42" s="627" t="s">
        <v>162</v>
      </c>
      <c r="V42" s="627"/>
      <c r="W42" s="627"/>
      <c r="X42" s="627"/>
      <c r="Y42" s="627" t="s">
        <v>165</v>
      </c>
      <c r="Z42" s="627" t="s">
        <v>162</v>
      </c>
      <c r="AA42" s="627"/>
      <c r="AB42" s="627"/>
      <c r="AC42" s="627"/>
      <c r="AD42" s="627" t="s">
        <v>165</v>
      </c>
      <c r="AE42" s="627" t="s">
        <v>162</v>
      </c>
      <c r="AF42" s="627"/>
      <c r="AG42" s="627"/>
      <c r="AH42" s="627"/>
      <c r="AI42" s="627" t="s">
        <v>165</v>
      </c>
      <c r="AJ42" s="627" t="s">
        <v>162</v>
      </c>
      <c r="AK42" s="627"/>
      <c r="AL42" s="627"/>
      <c r="AM42" s="627"/>
      <c r="AN42" s="627" t="s">
        <v>165</v>
      </c>
      <c r="AO42" s="627" t="s">
        <v>162</v>
      </c>
      <c r="AP42" s="627"/>
      <c r="AQ42" s="627"/>
      <c r="AR42" s="627"/>
      <c r="AS42" s="627" t="s">
        <v>165</v>
      </c>
      <c r="AT42" s="627" t="s">
        <v>162</v>
      </c>
      <c r="AU42" s="627"/>
      <c r="AV42" s="627"/>
      <c r="AW42" s="627"/>
      <c r="AX42" s="627" t="s">
        <v>165</v>
      </c>
    </row>
    <row r="43" spans="1:50" ht="14.25" customHeight="1">
      <c r="B43" s="564"/>
      <c r="C43" s="564"/>
      <c r="D43" s="564"/>
      <c r="E43" s="564" t="s">
        <v>379</v>
      </c>
      <c r="F43" s="564"/>
      <c r="G43" s="564"/>
      <c r="H43" s="564"/>
      <c r="I43" s="628" t="s">
        <v>379</v>
      </c>
      <c r="J43" s="628"/>
      <c r="K43" s="628"/>
      <c r="L43" s="628"/>
      <c r="M43" s="628"/>
      <c r="N43" s="631"/>
      <c r="O43" s="627"/>
      <c r="P43" s="627" t="s">
        <v>380</v>
      </c>
      <c r="Q43" s="627"/>
      <c r="R43" s="627"/>
      <c r="S43" s="627"/>
      <c r="T43" s="627"/>
      <c r="U43" s="627" t="s">
        <v>380</v>
      </c>
      <c r="V43" s="627"/>
      <c r="W43" s="627"/>
      <c r="X43" s="627"/>
      <c r="Y43" s="627"/>
      <c r="Z43" s="627" t="s">
        <v>380</v>
      </c>
      <c r="AA43" s="627"/>
      <c r="AB43" s="627"/>
      <c r="AC43" s="627"/>
      <c r="AD43" s="627"/>
      <c r="AE43" s="627" t="s">
        <v>380</v>
      </c>
      <c r="AF43" s="627"/>
      <c r="AG43" s="627"/>
      <c r="AH43" s="627"/>
      <c r="AI43" s="627"/>
      <c r="AJ43" s="627" t="s">
        <v>380</v>
      </c>
      <c r="AK43" s="627"/>
      <c r="AL43" s="627"/>
      <c r="AM43" s="627"/>
      <c r="AN43" s="627"/>
      <c r="AO43" s="627" t="s">
        <v>380</v>
      </c>
      <c r="AP43" s="627"/>
      <c r="AQ43" s="627"/>
      <c r="AR43" s="627"/>
      <c r="AS43" s="627"/>
      <c r="AT43" s="627" t="s">
        <v>380</v>
      </c>
      <c r="AU43" s="627"/>
      <c r="AV43" s="627"/>
      <c r="AW43" s="627"/>
      <c r="AX43" s="627"/>
    </row>
    <row r="44" spans="1:50" ht="14.25" customHeight="1">
      <c r="A44" s="177"/>
      <c r="B44" s="564"/>
      <c r="C44" s="564"/>
      <c r="D44" s="564"/>
      <c r="E44" s="180" t="s">
        <v>161</v>
      </c>
      <c r="F44" s="180" t="s">
        <v>381</v>
      </c>
      <c r="G44" s="180" t="s">
        <v>163</v>
      </c>
      <c r="H44" s="564"/>
      <c r="I44" s="181" t="s">
        <v>161</v>
      </c>
      <c r="J44" s="181" t="s">
        <v>381</v>
      </c>
      <c r="K44" s="181" t="s">
        <v>163</v>
      </c>
      <c r="L44" s="628"/>
      <c r="M44" s="628"/>
      <c r="N44" s="631"/>
      <c r="O44" s="627"/>
      <c r="P44" s="182" t="s">
        <v>161</v>
      </c>
      <c r="Q44" s="182" t="s">
        <v>381</v>
      </c>
      <c r="R44" s="182" t="s">
        <v>163</v>
      </c>
      <c r="S44" s="182" t="s">
        <v>167</v>
      </c>
      <c r="T44" s="627"/>
      <c r="U44" s="182" t="s">
        <v>161</v>
      </c>
      <c r="V44" s="182" t="s">
        <v>381</v>
      </c>
      <c r="W44" s="182" t="s">
        <v>163</v>
      </c>
      <c r="X44" s="182" t="s">
        <v>167</v>
      </c>
      <c r="Y44" s="627"/>
      <c r="Z44" s="182" t="s">
        <v>161</v>
      </c>
      <c r="AA44" s="182" t="s">
        <v>381</v>
      </c>
      <c r="AB44" s="182" t="s">
        <v>163</v>
      </c>
      <c r="AC44" s="182" t="s">
        <v>167</v>
      </c>
      <c r="AD44" s="627"/>
      <c r="AE44" s="182" t="s">
        <v>161</v>
      </c>
      <c r="AF44" s="182" t="s">
        <v>381</v>
      </c>
      <c r="AG44" s="182" t="s">
        <v>163</v>
      </c>
      <c r="AH44" s="182" t="s">
        <v>167</v>
      </c>
      <c r="AI44" s="627"/>
      <c r="AJ44" s="182" t="s">
        <v>161</v>
      </c>
      <c r="AK44" s="182" t="s">
        <v>381</v>
      </c>
      <c r="AL44" s="182" t="s">
        <v>163</v>
      </c>
      <c r="AM44" s="182" t="s">
        <v>167</v>
      </c>
      <c r="AN44" s="627"/>
      <c r="AO44" s="182" t="s">
        <v>161</v>
      </c>
      <c r="AP44" s="182" t="s">
        <v>381</v>
      </c>
      <c r="AQ44" s="182" t="s">
        <v>163</v>
      </c>
      <c r="AR44" s="182" t="s">
        <v>167</v>
      </c>
      <c r="AS44" s="627"/>
      <c r="AT44" s="182" t="s">
        <v>161</v>
      </c>
      <c r="AU44" s="182" t="s">
        <v>381</v>
      </c>
      <c r="AV44" s="182" t="s">
        <v>163</v>
      </c>
      <c r="AW44" s="182" t="s">
        <v>167</v>
      </c>
      <c r="AX44" s="627"/>
    </row>
    <row r="45" spans="1:50" ht="14.25" customHeight="1">
      <c r="B45" s="564" t="s">
        <v>382</v>
      </c>
      <c r="C45" s="180">
        <v>1</v>
      </c>
      <c r="D45" s="183" t="s">
        <v>407</v>
      </c>
      <c r="E45" s="184">
        <v>4</v>
      </c>
      <c r="F45" s="180">
        <v>3600</v>
      </c>
      <c r="G45" s="185">
        <f>F45/E45</f>
        <v>900</v>
      </c>
      <c r="H45" s="625">
        <f>AVERAGE(G45:G77)</f>
        <v>867.33333333333337</v>
      </c>
      <c r="I45" s="186">
        <f>AVERAGE(P45,U45,Z45,AE45,AJ45,AO45,AT45)</f>
        <v>4</v>
      </c>
      <c r="J45" s="186">
        <f>AVERAGE(Q45,V45,AA45,AF45,AK45,AP45,AU45)</f>
        <v>3167.3799451451227</v>
      </c>
      <c r="K45" s="187">
        <f>AVERAGE(R45,W45,AB45,AG45,AL45,AQ45,AV45)</f>
        <v>791.84498628628069</v>
      </c>
      <c r="L45" s="626">
        <f>IFERROR(AVERAGE(K45:K77),"-")</f>
        <v>770.49370002361638</v>
      </c>
      <c r="M45" s="186">
        <f>RANK(K45, K$45:$K$77)</f>
        <v>12</v>
      </c>
      <c r="N45" s="631"/>
      <c r="O45" s="627"/>
      <c r="P45" s="188">
        <v>4</v>
      </c>
      <c r="Q45" s="188">
        <v>3154.411764705882</v>
      </c>
      <c r="R45" s="185">
        <f t="shared" ref="R45:R74" si="27">IFERROR(Q45/P45,"")</f>
        <v>788.60294117647049</v>
      </c>
      <c r="S45" s="182">
        <f>RANK(R45, R$45:R$77)</f>
        <v>12</v>
      </c>
      <c r="T45" s="624">
        <f>AVERAGE(R45:R77)</f>
        <v>767.73672135309778</v>
      </c>
      <c r="U45" s="188">
        <v>4</v>
      </c>
      <c r="V45" s="188">
        <v>3168.9473684210543</v>
      </c>
      <c r="W45" s="185">
        <f t="shared" ref="W45:W74" si="28">IFERROR(V45/U45,"")</f>
        <v>792.23684210526358</v>
      </c>
      <c r="X45" s="182">
        <f>RANK(W45, W$45:W$77)</f>
        <v>12</v>
      </c>
      <c r="Y45" s="624">
        <f>AVERAGE(W45:W77)</f>
        <v>769.64674770885892</v>
      </c>
      <c r="Z45" s="188">
        <v>4</v>
      </c>
      <c r="AA45" s="188">
        <v>3169.5543869360677</v>
      </c>
      <c r="AB45" s="185">
        <f>IFERROR(AA45/Z45,"")</f>
        <v>792.38859673401691</v>
      </c>
      <c r="AC45" s="182">
        <f>RANK(AB45, AB$45:AB$77)</f>
        <v>12</v>
      </c>
      <c r="AD45" s="624">
        <f>AVERAGE(AB45:AB77)</f>
        <v>770.15029071027391</v>
      </c>
      <c r="AE45" s="188">
        <v>4</v>
      </c>
      <c r="AF45" s="188">
        <v>3169.1847419596079</v>
      </c>
      <c r="AG45" s="185">
        <f>IFERROR(AF45/AE45,"")</f>
        <v>792.29618548990197</v>
      </c>
      <c r="AH45" s="182">
        <f>RANK(AG45, AG$45:AG$77)</f>
        <v>12</v>
      </c>
      <c r="AI45" s="624">
        <f>AVERAGE(AG45:AG77)</f>
        <v>770.63082206233003</v>
      </c>
      <c r="AJ45" s="188">
        <v>4</v>
      </c>
      <c r="AK45" s="188">
        <v>3169.8476343223761</v>
      </c>
      <c r="AL45" s="185">
        <f>IFERROR(AK45/AJ45,"")</f>
        <v>792.46190858059401</v>
      </c>
      <c r="AM45" s="182">
        <f>RANK(AL45, AL$45:AL$77)</f>
        <v>12</v>
      </c>
      <c r="AN45" s="624">
        <f>AVERAGE(AL45:AL77)</f>
        <v>771.04795844792034</v>
      </c>
      <c r="AO45" s="188">
        <v>4</v>
      </c>
      <c r="AP45" s="188">
        <v>3169.7318967677293</v>
      </c>
      <c r="AQ45" s="185">
        <f>IFERROR(AP45/AO45,"")</f>
        <v>792.43297419193232</v>
      </c>
      <c r="AR45" s="182">
        <f>RANK(AQ45, AQ$45:AQ$77)</f>
        <v>12</v>
      </c>
      <c r="AS45" s="624">
        <f>AVERAGE(AQ45:AQ77)</f>
        <v>771.10849903916505</v>
      </c>
      <c r="AT45" s="188">
        <v>4</v>
      </c>
      <c r="AU45" s="188">
        <v>3169.9818229031412</v>
      </c>
      <c r="AV45" s="185">
        <f>IFERROR(AU45/AT45,"")</f>
        <v>792.49545572578529</v>
      </c>
      <c r="AW45" s="182">
        <f>RANK(AV45, AV$45:AV$77)</f>
        <v>12</v>
      </c>
      <c r="AX45" s="624">
        <f>AVERAGE(AV45:AV77)</f>
        <v>773.13486084366912</v>
      </c>
    </row>
    <row r="46" spans="1:50" ht="14.25" customHeight="1">
      <c r="B46" s="564"/>
      <c r="C46" s="180">
        <v>2</v>
      </c>
      <c r="D46" s="183" t="s">
        <v>405</v>
      </c>
      <c r="E46" s="184">
        <v>3</v>
      </c>
      <c r="F46" s="180">
        <v>3600</v>
      </c>
      <c r="G46" s="185">
        <f t="shared" ref="G46:G65" si="29">F46/E46</f>
        <v>1200</v>
      </c>
      <c r="H46" s="625"/>
      <c r="I46" s="186">
        <f t="shared" ref="I46:K74" si="30">AVERAGE(P46,U46,Z46,AE46,AJ46,AO46,AT46)</f>
        <v>3</v>
      </c>
      <c r="J46" s="186">
        <f t="shared" si="30"/>
        <v>3165.6881640293664</v>
      </c>
      <c r="K46" s="187">
        <f t="shared" si="30"/>
        <v>1055.2293880097889</v>
      </c>
      <c r="L46" s="626"/>
      <c r="M46" s="186">
        <f>RANK(K46, K$45:$K$77)</f>
        <v>5</v>
      </c>
      <c r="N46" s="631"/>
      <c r="O46" s="627"/>
      <c r="P46" s="188">
        <v>3</v>
      </c>
      <c r="Q46" s="188">
        <v>3149.5500000000011</v>
      </c>
      <c r="R46" s="185">
        <f t="shared" si="27"/>
        <v>1049.8500000000004</v>
      </c>
      <c r="S46" s="182">
        <f t="shared" ref="S46:S74" si="31">RANK(R46, R$45:R$77)</f>
        <v>6</v>
      </c>
      <c r="T46" s="624"/>
      <c r="U46" s="188">
        <v>3</v>
      </c>
      <c r="V46" s="188">
        <v>3167.4232309746335</v>
      </c>
      <c r="W46" s="185">
        <f t="shared" si="28"/>
        <v>1055.8077436582112</v>
      </c>
      <c r="X46" s="182">
        <f t="shared" ref="X46:X74" si="32">RANK(W46, W$45:W$77)</f>
        <v>5</v>
      </c>
      <c r="Y46" s="624"/>
      <c r="Z46" s="188">
        <v>3</v>
      </c>
      <c r="AA46" s="188">
        <v>3167.4676524953802</v>
      </c>
      <c r="AB46" s="185">
        <f t="shared" ref="AB46:AB74" si="33">IFERROR(AA46/Z46,"")</f>
        <v>1055.8225508317935</v>
      </c>
      <c r="AC46" s="182">
        <f t="shared" ref="AC46:AC74" si="34">RANK(AB46, AB$45:AB$77)</f>
        <v>3</v>
      </c>
      <c r="AD46" s="624"/>
      <c r="AE46" s="188">
        <v>3</v>
      </c>
      <c r="AF46" s="188">
        <v>3168.471767199846</v>
      </c>
      <c r="AG46" s="185">
        <f t="shared" ref="AG46:AG74" si="35">IFERROR(AF46/AE46,"")</f>
        <v>1056.157255733282</v>
      </c>
      <c r="AH46" s="182">
        <f t="shared" ref="AH46:AH74" si="36">RANK(AG46, AG$45:AG$77)</f>
        <v>2</v>
      </c>
      <c r="AI46" s="624"/>
      <c r="AJ46" s="188">
        <v>3</v>
      </c>
      <c r="AK46" s="188">
        <v>3168.9014539579966</v>
      </c>
      <c r="AL46" s="185">
        <f t="shared" ref="AL46:AL74" si="37">IFERROR(AK46/AJ46,"")</f>
        <v>1056.3004846526655</v>
      </c>
      <c r="AM46" s="182">
        <f t="shared" ref="AM46:AM74" si="38">RANK(AL46, AL$45:AL$77)</f>
        <v>4</v>
      </c>
      <c r="AN46" s="624"/>
      <c r="AO46" s="188">
        <v>3</v>
      </c>
      <c r="AP46" s="188">
        <v>3168.864917872027</v>
      </c>
      <c r="AQ46" s="185">
        <f t="shared" ref="AQ46:AQ74" si="39">IFERROR(AP46/AO46,"")</f>
        <v>1056.2883059573423</v>
      </c>
      <c r="AR46" s="182">
        <f t="shared" ref="AR46:AR74" si="40">RANK(AQ46, AQ$45:AQ$77)</f>
        <v>3</v>
      </c>
      <c r="AS46" s="624"/>
      <c r="AT46" s="188">
        <v>3</v>
      </c>
      <c r="AU46" s="188">
        <v>3169.1381257056819</v>
      </c>
      <c r="AV46" s="185">
        <f t="shared" ref="AV46:AV74" si="41">IFERROR(AU46/AT46,"")</f>
        <v>1056.3793752352274</v>
      </c>
      <c r="AW46" s="182">
        <f t="shared" ref="AW46:AW74" si="42">RANK(AV46, AV$45:AV$77)</f>
        <v>3</v>
      </c>
      <c r="AX46" s="624"/>
    </row>
    <row r="47" spans="1:50" ht="14.25" customHeight="1">
      <c r="B47" s="564"/>
      <c r="C47" s="180">
        <v>3</v>
      </c>
      <c r="D47" s="183" t="s">
        <v>406</v>
      </c>
      <c r="E47" s="184">
        <v>5</v>
      </c>
      <c r="F47" s="180">
        <v>3600</v>
      </c>
      <c r="G47" s="185">
        <f t="shared" si="29"/>
        <v>720</v>
      </c>
      <c r="H47" s="625"/>
      <c r="I47" s="186">
        <f t="shared" si="30"/>
        <v>5</v>
      </c>
      <c r="J47" s="186">
        <f t="shared" si="30"/>
        <v>3164.8636958769789</v>
      </c>
      <c r="K47" s="187">
        <f t="shared" si="30"/>
        <v>632.97273917539576</v>
      </c>
      <c r="L47" s="626"/>
      <c r="M47" s="186">
        <f>RANK(K47, K$45:$K$77)</f>
        <v>24</v>
      </c>
      <c r="N47" s="631"/>
      <c r="O47" s="627"/>
      <c r="P47" s="188">
        <v>5</v>
      </c>
      <c r="Q47" s="188">
        <v>3153.8267716535443</v>
      </c>
      <c r="R47" s="185">
        <f t="shared" si="27"/>
        <v>630.76535433070887</v>
      </c>
      <c r="S47" s="182">
        <f t="shared" si="31"/>
        <v>23</v>
      </c>
      <c r="T47" s="624"/>
      <c r="U47" s="188">
        <v>5</v>
      </c>
      <c r="V47" s="188">
        <v>3166.2650602409644</v>
      </c>
      <c r="W47" s="185">
        <f t="shared" si="28"/>
        <v>633.25301204819289</v>
      </c>
      <c r="X47" s="182">
        <f t="shared" si="32"/>
        <v>24</v>
      </c>
      <c r="Y47" s="624"/>
      <c r="Z47" s="188">
        <v>5</v>
      </c>
      <c r="AA47" s="188">
        <v>3166.5970772442579</v>
      </c>
      <c r="AB47" s="185">
        <f t="shared" si="33"/>
        <v>633.3194154488516</v>
      </c>
      <c r="AC47" s="182">
        <f t="shared" si="34"/>
        <v>24</v>
      </c>
      <c r="AD47" s="624"/>
      <c r="AE47" s="188">
        <v>5</v>
      </c>
      <c r="AF47" s="188">
        <v>3166.7879890809809</v>
      </c>
      <c r="AG47" s="185">
        <f t="shared" si="35"/>
        <v>633.35759781619618</v>
      </c>
      <c r="AH47" s="182">
        <f t="shared" si="36"/>
        <v>24</v>
      </c>
      <c r="AI47" s="624"/>
      <c r="AJ47" s="188">
        <v>5</v>
      </c>
      <c r="AK47" s="188">
        <v>3166.7547441748761</v>
      </c>
      <c r="AL47" s="185">
        <f t="shared" si="37"/>
        <v>633.35094883497527</v>
      </c>
      <c r="AM47" s="182">
        <f t="shared" si="38"/>
        <v>24</v>
      </c>
      <c r="AN47" s="624"/>
      <c r="AO47" s="188">
        <v>5</v>
      </c>
      <c r="AP47" s="188">
        <v>3166.746698679473</v>
      </c>
      <c r="AQ47" s="185">
        <f t="shared" si="39"/>
        <v>633.34933973589455</v>
      </c>
      <c r="AR47" s="182">
        <f t="shared" si="40"/>
        <v>24</v>
      </c>
      <c r="AS47" s="624"/>
      <c r="AT47" s="188">
        <v>5</v>
      </c>
      <c r="AU47" s="188">
        <v>3167.0675300647563</v>
      </c>
      <c r="AV47" s="185">
        <f t="shared" si="41"/>
        <v>633.4135060129513</v>
      </c>
      <c r="AW47" s="182">
        <f t="shared" si="42"/>
        <v>24</v>
      </c>
      <c r="AX47" s="624"/>
    </row>
    <row r="48" spans="1:50" ht="14.25" customHeight="1">
      <c r="B48" s="564"/>
      <c r="C48" s="180">
        <v>4</v>
      </c>
      <c r="D48" s="183" t="s">
        <v>231</v>
      </c>
      <c r="E48" s="184">
        <v>5</v>
      </c>
      <c r="F48" s="180">
        <v>3300</v>
      </c>
      <c r="G48" s="185">
        <f t="shared" si="29"/>
        <v>660</v>
      </c>
      <c r="H48" s="625"/>
      <c r="I48" s="186">
        <f t="shared" si="30"/>
        <v>5</v>
      </c>
      <c r="J48" s="186">
        <f t="shared" si="30"/>
        <v>2967.2772623811256</v>
      </c>
      <c r="K48" s="187">
        <f t="shared" si="30"/>
        <v>593.4554524762251</v>
      </c>
      <c r="L48" s="626"/>
      <c r="M48" s="186">
        <f>RANK(K48, K$45:$K$77)</f>
        <v>25</v>
      </c>
      <c r="N48" s="631"/>
      <c r="O48" s="627"/>
      <c r="P48" s="188">
        <v>5</v>
      </c>
      <c r="Q48" s="188">
        <v>2967.7932405566676</v>
      </c>
      <c r="R48" s="185">
        <f t="shared" si="27"/>
        <v>593.55864811133347</v>
      </c>
      <c r="S48" s="182">
        <f t="shared" si="31"/>
        <v>25</v>
      </c>
      <c r="T48" s="624"/>
      <c r="U48" s="188">
        <v>5</v>
      </c>
      <c r="V48" s="188">
        <v>2967.9742765273309</v>
      </c>
      <c r="W48" s="185">
        <f t="shared" si="28"/>
        <v>593.59485530546613</v>
      </c>
      <c r="X48" s="182">
        <f t="shared" si="32"/>
        <v>26</v>
      </c>
      <c r="Y48" s="624"/>
      <c r="Z48" s="188">
        <v>5</v>
      </c>
      <c r="AA48" s="188">
        <v>2966.8965517241418</v>
      </c>
      <c r="AB48" s="185">
        <f t="shared" si="33"/>
        <v>593.37931034482835</v>
      </c>
      <c r="AC48" s="182">
        <f t="shared" si="34"/>
        <v>26</v>
      </c>
      <c r="AD48" s="624"/>
      <c r="AE48" s="188">
        <v>5</v>
      </c>
      <c r="AF48" s="188">
        <v>2968.0672268907574</v>
      </c>
      <c r="AG48" s="185">
        <f t="shared" si="35"/>
        <v>593.61344537815148</v>
      </c>
      <c r="AH48" s="182">
        <f t="shared" si="36"/>
        <v>26</v>
      </c>
      <c r="AI48" s="624"/>
      <c r="AJ48" s="188">
        <v>5</v>
      </c>
      <c r="AK48" s="188">
        <v>2966.1971830985954</v>
      </c>
      <c r="AL48" s="185">
        <f t="shared" si="37"/>
        <v>593.23943661971907</v>
      </c>
      <c r="AM48" s="182">
        <f t="shared" si="38"/>
        <v>26</v>
      </c>
      <c r="AN48" s="624"/>
      <c r="AO48" s="188">
        <v>5</v>
      </c>
      <c r="AP48" s="188">
        <v>2967.1077504725922</v>
      </c>
      <c r="AQ48" s="185">
        <f t="shared" si="39"/>
        <v>593.42155009451847</v>
      </c>
      <c r="AR48" s="182">
        <f t="shared" si="40"/>
        <v>26</v>
      </c>
      <c r="AS48" s="624"/>
      <c r="AT48" s="188">
        <v>5</v>
      </c>
      <c r="AU48" s="188">
        <v>2966.9046073977952</v>
      </c>
      <c r="AV48" s="185">
        <f t="shared" si="41"/>
        <v>593.38092147955899</v>
      </c>
      <c r="AW48" s="182">
        <f t="shared" si="42"/>
        <v>25</v>
      </c>
      <c r="AX48" s="624"/>
    </row>
    <row r="49" spans="2:50" ht="14.25" customHeight="1">
      <c r="B49" s="564"/>
      <c r="C49" s="180">
        <v>5</v>
      </c>
      <c r="D49" s="183" t="s">
        <v>402</v>
      </c>
      <c r="E49" s="184">
        <v>3</v>
      </c>
      <c r="F49" s="180">
        <v>3600</v>
      </c>
      <c r="G49" s="185">
        <f t="shared" si="29"/>
        <v>1200</v>
      </c>
      <c r="H49" s="625"/>
      <c r="I49" s="186">
        <f t="shared" si="30"/>
        <v>3</v>
      </c>
      <c r="J49" s="186">
        <f t="shared" si="30"/>
        <v>3165.7280020541752</v>
      </c>
      <c r="K49" s="187">
        <f t="shared" si="30"/>
        <v>1055.2426673513914</v>
      </c>
      <c r="L49" s="626"/>
      <c r="M49" s="186">
        <f>RANK(K49, K$45:$K$77)</f>
        <v>4</v>
      </c>
      <c r="N49" s="631"/>
      <c r="O49" s="627"/>
      <c r="P49" s="188">
        <v>3</v>
      </c>
      <c r="Q49" s="188">
        <v>3153.3927347498297</v>
      </c>
      <c r="R49" s="185">
        <f t="shared" si="27"/>
        <v>1051.1309115832767</v>
      </c>
      <c r="S49" s="182">
        <f t="shared" si="31"/>
        <v>4</v>
      </c>
      <c r="T49" s="624"/>
      <c r="U49" s="188">
        <v>3</v>
      </c>
      <c r="V49" s="188">
        <v>3166.3099758370727</v>
      </c>
      <c r="W49" s="185">
        <f t="shared" si="28"/>
        <v>1055.4366586123576</v>
      </c>
      <c r="X49" s="182">
        <f t="shared" si="32"/>
        <v>6</v>
      </c>
      <c r="Y49" s="624"/>
      <c r="Z49" s="188">
        <v>3</v>
      </c>
      <c r="AA49" s="188">
        <v>3166.5198237885475</v>
      </c>
      <c r="AB49" s="185">
        <f t="shared" si="33"/>
        <v>1055.5066079295159</v>
      </c>
      <c r="AC49" s="182">
        <f t="shared" si="34"/>
        <v>6</v>
      </c>
      <c r="AD49" s="624"/>
      <c r="AE49" s="188">
        <v>3</v>
      </c>
      <c r="AF49" s="188">
        <v>3166.7001003008982</v>
      </c>
      <c r="AG49" s="185">
        <f t="shared" si="35"/>
        <v>1055.5667001002994</v>
      </c>
      <c r="AH49" s="182">
        <f t="shared" si="36"/>
        <v>6</v>
      </c>
      <c r="AI49" s="624"/>
      <c r="AJ49" s="188">
        <v>3</v>
      </c>
      <c r="AK49" s="188">
        <v>3169.295923769188</v>
      </c>
      <c r="AL49" s="185">
        <f t="shared" si="37"/>
        <v>1056.4319745897294</v>
      </c>
      <c r="AM49" s="182">
        <f t="shared" si="38"/>
        <v>2</v>
      </c>
      <c r="AN49" s="624"/>
      <c r="AO49" s="188">
        <v>3</v>
      </c>
      <c r="AP49" s="188">
        <v>3168.8190030110418</v>
      </c>
      <c r="AQ49" s="185">
        <f t="shared" si="39"/>
        <v>1056.2730010036805</v>
      </c>
      <c r="AR49" s="182">
        <f t="shared" si="40"/>
        <v>4</v>
      </c>
      <c r="AS49" s="624"/>
      <c r="AT49" s="188">
        <v>3</v>
      </c>
      <c r="AU49" s="188">
        <v>3169.0584529226467</v>
      </c>
      <c r="AV49" s="185">
        <f t="shared" si="41"/>
        <v>1056.3528176408822</v>
      </c>
      <c r="AW49" s="182">
        <f t="shared" si="42"/>
        <v>4</v>
      </c>
      <c r="AX49" s="624"/>
    </row>
    <row r="50" spans="2:50" ht="14.25" customHeight="1">
      <c r="B50" s="564"/>
      <c r="C50" s="180">
        <v>6</v>
      </c>
      <c r="D50" s="183" t="s">
        <v>343</v>
      </c>
      <c r="E50" s="184">
        <v>3</v>
      </c>
      <c r="F50" s="180">
        <v>3000</v>
      </c>
      <c r="G50" s="185">
        <f t="shared" si="29"/>
        <v>1000</v>
      </c>
      <c r="H50" s="625"/>
      <c r="I50" s="186">
        <f t="shared" si="30"/>
        <v>3</v>
      </c>
      <c r="J50" s="186">
        <f t="shared" si="30"/>
        <v>2693.7122070328778</v>
      </c>
      <c r="K50" s="187">
        <f t="shared" si="30"/>
        <v>897.90406901095923</v>
      </c>
      <c r="L50" s="626"/>
      <c r="M50" s="186">
        <f>RANK(K50, K$45:$K$77)</f>
        <v>10</v>
      </c>
      <c r="N50" s="631"/>
      <c r="O50" s="627"/>
      <c r="P50" s="188">
        <v>3</v>
      </c>
      <c r="Q50" s="188">
        <v>2693.5729094678632</v>
      </c>
      <c r="R50" s="185">
        <f t="shared" si="27"/>
        <v>897.85763648928776</v>
      </c>
      <c r="S50" s="182">
        <f t="shared" si="31"/>
        <v>10</v>
      </c>
      <c r="T50" s="624"/>
      <c r="U50" s="188">
        <v>3</v>
      </c>
      <c r="V50" s="188">
        <v>2693.5491329479783</v>
      </c>
      <c r="W50" s="185">
        <f t="shared" si="28"/>
        <v>897.84971098265942</v>
      </c>
      <c r="X50" s="182">
        <f t="shared" si="32"/>
        <v>10</v>
      </c>
      <c r="Y50" s="624"/>
      <c r="Z50" s="188">
        <v>3</v>
      </c>
      <c r="AA50" s="188">
        <v>2693.7375745526861</v>
      </c>
      <c r="AB50" s="185">
        <f t="shared" si="33"/>
        <v>897.91252485089535</v>
      </c>
      <c r="AC50" s="182">
        <f t="shared" si="34"/>
        <v>10</v>
      </c>
      <c r="AD50" s="624"/>
      <c r="AE50" s="188">
        <v>3</v>
      </c>
      <c r="AF50" s="188">
        <v>2693.4996717005884</v>
      </c>
      <c r="AG50" s="185">
        <f t="shared" si="35"/>
        <v>897.83322390019612</v>
      </c>
      <c r="AH50" s="182">
        <f t="shared" si="36"/>
        <v>11</v>
      </c>
      <c r="AI50" s="624"/>
      <c r="AJ50" s="188">
        <v>3</v>
      </c>
      <c r="AK50" s="188">
        <v>2693.6127069956033</v>
      </c>
      <c r="AL50" s="185">
        <f t="shared" si="37"/>
        <v>897.8709023318678</v>
      </c>
      <c r="AM50" s="182">
        <f t="shared" si="38"/>
        <v>10</v>
      </c>
      <c r="AN50" s="624"/>
      <c r="AO50" s="188">
        <v>3</v>
      </c>
      <c r="AP50" s="188">
        <v>2693.8667839085497</v>
      </c>
      <c r="AQ50" s="185">
        <f t="shared" si="39"/>
        <v>897.95559463618326</v>
      </c>
      <c r="AR50" s="182">
        <f t="shared" si="40"/>
        <v>10</v>
      </c>
      <c r="AS50" s="624"/>
      <c r="AT50" s="188">
        <v>3</v>
      </c>
      <c r="AU50" s="188">
        <v>2694.146669656875</v>
      </c>
      <c r="AV50" s="185">
        <f t="shared" si="41"/>
        <v>898.04888988562504</v>
      </c>
      <c r="AW50" s="182">
        <f t="shared" si="42"/>
        <v>10</v>
      </c>
      <c r="AX50" s="624"/>
    </row>
    <row r="51" spans="2:50" ht="14.25" customHeight="1">
      <c r="B51" s="564"/>
      <c r="C51" s="180">
        <v>7</v>
      </c>
      <c r="D51" s="183" t="s">
        <v>404</v>
      </c>
      <c r="E51" s="184">
        <v>3</v>
      </c>
      <c r="F51" s="180">
        <v>3600</v>
      </c>
      <c r="G51" s="185">
        <f t="shared" si="29"/>
        <v>1200</v>
      </c>
      <c r="H51" s="625"/>
      <c r="I51" s="186">
        <f t="shared" si="30"/>
        <v>3</v>
      </c>
      <c r="J51" s="186">
        <f t="shared" si="30"/>
        <v>3167.323229649618</v>
      </c>
      <c r="K51" s="187">
        <f t="shared" si="30"/>
        <v>1055.7744098832061</v>
      </c>
      <c r="L51" s="626"/>
      <c r="M51" s="186">
        <f>RANK(K51, K$45:$K$77)</f>
        <v>2</v>
      </c>
      <c r="N51" s="631"/>
      <c r="O51" s="627"/>
      <c r="P51" s="188">
        <v>3</v>
      </c>
      <c r="Q51" s="188">
        <v>3154.838709677419</v>
      </c>
      <c r="R51" s="185">
        <f t="shared" si="27"/>
        <v>1051.6129032258063</v>
      </c>
      <c r="S51" s="182">
        <f t="shared" si="31"/>
        <v>1</v>
      </c>
      <c r="T51" s="624"/>
      <c r="U51" s="188">
        <v>3</v>
      </c>
      <c r="V51" s="188">
        <v>3168.9473684210552</v>
      </c>
      <c r="W51" s="185">
        <f t="shared" si="28"/>
        <v>1056.3157894736851</v>
      </c>
      <c r="X51" s="182">
        <f t="shared" si="32"/>
        <v>1</v>
      </c>
      <c r="Y51" s="624"/>
      <c r="Z51" s="188">
        <v>3</v>
      </c>
      <c r="AA51" s="188">
        <v>3169.537366548047</v>
      </c>
      <c r="AB51" s="185">
        <f t="shared" si="33"/>
        <v>1056.5124555160157</v>
      </c>
      <c r="AC51" s="182">
        <f t="shared" si="34"/>
        <v>2</v>
      </c>
      <c r="AD51" s="624"/>
      <c r="AE51" s="188">
        <v>3</v>
      </c>
      <c r="AF51" s="188">
        <v>3168.4315684315638</v>
      </c>
      <c r="AG51" s="185">
        <f t="shared" si="35"/>
        <v>1056.1438561438547</v>
      </c>
      <c r="AH51" s="182">
        <f t="shared" si="36"/>
        <v>3</v>
      </c>
      <c r="AI51" s="624"/>
      <c r="AJ51" s="188">
        <v>3</v>
      </c>
      <c r="AK51" s="188">
        <v>3169.2307692307609</v>
      </c>
      <c r="AL51" s="185">
        <f t="shared" si="37"/>
        <v>1056.4102564102536</v>
      </c>
      <c r="AM51" s="182">
        <f t="shared" si="38"/>
        <v>3</v>
      </c>
      <c r="AN51" s="624"/>
      <c r="AO51" s="188">
        <v>3</v>
      </c>
      <c r="AP51" s="188">
        <v>3169.7674418604652</v>
      </c>
      <c r="AQ51" s="185">
        <f t="shared" si="39"/>
        <v>1056.5891472868218</v>
      </c>
      <c r="AR51" s="182">
        <f t="shared" si="40"/>
        <v>2</v>
      </c>
      <c r="AS51" s="624"/>
      <c r="AT51" s="188">
        <v>3</v>
      </c>
      <c r="AU51" s="188">
        <v>3170.5093833780165</v>
      </c>
      <c r="AV51" s="185">
        <f t="shared" si="41"/>
        <v>1056.8364611260056</v>
      </c>
      <c r="AW51" s="182">
        <f t="shared" si="42"/>
        <v>1</v>
      </c>
      <c r="AX51" s="624"/>
    </row>
    <row r="52" spans="2:50" ht="14.25" customHeight="1">
      <c r="B52" s="564"/>
      <c r="C52" s="180">
        <v>8</v>
      </c>
      <c r="D52" s="183" t="s">
        <v>403</v>
      </c>
      <c r="E52" s="184">
        <v>4</v>
      </c>
      <c r="F52" s="180">
        <v>3300</v>
      </c>
      <c r="G52" s="185">
        <f t="shared" si="29"/>
        <v>825</v>
      </c>
      <c r="H52" s="625"/>
      <c r="I52" s="186">
        <f t="shared" si="30"/>
        <v>4</v>
      </c>
      <c r="J52" s="186">
        <f t="shared" si="30"/>
        <v>2937.1289210073546</v>
      </c>
      <c r="K52" s="187">
        <f t="shared" si="30"/>
        <v>734.28223025183866</v>
      </c>
      <c r="L52" s="626"/>
      <c r="M52" s="186">
        <f>RANK(K52, K$45:$K$77)</f>
        <v>18</v>
      </c>
      <c r="N52" s="631"/>
      <c r="O52" s="627"/>
      <c r="P52" s="188">
        <v>4</v>
      </c>
      <c r="Q52" s="188">
        <v>2935.2769679300291</v>
      </c>
      <c r="R52" s="185">
        <f t="shared" si="27"/>
        <v>733.81924198250726</v>
      </c>
      <c r="S52" s="182">
        <f t="shared" si="31"/>
        <v>16</v>
      </c>
      <c r="T52" s="624"/>
      <c r="U52" s="188">
        <v>4</v>
      </c>
      <c r="V52" s="188">
        <v>2935.6223175965638</v>
      </c>
      <c r="W52" s="185">
        <f t="shared" si="28"/>
        <v>733.90557939914095</v>
      </c>
      <c r="X52" s="182">
        <f t="shared" si="32"/>
        <v>19</v>
      </c>
      <c r="Y52" s="624"/>
      <c r="Z52" s="188">
        <v>4</v>
      </c>
      <c r="AA52" s="188">
        <v>2936.6958311888829</v>
      </c>
      <c r="AB52" s="185">
        <f t="shared" si="33"/>
        <v>734.17395779722074</v>
      </c>
      <c r="AC52" s="182">
        <f t="shared" si="34"/>
        <v>19</v>
      </c>
      <c r="AD52" s="624"/>
      <c r="AE52" s="188">
        <v>4</v>
      </c>
      <c r="AF52" s="188">
        <v>2937.1257485029951</v>
      </c>
      <c r="AG52" s="185">
        <f t="shared" si="35"/>
        <v>734.28143712574877</v>
      </c>
      <c r="AH52" s="182">
        <f t="shared" si="36"/>
        <v>18</v>
      </c>
      <c r="AI52" s="624"/>
      <c r="AJ52" s="188">
        <v>4</v>
      </c>
      <c r="AK52" s="188">
        <v>2938.474159146841</v>
      </c>
      <c r="AL52" s="185">
        <f t="shared" si="37"/>
        <v>734.61853978671024</v>
      </c>
      <c r="AM52" s="182">
        <f t="shared" si="38"/>
        <v>18</v>
      </c>
      <c r="AN52" s="624"/>
      <c r="AO52" s="188">
        <v>4</v>
      </c>
      <c r="AP52" s="188">
        <v>2938.1852551984894</v>
      </c>
      <c r="AQ52" s="185">
        <f t="shared" si="39"/>
        <v>734.54631379962234</v>
      </c>
      <c r="AR52" s="182">
        <f t="shared" si="40"/>
        <v>18</v>
      </c>
      <c r="AS52" s="624"/>
      <c r="AT52" s="188">
        <v>4</v>
      </c>
      <c r="AU52" s="188">
        <v>2938.5221674876825</v>
      </c>
      <c r="AV52" s="185">
        <f t="shared" si="41"/>
        <v>734.63054187192063</v>
      </c>
      <c r="AW52" s="182">
        <f t="shared" si="42"/>
        <v>19</v>
      </c>
      <c r="AX52" s="624"/>
    </row>
    <row r="53" spans="2:50" ht="14.25" customHeight="1">
      <c r="B53" s="564"/>
      <c r="C53" s="180">
        <v>9</v>
      </c>
      <c r="D53" s="183" t="s">
        <v>401</v>
      </c>
      <c r="E53" s="184">
        <v>4</v>
      </c>
      <c r="F53" s="180">
        <v>3300</v>
      </c>
      <c r="G53" s="185">
        <f t="shared" si="29"/>
        <v>825</v>
      </c>
      <c r="H53" s="625"/>
      <c r="I53" s="186">
        <f t="shared" si="30"/>
        <v>4</v>
      </c>
      <c r="J53" s="186">
        <f t="shared" si="30"/>
        <v>2936.8790735798698</v>
      </c>
      <c r="K53" s="187">
        <f t="shared" si="30"/>
        <v>734.21976839496745</v>
      </c>
      <c r="L53" s="626"/>
      <c r="M53" s="186">
        <f>RANK(K53, K$45:$K$77)</f>
        <v>19</v>
      </c>
      <c r="N53" s="631"/>
      <c r="O53" s="627"/>
      <c r="P53" s="188">
        <v>4</v>
      </c>
      <c r="Q53" s="188">
        <v>2934.0214370782069</v>
      </c>
      <c r="R53" s="185">
        <f t="shared" si="27"/>
        <v>733.50535926955172</v>
      </c>
      <c r="S53" s="182">
        <f t="shared" si="31"/>
        <v>19</v>
      </c>
      <c r="T53" s="624"/>
      <c r="U53" s="188">
        <v>4</v>
      </c>
      <c r="V53" s="188">
        <v>2936.1600000000012</v>
      </c>
      <c r="W53" s="185">
        <f t="shared" si="28"/>
        <v>734.0400000000003</v>
      </c>
      <c r="X53" s="182">
        <f t="shared" si="32"/>
        <v>18</v>
      </c>
      <c r="Y53" s="624"/>
      <c r="Z53" s="188">
        <v>4</v>
      </c>
      <c r="AA53" s="188">
        <v>2936.7609254498707</v>
      </c>
      <c r="AB53" s="185">
        <f t="shared" si="33"/>
        <v>734.19023136246767</v>
      </c>
      <c r="AC53" s="182">
        <f t="shared" si="34"/>
        <v>18</v>
      </c>
      <c r="AD53" s="624"/>
      <c r="AE53" s="188">
        <v>4</v>
      </c>
      <c r="AF53" s="188">
        <v>2936.6245694603949</v>
      </c>
      <c r="AG53" s="185">
        <f t="shared" si="35"/>
        <v>734.15614236509873</v>
      </c>
      <c r="AH53" s="182">
        <f t="shared" si="36"/>
        <v>19</v>
      </c>
      <c r="AI53" s="624"/>
      <c r="AJ53" s="188">
        <v>4</v>
      </c>
      <c r="AK53" s="188">
        <v>2938.0863039399615</v>
      </c>
      <c r="AL53" s="185">
        <f t="shared" si="37"/>
        <v>734.52157598499036</v>
      </c>
      <c r="AM53" s="182">
        <f t="shared" si="38"/>
        <v>19</v>
      </c>
      <c r="AN53" s="624"/>
      <c r="AO53" s="188">
        <v>4</v>
      </c>
      <c r="AP53" s="188">
        <v>2937.9636937648002</v>
      </c>
      <c r="AQ53" s="185">
        <f t="shared" si="39"/>
        <v>734.49092344120004</v>
      </c>
      <c r="AR53" s="182">
        <f t="shared" si="40"/>
        <v>19</v>
      </c>
      <c r="AS53" s="624"/>
      <c r="AT53" s="188">
        <v>4</v>
      </c>
      <c r="AU53" s="188">
        <v>2938.5365853658559</v>
      </c>
      <c r="AV53" s="185">
        <f t="shared" si="41"/>
        <v>734.63414634146397</v>
      </c>
      <c r="AW53" s="182">
        <f t="shared" si="42"/>
        <v>18</v>
      </c>
      <c r="AX53" s="624"/>
    </row>
    <row r="54" spans="2:50" ht="14.25" customHeight="1">
      <c r="B54" s="564"/>
      <c r="C54" s="180">
        <v>10</v>
      </c>
      <c r="D54" s="183" t="s">
        <v>462</v>
      </c>
      <c r="E54" s="184">
        <v>4</v>
      </c>
      <c r="F54" s="180">
        <v>3300</v>
      </c>
      <c r="G54" s="185">
        <f t="shared" si="29"/>
        <v>825</v>
      </c>
      <c r="H54" s="625"/>
      <c r="I54" s="186">
        <f t="shared" si="30"/>
        <v>4</v>
      </c>
      <c r="J54" s="186">
        <f t="shared" si="30"/>
        <v>2967.5220352081988</v>
      </c>
      <c r="K54" s="187">
        <f t="shared" si="30"/>
        <v>741.88050880204969</v>
      </c>
      <c r="L54" s="626"/>
      <c r="M54" s="186">
        <f>RANK(K54, K$45:$K$77)</f>
        <v>14</v>
      </c>
      <c r="N54" s="631"/>
      <c r="O54" s="627"/>
      <c r="P54" s="188">
        <v>4</v>
      </c>
      <c r="Q54" s="188">
        <v>2968.4210526315769</v>
      </c>
      <c r="R54" s="185">
        <f t="shared" si="27"/>
        <v>742.10526315789423</v>
      </c>
      <c r="S54" s="182">
        <f t="shared" si="31"/>
        <v>14</v>
      </c>
      <c r="T54" s="624"/>
      <c r="U54" s="188">
        <v>4</v>
      </c>
      <c r="V54" s="188">
        <v>2968.5521536066417</v>
      </c>
      <c r="W54" s="185">
        <f t="shared" si="28"/>
        <v>742.13803840166042</v>
      </c>
      <c r="X54" s="182">
        <f t="shared" si="32"/>
        <v>14</v>
      </c>
      <c r="Y54" s="624"/>
      <c r="Z54" s="188">
        <v>4</v>
      </c>
      <c r="AA54" s="188">
        <v>2968.2451253481904</v>
      </c>
      <c r="AB54" s="185">
        <f t="shared" si="33"/>
        <v>742.0612813370476</v>
      </c>
      <c r="AC54" s="182">
        <f t="shared" si="34"/>
        <v>14</v>
      </c>
      <c r="AD54" s="624"/>
      <c r="AE54" s="188">
        <v>4</v>
      </c>
      <c r="AF54" s="188">
        <v>2967.1232876712238</v>
      </c>
      <c r="AG54" s="185">
        <f t="shared" si="35"/>
        <v>741.78082191780595</v>
      </c>
      <c r="AH54" s="182">
        <f t="shared" si="36"/>
        <v>14</v>
      </c>
      <c r="AI54" s="624"/>
      <c r="AJ54" s="188">
        <v>4</v>
      </c>
      <c r="AK54" s="188">
        <v>2966.0933660933688</v>
      </c>
      <c r="AL54" s="185">
        <f t="shared" si="37"/>
        <v>741.5233415233422</v>
      </c>
      <c r="AM54" s="182">
        <f t="shared" si="38"/>
        <v>14</v>
      </c>
      <c r="AN54" s="624"/>
      <c r="AO54" s="188">
        <v>4</v>
      </c>
      <c r="AP54" s="188">
        <v>2967.3946165566244</v>
      </c>
      <c r="AQ54" s="185">
        <f t="shared" si="39"/>
        <v>741.84865413915611</v>
      </c>
      <c r="AR54" s="182">
        <f t="shared" si="40"/>
        <v>14</v>
      </c>
      <c r="AS54" s="624"/>
      <c r="AT54" s="188">
        <v>4</v>
      </c>
      <c r="AU54" s="188">
        <v>2966.8246445497639</v>
      </c>
      <c r="AV54" s="185">
        <f t="shared" si="41"/>
        <v>741.70616113744097</v>
      </c>
      <c r="AW54" s="182">
        <f t="shared" si="42"/>
        <v>14</v>
      </c>
      <c r="AX54" s="624"/>
    </row>
    <row r="55" spans="2:50" ht="14.25" customHeight="1">
      <c r="B55" s="564"/>
      <c r="C55" s="180">
        <v>11</v>
      </c>
      <c r="D55" s="183" t="s">
        <v>230</v>
      </c>
      <c r="E55" s="184">
        <v>3</v>
      </c>
      <c r="F55" s="180">
        <v>3000</v>
      </c>
      <c r="G55" s="185">
        <f t="shared" si="29"/>
        <v>1000</v>
      </c>
      <c r="H55" s="625"/>
      <c r="I55" s="186">
        <f t="shared" si="30"/>
        <v>3</v>
      </c>
      <c r="J55" s="186">
        <f t="shared" si="30"/>
        <v>2693.4725064208128</v>
      </c>
      <c r="K55" s="187">
        <f t="shared" si="30"/>
        <v>897.82416880693745</v>
      </c>
      <c r="L55" s="626"/>
      <c r="M55" s="186">
        <f>RANK(K55, K$45:$K$77)</f>
        <v>11</v>
      </c>
      <c r="N55" s="631"/>
      <c r="O55" s="627"/>
      <c r="P55" s="188">
        <v>3</v>
      </c>
      <c r="Q55" s="188">
        <v>2693.4650014522222</v>
      </c>
      <c r="R55" s="185">
        <f t="shared" si="27"/>
        <v>897.82166715074072</v>
      </c>
      <c r="S55" s="182">
        <f t="shared" si="31"/>
        <v>11</v>
      </c>
      <c r="T55" s="624"/>
      <c r="U55" s="188">
        <v>3</v>
      </c>
      <c r="V55" s="188">
        <v>2693.1297709923665</v>
      </c>
      <c r="W55" s="185">
        <f t="shared" si="28"/>
        <v>897.70992366412213</v>
      </c>
      <c r="X55" s="182">
        <f t="shared" si="32"/>
        <v>11</v>
      </c>
      <c r="Y55" s="624"/>
      <c r="Z55" s="188">
        <v>3</v>
      </c>
      <c r="AA55" s="188">
        <v>2693.5168881062914</v>
      </c>
      <c r="AB55" s="185">
        <f t="shared" si="33"/>
        <v>897.83896270209709</v>
      </c>
      <c r="AC55" s="182">
        <f t="shared" si="34"/>
        <v>11</v>
      </c>
      <c r="AD55" s="624"/>
      <c r="AE55" s="188">
        <v>3</v>
      </c>
      <c r="AF55" s="188">
        <v>2693.5420743639925</v>
      </c>
      <c r="AG55" s="185">
        <f t="shared" si="35"/>
        <v>897.84735812133079</v>
      </c>
      <c r="AH55" s="182">
        <f t="shared" si="36"/>
        <v>10</v>
      </c>
      <c r="AI55" s="624"/>
      <c r="AJ55" s="188">
        <v>3</v>
      </c>
      <c r="AK55" s="188">
        <v>2693.4706295342835</v>
      </c>
      <c r="AL55" s="185">
        <f t="shared" si="37"/>
        <v>897.8235431780945</v>
      </c>
      <c r="AM55" s="182">
        <f t="shared" si="38"/>
        <v>11</v>
      </c>
      <c r="AN55" s="624"/>
      <c r="AO55" s="188">
        <v>3</v>
      </c>
      <c r="AP55" s="188">
        <v>2693.536121673003</v>
      </c>
      <c r="AQ55" s="185">
        <f t="shared" si="39"/>
        <v>897.84537389100103</v>
      </c>
      <c r="AR55" s="182">
        <f t="shared" si="40"/>
        <v>11</v>
      </c>
      <c r="AS55" s="624"/>
      <c r="AT55" s="188">
        <v>3</v>
      </c>
      <c r="AU55" s="188">
        <v>2693.6470588235288</v>
      </c>
      <c r="AV55" s="185">
        <f t="shared" si="41"/>
        <v>897.88235294117624</v>
      </c>
      <c r="AW55" s="182">
        <f t="shared" si="42"/>
        <v>11</v>
      </c>
      <c r="AX55" s="624"/>
    </row>
    <row r="56" spans="2:50" ht="14.25" customHeight="1">
      <c r="B56" s="564"/>
      <c r="C56" s="180">
        <v>12</v>
      </c>
      <c r="D56" s="183" t="s">
        <v>481</v>
      </c>
      <c r="E56" s="184">
        <v>12</v>
      </c>
      <c r="F56" s="180">
        <v>3600</v>
      </c>
      <c r="G56" s="185">
        <f t="shared" si="29"/>
        <v>300</v>
      </c>
      <c r="H56" s="625"/>
      <c r="I56" s="186">
        <f t="shared" si="30"/>
        <v>12</v>
      </c>
      <c r="J56" s="186">
        <f t="shared" si="30"/>
        <v>3125.3274077745223</v>
      </c>
      <c r="K56" s="187">
        <f t="shared" si="30"/>
        <v>260.44395064787687</v>
      </c>
      <c r="L56" s="626"/>
      <c r="M56" s="186">
        <f>RANK(K56, K$45:$K$77)</f>
        <v>30</v>
      </c>
      <c r="N56" s="631"/>
      <c r="O56" s="627"/>
      <c r="P56" s="188">
        <v>12</v>
      </c>
      <c r="Q56" s="188">
        <v>3125.1442704039587</v>
      </c>
      <c r="R56" s="185">
        <f t="shared" si="27"/>
        <v>260.42868920032987</v>
      </c>
      <c r="S56" s="182">
        <f t="shared" si="31"/>
        <v>30</v>
      </c>
      <c r="T56" s="624"/>
      <c r="U56" s="188">
        <v>12</v>
      </c>
      <c r="V56" s="188">
        <v>3125.1939567170266</v>
      </c>
      <c r="W56" s="185">
        <f t="shared" si="28"/>
        <v>260.4328297264189</v>
      </c>
      <c r="X56" s="182">
        <f t="shared" si="32"/>
        <v>30</v>
      </c>
      <c r="Y56" s="624"/>
      <c r="Z56" s="188">
        <v>12</v>
      </c>
      <c r="AA56" s="188">
        <v>3126.0237780713342</v>
      </c>
      <c r="AB56" s="185">
        <f t="shared" si="33"/>
        <v>260.50198150594451</v>
      </c>
      <c r="AC56" s="182">
        <f t="shared" si="34"/>
        <v>29</v>
      </c>
      <c r="AD56" s="624"/>
      <c r="AE56" s="188">
        <v>12</v>
      </c>
      <c r="AF56" s="188">
        <v>3126.096997690533</v>
      </c>
      <c r="AG56" s="185">
        <f t="shared" si="35"/>
        <v>260.50808314087777</v>
      </c>
      <c r="AH56" s="182">
        <f t="shared" si="36"/>
        <v>29</v>
      </c>
      <c r="AI56" s="624"/>
      <c r="AJ56" s="188">
        <v>12</v>
      </c>
      <c r="AK56" s="188">
        <v>3124.8513674197338</v>
      </c>
      <c r="AL56" s="185">
        <f t="shared" si="37"/>
        <v>260.40428061831113</v>
      </c>
      <c r="AM56" s="182">
        <f t="shared" si="38"/>
        <v>30</v>
      </c>
      <c r="AN56" s="624"/>
      <c r="AO56" s="188">
        <v>12</v>
      </c>
      <c r="AP56" s="188">
        <v>3124.9394673123443</v>
      </c>
      <c r="AQ56" s="185">
        <f t="shared" si="39"/>
        <v>260.41162227602871</v>
      </c>
      <c r="AR56" s="182">
        <f t="shared" si="40"/>
        <v>30</v>
      </c>
      <c r="AS56" s="624"/>
      <c r="AT56" s="188">
        <v>12</v>
      </c>
      <c r="AU56" s="188">
        <v>3125.0420168067235</v>
      </c>
      <c r="AV56" s="185">
        <f t="shared" si="41"/>
        <v>260.42016806722694</v>
      </c>
      <c r="AW56" s="182">
        <f t="shared" si="42"/>
        <v>30</v>
      </c>
      <c r="AX56" s="624"/>
    </row>
    <row r="57" spans="2:50" ht="14.25" customHeight="1">
      <c r="B57" s="564"/>
      <c r="C57" s="180">
        <v>13</v>
      </c>
      <c r="D57" s="183" t="s">
        <v>516</v>
      </c>
      <c r="E57" s="184">
        <v>3</v>
      </c>
      <c r="F57" s="180">
        <v>3300</v>
      </c>
      <c r="G57" s="185">
        <f t="shared" si="29"/>
        <v>1100</v>
      </c>
      <c r="H57" s="625"/>
      <c r="I57" s="186">
        <f t="shared" si="30"/>
        <v>3</v>
      </c>
      <c r="J57" s="186">
        <f t="shared" si="30"/>
        <v>2964.7676530973808</v>
      </c>
      <c r="K57" s="187">
        <f t="shared" si="30"/>
        <v>988.25588436579358</v>
      </c>
      <c r="L57" s="626"/>
      <c r="M57" s="186">
        <f>RANK(K57, K$45:$K$77)</f>
        <v>8</v>
      </c>
      <c r="N57" s="631"/>
      <c r="O57" s="627"/>
      <c r="P57" s="188">
        <v>3</v>
      </c>
      <c r="Q57" s="188">
        <v>2963.7829592503804</v>
      </c>
      <c r="R57" s="185">
        <f t="shared" si="27"/>
        <v>987.92765308346009</v>
      </c>
      <c r="S57" s="182">
        <f t="shared" si="31"/>
        <v>8</v>
      </c>
      <c r="T57" s="624"/>
      <c r="U57" s="188">
        <v>3</v>
      </c>
      <c r="V57" s="188">
        <v>2964.1370047011433</v>
      </c>
      <c r="W57" s="185">
        <f t="shared" si="28"/>
        <v>988.04566823371442</v>
      </c>
      <c r="X57" s="182">
        <f t="shared" si="32"/>
        <v>8</v>
      </c>
      <c r="Y57" s="624"/>
      <c r="Z57" s="188">
        <v>3</v>
      </c>
      <c r="AA57" s="188">
        <v>2964.3492903536198</v>
      </c>
      <c r="AB57" s="185">
        <f t="shared" si="33"/>
        <v>988.11643011787328</v>
      </c>
      <c r="AC57" s="182">
        <f t="shared" si="34"/>
        <v>8</v>
      </c>
      <c r="AD57" s="624"/>
      <c r="AE57" s="188">
        <v>3</v>
      </c>
      <c r="AF57" s="188">
        <v>2964.9661954517528</v>
      </c>
      <c r="AG57" s="185">
        <f t="shared" si="35"/>
        <v>988.32206515058431</v>
      </c>
      <c r="AH57" s="182">
        <f t="shared" si="36"/>
        <v>8</v>
      </c>
      <c r="AI57" s="624"/>
      <c r="AJ57" s="188">
        <v>3</v>
      </c>
      <c r="AK57" s="188">
        <v>2965.1118210862605</v>
      </c>
      <c r="AL57" s="185">
        <f t="shared" si="37"/>
        <v>988.37060702875351</v>
      </c>
      <c r="AM57" s="182">
        <f t="shared" si="38"/>
        <v>8</v>
      </c>
      <c r="AN57" s="624"/>
      <c r="AO57" s="188">
        <v>3</v>
      </c>
      <c r="AP57" s="188">
        <v>2965.3310839308333</v>
      </c>
      <c r="AQ57" s="185">
        <f t="shared" si="39"/>
        <v>988.44369464361114</v>
      </c>
      <c r="AR57" s="182">
        <f t="shared" si="40"/>
        <v>8</v>
      </c>
      <c r="AS57" s="624"/>
      <c r="AT57" s="188">
        <v>3</v>
      </c>
      <c r="AU57" s="188">
        <v>2965.6952169076758</v>
      </c>
      <c r="AV57" s="185">
        <f t="shared" si="41"/>
        <v>988.56507230255863</v>
      </c>
      <c r="AW57" s="182">
        <f t="shared" si="42"/>
        <v>8</v>
      </c>
      <c r="AX57" s="624"/>
    </row>
    <row r="58" spans="2:50" ht="14.25" customHeight="1">
      <c r="B58" s="564"/>
      <c r="C58" s="180">
        <v>14</v>
      </c>
      <c r="D58" s="183" t="s">
        <v>546</v>
      </c>
      <c r="E58" s="184">
        <v>5</v>
      </c>
      <c r="F58" s="180">
        <v>3300</v>
      </c>
      <c r="G58" s="185">
        <f t="shared" si="29"/>
        <v>660</v>
      </c>
      <c r="H58" s="625"/>
      <c r="I58" s="186">
        <f t="shared" si="30"/>
        <v>5</v>
      </c>
      <c r="J58" s="186">
        <f t="shared" si="30"/>
        <v>2964.5826230600937</v>
      </c>
      <c r="K58" s="187">
        <f t="shared" si="30"/>
        <v>592.91652461201863</v>
      </c>
      <c r="L58" s="626"/>
      <c r="M58" s="186">
        <f>RANK(K58, K$45:$K$77)</f>
        <v>27</v>
      </c>
      <c r="N58" s="631"/>
      <c r="O58" s="627"/>
      <c r="P58" s="188">
        <v>5</v>
      </c>
      <c r="Q58" s="188">
        <v>2963.5714285714243</v>
      </c>
      <c r="R58" s="185">
        <f t="shared" si="27"/>
        <v>592.71428571428487</v>
      </c>
      <c r="S58" s="182">
        <f t="shared" si="31"/>
        <v>27</v>
      </c>
      <c r="T58" s="624"/>
      <c r="U58" s="188">
        <v>5</v>
      </c>
      <c r="V58" s="188">
        <v>2964.6090534979467</v>
      </c>
      <c r="W58" s="185">
        <f t="shared" si="28"/>
        <v>592.92181069958929</v>
      </c>
      <c r="X58" s="182">
        <f t="shared" si="32"/>
        <v>27</v>
      </c>
      <c r="Y58" s="624"/>
      <c r="Z58" s="188">
        <v>5</v>
      </c>
      <c r="AA58" s="188">
        <v>2964.1509433962251</v>
      </c>
      <c r="AB58" s="185">
        <f t="shared" si="33"/>
        <v>592.830188679245</v>
      </c>
      <c r="AC58" s="182">
        <f t="shared" si="34"/>
        <v>27</v>
      </c>
      <c r="AD58" s="624"/>
      <c r="AE58" s="188">
        <v>5</v>
      </c>
      <c r="AF58" s="188">
        <v>2963.3357296908698</v>
      </c>
      <c r="AG58" s="185">
        <f t="shared" si="35"/>
        <v>592.66714593817392</v>
      </c>
      <c r="AH58" s="182">
        <f t="shared" si="36"/>
        <v>27</v>
      </c>
      <c r="AI58" s="624"/>
      <c r="AJ58" s="188">
        <v>5</v>
      </c>
      <c r="AK58" s="188">
        <v>2964.7058823529392</v>
      </c>
      <c r="AL58" s="185">
        <f t="shared" si="37"/>
        <v>592.94117647058783</v>
      </c>
      <c r="AM58" s="182">
        <f t="shared" si="38"/>
        <v>27</v>
      </c>
      <c r="AN58" s="624"/>
      <c r="AO58" s="188">
        <v>5</v>
      </c>
      <c r="AP58" s="188">
        <v>2965.4064272211772</v>
      </c>
      <c r="AQ58" s="185">
        <f t="shared" si="39"/>
        <v>593.08128544423539</v>
      </c>
      <c r="AR58" s="182">
        <f t="shared" si="40"/>
        <v>27</v>
      </c>
      <c r="AS58" s="624"/>
      <c r="AT58" s="188">
        <v>5</v>
      </c>
      <c r="AU58" s="188">
        <v>2966.2988966900725</v>
      </c>
      <c r="AV58" s="185">
        <f t="shared" si="41"/>
        <v>593.25977933801448</v>
      </c>
      <c r="AW58" s="182">
        <f t="shared" si="42"/>
        <v>26</v>
      </c>
      <c r="AX58" s="624"/>
    </row>
    <row r="59" spans="2:50" ht="14.25" customHeight="1">
      <c r="B59" s="564"/>
      <c r="C59" s="180">
        <v>15</v>
      </c>
      <c r="D59" s="183" t="s">
        <v>415</v>
      </c>
      <c r="E59" s="184">
        <v>5</v>
      </c>
      <c r="F59" s="180">
        <v>3600</v>
      </c>
      <c r="G59" s="185">
        <f t="shared" si="29"/>
        <v>720</v>
      </c>
      <c r="H59" s="625"/>
      <c r="I59" s="186">
        <f t="shared" si="30"/>
        <v>5</v>
      </c>
      <c r="J59" s="186">
        <f t="shared" si="30"/>
        <v>3166.4618560184085</v>
      </c>
      <c r="K59" s="187">
        <f t="shared" si="30"/>
        <v>633.29237120368168</v>
      </c>
      <c r="L59" s="626"/>
      <c r="M59" s="186">
        <f>RANK(K59, K$45:$K$77)</f>
        <v>23</v>
      </c>
      <c r="N59" s="631"/>
      <c r="O59" s="627"/>
      <c r="P59" s="188">
        <v>5</v>
      </c>
      <c r="Q59" s="188">
        <v>3153.9913895451309</v>
      </c>
      <c r="R59" s="185">
        <f t="shared" si="27"/>
        <v>630.79827790902618</v>
      </c>
      <c r="S59" s="182">
        <f t="shared" si="31"/>
        <v>22</v>
      </c>
      <c r="T59" s="624"/>
      <c r="U59" s="188">
        <v>5</v>
      </c>
      <c r="V59" s="188">
        <v>3167.356538726217</v>
      </c>
      <c r="W59" s="185">
        <f t="shared" si="28"/>
        <v>633.47130774524339</v>
      </c>
      <c r="X59" s="182">
        <f t="shared" si="32"/>
        <v>23</v>
      </c>
      <c r="Y59" s="624"/>
      <c r="Z59" s="188">
        <v>5</v>
      </c>
      <c r="AA59" s="188">
        <v>3168.5222897808217</v>
      </c>
      <c r="AB59" s="185">
        <f t="shared" si="33"/>
        <v>633.70445795616433</v>
      </c>
      <c r="AC59" s="182">
        <f t="shared" si="34"/>
        <v>23</v>
      </c>
      <c r="AD59" s="624"/>
      <c r="AE59" s="188">
        <v>5</v>
      </c>
      <c r="AF59" s="188">
        <v>3168.790488832889</v>
      </c>
      <c r="AG59" s="185">
        <f t="shared" si="35"/>
        <v>633.75809776657775</v>
      </c>
      <c r="AH59" s="182">
        <f t="shared" si="36"/>
        <v>23</v>
      </c>
      <c r="AI59" s="624"/>
      <c r="AJ59" s="188">
        <v>5</v>
      </c>
      <c r="AK59" s="188">
        <v>3168.6039048450366</v>
      </c>
      <c r="AL59" s="185">
        <f t="shared" si="37"/>
        <v>633.72078096900736</v>
      </c>
      <c r="AM59" s="182">
        <f t="shared" si="38"/>
        <v>23</v>
      </c>
      <c r="AN59" s="624"/>
      <c r="AO59" s="188">
        <v>5</v>
      </c>
      <c r="AP59" s="188">
        <v>3169.01408450704</v>
      </c>
      <c r="AQ59" s="185">
        <f t="shared" si="39"/>
        <v>633.80281690140805</v>
      </c>
      <c r="AR59" s="182">
        <f t="shared" si="40"/>
        <v>23</v>
      </c>
      <c r="AS59" s="624"/>
      <c r="AT59" s="188">
        <v>5</v>
      </c>
      <c r="AU59" s="188">
        <v>3168.9542958917277</v>
      </c>
      <c r="AV59" s="185">
        <f t="shared" si="41"/>
        <v>633.7908591783455</v>
      </c>
      <c r="AW59" s="182">
        <f t="shared" si="42"/>
        <v>23</v>
      </c>
      <c r="AX59" s="624"/>
    </row>
    <row r="60" spans="2:50" ht="14.25" customHeight="1">
      <c r="B60" s="564"/>
      <c r="C60" s="180">
        <v>16</v>
      </c>
      <c r="D60" s="183" t="s">
        <v>414</v>
      </c>
      <c r="E60" s="184">
        <v>3</v>
      </c>
      <c r="F60" s="180">
        <v>3600</v>
      </c>
      <c r="G60" s="185">
        <f t="shared" si="29"/>
        <v>1200</v>
      </c>
      <c r="H60" s="625"/>
      <c r="I60" s="186">
        <f t="shared" si="30"/>
        <v>3</v>
      </c>
      <c r="J60" s="186">
        <f t="shared" si="30"/>
        <v>3165.0733901321059</v>
      </c>
      <c r="K60" s="187">
        <f t="shared" si="30"/>
        <v>1055.0244633773684</v>
      </c>
      <c r="L60" s="626"/>
      <c r="M60" s="186">
        <f>RANK(K60, K$45:$K$77)</f>
        <v>6</v>
      </c>
      <c r="N60" s="631"/>
      <c r="O60" s="627"/>
      <c r="P60" s="188">
        <v>3</v>
      </c>
      <c r="Q60" s="188">
        <v>3150.2039725196391</v>
      </c>
      <c r="R60" s="185">
        <f t="shared" si="27"/>
        <v>1050.0679908398797</v>
      </c>
      <c r="S60" s="182">
        <f t="shared" si="31"/>
        <v>5</v>
      </c>
      <c r="T60" s="624"/>
      <c r="U60" s="188">
        <v>3</v>
      </c>
      <c r="V60" s="188">
        <v>3167.6636292701014</v>
      </c>
      <c r="W60" s="185">
        <f t="shared" si="28"/>
        <v>1055.8878764233671</v>
      </c>
      <c r="X60" s="182">
        <f t="shared" si="32"/>
        <v>3</v>
      </c>
      <c r="Y60" s="624"/>
      <c r="Z60" s="188">
        <v>3</v>
      </c>
      <c r="AA60" s="188">
        <v>3166.8867056452932</v>
      </c>
      <c r="AB60" s="185">
        <f t="shared" si="33"/>
        <v>1055.6289018817645</v>
      </c>
      <c r="AC60" s="182">
        <f t="shared" si="34"/>
        <v>5</v>
      </c>
      <c r="AD60" s="624"/>
      <c r="AE60" s="188">
        <v>3</v>
      </c>
      <c r="AF60" s="188">
        <v>3166.9797353193808</v>
      </c>
      <c r="AG60" s="185">
        <f t="shared" si="35"/>
        <v>1055.6599117731269</v>
      </c>
      <c r="AH60" s="182">
        <f t="shared" si="36"/>
        <v>5</v>
      </c>
      <c r="AI60" s="624"/>
      <c r="AJ60" s="188">
        <v>3</v>
      </c>
      <c r="AK60" s="188">
        <v>3167.2600007738229</v>
      </c>
      <c r="AL60" s="185">
        <f t="shared" si="37"/>
        <v>1055.7533335912742</v>
      </c>
      <c r="AM60" s="182">
        <f t="shared" si="38"/>
        <v>6</v>
      </c>
      <c r="AN60" s="624"/>
      <c r="AO60" s="188">
        <v>3</v>
      </c>
      <c r="AP60" s="188">
        <v>3167.8649910339213</v>
      </c>
      <c r="AQ60" s="185">
        <f t="shared" si="39"/>
        <v>1055.9549970113071</v>
      </c>
      <c r="AR60" s="182">
        <f t="shared" si="40"/>
        <v>6</v>
      </c>
      <c r="AS60" s="624"/>
      <c r="AT60" s="188">
        <v>3</v>
      </c>
      <c r="AU60" s="188">
        <v>3168.6546963625815</v>
      </c>
      <c r="AV60" s="185">
        <f t="shared" si="41"/>
        <v>1056.2182321208604</v>
      </c>
      <c r="AW60" s="182">
        <f t="shared" si="42"/>
        <v>5</v>
      </c>
      <c r="AX60" s="624"/>
    </row>
    <row r="61" spans="2:50" ht="14.25" customHeight="1">
      <c r="B61" s="564"/>
      <c r="C61" s="180">
        <v>17</v>
      </c>
      <c r="D61" s="183" t="s">
        <v>416</v>
      </c>
      <c r="E61" s="184">
        <v>4</v>
      </c>
      <c r="F61" s="180">
        <v>3600</v>
      </c>
      <c r="G61" s="185">
        <f t="shared" si="29"/>
        <v>900</v>
      </c>
      <c r="H61" s="625"/>
      <c r="I61" s="186">
        <f t="shared" si="30"/>
        <v>4</v>
      </c>
      <c r="J61" s="186">
        <f t="shared" si="30"/>
        <v>3166.4482428712658</v>
      </c>
      <c r="K61" s="187">
        <f t="shared" si="30"/>
        <v>791.61206071781646</v>
      </c>
      <c r="L61" s="626"/>
      <c r="M61" s="186">
        <f>RANK(K61, K$45:$K$77)</f>
        <v>13</v>
      </c>
      <c r="N61" s="631"/>
      <c r="O61" s="627"/>
      <c r="P61" s="188">
        <v>4</v>
      </c>
      <c r="Q61" s="188">
        <v>3154.1016659110774</v>
      </c>
      <c r="R61" s="185">
        <f t="shared" si="27"/>
        <v>788.52541647776934</v>
      </c>
      <c r="S61" s="182">
        <f t="shared" si="31"/>
        <v>13</v>
      </c>
      <c r="T61" s="624"/>
      <c r="U61" s="188">
        <v>4</v>
      </c>
      <c r="V61" s="188">
        <v>3167.4980930587412</v>
      </c>
      <c r="W61" s="185">
        <f t="shared" si="28"/>
        <v>791.87452326468531</v>
      </c>
      <c r="X61" s="182">
        <f t="shared" si="32"/>
        <v>13</v>
      </c>
      <c r="Y61" s="624"/>
      <c r="Z61" s="188">
        <v>4</v>
      </c>
      <c r="AA61" s="188">
        <v>3166.9892417629135</v>
      </c>
      <c r="AB61" s="185">
        <f t="shared" si="33"/>
        <v>791.74731044072837</v>
      </c>
      <c r="AC61" s="182">
        <f t="shared" si="34"/>
        <v>13</v>
      </c>
      <c r="AD61" s="624"/>
      <c r="AE61" s="188">
        <v>4</v>
      </c>
      <c r="AF61" s="188">
        <v>3168.472790115984</v>
      </c>
      <c r="AG61" s="185">
        <f t="shared" si="35"/>
        <v>792.11819752899601</v>
      </c>
      <c r="AH61" s="182">
        <f t="shared" si="36"/>
        <v>13</v>
      </c>
      <c r="AI61" s="624"/>
      <c r="AJ61" s="188">
        <v>4</v>
      </c>
      <c r="AK61" s="188">
        <v>3169.3076579015478</v>
      </c>
      <c r="AL61" s="185">
        <f t="shared" si="37"/>
        <v>792.32691447538696</v>
      </c>
      <c r="AM61" s="182">
        <f t="shared" si="38"/>
        <v>13</v>
      </c>
      <c r="AN61" s="624"/>
      <c r="AO61" s="188">
        <v>4</v>
      </c>
      <c r="AP61" s="188">
        <v>3169.3618027299799</v>
      </c>
      <c r="AQ61" s="185">
        <f t="shared" si="39"/>
        <v>792.34045068249497</v>
      </c>
      <c r="AR61" s="182">
        <f t="shared" si="40"/>
        <v>13</v>
      </c>
      <c r="AS61" s="624"/>
      <c r="AT61" s="188">
        <v>4</v>
      </c>
      <c r="AU61" s="188">
        <v>3169.4064486186144</v>
      </c>
      <c r="AV61" s="185">
        <f t="shared" si="41"/>
        <v>792.35161215465359</v>
      </c>
      <c r="AW61" s="182">
        <f t="shared" si="42"/>
        <v>13</v>
      </c>
      <c r="AX61" s="624"/>
    </row>
    <row r="62" spans="2:50" ht="14.25" customHeight="1">
      <c r="B62" s="564"/>
      <c r="C62" s="180">
        <v>18</v>
      </c>
      <c r="D62" s="183" t="s">
        <v>348</v>
      </c>
      <c r="E62" s="184">
        <v>5</v>
      </c>
      <c r="F62" s="180">
        <v>3300</v>
      </c>
      <c r="G62" s="185">
        <f t="shared" si="29"/>
        <v>660</v>
      </c>
      <c r="H62" s="625"/>
      <c r="I62" s="186">
        <f t="shared" si="30"/>
        <v>5</v>
      </c>
      <c r="J62" s="186">
        <f t="shared" si="30"/>
        <v>2964.8007328399135</v>
      </c>
      <c r="K62" s="187">
        <f t="shared" si="30"/>
        <v>592.96014656798263</v>
      </c>
      <c r="L62" s="626"/>
      <c r="M62" s="186">
        <f>RANK(K62, K$45:$K$77)</f>
        <v>26</v>
      </c>
      <c r="N62" s="631"/>
      <c r="O62" s="627"/>
      <c r="P62" s="188">
        <v>5</v>
      </c>
      <c r="Q62" s="188">
        <v>2967.7241379310417</v>
      </c>
      <c r="R62" s="185">
        <f t="shared" si="27"/>
        <v>593.54482758620838</v>
      </c>
      <c r="S62" s="182">
        <f t="shared" si="31"/>
        <v>26</v>
      </c>
      <c r="T62" s="624"/>
      <c r="U62" s="188">
        <v>5</v>
      </c>
      <c r="V62" s="188">
        <v>2968.4210526315746</v>
      </c>
      <c r="W62" s="185">
        <f t="shared" si="28"/>
        <v>593.68421052631493</v>
      </c>
      <c r="X62" s="182">
        <f t="shared" si="32"/>
        <v>25</v>
      </c>
      <c r="Y62" s="624"/>
      <c r="Z62" s="188">
        <v>5</v>
      </c>
      <c r="AA62" s="188">
        <v>2969.5336787564747</v>
      </c>
      <c r="AB62" s="185">
        <f t="shared" si="33"/>
        <v>593.90673575129495</v>
      </c>
      <c r="AC62" s="182">
        <f t="shared" si="34"/>
        <v>25</v>
      </c>
      <c r="AD62" s="624"/>
      <c r="AE62" s="188">
        <v>5</v>
      </c>
      <c r="AF62" s="188">
        <v>2969.4797687861351</v>
      </c>
      <c r="AG62" s="185">
        <f t="shared" si="35"/>
        <v>593.89595375722706</v>
      </c>
      <c r="AH62" s="182">
        <f t="shared" si="36"/>
        <v>25</v>
      </c>
      <c r="AI62" s="624"/>
      <c r="AJ62" s="188">
        <v>5</v>
      </c>
      <c r="AK62" s="188">
        <v>2969.7329376854609</v>
      </c>
      <c r="AL62" s="185">
        <f t="shared" si="37"/>
        <v>593.94658753709223</v>
      </c>
      <c r="AM62" s="182">
        <f t="shared" si="38"/>
        <v>25</v>
      </c>
      <c r="AN62" s="624"/>
      <c r="AO62" s="188">
        <v>5</v>
      </c>
      <c r="AP62" s="188">
        <v>2970.0397702165201</v>
      </c>
      <c r="AQ62" s="185">
        <f t="shared" si="39"/>
        <v>594.00795404330404</v>
      </c>
      <c r="AR62" s="182">
        <f t="shared" si="40"/>
        <v>25</v>
      </c>
      <c r="AS62" s="624"/>
      <c r="AT62" s="188">
        <v>5</v>
      </c>
      <c r="AU62" s="188">
        <v>2938.6737838721847</v>
      </c>
      <c r="AV62" s="185">
        <f t="shared" si="41"/>
        <v>587.73475677443696</v>
      </c>
      <c r="AW62" s="182">
        <f t="shared" si="42"/>
        <v>27</v>
      </c>
      <c r="AX62" s="624"/>
    </row>
    <row r="63" spans="2:50" ht="14.25" customHeight="1">
      <c r="B63" s="564"/>
      <c r="C63" s="180">
        <v>19</v>
      </c>
      <c r="D63" s="183" t="s">
        <v>409</v>
      </c>
      <c r="E63" s="184">
        <v>3</v>
      </c>
      <c r="F63" s="180">
        <v>3600</v>
      </c>
      <c r="G63" s="185">
        <f t="shared" si="29"/>
        <v>1200</v>
      </c>
      <c r="H63" s="625"/>
      <c r="I63" s="186">
        <f t="shared" si="30"/>
        <v>3</v>
      </c>
      <c r="J63" s="186">
        <f t="shared" si="30"/>
        <v>3166.0366728768618</v>
      </c>
      <c r="K63" s="187">
        <f t="shared" si="30"/>
        <v>1055.3455576256206</v>
      </c>
      <c r="L63" s="626"/>
      <c r="M63" s="186">
        <f>RANK(K63, K$45:$K$77)</f>
        <v>3</v>
      </c>
      <c r="N63" s="631"/>
      <c r="O63" s="627"/>
      <c r="P63" s="188">
        <v>3</v>
      </c>
      <c r="Q63" s="188">
        <v>3154.3872346115631</v>
      </c>
      <c r="R63" s="185">
        <f t="shared" si="27"/>
        <v>1051.4624115371878</v>
      </c>
      <c r="S63" s="182">
        <f t="shared" si="31"/>
        <v>2</v>
      </c>
      <c r="T63" s="624"/>
      <c r="U63" s="188">
        <v>3</v>
      </c>
      <c r="V63" s="188">
        <v>3167.4657873742644</v>
      </c>
      <c r="W63" s="185">
        <f t="shared" si="28"/>
        <v>1055.8219291247549</v>
      </c>
      <c r="X63" s="182">
        <f t="shared" si="32"/>
        <v>4</v>
      </c>
      <c r="Y63" s="624"/>
      <c r="Z63" s="188">
        <v>3</v>
      </c>
      <c r="AA63" s="188">
        <v>3167.3735725938018</v>
      </c>
      <c r="AB63" s="185">
        <f t="shared" si="33"/>
        <v>1055.7911908646006</v>
      </c>
      <c r="AC63" s="182">
        <f t="shared" si="34"/>
        <v>4</v>
      </c>
      <c r="AD63" s="624"/>
      <c r="AE63" s="188">
        <v>3</v>
      </c>
      <c r="AF63" s="188">
        <v>3167.6267281105975</v>
      </c>
      <c r="AG63" s="185">
        <f t="shared" si="35"/>
        <v>1055.8755760368658</v>
      </c>
      <c r="AH63" s="182">
        <f t="shared" si="36"/>
        <v>4</v>
      </c>
      <c r="AI63" s="624"/>
      <c r="AJ63" s="188">
        <v>3</v>
      </c>
      <c r="AK63" s="188">
        <v>3168.3065693430672</v>
      </c>
      <c r="AL63" s="185">
        <f t="shared" si="37"/>
        <v>1056.1021897810224</v>
      </c>
      <c r="AM63" s="182">
        <f t="shared" si="38"/>
        <v>5</v>
      </c>
      <c r="AN63" s="624"/>
      <c r="AO63" s="188">
        <v>3</v>
      </c>
      <c r="AP63" s="188">
        <v>3168.8045629146773</v>
      </c>
      <c r="AQ63" s="185">
        <f t="shared" si="39"/>
        <v>1056.2681876382258</v>
      </c>
      <c r="AR63" s="182">
        <f t="shared" si="40"/>
        <v>5</v>
      </c>
      <c r="AS63" s="624"/>
      <c r="AT63" s="188">
        <v>3</v>
      </c>
      <c r="AU63" s="188">
        <v>3168.292255190062</v>
      </c>
      <c r="AV63" s="185">
        <f t="shared" si="41"/>
        <v>1056.0974183966873</v>
      </c>
      <c r="AW63" s="182">
        <f t="shared" si="42"/>
        <v>7</v>
      </c>
      <c r="AX63" s="624"/>
    </row>
    <row r="64" spans="2:50" ht="14.25" customHeight="1">
      <c r="B64" s="564"/>
      <c r="C64" s="180">
        <v>20</v>
      </c>
      <c r="D64" s="183" t="s">
        <v>413</v>
      </c>
      <c r="E64" s="184">
        <v>3</v>
      </c>
      <c r="F64" s="180">
        <v>3600</v>
      </c>
      <c r="G64" s="185">
        <f t="shared" si="29"/>
        <v>1200</v>
      </c>
      <c r="H64" s="625"/>
      <c r="I64" s="186">
        <f t="shared" si="30"/>
        <v>3</v>
      </c>
      <c r="J64" s="186">
        <f t="shared" si="30"/>
        <v>3167.771001744572</v>
      </c>
      <c r="K64" s="187">
        <f t="shared" si="30"/>
        <v>1055.9236672481907</v>
      </c>
      <c r="L64" s="626"/>
      <c r="M64" s="186">
        <f>RANK(K64, K$45:$K$77)</f>
        <v>1</v>
      </c>
      <c r="N64" s="631"/>
      <c r="O64" s="627"/>
      <c r="P64" s="188">
        <v>3</v>
      </c>
      <c r="Q64" s="188">
        <v>3154.2213883677287</v>
      </c>
      <c r="R64" s="185">
        <f t="shared" si="27"/>
        <v>1051.4071294559096</v>
      </c>
      <c r="S64" s="182">
        <f t="shared" si="31"/>
        <v>3</v>
      </c>
      <c r="T64" s="624"/>
      <c r="U64" s="188">
        <v>3</v>
      </c>
      <c r="V64" s="188">
        <v>3167.9999999999882</v>
      </c>
      <c r="W64" s="185">
        <f t="shared" si="28"/>
        <v>1055.9999999999961</v>
      </c>
      <c r="X64" s="182">
        <f t="shared" si="32"/>
        <v>2</v>
      </c>
      <c r="Y64" s="624"/>
      <c r="Z64" s="188">
        <v>3</v>
      </c>
      <c r="AA64" s="188">
        <v>3169.7104677060147</v>
      </c>
      <c r="AB64" s="185">
        <f t="shared" si="33"/>
        <v>1056.5701559020049</v>
      </c>
      <c r="AC64" s="182">
        <f t="shared" si="34"/>
        <v>1</v>
      </c>
      <c r="AD64" s="624"/>
      <c r="AE64" s="188">
        <v>3</v>
      </c>
      <c r="AF64" s="188">
        <v>3170.420168067234</v>
      </c>
      <c r="AG64" s="185">
        <f t="shared" si="35"/>
        <v>1056.806722689078</v>
      </c>
      <c r="AH64" s="182">
        <f t="shared" si="36"/>
        <v>1</v>
      </c>
      <c r="AI64" s="624"/>
      <c r="AJ64" s="188">
        <v>3</v>
      </c>
      <c r="AK64" s="188">
        <v>3171.4878892733591</v>
      </c>
      <c r="AL64" s="185">
        <f t="shared" si="37"/>
        <v>1057.1626297577864</v>
      </c>
      <c r="AM64" s="182">
        <f t="shared" si="38"/>
        <v>1</v>
      </c>
      <c r="AN64" s="624"/>
      <c r="AO64" s="188">
        <v>3</v>
      </c>
      <c r="AP64" s="188">
        <v>3170.4421562689358</v>
      </c>
      <c r="AQ64" s="185">
        <f t="shared" si="39"/>
        <v>1056.8140520896452</v>
      </c>
      <c r="AR64" s="182">
        <f t="shared" si="40"/>
        <v>1</v>
      </c>
      <c r="AS64" s="624"/>
      <c r="AT64" s="188">
        <v>3</v>
      </c>
      <c r="AU64" s="188">
        <v>3170.1149425287449</v>
      </c>
      <c r="AV64" s="185">
        <f t="shared" si="41"/>
        <v>1056.7049808429149</v>
      </c>
      <c r="AW64" s="182">
        <f t="shared" si="42"/>
        <v>2</v>
      </c>
      <c r="AX64" s="624"/>
    </row>
    <row r="65" spans="2:50" ht="14.25" customHeight="1">
      <c r="B65" s="564"/>
      <c r="C65" s="180">
        <v>21</v>
      </c>
      <c r="D65" s="183" t="s">
        <v>412</v>
      </c>
      <c r="E65" s="184">
        <v>4</v>
      </c>
      <c r="F65" s="180">
        <v>3300</v>
      </c>
      <c r="G65" s="185">
        <f t="shared" si="29"/>
        <v>825</v>
      </c>
      <c r="H65" s="625"/>
      <c r="I65" s="186">
        <f t="shared" si="30"/>
        <v>4</v>
      </c>
      <c r="J65" s="186">
        <f t="shared" si="30"/>
        <v>2939.1064564859289</v>
      </c>
      <c r="K65" s="187">
        <f t="shared" si="30"/>
        <v>734.77661412148223</v>
      </c>
      <c r="L65" s="626"/>
      <c r="M65" s="186">
        <f>RANK(K65, K$45:$K$77)</f>
        <v>16</v>
      </c>
      <c r="N65" s="631"/>
      <c r="O65" s="627"/>
      <c r="P65" s="188">
        <v>4</v>
      </c>
      <c r="Q65" s="188">
        <v>2934.4645142743734</v>
      </c>
      <c r="R65" s="185">
        <f t="shared" si="27"/>
        <v>733.61612856859335</v>
      </c>
      <c r="S65" s="182">
        <f t="shared" si="31"/>
        <v>18</v>
      </c>
      <c r="T65" s="624"/>
      <c r="U65" s="188">
        <v>4</v>
      </c>
      <c r="V65" s="188">
        <v>2936.6346998351978</v>
      </c>
      <c r="W65" s="185">
        <f t="shared" si="28"/>
        <v>734.15867495879945</v>
      </c>
      <c r="X65" s="182">
        <f t="shared" si="32"/>
        <v>17</v>
      </c>
      <c r="Y65" s="624"/>
      <c r="Z65" s="188">
        <v>4</v>
      </c>
      <c r="AA65" s="188">
        <v>2940.1877514528287</v>
      </c>
      <c r="AB65" s="185">
        <f t="shared" si="33"/>
        <v>735.04693786320718</v>
      </c>
      <c r="AC65" s="182">
        <f t="shared" si="34"/>
        <v>16</v>
      </c>
      <c r="AD65" s="624"/>
      <c r="AE65" s="188">
        <v>4</v>
      </c>
      <c r="AF65" s="188">
        <v>2941.040462427748</v>
      </c>
      <c r="AG65" s="185">
        <f t="shared" si="35"/>
        <v>735.26011560693701</v>
      </c>
      <c r="AH65" s="182">
        <f t="shared" si="36"/>
        <v>16</v>
      </c>
      <c r="AI65" s="624"/>
      <c r="AJ65" s="188">
        <v>4</v>
      </c>
      <c r="AK65" s="188">
        <v>2941.5437951549193</v>
      </c>
      <c r="AL65" s="185">
        <f t="shared" si="37"/>
        <v>735.38594878872982</v>
      </c>
      <c r="AM65" s="182">
        <f t="shared" si="38"/>
        <v>16</v>
      </c>
      <c r="AN65" s="624"/>
      <c r="AO65" s="188">
        <v>4</v>
      </c>
      <c r="AP65" s="188">
        <v>2939.9543083753615</v>
      </c>
      <c r="AQ65" s="185">
        <f t="shared" si="39"/>
        <v>734.98857709384038</v>
      </c>
      <c r="AR65" s="182">
        <f t="shared" si="40"/>
        <v>17</v>
      </c>
      <c r="AS65" s="624"/>
      <c r="AT65" s="188">
        <v>4</v>
      </c>
      <c r="AU65" s="188">
        <v>2939.9196638810727</v>
      </c>
      <c r="AV65" s="185">
        <f t="shared" si="41"/>
        <v>734.97991597026817</v>
      </c>
      <c r="AW65" s="182">
        <f t="shared" si="42"/>
        <v>17</v>
      </c>
      <c r="AX65" s="624"/>
    </row>
    <row r="66" spans="2:50" ht="14.25" customHeight="1">
      <c r="B66" s="564"/>
      <c r="C66" s="180">
        <v>22</v>
      </c>
      <c r="D66" s="183" t="s">
        <v>408</v>
      </c>
      <c r="E66" s="184">
        <v>4</v>
      </c>
      <c r="F66" s="180">
        <v>3300</v>
      </c>
      <c r="G66" s="185">
        <f>F66/E66</f>
        <v>825</v>
      </c>
      <c r="H66" s="625"/>
      <c r="I66" s="186">
        <f t="shared" si="30"/>
        <v>4</v>
      </c>
      <c r="J66" s="186">
        <f t="shared" si="30"/>
        <v>2938.6636998882645</v>
      </c>
      <c r="K66" s="187">
        <f t="shared" si="30"/>
        <v>734.66592497206614</v>
      </c>
      <c r="L66" s="626"/>
      <c r="M66" s="186">
        <f>RANK(K66, K$45:$K$77)</f>
        <v>17</v>
      </c>
      <c r="N66" s="631"/>
      <c r="O66" s="627"/>
      <c r="P66" s="188">
        <v>4</v>
      </c>
      <c r="Q66" s="188">
        <v>2934.5315368396346</v>
      </c>
      <c r="R66" s="185">
        <f t="shared" si="27"/>
        <v>733.63288420990864</v>
      </c>
      <c r="S66" s="182">
        <f t="shared" si="31"/>
        <v>17</v>
      </c>
      <c r="T66" s="624"/>
      <c r="U66" s="188">
        <v>4</v>
      </c>
      <c r="V66" s="188">
        <v>2937.2186817983456</v>
      </c>
      <c r="W66" s="185">
        <f t="shared" si="28"/>
        <v>734.30467044958641</v>
      </c>
      <c r="X66" s="182">
        <f t="shared" si="32"/>
        <v>16</v>
      </c>
      <c r="Y66" s="624"/>
      <c r="Z66" s="188">
        <v>4</v>
      </c>
      <c r="AA66" s="188">
        <v>2939.4085740774217</v>
      </c>
      <c r="AB66" s="185">
        <f t="shared" si="33"/>
        <v>734.85214351935542</v>
      </c>
      <c r="AC66" s="182">
        <f t="shared" si="34"/>
        <v>17</v>
      </c>
      <c r="AD66" s="624"/>
      <c r="AE66" s="188">
        <v>4</v>
      </c>
      <c r="AF66" s="188">
        <v>2939.4085679905402</v>
      </c>
      <c r="AG66" s="185">
        <f t="shared" si="35"/>
        <v>734.85214199763504</v>
      </c>
      <c r="AH66" s="182">
        <f t="shared" si="36"/>
        <v>17</v>
      </c>
      <c r="AI66" s="624"/>
      <c r="AJ66" s="188">
        <v>4</v>
      </c>
      <c r="AK66" s="188">
        <v>2939.7606655210648</v>
      </c>
      <c r="AL66" s="185">
        <f t="shared" si="37"/>
        <v>734.94016638026619</v>
      </c>
      <c r="AM66" s="182">
        <f t="shared" si="38"/>
        <v>17</v>
      </c>
      <c r="AN66" s="624"/>
      <c r="AO66" s="188">
        <v>4</v>
      </c>
      <c r="AP66" s="188">
        <v>2940.3785118138021</v>
      </c>
      <c r="AQ66" s="185">
        <f t="shared" si="39"/>
        <v>735.09462795345053</v>
      </c>
      <c r="AR66" s="182">
        <f t="shared" si="40"/>
        <v>16</v>
      </c>
      <c r="AS66" s="624"/>
      <c r="AT66" s="188">
        <v>4</v>
      </c>
      <c r="AU66" s="188">
        <v>2939.9393611770438</v>
      </c>
      <c r="AV66" s="185">
        <f t="shared" si="41"/>
        <v>734.98484029426095</v>
      </c>
      <c r="AW66" s="182">
        <f t="shared" si="42"/>
        <v>16</v>
      </c>
      <c r="AX66" s="624"/>
    </row>
    <row r="67" spans="2:50" ht="14.25" customHeight="1">
      <c r="B67" s="564"/>
      <c r="C67" s="180">
        <v>23</v>
      </c>
      <c r="D67" s="183" t="s">
        <v>411</v>
      </c>
      <c r="E67" s="184">
        <v>4</v>
      </c>
      <c r="F67" s="180">
        <v>3000</v>
      </c>
      <c r="G67" s="185">
        <f t="shared" ref="G67:G74" si="43">F67/E67</f>
        <v>750</v>
      </c>
      <c r="H67" s="625"/>
      <c r="I67" s="186">
        <f t="shared" si="30"/>
        <v>4</v>
      </c>
      <c r="J67" s="186">
        <f t="shared" si="30"/>
        <v>2694.5260710441507</v>
      </c>
      <c r="K67" s="187">
        <f t="shared" si="30"/>
        <v>673.63151776103768</v>
      </c>
      <c r="L67" s="626"/>
      <c r="M67" s="186">
        <f>RANK(K67, K$45:$K$77)</f>
        <v>20</v>
      </c>
      <c r="N67" s="631"/>
      <c r="O67" s="627"/>
      <c r="P67" s="188">
        <v>4</v>
      </c>
      <c r="Q67" s="188">
        <v>2694.9343339587231</v>
      </c>
      <c r="R67" s="185">
        <f t="shared" si="27"/>
        <v>673.73358348968077</v>
      </c>
      <c r="S67" s="182">
        <f t="shared" si="31"/>
        <v>20</v>
      </c>
      <c r="T67" s="624"/>
      <c r="U67" s="188">
        <v>4</v>
      </c>
      <c r="V67" s="188">
        <v>2694.3837753510129</v>
      </c>
      <c r="W67" s="185">
        <f t="shared" si="28"/>
        <v>673.59594383775323</v>
      </c>
      <c r="X67" s="182">
        <f t="shared" si="32"/>
        <v>20</v>
      </c>
      <c r="Y67" s="624"/>
      <c r="Z67" s="188">
        <v>4</v>
      </c>
      <c r="AA67" s="188">
        <v>2694.0502423975245</v>
      </c>
      <c r="AB67" s="185">
        <f t="shared" si="33"/>
        <v>673.51256059938112</v>
      </c>
      <c r="AC67" s="182">
        <f t="shared" si="34"/>
        <v>20</v>
      </c>
      <c r="AD67" s="624"/>
      <c r="AE67" s="188">
        <v>4</v>
      </c>
      <c r="AF67" s="188">
        <v>2693.780848963479</v>
      </c>
      <c r="AG67" s="185">
        <f t="shared" si="35"/>
        <v>673.44521224086975</v>
      </c>
      <c r="AH67" s="182">
        <f t="shared" si="36"/>
        <v>20</v>
      </c>
      <c r="AI67" s="624"/>
      <c r="AJ67" s="188">
        <v>4</v>
      </c>
      <c r="AK67" s="188">
        <v>2694.496534855276</v>
      </c>
      <c r="AL67" s="185">
        <f t="shared" si="37"/>
        <v>673.62413371381899</v>
      </c>
      <c r="AM67" s="182">
        <f t="shared" si="38"/>
        <v>20</v>
      </c>
      <c r="AN67" s="624"/>
      <c r="AO67" s="188">
        <v>4</v>
      </c>
      <c r="AP67" s="188">
        <v>2694.6348733233967</v>
      </c>
      <c r="AQ67" s="185">
        <f t="shared" si="39"/>
        <v>673.65871833084918</v>
      </c>
      <c r="AR67" s="182">
        <f t="shared" si="40"/>
        <v>20</v>
      </c>
      <c r="AS67" s="624"/>
      <c r="AT67" s="188">
        <v>4</v>
      </c>
      <c r="AU67" s="188">
        <v>2695.4018884596426</v>
      </c>
      <c r="AV67" s="185">
        <f t="shared" si="41"/>
        <v>673.85047211491064</v>
      </c>
      <c r="AW67" s="182">
        <f t="shared" si="42"/>
        <v>20</v>
      </c>
      <c r="AX67" s="624"/>
    </row>
    <row r="68" spans="2:50" ht="14.25" customHeight="1">
      <c r="B68" s="564"/>
      <c r="C68" s="180">
        <v>24</v>
      </c>
      <c r="D68" s="183" t="s">
        <v>410</v>
      </c>
      <c r="E68" s="184">
        <v>4</v>
      </c>
      <c r="F68" s="180">
        <v>3300</v>
      </c>
      <c r="G68" s="185">
        <f t="shared" si="43"/>
        <v>825</v>
      </c>
      <c r="H68" s="625"/>
      <c r="I68" s="186">
        <f t="shared" si="30"/>
        <v>4</v>
      </c>
      <c r="J68" s="186">
        <f t="shared" si="30"/>
        <v>2965.130933255035</v>
      </c>
      <c r="K68" s="187">
        <f t="shared" si="30"/>
        <v>741.28273331375874</v>
      </c>
      <c r="L68" s="626"/>
      <c r="M68" s="186">
        <f>RANK(K68, K$45:$K$77)</f>
        <v>15</v>
      </c>
      <c r="N68" s="631"/>
      <c r="O68" s="627"/>
      <c r="P68" s="188">
        <v>4</v>
      </c>
      <c r="Q68" s="188">
        <v>2965.5306718598022</v>
      </c>
      <c r="R68" s="185">
        <f t="shared" si="27"/>
        <v>741.38266796495054</v>
      </c>
      <c r="S68" s="182">
        <f t="shared" si="31"/>
        <v>15</v>
      </c>
      <c r="T68" s="624"/>
      <c r="U68" s="188">
        <v>4</v>
      </c>
      <c r="V68" s="188">
        <v>2965.7841140529627</v>
      </c>
      <c r="W68" s="185">
        <f t="shared" si="28"/>
        <v>741.44602851324066</v>
      </c>
      <c r="X68" s="182">
        <f t="shared" si="32"/>
        <v>15</v>
      </c>
      <c r="Y68" s="624"/>
      <c r="Z68" s="188">
        <v>4</v>
      </c>
      <c r="AA68" s="188">
        <v>2967.1711292200343</v>
      </c>
      <c r="AB68" s="185">
        <f t="shared" si="33"/>
        <v>741.79278230500859</v>
      </c>
      <c r="AC68" s="182">
        <f t="shared" si="34"/>
        <v>15</v>
      </c>
      <c r="AD68" s="624"/>
      <c r="AE68" s="188">
        <v>4</v>
      </c>
      <c r="AF68" s="188">
        <v>2964.7058823529401</v>
      </c>
      <c r="AG68" s="185">
        <f t="shared" si="35"/>
        <v>741.17647058823502</v>
      </c>
      <c r="AH68" s="182">
        <f t="shared" si="36"/>
        <v>15</v>
      </c>
      <c r="AI68" s="624"/>
      <c r="AJ68" s="188">
        <v>4</v>
      </c>
      <c r="AK68" s="188">
        <v>2963.3187772925894</v>
      </c>
      <c r="AL68" s="185">
        <f t="shared" si="37"/>
        <v>740.82969432314735</v>
      </c>
      <c r="AM68" s="182">
        <f t="shared" si="38"/>
        <v>15</v>
      </c>
      <c r="AN68" s="624"/>
      <c r="AO68" s="188">
        <v>4</v>
      </c>
      <c r="AP68" s="188">
        <v>2964.9089165867872</v>
      </c>
      <c r="AQ68" s="185">
        <f t="shared" si="39"/>
        <v>741.2272291466968</v>
      </c>
      <c r="AR68" s="182">
        <f t="shared" si="40"/>
        <v>15</v>
      </c>
      <c r="AS68" s="624"/>
      <c r="AT68" s="188">
        <v>4</v>
      </c>
      <c r="AU68" s="188">
        <v>2964.4970414201316</v>
      </c>
      <c r="AV68" s="185">
        <f t="shared" si="41"/>
        <v>741.1242603550329</v>
      </c>
      <c r="AW68" s="182">
        <f t="shared" si="42"/>
        <v>15</v>
      </c>
      <c r="AX68" s="624"/>
    </row>
    <row r="69" spans="2:50" ht="14.25" customHeight="1">
      <c r="B69" s="564"/>
      <c r="C69" s="180">
        <v>25</v>
      </c>
      <c r="D69" s="183" t="s">
        <v>472</v>
      </c>
      <c r="E69" s="184">
        <v>3</v>
      </c>
      <c r="F69" s="180">
        <v>3300</v>
      </c>
      <c r="G69" s="185">
        <f t="shared" si="43"/>
        <v>1100</v>
      </c>
      <c r="H69" s="625"/>
      <c r="I69" s="186">
        <f t="shared" si="30"/>
        <v>3</v>
      </c>
      <c r="J69" s="186">
        <f t="shared" si="30"/>
        <v>2998.7894417008988</v>
      </c>
      <c r="K69" s="187">
        <f t="shared" si="30"/>
        <v>999.59648056696631</v>
      </c>
      <c r="L69" s="626"/>
      <c r="M69" s="186">
        <f>RANK(K69, K$45:$K$77)</f>
        <v>7</v>
      </c>
      <c r="N69" s="631"/>
      <c r="O69" s="627"/>
      <c r="P69" s="188">
        <v>3</v>
      </c>
      <c r="Q69" s="188">
        <v>2969.9504678040735</v>
      </c>
      <c r="R69" s="185">
        <f t="shared" si="27"/>
        <v>989.98348926802453</v>
      </c>
      <c r="S69" s="182">
        <f t="shared" si="31"/>
        <v>7</v>
      </c>
      <c r="T69" s="624"/>
      <c r="U69" s="188">
        <v>3</v>
      </c>
      <c r="V69" s="188">
        <v>2969.99999999999</v>
      </c>
      <c r="W69" s="185">
        <f t="shared" si="28"/>
        <v>989.9999999999967</v>
      </c>
      <c r="X69" s="182">
        <f t="shared" si="32"/>
        <v>7</v>
      </c>
      <c r="Y69" s="624"/>
      <c r="Z69" s="188">
        <v>3</v>
      </c>
      <c r="AA69" s="188">
        <v>2970.1699181875351</v>
      </c>
      <c r="AB69" s="185">
        <f t="shared" si="33"/>
        <v>990.05663939584508</v>
      </c>
      <c r="AC69" s="182">
        <f t="shared" si="34"/>
        <v>7</v>
      </c>
      <c r="AD69" s="624"/>
      <c r="AE69" s="188">
        <v>3</v>
      </c>
      <c r="AF69" s="188">
        <v>2970.9251101321543</v>
      </c>
      <c r="AG69" s="185">
        <f t="shared" si="35"/>
        <v>990.30837004405146</v>
      </c>
      <c r="AH69" s="182">
        <f t="shared" si="36"/>
        <v>7</v>
      </c>
      <c r="AI69" s="624"/>
      <c r="AJ69" s="188">
        <v>3</v>
      </c>
      <c r="AK69" s="188">
        <v>2970.7491082045226</v>
      </c>
      <c r="AL69" s="185">
        <f t="shared" si="37"/>
        <v>990.24970273484087</v>
      </c>
      <c r="AM69" s="182">
        <f t="shared" si="38"/>
        <v>7</v>
      </c>
      <c r="AN69" s="624"/>
      <c r="AO69" s="188">
        <v>3</v>
      </c>
      <c r="AP69" s="188">
        <v>2971.3375796178389</v>
      </c>
      <c r="AQ69" s="185">
        <f t="shared" si="39"/>
        <v>990.44585987261291</v>
      </c>
      <c r="AR69" s="182">
        <f t="shared" si="40"/>
        <v>7</v>
      </c>
      <c r="AS69" s="624"/>
      <c r="AT69" s="188">
        <v>3</v>
      </c>
      <c r="AU69" s="188">
        <v>3168.393907960176</v>
      </c>
      <c r="AV69" s="185">
        <f t="shared" si="41"/>
        <v>1056.1313026533919</v>
      </c>
      <c r="AW69" s="182">
        <f t="shared" si="42"/>
        <v>6</v>
      </c>
      <c r="AX69" s="624"/>
    </row>
    <row r="70" spans="2:50" ht="14.25" customHeight="1">
      <c r="B70" s="564"/>
      <c r="C70" s="180">
        <v>26</v>
      </c>
      <c r="D70" s="183" t="s">
        <v>483</v>
      </c>
      <c r="E70" s="184">
        <v>4</v>
      </c>
      <c r="F70" s="180">
        <v>3000</v>
      </c>
      <c r="G70" s="185">
        <f t="shared" si="43"/>
        <v>750</v>
      </c>
      <c r="H70" s="625"/>
      <c r="I70" s="186">
        <f t="shared" si="30"/>
        <v>4</v>
      </c>
      <c r="J70" s="186">
        <f t="shared" si="30"/>
        <v>2674.709942257522</v>
      </c>
      <c r="K70" s="187">
        <f t="shared" si="30"/>
        <v>668.6774855643805</v>
      </c>
      <c r="L70" s="626"/>
      <c r="M70" s="186">
        <f>RANK(K70, K$45:$K$77)</f>
        <v>21</v>
      </c>
      <c r="N70" s="631"/>
      <c r="O70" s="627"/>
      <c r="P70" s="188">
        <v>4</v>
      </c>
      <c r="Q70" s="188">
        <v>2674.0688685874939</v>
      </c>
      <c r="R70" s="185">
        <f t="shared" si="27"/>
        <v>668.51721714687346</v>
      </c>
      <c r="S70" s="182">
        <f t="shared" si="31"/>
        <v>21</v>
      </c>
      <c r="T70" s="624"/>
      <c r="U70" s="188">
        <v>4</v>
      </c>
      <c r="V70" s="188">
        <v>2673.9507959478951</v>
      </c>
      <c r="W70" s="185">
        <f t="shared" si="28"/>
        <v>668.48769898697378</v>
      </c>
      <c r="X70" s="182">
        <f t="shared" si="32"/>
        <v>21</v>
      </c>
      <c r="Y70" s="624"/>
      <c r="Z70" s="188">
        <v>4</v>
      </c>
      <c r="AA70" s="188">
        <v>2674.5387453874564</v>
      </c>
      <c r="AB70" s="185">
        <f t="shared" si="33"/>
        <v>668.6346863468641</v>
      </c>
      <c r="AC70" s="182">
        <f t="shared" si="34"/>
        <v>21</v>
      </c>
      <c r="AD70" s="624"/>
      <c r="AE70" s="188">
        <v>4</v>
      </c>
      <c r="AF70" s="188">
        <v>2674.977578475336</v>
      </c>
      <c r="AG70" s="185">
        <f t="shared" si="35"/>
        <v>668.74439461883401</v>
      </c>
      <c r="AH70" s="182">
        <f t="shared" si="36"/>
        <v>21</v>
      </c>
      <c r="AI70" s="624"/>
      <c r="AJ70" s="188">
        <v>4</v>
      </c>
      <c r="AK70" s="188">
        <v>2674.7918243754693</v>
      </c>
      <c r="AL70" s="185">
        <f t="shared" si="37"/>
        <v>668.69795609386733</v>
      </c>
      <c r="AM70" s="182">
        <f t="shared" si="38"/>
        <v>21</v>
      </c>
      <c r="AN70" s="624"/>
      <c r="AO70" s="188">
        <v>4</v>
      </c>
      <c r="AP70" s="188">
        <v>2675.1315789473665</v>
      </c>
      <c r="AQ70" s="185">
        <f t="shared" si="39"/>
        <v>668.78289473684163</v>
      </c>
      <c r="AR70" s="182">
        <f t="shared" si="40"/>
        <v>21</v>
      </c>
      <c r="AS70" s="624"/>
      <c r="AT70" s="188">
        <v>4</v>
      </c>
      <c r="AU70" s="188">
        <v>2675.5102040816337</v>
      </c>
      <c r="AV70" s="185">
        <f t="shared" si="41"/>
        <v>668.87755102040842</v>
      </c>
      <c r="AW70" s="182">
        <f t="shared" si="42"/>
        <v>21</v>
      </c>
      <c r="AX70" s="624"/>
    </row>
    <row r="71" spans="2:50" ht="14.25" customHeight="1">
      <c r="B71" s="564"/>
      <c r="C71" s="180">
        <v>27</v>
      </c>
      <c r="D71" s="183" t="s">
        <v>508</v>
      </c>
      <c r="E71" s="184">
        <v>5</v>
      </c>
      <c r="F71" s="180">
        <v>3000</v>
      </c>
      <c r="G71" s="185">
        <f t="shared" si="43"/>
        <v>600</v>
      </c>
      <c r="H71" s="625"/>
      <c r="I71" s="186">
        <f t="shared" si="30"/>
        <v>5</v>
      </c>
      <c r="J71" s="186">
        <f t="shared" si="30"/>
        <v>2675.4744607503339</v>
      </c>
      <c r="K71" s="187">
        <f t="shared" si="30"/>
        <v>535.09489215006681</v>
      </c>
      <c r="L71" s="626"/>
      <c r="M71" s="186">
        <f>RANK(K71, K$45:$K$77)</f>
        <v>28</v>
      </c>
      <c r="N71" s="631"/>
      <c r="O71" s="627"/>
      <c r="P71" s="188">
        <v>5</v>
      </c>
      <c r="Q71" s="188">
        <v>2674.0206185567017</v>
      </c>
      <c r="R71" s="185">
        <f t="shared" si="27"/>
        <v>534.80412371134037</v>
      </c>
      <c r="S71" s="182">
        <f t="shared" si="31"/>
        <v>28</v>
      </c>
      <c r="T71" s="624"/>
      <c r="U71" s="188">
        <v>5</v>
      </c>
      <c r="V71" s="188">
        <v>2673.8510301109372</v>
      </c>
      <c r="W71" s="185">
        <f t="shared" si="28"/>
        <v>534.77020602218749</v>
      </c>
      <c r="X71" s="182">
        <f t="shared" si="32"/>
        <v>28</v>
      </c>
      <c r="Y71" s="624"/>
      <c r="Z71" s="188">
        <v>5</v>
      </c>
      <c r="AA71" s="188">
        <v>2674.2202418841512</v>
      </c>
      <c r="AB71" s="185">
        <f t="shared" si="33"/>
        <v>534.84404837683019</v>
      </c>
      <c r="AC71" s="182">
        <f t="shared" si="34"/>
        <v>28</v>
      </c>
      <c r="AD71" s="624"/>
      <c r="AE71" s="188">
        <v>5</v>
      </c>
      <c r="AF71" s="188">
        <v>2675.543478260864</v>
      </c>
      <c r="AG71" s="185">
        <f t="shared" si="35"/>
        <v>535.10869565217286</v>
      </c>
      <c r="AH71" s="182">
        <f t="shared" si="36"/>
        <v>28</v>
      </c>
      <c r="AI71" s="624"/>
      <c r="AJ71" s="188">
        <v>5</v>
      </c>
      <c r="AK71" s="188">
        <v>2676.0139049826216</v>
      </c>
      <c r="AL71" s="185">
        <f t="shared" si="37"/>
        <v>535.20278099652433</v>
      </c>
      <c r="AM71" s="182">
        <f t="shared" si="38"/>
        <v>28</v>
      </c>
      <c r="AN71" s="624"/>
      <c r="AO71" s="188">
        <v>5</v>
      </c>
      <c r="AP71" s="188">
        <v>2676.9703172978566</v>
      </c>
      <c r="AQ71" s="185">
        <f t="shared" si="39"/>
        <v>535.39406345957127</v>
      </c>
      <c r="AR71" s="182">
        <f t="shared" si="40"/>
        <v>28</v>
      </c>
      <c r="AS71" s="624"/>
      <c r="AT71" s="188">
        <v>5</v>
      </c>
      <c r="AU71" s="188">
        <v>2677.7016341592043</v>
      </c>
      <c r="AV71" s="185">
        <f t="shared" si="41"/>
        <v>535.54032683184084</v>
      </c>
      <c r="AW71" s="182">
        <f t="shared" si="42"/>
        <v>28</v>
      </c>
      <c r="AX71" s="624"/>
    </row>
    <row r="72" spans="2:50" ht="14.25" customHeight="1">
      <c r="B72" s="564"/>
      <c r="C72" s="180">
        <v>28</v>
      </c>
      <c r="D72" s="183" t="s">
        <v>607</v>
      </c>
      <c r="E72" s="184">
        <v>4</v>
      </c>
      <c r="F72" s="180">
        <v>3000</v>
      </c>
      <c r="G72" s="185">
        <f t="shared" si="43"/>
        <v>750</v>
      </c>
      <c r="H72" s="625"/>
      <c r="I72" s="186">
        <f t="shared" si="30"/>
        <v>4</v>
      </c>
      <c r="J72" s="186">
        <f t="shared" si="30"/>
        <v>2608.5337926089319</v>
      </c>
      <c r="K72" s="187">
        <f t="shared" si="30"/>
        <v>652.13344815223297</v>
      </c>
      <c r="L72" s="626"/>
      <c r="M72" s="186">
        <f>RANK(K72, K$45:$K$77)</f>
        <v>22</v>
      </c>
      <c r="N72" s="631"/>
      <c r="O72" s="627"/>
      <c r="P72" s="188">
        <v>4</v>
      </c>
      <c r="Q72" s="188">
        <v>2482.1449518223685</v>
      </c>
      <c r="R72" s="185">
        <f t="shared" si="27"/>
        <v>620.53623795559213</v>
      </c>
      <c r="S72" s="182">
        <f t="shared" si="31"/>
        <v>24</v>
      </c>
      <c r="T72" s="624"/>
      <c r="U72" s="188">
        <v>4</v>
      </c>
      <c r="V72" s="188">
        <v>2535.090230716512</v>
      </c>
      <c r="W72" s="185">
        <f t="shared" si="28"/>
        <v>633.772557679128</v>
      </c>
      <c r="X72" s="182">
        <f t="shared" si="32"/>
        <v>22</v>
      </c>
      <c r="Y72" s="624"/>
      <c r="Z72" s="188">
        <v>4</v>
      </c>
      <c r="AA72" s="188">
        <v>2581.8524544873562</v>
      </c>
      <c r="AB72" s="185">
        <f t="shared" si="33"/>
        <v>645.46311362183906</v>
      </c>
      <c r="AC72" s="182">
        <f t="shared" si="34"/>
        <v>22</v>
      </c>
      <c r="AD72" s="624"/>
      <c r="AE72" s="188">
        <v>4</v>
      </c>
      <c r="AF72" s="188">
        <v>2635.8639962738666</v>
      </c>
      <c r="AG72" s="185">
        <f t="shared" si="35"/>
        <v>658.96599906846666</v>
      </c>
      <c r="AH72" s="182">
        <f t="shared" si="36"/>
        <v>22</v>
      </c>
      <c r="AI72" s="624"/>
      <c r="AJ72" s="188">
        <v>4</v>
      </c>
      <c r="AK72" s="188">
        <v>2674.6081504702229</v>
      </c>
      <c r="AL72" s="185">
        <f t="shared" si="37"/>
        <v>668.65203761755572</v>
      </c>
      <c r="AM72" s="182">
        <f t="shared" si="38"/>
        <v>22</v>
      </c>
      <c r="AN72" s="624"/>
      <c r="AO72" s="188">
        <v>4</v>
      </c>
      <c r="AP72" s="188">
        <v>2675.0886920211365</v>
      </c>
      <c r="AQ72" s="185">
        <f t="shared" si="39"/>
        <v>668.77217300528412</v>
      </c>
      <c r="AR72" s="182">
        <f t="shared" si="40"/>
        <v>22</v>
      </c>
      <c r="AS72" s="624"/>
      <c r="AT72" s="188">
        <v>4</v>
      </c>
      <c r="AU72" s="188">
        <v>2675.0880724710614</v>
      </c>
      <c r="AV72" s="185">
        <f t="shared" si="41"/>
        <v>668.77201811776536</v>
      </c>
      <c r="AW72" s="182">
        <f t="shared" si="42"/>
        <v>22</v>
      </c>
      <c r="AX72" s="624"/>
    </row>
    <row r="73" spans="2:50" ht="14.25" customHeight="1">
      <c r="B73" s="564"/>
      <c r="C73" s="180">
        <v>29</v>
      </c>
      <c r="D73" s="183" t="s">
        <v>349</v>
      </c>
      <c r="E73" s="184">
        <v>3</v>
      </c>
      <c r="F73" s="180">
        <v>3000</v>
      </c>
      <c r="G73" s="185">
        <f t="shared" si="43"/>
        <v>1000</v>
      </c>
      <c r="H73" s="625"/>
      <c r="I73" s="186">
        <f t="shared" si="30"/>
        <v>3</v>
      </c>
      <c r="J73" s="186">
        <f t="shared" si="30"/>
        <v>2694.2471971486425</v>
      </c>
      <c r="K73" s="187">
        <f t="shared" si="30"/>
        <v>898.08239904954746</v>
      </c>
      <c r="L73" s="626"/>
      <c r="M73" s="186">
        <f>RANK(K73, K$45:$K$77)</f>
        <v>9</v>
      </c>
      <c r="N73" s="631"/>
      <c r="O73" s="627"/>
      <c r="P73" s="188">
        <v>3</v>
      </c>
      <c r="Q73" s="188">
        <v>2693.8420956832979</v>
      </c>
      <c r="R73" s="185">
        <f t="shared" si="27"/>
        <v>897.947365227766</v>
      </c>
      <c r="S73" s="182">
        <f t="shared" si="31"/>
        <v>9</v>
      </c>
      <c r="T73" s="624"/>
      <c r="U73" s="188">
        <v>3</v>
      </c>
      <c r="V73" s="188">
        <v>2693.9692912281889</v>
      </c>
      <c r="W73" s="185">
        <f t="shared" si="28"/>
        <v>897.98976374272968</v>
      </c>
      <c r="X73" s="182">
        <f t="shared" si="32"/>
        <v>9</v>
      </c>
      <c r="Y73" s="624"/>
      <c r="Z73" s="188">
        <v>3</v>
      </c>
      <c r="AA73" s="188">
        <v>2693.9809181773066</v>
      </c>
      <c r="AB73" s="185">
        <f t="shared" si="33"/>
        <v>897.99363939243551</v>
      </c>
      <c r="AC73" s="182">
        <f t="shared" si="34"/>
        <v>9</v>
      </c>
      <c r="AD73" s="624"/>
      <c r="AE73" s="188">
        <v>3</v>
      </c>
      <c r="AF73" s="188">
        <v>2694.0066387402603</v>
      </c>
      <c r="AG73" s="185">
        <f t="shared" si="35"/>
        <v>898.00221291342007</v>
      </c>
      <c r="AH73" s="182">
        <f t="shared" si="36"/>
        <v>9</v>
      </c>
      <c r="AI73" s="624"/>
      <c r="AJ73" s="188">
        <v>3</v>
      </c>
      <c r="AK73" s="188">
        <v>2694.2320417534988</v>
      </c>
      <c r="AL73" s="185">
        <f t="shared" si="37"/>
        <v>898.07734725116632</v>
      </c>
      <c r="AM73" s="182">
        <f t="shared" si="38"/>
        <v>9</v>
      </c>
      <c r="AN73" s="624"/>
      <c r="AO73" s="188">
        <v>3</v>
      </c>
      <c r="AP73" s="188">
        <v>2694.7631591155614</v>
      </c>
      <c r="AQ73" s="185">
        <f t="shared" si="39"/>
        <v>898.2543863718538</v>
      </c>
      <c r="AR73" s="182">
        <f t="shared" si="40"/>
        <v>9</v>
      </c>
      <c r="AS73" s="624"/>
      <c r="AT73" s="188">
        <v>3</v>
      </c>
      <c r="AU73" s="188">
        <v>2694.9362353423849</v>
      </c>
      <c r="AV73" s="185">
        <f t="shared" si="41"/>
        <v>898.31207844746166</v>
      </c>
      <c r="AW73" s="182">
        <f t="shared" si="42"/>
        <v>9</v>
      </c>
      <c r="AX73" s="624"/>
    </row>
    <row r="74" spans="2:50" ht="14.25" customHeight="1">
      <c r="B74" s="564"/>
      <c r="C74" s="180">
        <v>30</v>
      </c>
      <c r="D74" s="183" t="s">
        <v>478</v>
      </c>
      <c r="E74" s="184">
        <v>12</v>
      </c>
      <c r="F74" s="180">
        <v>3600</v>
      </c>
      <c r="G74" s="185">
        <f t="shared" si="43"/>
        <v>300</v>
      </c>
      <c r="H74" s="625"/>
      <c r="I74" s="186">
        <f t="shared" si="30"/>
        <v>12</v>
      </c>
      <c r="J74" s="186">
        <f t="shared" si="30"/>
        <v>3125.5738828987805</v>
      </c>
      <c r="K74" s="187">
        <f t="shared" si="30"/>
        <v>260.4644902415651</v>
      </c>
      <c r="L74" s="626"/>
      <c r="M74" s="186">
        <f>RANK(K74, K$45:$K$77)</f>
        <v>29</v>
      </c>
      <c r="N74" s="631"/>
      <c r="O74" s="627"/>
      <c r="P74" s="188">
        <v>12</v>
      </c>
      <c r="Q74" s="188">
        <v>3125.2960172228213</v>
      </c>
      <c r="R74" s="185">
        <f t="shared" si="27"/>
        <v>260.44133476856842</v>
      </c>
      <c r="S74" s="182">
        <f t="shared" si="31"/>
        <v>29</v>
      </c>
      <c r="T74" s="624"/>
      <c r="U74" s="188">
        <v>12</v>
      </c>
      <c r="V74" s="188">
        <v>3125.3829321663111</v>
      </c>
      <c r="W74" s="185">
        <f t="shared" si="28"/>
        <v>260.44857768052594</v>
      </c>
      <c r="X74" s="182">
        <f t="shared" si="32"/>
        <v>29</v>
      </c>
      <c r="Y74" s="624"/>
      <c r="Z74" s="188">
        <v>12</v>
      </c>
      <c r="AA74" s="188">
        <v>3124.9070631970208</v>
      </c>
      <c r="AB74" s="185">
        <f t="shared" si="33"/>
        <v>260.40892193308508</v>
      </c>
      <c r="AC74" s="182">
        <f t="shared" si="34"/>
        <v>30</v>
      </c>
      <c r="AD74" s="624"/>
      <c r="AE74" s="188">
        <v>12</v>
      </c>
      <c r="AF74" s="188">
        <v>3124.9832551908976</v>
      </c>
      <c r="AG74" s="185">
        <f t="shared" si="35"/>
        <v>260.41527126590813</v>
      </c>
      <c r="AH74" s="182">
        <f t="shared" si="36"/>
        <v>30</v>
      </c>
      <c r="AI74" s="624"/>
      <c r="AJ74" s="188">
        <v>12</v>
      </c>
      <c r="AK74" s="188">
        <v>3125.9708737864166</v>
      </c>
      <c r="AL74" s="185">
        <f t="shared" si="37"/>
        <v>260.49757281553474</v>
      </c>
      <c r="AM74" s="182">
        <f t="shared" si="38"/>
        <v>29</v>
      </c>
      <c r="AN74" s="624"/>
      <c r="AO74" s="188">
        <v>12</v>
      </c>
      <c r="AP74" s="188">
        <v>3125.6424275560394</v>
      </c>
      <c r="AQ74" s="185">
        <f t="shared" si="39"/>
        <v>260.47020229633659</v>
      </c>
      <c r="AR74" s="182">
        <f t="shared" si="40"/>
        <v>29</v>
      </c>
      <c r="AS74" s="624"/>
      <c r="AT74" s="188">
        <v>12</v>
      </c>
      <c r="AU74" s="188">
        <v>3126.8346111719593</v>
      </c>
      <c r="AV74" s="185">
        <f t="shared" si="41"/>
        <v>260.56955093099663</v>
      </c>
      <c r="AW74" s="182">
        <f t="shared" si="42"/>
        <v>29</v>
      </c>
      <c r="AX74" s="624"/>
    </row>
    <row r="75" spans="2:50" ht="14.25" customHeight="1">
      <c r="B75" s="564"/>
      <c r="C75" s="180">
        <v>31</v>
      </c>
      <c r="D75" s="183"/>
      <c r="E75" s="180"/>
      <c r="F75" s="180"/>
      <c r="G75" s="185"/>
      <c r="H75" s="625"/>
      <c r="I75" s="186"/>
      <c r="J75" s="186"/>
      <c r="K75" s="187"/>
      <c r="L75" s="626"/>
      <c r="M75" s="186"/>
      <c r="N75" s="631"/>
      <c r="O75" s="627"/>
      <c r="P75" s="188"/>
      <c r="Q75" s="188"/>
      <c r="R75" s="185"/>
      <c r="S75" s="182"/>
      <c r="T75" s="624"/>
      <c r="U75" s="188"/>
      <c r="V75" s="188"/>
      <c r="W75" s="185"/>
      <c r="X75" s="182"/>
      <c r="Y75" s="624"/>
      <c r="Z75" s="188"/>
      <c r="AA75" s="188"/>
      <c r="AB75" s="185"/>
      <c r="AC75" s="182"/>
      <c r="AD75" s="624"/>
      <c r="AE75" s="188"/>
      <c r="AF75" s="188"/>
      <c r="AG75" s="185"/>
      <c r="AH75" s="182"/>
      <c r="AI75" s="624"/>
      <c r="AJ75" s="188"/>
      <c r="AK75" s="188"/>
      <c r="AL75" s="185"/>
      <c r="AM75" s="182"/>
      <c r="AN75" s="624"/>
      <c r="AO75" s="188"/>
      <c r="AP75" s="188"/>
      <c r="AQ75" s="185"/>
      <c r="AR75" s="182"/>
      <c r="AS75" s="624"/>
      <c r="AT75" s="188"/>
      <c r="AU75" s="188"/>
      <c r="AV75" s="185"/>
      <c r="AW75" s="182"/>
      <c r="AX75" s="624"/>
    </row>
    <row r="76" spans="2:50" ht="14.25" customHeight="1">
      <c r="B76" s="564"/>
      <c r="C76" s="180">
        <v>32</v>
      </c>
      <c r="D76" s="183"/>
      <c r="E76" s="180"/>
      <c r="F76" s="180"/>
      <c r="G76" s="185"/>
      <c r="H76" s="625"/>
      <c r="I76" s="186"/>
      <c r="J76" s="186"/>
      <c r="K76" s="187"/>
      <c r="L76" s="626"/>
      <c r="M76" s="186"/>
      <c r="N76" s="631"/>
      <c r="O76" s="627"/>
      <c r="P76" s="188"/>
      <c r="Q76" s="188"/>
      <c r="R76" s="185"/>
      <c r="S76" s="182"/>
      <c r="T76" s="624"/>
      <c r="U76" s="188"/>
      <c r="V76" s="188"/>
      <c r="W76" s="185"/>
      <c r="X76" s="182"/>
      <c r="Y76" s="624"/>
      <c r="Z76" s="188"/>
      <c r="AA76" s="188"/>
      <c r="AB76" s="185"/>
      <c r="AC76" s="182"/>
      <c r="AD76" s="624"/>
      <c r="AE76" s="188"/>
      <c r="AF76" s="188"/>
      <c r="AG76" s="185"/>
      <c r="AH76" s="182"/>
      <c r="AI76" s="624"/>
      <c r="AJ76" s="188"/>
      <c r="AK76" s="188"/>
      <c r="AL76" s="185"/>
      <c r="AM76" s="182"/>
      <c r="AN76" s="624"/>
      <c r="AO76" s="188"/>
      <c r="AP76" s="188"/>
      <c r="AQ76" s="185"/>
      <c r="AR76" s="182"/>
      <c r="AS76" s="624"/>
      <c r="AT76" s="188"/>
      <c r="AU76" s="188"/>
      <c r="AV76" s="185"/>
      <c r="AW76" s="182"/>
      <c r="AX76" s="624"/>
    </row>
    <row r="77" spans="2:50" ht="14.25" customHeight="1">
      <c r="B77" s="564"/>
      <c r="C77" s="180">
        <v>33</v>
      </c>
      <c r="D77" s="183"/>
      <c r="E77" s="180"/>
      <c r="F77" s="180"/>
      <c r="G77" s="185"/>
      <c r="H77" s="625"/>
      <c r="I77" s="186"/>
      <c r="J77" s="186"/>
      <c r="K77" s="187"/>
      <c r="L77" s="626"/>
      <c r="M77" s="186"/>
      <c r="N77" s="631"/>
      <c r="O77" s="627"/>
      <c r="P77" s="188"/>
      <c r="Q77" s="188"/>
      <c r="R77" s="185"/>
      <c r="S77" s="182"/>
      <c r="T77" s="624"/>
      <c r="U77" s="188"/>
      <c r="V77" s="188"/>
      <c r="W77" s="185"/>
      <c r="X77" s="182"/>
      <c r="Y77" s="624"/>
      <c r="Z77" s="188"/>
      <c r="AA77" s="188"/>
      <c r="AB77" s="185"/>
      <c r="AC77" s="182"/>
      <c r="AD77" s="624"/>
      <c r="AE77" s="188"/>
      <c r="AF77" s="188"/>
      <c r="AG77" s="185"/>
      <c r="AH77" s="182"/>
      <c r="AI77" s="624"/>
      <c r="AJ77" s="188"/>
      <c r="AK77" s="188"/>
      <c r="AL77" s="185"/>
      <c r="AM77" s="182"/>
      <c r="AN77" s="624"/>
      <c r="AO77" s="188"/>
      <c r="AP77" s="188"/>
      <c r="AQ77" s="185"/>
      <c r="AR77" s="182"/>
      <c r="AS77" s="624"/>
      <c r="AT77" s="188"/>
      <c r="AU77" s="188"/>
      <c r="AV77" s="185"/>
      <c r="AW77" s="182"/>
      <c r="AX77" s="624"/>
    </row>
    <row r="78" spans="2:50" ht="14.25" customHeight="1">
      <c r="B78" s="646" t="s">
        <v>642</v>
      </c>
      <c r="C78" s="642"/>
      <c r="D78" s="642"/>
      <c r="E78" s="642"/>
      <c r="F78" s="642"/>
      <c r="G78" s="642"/>
      <c r="H78" s="642"/>
      <c r="I78" s="642"/>
      <c r="J78" s="642"/>
      <c r="K78" s="642"/>
      <c r="L78" s="642"/>
      <c r="M78" s="643"/>
      <c r="N78" s="584" t="s">
        <v>377</v>
      </c>
      <c r="O78" s="584" t="s">
        <v>105</v>
      </c>
      <c r="P78" s="637">
        <f>AT40+1</f>
        <v>46091</v>
      </c>
      <c r="Q78" s="638"/>
      <c r="R78" s="638"/>
      <c r="S78" s="638"/>
      <c r="T78" s="638"/>
      <c r="U78" s="639">
        <f>P78+1</f>
        <v>46092</v>
      </c>
      <c r="V78" s="640"/>
      <c r="W78" s="640"/>
      <c r="X78" s="640"/>
      <c r="Y78" s="640"/>
      <c r="Z78" s="637">
        <f t="shared" ref="Z78" si="44">U78+1</f>
        <v>46093</v>
      </c>
      <c r="AA78" s="638"/>
      <c r="AB78" s="638"/>
      <c r="AC78" s="638"/>
      <c r="AD78" s="638"/>
      <c r="AE78" s="639">
        <f t="shared" ref="AE78" si="45">Z78+1</f>
        <v>46094</v>
      </c>
      <c r="AF78" s="640"/>
      <c r="AG78" s="640"/>
      <c r="AH78" s="640"/>
      <c r="AI78" s="640"/>
      <c r="AJ78" s="596">
        <f t="shared" ref="AJ78" si="46">AE78+1</f>
        <v>46095</v>
      </c>
      <c r="AK78" s="597"/>
      <c r="AL78" s="597"/>
      <c r="AM78" s="597"/>
      <c r="AN78" s="598"/>
      <c r="AO78" s="639">
        <f t="shared" ref="AO78" si="47">AJ78+1</f>
        <v>46096</v>
      </c>
      <c r="AP78" s="640"/>
      <c r="AQ78" s="640"/>
      <c r="AR78" s="640"/>
      <c r="AS78" s="640"/>
      <c r="AT78" s="596">
        <f t="shared" ref="AT78" si="48">AO78+1</f>
        <v>46097</v>
      </c>
      <c r="AU78" s="597"/>
      <c r="AV78" s="597"/>
      <c r="AW78" s="597"/>
      <c r="AX78" s="598"/>
    </row>
    <row r="79" spans="2:50" ht="14.25" customHeight="1">
      <c r="B79" s="644"/>
      <c r="C79" s="644"/>
      <c r="D79" s="644"/>
      <c r="E79" s="644"/>
      <c r="F79" s="644"/>
      <c r="G79" s="644"/>
      <c r="H79" s="644"/>
      <c r="I79" s="644"/>
      <c r="J79" s="644"/>
      <c r="K79" s="644"/>
      <c r="L79" s="644"/>
      <c r="M79" s="645"/>
      <c r="N79" s="586"/>
      <c r="O79" s="586"/>
      <c r="P79" s="629">
        <v>46084</v>
      </c>
      <c r="Q79" s="629"/>
      <c r="R79" s="629"/>
      <c r="S79" s="629"/>
      <c r="T79" s="629"/>
      <c r="U79" s="630">
        <f>U78</f>
        <v>46092</v>
      </c>
      <c r="V79" s="630"/>
      <c r="W79" s="630"/>
      <c r="X79" s="630"/>
      <c r="Y79" s="630"/>
      <c r="Z79" s="629">
        <f t="shared" ref="Z79" si="49">Z78</f>
        <v>46093</v>
      </c>
      <c r="AA79" s="629"/>
      <c r="AB79" s="629"/>
      <c r="AC79" s="629"/>
      <c r="AD79" s="629"/>
      <c r="AE79" s="630">
        <f t="shared" ref="AE79" si="50">AE78</f>
        <v>46094</v>
      </c>
      <c r="AF79" s="630"/>
      <c r="AG79" s="630"/>
      <c r="AH79" s="630"/>
      <c r="AI79" s="630"/>
      <c r="AJ79" s="599">
        <f t="shared" ref="AJ79" si="51">AJ78</f>
        <v>46095</v>
      </c>
      <c r="AK79" s="600"/>
      <c r="AL79" s="600"/>
      <c r="AM79" s="600"/>
      <c r="AN79" s="601"/>
      <c r="AO79" s="630">
        <f t="shared" ref="AO79" si="52">AO78</f>
        <v>46096</v>
      </c>
      <c r="AP79" s="630"/>
      <c r="AQ79" s="630"/>
      <c r="AR79" s="630"/>
      <c r="AS79" s="630"/>
      <c r="AT79" s="599">
        <f t="shared" ref="AT79" si="53">AT78</f>
        <v>46097</v>
      </c>
      <c r="AU79" s="600"/>
      <c r="AV79" s="600"/>
      <c r="AW79" s="600"/>
      <c r="AX79" s="601"/>
    </row>
    <row r="80" spans="2:50" ht="14.25" customHeight="1">
      <c r="B80" s="564" t="s">
        <v>164</v>
      </c>
      <c r="C80" s="564" t="s">
        <v>159</v>
      </c>
      <c r="D80" s="564"/>
      <c r="E80" s="564" t="s">
        <v>160</v>
      </c>
      <c r="F80" s="564"/>
      <c r="G80" s="564"/>
      <c r="H80" s="564" t="s">
        <v>165</v>
      </c>
      <c r="I80" s="628" t="s">
        <v>378</v>
      </c>
      <c r="J80" s="628"/>
      <c r="K80" s="628"/>
      <c r="L80" s="628" t="s">
        <v>165</v>
      </c>
      <c r="M80" s="628" t="s">
        <v>167</v>
      </c>
      <c r="N80" s="631"/>
      <c r="O80" s="627" t="s">
        <v>166</v>
      </c>
      <c r="P80" s="627" t="s">
        <v>162</v>
      </c>
      <c r="Q80" s="627"/>
      <c r="R80" s="627"/>
      <c r="S80" s="627"/>
      <c r="T80" s="627" t="s">
        <v>165</v>
      </c>
      <c r="U80" s="627" t="s">
        <v>162</v>
      </c>
      <c r="V80" s="627"/>
      <c r="W80" s="627"/>
      <c r="X80" s="627"/>
      <c r="Y80" s="627" t="s">
        <v>165</v>
      </c>
      <c r="Z80" s="627" t="s">
        <v>162</v>
      </c>
      <c r="AA80" s="627"/>
      <c r="AB80" s="627"/>
      <c r="AC80" s="627"/>
      <c r="AD80" s="627" t="s">
        <v>165</v>
      </c>
      <c r="AE80" s="627" t="s">
        <v>162</v>
      </c>
      <c r="AF80" s="627"/>
      <c r="AG80" s="627"/>
      <c r="AH80" s="627"/>
      <c r="AI80" s="627" t="s">
        <v>165</v>
      </c>
      <c r="AJ80" s="627" t="s">
        <v>162</v>
      </c>
      <c r="AK80" s="627"/>
      <c r="AL80" s="627"/>
      <c r="AM80" s="627"/>
      <c r="AN80" s="627" t="s">
        <v>165</v>
      </c>
      <c r="AO80" s="627" t="s">
        <v>162</v>
      </c>
      <c r="AP80" s="627"/>
      <c r="AQ80" s="627"/>
      <c r="AR80" s="627"/>
      <c r="AS80" s="627" t="s">
        <v>165</v>
      </c>
      <c r="AT80" s="627" t="s">
        <v>162</v>
      </c>
      <c r="AU80" s="627"/>
      <c r="AV80" s="627"/>
      <c r="AW80" s="627"/>
      <c r="AX80" s="627" t="s">
        <v>165</v>
      </c>
    </row>
    <row r="81" spans="1:50" ht="14.25" customHeight="1">
      <c r="B81" s="564"/>
      <c r="C81" s="564"/>
      <c r="D81" s="564"/>
      <c r="E81" s="564" t="s">
        <v>379</v>
      </c>
      <c r="F81" s="564"/>
      <c r="G81" s="564"/>
      <c r="H81" s="564"/>
      <c r="I81" s="628" t="s">
        <v>379</v>
      </c>
      <c r="J81" s="628"/>
      <c r="K81" s="628"/>
      <c r="L81" s="628"/>
      <c r="M81" s="628"/>
      <c r="N81" s="631"/>
      <c r="O81" s="627"/>
      <c r="P81" s="627" t="s">
        <v>380</v>
      </c>
      <c r="Q81" s="627"/>
      <c r="R81" s="627"/>
      <c r="S81" s="627"/>
      <c r="T81" s="627"/>
      <c r="U81" s="627" t="s">
        <v>380</v>
      </c>
      <c r="V81" s="627"/>
      <c r="W81" s="627"/>
      <c r="X81" s="627"/>
      <c r="Y81" s="627"/>
      <c r="Z81" s="627" t="s">
        <v>380</v>
      </c>
      <c r="AA81" s="627"/>
      <c r="AB81" s="627"/>
      <c r="AC81" s="627"/>
      <c r="AD81" s="627"/>
      <c r="AE81" s="627" t="s">
        <v>380</v>
      </c>
      <c r="AF81" s="627"/>
      <c r="AG81" s="627"/>
      <c r="AH81" s="627"/>
      <c r="AI81" s="627"/>
      <c r="AJ81" s="627" t="s">
        <v>380</v>
      </c>
      <c r="AK81" s="627"/>
      <c r="AL81" s="627"/>
      <c r="AM81" s="627"/>
      <c r="AN81" s="627"/>
      <c r="AO81" s="627" t="s">
        <v>380</v>
      </c>
      <c r="AP81" s="627"/>
      <c r="AQ81" s="627"/>
      <c r="AR81" s="627"/>
      <c r="AS81" s="627"/>
      <c r="AT81" s="627" t="s">
        <v>380</v>
      </c>
      <c r="AU81" s="627"/>
      <c r="AV81" s="627"/>
      <c r="AW81" s="627"/>
      <c r="AX81" s="627"/>
    </row>
    <row r="82" spans="1:50" ht="14.25" customHeight="1">
      <c r="A82" s="177"/>
      <c r="B82" s="564"/>
      <c r="C82" s="564"/>
      <c r="D82" s="564"/>
      <c r="E82" s="180" t="s">
        <v>161</v>
      </c>
      <c r="F82" s="180" t="s">
        <v>381</v>
      </c>
      <c r="G82" s="180" t="s">
        <v>163</v>
      </c>
      <c r="H82" s="564"/>
      <c r="I82" s="181" t="s">
        <v>161</v>
      </c>
      <c r="J82" s="181" t="s">
        <v>381</v>
      </c>
      <c r="K82" s="181" t="s">
        <v>163</v>
      </c>
      <c r="L82" s="628"/>
      <c r="M82" s="628"/>
      <c r="N82" s="631"/>
      <c r="O82" s="627"/>
      <c r="P82" s="182" t="s">
        <v>161</v>
      </c>
      <c r="Q82" s="182" t="s">
        <v>381</v>
      </c>
      <c r="R82" s="182" t="s">
        <v>163</v>
      </c>
      <c r="S82" s="182" t="s">
        <v>167</v>
      </c>
      <c r="T82" s="627"/>
      <c r="U82" s="182" t="s">
        <v>161</v>
      </c>
      <c r="V82" s="182" t="s">
        <v>381</v>
      </c>
      <c r="W82" s="182" t="s">
        <v>163</v>
      </c>
      <c r="X82" s="182" t="s">
        <v>167</v>
      </c>
      <c r="Y82" s="627"/>
      <c r="Z82" s="182" t="s">
        <v>161</v>
      </c>
      <c r="AA82" s="182" t="s">
        <v>381</v>
      </c>
      <c r="AB82" s="182" t="s">
        <v>163</v>
      </c>
      <c r="AC82" s="182" t="s">
        <v>167</v>
      </c>
      <c r="AD82" s="627"/>
      <c r="AE82" s="182" t="s">
        <v>161</v>
      </c>
      <c r="AF82" s="182" t="s">
        <v>381</v>
      </c>
      <c r="AG82" s="182" t="s">
        <v>163</v>
      </c>
      <c r="AH82" s="182" t="s">
        <v>167</v>
      </c>
      <c r="AI82" s="627"/>
      <c r="AJ82" s="182" t="s">
        <v>161</v>
      </c>
      <c r="AK82" s="182" t="s">
        <v>381</v>
      </c>
      <c r="AL82" s="182" t="s">
        <v>163</v>
      </c>
      <c r="AM82" s="182" t="s">
        <v>167</v>
      </c>
      <c r="AN82" s="627"/>
      <c r="AO82" s="182" t="s">
        <v>161</v>
      </c>
      <c r="AP82" s="182" t="s">
        <v>381</v>
      </c>
      <c r="AQ82" s="182" t="s">
        <v>163</v>
      </c>
      <c r="AR82" s="182" t="s">
        <v>167</v>
      </c>
      <c r="AS82" s="627"/>
      <c r="AT82" s="182" t="s">
        <v>161</v>
      </c>
      <c r="AU82" s="182" t="s">
        <v>381</v>
      </c>
      <c r="AV82" s="182" t="s">
        <v>163</v>
      </c>
      <c r="AW82" s="182" t="s">
        <v>167</v>
      </c>
      <c r="AX82" s="627"/>
    </row>
    <row r="83" spans="1:50" ht="14.25" customHeight="1">
      <c r="B83" s="564" t="s">
        <v>382</v>
      </c>
      <c r="C83" s="180">
        <v>1</v>
      </c>
      <c r="D83" s="183" t="s">
        <v>405</v>
      </c>
      <c r="E83" s="184">
        <v>3</v>
      </c>
      <c r="F83" s="180">
        <v>3600</v>
      </c>
      <c r="G83" s="185">
        <f>F83/E83</f>
        <v>1200</v>
      </c>
      <c r="H83" s="625">
        <f>AVERAGE(G83:G115)</f>
        <v>852.25806451612902</v>
      </c>
      <c r="I83" s="186">
        <f>AVERAGE(P83,U83,Z83,AE83,AJ83,AO83,AT83)</f>
        <v>3</v>
      </c>
      <c r="J83" s="186">
        <f>AVERAGE(Q83,V83,AA83,AF83,AK83,AP83,AU83)</f>
        <v>3169.6126210469724</v>
      </c>
      <c r="K83" s="187">
        <f>AVERAGE(R83,W83,AB83,AG83,AL83,AQ83,AV83)</f>
        <v>1056.5375403489907</v>
      </c>
      <c r="L83" s="626">
        <f>IFERROR(AVERAGE(K83:K115),"-")</f>
        <v>756.47296726077082</v>
      </c>
      <c r="M83" s="186">
        <f>RANK(K83, K$83:$K$115)</f>
        <v>7</v>
      </c>
      <c r="N83" s="631"/>
      <c r="O83" s="627"/>
      <c r="P83" s="188">
        <v>3</v>
      </c>
      <c r="Q83" s="188">
        <v>3169.4504653831441</v>
      </c>
      <c r="R83" s="185">
        <f t="shared" ref="R83:R112" si="54">IFERROR(Q83/P83,"")</f>
        <v>1056.483488461048</v>
      </c>
      <c r="S83" s="182">
        <f>RANK(R83, R$83:R$115)</f>
        <v>5</v>
      </c>
      <c r="T83" s="624">
        <f>AVERAGE(R83:R115)</f>
        <v>773.44761650101657</v>
      </c>
      <c r="U83" s="188">
        <v>3</v>
      </c>
      <c r="V83" s="188">
        <v>3169.1891160146201</v>
      </c>
      <c r="W83" s="185">
        <f t="shared" ref="W83:W112" si="55">IFERROR(V83/U83,"")</f>
        <v>1056.3963720048735</v>
      </c>
      <c r="X83" s="182">
        <f>RANK(W83, W$83:W$115)</f>
        <v>6</v>
      </c>
      <c r="Y83" s="624">
        <f>AVERAGE(W83:W115)</f>
        <v>773.50836373962295</v>
      </c>
      <c r="Z83" s="188">
        <v>3</v>
      </c>
      <c r="AA83" s="188">
        <v>3169.0246965257443</v>
      </c>
      <c r="AB83" s="185">
        <f>IFERROR(AA83/Z83,"")</f>
        <v>1056.3415655085814</v>
      </c>
      <c r="AC83" s="182">
        <f>RANK(AB83, AB$83:AB$115)</f>
        <v>7</v>
      </c>
      <c r="AD83" s="624">
        <f>AVERAGE(AB83:AB115)</f>
        <v>773.35738199153843</v>
      </c>
      <c r="AE83" s="188">
        <v>3</v>
      </c>
      <c r="AF83" s="188">
        <v>3169.3683622135277</v>
      </c>
      <c r="AG83" s="185">
        <f>IFERROR(AF83/AE83,"")</f>
        <v>1056.4561207378426</v>
      </c>
      <c r="AH83" s="182">
        <f>RANK(AG83, AG$83:AG$115)</f>
        <v>7</v>
      </c>
      <c r="AI83" s="624">
        <f>AVERAGE(AG83:AG115)</f>
        <v>773.45294239176815</v>
      </c>
      <c r="AJ83" s="188">
        <v>3</v>
      </c>
      <c r="AK83" s="188">
        <v>3169.2249527410218</v>
      </c>
      <c r="AL83" s="185">
        <f>IFERROR(AK83/AJ83,"")</f>
        <v>1056.4083175803405</v>
      </c>
      <c r="AM83" s="182">
        <f>RANK(AL83, AL$83:AL$115)</f>
        <v>7</v>
      </c>
      <c r="AN83" s="624">
        <f>AVERAGE(AL83:AL115)</f>
        <v>773.5092912236471</v>
      </c>
      <c r="AO83" s="188">
        <v>3</v>
      </c>
      <c r="AP83" s="188">
        <v>3170.5308775731314</v>
      </c>
      <c r="AQ83" s="185">
        <f>IFERROR(AP83/AO83,"")</f>
        <v>1056.8436258577105</v>
      </c>
      <c r="AR83" s="182">
        <f>RANK(AQ83, AQ$83:AQ$115)</f>
        <v>7</v>
      </c>
      <c r="AS83" s="624">
        <f>AVERAGE(AQ83:AQ115)</f>
        <v>773.58666952844192</v>
      </c>
      <c r="AT83" s="188">
        <v>3</v>
      </c>
      <c r="AU83" s="188">
        <v>3170.4998768776163</v>
      </c>
      <c r="AV83" s="185">
        <f>IFERROR(AU83/AT83,"")</f>
        <v>1056.8332922925388</v>
      </c>
      <c r="AW83" s="182">
        <f>RANK(AV83, AV$83:AV$115)</f>
        <v>7</v>
      </c>
      <c r="AX83" s="624">
        <f>AVERAGE(AV83:AV115)</f>
        <v>756.57309465503977</v>
      </c>
    </row>
    <row r="84" spans="1:50" ht="14.25" customHeight="1">
      <c r="B84" s="564"/>
      <c r="C84" s="180">
        <v>2</v>
      </c>
      <c r="D84" s="183" t="s">
        <v>402</v>
      </c>
      <c r="E84" s="184">
        <v>3</v>
      </c>
      <c r="F84" s="180">
        <v>3600</v>
      </c>
      <c r="G84" s="185">
        <f t="shared" ref="G84:G103" si="56">F84/E84</f>
        <v>1200</v>
      </c>
      <c r="H84" s="625"/>
      <c r="I84" s="186">
        <f t="shared" ref="I84:K113" si="57">AVERAGE(P84,U84,Z84,AE84,AJ84,AO84,AT84)</f>
        <v>3</v>
      </c>
      <c r="J84" s="186">
        <f t="shared" si="57"/>
        <v>3170.7851536646263</v>
      </c>
      <c r="K84" s="187">
        <f t="shared" si="57"/>
        <v>1056.9283845548755</v>
      </c>
      <c r="L84" s="626"/>
      <c r="M84" s="186">
        <f>RANK(K84, K$83:$K$115)</f>
        <v>4</v>
      </c>
      <c r="N84" s="631"/>
      <c r="O84" s="627"/>
      <c r="P84" s="188">
        <v>3</v>
      </c>
      <c r="Q84" s="188">
        <v>3169.6346222064562</v>
      </c>
      <c r="R84" s="185">
        <f t="shared" si="54"/>
        <v>1056.5448740688187</v>
      </c>
      <c r="S84" s="182">
        <f t="shared" ref="S84:S112" si="58">RANK(R84, R$83:R$115)</f>
        <v>4</v>
      </c>
      <c r="T84" s="624"/>
      <c r="U84" s="188">
        <v>3</v>
      </c>
      <c r="V84" s="188">
        <v>3169.8940445743515</v>
      </c>
      <c r="W84" s="185">
        <f t="shared" si="55"/>
        <v>1056.6313481914506</v>
      </c>
      <c r="X84" s="182">
        <f t="shared" ref="X84:X112" si="59">RANK(W84, W$83:W$115)</f>
        <v>4</v>
      </c>
      <c r="Y84" s="624"/>
      <c r="Z84" s="188">
        <v>3</v>
      </c>
      <c r="AA84" s="188">
        <v>3170.3927492447133</v>
      </c>
      <c r="AB84" s="185">
        <f t="shared" ref="AB84:AB112" si="60">IFERROR(AA84/Z84,"")</f>
        <v>1056.797583081571</v>
      </c>
      <c r="AC84" s="182">
        <f t="shared" ref="AC84:AC112" si="61">RANK(AB84, AB$83:AB$115)</f>
        <v>4</v>
      </c>
      <c r="AD84" s="624"/>
      <c r="AE84" s="188">
        <v>3</v>
      </c>
      <c r="AF84" s="188">
        <v>3170.384802727714</v>
      </c>
      <c r="AG84" s="185">
        <f t="shared" ref="AG84:AG112" si="62">IFERROR(AF84/AE84,"")</f>
        <v>1056.7949342425713</v>
      </c>
      <c r="AH84" s="182">
        <f t="shared" ref="AH84:AH112" si="63">RANK(AG84, AG$83:AG$115)</f>
        <v>4</v>
      </c>
      <c r="AI84" s="624"/>
      <c r="AJ84" s="188">
        <v>3</v>
      </c>
      <c r="AK84" s="188">
        <v>3171.2113532691333</v>
      </c>
      <c r="AL84" s="185">
        <f t="shared" ref="AL84:AL112" si="64">IFERROR(AK84/AJ84,"")</f>
        <v>1057.070451089711</v>
      </c>
      <c r="AM84" s="182">
        <f t="shared" ref="AM84:AM112" si="65">RANK(AL84, AL$83:AL$115)</f>
        <v>4</v>
      </c>
      <c r="AN84" s="624"/>
      <c r="AO84" s="188">
        <v>3</v>
      </c>
      <c r="AP84" s="188">
        <v>3171.9770966655442</v>
      </c>
      <c r="AQ84" s="185">
        <f t="shared" ref="AQ84:AQ112" si="66">IFERROR(AP84/AO84,"")</f>
        <v>1057.3256988885148</v>
      </c>
      <c r="AR84" s="182">
        <f t="shared" ref="AR84:AR112" si="67">RANK(AQ84, AQ$83:AQ$115)</f>
        <v>3</v>
      </c>
      <c r="AS84" s="624"/>
      <c r="AT84" s="188">
        <v>3</v>
      </c>
      <c r="AU84" s="188">
        <v>3172.0014069644722</v>
      </c>
      <c r="AV84" s="185">
        <f t="shared" ref="AV84:AV113" si="68">IFERROR(AU84/AT84,"")</f>
        <v>1057.3338023214908</v>
      </c>
      <c r="AW84" s="182">
        <f t="shared" ref="AW84:AW113" si="69">RANK(AV84, AV$83:AV$115)</f>
        <v>4</v>
      </c>
      <c r="AX84" s="624"/>
    </row>
    <row r="85" spans="1:50" ht="14.25" customHeight="1">
      <c r="B85" s="564"/>
      <c r="C85" s="180">
        <v>3</v>
      </c>
      <c r="D85" s="183" t="s">
        <v>343</v>
      </c>
      <c r="E85" s="184">
        <v>3</v>
      </c>
      <c r="F85" s="180">
        <v>3000</v>
      </c>
      <c r="G85" s="185">
        <f t="shared" si="56"/>
        <v>1000</v>
      </c>
      <c r="H85" s="625"/>
      <c r="I85" s="186">
        <f t="shared" si="57"/>
        <v>3</v>
      </c>
      <c r="J85" s="186">
        <f t="shared" si="57"/>
        <v>2694.4038244729932</v>
      </c>
      <c r="K85" s="187">
        <f t="shared" si="57"/>
        <v>898.1346081576645</v>
      </c>
      <c r="L85" s="626"/>
      <c r="M85" s="186">
        <f>RANK(K85, K$83:$K$115)</f>
        <v>11</v>
      </c>
      <c r="N85" s="631"/>
      <c r="O85" s="627"/>
      <c r="P85" s="188">
        <v>3</v>
      </c>
      <c r="Q85" s="188">
        <v>2693.968107233648</v>
      </c>
      <c r="R85" s="185">
        <f t="shared" si="54"/>
        <v>897.98936907788266</v>
      </c>
      <c r="S85" s="182">
        <f t="shared" si="58"/>
        <v>10</v>
      </c>
      <c r="T85" s="624"/>
      <c r="U85" s="188">
        <v>3</v>
      </c>
      <c r="V85" s="188">
        <v>2693.8370720188909</v>
      </c>
      <c r="W85" s="185">
        <f t="shared" si="55"/>
        <v>897.94569067296368</v>
      </c>
      <c r="X85" s="182">
        <f t="shared" si="59"/>
        <v>11</v>
      </c>
      <c r="Y85" s="624"/>
      <c r="Z85" s="188">
        <v>3</v>
      </c>
      <c r="AA85" s="188">
        <v>2694.2562592047138</v>
      </c>
      <c r="AB85" s="185">
        <f t="shared" si="60"/>
        <v>898.08541973490458</v>
      </c>
      <c r="AC85" s="182">
        <f t="shared" si="61"/>
        <v>10</v>
      </c>
      <c r="AD85" s="624"/>
      <c r="AE85" s="188">
        <v>3</v>
      </c>
      <c r="AF85" s="188">
        <v>2694.5558739254998</v>
      </c>
      <c r="AG85" s="185">
        <f t="shared" si="62"/>
        <v>898.18529130849993</v>
      </c>
      <c r="AH85" s="182">
        <f t="shared" si="63"/>
        <v>11</v>
      </c>
      <c r="AI85" s="624"/>
      <c r="AJ85" s="188">
        <v>3</v>
      </c>
      <c r="AK85" s="188">
        <v>2694.6815495732126</v>
      </c>
      <c r="AL85" s="185">
        <f t="shared" si="64"/>
        <v>898.22718319107082</v>
      </c>
      <c r="AM85" s="182">
        <f t="shared" si="65"/>
        <v>11</v>
      </c>
      <c r="AN85" s="624"/>
      <c r="AO85" s="188">
        <v>3</v>
      </c>
      <c r="AP85" s="188">
        <v>2694.888597640891</v>
      </c>
      <c r="AQ85" s="185">
        <f t="shared" si="66"/>
        <v>898.2961992136303</v>
      </c>
      <c r="AR85" s="182">
        <f t="shared" si="67"/>
        <v>10</v>
      </c>
      <c r="AS85" s="624"/>
      <c r="AT85" s="188">
        <v>3</v>
      </c>
      <c r="AU85" s="188">
        <v>2694.6393117140969</v>
      </c>
      <c r="AV85" s="185">
        <f t="shared" si="68"/>
        <v>898.21310390469898</v>
      </c>
      <c r="AW85" s="182">
        <f t="shared" si="69"/>
        <v>11</v>
      </c>
      <c r="AX85" s="624"/>
    </row>
    <row r="86" spans="1:50" ht="14.25" customHeight="1">
      <c r="B86" s="564"/>
      <c r="C86" s="180">
        <v>4</v>
      </c>
      <c r="D86" s="183" t="s">
        <v>404</v>
      </c>
      <c r="E86" s="184">
        <v>3</v>
      </c>
      <c r="F86" s="180">
        <v>3600</v>
      </c>
      <c r="G86" s="185">
        <f t="shared" si="56"/>
        <v>1200</v>
      </c>
      <c r="H86" s="625"/>
      <c r="I86" s="186">
        <f t="shared" si="57"/>
        <v>3</v>
      </c>
      <c r="J86" s="186">
        <f t="shared" si="57"/>
        <v>3172.4913234419359</v>
      </c>
      <c r="K86" s="187">
        <f t="shared" si="57"/>
        <v>1057.4971078139788</v>
      </c>
      <c r="L86" s="626"/>
      <c r="M86" s="186">
        <f>RANK(K86, K$83:$K$115)</f>
        <v>2</v>
      </c>
      <c r="N86" s="631"/>
      <c r="O86" s="627"/>
      <c r="P86" s="188">
        <v>3</v>
      </c>
      <c r="Q86" s="188">
        <v>3171.6075156576162</v>
      </c>
      <c r="R86" s="185">
        <f t="shared" si="54"/>
        <v>1057.2025052192055</v>
      </c>
      <c r="S86" s="182">
        <f t="shared" si="58"/>
        <v>2</v>
      </c>
      <c r="T86" s="624"/>
      <c r="U86" s="188">
        <v>3</v>
      </c>
      <c r="V86" s="188">
        <v>3171.7284814555646</v>
      </c>
      <c r="W86" s="185">
        <f t="shared" si="55"/>
        <v>1057.242827151855</v>
      </c>
      <c r="X86" s="182">
        <f t="shared" si="59"/>
        <v>2</v>
      </c>
      <c r="Y86" s="624"/>
      <c r="Z86" s="188">
        <v>3</v>
      </c>
      <c r="AA86" s="188">
        <v>3170.6896551724153</v>
      </c>
      <c r="AB86" s="185">
        <f t="shared" si="60"/>
        <v>1056.8965517241384</v>
      </c>
      <c r="AC86" s="182">
        <f t="shared" si="61"/>
        <v>2</v>
      </c>
      <c r="AD86" s="624"/>
      <c r="AE86" s="188">
        <v>3</v>
      </c>
      <c r="AF86" s="188">
        <v>3172.2772277227709</v>
      </c>
      <c r="AG86" s="185">
        <f t="shared" si="62"/>
        <v>1057.4257425742569</v>
      </c>
      <c r="AH86" s="182">
        <f t="shared" si="63"/>
        <v>2</v>
      </c>
      <c r="AI86" s="624"/>
      <c r="AJ86" s="188">
        <v>3</v>
      </c>
      <c r="AK86" s="188">
        <v>3172.5490196078445</v>
      </c>
      <c r="AL86" s="185">
        <f t="shared" si="64"/>
        <v>1057.5163398692814</v>
      </c>
      <c r="AM86" s="182">
        <f t="shared" si="65"/>
        <v>2</v>
      </c>
      <c r="AN86" s="624"/>
      <c r="AO86" s="188">
        <v>3</v>
      </c>
      <c r="AP86" s="188">
        <v>3174.0192926045015</v>
      </c>
      <c r="AQ86" s="185">
        <f t="shared" si="66"/>
        <v>1058.0064308681672</v>
      </c>
      <c r="AR86" s="182">
        <f t="shared" si="67"/>
        <v>2</v>
      </c>
      <c r="AS86" s="624"/>
      <c r="AT86" s="188">
        <v>3</v>
      </c>
      <c r="AU86" s="188">
        <v>3174.5680718728404</v>
      </c>
      <c r="AV86" s="185">
        <f t="shared" si="68"/>
        <v>1058.1893572909469</v>
      </c>
      <c r="AW86" s="182">
        <f t="shared" si="69"/>
        <v>2</v>
      </c>
      <c r="AX86" s="624"/>
    </row>
    <row r="87" spans="1:50" ht="14.25" customHeight="1">
      <c r="B87" s="564"/>
      <c r="C87" s="180">
        <v>5</v>
      </c>
      <c r="D87" s="183" t="s">
        <v>230</v>
      </c>
      <c r="E87" s="184">
        <v>3</v>
      </c>
      <c r="F87" s="180">
        <v>3000</v>
      </c>
      <c r="G87" s="185">
        <f t="shared" si="56"/>
        <v>1000</v>
      </c>
      <c r="H87" s="625"/>
      <c r="I87" s="186">
        <f t="shared" si="57"/>
        <v>3</v>
      </c>
      <c r="J87" s="186">
        <f t="shared" si="57"/>
        <v>2694.6685546036306</v>
      </c>
      <c r="K87" s="187">
        <f t="shared" si="57"/>
        <v>898.22285153454334</v>
      </c>
      <c r="L87" s="626"/>
      <c r="M87" s="186">
        <f>RANK(K87, K$83:$K$115)</f>
        <v>10</v>
      </c>
      <c r="N87" s="631"/>
      <c r="O87" s="627"/>
      <c r="P87" s="188">
        <v>3</v>
      </c>
      <c r="Q87" s="188">
        <v>2693.7893789378954</v>
      </c>
      <c r="R87" s="185">
        <f t="shared" si="54"/>
        <v>897.92979297929844</v>
      </c>
      <c r="S87" s="182">
        <f t="shared" si="58"/>
        <v>11</v>
      </c>
      <c r="T87" s="624"/>
      <c r="U87" s="188">
        <v>3</v>
      </c>
      <c r="V87" s="188">
        <v>2694.0057088487165</v>
      </c>
      <c r="W87" s="185">
        <f t="shared" si="55"/>
        <v>898.00190294957213</v>
      </c>
      <c r="X87" s="182">
        <f t="shared" si="59"/>
        <v>10</v>
      </c>
      <c r="Y87" s="624"/>
      <c r="Z87" s="188">
        <v>3</v>
      </c>
      <c r="AA87" s="188">
        <v>2694.1291585127201</v>
      </c>
      <c r="AB87" s="185">
        <f t="shared" si="60"/>
        <v>898.04305283757333</v>
      </c>
      <c r="AC87" s="182">
        <f t="shared" si="61"/>
        <v>11</v>
      </c>
      <c r="AD87" s="624"/>
      <c r="AE87" s="188">
        <v>3</v>
      </c>
      <c r="AF87" s="188">
        <v>2694.8571428571427</v>
      </c>
      <c r="AG87" s="185">
        <f t="shared" si="62"/>
        <v>898.28571428571422</v>
      </c>
      <c r="AH87" s="182">
        <f t="shared" si="63"/>
        <v>9</v>
      </c>
      <c r="AI87" s="624"/>
      <c r="AJ87" s="188">
        <v>3</v>
      </c>
      <c r="AK87" s="188">
        <v>2695.3043478260893</v>
      </c>
      <c r="AL87" s="185">
        <f t="shared" si="64"/>
        <v>898.43478260869642</v>
      </c>
      <c r="AM87" s="182">
        <f t="shared" si="65"/>
        <v>9</v>
      </c>
      <c r="AN87" s="624"/>
      <c r="AO87" s="188">
        <v>3</v>
      </c>
      <c r="AP87" s="188">
        <v>2695.2285427711709</v>
      </c>
      <c r="AQ87" s="185">
        <f t="shared" si="66"/>
        <v>898.40951425705691</v>
      </c>
      <c r="AR87" s="182">
        <f t="shared" si="67"/>
        <v>9</v>
      </c>
      <c r="AS87" s="624"/>
      <c r="AT87" s="188">
        <v>3</v>
      </c>
      <c r="AU87" s="188">
        <v>2695.3656024716784</v>
      </c>
      <c r="AV87" s="185">
        <f t="shared" si="68"/>
        <v>898.45520082389282</v>
      </c>
      <c r="AW87" s="182">
        <f t="shared" si="69"/>
        <v>9</v>
      </c>
      <c r="AX87" s="624"/>
    </row>
    <row r="88" spans="1:50" ht="14.25" customHeight="1">
      <c r="B88" s="564"/>
      <c r="C88" s="180">
        <v>6</v>
      </c>
      <c r="D88" s="183" t="s">
        <v>516</v>
      </c>
      <c r="E88" s="184">
        <v>3</v>
      </c>
      <c r="F88" s="180">
        <v>3300</v>
      </c>
      <c r="G88" s="185">
        <f t="shared" si="56"/>
        <v>1100</v>
      </c>
      <c r="H88" s="625"/>
      <c r="I88" s="186">
        <f t="shared" si="57"/>
        <v>3</v>
      </c>
      <c r="J88" s="186">
        <f t="shared" si="57"/>
        <v>2971.1729836897239</v>
      </c>
      <c r="K88" s="187">
        <f t="shared" si="57"/>
        <v>990.39099456324118</v>
      </c>
      <c r="L88" s="626"/>
      <c r="M88" s="186">
        <f>RANK(K88, K$83:$K$115)</f>
        <v>8</v>
      </c>
      <c r="N88" s="631"/>
      <c r="O88" s="627"/>
      <c r="P88" s="188">
        <v>3</v>
      </c>
      <c r="Q88" s="188">
        <v>2971.518560179979</v>
      </c>
      <c r="R88" s="185">
        <f t="shared" si="54"/>
        <v>990.50618672665962</v>
      </c>
      <c r="S88" s="182">
        <f t="shared" si="58"/>
        <v>8</v>
      </c>
      <c r="T88" s="624"/>
      <c r="U88" s="188">
        <v>3</v>
      </c>
      <c r="V88" s="188">
        <v>2971.2011238585815</v>
      </c>
      <c r="W88" s="185">
        <f t="shared" si="55"/>
        <v>990.40037461952716</v>
      </c>
      <c r="X88" s="182">
        <f t="shared" si="59"/>
        <v>8</v>
      </c>
      <c r="Y88" s="624"/>
      <c r="Z88" s="188">
        <v>3</v>
      </c>
      <c r="AA88" s="188">
        <v>2970.9161415414451</v>
      </c>
      <c r="AB88" s="185">
        <f t="shared" si="60"/>
        <v>990.30538051381507</v>
      </c>
      <c r="AC88" s="182">
        <f t="shared" si="61"/>
        <v>8</v>
      </c>
      <c r="AD88" s="624"/>
      <c r="AE88" s="188">
        <v>3</v>
      </c>
      <c r="AF88" s="188">
        <v>2970.9914320685443</v>
      </c>
      <c r="AG88" s="185">
        <f t="shared" si="62"/>
        <v>990.3304773561814</v>
      </c>
      <c r="AH88" s="182">
        <f t="shared" si="63"/>
        <v>8</v>
      </c>
      <c r="AI88" s="624"/>
      <c r="AJ88" s="188">
        <v>3</v>
      </c>
      <c r="AK88" s="188">
        <v>2971.3751169317138</v>
      </c>
      <c r="AL88" s="185">
        <f t="shared" si="64"/>
        <v>990.45837231057124</v>
      </c>
      <c r="AM88" s="182">
        <f t="shared" si="65"/>
        <v>8</v>
      </c>
      <c r="AN88" s="624"/>
      <c r="AO88" s="188">
        <v>3</v>
      </c>
      <c r="AP88" s="188">
        <v>2971.0469625161581</v>
      </c>
      <c r="AQ88" s="185">
        <f t="shared" si="66"/>
        <v>990.34898750538605</v>
      </c>
      <c r="AR88" s="182">
        <f t="shared" si="67"/>
        <v>8</v>
      </c>
      <c r="AS88" s="624"/>
      <c r="AT88" s="188">
        <v>3</v>
      </c>
      <c r="AU88" s="188">
        <v>2971.161548731644</v>
      </c>
      <c r="AV88" s="185">
        <f t="shared" si="68"/>
        <v>990.38718291054795</v>
      </c>
      <c r="AW88" s="182">
        <f t="shared" si="69"/>
        <v>8</v>
      </c>
      <c r="AX88" s="624"/>
    </row>
    <row r="89" spans="1:50" ht="14.25" customHeight="1">
      <c r="B89" s="564"/>
      <c r="C89" s="180">
        <v>7</v>
      </c>
      <c r="D89" s="183" t="s">
        <v>414</v>
      </c>
      <c r="E89" s="184">
        <v>3</v>
      </c>
      <c r="F89" s="180">
        <v>3600</v>
      </c>
      <c r="G89" s="185">
        <f t="shared" si="56"/>
        <v>1200</v>
      </c>
      <c r="H89" s="625"/>
      <c r="I89" s="186">
        <f t="shared" si="57"/>
        <v>3</v>
      </c>
      <c r="J89" s="186">
        <f t="shared" si="57"/>
        <v>3169.6371957446459</v>
      </c>
      <c r="K89" s="187">
        <f t="shared" si="57"/>
        <v>1056.5457319148818</v>
      </c>
      <c r="L89" s="626"/>
      <c r="M89" s="186">
        <f>RANK(K89, K$83:$K$115)</f>
        <v>6</v>
      </c>
      <c r="N89" s="631"/>
      <c r="O89" s="627"/>
      <c r="P89" s="188">
        <v>3</v>
      </c>
      <c r="Q89" s="188">
        <v>3168.8714454027659</v>
      </c>
      <c r="R89" s="185">
        <f t="shared" si="54"/>
        <v>1056.290481800922</v>
      </c>
      <c r="S89" s="182">
        <f t="shared" si="58"/>
        <v>6</v>
      </c>
      <c r="T89" s="624"/>
      <c r="U89" s="188">
        <v>3</v>
      </c>
      <c r="V89" s="188">
        <v>3168.8981079561199</v>
      </c>
      <c r="W89" s="185">
        <f t="shared" si="55"/>
        <v>1056.2993693187066</v>
      </c>
      <c r="X89" s="182">
        <f t="shared" si="59"/>
        <v>7</v>
      </c>
      <c r="Y89" s="624"/>
      <c r="Z89" s="188">
        <v>3</v>
      </c>
      <c r="AA89" s="188">
        <v>3169.231760361567</v>
      </c>
      <c r="AB89" s="185">
        <f t="shared" si="60"/>
        <v>1056.410586787189</v>
      </c>
      <c r="AC89" s="182">
        <f t="shared" si="61"/>
        <v>6</v>
      </c>
      <c r="AD89" s="624"/>
      <c r="AE89" s="188">
        <v>3</v>
      </c>
      <c r="AF89" s="188">
        <v>3169.3993647560901</v>
      </c>
      <c r="AG89" s="185">
        <f t="shared" si="62"/>
        <v>1056.4664549186966</v>
      </c>
      <c r="AH89" s="182">
        <f t="shared" si="63"/>
        <v>6</v>
      </c>
      <c r="AI89" s="624"/>
      <c r="AJ89" s="188">
        <v>3</v>
      </c>
      <c r="AK89" s="188">
        <v>3169.9294292068116</v>
      </c>
      <c r="AL89" s="185">
        <f t="shared" si="64"/>
        <v>1056.6431430689372</v>
      </c>
      <c r="AM89" s="182">
        <f t="shared" si="65"/>
        <v>6</v>
      </c>
      <c r="AN89" s="624"/>
      <c r="AO89" s="188">
        <v>3</v>
      </c>
      <c r="AP89" s="188">
        <v>3170.5626131804702</v>
      </c>
      <c r="AQ89" s="185">
        <f t="shared" si="66"/>
        <v>1056.8542043934901</v>
      </c>
      <c r="AR89" s="182">
        <f t="shared" si="67"/>
        <v>6</v>
      </c>
      <c r="AS89" s="624"/>
      <c r="AT89" s="188">
        <v>3</v>
      </c>
      <c r="AU89" s="188">
        <v>3170.5676493486935</v>
      </c>
      <c r="AV89" s="185">
        <f t="shared" si="68"/>
        <v>1056.8558831162311</v>
      </c>
      <c r="AW89" s="182">
        <f t="shared" si="69"/>
        <v>6</v>
      </c>
      <c r="AX89" s="624"/>
    </row>
    <row r="90" spans="1:50" ht="14.25" customHeight="1">
      <c r="B90" s="564"/>
      <c r="C90" s="180">
        <v>8</v>
      </c>
      <c r="D90" s="183" t="s">
        <v>409</v>
      </c>
      <c r="E90" s="184">
        <v>3</v>
      </c>
      <c r="F90" s="180">
        <v>3600</v>
      </c>
      <c r="G90" s="185">
        <f t="shared" si="56"/>
        <v>1200</v>
      </c>
      <c r="H90" s="625"/>
      <c r="I90" s="186">
        <f t="shared" si="57"/>
        <v>3</v>
      </c>
      <c r="J90" s="186">
        <f t="shared" si="57"/>
        <v>3171.0523926590872</v>
      </c>
      <c r="K90" s="187">
        <f t="shared" si="57"/>
        <v>1057.0174642196957</v>
      </c>
      <c r="L90" s="626"/>
      <c r="M90" s="186">
        <f>RANK(K90, K$83:$K$115)</f>
        <v>3</v>
      </c>
      <c r="N90" s="631"/>
      <c r="O90" s="627"/>
      <c r="P90" s="188">
        <v>3</v>
      </c>
      <c r="Q90" s="188">
        <v>3168.5932870257925</v>
      </c>
      <c r="R90" s="185">
        <f t="shared" si="54"/>
        <v>1056.1977623419309</v>
      </c>
      <c r="S90" s="182">
        <f t="shared" si="58"/>
        <v>7</v>
      </c>
      <c r="T90" s="624"/>
      <c r="U90" s="188">
        <v>3</v>
      </c>
      <c r="V90" s="188">
        <v>3169.8747958820995</v>
      </c>
      <c r="W90" s="185">
        <f t="shared" si="55"/>
        <v>1056.6249319606998</v>
      </c>
      <c r="X90" s="182">
        <f t="shared" si="59"/>
        <v>5</v>
      </c>
      <c r="Y90" s="624"/>
      <c r="Z90" s="188">
        <v>3</v>
      </c>
      <c r="AA90" s="188">
        <v>3170.3845674694057</v>
      </c>
      <c r="AB90" s="185">
        <f t="shared" si="60"/>
        <v>1056.7948558231353</v>
      </c>
      <c r="AC90" s="182">
        <f t="shared" si="61"/>
        <v>5</v>
      </c>
      <c r="AD90" s="624"/>
      <c r="AE90" s="188">
        <v>3</v>
      </c>
      <c r="AF90" s="188">
        <v>3171.596843335934</v>
      </c>
      <c r="AG90" s="185">
        <f t="shared" si="62"/>
        <v>1057.1989477786447</v>
      </c>
      <c r="AH90" s="182">
        <f t="shared" si="63"/>
        <v>3</v>
      </c>
      <c r="AI90" s="624"/>
      <c r="AJ90" s="188">
        <v>3</v>
      </c>
      <c r="AK90" s="188">
        <v>3171.8919364641179</v>
      </c>
      <c r="AL90" s="185">
        <f t="shared" si="64"/>
        <v>1057.2973121547059</v>
      </c>
      <c r="AM90" s="182">
        <f t="shared" si="65"/>
        <v>3</v>
      </c>
      <c r="AN90" s="624"/>
      <c r="AO90" s="188">
        <v>3</v>
      </c>
      <c r="AP90" s="188">
        <v>3171.358670356185</v>
      </c>
      <c r="AQ90" s="185">
        <f t="shared" si="66"/>
        <v>1057.1195567853949</v>
      </c>
      <c r="AR90" s="182">
        <f t="shared" si="67"/>
        <v>4</v>
      </c>
      <c r="AS90" s="624"/>
      <c r="AT90" s="188">
        <v>3</v>
      </c>
      <c r="AU90" s="188">
        <v>3173.6666480800768</v>
      </c>
      <c r="AV90" s="185">
        <f t="shared" si="68"/>
        <v>1057.8888826933589</v>
      </c>
      <c r="AW90" s="182">
        <f t="shared" si="69"/>
        <v>3</v>
      </c>
      <c r="AX90" s="624"/>
    </row>
    <row r="91" spans="1:50" ht="14.25" customHeight="1">
      <c r="B91" s="564"/>
      <c r="C91" s="180">
        <v>9</v>
      </c>
      <c r="D91" s="183" t="s">
        <v>413</v>
      </c>
      <c r="E91" s="184">
        <v>3</v>
      </c>
      <c r="F91" s="180">
        <v>3600</v>
      </c>
      <c r="G91" s="185">
        <f t="shared" si="56"/>
        <v>1200</v>
      </c>
      <c r="H91" s="625"/>
      <c r="I91" s="186">
        <f t="shared" si="57"/>
        <v>3</v>
      </c>
      <c r="J91" s="186">
        <f t="shared" si="57"/>
        <v>3170.591702827895</v>
      </c>
      <c r="K91" s="187">
        <f t="shared" si="57"/>
        <v>1056.8639009426315</v>
      </c>
      <c r="L91" s="626"/>
      <c r="M91" s="186">
        <f>RANK(K91, K$83:$K$115)</f>
        <v>5</v>
      </c>
      <c r="N91" s="631"/>
      <c r="O91" s="627"/>
      <c r="P91" s="188">
        <v>3</v>
      </c>
      <c r="Q91" s="188">
        <v>3170.9233791748547</v>
      </c>
      <c r="R91" s="185">
        <f t="shared" si="54"/>
        <v>1056.9744597249517</v>
      </c>
      <c r="S91" s="182">
        <f t="shared" si="58"/>
        <v>3</v>
      </c>
      <c r="T91" s="624"/>
      <c r="U91" s="188">
        <v>3</v>
      </c>
      <c r="V91" s="188">
        <v>3170.4280155641995</v>
      </c>
      <c r="W91" s="185">
        <f t="shared" si="55"/>
        <v>1056.8093385213999</v>
      </c>
      <c r="X91" s="182">
        <f t="shared" si="59"/>
        <v>3</v>
      </c>
      <c r="Y91" s="624"/>
      <c r="Z91" s="188">
        <v>3</v>
      </c>
      <c r="AA91" s="188">
        <v>3170.4697986577216</v>
      </c>
      <c r="AB91" s="185">
        <f t="shared" si="60"/>
        <v>1056.8232662192406</v>
      </c>
      <c r="AC91" s="182">
        <f t="shared" si="61"/>
        <v>3</v>
      </c>
      <c r="AD91" s="624"/>
      <c r="AE91" s="188">
        <v>3</v>
      </c>
      <c r="AF91" s="188">
        <v>3170.0164744645772</v>
      </c>
      <c r="AG91" s="185">
        <f t="shared" si="62"/>
        <v>1056.6721581548591</v>
      </c>
      <c r="AH91" s="182">
        <f t="shared" si="63"/>
        <v>5</v>
      </c>
      <c r="AI91" s="624"/>
      <c r="AJ91" s="188">
        <v>3</v>
      </c>
      <c r="AK91" s="188">
        <v>3170.7594038324992</v>
      </c>
      <c r="AL91" s="185">
        <f t="shared" si="64"/>
        <v>1056.9198012774998</v>
      </c>
      <c r="AM91" s="182">
        <f t="shared" si="65"/>
        <v>5</v>
      </c>
      <c r="AN91" s="624"/>
      <c r="AO91" s="188">
        <v>3</v>
      </c>
      <c r="AP91" s="188">
        <v>3170.6214689265548</v>
      </c>
      <c r="AQ91" s="185">
        <f t="shared" si="66"/>
        <v>1056.8738229755184</v>
      </c>
      <c r="AR91" s="182">
        <f t="shared" si="67"/>
        <v>5</v>
      </c>
      <c r="AS91" s="624"/>
      <c r="AT91" s="188">
        <v>3</v>
      </c>
      <c r="AU91" s="188">
        <v>3170.9233791748547</v>
      </c>
      <c r="AV91" s="185">
        <f t="shared" si="68"/>
        <v>1056.9744597249517</v>
      </c>
      <c r="AW91" s="182">
        <f t="shared" si="69"/>
        <v>5</v>
      </c>
      <c r="AX91" s="624"/>
    </row>
    <row r="92" spans="1:50" ht="14.25" customHeight="1">
      <c r="B92" s="564"/>
      <c r="C92" s="180">
        <v>10</v>
      </c>
      <c r="D92" s="183" t="s">
        <v>472</v>
      </c>
      <c r="E92" s="184">
        <v>3</v>
      </c>
      <c r="F92" s="180">
        <v>3600</v>
      </c>
      <c r="G92" s="185">
        <f t="shared" si="56"/>
        <v>1200</v>
      </c>
      <c r="H92" s="625"/>
      <c r="I92" s="186">
        <f t="shared" si="57"/>
        <v>3</v>
      </c>
      <c r="J92" s="186">
        <f t="shared" si="57"/>
        <v>3177.6779505253103</v>
      </c>
      <c r="K92" s="187">
        <f t="shared" si="57"/>
        <v>1059.2259835084367</v>
      </c>
      <c r="L92" s="626"/>
      <c r="M92" s="186">
        <f>RANK(K92, K$83:$K$115)</f>
        <v>1</v>
      </c>
      <c r="N92" s="631"/>
      <c r="O92" s="627"/>
      <c r="P92" s="188">
        <v>3</v>
      </c>
      <c r="Q92" s="188">
        <v>3172.0768563003849</v>
      </c>
      <c r="R92" s="185">
        <f t="shared" si="54"/>
        <v>1057.3589521001284</v>
      </c>
      <c r="S92" s="182">
        <f t="shared" si="58"/>
        <v>1</v>
      </c>
      <c r="T92" s="624"/>
      <c r="U92" s="188">
        <v>3</v>
      </c>
      <c r="V92" s="188">
        <v>3176.7383059418567</v>
      </c>
      <c r="W92" s="185">
        <f t="shared" si="55"/>
        <v>1058.9127686472855</v>
      </c>
      <c r="X92" s="182">
        <f t="shared" si="59"/>
        <v>1</v>
      </c>
      <c r="Y92" s="624"/>
      <c r="Z92" s="188">
        <v>3</v>
      </c>
      <c r="AA92" s="188">
        <v>3177.3584905660309</v>
      </c>
      <c r="AB92" s="185">
        <f t="shared" si="60"/>
        <v>1059.1194968553436</v>
      </c>
      <c r="AC92" s="182">
        <f t="shared" si="61"/>
        <v>1</v>
      </c>
      <c r="AD92" s="624"/>
      <c r="AE92" s="188">
        <v>3</v>
      </c>
      <c r="AF92" s="188">
        <v>3179.3322734499166</v>
      </c>
      <c r="AG92" s="185">
        <f t="shared" si="62"/>
        <v>1059.7774244833056</v>
      </c>
      <c r="AH92" s="182">
        <f t="shared" si="63"/>
        <v>1</v>
      </c>
      <c r="AI92" s="624"/>
      <c r="AJ92" s="188">
        <v>3</v>
      </c>
      <c r="AK92" s="188">
        <v>3180.4249839021318</v>
      </c>
      <c r="AL92" s="185">
        <f t="shared" si="64"/>
        <v>1060.1416613007107</v>
      </c>
      <c r="AM92" s="182">
        <f t="shared" si="65"/>
        <v>1</v>
      </c>
      <c r="AN92" s="624"/>
      <c r="AO92" s="188">
        <v>3</v>
      </c>
      <c r="AP92" s="188">
        <v>3179.0113669626398</v>
      </c>
      <c r="AQ92" s="185">
        <f t="shared" si="66"/>
        <v>1059.6704556542134</v>
      </c>
      <c r="AR92" s="182">
        <f t="shared" si="67"/>
        <v>1</v>
      </c>
      <c r="AS92" s="624"/>
      <c r="AT92" s="188">
        <v>3</v>
      </c>
      <c r="AU92" s="188">
        <v>3178.8033765542114</v>
      </c>
      <c r="AV92" s="185">
        <f t="shared" si="68"/>
        <v>1059.6011255180704</v>
      </c>
      <c r="AW92" s="182">
        <f t="shared" si="69"/>
        <v>1</v>
      </c>
      <c r="AX92" s="624"/>
    </row>
    <row r="93" spans="1:50" ht="14.25" customHeight="1">
      <c r="B93" s="564"/>
      <c r="C93" s="180">
        <v>11</v>
      </c>
      <c r="D93" s="183" t="s">
        <v>349</v>
      </c>
      <c r="E93" s="184">
        <v>3</v>
      </c>
      <c r="F93" s="180">
        <v>3000</v>
      </c>
      <c r="G93" s="185">
        <f t="shared" si="56"/>
        <v>1000</v>
      </c>
      <c r="H93" s="625"/>
      <c r="I93" s="186">
        <f t="shared" si="57"/>
        <v>3</v>
      </c>
      <c r="J93" s="186">
        <f t="shared" si="57"/>
        <v>2694.8586926368725</v>
      </c>
      <c r="K93" s="187">
        <f t="shared" si="57"/>
        <v>898.28623087895744</v>
      </c>
      <c r="L93" s="626"/>
      <c r="M93" s="186">
        <f>RANK(K93, K$83:$K$115)</f>
        <v>9</v>
      </c>
      <c r="N93" s="631"/>
      <c r="O93" s="627"/>
      <c r="P93" s="188">
        <v>3</v>
      </c>
      <c r="Q93" s="188">
        <v>2695.2254764215686</v>
      </c>
      <c r="R93" s="185">
        <f t="shared" si="54"/>
        <v>898.40849214052287</v>
      </c>
      <c r="S93" s="182">
        <f t="shared" si="58"/>
        <v>9</v>
      </c>
      <c r="T93" s="624"/>
      <c r="U93" s="188">
        <v>3</v>
      </c>
      <c r="V93" s="188">
        <v>2694.949862055857</v>
      </c>
      <c r="W93" s="185">
        <f t="shared" si="55"/>
        <v>898.31662068528567</v>
      </c>
      <c r="X93" s="182">
        <f t="shared" si="59"/>
        <v>9</v>
      </c>
      <c r="Y93" s="624"/>
      <c r="Z93" s="188">
        <v>3</v>
      </c>
      <c r="AA93" s="188">
        <v>2694.9524908730209</v>
      </c>
      <c r="AB93" s="185">
        <f t="shared" si="60"/>
        <v>898.3174969576736</v>
      </c>
      <c r="AC93" s="182">
        <f t="shared" si="61"/>
        <v>9</v>
      </c>
      <c r="AD93" s="624"/>
      <c r="AE93" s="188">
        <v>3</v>
      </c>
      <c r="AF93" s="188">
        <v>2694.5926916961348</v>
      </c>
      <c r="AG93" s="185">
        <f t="shared" si="62"/>
        <v>898.19756389871156</v>
      </c>
      <c r="AH93" s="182">
        <f t="shared" si="63"/>
        <v>10</v>
      </c>
      <c r="AI93" s="624"/>
      <c r="AJ93" s="188">
        <v>3</v>
      </c>
      <c r="AK93" s="188">
        <v>2694.7032920032639</v>
      </c>
      <c r="AL93" s="185">
        <f t="shared" si="64"/>
        <v>898.23443066775462</v>
      </c>
      <c r="AM93" s="182">
        <f t="shared" si="65"/>
        <v>10</v>
      </c>
      <c r="AN93" s="624"/>
      <c r="AO93" s="188">
        <v>3</v>
      </c>
      <c r="AP93" s="188">
        <v>2694.7273106199564</v>
      </c>
      <c r="AQ93" s="185">
        <f t="shared" si="66"/>
        <v>898.24243687331875</v>
      </c>
      <c r="AR93" s="182">
        <f t="shared" si="67"/>
        <v>11</v>
      </c>
      <c r="AS93" s="624"/>
      <c r="AT93" s="188">
        <v>3</v>
      </c>
      <c r="AU93" s="188">
        <v>2694.8597247883044</v>
      </c>
      <c r="AV93" s="185">
        <f t="shared" si="68"/>
        <v>898.28657492943478</v>
      </c>
      <c r="AW93" s="182">
        <f t="shared" si="69"/>
        <v>10</v>
      </c>
      <c r="AX93" s="624"/>
    </row>
    <row r="94" spans="1:50" ht="14.25" customHeight="1">
      <c r="B94" s="564"/>
      <c r="C94" s="180">
        <v>12</v>
      </c>
      <c r="D94" s="183" t="s">
        <v>407</v>
      </c>
      <c r="E94" s="184">
        <v>4</v>
      </c>
      <c r="F94" s="180">
        <v>3600</v>
      </c>
      <c r="G94" s="185">
        <f t="shared" si="56"/>
        <v>900</v>
      </c>
      <c r="H94" s="625"/>
      <c r="I94" s="186">
        <f t="shared" si="57"/>
        <v>4</v>
      </c>
      <c r="J94" s="186">
        <f t="shared" si="57"/>
        <v>3170.6035380436779</v>
      </c>
      <c r="K94" s="187">
        <f t="shared" si="57"/>
        <v>792.65088451091947</v>
      </c>
      <c r="L94" s="626"/>
      <c r="M94" s="186">
        <f>RANK(K94, K$83:$K$115)</f>
        <v>12</v>
      </c>
      <c r="N94" s="631"/>
      <c r="O94" s="627"/>
      <c r="P94" s="188">
        <v>4</v>
      </c>
      <c r="Q94" s="188">
        <v>3170.1350277998408</v>
      </c>
      <c r="R94" s="185">
        <f t="shared" si="54"/>
        <v>792.53375694996021</v>
      </c>
      <c r="S94" s="182">
        <f t="shared" si="58"/>
        <v>12</v>
      </c>
      <c r="T94" s="624"/>
      <c r="U94" s="188">
        <v>4</v>
      </c>
      <c r="V94" s="188">
        <v>3170.1777659856721</v>
      </c>
      <c r="W94" s="185">
        <f t="shared" si="55"/>
        <v>792.54444149641802</v>
      </c>
      <c r="X94" s="182">
        <f t="shared" si="59"/>
        <v>12</v>
      </c>
      <c r="Y94" s="624"/>
      <c r="Z94" s="188">
        <v>4</v>
      </c>
      <c r="AA94" s="188">
        <v>3170.5228031145725</v>
      </c>
      <c r="AB94" s="185">
        <f t="shared" si="60"/>
        <v>792.63070077864313</v>
      </c>
      <c r="AC94" s="182">
        <f t="shared" si="61"/>
        <v>12</v>
      </c>
      <c r="AD94" s="624"/>
      <c r="AE94" s="188">
        <v>4</v>
      </c>
      <c r="AF94" s="188">
        <v>3170.1689933872144</v>
      </c>
      <c r="AG94" s="185">
        <f t="shared" si="62"/>
        <v>792.5422483468036</v>
      </c>
      <c r="AH94" s="182">
        <f t="shared" si="63"/>
        <v>12</v>
      </c>
      <c r="AI94" s="624"/>
      <c r="AJ94" s="188">
        <v>4</v>
      </c>
      <c r="AK94" s="188">
        <v>3171.1043872919845</v>
      </c>
      <c r="AL94" s="185">
        <f t="shared" si="64"/>
        <v>792.77609682299612</v>
      </c>
      <c r="AM94" s="182">
        <f t="shared" si="65"/>
        <v>12</v>
      </c>
      <c r="AN94" s="624"/>
      <c r="AO94" s="188">
        <v>4</v>
      </c>
      <c r="AP94" s="188">
        <v>3171.1936207326207</v>
      </c>
      <c r="AQ94" s="185">
        <f t="shared" si="66"/>
        <v>792.79840518315518</v>
      </c>
      <c r="AR94" s="182">
        <f t="shared" si="67"/>
        <v>12</v>
      </c>
      <c r="AS94" s="624"/>
      <c r="AT94" s="188">
        <v>4</v>
      </c>
      <c r="AU94" s="188">
        <v>3170.9221679938369</v>
      </c>
      <c r="AV94" s="185">
        <f t="shared" si="68"/>
        <v>792.73054199845922</v>
      </c>
      <c r="AW94" s="182">
        <f t="shared" si="69"/>
        <v>12</v>
      </c>
      <c r="AX94" s="624"/>
    </row>
    <row r="95" spans="1:50" ht="14.25" customHeight="1">
      <c r="B95" s="564"/>
      <c r="C95" s="180">
        <v>13</v>
      </c>
      <c r="D95" s="183" t="s">
        <v>403</v>
      </c>
      <c r="E95" s="184">
        <v>4</v>
      </c>
      <c r="F95" s="180">
        <v>3300</v>
      </c>
      <c r="G95" s="185">
        <f t="shared" si="56"/>
        <v>825</v>
      </c>
      <c r="H95" s="625"/>
      <c r="I95" s="186">
        <f t="shared" si="57"/>
        <v>4</v>
      </c>
      <c r="J95" s="186">
        <f t="shared" si="57"/>
        <v>2938.3979914593901</v>
      </c>
      <c r="K95" s="187">
        <f t="shared" si="57"/>
        <v>734.59949786484754</v>
      </c>
      <c r="L95" s="626"/>
      <c r="M95" s="186">
        <f>RANK(K95, K$83:$K$115)</f>
        <v>18</v>
      </c>
      <c r="N95" s="631"/>
      <c r="O95" s="627"/>
      <c r="P95" s="188">
        <v>4</v>
      </c>
      <c r="Q95" s="188">
        <v>2938.0761523046099</v>
      </c>
      <c r="R95" s="185">
        <f t="shared" si="54"/>
        <v>734.51903807615247</v>
      </c>
      <c r="S95" s="182">
        <f t="shared" si="58"/>
        <v>19</v>
      </c>
      <c r="T95" s="624"/>
      <c r="U95" s="188">
        <v>4</v>
      </c>
      <c r="V95" s="188">
        <v>2938.4771573604035</v>
      </c>
      <c r="W95" s="185">
        <f t="shared" si="55"/>
        <v>734.61928934010086</v>
      </c>
      <c r="X95" s="182">
        <f t="shared" si="59"/>
        <v>18</v>
      </c>
      <c r="Y95" s="624"/>
      <c r="Z95" s="188">
        <v>4</v>
      </c>
      <c r="AA95" s="188">
        <v>2937.9310344827559</v>
      </c>
      <c r="AB95" s="185">
        <f t="shared" si="60"/>
        <v>734.48275862068897</v>
      </c>
      <c r="AC95" s="182">
        <f t="shared" si="61"/>
        <v>19</v>
      </c>
      <c r="AD95" s="624"/>
      <c r="AE95" s="188">
        <v>4</v>
      </c>
      <c r="AF95" s="188">
        <v>2938.3502170767033</v>
      </c>
      <c r="AG95" s="185">
        <f t="shared" si="62"/>
        <v>734.58755426917583</v>
      </c>
      <c r="AH95" s="182">
        <f t="shared" si="63"/>
        <v>18</v>
      </c>
      <c r="AI95" s="624"/>
      <c r="AJ95" s="188">
        <v>4</v>
      </c>
      <c r="AK95" s="188">
        <v>2938.3627608346715</v>
      </c>
      <c r="AL95" s="185">
        <f t="shared" si="64"/>
        <v>734.59069020866787</v>
      </c>
      <c r="AM95" s="182">
        <f t="shared" si="65"/>
        <v>18</v>
      </c>
      <c r="AN95" s="624"/>
      <c r="AO95" s="188">
        <v>4</v>
      </c>
      <c r="AP95" s="188">
        <v>2938.6006663493554</v>
      </c>
      <c r="AQ95" s="185">
        <f t="shared" si="66"/>
        <v>734.65016658733884</v>
      </c>
      <c r="AR95" s="182">
        <f t="shared" si="67"/>
        <v>17</v>
      </c>
      <c r="AS95" s="624"/>
      <c r="AT95" s="188">
        <v>4</v>
      </c>
      <c r="AU95" s="188">
        <v>2938.9879518072303</v>
      </c>
      <c r="AV95" s="185">
        <f t="shared" si="68"/>
        <v>734.74698795180757</v>
      </c>
      <c r="AW95" s="182">
        <f t="shared" si="69"/>
        <v>17</v>
      </c>
      <c r="AX95" s="624"/>
    </row>
    <row r="96" spans="1:50" ht="14.25" customHeight="1">
      <c r="B96" s="564"/>
      <c r="C96" s="180">
        <v>14</v>
      </c>
      <c r="D96" s="183" t="s">
        <v>401</v>
      </c>
      <c r="E96" s="184">
        <v>4</v>
      </c>
      <c r="F96" s="180">
        <v>3300</v>
      </c>
      <c r="G96" s="185">
        <f t="shared" si="56"/>
        <v>825</v>
      </c>
      <c r="H96" s="625"/>
      <c r="I96" s="186">
        <f t="shared" si="57"/>
        <v>4</v>
      </c>
      <c r="J96" s="186">
        <f t="shared" si="57"/>
        <v>2937.904443492193</v>
      </c>
      <c r="K96" s="187">
        <f t="shared" si="57"/>
        <v>734.47611087304824</v>
      </c>
      <c r="L96" s="626"/>
      <c r="M96" s="186">
        <f>RANK(K96, K$83:$K$115)</f>
        <v>19</v>
      </c>
      <c r="N96" s="631"/>
      <c r="O96" s="627"/>
      <c r="P96" s="188">
        <v>4</v>
      </c>
      <c r="Q96" s="188">
        <v>2938.2995951416988</v>
      </c>
      <c r="R96" s="185">
        <f t="shared" si="54"/>
        <v>734.57489878542469</v>
      </c>
      <c r="S96" s="182">
        <f t="shared" si="58"/>
        <v>18</v>
      </c>
      <c r="T96" s="624"/>
      <c r="U96" s="188">
        <v>4</v>
      </c>
      <c r="V96" s="188">
        <v>2937.8969072164955</v>
      </c>
      <c r="W96" s="185">
        <f t="shared" si="55"/>
        <v>734.47422680412387</v>
      </c>
      <c r="X96" s="182">
        <f t="shared" si="59"/>
        <v>19</v>
      </c>
      <c r="Y96" s="624"/>
      <c r="Z96" s="188">
        <v>4</v>
      </c>
      <c r="AA96" s="188">
        <v>2938.1096245144595</v>
      </c>
      <c r="AB96" s="185">
        <f t="shared" si="60"/>
        <v>734.52740612861487</v>
      </c>
      <c r="AC96" s="182">
        <f t="shared" si="61"/>
        <v>18</v>
      </c>
      <c r="AD96" s="624"/>
      <c r="AE96" s="188">
        <v>4</v>
      </c>
      <c r="AF96" s="188">
        <v>2937.9782981153649</v>
      </c>
      <c r="AG96" s="185">
        <f t="shared" si="62"/>
        <v>734.49457452884121</v>
      </c>
      <c r="AH96" s="182">
        <f t="shared" si="63"/>
        <v>19</v>
      </c>
      <c r="AI96" s="624"/>
      <c r="AJ96" s="188">
        <v>4</v>
      </c>
      <c r="AK96" s="188">
        <v>2937.5147928994129</v>
      </c>
      <c r="AL96" s="185">
        <f t="shared" si="64"/>
        <v>734.37869822485322</v>
      </c>
      <c r="AM96" s="182">
        <f t="shared" si="65"/>
        <v>19</v>
      </c>
      <c r="AN96" s="624"/>
      <c r="AO96" s="188">
        <v>4</v>
      </c>
      <c r="AP96" s="188">
        <v>2937.8164556961997</v>
      </c>
      <c r="AQ96" s="185">
        <f t="shared" si="66"/>
        <v>734.45411392404992</v>
      </c>
      <c r="AR96" s="182">
        <f t="shared" si="67"/>
        <v>18</v>
      </c>
      <c r="AS96" s="624"/>
      <c r="AT96" s="188">
        <v>4</v>
      </c>
      <c r="AU96" s="188">
        <v>2937.715430861721</v>
      </c>
      <c r="AV96" s="185">
        <f t="shared" si="68"/>
        <v>734.42885771543024</v>
      </c>
      <c r="AW96" s="182">
        <f t="shared" si="69"/>
        <v>19</v>
      </c>
      <c r="AX96" s="624"/>
    </row>
    <row r="97" spans="2:50" ht="14.25" customHeight="1">
      <c r="B97" s="564"/>
      <c r="C97" s="180">
        <v>15</v>
      </c>
      <c r="D97" s="183" t="s">
        <v>462</v>
      </c>
      <c r="E97" s="184">
        <v>4</v>
      </c>
      <c r="F97" s="180">
        <v>3300</v>
      </c>
      <c r="G97" s="185">
        <f t="shared" si="56"/>
        <v>825</v>
      </c>
      <c r="H97" s="625"/>
      <c r="I97" s="186">
        <f t="shared" si="57"/>
        <v>4</v>
      </c>
      <c r="J97" s="186">
        <f t="shared" si="57"/>
        <v>2970.8111817990398</v>
      </c>
      <c r="K97" s="187">
        <f t="shared" si="57"/>
        <v>742.70279544975995</v>
      </c>
      <c r="L97" s="626"/>
      <c r="M97" s="186">
        <f>RANK(K97, K$83:$K$115)</f>
        <v>14</v>
      </c>
      <c r="N97" s="631"/>
      <c r="O97" s="627"/>
      <c r="P97" s="188">
        <v>4</v>
      </c>
      <c r="Q97" s="188">
        <v>2970.378151260506</v>
      </c>
      <c r="R97" s="185">
        <f t="shared" si="54"/>
        <v>742.5945378151265</v>
      </c>
      <c r="S97" s="182">
        <f t="shared" si="58"/>
        <v>14</v>
      </c>
      <c r="T97" s="624"/>
      <c r="U97" s="188">
        <v>4</v>
      </c>
      <c r="V97" s="188">
        <v>2970.779220779219</v>
      </c>
      <c r="W97" s="185">
        <f t="shared" si="55"/>
        <v>742.69480519480476</v>
      </c>
      <c r="X97" s="182">
        <f t="shared" si="59"/>
        <v>14</v>
      </c>
      <c r="Y97" s="624"/>
      <c r="Z97" s="188">
        <v>4</v>
      </c>
      <c r="AA97" s="188">
        <v>2970.7736389684851</v>
      </c>
      <c r="AB97" s="185">
        <f t="shared" si="60"/>
        <v>742.69340974212128</v>
      </c>
      <c r="AC97" s="182">
        <f t="shared" si="61"/>
        <v>15</v>
      </c>
      <c r="AD97" s="624"/>
      <c r="AE97" s="188">
        <v>4</v>
      </c>
      <c r="AF97" s="188">
        <v>2970.3422053231916</v>
      </c>
      <c r="AG97" s="185">
        <f t="shared" si="62"/>
        <v>742.5855513307979</v>
      </c>
      <c r="AH97" s="182">
        <f t="shared" si="63"/>
        <v>15</v>
      </c>
      <c r="AI97" s="624"/>
      <c r="AJ97" s="188">
        <v>4</v>
      </c>
      <c r="AK97" s="188">
        <v>2971.4754098360722</v>
      </c>
      <c r="AL97" s="185">
        <f t="shared" si="64"/>
        <v>742.86885245901806</v>
      </c>
      <c r="AM97" s="182">
        <f t="shared" si="65"/>
        <v>14</v>
      </c>
      <c r="AN97" s="624"/>
      <c r="AO97" s="188">
        <v>4</v>
      </c>
      <c r="AP97" s="188">
        <v>2970.4712041884823</v>
      </c>
      <c r="AQ97" s="185">
        <f t="shared" si="66"/>
        <v>742.61780104712057</v>
      </c>
      <c r="AR97" s="182">
        <f t="shared" si="67"/>
        <v>14</v>
      </c>
      <c r="AS97" s="624"/>
      <c r="AT97" s="188">
        <v>4</v>
      </c>
      <c r="AU97" s="188">
        <v>2971.4584422373237</v>
      </c>
      <c r="AV97" s="185">
        <f t="shared" si="68"/>
        <v>742.86461055933091</v>
      </c>
      <c r="AW97" s="182">
        <f t="shared" si="69"/>
        <v>14</v>
      </c>
      <c r="AX97" s="624"/>
    </row>
    <row r="98" spans="2:50" ht="14.25" customHeight="1">
      <c r="B98" s="564"/>
      <c r="C98" s="180">
        <v>16</v>
      </c>
      <c r="D98" s="183" t="s">
        <v>416</v>
      </c>
      <c r="E98" s="184">
        <v>4</v>
      </c>
      <c r="F98" s="180">
        <v>3600</v>
      </c>
      <c r="G98" s="185">
        <f t="shared" si="56"/>
        <v>900</v>
      </c>
      <c r="H98" s="625"/>
      <c r="I98" s="186">
        <f t="shared" si="57"/>
        <v>4</v>
      </c>
      <c r="J98" s="186">
        <f t="shared" si="57"/>
        <v>3168.6805180430833</v>
      </c>
      <c r="K98" s="187">
        <f t="shared" si="57"/>
        <v>792.17012951077083</v>
      </c>
      <c r="L98" s="626"/>
      <c r="M98" s="186">
        <f>RANK(K98, K$83:$K$115)</f>
        <v>13</v>
      </c>
      <c r="N98" s="631"/>
      <c r="O98" s="627"/>
      <c r="P98" s="188">
        <v>4</v>
      </c>
      <c r="Q98" s="188">
        <v>3168.8959450761613</v>
      </c>
      <c r="R98" s="185">
        <f t="shared" si="54"/>
        <v>792.22398626904032</v>
      </c>
      <c r="S98" s="182">
        <f t="shared" si="58"/>
        <v>13</v>
      </c>
      <c r="T98" s="624"/>
      <c r="U98" s="188">
        <v>4</v>
      </c>
      <c r="V98" s="188">
        <v>3167.6167938747903</v>
      </c>
      <c r="W98" s="185">
        <f t="shared" si="55"/>
        <v>791.90419846869759</v>
      </c>
      <c r="X98" s="182">
        <f t="shared" si="59"/>
        <v>13</v>
      </c>
      <c r="Y98" s="624"/>
      <c r="Z98" s="188">
        <v>4</v>
      </c>
      <c r="AA98" s="188">
        <v>3167.434890249132</v>
      </c>
      <c r="AB98" s="185">
        <f t="shared" si="60"/>
        <v>791.85872256228299</v>
      </c>
      <c r="AC98" s="182">
        <f t="shared" si="61"/>
        <v>13</v>
      </c>
      <c r="AD98" s="624"/>
      <c r="AE98" s="188">
        <v>4</v>
      </c>
      <c r="AF98" s="188">
        <v>3168.1305868635868</v>
      </c>
      <c r="AG98" s="185">
        <f t="shared" si="62"/>
        <v>792.0326467158967</v>
      </c>
      <c r="AH98" s="182">
        <f t="shared" si="63"/>
        <v>13</v>
      </c>
      <c r="AI98" s="624"/>
      <c r="AJ98" s="188">
        <v>4</v>
      </c>
      <c r="AK98" s="188">
        <v>3169.05270275877</v>
      </c>
      <c r="AL98" s="185">
        <f t="shared" si="64"/>
        <v>792.2631756896925</v>
      </c>
      <c r="AM98" s="182">
        <f t="shared" si="65"/>
        <v>13</v>
      </c>
      <c r="AN98" s="624"/>
      <c r="AO98" s="188">
        <v>4</v>
      </c>
      <c r="AP98" s="188">
        <v>3170.0764126907316</v>
      </c>
      <c r="AQ98" s="185">
        <f t="shared" si="66"/>
        <v>792.51910317268289</v>
      </c>
      <c r="AR98" s="182">
        <f t="shared" si="67"/>
        <v>13</v>
      </c>
      <c r="AS98" s="624"/>
      <c r="AT98" s="188">
        <v>4</v>
      </c>
      <c r="AU98" s="188">
        <v>3169.5562947884146</v>
      </c>
      <c r="AV98" s="185">
        <f t="shared" si="68"/>
        <v>792.38907369710364</v>
      </c>
      <c r="AW98" s="182">
        <f t="shared" si="69"/>
        <v>13</v>
      </c>
      <c r="AX98" s="624"/>
    </row>
    <row r="99" spans="2:50" ht="14.25" customHeight="1">
      <c r="B99" s="564"/>
      <c r="C99" s="180">
        <v>17</v>
      </c>
      <c r="D99" s="183" t="s">
        <v>412</v>
      </c>
      <c r="E99" s="184">
        <v>4</v>
      </c>
      <c r="F99" s="180">
        <v>3300</v>
      </c>
      <c r="G99" s="185">
        <f t="shared" si="56"/>
        <v>825</v>
      </c>
      <c r="H99" s="625"/>
      <c r="I99" s="186">
        <f t="shared" si="57"/>
        <v>4</v>
      </c>
      <c r="J99" s="186">
        <f t="shared" si="57"/>
        <v>2940.2110098177723</v>
      </c>
      <c r="K99" s="187">
        <f t="shared" si="57"/>
        <v>735.05275245444307</v>
      </c>
      <c r="L99" s="626"/>
      <c r="M99" s="186">
        <f>RANK(K99, K$83:$K$115)</f>
        <v>16</v>
      </c>
      <c r="N99" s="631"/>
      <c r="O99" s="627"/>
      <c r="P99" s="188">
        <v>4</v>
      </c>
      <c r="Q99" s="188">
        <v>2939.8771898139503</v>
      </c>
      <c r="R99" s="185">
        <f t="shared" si="54"/>
        <v>734.96929745348757</v>
      </c>
      <c r="S99" s="182">
        <f t="shared" si="58"/>
        <v>17</v>
      </c>
      <c r="T99" s="624"/>
      <c r="U99" s="188">
        <v>4</v>
      </c>
      <c r="V99" s="188">
        <v>2939.3237527391484</v>
      </c>
      <c r="W99" s="185">
        <f t="shared" si="55"/>
        <v>734.8309381847871</v>
      </c>
      <c r="X99" s="182">
        <f t="shared" si="59"/>
        <v>17</v>
      </c>
      <c r="Y99" s="624"/>
      <c r="Z99" s="188">
        <v>4</v>
      </c>
      <c r="AA99" s="188">
        <v>2939.6324257734741</v>
      </c>
      <c r="AB99" s="185">
        <f t="shared" si="60"/>
        <v>734.90810644336852</v>
      </c>
      <c r="AC99" s="182">
        <f t="shared" si="61"/>
        <v>17</v>
      </c>
      <c r="AD99" s="624"/>
      <c r="AE99" s="188">
        <v>4</v>
      </c>
      <c r="AF99" s="188">
        <v>2940.2482647998245</v>
      </c>
      <c r="AG99" s="185">
        <f t="shared" si="62"/>
        <v>735.06206619995612</v>
      </c>
      <c r="AH99" s="182">
        <f t="shared" si="63"/>
        <v>16</v>
      </c>
      <c r="AI99" s="624"/>
      <c r="AJ99" s="188">
        <v>4</v>
      </c>
      <c r="AK99" s="188">
        <v>2941.3199426111869</v>
      </c>
      <c r="AL99" s="185">
        <f t="shared" si="64"/>
        <v>735.32998565279672</v>
      </c>
      <c r="AM99" s="182">
        <f t="shared" si="65"/>
        <v>16</v>
      </c>
      <c r="AN99" s="624"/>
      <c r="AO99" s="188">
        <v>4</v>
      </c>
      <c r="AP99" s="188">
        <v>2940.7792207792249</v>
      </c>
      <c r="AQ99" s="185">
        <f t="shared" si="66"/>
        <v>735.19480519480624</v>
      </c>
      <c r="AR99" s="182">
        <f t="shared" si="67"/>
        <v>16</v>
      </c>
      <c r="AS99" s="624"/>
      <c r="AT99" s="188">
        <v>4</v>
      </c>
      <c r="AU99" s="188">
        <v>2940.2962722075945</v>
      </c>
      <c r="AV99" s="185">
        <f t="shared" si="68"/>
        <v>735.07406805189862</v>
      </c>
      <c r="AW99" s="182">
        <f t="shared" si="69"/>
        <v>16</v>
      </c>
      <c r="AX99" s="624"/>
    </row>
    <row r="100" spans="2:50" ht="14.25" customHeight="1">
      <c r="B100" s="564"/>
      <c r="C100" s="180">
        <v>18</v>
      </c>
      <c r="D100" s="183" t="s">
        <v>408</v>
      </c>
      <c r="E100" s="184">
        <v>4</v>
      </c>
      <c r="F100" s="180">
        <v>3300</v>
      </c>
      <c r="G100" s="185">
        <f t="shared" si="56"/>
        <v>825</v>
      </c>
      <c r="H100" s="625"/>
      <c r="I100" s="186">
        <f t="shared" si="57"/>
        <v>4</v>
      </c>
      <c r="J100" s="186">
        <f t="shared" si="57"/>
        <v>2939.4350780743903</v>
      </c>
      <c r="K100" s="187">
        <f t="shared" si="57"/>
        <v>734.85876951859757</v>
      </c>
      <c r="L100" s="626"/>
      <c r="M100" s="186">
        <f>RANK(K100, K$83:$K$115)</f>
        <v>17</v>
      </c>
      <c r="N100" s="631"/>
      <c r="O100" s="627"/>
      <c r="P100" s="188">
        <v>4</v>
      </c>
      <c r="Q100" s="188">
        <v>2939.9835134639861</v>
      </c>
      <c r="R100" s="185">
        <f t="shared" si="54"/>
        <v>734.99587836599653</v>
      </c>
      <c r="S100" s="182">
        <f t="shared" si="58"/>
        <v>16</v>
      </c>
      <c r="T100" s="624"/>
      <c r="U100" s="188">
        <v>4</v>
      </c>
      <c r="V100" s="188">
        <v>2941.1166226148684</v>
      </c>
      <c r="W100" s="185">
        <f t="shared" si="55"/>
        <v>735.27915565371711</v>
      </c>
      <c r="X100" s="182">
        <f t="shared" si="59"/>
        <v>16</v>
      </c>
      <c r="Y100" s="624"/>
      <c r="Z100" s="188">
        <v>4</v>
      </c>
      <c r="AA100" s="188">
        <v>2940.8350245052907</v>
      </c>
      <c r="AB100" s="185">
        <f t="shared" si="60"/>
        <v>735.20875612632267</v>
      </c>
      <c r="AC100" s="182">
        <f t="shared" si="61"/>
        <v>16</v>
      </c>
      <c r="AD100" s="624"/>
      <c r="AE100" s="188">
        <v>4</v>
      </c>
      <c r="AF100" s="188">
        <v>2940.1303014418027</v>
      </c>
      <c r="AG100" s="185">
        <f t="shared" si="62"/>
        <v>735.03257536045066</v>
      </c>
      <c r="AH100" s="182">
        <f t="shared" si="63"/>
        <v>17</v>
      </c>
      <c r="AI100" s="624"/>
      <c r="AJ100" s="188">
        <v>4</v>
      </c>
      <c r="AK100" s="188">
        <v>2938.6709279412134</v>
      </c>
      <c r="AL100" s="185">
        <f t="shared" si="64"/>
        <v>734.66773198530336</v>
      </c>
      <c r="AM100" s="182">
        <f t="shared" si="65"/>
        <v>17</v>
      </c>
      <c r="AN100" s="624"/>
      <c r="AO100" s="188">
        <v>4</v>
      </c>
      <c r="AP100" s="188">
        <v>2937.4531588981545</v>
      </c>
      <c r="AQ100" s="185">
        <f t="shared" si="66"/>
        <v>734.36328972453862</v>
      </c>
      <c r="AR100" s="182">
        <f t="shared" si="67"/>
        <v>19</v>
      </c>
      <c r="AS100" s="624"/>
      <c r="AT100" s="188">
        <v>4</v>
      </c>
      <c r="AU100" s="188">
        <v>2937.8559976554179</v>
      </c>
      <c r="AV100" s="185">
        <f t="shared" si="68"/>
        <v>734.46399941385448</v>
      </c>
      <c r="AW100" s="182">
        <f t="shared" si="69"/>
        <v>18</v>
      </c>
      <c r="AX100" s="624"/>
    </row>
    <row r="101" spans="2:50" ht="14.25" customHeight="1">
      <c r="B101" s="564"/>
      <c r="C101" s="180">
        <v>19</v>
      </c>
      <c r="D101" s="183" t="s">
        <v>411</v>
      </c>
      <c r="E101" s="184">
        <v>4</v>
      </c>
      <c r="F101" s="180">
        <v>3000</v>
      </c>
      <c r="G101" s="185">
        <f t="shared" si="56"/>
        <v>750</v>
      </c>
      <c r="H101" s="625"/>
      <c r="I101" s="186">
        <f t="shared" si="57"/>
        <v>4</v>
      </c>
      <c r="J101" s="186">
        <f t="shared" si="57"/>
        <v>2696.9021084344627</v>
      </c>
      <c r="K101" s="187">
        <f t="shared" si="57"/>
        <v>674.22552710861567</v>
      </c>
      <c r="L101" s="626"/>
      <c r="M101" s="186">
        <f>RANK(K101, K$83:$K$115)</f>
        <v>20</v>
      </c>
      <c r="N101" s="631"/>
      <c r="O101" s="627"/>
      <c r="P101" s="188">
        <v>4</v>
      </c>
      <c r="Q101" s="188">
        <v>2696.2968660352826</v>
      </c>
      <c r="R101" s="185">
        <f t="shared" si="54"/>
        <v>674.07421650882065</v>
      </c>
      <c r="S101" s="182">
        <f t="shared" si="58"/>
        <v>20</v>
      </c>
      <c r="T101" s="624"/>
      <c r="U101" s="188">
        <v>4</v>
      </c>
      <c r="V101" s="188">
        <v>2697.0845004909715</v>
      </c>
      <c r="W101" s="185">
        <f t="shared" si="55"/>
        <v>674.27112512274289</v>
      </c>
      <c r="X101" s="182">
        <f t="shared" si="59"/>
        <v>20</v>
      </c>
      <c r="Y101" s="624"/>
      <c r="Z101" s="188">
        <v>4</v>
      </c>
      <c r="AA101" s="188">
        <v>2696.8226291403871</v>
      </c>
      <c r="AB101" s="185">
        <f t="shared" si="60"/>
        <v>674.20565728509678</v>
      </c>
      <c r="AC101" s="182">
        <f t="shared" si="61"/>
        <v>20</v>
      </c>
      <c r="AD101" s="624"/>
      <c r="AE101" s="188">
        <v>4</v>
      </c>
      <c r="AF101" s="188">
        <v>2697.4456007568615</v>
      </c>
      <c r="AG101" s="185">
        <f t="shared" si="62"/>
        <v>674.36140018921537</v>
      </c>
      <c r="AH101" s="182">
        <f t="shared" si="63"/>
        <v>20</v>
      </c>
      <c r="AI101" s="624"/>
      <c r="AJ101" s="188">
        <v>4</v>
      </c>
      <c r="AK101" s="188">
        <v>2696.9700048180584</v>
      </c>
      <c r="AL101" s="185">
        <f t="shared" si="64"/>
        <v>674.24250120451461</v>
      </c>
      <c r="AM101" s="182">
        <f t="shared" si="65"/>
        <v>20</v>
      </c>
      <c r="AN101" s="624"/>
      <c r="AO101" s="188">
        <v>4</v>
      </c>
      <c r="AP101" s="188">
        <v>2697.0027979799388</v>
      </c>
      <c r="AQ101" s="185">
        <f t="shared" si="66"/>
        <v>674.2506994949847</v>
      </c>
      <c r="AR101" s="182">
        <f t="shared" si="67"/>
        <v>20</v>
      </c>
      <c r="AS101" s="624"/>
      <c r="AT101" s="188">
        <v>4</v>
      </c>
      <c r="AU101" s="188">
        <v>2696.6923598197363</v>
      </c>
      <c r="AV101" s="185">
        <f t="shared" si="68"/>
        <v>674.17308995493408</v>
      </c>
      <c r="AW101" s="182">
        <f t="shared" si="69"/>
        <v>20</v>
      </c>
      <c r="AX101" s="624"/>
    </row>
    <row r="102" spans="2:50" ht="14.25" customHeight="1">
      <c r="B102" s="564"/>
      <c r="C102" s="180">
        <v>20</v>
      </c>
      <c r="D102" s="183" t="s">
        <v>410</v>
      </c>
      <c r="E102" s="184">
        <v>4</v>
      </c>
      <c r="F102" s="180">
        <v>3300</v>
      </c>
      <c r="G102" s="185">
        <f t="shared" si="56"/>
        <v>825</v>
      </c>
      <c r="H102" s="625"/>
      <c r="I102" s="186">
        <f t="shared" si="57"/>
        <v>4</v>
      </c>
      <c r="J102" s="186">
        <f t="shared" si="57"/>
        <v>2970.2023439178715</v>
      </c>
      <c r="K102" s="187">
        <f t="shared" si="57"/>
        <v>742.55058597946788</v>
      </c>
      <c r="L102" s="626"/>
      <c r="M102" s="186">
        <f>RANK(K102, K$83:$K$115)</f>
        <v>15</v>
      </c>
      <c r="N102" s="631"/>
      <c r="O102" s="627"/>
      <c r="P102" s="188">
        <v>4</v>
      </c>
      <c r="Q102" s="188">
        <v>2969.072164948469</v>
      </c>
      <c r="R102" s="185">
        <f t="shared" si="54"/>
        <v>742.26804123711725</v>
      </c>
      <c r="S102" s="182">
        <f t="shared" si="58"/>
        <v>15</v>
      </c>
      <c r="T102" s="624"/>
      <c r="U102" s="188">
        <v>4</v>
      </c>
      <c r="V102" s="188">
        <v>2970.4918032786913</v>
      </c>
      <c r="W102" s="185">
        <f t="shared" si="55"/>
        <v>742.62295081967284</v>
      </c>
      <c r="X102" s="182">
        <f t="shared" si="59"/>
        <v>15</v>
      </c>
      <c r="Y102" s="624"/>
      <c r="Z102" s="188">
        <v>4</v>
      </c>
      <c r="AA102" s="188">
        <v>2971.6363636363481</v>
      </c>
      <c r="AB102" s="185">
        <f t="shared" si="60"/>
        <v>742.90909090908701</v>
      </c>
      <c r="AC102" s="182">
        <f t="shared" si="61"/>
        <v>14</v>
      </c>
      <c r="AD102" s="624"/>
      <c r="AE102" s="188">
        <v>4</v>
      </c>
      <c r="AF102" s="188">
        <v>2971.2676056338069</v>
      </c>
      <c r="AG102" s="185">
        <f t="shared" si="62"/>
        <v>742.81690140845171</v>
      </c>
      <c r="AH102" s="182">
        <f t="shared" si="63"/>
        <v>14</v>
      </c>
      <c r="AI102" s="624"/>
      <c r="AJ102" s="188">
        <v>4</v>
      </c>
      <c r="AK102" s="188">
        <v>2969.5852534562273</v>
      </c>
      <c r="AL102" s="185">
        <f t="shared" si="64"/>
        <v>742.39631336405682</v>
      </c>
      <c r="AM102" s="182">
        <f t="shared" si="65"/>
        <v>15</v>
      </c>
      <c r="AN102" s="624"/>
      <c r="AO102" s="188">
        <v>4</v>
      </c>
      <c r="AP102" s="188">
        <v>2970.1789264413501</v>
      </c>
      <c r="AQ102" s="185">
        <f t="shared" si="66"/>
        <v>742.54473161033752</v>
      </c>
      <c r="AR102" s="182">
        <f t="shared" si="67"/>
        <v>15</v>
      </c>
      <c r="AS102" s="624"/>
      <c r="AT102" s="188">
        <v>4</v>
      </c>
      <c r="AU102" s="188">
        <v>2969.1842900302063</v>
      </c>
      <c r="AV102" s="185">
        <f t="shared" si="68"/>
        <v>742.29607250755157</v>
      </c>
      <c r="AW102" s="182">
        <f t="shared" si="69"/>
        <v>15</v>
      </c>
      <c r="AX102" s="624"/>
    </row>
    <row r="103" spans="2:50" ht="14.25" customHeight="1">
      <c r="B103" s="564"/>
      <c r="C103" s="180">
        <v>21</v>
      </c>
      <c r="D103" s="183" t="s">
        <v>483</v>
      </c>
      <c r="E103" s="184">
        <v>4</v>
      </c>
      <c r="F103" s="180">
        <v>3000</v>
      </c>
      <c r="G103" s="185">
        <f t="shared" si="56"/>
        <v>750</v>
      </c>
      <c r="H103" s="625"/>
      <c r="I103" s="186">
        <f t="shared" si="57"/>
        <v>4</v>
      </c>
      <c r="J103" s="186">
        <f t="shared" si="57"/>
        <v>2681.1227658579214</v>
      </c>
      <c r="K103" s="187">
        <f t="shared" si="57"/>
        <v>670.28069146448036</v>
      </c>
      <c r="L103" s="626"/>
      <c r="M103" s="186">
        <f>RANK(K103, K$83:$K$115)</f>
        <v>21</v>
      </c>
      <c r="N103" s="631"/>
      <c r="O103" s="627"/>
      <c r="P103" s="188">
        <v>4</v>
      </c>
      <c r="Q103" s="188">
        <v>2680.2267895109821</v>
      </c>
      <c r="R103" s="185">
        <f t="shared" si="54"/>
        <v>670.05669737774554</v>
      </c>
      <c r="S103" s="182">
        <f t="shared" si="58"/>
        <v>21</v>
      </c>
      <c r="T103" s="624"/>
      <c r="U103" s="188">
        <v>4</v>
      </c>
      <c r="V103" s="188">
        <v>2680.1876578852357</v>
      </c>
      <c r="W103" s="185">
        <f t="shared" si="55"/>
        <v>670.04691447130892</v>
      </c>
      <c r="X103" s="182">
        <f t="shared" si="59"/>
        <v>21</v>
      </c>
      <c r="Y103" s="624"/>
      <c r="Z103" s="188">
        <v>4</v>
      </c>
      <c r="AA103" s="188">
        <v>2680.5702647657877</v>
      </c>
      <c r="AB103" s="185">
        <f t="shared" si="60"/>
        <v>670.14256619144692</v>
      </c>
      <c r="AC103" s="182">
        <f t="shared" si="61"/>
        <v>21</v>
      </c>
      <c r="AD103" s="624"/>
      <c r="AE103" s="188">
        <v>4</v>
      </c>
      <c r="AF103" s="188">
        <v>2681.4349775784749</v>
      </c>
      <c r="AG103" s="185">
        <f t="shared" si="62"/>
        <v>670.35874439461872</v>
      </c>
      <c r="AH103" s="182">
        <f t="shared" si="63"/>
        <v>21</v>
      </c>
      <c r="AI103" s="624"/>
      <c r="AJ103" s="188">
        <v>4</v>
      </c>
      <c r="AK103" s="188">
        <v>2681.690140845074</v>
      </c>
      <c r="AL103" s="185">
        <f t="shared" si="64"/>
        <v>670.4225352112685</v>
      </c>
      <c r="AM103" s="182">
        <f t="shared" si="65"/>
        <v>21</v>
      </c>
      <c r="AN103" s="624"/>
      <c r="AO103" s="188">
        <v>4</v>
      </c>
      <c r="AP103" s="188">
        <v>2682.0910623946038</v>
      </c>
      <c r="AQ103" s="185">
        <f t="shared" si="66"/>
        <v>670.52276559865095</v>
      </c>
      <c r="AR103" s="182">
        <f t="shared" si="67"/>
        <v>21</v>
      </c>
      <c r="AS103" s="624"/>
      <c r="AT103" s="188">
        <v>4</v>
      </c>
      <c r="AU103" s="188">
        <v>2681.6584680252922</v>
      </c>
      <c r="AV103" s="185">
        <f t="shared" si="68"/>
        <v>670.41461700632306</v>
      </c>
      <c r="AW103" s="182">
        <f t="shared" si="69"/>
        <v>21</v>
      </c>
      <c r="AX103" s="624"/>
    </row>
    <row r="104" spans="2:50" ht="14.25" customHeight="1">
      <c r="B104" s="564"/>
      <c r="C104" s="180">
        <v>22</v>
      </c>
      <c r="D104" s="183" t="s">
        <v>607</v>
      </c>
      <c r="E104" s="184">
        <v>4</v>
      </c>
      <c r="F104" s="180">
        <v>3000</v>
      </c>
      <c r="G104" s="185">
        <f>F104/E104</f>
        <v>750</v>
      </c>
      <c r="H104" s="625"/>
      <c r="I104" s="186">
        <f t="shared" si="57"/>
        <v>4</v>
      </c>
      <c r="J104" s="186">
        <f t="shared" si="57"/>
        <v>2678.2555351139149</v>
      </c>
      <c r="K104" s="187">
        <f t="shared" si="57"/>
        <v>669.56388377847873</v>
      </c>
      <c r="L104" s="626"/>
      <c r="M104" s="186">
        <f>RANK(K104, K$83:$K$115)</f>
        <v>22</v>
      </c>
      <c r="N104" s="631"/>
      <c r="O104" s="627"/>
      <c r="P104" s="188">
        <v>4</v>
      </c>
      <c r="Q104" s="188">
        <v>2678.0952380952335</v>
      </c>
      <c r="R104" s="185">
        <f t="shared" si="54"/>
        <v>669.52380952380838</v>
      </c>
      <c r="S104" s="182">
        <f t="shared" si="58"/>
        <v>22</v>
      </c>
      <c r="T104" s="624"/>
      <c r="U104" s="188">
        <v>4</v>
      </c>
      <c r="V104" s="188">
        <v>2678.0487804878039</v>
      </c>
      <c r="W104" s="185">
        <f t="shared" si="55"/>
        <v>669.51219512195098</v>
      </c>
      <c r="X104" s="182">
        <f t="shared" si="59"/>
        <v>22</v>
      </c>
      <c r="Y104" s="624"/>
      <c r="Z104" s="188">
        <v>4</v>
      </c>
      <c r="AA104" s="188">
        <v>2678.0634390651126</v>
      </c>
      <c r="AB104" s="185">
        <f t="shared" si="60"/>
        <v>669.51585976627814</v>
      </c>
      <c r="AC104" s="182">
        <f t="shared" si="61"/>
        <v>22</v>
      </c>
      <c r="AD104" s="624"/>
      <c r="AE104" s="188">
        <v>4</v>
      </c>
      <c r="AF104" s="188">
        <v>2678.3482944344701</v>
      </c>
      <c r="AG104" s="185">
        <f t="shared" si="62"/>
        <v>669.58707360861752</v>
      </c>
      <c r="AH104" s="182">
        <f t="shared" si="63"/>
        <v>22</v>
      </c>
      <c r="AI104" s="624"/>
      <c r="AJ104" s="188">
        <v>4</v>
      </c>
      <c r="AK104" s="188">
        <v>2677.951002227167</v>
      </c>
      <c r="AL104" s="185">
        <f t="shared" si="64"/>
        <v>669.48775055679175</v>
      </c>
      <c r="AM104" s="182">
        <f t="shared" si="65"/>
        <v>22</v>
      </c>
      <c r="AN104" s="624"/>
      <c r="AO104" s="188">
        <v>4</v>
      </c>
      <c r="AP104" s="188">
        <v>2678.3522256013252</v>
      </c>
      <c r="AQ104" s="185">
        <f t="shared" si="66"/>
        <v>669.58805640033131</v>
      </c>
      <c r="AR104" s="182">
        <f t="shared" si="67"/>
        <v>22</v>
      </c>
      <c r="AS104" s="624"/>
      <c r="AT104" s="188">
        <v>4</v>
      </c>
      <c r="AU104" s="188">
        <v>2678.9297658862915</v>
      </c>
      <c r="AV104" s="185">
        <f t="shared" si="68"/>
        <v>669.73244147157288</v>
      </c>
      <c r="AW104" s="182">
        <f t="shared" si="69"/>
        <v>22</v>
      </c>
      <c r="AX104" s="624"/>
    </row>
    <row r="105" spans="2:50" ht="14.25" customHeight="1">
      <c r="B105" s="564"/>
      <c r="C105" s="180">
        <v>23</v>
      </c>
      <c r="D105" s="183" t="s">
        <v>406</v>
      </c>
      <c r="E105" s="184">
        <v>5</v>
      </c>
      <c r="F105" s="180">
        <v>3600</v>
      </c>
      <c r="G105" s="185">
        <f t="shared" ref="G105:G113" si="70">F105/E105</f>
        <v>720</v>
      </c>
      <c r="H105" s="625"/>
      <c r="I105" s="186">
        <f t="shared" si="57"/>
        <v>5</v>
      </c>
      <c r="J105" s="186">
        <f t="shared" si="57"/>
        <v>3168.2767838642822</v>
      </c>
      <c r="K105" s="187">
        <f t="shared" si="57"/>
        <v>633.65535677285641</v>
      </c>
      <c r="L105" s="626"/>
      <c r="M105" s="186">
        <f>RANK(K105, K$83:$K$115)</f>
        <v>24</v>
      </c>
      <c r="N105" s="631"/>
      <c r="O105" s="627"/>
      <c r="P105" s="188">
        <v>5</v>
      </c>
      <c r="Q105" s="188">
        <v>3167.1062839410388</v>
      </c>
      <c r="R105" s="185">
        <f t="shared" si="54"/>
        <v>633.42125678820776</v>
      </c>
      <c r="S105" s="182">
        <f t="shared" si="58"/>
        <v>24</v>
      </c>
      <c r="T105" s="624"/>
      <c r="U105" s="188">
        <v>5</v>
      </c>
      <c r="V105" s="188">
        <v>3167.0510708401971</v>
      </c>
      <c r="W105" s="185">
        <f t="shared" si="55"/>
        <v>633.41021416803937</v>
      </c>
      <c r="X105" s="182">
        <f t="shared" si="59"/>
        <v>24</v>
      </c>
      <c r="Y105" s="624"/>
      <c r="Z105" s="188">
        <v>5</v>
      </c>
      <c r="AA105" s="188">
        <v>3167.1626475115454</v>
      </c>
      <c r="AB105" s="185">
        <f t="shared" si="60"/>
        <v>633.43252950230908</v>
      </c>
      <c r="AC105" s="182">
        <f t="shared" si="61"/>
        <v>24</v>
      </c>
      <c r="AD105" s="624"/>
      <c r="AE105" s="188">
        <v>5</v>
      </c>
      <c r="AF105" s="188">
        <v>3167.3614190687354</v>
      </c>
      <c r="AG105" s="185">
        <f t="shared" si="62"/>
        <v>633.47228381374703</v>
      </c>
      <c r="AH105" s="182">
        <f t="shared" si="63"/>
        <v>24</v>
      </c>
      <c r="AI105" s="624"/>
      <c r="AJ105" s="188">
        <v>5</v>
      </c>
      <c r="AK105" s="188">
        <v>3167.3155273879593</v>
      </c>
      <c r="AL105" s="185">
        <f t="shared" si="64"/>
        <v>633.46310547759185</v>
      </c>
      <c r="AM105" s="182">
        <f t="shared" si="65"/>
        <v>24</v>
      </c>
      <c r="AN105" s="624"/>
      <c r="AO105" s="188">
        <v>5</v>
      </c>
      <c r="AP105" s="188">
        <v>3171.0008805400657</v>
      </c>
      <c r="AQ105" s="185">
        <f t="shared" si="66"/>
        <v>634.20017610801312</v>
      </c>
      <c r="AR105" s="182">
        <f t="shared" si="67"/>
        <v>24</v>
      </c>
      <c r="AS105" s="624"/>
      <c r="AT105" s="188">
        <v>5</v>
      </c>
      <c r="AU105" s="188">
        <v>3170.939657760433</v>
      </c>
      <c r="AV105" s="185">
        <f t="shared" si="68"/>
        <v>634.18793155208664</v>
      </c>
      <c r="AW105" s="182">
        <f t="shared" si="69"/>
        <v>23</v>
      </c>
      <c r="AX105" s="624"/>
    </row>
    <row r="106" spans="2:50" ht="14.25" customHeight="1">
      <c r="B106" s="564"/>
      <c r="C106" s="180">
        <v>24</v>
      </c>
      <c r="D106" s="183" t="s">
        <v>231</v>
      </c>
      <c r="E106" s="184">
        <v>5</v>
      </c>
      <c r="F106" s="180">
        <v>3300</v>
      </c>
      <c r="G106" s="185">
        <f t="shared" si="70"/>
        <v>660</v>
      </c>
      <c r="H106" s="625"/>
      <c r="I106" s="186">
        <f t="shared" si="57"/>
        <v>5</v>
      </c>
      <c r="J106" s="186">
        <f t="shared" si="57"/>
        <v>2950.0984057233591</v>
      </c>
      <c r="K106" s="187">
        <f t="shared" si="57"/>
        <v>590.01968114467184</v>
      </c>
      <c r="L106" s="626"/>
      <c r="M106" s="186">
        <f>RANK(K106, K$83:$K$115)</f>
        <v>26</v>
      </c>
      <c r="N106" s="631"/>
      <c r="O106" s="627"/>
      <c r="P106" s="188">
        <v>5</v>
      </c>
      <c r="Q106" s="188">
        <v>2967.664670658683</v>
      </c>
      <c r="R106" s="185">
        <f t="shared" si="54"/>
        <v>593.53293413173662</v>
      </c>
      <c r="S106" s="182">
        <f t="shared" si="58"/>
        <v>26</v>
      </c>
      <c r="T106" s="624"/>
      <c r="U106" s="188">
        <v>5</v>
      </c>
      <c r="V106" s="188">
        <v>2966.8463611859838</v>
      </c>
      <c r="W106" s="185">
        <f t="shared" si="55"/>
        <v>593.36927223719681</v>
      </c>
      <c r="X106" s="182">
        <f t="shared" si="59"/>
        <v>26</v>
      </c>
      <c r="Y106" s="624"/>
      <c r="Z106" s="188">
        <v>5</v>
      </c>
      <c r="AA106" s="188">
        <v>2941.6438356164458</v>
      </c>
      <c r="AB106" s="185">
        <f t="shared" si="60"/>
        <v>588.32876712328914</v>
      </c>
      <c r="AC106" s="182">
        <f t="shared" si="61"/>
        <v>26</v>
      </c>
      <c r="AD106" s="624"/>
      <c r="AE106" s="188">
        <v>5</v>
      </c>
      <c r="AF106" s="188">
        <v>2943.0656934306558</v>
      </c>
      <c r="AG106" s="185">
        <f t="shared" si="62"/>
        <v>588.61313868613115</v>
      </c>
      <c r="AH106" s="182">
        <f t="shared" si="63"/>
        <v>26</v>
      </c>
      <c r="AI106" s="624"/>
      <c r="AJ106" s="188">
        <v>5</v>
      </c>
      <c r="AK106" s="188">
        <v>2944.17238001958</v>
      </c>
      <c r="AL106" s="185">
        <f t="shared" si="64"/>
        <v>588.83447600391605</v>
      </c>
      <c r="AM106" s="182">
        <f t="shared" si="65"/>
        <v>26</v>
      </c>
      <c r="AN106" s="624"/>
      <c r="AO106" s="188">
        <v>5</v>
      </c>
      <c r="AP106" s="188">
        <v>2943.8089252042678</v>
      </c>
      <c r="AQ106" s="185">
        <f t="shared" si="66"/>
        <v>588.76178504085351</v>
      </c>
      <c r="AR106" s="182">
        <f t="shared" si="67"/>
        <v>26</v>
      </c>
      <c r="AS106" s="624"/>
      <c r="AT106" s="188">
        <v>5</v>
      </c>
      <c r="AU106" s="188">
        <v>2943.4869739478982</v>
      </c>
      <c r="AV106" s="185">
        <f t="shared" si="68"/>
        <v>588.69739478957968</v>
      </c>
      <c r="AW106" s="182">
        <f t="shared" si="69"/>
        <v>26</v>
      </c>
      <c r="AX106" s="624"/>
    </row>
    <row r="107" spans="2:50" ht="14.25" customHeight="1">
      <c r="B107" s="564"/>
      <c r="C107" s="180">
        <v>25</v>
      </c>
      <c r="D107" s="183" t="s">
        <v>546</v>
      </c>
      <c r="E107" s="184">
        <v>5</v>
      </c>
      <c r="F107" s="180">
        <v>3300</v>
      </c>
      <c r="G107" s="185">
        <f t="shared" si="70"/>
        <v>660</v>
      </c>
      <c r="H107" s="625"/>
      <c r="I107" s="186">
        <f t="shared" si="57"/>
        <v>5</v>
      </c>
      <c r="J107" s="186">
        <f t="shared" si="57"/>
        <v>2969.2312137415097</v>
      </c>
      <c r="K107" s="187">
        <f t="shared" si="57"/>
        <v>593.84624274830185</v>
      </c>
      <c r="L107" s="626"/>
      <c r="M107" s="186">
        <f>RANK(K107, K$83:$K$115)</f>
        <v>25</v>
      </c>
      <c r="N107" s="631"/>
      <c r="O107" s="627"/>
      <c r="P107" s="188">
        <v>5</v>
      </c>
      <c r="Q107" s="188">
        <v>2970.0954400848345</v>
      </c>
      <c r="R107" s="185">
        <f t="shared" si="54"/>
        <v>594.01908801696686</v>
      </c>
      <c r="S107" s="182">
        <f t="shared" si="58"/>
        <v>25</v>
      </c>
      <c r="T107" s="624"/>
      <c r="U107" s="188">
        <v>5</v>
      </c>
      <c r="V107" s="188">
        <v>2969.8030634573311</v>
      </c>
      <c r="W107" s="185">
        <f t="shared" si="55"/>
        <v>593.96061269146617</v>
      </c>
      <c r="X107" s="182">
        <f t="shared" si="59"/>
        <v>25</v>
      </c>
      <c r="Y107" s="624"/>
      <c r="Z107" s="188">
        <v>5</v>
      </c>
      <c r="AA107" s="188">
        <v>2969.7391304347889</v>
      </c>
      <c r="AB107" s="185">
        <f t="shared" si="60"/>
        <v>593.94782608695778</v>
      </c>
      <c r="AC107" s="182">
        <f t="shared" si="61"/>
        <v>25</v>
      </c>
      <c r="AD107" s="624"/>
      <c r="AE107" s="188">
        <v>5</v>
      </c>
      <c r="AF107" s="188">
        <v>2968.6786296900536</v>
      </c>
      <c r="AG107" s="185">
        <f t="shared" si="62"/>
        <v>593.73572593801077</v>
      </c>
      <c r="AH107" s="182">
        <f t="shared" si="63"/>
        <v>25</v>
      </c>
      <c r="AI107" s="624"/>
      <c r="AJ107" s="188">
        <v>5</v>
      </c>
      <c r="AK107" s="188">
        <v>2968.4210526315883</v>
      </c>
      <c r="AL107" s="185">
        <f t="shared" si="64"/>
        <v>593.68421052631766</v>
      </c>
      <c r="AM107" s="182">
        <f t="shared" si="65"/>
        <v>25</v>
      </c>
      <c r="AN107" s="624"/>
      <c r="AO107" s="188">
        <v>5</v>
      </c>
      <c r="AP107" s="188">
        <v>2968.9655172413736</v>
      </c>
      <c r="AQ107" s="185">
        <f t="shared" si="66"/>
        <v>593.79310344827468</v>
      </c>
      <c r="AR107" s="182">
        <f t="shared" si="67"/>
        <v>25</v>
      </c>
      <c r="AS107" s="624"/>
      <c r="AT107" s="188">
        <v>5</v>
      </c>
      <c r="AU107" s="188">
        <v>2968.9156626505987</v>
      </c>
      <c r="AV107" s="185">
        <f t="shared" si="68"/>
        <v>593.7831325301197</v>
      </c>
      <c r="AW107" s="182">
        <f t="shared" si="69"/>
        <v>25</v>
      </c>
      <c r="AX107" s="624"/>
    </row>
    <row r="108" spans="2:50" ht="14.25" customHeight="1">
      <c r="B108" s="564"/>
      <c r="C108" s="180">
        <v>26</v>
      </c>
      <c r="D108" s="183" t="s">
        <v>415</v>
      </c>
      <c r="E108" s="184">
        <v>5</v>
      </c>
      <c r="F108" s="180">
        <v>3600</v>
      </c>
      <c r="G108" s="185">
        <f t="shared" si="70"/>
        <v>720</v>
      </c>
      <c r="H108" s="625"/>
      <c r="I108" s="186">
        <f t="shared" si="57"/>
        <v>5</v>
      </c>
      <c r="J108" s="186">
        <f t="shared" si="57"/>
        <v>3170.2152427427891</v>
      </c>
      <c r="K108" s="187">
        <f t="shared" si="57"/>
        <v>634.04304854855786</v>
      </c>
      <c r="L108" s="626"/>
      <c r="M108" s="186">
        <f>RANK(K108, K$83:$K$115)</f>
        <v>23</v>
      </c>
      <c r="N108" s="631"/>
      <c r="O108" s="627"/>
      <c r="P108" s="188">
        <v>5</v>
      </c>
      <c r="Q108" s="188">
        <v>3169.2076622749455</v>
      </c>
      <c r="R108" s="185">
        <f t="shared" si="54"/>
        <v>633.84153245498908</v>
      </c>
      <c r="S108" s="182">
        <f t="shared" si="58"/>
        <v>23</v>
      </c>
      <c r="T108" s="624"/>
      <c r="U108" s="188">
        <v>5</v>
      </c>
      <c r="V108" s="188">
        <v>3169.4017468845668</v>
      </c>
      <c r="W108" s="185">
        <f t="shared" si="55"/>
        <v>633.88034937691339</v>
      </c>
      <c r="X108" s="182">
        <f t="shared" si="59"/>
        <v>23</v>
      </c>
      <c r="Y108" s="624"/>
      <c r="Z108" s="188">
        <v>5</v>
      </c>
      <c r="AA108" s="188">
        <v>3169.8060930987881</v>
      </c>
      <c r="AB108" s="185">
        <f t="shared" si="60"/>
        <v>633.96121861975757</v>
      </c>
      <c r="AC108" s="182">
        <f t="shared" si="61"/>
        <v>23</v>
      </c>
      <c r="AD108" s="624"/>
      <c r="AE108" s="188">
        <v>5</v>
      </c>
      <c r="AF108" s="188">
        <v>3170.0883997835062</v>
      </c>
      <c r="AG108" s="185">
        <f t="shared" si="62"/>
        <v>634.01767995670127</v>
      </c>
      <c r="AH108" s="182">
        <f t="shared" si="63"/>
        <v>23</v>
      </c>
      <c r="AI108" s="624"/>
      <c r="AJ108" s="188">
        <v>5</v>
      </c>
      <c r="AK108" s="188">
        <v>3170.4280743262343</v>
      </c>
      <c r="AL108" s="185">
        <f t="shared" si="64"/>
        <v>634.08561486524684</v>
      </c>
      <c r="AM108" s="182">
        <f t="shared" si="65"/>
        <v>23</v>
      </c>
      <c r="AN108" s="624"/>
      <c r="AO108" s="188">
        <v>5</v>
      </c>
      <c r="AP108" s="188">
        <v>3172.3817173948964</v>
      </c>
      <c r="AQ108" s="185">
        <f t="shared" si="66"/>
        <v>634.47634347897929</v>
      </c>
      <c r="AR108" s="182">
        <f t="shared" si="67"/>
        <v>23</v>
      </c>
      <c r="AS108" s="624"/>
      <c r="AT108" s="188">
        <v>5</v>
      </c>
      <c r="AU108" s="188">
        <v>3170.1930054365885</v>
      </c>
      <c r="AV108" s="185">
        <f t="shared" si="68"/>
        <v>634.03860108731772</v>
      </c>
      <c r="AW108" s="182">
        <f t="shared" si="69"/>
        <v>24</v>
      </c>
      <c r="AX108" s="624"/>
    </row>
    <row r="109" spans="2:50" ht="14.25" customHeight="1">
      <c r="B109" s="564"/>
      <c r="C109" s="180">
        <v>27</v>
      </c>
      <c r="D109" s="183" t="s">
        <v>348</v>
      </c>
      <c r="E109" s="184">
        <v>5</v>
      </c>
      <c r="F109" s="180">
        <v>3300</v>
      </c>
      <c r="G109" s="185">
        <f t="shared" si="70"/>
        <v>660</v>
      </c>
      <c r="H109" s="625"/>
      <c r="I109" s="186">
        <f t="shared" si="57"/>
        <v>5</v>
      </c>
      <c r="J109" s="186">
        <f t="shared" si="57"/>
        <v>2938.4857255156794</v>
      </c>
      <c r="K109" s="187">
        <f t="shared" si="57"/>
        <v>587.69714510313599</v>
      </c>
      <c r="L109" s="626"/>
      <c r="M109" s="186">
        <f>RANK(K109, K$83:$K$115)</f>
        <v>27</v>
      </c>
      <c r="N109" s="631"/>
      <c r="O109" s="627"/>
      <c r="P109" s="188">
        <v>5</v>
      </c>
      <c r="Q109" s="188">
        <v>2938.3536861148859</v>
      </c>
      <c r="R109" s="185">
        <f t="shared" si="54"/>
        <v>587.67073722297721</v>
      </c>
      <c r="S109" s="182">
        <f t="shared" si="58"/>
        <v>27</v>
      </c>
      <c r="T109" s="624"/>
      <c r="U109" s="188">
        <v>5</v>
      </c>
      <c r="V109" s="188">
        <v>2937.0193081255038</v>
      </c>
      <c r="W109" s="185">
        <f t="shared" si="55"/>
        <v>587.40386162510072</v>
      </c>
      <c r="X109" s="182">
        <f t="shared" si="59"/>
        <v>27</v>
      </c>
      <c r="Y109" s="624"/>
      <c r="Z109" s="188">
        <v>5</v>
      </c>
      <c r="AA109" s="188">
        <v>2937.2611557308128</v>
      </c>
      <c r="AB109" s="185">
        <f t="shared" si="60"/>
        <v>587.4522311461626</v>
      </c>
      <c r="AC109" s="182">
        <f t="shared" si="61"/>
        <v>27</v>
      </c>
      <c r="AD109" s="624"/>
      <c r="AE109" s="188">
        <v>5</v>
      </c>
      <c r="AF109" s="188">
        <v>2938.5722191477571</v>
      </c>
      <c r="AG109" s="185">
        <f t="shared" si="62"/>
        <v>587.71444382955144</v>
      </c>
      <c r="AH109" s="182">
        <f t="shared" si="63"/>
        <v>27</v>
      </c>
      <c r="AI109" s="624"/>
      <c r="AJ109" s="188">
        <v>5</v>
      </c>
      <c r="AK109" s="188">
        <v>2938.542470469507</v>
      </c>
      <c r="AL109" s="185">
        <f t="shared" si="64"/>
        <v>587.70849409390144</v>
      </c>
      <c r="AM109" s="182">
        <f t="shared" si="65"/>
        <v>27</v>
      </c>
      <c r="AN109" s="624"/>
      <c r="AO109" s="188">
        <v>5</v>
      </c>
      <c r="AP109" s="188">
        <v>2940.7259380731962</v>
      </c>
      <c r="AQ109" s="185">
        <f t="shared" si="66"/>
        <v>588.14518761463921</v>
      </c>
      <c r="AR109" s="182">
        <f t="shared" si="67"/>
        <v>27</v>
      </c>
      <c r="AS109" s="624"/>
      <c r="AT109" s="188">
        <v>5</v>
      </c>
      <c r="AU109" s="188">
        <v>2938.9253009480926</v>
      </c>
      <c r="AV109" s="185">
        <f t="shared" si="68"/>
        <v>587.78506018961855</v>
      </c>
      <c r="AW109" s="182">
        <f t="shared" si="69"/>
        <v>27</v>
      </c>
      <c r="AX109" s="624"/>
    </row>
    <row r="110" spans="2:50" ht="14.25" customHeight="1">
      <c r="B110" s="564"/>
      <c r="C110" s="180">
        <v>28</v>
      </c>
      <c r="D110" s="183" t="s">
        <v>508</v>
      </c>
      <c r="E110" s="184">
        <v>5</v>
      </c>
      <c r="F110" s="180">
        <v>3000</v>
      </c>
      <c r="G110" s="185">
        <f t="shared" si="70"/>
        <v>600</v>
      </c>
      <c r="H110" s="625"/>
      <c r="I110" s="186">
        <f t="shared" si="57"/>
        <v>5</v>
      </c>
      <c r="J110" s="186">
        <f t="shared" si="57"/>
        <v>2678.924003080328</v>
      </c>
      <c r="K110" s="187">
        <f t="shared" si="57"/>
        <v>535.78480061606558</v>
      </c>
      <c r="L110" s="626"/>
      <c r="M110" s="186">
        <f>RANK(K110, K$83:$K$115)</f>
        <v>28</v>
      </c>
      <c r="N110" s="631"/>
      <c r="O110" s="627"/>
      <c r="P110" s="188">
        <v>5</v>
      </c>
      <c r="Q110" s="188">
        <v>2678.3074450990744</v>
      </c>
      <c r="R110" s="185">
        <f t="shared" si="54"/>
        <v>535.66148901981489</v>
      </c>
      <c r="S110" s="182">
        <f t="shared" si="58"/>
        <v>28</v>
      </c>
      <c r="T110" s="624"/>
      <c r="U110" s="188">
        <v>5</v>
      </c>
      <c r="V110" s="188">
        <v>2678.7401574803102</v>
      </c>
      <c r="W110" s="185">
        <f t="shared" si="55"/>
        <v>535.74803149606203</v>
      </c>
      <c r="X110" s="182">
        <f t="shared" si="59"/>
        <v>28</v>
      </c>
      <c r="Y110" s="624"/>
      <c r="Z110" s="188">
        <v>5</v>
      </c>
      <c r="AA110" s="188">
        <v>2678.1352593565307</v>
      </c>
      <c r="AB110" s="185">
        <f t="shared" si="60"/>
        <v>535.62705187130609</v>
      </c>
      <c r="AC110" s="182">
        <f t="shared" si="61"/>
        <v>28</v>
      </c>
      <c r="AD110" s="624"/>
      <c r="AE110" s="188">
        <v>5</v>
      </c>
      <c r="AF110" s="188">
        <v>2679.1304347825999</v>
      </c>
      <c r="AG110" s="185">
        <f t="shared" si="62"/>
        <v>535.82608695651993</v>
      </c>
      <c r="AH110" s="182">
        <f t="shared" si="63"/>
        <v>28</v>
      </c>
      <c r="AI110" s="624"/>
      <c r="AJ110" s="188">
        <v>5</v>
      </c>
      <c r="AK110" s="188">
        <v>2678.7048567870511</v>
      </c>
      <c r="AL110" s="185">
        <f t="shared" si="64"/>
        <v>535.74097135741022</v>
      </c>
      <c r="AM110" s="182">
        <f t="shared" si="65"/>
        <v>28</v>
      </c>
      <c r="AN110" s="624"/>
      <c r="AO110" s="188">
        <v>5</v>
      </c>
      <c r="AP110" s="188">
        <v>2679.0697674418584</v>
      </c>
      <c r="AQ110" s="185">
        <f t="shared" si="66"/>
        <v>535.81395348837168</v>
      </c>
      <c r="AR110" s="182">
        <f t="shared" si="67"/>
        <v>28</v>
      </c>
      <c r="AS110" s="624"/>
      <c r="AT110" s="188">
        <v>5</v>
      </c>
      <c r="AU110" s="188">
        <v>2680.3801006148715</v>
      </c>
      <c r="AV110" s="185">
        <f t="shared" si="68"/>
        <v>536.07602012297434</v>
      </c>
      <c r="AW110" s="182">
        <f t="shared" si="69"/>
        <v>28</v>
      </c>
      <c r="AX110" s="624"/>
    </row>
    <row r="111" spans="2:50" ht="14.25" customHeight="1">
      <c r="B111" s="564"/>
      <c r="C111" s="180">
        <v>29</v>
      </c>
      <c r="D111" s="183" t="s">
        <v>481</v>
      </c>
      <c r="E111" s="184">
        <v>12</v>
      </c>
      <c r="F111" s="180">
        <v>3600</v>
      </c>
      <c r="G111" s="185">
        <f t="shared" si="70"/>
        <v>300</v>
      </c>
      <c r="H111" s="625"/>
      <c r="I111" s="186">
        <f t="shared" si="57"/>
        <v>12</v>
      </c>
      <c r="J111" s="186">
        <f t="shared" si="57"/>
        <v>3125.7623454179907</v>
      </c>
      <c r="K111" s="187">
        <f t="shared" si="57"/>
        <v>260.48019545149924</v>
      </c>
      <c r="L111" s="626"/>
      <c r="M111" s="186">
        <f>RANK(K111, K$83:$K$115)</f>
        <v>30</v>
      </c>
      <c r="N111" s="631"/>
      <c r="O111" s="627"/>
      <c r="P111" s="188">
        <v>12</v>
      </c>
      <c r="Q111" s="188">
        <v>3124.7627264883504</v>
      </c>
      <c r="R111" s="185">
        <f t="shared" si="54"/>
        <v>260.39689387402922</v>
      </c>
      <c r="S111" s="182">
        <f t="shared" si="58"/>
        <v>30</v>
      </c>
      <c r="T111" s="624"/>
      <c r="U111" s="188">
        <v>12</v>
      </c>
      <c r="V111" s="188">
        <v>3125.3263707571809</v>
      </c>
      <c r="W111" s="185">
        <f t="shared" si="55"/>
        <v>260.4438642297651</v>
      </c>
      <c r="X111" s="182">
        <f t="shared" si="59"/>
        <v>30</v>
      </c>
      <c r="Y111" s="624"/>
      <c r="Z111" s="188">
        <v>12</v>
      </c>
      <c r="AA111" s="188">
        <v>3126.0188087774291</v>
      </c>
      <c r="AB111" s="185">
        <f t="shared" si="60"/>
        <v>260.50156739811911</v>
      </c>
      <c r="AC111" s="182">
        <f t="shared" si="61"/>
        <v>29</v>
      </c>
      <c r="AD111" s="624"/>
      <c r="AE111" s="188">
        <v>12</v>
      </c>
      <c r="AF111" s="188">
        <v>3125.2971137521176</v>
      </c>
      <c r="AG111" s="185">
        <f t="shared" si="62"/>
        <v>260.4414261460098</v>
      </c>
      <c r="AH111" s="182">
        <f t="shared" si="63"/>
        <v>30</v>
      </c>
      <c r="AI111" s="624"/>
      <c r="AJ111" s="188">
        <v>12</v>
      </c>
      <c r="AK111" s="188">
        <v>3126.4826776277141</v>
      </c>
      <c r="AL111" s="185">
        <f t="shared" si="64"/>
        <v>260.54022313564286</v>
      </c>
      <c r="AM111" s="182">
        <f t="shared" si="65"/>
        <v>29</v>
      </c>
      <c r="AN111" s="624"/>
      <c r="AO111" s="188">
        <v>12</v>
      </c>
      <c r="AP111" s="188">
        <v>3125.8104226508017</v>
      </c>
      <c r="AQ111" s="185">
        <f t="shared" si="66"/>
        <v>260.48420188756683</v>
      </c>
      <c r="AR111" s="182">
        <f t="shared" si="67"/>
        <v>29</v>
      </c>
      <c r="AS111" s="624"/>
      <c r="AT111" s="188">
        <v>12</v>
      </c>
      <c r="AU111" s="188">
        <v>3126.6382978723414</v>
      </c>
      <c r="AV111" s="185">
        <f t="shared" si="68"/>
        <v>260.55319148936178</v>
      </c>
      <c r="AW111" s="182">
        <f t="shared" si="69"/>
        <v>29</v>
      </c>
      <c r="AX111" s="624"/>
    </row>
    <row r="112" spans="2:50" ht="14.25" customHeight="1">
      <c r="B112" s="564"/>
      <c r="C112" s="180">
        <v>30</v>
      </c>
      <c r="D112" s="183" t="s">
        <v>478</v>
      </c>
      <c r="E112" s="184">
        <v>12</v>
      </c>
      <c r="F112" s="180">
        <v>3600</v>
      </c>
      <c r="G112" s="185">
        <f t="shared" si="70"/>
        <v>300</v>
      </c>
      <c r="H112" s="625"/>
      <c r="I112" s="186">
        <f t="shared" si="57"/>
        <v>12</v>
      </c>
      <c r="J112" s="186">
        <f t="shared" si="57"/>
        <v>3126.2370529698005</v>
      </c>
      <c r="K112" s="187">
        <f t="shared" si="57"/>
        <v>260.51975441415004</v>
      </c>
      <c r="L112" s="626"/>
      <c r="M112" s="186">
        <f>RANK(K112, K$83:$K$115)</f>
        <v>29</v>
      </c>
      <c r="N112" s="631"/>
      <c r="O112" s="627"/>
      <c r="P112" s="188">
        <v>12</v>
      </c>
      <c r="Q112" s="188">
        <v>3127.9684862127247</v>
      </c>
      <c r="R112" s="185">
        <f t="shared" si="54"/>
        <v>260.66404051772707</v>
      </c>
      <c r="S112" s="182">
        <f t="shared" si="58"/>
        <v>29</v>
      </c>
      <c r="T112" s="624"/>
      <c r="U112" s="188">
        <v>12</v>
      </c>
      <c r="V112" s="188">
        <v>3127.8350515464012</v>
      </c>
      <c r="W112" s="185">
        <f t="shared" si="55"/>
        <v>260.65292096220008</v>
      </c>
      <c r="X112" s="182">
        <f t="shared" si="59"/>
        <v>29</v>
      </c>
      <c r="Y112" s="624"/>
      <c r="Z112" s="188">
        <v>12</v>
      </c>
      <c r="AA112" s="188">
        <v>3125.42372881356</v>
      </c>
      <c r="AB112" s="185">
        <f t="shared" si="60"/>
        <v>260.45197740113002</v>
      </c>
      <c r="AC112" s="182">
        <f t="shared" si="61"/>
        <v>30</v>
      </c>
      <c r="AD112" s="624"/>
      <c r="AE112" s="188">
        <v>12</v>
      </c>
      <c r="AF112" s="188">
        <v>3126.1838440111478</v>
      </c>
      <c r="AG112" s="185">
        <f t="shared" si="62"/>
        <v>260.5153203342623</v>
      </c>
      <c r="AH112" s="182">
        <f t="shared" si="63"/>
        <v>29</v>
      </c>
      <c r="AI112" s="624"/>
      <c r="AJ112" s="188">
        <v>12</v>
      </c>
      <c r="AK112" s="188">
        <v>3125.3461770018166</v>
      </c>
      <c r="AL112" s="185">
        <f t="shared" si="64"/>
        <v>260.4455147501514</v>
      </c>
      <c r="AM112" s="182">
        <f t="shared" si="65"/>
        <v>30</v>
      </c>
      <c r="AN112" s="624"/>
      <c r="AO112" s="188">
        <v>12</v>
      </c>
      <c r="AP112" s="188">
        <v>3125.1655629138986</v>
      </c>
      <c r="AQ112" s="185">
        <f t="shared" si="66"/>
        <v>260.43046357615822</v>
      </c>
      <c r="AR112" s="182">
        <f t="shared" si="67"/>
        <v>30</v>
      </c>
      <c r="AS112" s="624"/>
      <c r="AT112" s="188">
        <v>12</v>
      </c>
      <c r="AU112" s="188">
        <v>3125.7365202890555</v>
      </c>
      <c r="AV112" s="185">
        <f t="shared" si="68"/>
        <v>260.47804335742131</v>
      </c>
      <c r="AW112" s="182">
        <f t="shared" si="69"/>
        <v>30</v>
      </c>
      <c r="AX112" s="624"/>
    </row>
    <row r="113" spans="1:50" ht="14.25" customHeight="1">
      <c r="B113" s="564"/>
      <c r="C113" s="180">
        <v>31</v>
      </c>
      <c r="D113" s="183" t="s">
        <v>693</v>
      </c>
      <c r="E113" s="180">
        <v>12</v>
      </c>
      <c r="F113" s="180">
        <v>3600</v>
      </c>
      <c r="G113" s="185">
        <f t="shared" si="70"/>
        <v>300</v>
      </c>
      <c r="H113" s="625"/>
      <c r="I113" s="186">
        <f t="shared" si="57"/>
        <v>12</v>
      </c>
      <c r="J113" s="186">
        <f t="shared" si="57"/>
        <v>2949.9999999999982</v>
      </c>
      <c r="K113" s="187">
        <f t="shared" si="57"/>
        <v>245.83333333333317</v>
      </c>
      <c r="L113" s="626"/>
      <c r="M113" s="186">
        <f>RANK(K113, K$83:$K$115)</f>
        <v>31</v>
      </c>
      <c r="N113" s="631"/>
      <c r="O113" s="627"/>
      <c r="P113" s="188"/>
      <c r="Q113" s="188"/>
      <c r="R113" s="185"/>
      <c r="S113" s="182"/>
      <c r="T113" s="624"/>
      <c r="U113" s="188"/>
      <c r="V113" s="188"/>
      <c r="W113" s="185"/>
      <c r="X113" s="182"/>
      <c r="Y113" s="624"/>
      <c r="Z113" s="188"/>
      <c r="AA113" s="188"/>
      <c r="AB113" s="185"/>
      <c r="AC113" s="182"/>
      <c r="AD113" s="624"/>
      <c r="AE113" s="188"/>
      <c r="AF113" s="188"/>
      <c r="AG113" s="185"/>
      <c r="AH113" s="182"/>
      <c r="AI113" s="624"/>
      <c r="AJ113" s="188"/>
      <c r="AK113" s="188"/>
      <c r="AL113" s="185"/>
      <c r="AM113" s="182"/>
      <c r="AN113" s="624"/>
      <c r="AO113" s="188"/>
      <c r="AP113" s="188"/>
      <c r="AQ113" s="185"/>
      <c r="AR113" s="182"/>
      <c r="AS113" s="624"/>
      <c r="AT113" s="188">
        <v>12</v>
      </c>
      <c r="AU113" s="188">
        <v>2949.9999999999982</v>
      </c>
      <c r="AV113" s="185">
        <f t="shared" si="68"/>
        <v>245.83333333333317</v>
      </c>
      <c r="AW113" s="182">
        <f t="shared" si="69"/>
        <v>31</v>
      </c>
      <c r="AX113" s="624"/>
    </row>
    <row r="114" spans="1:50" ht="14.25" customHeight="1">
      <c r="B114" s="564"/>
      <c r="C114" s="180">
        <v>32</v>
      </c>
      <c r="D114" s="183"/>
      <c r="E114" s="180"/>
      <c r="F114" s="180"/>
      <c r="G114" s="185"/>
      <c r="H114" s="625"/>
      <c r="I114" s="186"/>
      <c r="J114" s="186"/>
      <c r="K114" s="187"/>
      <c r="L114" s="626"/>
      <c r="M114" s="186"/>
      <c r="N114" s="631"/>
      <c r="O114" s="627"/>
      <c r="P114" s="188"/>
      <c r="Q114" s="188"/>
      <c r="R114" s="185"/>
      <c r="S114" s="182"/>
      <c r="T114" s="624"/>
      <c r="U114" s="188"/>
      <c r="V114" s="188"/>
      <c r="W114" s="185"/>
      <c r="X114" s="182"/>
      <c r="Y114" s="624"/>
      <c r="Z114" s="188"/>
      <c r="AA114" s="188"/>
      <c r="AB114" s="185"/>
      <c r="AC114" s="182"/>
      <c r="AD114" s="624"/>
      <c r="AE114" s="188"/>
      <c r="AF114" s="188"/>
      <c r="AG114" s="185"/>
      <c r="AH114" s="182"/>
      <c r="AI114" s="624"/>
      <c r="AJ114" s="188"/>
      <c r="AK114" s="188"/>
      <c r="AL114" s="185"/>
      <c r="AM114" s="182"/>
      <c r="AN114" s="624"/>
      <c r="AO114" s="188"/>
      <c r="AP114" s="188"/>
      <c r="AQ114" s="185"/>
      <c r="AR114" s="182"/>
      <c r="AS114" s="624"/>
      <c r="AT114" s="188"/>
      <c r="AU114" s="188"/>
      <c r="AV114" s="185"/>
      <c r="AW114" s="182"/>
      <c r="AX114" s="624"/>
    </row>
    <row r="115" spans="1:50" ht="14.25" customHeight="1">
      <c r="B115" s="564"/>
      <c r="C115" s="180">
        <v>33</v>
      </c>
      <c r="D115" s="183"/>
      <c r="E115" s="180"/>
      <c r="F115" s="180"/>
      <c r="G115" s="185"/>
      <c r="H115" s="625"/>
      <c r="I115" s="186"/>
      <c r="J115" s="186"/>
      <c r="K115" s="187"/>
      <c r="L115" s="626"/>
      <c r="M115" s="186"/>
      <c r="N115" s="631"/>
      <c r="O115" s="627"/>
      <c r="P115" s="188"/>
      <c r="Q115" s="188"/>
      <c r="R115" s="185"/>
      <c r="S115" s="182"/>
      <c r="T115" s="624"/>
      <c r="U115" s="188"/>
      <c r="V115" s="188"/>
      <c r="W115" s="185"/>
      <c r="X115" s="182"/>
      <c r="Y115" s="624"/>
      <c r="Z115" s="188"/>
      <c r="AA115" s="188"/>
      <c r="AB115" s="185"/>
      <c r="AC115" s="182"/>
      <c r="AD115" s="624"/>
      <c r="AE115" s="188"/>
      <c r="AF115" s="188"/>
      <c r="AG115" s="185"/>
      <c r="AH115" s="182"/>
      <c r="AI115" s="624"/>
      <c r="AJ115" s="188"/>
      <c r="AK115" s="188"/>
      <c r="AL115" s="185"/>
      <c r="AM115" s="182"/>
      <c r="AN115" s="624"/>
      <c r="AO115" s="188"/>
      <c r="AP115" s="188"/>
      <c r="AQ115" s="185"/>
      <c r="AR115" s="182"/>
      <c r="AS115" s="624"/>
      <c r="AT115" s="188"/>
      <c r="AU115" s="188"/>
      <c r="AV115" s="185"/>
      <c r="AW115" s="182"/>
      <c r="AX115" s="624"/>
    </row>
    <row r="116" spans="1:50" ht="14.25" customHeight="1">
      <c r="B116" s="646" t="s">
        <v>750</v>
      </c>
      <c r="C116" s="642"/>
      <c r="D116" s="642"/>
      <c r="E116" s="642"/>
      <c r="F116" s="642"/>
      <c r="G116" s="642"/>
      <c r="H116" s="642"/>
      <c r="I116" s="642"/>
      <c r="J116" s="642"/>
      <c r="K116" s="642"/>
      <c r="L116" s="642"/>
      <c r="M116" s="643"/>
      <c r="N116" s="584" t="s">
        <v>377</v>
      </c>
      <c r="O116" s="584" t="s">
        <v>105</v>
      </c>
      <c r="P116" s="637">
        <f>AT78+1</f>
        <v>46098</v>
      </c>
      <c r="Q116" s="638"/>
      <c r="R116" s="638"/>
      <c r="S116" s="638"/>
      <c r="T116" s="638"/>
      <c r="U116" s="639">
        <f>P116+1</f>
        <v>46099</v>
      </c>
      <c r="V116" s="640"/>
      <c r="W116" s="640"/>
      <c r="X116" s="640"/>
      <c r="Y116" s="640"/>
      <c r="Z116" s="637">
        <f t="shared" ref="Z116" si="71">U116+1</f>
        <v>46100</v>
      </c>
      <c r="AA116" s="638"/>
      <c r="AB116" s="638"/>
      <c r="AC116" s="638"/>
      <c r="AD116" s="638"/>
      <c r="AE116" s="639">
        <f t="shared" ref="AE116" si="72">Z116+1</f>
        <v>46101</v>
      </c>
      <c r="AF116" s="640"/>
      <c r="AG116" s="640"/>
      <c r="AH116" s="640"/>
      <c r="AI116" s="640"/>
      <c r="AJ116" s="596">
        <f t="shared" ref="AJ116" si="73">AE116+1</f>
        <v>46102</v>
      </c>
      <c r="AK116" s="597"/>
      <c r="AL116" s="597"/>
      <c r="AM116" s="597"/>
      <c r="AN116" s="598"/>
      <c r="AO116" s="639">
        <f t="shared" ref="AO116" si="74">AJ116+1</f>
        <v>46103</v>
      </c>
      <c r="AP116" s="640"/>
      <c r="AQ116" s="640"/>
      <c r="AR116" s="640"/>
      <c r="AS116" s="640"/>
      <c r="AT116" s="596">
        <f t="shared" ref="AT116" si="75">AO116+1</f>
        <v>46104</v>
      </c>
      <c r="AU116" s="597"/>
      <c r="AV116" s="597"/>
      <c r="AW116" s="597"/>
      <c r="AX116" s="598"/>
    </row>
    <row r="117" spans="1:50" ht="14.25" customHeight="1">
      <c r="B117" s="644"/>
      <c r="C117" s="644"/>
      <c r="D117" s="644"/>
      <c r="E117" s="644"/>
      <c r="F117" s="644"/>
      <c r="G117" s="644"/>
      <c r="H117" s="644"/>
      <c r="I117" s="644"/>
      <c r="J117" s="644"/>
      <c r="K117" s="644"/>
      <c r="L117" s="644"/>
      <c r="M117" s="645"/>
      <c r="N117" s="586"/>
      <c r="O117" s="586"/>
      <c r="P117" s="629">
        <v>46084</v>
      </c>
      <c r="Q117" s="629"/>
      <c r="R117" s="629"/>
      <c r="S117" s="629"/>
      <c r="T117" s="629"/>
      <c r="U117" s="630">
        <f>U116</f>
        <v>46099</v>
      </c>
      <c r="V117" s="630"/>
      <c r="W117" s="630"/>
      <c r="X117" s="630"/>
      <c r="Y117" s="630"/>
      <c r="Z117" s="629">
        <f t="shared" ref="Z117" si="76">Z116</f>
        <v>46100</v>
      </c>
      <c r="AA117" s="629"/>
      <c r="AB117" s="629"/>
      <c r="AC117" s="629"/>
      <c r="AD117" s="629"/>
      <c r="AE117" s="630">
        <f t="shared" ref="AE117" si="77">AE116</f>
        <v>46101</v>
      </c>
      <c r="AF117" s="630"/>
      <c r="AG117" s="630"/>
      <c r="AH117" s="630"/>
      <c r="AI117" s="630"/>
      <c r="AJ117" s="599">
        <f t="shared" ref="AJ117" si="78">AJ116</f>
        <v>46102</v>
      </c>
      <c r="AK117" s="600"/>
      <c r="AL117" s="600"/>
      <c r="AM117" s="600"/>
      <c r="AN117" s="601"/>
      <c r="AO117" s="630">
        <f t="shared" ref="AO117" si="79">AO116</f>
        <v>46103</v>
      </c>
      <c r="AP117" s="630"/>
      <c r="AQ117" s="630"/>
      <c r="AR117" s="630"/>
      <c r="AS117" s="630"/>
      <c r="AT117" s="599">
        <f t="shared" ref="AT117" si="80">AT116</f>
        <v>46104</v>
      </c>
      <c r="AU117" s="600"/>
      <c r="AV117" s="600"/>
      <c r="AW117" s="600"/>
      <c r="AX117" s="601"/>
    </row>
    <row r="118" spans="1:50" ht="14.25" customHeight="1">
      <c r="B118" s="564" t="s">
        <v>164</v>
      </c>
      <c r="C118" s="564" t="s">
        <v>159</v>
      </c>
      <c r="D118" s="564"/>
      <c r="E118" s="564" t="s">
        <v>160</v>
      </c>
      <c r="F118" s="564"/>
      <c r="G118" s="564"/>
      <c r="H118" s="564" t="s">
        <v>165</v>
      </c>
      <c r="I118" s="628" t="s">
        <v>378</v>
      </c>
      <c r="J118" s="628"/>
      <c r="K118" s="628"/>
      <c r="L118" s="628" t="s">
        <v>165</v>
      </c>
      <c r="M118" s="628" t="s">
        <v>167</v>
      </c>
      <c r="N118" s="631"/>
      <c r="O118" s="627" t="s">
        <v>166</v>
      </c>
      <c r="P118" s="627" t="s">
        <v>162</v>
      </c>
      <c r="Q118" s="627"/>
      <c r="R118" s="627"/>
      <c r="S118" s="627"/>
      <c r="T118" s="627" t="s">
        <v>165</v>
      </c>
      <c r="U118" s="627" t="s">
        <v>162</v>
      </c>
      <c r="V118" s="627"/>
      <c r="W118" s="627"/>
      <c r="X118" s="627"/>
      <c r="Y118" s="627" t="s">
        <v>165</v>
      </c>
      <c r="Z118" s="627" t="s">
        <v>162</v>
      </c>
      <c r="AA118" s="627"/>
      <c r="AB118" s="627"/>
      <c r="AC118" s="627"/>
      <c r="AD118" s="627" t="s">
        <v>165</v>
      </c>
      <c r="AE118" s="627" t="s">
        <v>162</v>
      </c>
      <c r="AF118" s="627"/>
      <c r="AG118" s="627"/>
      <c r="AH118" s="627"/>
      <c r="AI118" s="627" t="s">
        <v>165</v>
      </c>
      <c r="AJ118" s="627" t="s">
        <v>162</v>
      </c>
      <c r="AK118" s="627"/>
      <c r="AL118" s="627"/>
      <c r="AM118" s="627"/>
      <c r="AN118" s="627" t="s">
        <v>165</v>
      </c>
      <c r="AO118" s="627" t="s">
        <v>162</v>
      </c>
      <c r="AP118" s="627"/>
      <c r="AQ118" s="627"/>
      <c r="AR118" s="627"/>
      <c r="AS118" s="627" t="s">
        <v>165</v>
      </c>
      <c r="AT118" s="627" t="s">
        <v>162</v>
      </c>
      <c r="AU118" s="627"/>
      <c r="AV118" s="627"/>
      <c r="AW118" s="627"/>
      <c r="AX118" s="627" t="s">
        <v>165</v>
      </c>
    </row>
    <row r="119" spans="1:50" ht="14.25" customHeight="1">
      <c r="B119" s="564"/>
      <c r="C119" s="564"/>
      <c r="D119" s="564"/>
      <c r="E119" s="564" t="s">
        <v>379</v>
      </c>
      <c r="F119" s="564"/>
      <c r="G119" s="564"/>
      <c r="H119" s="564"/>
      <c r="I119" s="628" t="s">
        <v>379</v>
      </c>
      <c r="J119" s="628"/>
      <c r="K119" s="628"/>
      <c r="L119" s="628"/>
      <c r="M119" s="628"/>
      <c r="N119" s="631"/>
      <c r="O119" s="627"/>
      <c r="P119" s="627" t="s">
        <v>380</v>
      </c>
      <c r="Q119" s="627"/>
      <c r="R119" s="627"/>
      <c r="S119" s="627"/>
      <c r="T119" s="627"/>
      <c r="U119" s="627" t="s">
        <v>380</v>
      </c>
      <c r="V119" s="627"/>
      <c r="W119" s="627"/>
      <c r="X119" s="627"/>
      <c r="Y119" s="627"/>
      <c r="Z119" s="627" t="s">
        <v>380</v>
      </c>
      <c r="AA119" s="627"/>
      <c r="AB119" s="627"/>
      <c r="AC119" s="627"/>
      <c r="AD119" s="627"/>
      <c r="AE119" s="627" t="s">
        <v>380</v>
      </c>
      <c r="AF119" s="627"/>
      <c r="AG119" s="627"/>
      <c r="AH119" s="627"/>
      <c r="AI119" s="627"/>
      <c r="AJ119" s="627" t="s">
        <v>380</v>
      </c>
      <c r="AK119" s="627"/>
      <c r="AL119" s="627"/>
      <c r="AM119" s="627"/>
      <c r="AN119" s="627"/>
      <c r="AO119" s="627" t="s">
        <v>380</v>
      </c>
      <c r="AP119" s="627"/>
      <c r="AQ119" s="627"/>
      <c r="AR119" s="627"/>
      <c r="AS119" s="627"/>
      <c r="AT119" s="627" t="s">
        <v>380</v>
      </c>
      <c r="AU119" s="627"/>
      <c r="AV119" s="627"/>
      <c r="AW119" s="627"/>
      <c r="AX119" s="627"/>
    </row>
    <row r="120" spans="1:50" ht="14.25" customHeight="1">
      <c r="A120" s="177"/>
      <c r="B120" s="564"/>
      <c r="C120" s="564"/>
      <c r="D120" s="564"/>
      <c r="E120" s="180" t="s">
        <v>161</v>
      </c>
      <c r="F120" s="180" t="s">
        <v>381</v>
      </c>
      <c r="G120" s="180" t="s">
        <v>163</v>
      </c>
      <c r="H120" s="564"/>
      <c r="I120" s="181" t="s">
        <v>161</v>
      </c>
      <c r="J120" s="181" t="s">
        <v>381</v>
      </c>
      <c r="K120" s="181" t="s">
        <v>163</v>
      </c>
      <c r="L120" s="628"/>
      <c r="M120" s="628"/>
      <c r="N120" s="631"/>
      <c r="O120" s="627"/>
      <c r="P120" s="182" t="s">
        <v>161</v>
      </c>
      <c r="Q120" s="182" t="s">
        <v>381</v>
      </c>
      <c r="R120" s="182" t="s">
        <v>163</v>
      </c>
      <c r="S120" s="182" t="s">
        <v>167</v>
      </c>
      <c r="T120" s="627"/>
      <c r="U120" s="182" t="s">
        <v>161</v>
      </c>
      <c r="V120" s="182" t="s">
        <v>381</v>
      </c>
      <c r="W120" s="182" t="s">
        <v>163</v>
      </c>
      <c r="X120" s="182" t="s">
        <v>167</v>
      </c>
      <c r="Y120" s="627"/>
      <c r="Z120" s="182" t="s">
        <v>161</v>
      </c>
      <c r="AA120" s="182" t="s">
        <v>381</v>
      </c>
      <c r="AB120" s="182" t="s">
        <v>163</v>
      </c>
      <c r="AC120" s="182" t="s">
        <v>167</v>
      </c>
      <c r="AD120" s="627"/>
      <c r="AE120" s="182" t="s">
        <v>161</v>
      </c>
      <c r="AF120" s="182" t="s">
        <v>381</v>
      </c>
      <c r="AG120" s="182" t="s">
        <v>163</v>
      </c>
      <c r="AH120" s="182" t="s">
        <v>167</v>
      </c>
      <c r="AI120" s="627"/>
      <c r="AJ120" s="182" t="s">
        <v>161</v>
      </c>
      <c r="AK120" s="182" t="s">
        <v>381</v>
      </c>
      <c r="AL120" s="182" t="s">
        <v>163</v>
      </c>
      <c r="AM120" s="182" t="s">
        <v>167</v>
      </c>
      <c r="AN120" s="627"/>
      <c r="AO120" s="182" t="s">
        <v>161</v>
      </c>
      <c r="AP120" s="182" t="s">
        <v>381</v>
      </c>
      <c r="AQ120" s="182" t="s">
        <v>163</v>
      </c>
      <c r="AR120" s="182" t="s">
        <v>167</v>
      </c>
      <c r="AS120" s="627"/>
      <c r="AT120" s="182" t="s">
        <v>161</v>
      </c>
      <c r="AU120" s="182" t="s">
        <v>381</v>
      </c>
      <c r="AV120" s="182" t="s">
        <v>163</v>
      </c>
      <c r="AW120" s="182" t="s">
        <v>167</v>
      </c>
      <c r="AX120" s="627"/>
    </row>
    <row r="121" spans="1:50" ht="14.25" customHeight="1">
      <c r="B121" s="564" t="s">
        <v>382</v>
      </c>
      <c r="C121" s="180">
        <v>1</v>
      </c>
      <c r="D121" s="183" t="s">
        <v>407</v>
      </c>
      <c r="E121" s="184">
        <v>4</v>
      </c>
      <c r="F121" s="180">
        <v>3600</v>
      </c>
      <c r="G121" s="185">
        <f>F121/E121</f>
        <v>900</v>
      </c>
      <c r="H121" s="625">
        <f>AVERAGE(G121:G153)</f>
        <v>852.25806451612902</v>
      </c>
      <c r="I121" s="186">
        <f>AVERAGE(P121,U121,Z121,AE121,AJ121,AO121,AT121)</f>
        <v>4</v>
      </c>
      <c r="J121" s="186">
        <f>AVERAGE(Q121,V121,AA121,AF121,AK121,AP121,AU121)</f>
        <v>3171.65109960056</v>
      </c>
      <c r="K121" s="187">
        <f>AVERAGE(R121,W121,AB121,AG121,AL121,AQ121,AV121)</f>
        <v>792.91277490013999</v>
      </c>
      <c r="L121" s="626">
        <f>IFERROR(AVERAGE(K121:K153),"-")</f>
        <v>757.24567929627017</v>
      </c>
      <c r="M121" s="186">
        <f>RANK(K121, K$121:$K$153)</f>
        <v>12</v>
      </c>
      <c r="N121" s="631"/>
      <c r="O121" s="627"/>
      <c r="P121" s="188">
        <v>4</v>
      </c>
      <c r="Q121" s="188">
        <v>3171.0955710955677</v>
      </c>
      <c r="R121" s="185">
        <f t="shared" ref="R121:R151" si="81">IFERROR(Q121/P121,"")</f>
        <v>792.77389277389193</v>
      </c>
      <c r="S121" s="182">
        <f>RANK(R121, R$121:R$153)</f>
        <v>12</v>
      </c>
      <c r="T121" s="624">
        <f>AVERAGE(R121:R153)</f>
        <v>756.79887952831041</v>
      </c>
      <c r="U121" s="188">
        <v>4</v>
      </c>
      <c r="V121" s="188">
        <v>3171.2683578104125</v>
      </c>
      <c r="W121" s="185">
        <f t="shared" ref="W121:W151" si="82">IFERROR(V121/U121,"")</f>
        <v>792.81708945260311</v>
      </c>
      <c r="X121" s="182">
        <f>RANK(W121, W$121:W$153)</f>
        <v>12</v>
      </c>
      <c r="Y121" s="624">
        <f>AVERAGE(W121:W153)</f>
        <v>756.94539393043965</v>
      </c>
      <c r="Z121" s="188">
        <v>4</v>
      </c>
      <c r="AA121" s="188">
        <v>3171.6852708957272</v>
      </c>
      <c r="AB121" s="185">
        <f>IFERROR(AA121/Z121,"")</f>
        <v>792.92131772393179</v>
      </c>
      <c r="AC121" s="182">
        <f>RANK(AB121, AB$121:AB$153)</f>
        <v>12</v>
      </c>
      <c r="AD121" s="624">
        <f>AVERAGE(AB121:AB153)</f>
        <v>757.09063658895798</v>
      </c>
      <c r="AE121" s="188">
        <v>4</v>
      </c>
      <c r="AF121" s="188">
        <v>3171.800433839479</v>
      </c>
      <c r="AG121" s="185">
        <f>IFERROR(AF121/AE121,"")</f>
        <v>792.95010845986974</v>
      </c>
      <c r="AH121" s="182">
        <f>RANK(AG121, AG$121:AG$153)</f>
        <v>12</v>
      </c>
      <c r="AI121" s="624">
        <f>AVERAGE(AG121:AG153)</f>
        <v>757.19384742581383</v>
      </c>
      <c r="AJ121" s="188">
        <v>4</v>
      </c>
      <c r="AK121" s="188">
        <v>3171.818181818182</v>
      </c>
      <c r="AL121" s="185">
        <f>IFERROR(AK121/AJ121,"")</f>
        <v>792.9545454545455</v>
      </c>
      <c r="AM121" s="182">
        <f>RANK(AL121, AL$121:AL$153)</f>
        <v>12</v>
      </c>
      <c r="AN121" s="624">
        <f>AVERAGE(AL121:AL153)</f>
        <v>757.45226070699823</v>
      </c>
      <c r="AO121" s="188">
        <v>4</v>
      </c>
      <c r="AP121" s="188">
        <v>3172.0217498764209</v>
      </c>
      <c r="AQ121" s="185">
        <f>IFERROR(AP121/AO121,"")</f>
        <v>793.00543746910523</v>
      </c>
      <c r="AR121" s="182">
        <f>RANK(AQ121, AQ$121:AQ$153)</f>
        <v>13</v>
      </c>
      <c r="AS121" s="624">
        <f>AVERAGE(AQ121:AQ153)</f>
        <v>757.57632303024832</v>
      </c>
      <c r="AT121" s="188">
        <v>4</v>
      </c>
      <c r="AU121" s="188">
        <v>3171.8681318681315</v>
      </c>
      <c r="AV121" s="185">
        <f>IFERROR(AU121/AT121,"")</f>
        <v>792.96703296703288</v>
      </c>
      <c r="AW121" s="182">
        <f>RANK(AV121, AV$121:AV$153)</f>
        <v>13</v>
      </c>
      <c r="AX121" s="624">
        <f>AVERAGE(AV121:AV153)</f>
        <v>763.8279935183557</v>
      </c>
    </row>
    <row r="122" spans="1:50" ht="14.25" customHeight="1">
      <c r="B122" s="564"/>
      <c r="C122" s="180">
        <v>2</v>
      </c>
      <c r="D122" s="183" t="s">
        <v>405</v>
      </c>
      <c r="E122" s="184">
        <v>3</v>
      </c>
      <c r="F122" s="180">
        <v>3600</v>
      </c>
      <c r="G122" s="185">
        <f t="shared" ref="G122:G141" si="83">F122/E122</f>
        <v>1200</v>
      </c>
      <c r="H122" s="625"/>
      <c r="I122" s="186">
        <f t="shared" ref="I122:K151" si="84">AVERAGE(P122,U122,Z122,AE122,AJ122,AO122,AT122)</f>
        <v>3</v>
      </c>
      <c r="J122" s="186">
        <f t="shared" si="84"/>
        <v>3170.8250953959919</v>
      </c>
      <c r="K122" s="187">
        <f t="shared" si="84"/>
        <v>1056.9416984653305</v>
      </c>
      <c r="L122" s="626"/>
      <c r="M122" s="186">
        <f>RANK(K122, K$121:$K$153)</f>
        <v>7</v>
      </c>
      <c r="N122" s="631"/>
      <c r="O122" s="627"/>
      <c r="P122" s="188">
        <v>3</v>
      </c>
      <c r="Q122" s="188">
        <v>3170.5008809463889</v>
      </c>
      <c r="R122" s="185">
        <f t="shared" si="81"/>
        <v>1056.8336269821295</v>
      </c>
      <c r="S122" s="182">
        <f t="shared" ref="S122:S151" si="85">RANK(R122, R$121:R$153)</f>
        <v>7</v>
      </c>
      <c r="T122" s="624"/>
      <c r="U122" s="188">
        <v>3</v>
      </c>
      <c r="V122" s="188">
        <v>3170.4518664047132</v>
      </c>
      <c r="W122" s="185">
        <f t="shared" si="82"/>
        <v>1056.8172888015711</v>
      </c>
      <c r="X122" s="182">
        <f t="shared" ref="X122:X151" si="86">RANK(W122, W$121:W$153)</f>
        <v>7</v>
      </c>
      <c r="Y122" s="624"/>
      <c r="Z122" s="188">
        <v>3</v>
      </c>
      <c r="AA122" s="188">
        <v>3170.6199460916437</v>
      </c>
      <c r="AB122" s="185">
        <f t="shared" ref="AB122:AB151" si="87">IFERROR(AA122/Z122,"")</f>
        <v>1056.8733153638811</v>
      </c>
      <c r="AC122" s="182">
        <f t="shared" ref="AC122:AC151" si="88">RANK(AB122, AB$121:AB$153)</f>
        <v>6</v>
      </c>
      <c r="AD122" s="624"/>
      <c r="AE122" s="188">
        <v>3</v>
      </c>
      <c r="AF122" s="188">
        <v>3170.7889125799561</v>
      </c>
      <c r="AG122" s="185">
        <f t="shared" ref="AG122:AG151" si="89">IFERROR(AF122/AE122,"")</f>
        <v>1056.929637526652</v>
      </c>
      <c r="AH122" s="182">
        <f t="shared" ref="AH122:AH151" si="90">RANK(AG122, AG$121:AG$153)</f>
        <v>5</v>
      </c>
      <c r="AI122" s="624"/>
      <c r="AJ122" s="188">
        <v>3</v>
      </c>
      <c r="AK122" s="188">
        <v>3171.0187568959182</v>
      </c>
      <c r="AL122" s="185">
        <f t="shared" ref="AL122:AL151" si="91">IFERROR(AK122/AJ122,"")</f>
        <v>1057.0062522986393</v>
      </c>
      <c r="AM122" s="182">
        <f t="shared" ref="AM122:AM151" si="92">RANK(AL122, AL$121:AL$153)</f>
        <v>6</v>
      </c>
      <c r="AN122" s="624"/>
      <c r="AO122" s="188">
        <v>3</v>
      </c>
      <c r="AP122" s="188">
        <v>3171.2137486573574</v>
      </c>
      <c r="AQ122" s="185">
        <f t="shared" ref="AQ122:AQ151" si="93">IFERROR(AP122/AO122,"")</f>
        <v>1057.0712495524524</v>
      </c>
      <c r="AR122" s="182">
        <f t="shared" ref="AR122:AR151" si="94">RANK(AQ122, AQ$121:AQ$153)</f>
        <v>6</v>
      </c>
      <c r="AS122" s="624"/>
      <c r="AT122" s="188">
        <v>3</v>
      </c>
      <c r="AU122" s="188">
        <v>3171.1815561959666</v>
      </c>
      <c r="AV122" s="185">
        <f t="shared" ref="AV122:AV151" si="95">IFERROR(AU122/AT122,"")</f>
        <v>1057.0605187319889</v>
      </c>
      <c r="AW122" s="182">
        <f t="shared" ref="AW122:AW151" si="96">RANK(AV122, AV$121:AV$153)</f>
        <v>6</v>
      </c>
      <c r="AX122" s="624"/>
    </row>
    <row r="123" spans="1:50" ht="14.25" customHeight="1">
      <c r="B123" s="564"/>
      <c r="C123" s="180">
        <v>3</v>
      </c>
      <c r="D123" s="183" t="s">
        <v>406</v>
      </c>
      <c r="E123" s="184">
        <v>5</v>
      </c>
      <c r="F123" s="180">
        <v>3600</v>
      </c>
      <c r="G123" s="185">
        <f t="shared" si="83"/>
        <v>720</v>
      </c>
      <c r="H123" s="625"/>
      <c r="I123" s="186">
        <f t="shared" si="84"/>
        <v>5</v>
      </c>
      <c r="J123" s="186">
        <f t="shared" si="84"/>
        <v>3171.1373511666161</v>
      </c>
      <c r="K123" s="187">
        <f t="shared" si="84"/>
        <v>634.22747023332317</v>
      </c>
      <c r="L123" s="626"/>
      <c r="M123" s="186">
        <f>RANK(K123, K$121:$K$153)</f>
        <v>23</v>
      </c>
      <c r="N123" s="631"/>
      <c r="O123" s="627"/>
      <c r="P123" s="188">
        <v>5</v>
      </c>
      <c r="Q123" s="188">
        <v>3171.0382513661207</v>
      </c>
      <c r="R123" s="185">
        <f t="shared" si="81"/>
        <v>634.20765027322409</v>
      </c>
      <c r="S123" s="182">
        <f t="shared" si="85"/>
        <v>23</v>
      </c>
      <c r="T123" s="624"/>
      <c r="U123" s="188">
        <v>5</v>
      </c>
      <c r="V123" s="188">
        <v>3171.0347013151654</v>
      </c>
      <c r="W123" s="185">
        <f t="shared" si="82"/>
        <v>634.20694026303306</v>
      </c>
      <c r="X123" s="182">
        <f t="shared" si="86"/>
        <v>23</v>
      </c>
      <c r="Y123" s="624"/>
      <c r="Z123" s="188">
        <v>5</v>
      </c>
      <c r="AA123" s="188">
        <v>3170.7285200914753</v>
      </c>
      <c r="AB123" s="185">
        <f t="shared" si="87"/>
        <v>634.14570401829508</v>
      </c>
      <c r="AC123" s="182">
        <f t="shared" si="88"/>
        <v>23</v>
      </c>
      <c r="AD123" s="624"/>
      <c r="AE123" s="188">
        <v>5</v>
      </c>
      <c r="AF123" s="188">
        <v>3171.0442024343383</v>
      </c>
      <c r="AG123" s="185">
        <f t="shared" si="89"/>
        <v>634.20884048686764</v>
      </c>
      <c r="AH123" s="182">
        <f t="shared" si="90"/>
        <v>23</v>
      </c>
      <c r="AI123" s="624"/>
      <c r="AJ123" s="188">
        <v>5</v>
      </c>
      <c r="AK123" s="188">
        <v>3171.3717693836957</v>
      </c>
      <c r="AL123" s="185">
        <f t="shared" si="91"/>
        <v>634.27435387673916</v>
      </c>
      <c r="AM123" s="182">
        <f t="shared" si="92"/>
        <v>23</v>
      </c>
      <c r="AN123" s="624"/>
      <c r="AO123" s="188">
        <v>5</v>
      </c>
      <c r="AP123" s="188">
        <v>3171.315442146944</v>
      </c>
      <c r="AQ123" s="185">
        <f t="shared" si="93"/>
        <v>634.26308842938874</v>
      </c>
      <c r="AR123" s="182">
        <f t="shared" si="94"/>
        <v>23</v>
      </c>
      <c r="AS123" s="624"/>
      <c r="AT123" s="188">
        <v>5</v>
      </c>
      <c r="AU123" s="188">
        <v>3171.4285714285711</v>
      </c>
      <c r="AV123" s="185">
        <f t="shared" si="95"/>
        <v>634.28571428571422</v>
      </c>
      <c r="AW123" s="182">
        <f t="shared" si="96"/>
        <v>22</v>
      </c>
      <c r="AX123" s="624"/>
    </row>
    <row r="124" spans="1:50" ht="14.25" customHeight="1">
      <c r="B124" s="564"/>
      <c r="C124" s="180">
        <v>4</v>
      </c>
      <c r="D124" s="183" t="s">
        <v>231</v>
      </c>
      <c r="E124" s="184">
        <v>5</v>
      </c>
      <c r="F124" s="180">
        <v>3300</v>
      </c>
      <c r="G124" s="185">
        <f t="shared" si="83"/>
        <v>660</v>
      </c>
      <c r="H124" s="625"/>
      <c r="I124" s="186">
        <f t="shared" si="84"/>
        <v>5</v>
      </c>
      <c r="J124" s="186">
        <f t="shared" si="84"/>
        <v>2943.4568140500924</v>
      </c>
      <c r="K124" s="187">
        <f t="shared" si="84"/>
        <v>588.69136281001852</v>
      </c>
      <c r="L124" s="626"/>
      <c r="M124" s="186">
        <f>RANK(K124, K$121:$K$153)</f>
        <v>26</v>
      </c>
      <c r="N124" s="631"/>
      <c r="O124" s="627"/>
      <c r="P124" s="188">
        <v>5</v>
      </c>
      <c r="Q124" s="188">
        <v>2944.4162436548204</v>
      </c>
      <c r="R124" s="185">
        <f t="shared" si="81"/>
        <v>588.88324873096406</v>
      </c>
      <c r="S124" s="182">
        <f t="shared" si="85"/>
        <v>26</v>
      </c>
      <c r="T124" s="624"/>
      <c r="U124" s="188">
        <v>5</v>
      </c>
      <c r="V124" s="188">
        <v>2944.8275862068967</v>
      </c>
      <c r="W124" s="185">
        <f t="shared" si="82"/>
        <v>588.9655172413793</v>
      </c>
      <c r="X124" s="182">
        <f t="shared" si="86"/>
        <v>26</v>
      </c>
      <c r="Y124" s="624"/>
      <c r="Z124" s="188">
        <v>5</v>
      </c>
      <c r="AA124" s="188">
        <v>2943.7377049180323</v>
      </c>
      <c r="AB124" s="185">
        <f t="shared" si="87"/>
        <v>588.74754098360643</v>
      </c>
      <c r="AC124" s="182">
        <f t="shared" si="88"/>
        <v>26</v>
      </c>
      <c r="AD124" s="624"/>
      <c r="AE124" s="188">
        <v>5</v>
      </c>
      <c r="AF124" s="188">
        <v>2943.2225063938595</v>
      </c>
      <c r="AG124" s="185">
        <f t="shared" si="89"/>
        <v>588.64450127877194</v>
      </c>
      <c r="AH124" s="182">
        <f t="shared" si="90"/>
        <v>26</v>
      </c>
      <c r="AI124" s="624"/>
      <c r="AJ124" s="188">
        <v>5</v>
      </c>
      <c r="AK124" s="188">
        <v>2942.4044734389608</v>
      </c>
      <c r="AL124" s="185">
        <f t="shared" si="91"/>
        <v>588.48089468779222</v>
      </c>
      <c r="AM124" s="182">
        <f t="shared" si="92"/>
        <v>26</v>
      </c>
      <c r="AN124" s="624"/>
      <c r="AO124" s="188">
        <v>5</v>
      </c>
      <c r="AP124" s="188">
        <v>2942.8037383177543</v>
      </c>
      <c r="AQ124" s="185">
        <f t="shared" si="93"/>
        <v>588.56074766355084</v>
      </c>
      <c r="AR124" s="182">
        <f t="shared" si="94"/>
        <v>26</v>
      </c>
      <c r="AS124" s="624"/>
      <c r="AT124" s="188">
        <v>5</v>
      </c>
      <c r="AU124" s="188">
        <v>2942.7854454203234</v>
      </c>
      <c r="AV124" s="185">
        <f t="shared" si="95"/>
        <v>588.55708908406473</v>
      </c>
      <c r="AW124" s="182">
        <f t="shared" si="96"/>
        <v>24</v>
      </c>
      <c r="AX124" s="624"/>
    </row>
    <row r="125" spans="1:50" ht="14.25" customHeight="1">
      <c r="B125" s="564"/>
      <c r="C125" s="180">
        <v>5</v>
      </c>
      <c r="D125" s="183" t="s">
        <v>402</v>
      </c>
      <c r="E125" s="184">
        <v>3</v>
      </c>
      <c r="F125" s="180">
        <v>3600</v>
      </c>
      <c r="G125" s="185">
        <f t="shared" si="83"/>
        <v>1200</v>
      </c>
      <c r="H125" s="625"/>
      <c r="I125" s="186">
        <f t="shared" si="84"/>
        <v>3</v>
      </c>
      <c r="J125" s="186">
        <f t="shared" si="84"/>
        <v>3172.6987352596466</v>
      </c>
      <c r="K125" s="187">
        <f t="shared" si="84"/>
        <v>1057.5662450865489</v>
      </c>
      <c r="L125" s="626"/>
      <c r="M125" s="186">
        <f>RANK(K125, K$121:$K$153)</f>
        <v>4</v>
      </c>
      <c r="N125" s="631"/>
      <c r="O125" s="627"/>
      <c r="P125" s="188">
        <v>3</v>
      </c>
      <c r="Q125" s="188">
        <v>3171.9322502592458</v>
      </c>
      <c r="R125" s="185">
        <f t="shared" si="81"/>
        <v>1057.3107500864153</v>
      </c>
      <c r="S125" s="182">
        <f t="shared" si="85"/>
        <v>4</v>
      </c>
      <c r="T125" s="624"/>
      <c r="U125" s="188">
        <v>3</v>
      </c>
      <c r="V125" s="188">
        <v>3172.1887194040437</v>
      </c>
      <c r="W125" s="185">
        <f t="shared" si="82"/>
        <v>1057.396239801348</v>
      </c>
      <c r="X125" s="182">
        <f t="shared" si="86"/>
        <v>4</v>
      </c>
      <c r="Y125" s="624"/>
      <c r="Z125" s="188">
        <v>3</v>
      </c>
      <c r="AA125" s="188">
        <v>3172.5246620387284</v>
      </c>
      <c r="AB125" s="185">
        <f t="shared" si="87"/>
        <v>1057.5082206795762</v>
      </c>
      <c r="AC125" s="182">
        <f t="shared" si="88"/>
        <v>5</v>
      </c>
      <c r="AD125" s="624"/>
      <c r="AE125" s="188">
        <v>3</v>
      </c>
      <c r="AF125" s="188">
        <v>3172.9394949976213</v>
      </c>
      <c r="AG125" s="185">
        <f t="shared" si="89"/>
        <v>1057.6464983325404</v>
      </c>
      <c r="AH125" s="182">
        <f t="shared" si="90"/>
        <v>4</v>
      </c>
      <c r="AI125" s="624"/>
      <c r="AJ125" s="188">
        <v>3</v>
      </c>
      <c r="AK125" s="188">
        <v>3172.5782414307037</v>
      </c>
      <c r="AL125" s="185">
        <f t="shared" si="91"/>
        <v>1057.5260804769011</v>
      </c>
      <c r="AM125" s="182">
        <f t="shared" si="92"/>
        <v>4</v>
      </c>
      <c r="AN125" s="624"/>
      <c r="AO125" s="188">
        <v>3</v>
      </c>
      <c r="AP125" s="188">
        <v>3173.170731707316</v>
      </c>
      <c r="AQ125" s="185">
        <f t="shared" si="93"/>
        <v>1057.7235772357719</v>
      </c>
      <c r="AR125" s="182">
        <f t="shared" si="94"/>
        <v>4</v>
      </c>
      <c r="AS125" s="624"/>
      <c r="AT125" s="188">
        <v>3</v>
      </c>
      <c r="AU125" s="188">
        <v>3173.5570469798663</v>
      </c>
      <c r="AV125" s="185">
        <f t="shared" si="95"/>
        <v>1057.8523489932888</v>
      </c>
      <c r="AW125" s="182">
        <f t="shared" si="96"/>
        <v>4</v>
      </c>
      <c r="AX125" s="624"/>
    </row>
    <row r="126" spans="1:50" ht="14.25" customHeight="1">
      <c r="B126" s="564"/>
      <c r="C126" s="180">
        <v>6</v>
      </c>
      <c r="D126" s="183" t="s">
        <v>343</v>
      </c>
      <c r="E126" s="184">
        <v>3</v>
      </c>
      <c r="F126" s="180">
        <v>3000</v>
      </c>
      <c r="G126" s="185">
        <f t="shared" si="83"/>
        <v>1000</v>
      </c>
      <c r="H126" s="625"/>
      <c r="I126" s="186">
        <f t="shared" si="84"/>
        <v>3</v>
      </c>
      <c r="J126" s="186">
        <f t="shared" si="84"/>
        <v>2695.8805868875902</v>
      </c>
      <c r="K126" s="187">
        <f t="shared" si="84"/>
        <v>898.62686229586348</v>
      </c>
      <c r="L126" s="626"/>
      <c r="M126" s="186">
        <f>RANK(K126, K$121:$K$153)</f>
        <v>10</v>
      </c>
      <c r="N126" s="631"/>
      <c r="O126" s="627"/>
      <c r="P126" s="188">
        <v>3</v>
      </c>
      <c r="Q126" s="188">
        <v>2694.8069241011985</v>
      </c>
      <c r="R126" s="185">
        <f t="shared" si="81"/>
        <v>898.26897470039955</v>
      </c>
      <c r="S126" s="182">
        <f t="shared" si="85"/>
        <v>10</v>
      </c>
      <c r="T126" s="624"/>
      <c r="U126" s="188">
        <v>3</v>
      </c>
      <c r="V126" s="188">
        <v>2694.8382656572603</v>
      </c>
      <c r="W126" s="185">
        <f t="shared" si="82"/>
        <v>898.27942188575344</v>
      </c>
      <c r="X126" s="182">
        <f t="shared" si="86"/>
        <v>11</v>
      </c>
      <c r="Y126" s="624"/>
      <c r="Z126" s="188">
        <v>3</v>
      </c>
      <c r="AA126" s="188">
        <v>2694.6921443736728</v>
      </c>
      <c r="AB126" s="185">
        <f t="shared" si="87"/>
        <v>898.23071479122427</v>
      </c>
      <c r="AC126" s="182">
        <f t="shared" si="88"/>
        <v>11</v>
      </c>
      <c r="AD126" s="624"/>
      <c r="AE126" s="188">
        <v>3</v>
      </c>
      <c r="AF126" s="188">
        <v>2695.3110634385534</v>
      </c>
      <c r="AG126" s="185">
        <f t="shared" si="89"/>
        <v>898.43702114618452</v>
      </c>
      <c r="AH126" s="182">
        <f t="shared" si="90"/>
        <v>10</v>
      </c>
      <c r="AI126" s="624"/>
      <c r="AJ126" s="188">
        <v>3</v>
      </c>
      <c r="AK126" s="188">
        <v>2696.8561448078744</v>
      </c>
      <c r="AL126" s="185">
        <f t="shared" si="91"/>
        <v>898.95204826929148</v>
      </c>
      <c r="AM126" s="182">
        <f t="shared" si="92"/>
        <v>9</v>
      </c>
      <c r="AN126" s="624"/>
      <c r="AO126" s="188">
        <v>3</v>
      </c>
      <c r="AP126" s="188">
        <v>2697.1160008545189</v>
      </c>
      <c r="AQ126" s="185">
        <f t="shared" si="93"/>
        <v>899.03866695150634</v>
      </c>
      <c r="AR126" s="182">
        <f t="shared" si="94"/>
        <v>9</v>
      </c>
      <c r="AS126" s="624"/>
      <c r="AT126" s="188">
        <v>3</v>
      </c>
      <c r="AU126" s="188">
        <v>2697.5435649800547</v>
      </c>
      <c r="AV126" s="185">
        <f t="shared" si="95"/>
        <v>899.18118832668495</v>
      </c>
      <c r="AW126" s="182">
        <f t="shared" si="96"/>
        <v>9</v>
      </c>
      <c r="AX126" s="624"/>
    </row>
    <row r="127" spans="1:50" ht="14.25" customHeight="1">
      <c r="B127" s="564"/>
      <c r="C127" s="180">
        <v>7</v>
      </c>
      <c r="D127" s="183" t="s">
        <v>404</v>
      </c>
      <c r="E127" s="184">
        <v>3</v>
      </c>
      <c r="F127" s="180">
        <v>3600</v>
      </c>
      <c r="G127" s="185">
        <f t="shared" si="83"/>
        <v>1200</v>
      </c>
      <c r="H127" s="625"/>
      <c r="I127" s="186">
        <f t="shared" si="84"/>
        <v>3</v>
      </c>
      <c r="J127" s="186">
        <f t="shared" si="84"/>
        <v>3175.2957834125568</v>
      </c>
      <c r="K127" s="187">
        <f t="shared" si="84"/>
        <v>1058.4319278041855</v>
      </c>
      <c r="L127" s="626"/>
      <c r="M127" s="186">
        <f>RANK(K127, K$121:$K$153)</f>
        <v>2</v>
      </c>
      <c r="N127" s="631"/>
      <c r="O127" s="627"/>
      <c r="P127" s="188">
        <v>3</v>
      </c>
      <c r="Q127" s="188">
        <v>3174.6736292428186</v>
      </c>
      <c r="R127" s="185">
        <f t="shared" si="81"/>
        <v>1058.2245430809396</v>
      </c>
      <c r="S127" s="182">
        <f t="shared" si="85"/>
        <v>3</v>
      </c>
      <c r="T127" s="624"/>
      <c r="U127" s="188">
        <v>3</v>
      </c>
      <c r="V127" s="188">
        <v>3175.4716981132074</v>
      </c>
      <c r="W127" s="185">
        <f t="shared" si="82"/>
        <v>1058.4905660377358</v>
      </c>
      <c r="X127" s="182">
        <f t="shared" si="86"/>
        <v>2</v>
      </c>
      <c r="Y127" s="624"/>
      <c r="Z127" s="188">
        <v>3</v>
      </c>
      <c r="AA127" s="188">
        <v>3174.299384825697</v>
      </c>
      <c r="AB127" s="185">
        <f t="shared" si="87"/>
        <v>1058.0997949418991</v>
      </c>
      <c r="AC127" s="182">
        <f t="shared" si="88"/>
        <v>3</v>
      </c>
      <c r="AD127" s="624"/>
      <c r="AE127" s="188">
        <v>3</v>
      </c>
      <c r="AF127" s="188">
        <v>3173.7280296022191</v>
      </c>
      <c r="AG127" s="185">
        <f t="shared" si="89"/>
        <v>1057.9093432007396</v>
      </c>
      <c r="AH127" s="182">
        <f t="shared" si="90"/>
        <v>3</v>
      </c>
      <c r="AI127" s="624"/>
      <c r="AJ127" s="188">
        <v>3</v>
      </c>
      <c r="AK127" s="188">
        <v>3175.4032258064522</v>
      </c>
      <c r="AL127" s="185">
        <f t="shared" si="91"/>
        <v>1058.4677419354841</v>
      </c>
      <c r="AM127" s="182">
        <f t="shared" si="92"/>
        <v>2</v>
      </c>
      <c r="AN127" s="624"/>
      <c r="AO127" s="188">
        <v>3</v>
      </c>
      <c r="AP127" s="188">
        <v>3176.7441860465119</v>
      </c>
      <c r="AQ127" s="185">
        <f t="shared" si="93"/>
        <v>1058.9147286821706</v>
      </c>
      <c r="AR127" s="182">
        <f t="shared" si="94"/>
        <v>2</v>
      </c>
      <c r="AS127" s="624"/>
      <c r="AT127" s="188">
        <v>3</v>
      </c>
      <c r="AU127" s="188">
        <v>3176.7503302509908</v>
      </c>
      <c r="AV127" s="185">
        <f t="shared" si="95"/>
        <v>1058.9167767503302</v>
      </c>
      <c r="AW127" s="182">
        <f t="shared" si="96"/>
        <v>1</v>
      </c>
      <c r="AX127" s="624"/>
    </row>
    <row r="128" spans="1:50" ht="14.25" customHeight="1">
      <c r="B128" s="564"/>
      <c r="C128" s="180">
        <v>8</v>
      </c>
      <c r="D128" s="183" t="s">
        <v>403</v>
      </c>
      <c r="E128" s="184">
        <v>4</v>
      </c>
      <c r="F128" s="180">
        <v>3300</v>
      </c>
      <c r="G128" s="185">
        <f t="shared" si="83"/>
        <v>825</v>
      </c>
      <c r="H128" s="625"/>
      <c r="I128" s="186">
        <f t="shared" si="84"/>
        <v>4</v>
      </c>
      <c r="J128" s="186">
        <f t="shared" si="84"/>
        <v>2939.4963537520271</v>
      </c>
      <c r="K128" s="187">
        <f t="shared" si="84"/>
        <v>734.87408843800677</v>
      </c>
      <c r="L128" s="626"/>
      <c r="M128" s="186">
        <f>RANK(K128, K$121:$K$153)</f>
        <v>17</v>
      </c>
      <c r="N128" s="631"/>
      <c r="O128" s="627"/>
      <c r="P128" s="188">
        <v>4</v>
      </c>
      <c r="Q128" s="188">
        <v>2938.9186556259119</v>
      </c>
      <c r="R128" s="185">
        <f t="shared" si="81"/>
        <v>734.72966390647798</v>
      </c>
      <c r="S128" s="182">
        <f t="shared" si="85"/>
        <v>17</v>
      </c>
      <c r="T128" s="624"/>
      <c r="U128" s="188">
        <v>4</v>
      </c>
      <c r="V128" s="188">
        <v>2939.8832684824879</v>
      </c>
      <c r="W128" s="185">
        <f t="shared" si="82"/>
        <v>734.97081712062197</v>
      </c>
      <c r="X128" s="182">
        <f t="shared" si="86"/>
        <v>17</v>
      </c>
      <c r="Y128" s="624"/>
      <c r="Z128" s="188">
        <v>4</v>
      </c>
      <c r="AA128" s="188">
        <v>2940.4444444444443</v>
      </c>
      <c r="AB128" s="185">
        <f t="shared" si="87"/>
        <v>735.11111111111109</v>
      </c>
      <c r="AC128" s="182">
        <f t="shared" si="88"/>
        <v>16</v>
      </c>
      <c r="AD128" s="624"/>
      <c r="AE128" s="188">
        <v>4</v>
      </c>
      <c r="AF128" s="188">
        <v>2939.1920623671122</v>
      </c>
      <c r="AG128" s="185">
        <f t="shared" si="89"/>
        <v>734.79801559177804</v>
      </c>
      <c r="AH128" s="182">
        <f t="shared" si="90"/>
        <v>17</v>
      </c>
      <c r="AI128" s="624"/>
      <c r="AJ128" s="188">
        <v>4</v>
      </c>
      <c r="AK128" s="188">
        <v>2938.9984825493138</v>
      </c>
      <c r="AL128" s="185">
        <f t="shared" si="91"/>
        <v>734.74962063732846</v>
      </c>
      <c r="AM128" s="182">
        <f t="shared" si="92"/>
        <v>17</v>
      </c>
      <c r="AN128" s="624"/>
      <c r="AO128" s="188">
        <v>4</v>
      </c>
      <c r="AP128" s="188">
        <v>2939.4025604551907</v>
      </c>
      <c r="AQ128" s="185">
        <f t="shared" si="93"/>
        <v>734.85064011379768</v>
      </c>
      <c r="AR128" s="182">
        <f t="shared" si="94"/>
        <v>17</v>
      </c>
      <c r="AS128" s="624"/>
      <c r="AT128" s="188">
        <v>4</v>
      </c>
      <c r="AU128" s="188">
        <v>2939.6350023397285</v>
      </c>
      <c r="AV128" s="185">
        <f t="shared" si="95"/>
        <v>734.90875058493214</v>
      </c>
      <c r="AW128" s="182">
        <f t="shared" si="96"/>
        <v>16</v>
      </c>
      <c r="AX128" s="624"/>
    </row>
    <row r="129" spans="2:50" ht="14.25" customHeight="1">
      <c r="B129" s="564"/>
      <c r="C129" s="180">
        <v>9</v>
      </c>
      <c r="D129" s="183" t="s">
        <v>401</v>
      </c>
      <c r="E129" s="184">
        <v>4</v>
      </c>
      <c r="F129" s="180">
        <v>3300</v>
      </c>
      <c r="G129" s="185">
        <f t="shared" si="83"/>
        <v>825</v>
      </c>
      <c r="H129" s="625"/>
      <c r="I129" s="186">
        <f t="shared" si="84"/>
        <v>4</v>
      </c>
      <c r="J129" s="186">
        <f t="shared" si="84"/>
        <v>2938.3235486109811</v>
      </c>
      <c r="K129" s="187">
        <f t="shared" si="84"/>
        <v>734.58088715274528</v>
      </c>
      <c r="L129" s="626"/>
      <c r="M129" s="186">
        <f>RANK(K129, K$121:$K$153)</f>
        <v>18</v>
      </c>
      <c r="N129" s="631"/>
      <c r="O129" s="627"/>
      <c r="P129" s="188">
        <v>4</v>
      </c>
      <c r="Q129" s="188">
        <v>2938.4554455445518</v>
      </c>
      <c r="R129" s="185">
        <f t="shared" si="81"/>
        <v>734.61386138613796</v>
      </c>
      <c r="S129" s="182">
        <f t="shared" si="85"/>
        <v>18</v>
      </c>
      <c r="T129" s="624"/>
      <c r="U129" s="188">
        <v>4</v>
      </c>
      <c r="V129" s="188">
        <v>2938.2139983909883</v>
      </c>
      <c r="W129" s="185">
        <f t="shared" si="82"/>
        <v>734.55349959774708</v>
      </c>
      <c r="X129" s="182">
        <f t="shared" si="86"/>
        <v>18</v>
      </c>
      <c r="Y129" s="624"/>
      <c r="Z129" s="188">
        <v>4</v>
      </c>
      <c r="AA129" s="188">
        <v>2937.50514615068</v>
      </c>
      <c r="AB129" s="185">
        <f t="shared" si="87"/>
        <v>734.37628653767001</v>
      </c>
      <c r="AC129" s="182">
        <f t="shared" si="88"/>
        <v>19</v>
      </c>
      <c r="AD129" s="624"/>
      <c r="AE129" s="188">
        <v>4</v>
      </c>
      <c r="AF129" s="188">
        <v>2938.3360522022881</v>
      </c>
      <c r="AG129" s="185">
        <f t="shared" si="89"/>
        <v>734.58401305057203</v>
      </c>
      <c r="AH129" s="182">
        <f t="shared" si="90"/>
        <v>18</v>
      </c>
      <c r="AI129" s="624"/>
      <c r="AJ129" s="188">
        <v>4</v>
      </c>
      <c r="AK129" s="188">
        <v>2938.173302107728</v>
      </c>
      <c r="AL129" s="185">
        <f t="shared" si="91"/>
        <v>734.54332552693199</v>
      </c>
      <c r="AM129" s="182">
        <f t="shared" si="92"/>
        <v>18</v>
      </c>
      <c r="AN129" s="624"/>
      <c r="AO129" s="188">
        <v>4</v>
      </c>
      <c r="AP129" s="188">
        <v>2938.8337961126508</v>
      </c>
      <c r="AQ129" s="185">
        <f t="shared" si="93"/>
        <v>734.7084490281627</v>
      </c>
      <c r="AR129" s="182">
        <f t="shared" si="94"/>
        <v>18</v>
      </c>
      <c r="AS129" s="624"/>
      <c r="AT129" s="188">
        <v>4</v>
      </c>
      <c r="AU129" s="188">
        <v>2938.7470997679829</v>
      </c>
      <c r="AV129" s="185">
        <f t="shared" si="95"/>
        <v>734.68677494199574</v>
      </c>
      <c r="AW129" s="182">
        <f t="shared" si="96"/>
        <v>17</v>
      </c>
      <c r="AX129" s="624"/>
    </row>
    <row r="130" spans="2:50" ht="14.25" customHeight="1">
      <c r="B130" s="564"/>
      <c r="C130" s="180">
        <v>10</v>
      </c>
      <c r="D130" s="183" t="s">
        <v>462</v>
      </c>
      <c r="E130" s="184">
        <v>4</v>
      </c>
      <c r="F130" s="180">
        <v>3300</v>
      </c>
      <c r="G130" s="185">
        <f t="shared" si="83"/>
        <v>825</v>
      </c>
      <c r="H130" s="625"/>
      <c r="I130" s="186">
        <f t="shared" si="84"/>
        <v>4</v>
      </c>
      <c r="J130" s="186">
        <f t="shared" si="84"/>
        <v>2970.3736686204338</v>
      </c>
      <c r="K130" s="187">
        <f t="shared" si="84"/>
        <v>742.59341715510845</v>
      </c>
      <c r="L130" s="626"/>
      <c r="M130" s="186">
        <f>RANK(K130, K$121:$K$153)</f>
        <v>14</v>
      </c>
      <c r="N130" s="631"/>
      <c r="O130" s="627"/>
      <c r="P130" s="188">
        <v>4</v>
      </c>
      <c r="Q130" s="188">
        <v>2971.2782745923228</v>
      </c>
      <c r="R130" s="185">
        <f t="shared" si="81"/>
        <v>742.81956864808069</v>
      </c>
      <c r="S130" s="182">
        <f t="shared" si="85"/>
        <v>14</v>
      </c>
      <c r="T130" s="624"/>
      <c r="U130" s="188">
        <v>4</v>
      </c>
      <c r="V130" s="188">
        <v>2970.8920187793465</v>
      </c>
      <c r="W130" s="185">
        <f t="shared" si="82"/>
        <v>742.72300469483662</v>
      </c>
      <c r="X130" s="182">
        <f t="shared" si="86"/>
        <v>14</v>
      </c>
      <c r="Y130" s="624"/>
      <c r="Z130" s="188">
        <v>4</v>
      </c>
      <c r="AA130" s="188">
        <v>2969.8572184029613</v>
      </c>
      <c r="AB130" s="185">
        <f t="shared" si="87"/>
        <v>742.46430460074032</v>
      </c>
      <c r="AC130" s="182">
        <f t="shared" si="88"/>
        <v>15</v>
      </c>
      <c r="AD130" s="624"/>
      <c r="AE130" s="188">
        <v>4</v>
      </c>
      <c r="AF130" s="188">
        <v>2970.2001482579722</v>
      </c>
      <c r="AG130" s="185">
        <f t="shared" si="89"/>
        <v>742.55003706449304</v>
      </c>
      <c r="AH130" s="182">
        <f t="shared" si="90"/>
        <v>14</v>
      </c>
      <c r="AI130" s="624"/>
      <c r="AJ130" s="188">
        <v>4</v>
      </c>
      <c r="AK130" s="188">
        <v>2969.7841726618617</v>
      </c>
      <c r="AL130" s="185">
        <f t="shared" si="91"/>
        <v>742.44604316546543</v>
      </c>
      <c r="AM130" s="182">
        <f t="shared" si="92"/>
        <v>15</v>
      </c>
      <c r="AN130" s="624"/>
      <c r="AO130" s="188">
        <v>4</v>
      </c>
      <c r="AP130" s="188">
        <v>2970.2301790281372</v>
      </c>
      <c r="AQ130" s="185">
        <f t="shared" si="93"/>
        <v>742.55754475703429</v>
      </c>
      <c r="AR130" s="182">
        <f t="shared" si="94"/>
        <v>14</v>
      </c>
      <c r="AS130" s="624"/>
      <c r="AT130" s="188"/>
      <c r="AU130" s="188"/>
      <c r="AV130" s="185"/>
      <c r="AW130" s="182"/>
      <c r="AX130" s="624"/>
    </row>
    <row r="131" spans="2:50" ht="14.25" customHeight="1">
      <c r="B131" s="564"/>
      <c r="C131" s="180">
        <v>11</v>
      </c>
      <c r="D131" s="183" t="s">
        <v>230</v>
      </c>
      <c r="E131" s="184">
        <v>3</v>
      </c>
      <c r="F131" s="180">
        <v>3000</v>
      </c>
      <c r="G131" s="185">
        <f t="shared" si="83"/>
        <v>1000</v>
      </c>
      <c r="H131" s="625"/>
      <c r="I131" s="186">
        <f t="shared" si="84"/>
        <v>3</v>
      </c>
      <c r="J131" s="186">
        <f t="shared" si="84"/>
        <v>2695.9471434985026</v>
      </c>
      <c r="K131" s="187">
        <f t="shared" si="84"/>
        <v>898.64904783283419</v>
      </c>
      <c r="L131" s="626"/>
      <c r="M131" s="186">
        <f>RANK(K131, K$121:$K$153)</f>
        <v>9</v>
      </c>
      <c r="N131" s="631"/>
      <c r="O131" s="627"/>
      <c r="P131" s="188">
        <v>3</v>
      </c>
      <c r="Q131" s="188">
        <v>2695.5796993600243</v>
      </c>
      <c r="R131" s="185">
        <f t="shared" si="81"/>
        <v>898.52656645334139</v>
      </c>
      <c r="S131" s="182">
        <f t="shared" si="85"/>
        <v>9</v>
      </c>
      <c r="T131" s="624"/>
      <c r="U131" s="188">
        <v>3</v>
      </c>
      <c r="V131" s="188">
        <v>2695.5112219451375</v>
      </c>
      <c r="W131" s="185">
        <f t="shared" si="82"/>
        <v>898.50374064837922</v>
      </c>
      <c r="X131" s="182">
        <f t="shared" si="86"/>
        <v>9</v>
      </c>
      <c r="Y131" s="624"/>
      <c r="Z131" s="188">
        <v>3</v>
      </c>
      <c r="AA131" s="188">
        <v>2695.6465656239934</v>
      </c>
      <c r="AB131" s="185">
        <f t="shared" si="87"/>
        <v>898.5488552079978</v>
      </c>
      <c r="AC131" s="182">
        <f t="shared" si="88"/>
        <v>9</v>
      </c>
      <c r="AD131" s="624"/>
      <c r="AE131" s="188">
        <v>3</v>
      </c>
      <c r="AF131" s="188">
        <v>2695.9242486620019</v>
      </c>
      <c r="AG131" s="185">
        <f t="shared" si="89"/>
        <v>898.64141622066734</v>
      </c>
      <c r="AH131" s="182">
        <f t="shared" si="90"/>
        <v>9</v>
      </c>
      <c r="AI131" s="624"/>
      <c r="AJ131" s="188">
        <v>3</v>
      </c>
      <c r="AK131" s="188">
        <v>2696.1538461538444</v>
      </c>
      <c r="AL131" s="185">
        <f t="shared" si="91"/>
        <v>898.71794871794816</v>
      </c>
      <c r="AM131" s="182">
        <f t="shared" si="92"/>
        <v>10</v>
      </c>
      <c r="AN131" s="624"/>
      <c r="AO131" s="188">
        <v>3</v>
      </c>
      <c r="AP131" s="188">
        <v>2696.4623671567906</v>
      </c>
      <c r="AQ131" s="185">
        <f t="shared" si="93"/>
        <v>898.82078905226354</v>
      </c>
      <c r="AR131" s="182">
        <f t="shared" si="94"/>
        <v>10</v>
      </c>
      <c r="AS131" s="624"/>
      <c r="AT131" s="188">
        <v>3</v>
      </c>
      <c r="AU131" s="188">
        <v>2696.3520555877249</v>
      </c>
      <c r="AV131" s="185">
        <f t="shared" si="95"/>
        <v>898.78401852924162</v>
      </c>
      <c r="AW131" s="182">
        <f t="shared" si="96"/>
        <v>11</v>
      </c>
      <c r="AX131" s="624"/>
    </row>
    <row r="132" spans="2:50" ht="14.25" customHeight="1">
      <c r="B132" s="564"/>
      <c r="C132" s="180">
        <v>12</v>
      </c>
      <c r="D132" s="183" t="s">
        <v>481</v>
      </c>
      <c r="E132" s="184">
        <v>12</v>
      </c>
      <c r="F132" s="180">
        <v>3600</v>
      </c>
      <c r="G132" s="185">
        <f t="shared" si="83"/>
        <v>300</v>
      </c>
      <c r="H132" s="625"/>
      <c r="I132" s="186">
        <f t="shared" si="84"/>
        <v>12</v>
      </c>
      <c r="J132" s="186">
        <f t="shared" si="84"/>
        <v>3126.0166342900679</v>
      </c>
      <c r="K132" s="187">
        <f t="shared" si="84"/>
        <v>260.50138619083901</v>
      </c>
      <c r="L132" s="626"/>
      <c r="M132" s="186">
        <f>RANK(K132, K$121:$K$153)</f>
        <v>30</v>
      </c>
      <c r="N132" s="631"/>
      <c r="O132" s="627"/>
      <c r="P132" s="188">
        <v>12</v>
      </c>
      <c r="Q132" s="188">
        <v>3126.5167585914332</v>
      </c>
      <c r="R132" s="185">
        <f t="shared" si="81"/>
        <v>260.54306321595277</v>
      </c>
      <c r="S132" s="182">
        <f t="shared" si="85"/>
        <v>29</v>
      </c>
      <c r="T132" s="624"/>
      <c r="U132" s="188">
        <v>12</v>
      </c>
      <c r="V132" s="188">
        <v>3126.2758329818662</v>
      </c>
      <c r="W132" s="185">
        <f t="shared" si="82"/>
        <v>260.52298608182218</v>
      </c>
      <c r="X132" s="182">
        <f t="shared" si="86"/>
        <v>29</v>
      </c>
      <c r="Y132" s="624"/>
      <c r="Z132" s="188">
        <v>12</v>
      </c>
      <c r="AA132" s="188">
        <v>3126.3576158940409</v>
      </c>
      <c r="AB132" s="185">
        <f t="shared" si="87"/>
        <v>260.52980132450341</v>
      </c>
      <c r="AC132" s="182">
        <f t="shared" si="88"/>
        <v>30</v>
      </c>
      <c r="AD132" s="624"/>
      <c r="AE132" s="188">
        <v>12</v>
      </c>
      <c r="AF132" s="188">
        <v>3125.7847533632221</v>
      </c>
      <c r="AG132" s="185">
        <f t="shared" si="89"/>
        <v>260.48206278026851</v>
      </c>
      <c r="AH132" s="182">
        <f t="shared" si="90"/>
        <v>30</v>
      </c>
      <c r="AI132" s="624"/>
      <c r="AJ132" s="188">
        <v>12</v>
      </c>
      <c r="AK132" s="188">
        <v>3125.531914893616</v>
      </c>
      <c r="AL132" s="185">
        <f t="shared" si="91"/>
        <v>260.46099290780131</v>
      </c>
      <c r="AM132" s="182">
        <f t="shared" si="92"/>
        <v>31</v>
      </c>
      <c r="AN132" s="624"/>
      <c r="AO132" s="188">
        <v>12</v>
      </c>
      <c r="AP132" s="188">
        <v>3125.5698300870281</v>
      </c>
      <c r="AQ132" s="185">
        <f t="shared" si="93"/>
        <v>260.46415250725232</v>
      </c>
      <c r="AR132" s="182">
        <f t="shared" si="94"/>
        <v>30</v>
      </c>
      <c r="AS132" s="624"/>
      <c r="AT132" s="188">
        <v>12</v>
      </c>
      <c r="AU132" s="188">
        <v>3126.0797342192682</v>
      </c>
      <c r="AV132" s="185">
        <f t="shared" si="95"/>
        <v>260.50664451827237</v>
      </c>
      <c r="AW132" s="182">
        <f t="shared" si="96"/>
        <v>29</v>
      </c>
      <c r="AX132" s="624"/>
    </row>
    <row r="133" spans="2:50" ht="14.25" customHeight="1">
      <c r="B133" s="564"/>
      <c r="C133" s="180">
        <v>13</v>
      </c>
      <c r="D133" s="183" t="s">
        <v>516</v>
      </c>
      <c r="E133" s="184">
        <v>3</v>
      </c>
      <c r="F133" s="180">
        <v>3300</v>
      </c>
      <c r="G133" s="185">
        <f t="shared" si="83"/>
        <v>1100</v>
      </c>
      <c r="H133" s="625"/>
      <c r="I133" s="186">
        <f t="shared" si="84"/>
        <v>3</v>
      </c>
      <c r="J133" s="186">
        <f t="shared" si="84"/>
        <v>2971.2782636070538</v>
      </c>
      <c r="K133" s="187">
        <f t="shared" si="84"/>
        <v>990.42608786901769</v>
      </c>
      <c r="L133" s="626"/>
      <c r="M133" s="186">
        <f>RANK(K133, K$121:$K$153)</f>
        <v>8</v>
      </c>
      <c r="N133" s="631"/>
      <c r="O133" s="627"/>
      <c r="P133" s="188">
        <v>3</v>
      </c>
      <c r="Q133" s="188">
        <v>2971.4031180400893</v>
      </c>
      <c r="R133" s="185">
        <f t="shared" si="81"/>
        <v>990.46770601336311</v>
      </c>
      <c r="S133" s="182">
        <f t="shared" si="85"/>
        <v>8</v>
      </c>
      <c r="T133" s="624"/>
      <c r="U133" s="188">
        <v>3</v>
      </c>
      <c r="V133" s="188">
        <v>2971.2958662331644</v>
      </c>
      <c r="W133" s="185">
        <f t="shared" si="82"/>
        <v>990.43195541105479</v>
      </c>
      <c r="X133" s="182">
        <f t="shared" si="86"/>
        <v>8</v>
      </c>
      <c r="Y133" s="624"/>
      <c r="Z133" s="188">
        <v>3</v>
      </c>
      <c r="AA133" s="188">
        <v>2971.3740458015272</v>
      </c>
      <c r="AB133" s="185">
        <f t="shared" si="87"/>
        <v>990.45801526717571</v>
      </c>
      <c r="AC133" s="182">
        <f t="shared" si="88"/>
        <v>8</v>
      </c>
      <c r="AD133" s="624"/>
      <c r="AE133" s="188">
        <v>3</v>
      </c>
      <c r="AF133" s="188">
        <v>2971.4285714285725</v>
      </c>
      <c r="AG133" s="185">
        <f t="shared" si="89"/>
        <v>990.47619047619082</v>
      </c>
      <c r="AH133" s="182">
        <f t="shared" si="90"/>
        <v>8</v>
      </c>
      <c r="AI133" s="624"/>
      <c r="AJ133" s="188">
        <v>3</v>
      </c>
      <c r="AK133" s="188">
        <v>2971.1939355653844</v>
      </c>
      <c r="AL133" s="185">
        <f t="shared" si="91"/>
        <v>990.39797852179481</v>
      </c>
      <c r="AM133" s="182">
        <f t="shared" si="92"/>
        <v>8</v>
      </c>
      <c r="AN133" s="624"/>
      <c r="AO133" s="188">
        <v>3</v>
      </c>
      <c r="AP133" s="188">
        <v>2971.0326910586705</v>
      </c>
      <c r="AQ133" s="185">
        <f t="shared" si="93"/>
        <v>990.34423035289012</v>
      </c>
      <c r="AR133" s="182">
        <f t="shared" si="94"/>
        <v>8</v>
      </c>
      <c r="AS133" s="624"/>
      <c r="AT133" s="188">
        <v>3</v>
      </c>
      <c r="AU133" s="188">
        <v>2971.2196171219643</v>
      </c>
      <c r="AV133" s="185">
        <f t="shared" si="95"/>
        <v>990.40653904065482</v>
      </c>
      <c r="AW133" s="182">
        <f t="shared" si="96"/>
        <v>8</v>
      </c>
      <c r="AX133" s="624"/>
    </row>
    <row r="134" spans="2:50" ht="14.25" customHeight="1">
      <c r="B134" s="564"/>
      <c r="C134" s="180">
        <v>14</v>
      </c>
      <c r="D134" s="183" t="s">
        <v>546</v>
      </c>
      <c r="E134" s="184">
        <v>5</v>
      </c>
      <c r="F134" s="180">
        <v>3300</v>
      </c>
      <c r="G134" s="185">
        <f t="shared" si="83"/>
        <v>660</v>
      </c>
      <c r="H134" s="625"/>
      <c r="I134" s="186">
        <f t="shared" si="84"/>
        <v>5</v>
      </c>
      <c r="J134" s="186">
        <f t="shared" si="84"/>
        <v>2969.6480028466958</v>
      </c>
      <c r="K134" s="187">
        <f t="shared" si="84"/>
        <v>593.92960056933919</v>
      </c>
      <c r="L134" s="626"/>
      <c r="M134" s="186">
        <f>RANK(K134, K$121:$K$153)</f>
        <v>25</v>
      </c>
      <c r="N134" s="631"/>
      <c r="O134" s="627"/>
      <c r="P134" s="188">
        <v>5</v>
      </c>
      <c r="Q134" s="188">
        <v>2969.0721649484499</v>
      </c>
      <c r="R134" s="185">
        <f t="shared" si="81"/>
        <v>593.81443298968998</v>
      </c>
      <c r="S134" s="182">
        <f t="shared" si="85"/>
        <v>25</v>
      </c>
      <c r="T134" s="624"/>
      <c r="U134" s="188">
        <v>5</v>
      </c>
      <c r="V134" s="188">
        <v>2969.440993788819</v>
      </c>
      <c r="W134" s="185">
        <f t="shared" si="82"/>
        <v>593.8881987577638</v>
      </c>
      <c r="X134" s="182">
        <f t="shared" si="86"/>
        <v>25</v>
      </c>
      <c r="Y134" s="624"/>
      <c r="Z134" s="188">
        <v>5</v>
      </c>
      <c r="AA134" s="188">
        <v>2969.7049180327863</v>
      </c>
      <c r="AB134" s="185">
        <f t="shared" si="87"/>
        <v>593.94098360655721</v>
      </c>
      <c r="AC134" s="182">
        <f t="shared" si="88"/>
        <v>25</v>
      </c>
      <c r="AD134" s="624"/>
      <c r="AE134" s="188">
        <v>5</v>
      </c>
      <c r="AF134" s="188">
        <v>2969.6629213483038</v>
      </c>
      <c r="AG134" s="185">
        <f t="shared" si="89"/>
        <v>593.93258426966077</v>
      </c>
      <c r="AH134" s="182">
        <f t="shared" si="90"/>
        <v>25</v>
      </c>
      <c r="AI134" s="624"/>
      <c r="AJ134" s="188">
        <v>5</v>
      </c>
      <c r="AK134" s="188">
        <v>2969.7099892588508</v>
      </c>
      <c r="AL134" s="185">
        <f t="shared" si="91"/>
        <v>593.94199785177011</v>
      </c>
      <c r="AM134" s="182">
        <f t="shared" si="92"/>
        <v>25</v>
      </c>
      <c r="AN134" s="624"/>
      <c r="AO134" s="188">
        <v>5</v>
      </c>
      <c r="AP134" s="188">
        <v>2970.2970297029669</v>
      </c>
      <c r="AQ134" s="185">
        <f t="shared" si="93"/>
        <v>594.05940594059336</v>
      </c>
      <c r="AR134" s="182">
        <f t="shared" si="94"/>
        <v>25</v>
      </c>
      <c r="AS134" s="624"/>
      <c r="AT134" s="188"/>
      <c r="AU134" s="188"/>
      <c r="AV134" s="185"/>
      <c r="AW134" s="182"/>
      <c r="AX134" s="624"/>
    </row>
    <row r="135" spans="2:50" ht="14.25" customHeight="1">
      <c r="B135" s="564"/>
      <c r="C135" s="180">
        <v>15</v>
      </c>
      <c r="D135" s="183" t="s">
        <v>415</v>
      </c>
      <c r="E135" s="184">
        <v>5</v>
      </c>
      <c r="F135" s="180">
        <v>3600</v>
      </c>
      <c r="G135" s="185">
        <f t="shared" si="83"/>
        <v>720</v>
      </c>
      <c r="H135" s="625"/>
      <c r="I135" s="186">
        <f t="shared" si="84"/>
        <v>5</v>
      </c>
      <c r="J135" s="186">
        <f t="shared" si="84"/>
        <v>3170.474966676582</v>
      </c>
      <c r="K135" s="187">
        <f t="shared" si="84"/>
        <v>634.09499333531653</v>
      </c>
      <c r="L135" s="626"/>
      <c r="M135" s="186">
        <f>RANK(K135, K$121:$K$153)</f>
        <v>24</v>
      </c>
      <c r="N135" s="631"/>
      <c r="O135" s="627"/>
      <c r="P135" s="188">
        <v>5</v>
      </c>
      <c r="Q135" s="188">
        <v>3170.4152140576352</v>
      </c>
      <c r="R135" s="185">
        <f t="shared" si="81"/>
        <v>634.08304281152709</v>
      </c>
      <c r="S135" s="182">
        <f t="shared" si="85"/>
        <v>24</v>
      </c>
      <c r="T135" s="624"/>
      <c r="U135" s="188">
        <v>5</v>
      </c>
      <c r="V135" s="188">
        <v>3170.7738255746208</v>
      </c>
      <c r="W135" s="185">
        <f t="shared" si="82"/>
        <v>634.1547651149242</v>
      </c>
      <c r="X135" s="182">
        <f t="shared" si="86"/>
        <v>24</v>
      </c>
      <c r="Y135" s="624"/>
      <c r="Z135" s="188">
        <v>5</v>
      </c>
      <c r="AA135" s="188">
        <v>3170.5156929767059</v>
      </c>
      <c r="AB135" s="185">
        <f t="shared" si="87"/>
        <v>634.10313859534119</v>
      </c>
      <c r="AC135" s="182">
        <f t="shared" si="88"/>
        <v>24</v>
      </c>
      <c r="AD135" s="624"/>
      <c r="AE135" s="188">
        <v>5</v>
      </c>
      <c r="AF135" s="188">
        <v>3170.4451002611827</v>
      </c>
      <c r="AG135" s="185">
        <f t="shared" si="89"/>
        <v>634.08902005223649</v>
      </c>
      <c r="AH135" s="182">
        <f t="shared" si="90"/>
        <v>24</v>
      </c>
      <c r="AI135" s="624"/>
      <c r="AJ135" s="188">
        <v>5</v>
      </c>
      <c r="AK135" s="188">
        <v>3170.1901999064844</v>
      </c>
      <c r="AL135" s="185">
        <f t="shared" si="91"/>
        <v>634.03803998129683</v>
      </c>
      <c r="AM135" s="182">
        <f t="shared" si="92"/>
        <v>24</v>
      </c>
      <c r="AN135" s="624"/>
      <c r="AO135" s="188">
        <v>5</v>
      </c>
      <c r="AP135" s="188">
        <v>3170.3225244056457</v>
      </c>
      <c r="AQ135" s="185">
        <f t="shared" si="93"/>
        <v>634.0645048811291</v>
      </c>
      <c r="AR135" s="182">
        <f t="shared" si="94"/>
        <v>24</v>
      </c>
      <c r="AS135" s="624"/>
      <c r="AT135" s="188">
        <v>5</v>
      </c>
      <c r="AU135" s="188">
        <v>3170.6622095538019</v>
      </c>
      <c r="AV135" s="185">
        <f t="shared" si="95"/>
        <v>634.13244191076035</v>
      </c>
      <c r="AW135" s="182">
        <f t="shared" si="96"/>
        <v>23</v>
      </c>
      <c r="AX135" s="624"/>
    </row>
    <row r="136" spans="2:50" ht="14.25" customHeight="1">
      <c r="B136" s="564"/>
      <c r="C136" s="180">
        <v>16</v>
      </c>
      <c r="D136" s="183" t="s">
        <v>414</v>
      </c>
      <c r="E136" s="184">
        <v>3</v>
      </c>
      <c r="F136" s="180">
        <v>3600</v>
      </c>
      <c r="G136" s="185">
        <f t="shared" si="83"/>
        <v>1200</v>
      </c>
      <c r="H136" s="625"/>
      <c r="I136" s="186">
        <f t="shared" si="84"/>
        <v>3</v>
      </c>
      <c r="J136" s="186">
        <f t="shared" si="84"/>
        <v>3171.518869892273</v>
      </c>
      <c r="K136" s="187">
        <f t="shared" si="84"/>
        <v>1057.1729566307577</v>
      </c>
      <c r="L136" s="626"/>
      <c r="M136" s="186">
        <f>RANK(K136, K$121:$K$153)</f>
        <v>5</v>
      </c>
      <c r="N136" s="631"/>
      <c r="O136" s="627"/>
      <c r="P136" s="188">
        <v>3</v>
      </c>
      <c r="Q136" s="188">
        <v>3170.6310166575495</v>
      </c>
      <c r="R136" s="185">
        <f t="shared" si="81"/>
        <v>1056.8770055525165</v>
      </c>
      <c r="S136" s="182">
        <f t="shared" si="85"/>
        <v>6</v>
      </c>
      <c r="T136" s="624"/>
      <c r="U136" s="188">
        <v>3</v>
      </c>
      <c r="V136" s="188">
        <v>3170.9374192715068</v>
      </c>
      <c r="W136" s="185">
        <f t="shared" si="82"/>
        <v>1056.9791397571689</v>
      </c>
      <c r="X136" s="182">
        <f t="shared" si="86"/>
        <v>6</v>
      </c>
      <c r="Y136" s="624"/>
      <c r="Z136" s="188">
        <v>3</v>
      </c>
      <c r="AA136" s="188">
        <v>3170.5845313287109</v>
      </c>
      <c r="AB136" s="185">
        <f t="shared" si="87"/>
        <v>1056.8615104429036</v>
      </c>
      <c r="AC136" s="182">
        <f t="shared" si="88"/>
        <v>7</v>
      </c>
      <c r="AD136" s="624"/>
      <c r="AE136" s="188">
        <v>3</v>
      </c>
      <c r="AF136" s="188">
        <v>3170.7032784547655</v>
      </c>
      <c r="AG136" s="185">
        <f t="shared" si="89"/>
        <v>1056.9010928182552</v>
      </c>
      <c r="AH136" s="182">
        <f t="shared" si="90"/>
        <v>6</v>
      </c>
      <c r="AI136" s="624"/>
      <c r="AJ136" s="188">
        <v>3</v>
      </c>
      <c r="AK136" s="188">
        <v>3171.7261648652893</v>
      </c>
      <c r="AL136" s="185">
        <f t="shared" si="91"/>
        <v>1057.2420549550964</v>
      </c>
      <c r="AM136" s="182">
        <f t="shared" si="92"/>
        <v>5</v>
      </c>
      <c r="AN136" s="624"/>
      <c r="AO136" s="188">
        <v>3</v>
      </c>
      <c r="AP136" s="188">
        <v>3172.5639455933729</v>
      </c>
      <c r="AQ136" s="185">
        <f t="shared" si="93"/>
        <v>1057.521315197791</v>
      </c>
      <c r="AR136" s="182">
        <f t="shared" si="94"/>
        <v>5</v>
      </c>
      <c r="AS136" s="624"/>
      <c r="AT136" s="188">
        <v>3</v>
      </c>
      <c r="AU136" s="188">
        <v>3173.4857330747163</v>
      </c>
      <c r="AV136" s="185">
        <f t="shared" si="95"/>
        <v>1057.828577691572</v>
      </c>
      <c r="AW136" s="182">
        <f t="shared" si="96"/>
        <v>5</v>
      </c>
      <c r="AX136" s="624"/>
    </row>
    <row r="137" spans="2:50" ht="14.25" customHeight="1">
      <c r="B137" s="564"/>
      <c r="C137" s="180">
        <v>17</v>
      </c>
      <c r="D137" s="183" t="s">
        <v>416</v>
      </c>
      <c r="E137" s="184">
        <v>4</v>
      </c>
      <c r="F137" s="180">
        <v>3600</v>
      </c>
      <c r="G137" s="185">
        <f t="shared" si="83"/>
        <v>900</v>
      </c>
      <c r="H137" s="625"/>
      <c r="I137" s="186">
        <f t="shared" si="84"/>
        <v>4</v>
      </c>
      <c r="J137" s="186">
        <f t="shared" si="84"/>
        <v>3170.2159763337395</v>
      </c>
      <c r="K137" s="187">
        <f t="shared" si="84"/>
        <v>792.55399408343487</v>
      </c>
      <c r="L137" s="626"/>
      <c r="M137" s="186">
        <f>RANK(K137, K$121:$K$153)</f>
        <v>13</v>
      </c>
      <c r="N137" s="631"/>
      <c r="O137" s="627"/>
      <c r="P137" s="188">
        <v>4</v>
      </c>
      <c r="Q137" s="188">
        <v>3169.6508958733903</v>
      </c>
      <c r="R137" s="185">
        <f t="shared" si="81"/>
        <v>792.41272396834756</v>
      </c>
      <c r="S137" s="182">
        <f t="shared" si="85"/>
        <v>13</v>
      </c>
      <c r="T137" s="624"/>
      <c r="U137" s="188">
        <v>4</v>
      </c>
      <c r="V137" s="188">
        <v>3169.0675864910581</v>
      </c>
      <c r="W137" s="185">
        <f t="shared" si="82"/>
        <v>792.26689662276453</v>
      </c>
      <c r="X137" s="182">
        <f t="shared" si="86"/>
        <v>13</v>
      </c>
      <c r="Y137" s="624"/>
      <c r="Z137" s="188">
        <v>4</v>
      </c>
      <c r="AA137" s="188">
        <v>3169.0074949107347</v>
      </c>
      <c r="AB137" s="185">
        <f t="shared" si="87"/>
        <v>792.25187372768369</v>
      </c>
      <c r="AC137" s="182">
        <f t="shared" si="88"/>
        <v>13</v>
      </c>
      <c r="AD137" s="624"/>
      <c r="AE137" s="188">
        <v>4</v>
      </c>
      <c r="AF137" s="188">
        <v>3167.7140573323913</v>
      </c>
      <c r="AG137" s="185">
        <f t="shared" si="89"/>
        <v>791.92851433309784</v>
      </c>
      <c r="AH137" s="182">
        <f t="shared" si="90"/>
        <v>13</v>
      </c>
      <c r="AI137" s="624"/>
      <c r="AJ137" s="188">
        <v>4</v>
      </c>
      <c r="AK137" s="188">
        <v>3167.4623738905075</v>
      </c>
      <c r="AL137" s="185">
        <f t="shared" si="91"/>
        <v>791.86559347262687</v>
      </c>
      <c r="AM137" s="182">
        <f t="shared" si="92"/>
        <v>13</v>
      </c>
      <c r="AN137" s="624"/>
      <c r="AO137" s="188">
        <v>4</v>
      </c>
      <c r="AP137" s="188">
        <v>3172.1081436790264</v>
      </c>
      <c r="AQ137" s="185">
        <f t="shared" si="93"/>
        <v>793.0270359197566</v>
      </c>
      <c r="AR137" s="182">
        <f t="shared" si="94"/>
        <v>12</v>
      </c>
      <c r="AS137" s="624"/>
      <c r="AT137" s="188">
        <v>4</v>
      </c>
      <c r="AU137" s="188">
        <v>3176.5012821590672</v>
      </c>
      <c r="AV137" s="185">
        <f t="shared" si="95"/>
        <v>794.12532053976679</v>
      </c>
      <c r="AW137" s="182">
        <f t="shared" si="96"/>
        <v>12</v>
      </c>
      <c r="AX137" s="624"/>
    </row>
    <row r="138" spans="2:50" ht="14.25" customHeight="1">
      <c r="B138" s="564"/>
      <c r="C138" s="180">
        <v>18</v>
      </c>
      <c r="D138" s="183" t="s">
        <v>348</v>
      </c>
      <c r="E138" s="184">
        <v>5</v>
      </c>
      <c r="F138" s="180">
        <v>3300</v>
      </c>
      <c r="G138" s="185">
        <f t="shared" si="83"/>
        <v>660</v>
      </c>
      <c r="H138" s="625"/>
      <c r="I138" s="186">
        <f t="shared" si="84"/>
        <v>5</v>
      </c>
      <c r="J138" s="186">
        <f t="shared" si="84"/>
        <v>2937.3799119847968</v>
      </c>
      <c r="K138" s="187">
        <f t="shared" si="84"/>
        <v>587.47598239695924</v>
      </c>
      <c r="L138" s="626"/>
      <c r="M138" s="186">
        <f>RANK(K138, K$121:$K$153)</f>
        <v>27</v>
      </c>
      <c r="N138" s="631"/>
      <c r="O138" s="627"/>
      <c r="P138" s="188">
        <v>5</v>
      </c>
      <c r="Q138" s="188">
        <v>2938.9087348961348</v>
      </c>
      <c r="R138" s="185">
        <f t="shared" si="81"/>
        <v>587.78174697922691</v>
      </c>
      <c r="S138" s="182">
        <f t="shared" si="85"/>
        <v>27</v>
      </c>
      <c r="T138" s="624"/>
      <c r="U138" s="188">
        <v>5</v>
      </c>
      <c r="V138" s="188">
        <v>2938.661326943552</v>
      </c>
      <c r="W138" s="185">
        <f t="shared" si="82"/>
        <v>587.7322653887104</v>
      </c>
      <c r="X138" s="182">
        <f t="shared" si="86"/>
        <v>27</v>
      </c>
      <c r="Y138" s="624"/>
      <c r="Z138" s="188">
        <v>5</v>
      </c>
      <c r="AA138" s="188">
        <v>2936.711656441732</v>
      </c>
      <c r="AB138" s="185">
        <f t="shared" si="87"/>
        <v>587.34233128834637</v>
      </c>
      <c r="AC138" s="182">
        <f t="shared" si="88"/>
        <v>27</v>
      </c>
      <c r="AD138" s="624"/>
      <c r="AE138" s="188">
        <v>5</v>
      </c>
      <c r="AF138" s="188">
        <v>2935.3255069370348</v>
      </c>
      <c r="AG138" s="185">
        <f t="shared" si="89"/>
        <v>587.06510138740691</v>
      </c>
      <c r="AH138" s="182">
        <f t="shared" si="90"/>
        <v>27</v>
      </c>
      <c r="AI138" s="624"/>
      <c r="AJ138" s="188">
        <v>5</v>
      </c>
      <c r="AK138" s="188">
        <v>2936.4150251419305</v>
      </c>
      <c r="AL138" s="185">
        <f t="shared" si="91"/>
        <v>587.28300502838613</v>
      </c>
      <c r="AM138" s="182">
        <f t="shared" si="92"/>
        <v>27</v>
      </c>
      <c r="AN138" s="624"/>
      <c r="AO138" s="188">
        <v>5</v>
      </c>
      <c r="AP138" s="188">
        <v>2936.9645671615053</v>
      </c>
      <c r="AQ138" s="185">
        <f t="shared" si="93"/>
        <v>587.39291343230104</v>
      </c>
      <c r="AR138" s="182">
        <f t="shared" si="94"/>
        <v>27</v>
      </c>
      <c r="AS138" s="624"/>
      <c r="AT138" s="188">
        <v>5</v>
      </c>
      <c r="AU138" s="188">
        <v>2938.6725663716898</v>
      </c>
      <c r="AV138" s="185">
        <f t="shared" si="95"/>
        <v>587.73451327433793</v>
      </c>
      <c r="AW138" s="182">
        <f t="shared" si="96"/>
        <v>25</v>
      </c>
      <c r="AX138" s="624"/>
    </row>
    <row r="139" spans="2:50" ht="14.25" customHeight="1">
      <c r="B139" s="564"/>
      <c r="C139" s="180">
        <v>19</v>
      </c>
      <c r="D139" s="183" t="s">
        <v>409</v>
      </c>
      <c r="E139" s="184">
        <v>3</v>
      </c>
      <c r="F139" s="180">
        <v>3600</v>
      </c>
      <c r="G139" s="185">
        <f t="shared" si="83"/>
        <v>1200</v>
      </c>
      <c r="H139" s="625"/>
      <c r="I139" s="186">
        <f t="shared" si="84"/>
        <v>3</v>
      </c>
      <c r="J139" s="186">
        <f t="shared" si="84"/>
        <v>3175.1030416358312</v>
      </c>
      <c r="K139" s="187">
        <f t="shared" si="84"/>
        <v>1058.3676805452772</v>
      </c>
      <c r="L139" s="626"/>
      <c r="M139" s="186">
        <f>RANK(K139, K$121:$K$153)</f>
        <v>3</v>
      </c>
      <c r="N139" s="631"/>
      <c r="O139" s="627"/>
      <c r="P139" s="188">
        <v>3</v>
      </c>
      <c r="Q139" s="188">
        <v>3175.3068441855603</v>
      </c>
      <c r="R139" s="185">
        <f t="shared" si="81"/>
        <v>1058.43561472852</v>
      </c>
      <c r="S139" s="182">
        <f t="shared" si="85"/>
        <v>2</v>
      </c>
      <c r="T139" s="624"/>
      <c r="U139" s="188">
        <v>3</v>
      </c>
      <c r="V139" s="188">
        <v>3174.8803090664951</v>
      </c>
      <c r="W139" s="185">
        <f t="shared" si="82"/>
        <v>1058.2934363554984</v>
      </c>
      <c r="X139" s="182">
        <f t="shared" si="86"/>
        <v>3</v>
      </c>
      <c r="Y139" s="624"/>
      <c r="Z139" s="188">
        <v>3</v>
      </c>
      <c r="AA139" s="188">
        <v>3174.6741850190756</v>
      </c>
      <c r="AB139" s="185">
        <f t="shared" si="87"/>
        <v>1058.2247283396919</v>
      </c>
      <c r="AC139" s="182">
        <f t="shared" si="88"/>
        <v>2</v>
      </c>
      <c r="AD139" s="624"/>
      <c r="AE139" s="188">
        <v>3</v>
      </c>
      <c r="AF139" s="188">
        <v>3174.5581523993978</v>
      </c>
      <c r="AG139" s="185">
        <f t="shared" si="89"/>
        <v>1058.1860507997992</v>
      </c>
      <c r="AH139" s="182">
        <f t="shared" si="90"/>
        <v>2</v>
      </c>
      <c r="AI139" s="624"/>
      <c r="AJ139" s="188">
        <v>3</v>
      </c>
      <c r="AK139" s="188">
        <v>3175.0892960018246</v>
      </c>
      <c r="AL139" s="185">
        <f t="shared" si="91"/>
        <v>1058.3630986672749</v>
      </c>
      <c r="AM139" s="182">
        <f t="shared" si="92"/>
        <v>3</v>
      </c>
      <c r="AN139" s="624"/>
      <c r="AO139" s="188">
        <v>3</v>
      </c>
      <c r="AP139" s="188">
        <v>3175.5639402679217</v>
      </c>
      <c r="AQ139" s="185">
        <f t="shared" si="93"/>
        <v>1058.5213134226406</v>
      </c>
      <c r="AR139" s="182">
        <f t="shared" si="94"/>
        <v>3</v>
      </c>
      <c r="AS139" s="624"/>
      <c r="AT139" s="188">
        <v>3</v>
      </c>
      <c r="AU139" s="188">
        <v>3175.6485645105463</v>
      </c>
      <c r="AV139" s="185">
        <f t="shared" si="95"/>
        <v>1058.5495215035155</v>
      </c>
      <c r="AW139" s="182">
        <f t="shared" si="96"/>
        <v>2</v>
      </c>
      <c r="AX139" s="624"/>
    </row>
    <row r="140" spans="2:50" ht="14.25" customHeight="1">
      <c r="B140" s="564"/>
      <c r="C140" s="180">
        <v>20</v>
      </c>
      <c r="D140" s="183" t="s">
        <v>413</v>
      </c>
      <c r="E140" s="184">
        <v>3</v>
      </c>
      <c r="F140" s="180">
        <v>3600</v>
      </c>
      <c r="G140" s="185">
        <f t="shared" si="83"/>
        <v>1200</v>
      </c>
      <c r="H140" s="625"/>
      <c r="I140" s="186">
        <f t="shared" si="84"/>
        <v>3</v>
      </c>
      <c r="J140" s="186">
        <f t="shared" si="84"/>
        <v>3171.1594282440806</v>
      </c>
      <c r="K140" s="187">
        <f t="shared" si="84"/>
        <v>1057.0531427480269</v>
      </c>
      <c r="L140" s="626"/>
      <c r="M140" s="186">
        <f>RANK(K140, K$121:$K$153)</f>
        <v>6</v>
      </c>
      <c r="N140" s="631"/>
      <c r="O140" s="627"/>
      <c r="P140" s="188">
        <v>3</v>
      </c>
      <c r="Q140" s="188">
        <v>3171.3216957606082</v>
      </c>
      <c r="R140" s="185">
        <f t="shared" si="81"/>
        <v>1057.1072319202028</v>
      </c>
      <c r="S140" s="182">
        <f t="shared" si="85"/>
        <v>5</v>
      </c>
      <c r="T140" s="624"/>
      <c r="U140" s="188">
        <v>3</v>
      </c>
      <c r="V140" s="188">
        <v>3171.2665406427245</v>
      </c>
      <c r="W140" s="185">
        <f t="shared" si="82"/>
        <v>1057.0888468809082</v>
      </c>
      <c r="X140" s="182">
        <f t="shared" si="86"/>
        <v>5</v>
      </c>
      <c r="Y140" s="624"/>
      <c r="Z140" s="188">
        <v>3</v>
      </c>
      <c r="AA140" s="188">
        <v>3172.6866624122686</v>
      </c>
      <c r="AB140" s="185">
        <f t="shared" si="87"/>
        <v>1057.5622208040895</v>
      </c>
      <c r="AC140" s="182">
        <f t="shared" si="88"/>
        <v>4</v>
      </c>
      <c r="AD140" s="624"/>
      <c r="AE140" s="188">
        <v>3</v>
      </c>
      <c r="AF140" s="188">
        <v>3170.5654531371097</v>
      </c>
      <c r="AG140" s="185">
        <f t="shared" si="89"/>
        <v>1056.8551510457032</v>
      </c>
      <c r="AH140" s="182">
        <f t="shared" si="90"/>
        <v>7</v>
      </c>
      <c r="AI140" s="624"/>
      <c r="AJ140" s="188">
        <v>3</v>
      </c>
      <c r="AK140" s="188">
        <v>3170.6862091938683</v>
      </c>
      <c r="AL140" s="185">
        <f t="shared" si="91"/>
        <v>1056.8954030646228</v>
      </c>
      <c r="AM140" s="182">
        <f t="shared" si="92"/>
        <v>7</v>
      </c>
      <c r="AN140" s="624"/>
      <c r="AO140" s="188">
        <v>3</v>
      </c>
      <c r="AP140" s="188">
        <v>3170.8029197080332</v>
      </c>
      <c r="AQ140" s="185">
        <f t="shared" si="93"/>
        <v>1056.9343065693445</v>
      </c>
      <c r="AR140" s="182">
        <f t="shared" si="94"/>
        <v>7</v>
      </c>
      <c r="AS140" s="624"/>
      <c r="AT140" s="188">
        <v>3</v>
      </c>
      <c r="AU140" s="188">
        <v>3170.7865168539497</v>
      </c>
      <c r="AV140" s="185">
        <f t="shared" si="95"/>
        <v>1056.9288389513165</v>
      </c>
      <c r="AW140" s="182">
        <f t="shared" si="96"/>
        <v>7</v>
      </c>
      <c r="AX140" s="624"/>
    </row>
    <row r="141" spans="2:50" ht="14.25" customHeight="1">
      <c r="B141" s="564"/>
      <c r="C141" s="180">
        <v>21</v>
      </c>
      <c r="D141" s="183" t="s">
        <v>412</v>
      </c>
      <c r="E141" s="184">
        <v>4</v>
      </c>
      <c r="F141" s="180">
        <v>3300</v>
      </c>
      <c r="G141" s="185">
        <f t="shared" si="83"/>
        <v>825</v>
      </c>
      <c r="H141" s="625"/>
      <c r="I141" s="186">
        <f t="shared" si="84"/>
        <v>4</v>
      </c>
      <c r="J141" s="186">
        <f t="shared" si="84"/>
        <v>2940.054026015885</v>
      </c>
      <c r="K141" s="187">
        <f t="shared" si="84"/>
        <v>735.01350650397126</v>
      </c>
      <c r="L141" s="626"/>
      <c r="M141" s="186">
        <f>RANK(K141, K$121:$K$153)</f>
        <v>16</v>
      </c>
      <c r="N141" s="631"/>
      <c r="O141" s="627"/>
      <c r="P141" s="188">
        <v>4</v>
      </c>
      <c r="Q141" s="188">
        <v>2940.1649297149124</v>
      </c>
      <c r="R141" s="185">
        <f t="shared" si="81"/>
        <v>735.04123242872811</v>
      </c>
      <c r="S141" s="182">
        <f t="shared" si="85"/>
        <v>16</v>
      </c>
      <c r="T141" s="624"/>
      <c r="U141" s="188">
        <v>4</v>
      </c>
      <c r="V141" s="188">
        <v>2940.1194899086177</v>
      </c>
      <c r="W141" s="185">
        <f t="shared" si="82"/>
        <v>735.02987247715441</v>
      </c>
      <c r="X141" s="182">
        <f t="shared" si="86"/>
        <v>16</v>
      </c>
      <c r="Y141" s="624"/>
      <c r="Z141" s="188">
        <v>4</v>
      </c>
      <c r="AA141" s="188">
        <v>2939.3187223566738</v>
      </c>
      <c r="AB141" s="185">
        <f t="shared" si="87"/>
        <v>734.82968058916845</v>
      </c>
      <c r="AC141" s="182">
        <f t="shared" si="88"/>
        <v>17</v>
      </c>
      <c r="AD141" s="624"/>
      <c r="AE141" s="188">
        <v>4</v>
      </c>
      <c r="AF141" s="188">
        <v>2940.013058704817</v>
      </c>
      <c r="AG141" s="185">
        <f t="shared" si="89"/>
        <v>735.00326467620425</v>
      </c>
      <c r="AH141" s="182">
        <f t="shared" si="90"/>
        <v>16</v>
      </c>
      <c r="AI141" s="624"/>
      <c r="AJ141" s="188">
        <v>4</v>
      </c>
      <c r="AK141" s="188">
        <v>2939.788755442275</v>
      </c>
      <c r="AL141" s="185">
        <f t="shared" si="91"/>
        <v>734.94718886056876</v>
      </c>
      <c r="AM141" s="182">
        <f t="shared" si="92"/>
        <v>16</v>
      </c>
      <c r="AN141" s="624"/>
      <c r="AO141" s="188">
        <v>4</v>
      </c>
      <c r="AP141" s="188">
        <v>2940.3194263363757</v>
      </c>
      <c r="AQ141" s="185">
        <f t="shared" si="93"/>
        <v>735.07985658409393</v>
      </c>
      <c r="AR141" s="182">
        <f t="shared" si="94"/>
        <v>16</v>
      </c>
      <c r="AS141" s="624"/>
      <c r="AT141" s="188">
        <v>4</v>
      </c>
      <c r="AU141" s="188">
        <v>2940.6537996475245</v>
      </c>
      <c r="AV141" s="185">
        <f t="shared" si="95"/>
        <v>735.16344991188112</v>
      </c>
      <c r="AW141" s="182">
        <f t="shared" si="96"/>
        <v>15</v>
      </c>
      <c r="AX141" s="624"/>
    </row>
    <row r="142" spans="2:50" ht="14.25" customHeight="1">
      <c r="B142" s="564"/>
      <c r="C142" s="180">
        <v>22</v>
      </c>
      <c r="D142" s="183" t="s">
        <v>408</v>
      </c>
      <c r="E142" s="184">
        <v>4</v>
      </c>
      <c r="F142" s="180">
        <v>3300</v>
      </c>
      <c r="G142" s="185">
        <f>F142/E142</f>
        <v>825</v>
      </c>
      <c r="H142" s="625"/>
      <c r="I142" s="186">
        <f t="shared" si="84"/>
        <v>4</v>
      </c>
      <c r="J142" s="186">
        <f t="shared" si="84"/>
        <v>2937.215279514659</v>
      </c>
      <c r="K142" s="187">
        <f t="shared" si="84"/>
        <v>734.30381987866474</v>
      </c>
      <c r="L142" s="626"/>
      <c r="M142" s="186">
        <f>RANK(K142, K$121:$K$153)</f>
        <v>19</v>
      </c>
      <c r="N142" s="631"/>
      <c r="O142" s="627"/>
      <c r="P142" s="188">
        <v>4</v>
      </c>
      <c r="Q142" s="188">
        <v>2937.5598086124396</v>
      </c>
      <c r="R142" s="185">
        <f t="shared" si="81"/>
        <v>734.3899521531099</v>
      </c>
      <c r="S142" s="182">
        <f t="shared" si="85"/>
        <v>19</v>
      </c>
      <c r="T142" s="624"/>
      <c r="U142" s="188">
        <v>4</v>
      </c>
      <c r="V142" s="188">
        <v>2937.7628292341933</v>
      </c>
      <c r="W142" s="185">
        <f t="shared" si="82"/>
        <v>734.44070730854833</v>
      </c>
      <c r="X142" s="182">
        <f t="shared" si="86"/>
        <v>19</v>
      </c>
      <c r="Y142" s="624"/>
      <c r="Z142" s="188">
        <v>4</v>
      </c>
      <c r="AA142" s="188">
        <v>2937.9896877794481</v>
      </c>
      <c r="AB142" s="185">
        <f t="shared" si="87"/>
        <v>734.49742194486203</v>
      </c>
      <c r="AC142" s="182">
        <f t="shared" si="88"/>
        <v>18</v>
      </c>
      <c r="AD142" s="624"/>
      <c r="AE142" s="188">
        <v>4</v>
      </c>
      <c r="AF142" s="188">
        <v>2936.485250685866</v>
      </c>
      <c r="AG142" s="185">
        <f t="shared" si="89"/>
        <v>734.12131267146651</v>
      </c>
      <c r="AH142" s="182">
        <f t="shared" si="90"/>
        <v>19</v>
      </c>
      <c r="AI142" s="624"/>
      <c r="AJ142" s="188">
        <v>4</v>
      </c>
      <c r="AK142" s="188">
        <v>2936.1133603238718</v>
      </c>
      <c r="AL142" s="185">
        <f t="shared" si="91"/>
        <v>734.02834008096795</v>
      </c>
      <c r="AM142" s="182">
        <f t="shared" si="92"/>
        <v>19</v>
      </c>
      <c r="AN142" s="624"/>
      <c r="AO142" s="188">
        <v>4</v>
      </c>
      <c r="AP142" s="188">
        <v>2936.9785954816903</v>
      </c>
      <c r="AQ142" s="185">
        <f t="shared" si="93"/>
        <v>734.24464887042257</v>
      </c>
      <c r="AR142" s="182">
        <f t="shared" si="94"/>
        <v>19</v>
      </c>
      <c r="AS142" s="624"/>
      <c r="AT142" s="188">
        <v>4</v>
      </c>
      <c r="AU142" s="188">
        <v>2937.6174244851054</v>
      </c>
      <c r="AV142" s="185">
        <f t="shared" si="95"/>
        <v>734.40435612127635</v>
      </c>
      <c r="AW142" s="182">
        <f t="shared" si="96"/>
        <v>18</v>
      </c>
      <c r="AX142" s="624"/>
    </row>
    <row r="143" spans="2:50" ht="14.25" customHeight="1">
      <c r="B143" s="564"/>
      <c r="C143" s="180">
        <v>23</v>
      </c>
      <c r="D143" s="183" t="s">
        <v>411</v>
      </c>
      <c r="E143" s="184">
        <v>4</v>
      </c>
      <c r="F143" s="180">
        <v>3000</v>
      </c>
      <c r="G143" s="185">
        <f t="shared" ref="G143:G151" si="97">F143/E143</f>
        <v>750</v>
      </c>
      <c r="H143" s="625"/>
      <c r="I143" s="186">
        <f t="shared" si="84"/>
        <v>4</v>
      </c>
      <c r="J143" s="186">
        <f t="shared" si="84"/>
        <v>2697.2155143395239</v>
      </c>
      <c r="K143" s="187">
        <f t="shared" si="84"/>
        <v>674.30387858488098</v>
      </c>
      <c r="L143" s="626"/>
      <c r="M143" s="186">
        <f>RANK(K143, K$121:$K$153)</f>
        <v>20</v>
      </c>
      <c r="N143" s="631"/>
      <c r="O143" s="627"/>
      <c r="P143" s="188">
        <v>4</v>
      </c>
      <c r="Q143" s="188">
        <v>2696.9842800751512</v>
      </c>
      <c r="R143" s="185">
        <f t="shared" si="81"/>
        <v>674.2460700187878</v>
      </c>
      <c r="S143" s="182">
        <f t="shared" si="85"/>
        <v>20</v>
      </c>
      <c r="T143" s="624"/>
      <c r="U143" s="188">
        <v>4</v>
      </c>
      <c r="V143" s="188">
        <v>2696.0292327103721</v>
      </c>
      <c r="W143" s="185">
        <f t="shared" si="82"/>
        <v>674.00730817759302</v>
      </c>
      <c r="X143" s="182">
        <f t="shared" si="86"/>
        <v>20</v>
      </c>
      <c r="Y143" s="624"/>
      <c r="Z143" s="188">
        <v>4</v>
      </c>
      <c r="AA143" s="188">
        <v>2696.3926214901494</v>
      </c>
      <c r="AB143" s="185">
        <f t="shared" si="87"/>
        <v>674.09815537253735</v>
      </c>
      <c r="AC143" s="182">
        <f t="shared" si="88"/>
        <v>20</v>
      </c>
      <c r="AD143" s="624"/>
      <c r="AE143" s="188">
        <v>4</v>
      </c>
      <c r="AF143" s="188">
        <v>2696.2962962963006</v>
      </c>
      <c r="AG143" s="185">
        <f t="shared" si="89"/>
        <v>674.07407407407516</v>
      </c>
      <c r="AH143" s="182">
        <f t="shared" si="90"/>
        <v>20</v>
      </c>
      <c r="AI143" s="624"/>
      <c r="AJ143" s="188">
        <v>4</v>
      </c>
      <c r="AK143" s="188">
        <v>2697.543100982356</v>
      </c>
      <c r="AL143" s="185">
        <f t="shared" si="91"/>
        <v>674.385775245589</v>
      </c>
      <c r="AM143" s="182">
        <f t="shared" si="92"/>
        <v>20</v>
      </c>
      <c r="AN143" s="624"/>
      <c r="AO143" s="188">
        <v>4</v>
      </c>
      <c r="AP143" s="188">
        <v>2698.2607057718515</v>
      </c>
      <c r="AQ143" s="185">
        <f t="shared" si="93"/>
        <v>674.56517644296287</v>
      </c>
      <c r="AR143" s="182">
        <f t="shared" si="94"/>
        <v>20</v>
      </c>
      <c r="AS143" s="624"/>
      <c r="AT143" s="188">
        <v>4</v>
      </c>
      <c r="AU143" s="188">
        <v>2699.0023630504843</v>
      </c>
      <c r="AV143" s="185">
        <f t="shared" si="95"/>
        <v>674.75059076262107</v>
      </c>
      <c r="AW143" s="182">
        <f t="shared" si="96"/>
        <v>19</v>
      </c>
      <c r="AX143" s="624"/>
    </row>
    <row r="144" spans="2:50" ht="14.25" customHeight="1">
      <c r="B144" s="564"/>
      <c r="C144" s="180">
        <v>24</v>
      </c>
      <c r="D144" s="183" t="s">
        <v>410</v>
      </c>
      <c r="E144" s="184">
        <v>4</v>
      </c>
      <c r="F144" s="180">
        <v>3300</v>
      </c>
      <c r="G144" s="185">
        <f t="shared" si="97"/>
        <v>825</v>
      </c>
      <c r="H144" s="625"/>
      <c r="I144" s="186">
        <f t="shared" si="84"/>
        <v>4</v>
      </c>
      <c r="J144" s="186">
        <f t="shared" si="84"/>
        <v>2970.2683919661899</v>
      </c>
      <c r="K144" s="187">
        <f t="shared" si="84"/>
        <v>742.56709799154748</v>
      </c>
      <c r="L144" s="626"/>
      <c r="M144" s="186">
        <f>RANK(K144, K$121:$K$153)</f>
        <v>15</v>
      </c>
      <c r="N144" s="631"/>
      <c r="O144" s="627"/>
      <c r="P144" s="188">
        <v>4</v>
      </c>
      <c r="Q144" s="188">
        <v>2970.9401709401668</v>
      </c>
      <c r="R144" s="185">
        <f t="shared" si="81"/>
        <v>742.7350427350417</v>
      </c>
      <c r="S144" s="182">
        <f t="shared" si="85"/>
        <v>15</v>
      </c>
      <c r="T144" s="624"/>
      <c r="U144" s="188">
        <v>4</v>
      </c>
      <c r="V144" s="188">
        <v>2969.732937685475</v>
      </c>
      <c r="W144" s="185">
        <f t="shared" si="82"/>
        <v>742.43323442136875</v>
      </c>
      <c r="X144" s="182">
        <f t="shared" si="86"/>
        <v>15</v>
      </c>
      <c r="Y144" s="624"/>
      <c r="Z144" s="188">
        <v>4</v>
      </c>
      <c r="AA144" s="188">
        <v>2971.4285714285593</v>
      </c>
      <c r="AB144" s="185">
        <f t="shared" si="87"/>
        <v>742.85714285713982</v>
      </c>
      <c r="AC144" s="182">
        <f t="shared" si="88"/>
        <v>14</v>
      </c>
      <c r="AD144" s="624"/>
      <c r="AE144" s="188">
        <v>4</v>
      </c>
      <c r="AF144" s="188">
        <v>2969.5187165775455</v>
      </c>
      <c r="AG144" s="185">
        <f t="shared" si="89"/>
        <v>742.37967914438639</v>
      </c>
      <c r="AH144" s="182">
        <f t="shared" si="90"/>
        <v>15</v>
      </c>
      <c r="AI144" s="624"/>
      <c r="AJ144" s="188">
        <v>4</v>
      </c>
      <c r="AK144" s="188">
        <v>2970.0000000000209</v>
      </c>
      <c r="AL144" s="185">
        <f t="shared" si="91"/>
        <v>742.50000000000523</v>
      </c>
      <c r="AM144" s="182">
        <f t="shared" si="92"/>
        <v>14</v>
      </c>
      <c r="AN144" s="624"/>
      <c r="AO144" s="188">
        <v>4</v>
      </c>
      <c r="AP144" s="188">
        <v>2969.2158760890748</v>
      </c>
      <c r="AQ144" s="185">
        <f t="shared" si="93"/>
        <v>742.30396902226869</v>
      </c>
      <c r="AR144" s="182">
        <f t="shared" si="94"/>
        <v>15</v>
      </c>
      <c r="AS144" s="624"/>
      <c r="AT144" s="188">
        <v>4</v>
      </c>
      <c r="AU144" s="188">
        <v>2971.0424710424836</v>
      </c>
      <c r="AV144" s="185">
        <f t="shared" si="95"/>
        <v>742.7606177606209</v>
      </c>
      <c r="AW144" s="182">
        <f t="shared" si="96"/>
        <v>14</v>
      </c>
      <c r="AX144" s="624"/>
    </row>
    <row r="145" spans="1:50" ht="14.25" customHeight="1">
      <c r="B145" s="564"/>
      <c r="C145" s="180">
        <v>25</v>
      </c>
      <c r="D145" s="183" t="s">
        <v>472</v>
      </c>
      <c r="E145" s="184">
        <v>3</v>
      </c>
      <c r="F145" s="180">
        <v>3600</v>
      </c>
      <c r="G145" s="185">
        <f t="shared" si="97"/>
        <v>1200</v>
      </c>
      <c r="H145" s="625"/>
      <c r="I145" s="186">
        <f t="shared" si="84"/>
        <v>3</v>
      </c>
      <c r="J145" s="186">
        <f t="shared" si="84"/>
        <v>3177.4330415884897</v>
      </c>
      <c r="K145" s="187">
        <f t="shared" si="84"/>
        <v>1059.1443471961632</v>
      </c>
      <c r="L145" s="626"/>
      <c r="M145" s="186">
        <f>RANK(K145, K$121:$K$153)</f>
        <v>1</v>
      </c>
      <c r="N145" s="631"/>
      <c r="O145" s="627"/>
      <c r="P145" s="188">
        <v>3</v>
      </c>
      <c r="Q145" s="188">
        <v>3178.9836797051107</v>
      </c>
      <c r="R145" s="185">
        <f t="shared" si="81"/>
        <v>1059.6612265683702</v>
      </c>
      <c r="S145" s="182">
        <f t="shared" si="85"/>
        <v>1</v>
      </c>
      <c r="T145" s="624"/>
      <c r="U145" s="188">
        <v>3</v>
      </c>
      <c r="V145" s="188">
        <v>3178.6104345092908</v>
      </c>
      <c r="W145" s="185">
        <f t="shared" si="82"/>
        <v>1059.5368115030969</v>
      </c>
      <c r="X145" s="182">
        <f t="shared" si="86"/>
        <v>1</v>
      </c>
      <c r="Y145" s="624"/>
      <c r="Z145" s="188">
        <v>3</v>
      </c>
      <c r="AA145" s="188">
        <v>3177.0234986945106</v>
      </c>
      <c r="AB145" s="185">
        <f t="shared" si="87"/>
        <v>1059.0078328981701</v>
      </c>
      <c r="AC145" s="182">
        <f t="shared" si="88"/>
        <v>1</v>
      </c>
      <c r="AD145" s="624"/>
      <c r="AE145" s="188">
        <v>3</v>
      </c>
      <c r="AF145" s="188">
        <v>3177.0848440899244</v>
      </c>
      <c r="AG145" s="185">
        <f t="shared" si="89"/>
        <v>1059.0282813633082</v>
      </c>
      <c r="AH145" s="182">
        <f t="shared" si="90"/>
        <v>1</v>
      </c>
      <c r="AI145" s="624"/>
      <c r="AJ145" s="188">
        <v>3</v>
      </c>
      <c r="AK145" s="188">
        <v>3177.772177419346</v>
      </c>
      <c r="AL145" s="185">
        <f t="shared" si="91"/>
        <v>1059.2573924731153</v>
      </c>
      <c r="AM145" s="182">
        <f t="shared" si="92"/>
        <v>1</v>
      </c>
      <c r="AN145" s="624"/>
      <c r="AO145" s="188">
        <v>3</v>
      </c>
      <c r="AP145" s="188">
        <v>3177.4290162741499</v>
      </c>
      <c r="AQ145" s="185">
        <f t="shared" si="93"/>
        <v>1059.1430054247166</v>
      </c>
      <c r="AR145" s="182">
        <f t="shared" si="94"/>
        <v>1</v>
      </c>
      <c r="AS145" s="624"/>
      <c r="AT145" s="188">
        <v>3</v>
      </c>
      <c r="AU145" s="188">
        <v>3175.127640427092</v>
      </c>
      <c r="AV145" s="185">
        <f t="shared" si="95"/>
        <v>1058.3758801423639</v>
      </c>
      <c r="AW145" s="182">
        <f t="shared" si="96"/>
        <v>3</v>
      </c>
      <c r="AX145" s="624"/>
    </row>
    <row r="146" spans="1:50" ht="14.25" customHeight="1">
      <c r="B146" s="564"/>
      <c r="C146" s="180">
        <v>26</v>
      </c>
      <c r="D146" s="183" t="s">
        <v>483</v>
      </c>
      <c r="E146" s="184">
        <v>4</v>
      </c>
      <c r="F146" s="180">
        <v>3000</v>
      </c>
      <c r="G146" s="185">
        <f t="shared" si="97"/>
        <v>750</v>
      </c>
      <c r="H146" s="625"/>
      <c r="I146" s="186">
        <f t="shared" si="84"/>
        <v>4</v>
      </c>
      <c r="J146" s="186">
        <f t="shared" si="84"/>
        <v>2682.6469241913678</v>
      </c>
      <c r="K146" s="187">
        <f t="shared" si="84"/>
        <v>670.66173104784195</v>
      </c>
      <c r="L146" s="626"/>
      <c r="M146" s="186">
        <f>RANK(K146, K$121:$K$153)</f>
        <v>21</v>
      </c>
      <c r="N146" s="631"/>
      <c r="O146" s="627"/>
      <c r="P146" s="188">
        <v>4</v>
      </c>
      <c r="Q146" s="188">
        <v>2682.1067317753746</v>
      </c>
      <c r="R146" s="185">
        <f t="shared" si="81"/>
        <v>670.52668294384364</v>
      </c>
      <c r="S146" s="182">
        <f t="shared" si="85"/>
        <v>21</v>
      </c>
      <c r="T146" s="624"/>
      <c r="U146" s="188">
        <v>4</v>
      </c>
      <c r="V146" s="188">
        <v>2682.1492967904815</v>
      </c>
      <c r="W146" s="185">
        <f t="shared" si="82"/>
        <v>670.53732419762036</v>
      </c>
      <c r="X146" s="182">
        <f t="shared" si="86"/>
        <v>21</v>
      </c>
      <c r="Y146" s="624"/>
      <c r="Z146" s="188">
        <v>4</v>
      </c>
      <c r="AA146" s="188">
        <v>2682.580645161293</v>
      </c>
      <c r="AB146" s="185">
        <f t="shared" si="87"/>
        <v>670.64516129032324</v>
      </c>
      <c r="AC146" s="182">
        <f t="shared" si="88"/>
        <v>21</v>
      </c>
      <c r="AD146" s="624"/>
      <c r="AE146" s="188">
        <v>4</v>
      </c>
      <c r="AF146" s="188">
        <v>2682.3221300741961</v>
      </c>
      <c r="AG146" s="185">
        <f t="shared" si="89"/>
        <v>670.58053251854903</v>
      </c>
      <c r="AH146" s="182">
        <f t="shared" si="90"/>
        <v>21</v>
      </c>
      <c r="AI146" s="624"/>
      <c r="AJ146" s="188">
        <v>4</v>
      </c>
      <c r="AK146" s="188">
        <v>2682.7850038255524</v>
      </c>
      <c r="AL146" s="185">
        <f t="shared" si="91"/>
        <v>670.6962509563881</v>
      </c>
      <c r="AM146" s="182">
        <f t="shared" si="92"/>
        <v>21</v>
      </c>
      <c r="AN146" s="624"/>
      <c r="AO146" s="188">
        <v>4</v>
      </c>
      <c r="AP146" s="188">
        <v>2682.9951014695598</v>
      </c>
      <c r="AQ146" s="185">
        <f t="shared" si="93"/>
        <v>670.74877536738995</v>
      </c>
      <c r="AR146" s="182">
        <f t="shared" si="94"/>
        <v>21</v>
      </c>
      <c r="AS146" s="624"/>
      <c r="AT146" s="188">
        <v>4</v>
      </c>
      <c r="AU146" s="188">
        <v>2683.5895602431156</v>
      </c>
      <c r="AV146" s="185">
        <f t="shared" si="95"/>
        <v>670.89739006077889</v>
      </c>
      <c r="AW146" s="182">
        <f t="shared" si="96"/>
        <v>20</v>
      </c>
      <c r="AX146" s="624"/>
    </row>
    <row r="147" spans="1:50" ht="14.25" customHeight="1">
      <c r="B147" s="564"/>
      <c r="C147" s="180">
        <v>27</v>
      </c>
      <c r="D147" s="183" t="s">
        <v>508</v>
      </c>
      <c r="E147" s="184">
        <v>5</v>
      </c>
      <c r="F147" s="180">
        <v>3000</v>
      </c>
      <c r="G147" s="185">
        <f t="shared" si="97"/>
        <v>600</v>
      </c>
      <c r="H147" s="625"/>
      <c r="I147" s="186">
        <f t="shared" si="84"/>
        <v>5</v>
      </c>
      <c r="J147" s="186">
        <f t="shared" si="84"/>
        <v>2681.6096272164873</v>
      </c>
      <c r="K147" s="187">
        <f t="shared" si="84"/>
        <v>536.32192544329735</v>
      </c>
      <c r="L147" s="626"/>
      <c r="M147" s="186">
        <f>RANK(K147, K$121:$K$153)</f>
        <v>28</v>
      </c>
      <c r="N147" s="631"/>
      <c r="O147" s="627"/>
      <c r="P147" s="188">
        <v>5</v>
      </c>
      <c r="Q147" s="188">
        <v>2680.5017103762843</v>
      </c>
      <c r="R147" s="185">
        <f t="shared" si="81"/>
        <v>536.10034207525689</v>
      </c>
      <c r="S147" s="182">
        <f t="shared" si="85"/>
        <v>28</v>
      </c>
      <c r="T147" s="624"/>
      <c r="U147" s="188">
        <v>5</v>
      </c>
      <c r="V147" s="188">
        <v>2681.081081081079</v>
      </c>
      <c r="W147" s="185">
        <f t="shared" si="82"/>
        <v>536.2162162162158</v>
      </c>
      <c r="X147" s="182">
        <f t="shared" si="86"/>
        <v>28</v>
      </c>
      <c r="Y147" s="624"/>
      <c r="Z147" s="188">
        <v>5</v>
      </c>
      <c r="AA147" s="188">
        <v>2681.3278008298657</v>
      </c>
      <c r="AB147" s="185">
        <f t="shared" si="87"/>
        <v>536.26556016597317</v>
      </c>
      <c r="AC147" s="182">
        <f t="shared" si="88"/>
        <v>28</v>
      </c>
      <c r="AD147" s="624"/>
      <c r="AE147" s="188">
        <v>5</v>
      </c>
      <c r="AF147" s="188">
        <v>2681.2500000000018</v>
      </c>
      <c r="AG147" s="185">
        <f t="shared" si="89"/>
        <v>536.25000000000034</v>
      </c>
      <c r="AH147" s="182">
        <f t="shared" si="90"/>
        <v>28</v>
      </c>
      <c r="AI147" s="624"/>
      <c r="AJ147" s="188">
        <v>5</v>
      </c>
      <c r="AK147" s="188">
        <v>2682.1192052980086</v>
      </c>
      <c r="AL147" s="185">
        <f t="shared" si="91"/>
        <v>536.42384105960173</v>
      </c>
      <c r="AM147" s="182">
        <f t="shared" si="92"/>
        <v>28</v>
      </c>
      <c r="AN147" s="624"/>
      <c r="AO147" s="188">
        <v>5</v>
      </c>
      <c r="AP147" s="188">
        <v>2682.5097168239863</v>
      </c>
      <c r="AQ147" s="185">
        <f t="shared" si="93"/>
        <v>536.50194336479728</v>
      </c>
      <c r="AR147" s="182">
        <f t="shared" si="94"/>
        <v>28</v>
      </c>
      <c r="AS147" s="624"/>
      <c r="AT147" s="188">
        <v>5</v>
      </c>
      <c r="AU147" s="188">
        <v>2682.4778761061852</v>
      </c>
      <c r="AV147" s="185">
        <f t="shared" si="95"/>
        <v>536.495575221237</v>
      </c>
      <c r="AW147" s="182">
        <f t="shared" si="96"/>
        <v>26</v>
      </c>
      <c r="AX147" s="624"/>
    </row>
    <row r="148" spans="1:50" ht="14.25" customHeight="1">
      <c r="B148" s="564"/>
      <c r="C148" s="180">
        <v>28</v>
      </c>
      <c r="D148" s="183" t="s">
        <v>607</v>
      </c>
      <c r="E148" s="184">
        <v>4</v>
      </c>
      <c r="F148" s="180">
        <v>3000</v>
      </c>
      <c r="G148" s="185">
        <f t="shared" si="97"/>
        <v>750</v>
      </c>
      <c r="H148" s="625"/>
      <c r="I148" s="186">
        <f t="shared" si="84"/>
        <v>4</v>
      </c>
      <c r="J148" s="186">
        <f t="shared" si="84"/>
        <v>2680.1707900995775</v>
      </c>
      <c r="K148" s="187">
        <f t="shared" si="84"/>
        <v>670.04269752489438</v>
      </c>
      <c r="L148" s="626"/>
      <c r="M148" s="186">
        <f>RANK(K148, K$121:$K$153)</f>
        <v>22</v>
      </c>
      <c r="N148" s="631"/>
      <c r="O148" s="627"/>
      <c r="P148" s="188">
        <v>4</v>
      </c>
      <c r="Q148" s="188">
        <v>2678.6729857819851</v>
      </c>
      <c r="R148" s="185">
        <f t="shared" si="81"/>
        <v>669.66824644549627</v>
      </c>
      <c r="S148" s="182">
        <f t="shared" si="85"/>
        <v>22</v>
      </c>
      <c r="T148" s="624"/>
      <c r="U148" s="188">
        <v>4</v>
      </c>
      <c r="V148" s="188">
        <v>2678.8296041308108</v>
      </c>
      <c r="W148" s="185">
        <f t="shared" si="82"/>
        <v>669.70740103270271</v>
      </c>
      <c r="X148" s="182">
        <f t="shared" si="86"/>
        <v>22</v>
      </c>
      <c r="Y148" s="624"/>
      <c r="Z148" s="188">
        <v>4</v>
      </c>
      <c r="AA148" s="188">
        <v>2678.8235294117658</v>
      </c>
      <c r="AB148" s="185">
        <f t="shared" si="87"/>
        <v>669.70588235294144</v>
      </c>
      <c r="AC148" s="182">
        <f t="shared" si="88"/>
        <v>22</v>
      </c>
      <c r="AD148" s="624"/>
      <c r="AE148" s="188">
        <v>4</v>
      </c>
      <c r="AF148" s="188">
        <v>2680.9954751131199</v>
      </c>
      <c r="AG148" s="185">
        <f t="shared" si="89"/>
        <v>670.24886877827998</v>
      </c>
      <c r="AH148" s="182">
        <f t="shared" si="90"/>
        <v>22</v>
      </c>
      <c r="AI148" s="624"/>
      <c r="AJ148" s="188">
        <v>4</v>
      </c>
      <c r="AK148" s="188">
        <v>2681.123355847848</v>
      </c>
      <c r="AL148" s="185">
        <f t="shared" si="91"/>
        <v>670.28083896196199</v>
      </c>
      <c r="AM148" s="182">
        <f t="shared" si="92"/>
        <v>22</v>
      </c>
      <c r="AN148" s="624"/>
      <c r="AO148" s="188">
        <v>4</v>
      </c>
      <c r="AP148" s="188">
        <v>2681.410867492848</v>
      </c>
      <c r="AQ148" s="185">
        <f t="shared" si="93"/>
        <v>670.35271687321199</v>
      </c>
      <c r="AR148" s="182">
        <f t="shared" si="94"/>
        <v>22</v>
      </c>
      <c r="AS148" s="624"/>
      <c r="AT148" s="188">
        <v>4</v>
      </c>
      <c r="AU148" s="188">
        <v>2681.3397129186596</v>
      </c>
      <c r="AV148" s="185">
        <f t="shared" si="95"/>
        <v>670.33492822966491</v>
      </c>
      <c r="AW148" s="182">
        <f t="shared" si="96"/>
        <v>21</v>
      </c>
      <c r="AX148" s="624"/>
    </row>
    <row r="149" spans="1:50" ht="14.25" customHeight="1">
      <c r="B149" s="564"/>
      <c r="C149" s="180">
        <v>29</v>
      </c>
      <c r="D149" s="183" t="s">
        <v>693</v>
      </c>
      <c r="E149" s="184">
        <v>12</v>
      </c>
      <c r="F149" s="180">
        <v>3600</v>
      </c>
      <c r="G149" s="185">
        <f t="shared" si="97"/>
        <v>300</v>
      </c>
      <c r="H149" s="625"/>
      <c r="I149" s="186">
        <f t="shared" si="84"/>
        <v>12</v>
      </c>
      <c r="J149" s="186">
        <f t="shared" si="84"/>
        <v>3163.7515183994392</v>
      </c>
      <c r="K149" s="187">
        <f t="shared" si="84"/>
        <v>263.64595986661993</v>
      </c>
      <c r="L149" s="626"/>
      <c r="M149" s="186">
        <f>RANK(K149, K$121:$K$153)</f>
        <v>29</v>
      </c>
      <c r="N149" s="631"/>
      <c r="O149" s="627"/>
      <c r="P149" s="188">
        <v>12</v>
      </c>
      <c r="Q149" s="188">
        <v>3012.3337363966111</v>
      </c>
      <c r="R149" s="185">
        <f t="shared" si="81"/>
        <v>251.02781136638427</v>
      </c>
      <c r="S149" s="182">
        <f t="shared" si="85"/>
        <v>31</v>
      </c>
      <c r="T149" s="624"/>
      <c r="U149" s="188">
        <v>12</v>
      </c>
      <c r="V149" s="188">
        <v>3066.2400000000016</v>
      </c>
      <c r="W149" s="185">
        <f t="shared" si="82"/>
        <v>255.52000000000012</v>
      </c>
      <c r="X149" s="182">
        <f t="shared" si="86"/>
        <v>31</v>
      </c>
      <c r="Y149" s="624"/>
      <c r="Z149" s="188">
        <v>12</v>
      </c>
      <c r="AA149" s="188">
        <v>3130.2274232722448</v>
      </c>
      <c r="AB149" s="185">
        <f t="shared" si="87"/>
        <v>260.85228527268708</v>
      </c>
      <c r="AC149" s="182">
        <f t="shared" si="88"/>
        <v>29</v>
      </c>
      <c r="AD149" s="624"/>
      <c r="AE149" s="188">
        <v>12</v>
      </c>
      <c r="AF149" s="188">
        <v>3183.9195979899437</v>
      </c>
      <c r="AG149" s="185">
        <f t="shared" si="89"/>
        <v>265.32663316582864</v>
      </c>
      <c r="AH149" s="182">
        <f t="shared" si="90"/>
        <v>29</v>
      </c>
      <c r="AI149" s="624"/>
      <c r="AJ149" s="188">
        <v>12</v>
      </c>
      <c r="AK149" s="188">
        <v>3250.5039787798341</v>
      </c>
      <c r="AL149" s="185">
        <f t="shared" si="91"/>
        <v>270.8753315649862</v>
      </c>
      <c r="AM149" s="182">
        <f t="shared" si="92"/>
        <v>29</v>
      </c>
      <c r="AN149" s="624"/>
      <c r="AO149" s="188">
        <v>12</v>
      </c>
      <c r="AP149" s="188">
        <v>3251.837524177944</v>
      </c>
      <c r="AQ149" s="185">
        <f t="shared" si="93"/>
        <v>270.98646034816198</v>
      </c>
      <c r="AR149" s="182">
        <f t="shared" si="94"/>
        <v>29</v>
      </c>
      <c r="AS149" s="624"/>
      <c r="AT149" s="188">
        <v>12</v>
      </c>
      <c r="AU149" s="188">
        <v>3251.1983681794954</v>
      </c>
      <c r="AV149" s="185">
        <f t="shared" si="95"/>
        <v>270.93319734829129</v>
      </c>
      <c r="AW149" s="182">
        <f t="shared" si="96"/>
        <v>27</v>
      </c>
      <c r="AX149" s="624"/>
    </row>
    <row r="150" spans="1:50" ht="14.25" customHeight="1">
      <c r="B150" s="564"/>
      <c r="C150" s="180">
        <v>30</v>
      </c>
      <c r="D150" s="183" t="s">
        <v>349</v>
      </c>
      <c r="E150" s="184">
        <v>3</v>
      </c>
      <c r="F150" s="180">
        <v>3000</v>
      </c>
      <c r="G150" s="185">
        <f t="shared" si="97"/>
        <v>1000</v>
      </c>
      <c r="H150" s="625"/>
      <c r="I150" s="186">
        <f t="shared" si="84"/>
        <v>3</v>
      </c>
      <c r="J150" s="186">
        <f t="shared" si="84"/>
        <v>2695.3776647862478</v>
      </c>
      <c r="K150" s="187">
        <f t="shared" si="84"/>
        <v>898.45922159541567</v>
      </c>
      <c r="L150" s="626"/>
      <c r="M150" s="186">
        <f>RANK(K150, K$121:$K$153)</f>
        <v>11</v>
      </c>
      <c r="N150" s="631"/>
      <c r="O150" s="627"/>
      <c r="P150" s="188">
        <v>3</v>
      </c>
      <c r="Q150" s="188">
        <v>2694.7112303237764</v>
      </c>
      <c r="R150" s="185">
        <f t="shared" si="81"/>
        <v>898.23707677459208</v>
      </c>
      <c r="S150" s="182">
        <f t="shared" si="85"/>
        <v>11</v>
      </c>
      <c r="T150" s="624"/>
      <c r="U150" s="188">
        <v>3</v>
      </c>
      <c r="V150" s="188">
        <v>2695.0189749068086</v>
      </c>
      <c r="W150" s="185">
        <f t="shared" si="82"/>
        <v>898.33965830226953</v>
      </c>
      <c r="X150" s="182">
        <f t="shared" si="86"/>
        <v>10</v>
      </c>
      <c r="Y150" s="624"/>
      <c r="Z150" s="188">
        <v>3</v>
      </c>
      <c r="AA150" s="188">
        <v>2694.9099822225699</v>
      </c>
      <c r="AB150" s="185">
        <f t="shared" si="87"/>
        <v>898.30332740752328</v>
      </c>
      <c r="AC150" s="182">
        <f t="shared" si="88"/>
        <v>10</v>
      </c>
      <c r="AD150" s="624"/>
      <c r="AE150" s="188">
        <v>3</v>
      </c>
      <c r="AF150" s="188">
        <v>2694.9253515402065</v>
      </c>
      <c r="AG150" s="185">
        <f t="shared" si="89"/>
        <v>898.30845051340214</v>
      </c>
      <c r="AH150" s="182">
        <f t="shared" si="90"/>
        <v>11</v>
      </c>
      <c r="AI150" s="624"/>
      <c r="AJ150" s="188">
        <v>3</v>
      </c>
      <c r="AK150" s="188">
        <v>2695.6503687613908</v>
      </c>
      <c r="AL150" s="185">
        <f t="shared" si="91"/>
        <v>898.55012292046365</v>
      </c>
      <c r="AM150" s="182">
        <f t="shared" si="92"/>
        <v>11</v>
      </c>
      <c r="AN150" s="624"/>
      <c r="AO150" s="188">
        <v>3</v>
      </c>
      <c r="AP150" s="188">
        <v>2695.9453113193995</v>
      </c>
      <c r="AQ150" s="185">
        <f t="shared" si="93"/>
        <v>898.64843710646653</v>
      </c>
      <c r="AR150" s="182">
        <f t="shared" si="94"/>
        <v>11</v>
      </c>
      <c r="AS150" s="624"/>
      <c r="AT150" s="188">
        <v>3</v>
      </c>
      <c r="AU150" s="188">
        <v>2696.4824344295812</v>
      </c>
      <c r="AV150" s="185">
        <f t="shared" si="95"/>
        <v>898.82747814319373</v>
      </c>
      <c r="AW150" s="182">
        <f t="shared" si="96"/>
        <v>10</v>
      </c>
      <c r="AX150" s="624"/>
    </row>
    <row r="151" spans="1:50" ht="14.25" customHeight="1">
      <c r="B151" s="564"/>
      <c r="C151" s="180">
        <v>31</v>
      </c>
      <c r="D151" s="183" t="s">
        <v>478</v>
      </c>
      <c r="E151" s="180">
        <v>12</v>
      </c>
      <c r="F151" s="180">
        <v>3600</v>
      </c>
      <c r="G151" s="185">
        <f t="shared" si="97"/>
        <v>300</v>
      </c>
      <c r="H151" s="625"/>
      <c r="I151" s="186">
        <f t="shared" si="84"/>
        <v>12</v>
      </c>
      <c r="J151" s="186">
        <f t="shared" si="84"/>
        <v>3125.7631920960157</v>
      </c>
      <c r="K151" s="187">
        <f t="shared" si="84"/>
        <v>260.48026600800137</v>
      </c>
      <c r="L151" s="626"/>
      <c r="M151" s="186">
        <f>RANK(K151, K$121:$K$153)</f>
        <v>31</v>
      </c>
      <c r="N151" s="631"/>
      <c r="O151" s="627"/>
      <c r="P151" s="188">
        <v>12</v>
      </c>
      <c r="Q151" s="188">
        <v>3124.9999999999918</v>
      </c>
      <c r="R151" s="185">
        <f t="shared" si="81"/>
        <v>260.416666666666</v>
      </c>
      <c r="S151" s="182">
        <f t="shared" si="85"/>
        <v>30</v>
      </c>
      <c r="T151" s="624"/>
      <c r="U151" s="188">
        <v>12</v>
      </c>
      <c r="V151" s="188">
        <v>3125.4727474972196</v>
      </c>
      <c r="W151" s="185">
        <f t="shared" si="82"/>
        <v>260.45606229143499</v>
      </c>
      <c r="X151" s="182">
        <f t="shared" si="86"/>
        <v>30</v>
      </c>
      <c r="Y151" s="624"/>
      <c r="Z151" s="188">
        <v>12</v>
      </c>
      <c r="AA151" s="188">
        <v>3125.3461770017989</v>
      </c>
      <c r="AB151" s="185">
        <f t="shared" si="87"/>
        <v>260.44551475014993</v>
      </c>
      <c r="AC151" s="182">
        <f t="shared" si="88"/>
        <v>31</v>
      </c>
      <c r="AD151" s="624"/>
      <c r="AE151" s="188">
        <v>12</v>
      </c>
      <c r="AF151" s="188">
        <v>3125.6756756756799</v>
      </c>
      <c r="AG151" s="185">
        <f t="shared" si="89"/>
        <v>260.47297297297331</v>
      </c>
      <c r="AH151" s="182">
        <f t="shared" si="90"/>
        <v>31</v>
      </c>
      <c r="AI151" s="624"/>
      <c r="AJ151" s="188">
        <v>12</v>
      </c>
      <c r="AK151" s="188">
        <v>3125.6157635467957</v>
      </c>
      <c r="AL151" s="185">
        <f t="shared" si="91"/>
        <v>260.46798029556629</v>
      </c>
      <c r="AM151" s="182">
        <f t="shared" si="92"/>
        <v>30</v>
      </c>
      <c r="AN151" s="624"/>
      <c r="AO151" s="188">
        <v>12</v>
      </c>
      <c r="AP151" s="188">
        <v>3125.3631284916119</v>
      </c>
      <c r="AQ151" s="185">
        <f t="shared" si="93"/>
        <v>260.44692737430097</v>
      </c>
      <c r="AR151" s="182">
        <f t="shared" si="94"/>
        <v>31</v>
      </c>
      <c r="AS151" s="624"/>
      <c r="AT151" s="188">
        <v>12</v>
      </c>
      <c r="AU151" s="188">
        <v>3127.8688524590139</v>
      </c>
      <c r="AV151" s="185">
        <f t="shared" si="95"/>
        <v>260.65573770491784</v>
      </c>
      <c r="AW151" s="182">
        <f t="shared" si="96"/>
        <v>28</v>
      </c>
      <c r="AX151" s="624"/>
    </row>
    <row r="152" spans="1:50" ht="14.25" customHeight="1">
      <c r="B152" s="564"/>
      <c r="C152" s="180">
        <v>32</v>
      </c>
      <c r="D152" s="183"/>
      <c r="E152" s="180"/>
      <c r="F152" s="180"/>
      <c r="G152" s="185"/>
      <c r="H152" s="625"/>
      <c r="I152" s="186"/>
      <c r="J152" s="186"/>
      <c r="K152" s="187"/>
      <c r="L152" s="626"/>
      <c r="M152" s="186"/>
      <c r="N152" s="631"/>
      <c r="O152" s="627"/>
      <c r="P152" s="188"/>
      <c r="Q152" s="188"/>
      <c r="R152" s="185"/>
      <c r="S152" s="182"/>
      <c r="T152" s="624"/>
      <c r="U152" s="188"/>
      <c r="V152" s="188"/>
      <c r="W152" s="185"/>
      <c r="X152" s="182"/>
      <c r="Y152" s="624"/>
      <c r="Z152" s="188"/>
      <c r="AA152" s="188"/>
      <c r="AB152" s="185"/>
      <c r="AC152" s="182"/>
      <c r="AD152" s="624"/>
      <c r="AE152" s="188"/>
      <c r="AF152" s="188"/>
      <c r="AG152" s="185"/>
      <c r="AH152" s="182"/>
      <c r="AI152" s="624"/>
      <c r="AJ152" s="188"/>
      <c r="AK152" s="188"/>
      <c r="AL152" s="185"/>
      <c r="AM152" s="182"/>
      <c r="AN152" s="624"/>
      <c r="AO152" s="188"/>
      <c r="AP152" s="188"/>
      <c r="AQ152" s="185"/>
      <c r="AR152" s="182"/>
      <c r="AS152" s="624"/>
      <c r="AT152" s="188"/>
      <c r="AU152" s="188"/>
      <c r="AV152" s="185"/>
      <c r="AW152" s="182"/>
      <c r="AX152" s="624"/>
    </row>
    <row r="153" spans="1:50" ht="14.25" customHeight="1">
      <c r="B153" s="564"/>
      <c r="C153" s="180">
        <v>33</v>
      </c>
      <c r="D153" s="183"/>
      <c r="E153" s="180"/>
      <c r="F153" s="180"/>
      <c r="G153" s="185"/>
      <c r="H153" s="625"/>
      <c r="I153" s="186"/>
      <c r="J153" s="186"/>
      <c r="K153" s="187"/>
      <c r="L153" s="626"/>
      <c r="M153" s="186"/>
      <c r="N153" s="631"/>
      <c r="O153" s="627"/>
      <c r="P153" s="188"/>
      <c r="Q153" s="188"/>
      <c r="R153" s="185"/>
      <c r="S153" s="182"/>
      <c r="T153" s="624"/>
      <c r="U153" s="188"/>
      <c r="V153" s="188"/>
      <c r="W153" s="185"/>
      <c r="X153" s="182"/>
      <c r="Y153" s="624"/>
      <c r="Z153" s="188"/>
      <c r="AA153" s="188"/>
      <c r="AB153" s="185"/>
      <c r="AC153" s="182"/>
      <c r="AD153" s="624"/>
      <c r="AE153" s="188"/>
      <c r="AF153" s="188"/>
      <c r="AG153" s="185"/>
      <c r="AH153" s="182"/>
      <c r="AI153" s="624"/>
      <c r="AJ153" s="188"/>
      <c r="AK153" s="188"/>
      <c r="AL153" s="185"/>
      <c r="AM153" s="182"/>
      <c r="AN153" s="624"/>
      <c r="AO153" s="188"/>
      <c r="AP153" s="188"/>
      <c r="AQ153" s="185"/>
      <c r="AR153" s="182"/>
      <c r="AS153" s="624"/>
      <c r="AT153" s="188"/>
      <c r="AU153" s="188"/>
      <c r="AV153" s="185"/>
      <c r="AW153" s="182"/>
      <c r="AX153" s="624"/>
    </row>
    <row r="154" spans="1:50" ht="14.25" customHeight="1">
      <c r="B154" s="632" t="s">
        <v>839</v>
      </c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4"/>
      <c r="N154" s="584" t="s">
        <v>377</v>
      </c>
      <c r="O154" s="584" t="s">
        <v>105</v>
      </c>
      <c r="P154" s="637">
        <v>46105</v>
      </c>
      <c r="Q154" s="638"/>
      <c r="R154" s="638"/>
      <c r="S154" s="638"/>
      <c r="T154" s="638"/>
      <c r="U154" s="639">
        <v>46106</v>
      </c>
      <c r="V154" s="640"/>
      <c r="W154" s="640"/>
      <c r="X154" s="640"/>
      <c r="Y154" s="640"/>
      <c r="Z154" s="637">
        <v>46107</v>
      </c>
      <c r="AA154" s="638"/>
      <c r="AB154" s="638"/>
      <c r="AC154" s="638"/>
      <c r="AD154" s="638"/>
      <c r="AE154" s="639">
        <v>46108</v>
      </c>
      <c r="AF154" s="640"/>
      <c r="AG154" s="640"/>
      <c r="AH154" s="640"/>
      <c r="AI154" s="640"/>
      <c r="AJ154" s="596">
        <v>46109</v>
      </c>
      <c r="AK154" s="597"/>
      <c r="AL154" s="597"/>
      <c r="AM154" s="597"/>
      <c r="AN154" s="598"/>
      <c r="AO154" s="639">
        <v>46110</v>
      </c>
      <c r="AP154" s="640"/>
      <c r="AQ154" s="640"/>
      <c r="AR154" s="640"/>
      <c r="AS154" s="640"/>
      <c r="AT154" s="596">
        <v>46111</v>
      </c>
      <c r="AU154" s="597"/>
      <c r="AV154" s="597"/>
      <c r="AW154" s="597"/>
      <c r="AX154" s="598"/>
    </row>
    <row r="155" spans="1:50" ht="14.25" customHeight="1">
      <c r="B155" s="635"/>
      <c r="C155" s="635"/>
      <c r="D155" s="635"/>
      <c r="E155" s="635"/>
      <c r="F155" s="635"/>
      <c r="G155" s="635"/>
      <c r="H155" s="635"/>
      <c r="I155" s="635"/>
      <c r="J155" s="635"/>
      <c r="K155" s="635"/>
      <c r="L155" s="635"/>
      <c r="M155" s="636"/>
      <c r="N155" s="586"/>
      <c r="O155" s="586"/>
      <c r="P155" s="629">
        <v>46105</v>
      </c>
      <c r="Q155" s="629"/>
      <c r="R155" s="629"/>
      <c r="S155" s="629"/>
      <c r="T155" s="629"/>
      <c r="U155" s="630">
        <v>46106</v>
      </c>
      <c r="V155" s="630"/>
      <c r="W155" s="630"/>
      <c r="X155" s="630"/>
      <c r="Y155" s="630"/>
      <c r="Z155" s="629">
        <v>46107</v>
      </c>
      <c r="AA155" s="629"/>
      <c r="AB155" s="629"/>
      <c r="AC155" s="629"/>
      <c r="AD155" s="629"/>
      <c r="AE155" s="630">
        <v>46108</v>
      </c>
      <c r="AF155" s="630"/>
      <c r="AG155" s="630"/>
      <c r="AH155" s="630"/>
      <c r="AI155" s="630"/>
      <c r="AJ155" s="599">
        <v>46109</v>
      </c>
      <c r="AK155" s="600"/>
      <c r="AL155" s="600"/>
      <c r="AM155" s="600"/>
      <c r="AN155" s="601"/>
      <c r="AO155" s="630">
        <v>46110</v>
      </c>
      <c r="AP155" s="630"/>
      <c r="AQ155" s="630"/>
      <c r="AR155" s="630"/>
      <c r="AS155" s="630"/>
      <c r="AT155" s="599">
        <v>46111</v>
      </c>
      <c r="AU155" s="600"/>
      <c r="AV155" s="600"/>
      <c r="AW155" s="600"/>
      <c r="AX155" s="601"/>
    </row>
    <row r="156" spans="1:50" ht="14.25" customHeight="1">
      <c r="B156" s="564" t="s">
        <v>164</v>
      </c>
      <c r="C156" s="564" t="s">
        <v>159</v>
      </c>
      <c r="D156" s="564"/>
      <c r="E156" s="564" t="s">
        <v>160</v>
      </c>
      <c r="F156" s="564"/>
      <c r="G156" s="564"/>
      <c r="H156" s="564" t="s">
        <v>165</v>
      </c>
      <c r="I156" s="628" t="s">
        <v>378</v>
      </c>
      <c r="J156" s="628"/>
      <c r="K156" s="628"/>
      <c r="L156" s="628" t="s">
        <v>165</v>
      </c>
      <c r="M156" s="628" t="s">
        <v>167</v>
      </c>
      <c r="N156" s="631"/>
      <c r="O156" s="627" t="s">
        <v>166</v>
      </c>
      <c r="P156" s="627" t="s">
        <v>162</v>
      </c>
      <c r="Q156" s="627"/>
      <c r="R156" s="627"/>
      <c r="S156" s="627"/>
      <c r="T156" s="627" t="s">
        <v>165</v>
      </c>
      <c r="U156" s="627" t="s">
        <v>162</v>
      </c>
      <c r="V156" s="627"/>
      <c r="W156" s="627"/>
      <c r="X156" s="627"/>
      <c r="Y156" s="627" t="s">
        <v>165</v>
      </c>
      <c r="Z156" s="627" t="s">
        <v>162</v>
      </c>
      <c r="AA156" s="627"/>
      <c r="AB156" s="627"/>
      <c r="AC156" s="627"/>
      <c r="AD156" s="627" t="s">
        <v>165</v>
      </c>
      <c r="AE156" s="627" t="s">
        <v>162</v>
      </c>
      <c r="AF156" s="627"/>
      <c r="AG156" s="627"/>
      <c r="AH156" s="627"/>
      <c r="AI156" s="627" t="s">
        <v>165</v>
      </c>
      <c r="AJ156" s="627" t="s">
        <v>162</v>
      </c>
      <c r="AK156" s="627"/>
      <c r="AL156" s="627"/>
      <c r="AM156" s="627"/>
      <c r="AN156" s="627" t="s">
        <v>165</v>
      </c>
      <c r="AO156" s="627" t="s">
        <v>162</v>
      </c>
      <c r="AP156" s="627"/>
      <c r="AQ156" s="627"/>
      <c r="AR156" s="627"/>
      <c r="AS156" s="627" t="s">
        <v>165</v>
      </c>
      <c r="AT156" s="627" t="s">
        <v>162</v>
      </c>
      <c r="AU156" s="627"/>
      <c r="AV156" s="627"/>
      <c r="AW156" s="627"/>
      <c r="AX156" s="627" t="s">
        <v>165</v>
      </c>
    </row>
    <row r="157" spans="1:50" ht="14.25" customHeight="1">
      <c r="B157" s="564"/>
      <c r="C157" s="564"/>
      <c r="D157" s="564"/>
      <c r="E157" s="564" t="s">
        <v>379</v>
      </c>
      <c r="F157" s="564"/>
      <c r="G157" s="564"/>
      <c r="H157" s="564"/>
      <c r="I157" s="628" t="s">
        <v>379</v>
      </c>
      <c r="J157" s="628"/>
      <c r="K157" s="628"/>
      <c r="L157" s="628"/>
      <c r="M157" s="628"/>
      <c r="N157" s="631"/>
      <c r="O157" s="627"/>
      <c r="P157" s="627" t="s">
        <v>380</v>
      </c>
      <c r="Q157" s="627"/>
      <c r="R157" s="627"/>
      <c r="S157" s="627"/>
      <c r="T157" s="627"/>
      <c r="U157" s="627" t="s">
        <v>380</v>
      </c>
      <c r="V157" s="627"/>
      <c r="W157" s="627"/>
      <c r="X157" s="627"/>
      <c r="Y157" s="627"/>
      <c r="Z157" s="627" t="s">
        <v>380</v>
      </c>
      <c r="AA157" s="627"/>
      <c r="AB157" s="627"/>
      <c r="AC157" s="627"/>
      <c r="AD157" s="627"/>
      <c r="AE157" s="627" t="s">
        <v>380</v>
      </c>
      <c r="AF157" s="627"/>
      <c r="AG157" s="627"/>
      <c r="AH157" s="627"/>
      <c r="AI157" s="627"/>
      <c r="AJ157" s="627" t="s">
        <v>380</v>
      </c>
      <c r="AK157" s="627"/>
      <c r="AL157" s="627"/>
      <c r="AM157" s="627"/>
      <c r="AN157" s="627"/>
      <c r="AO157" s="627" t="s">
        <v>380</v>
      </c>
      <c r="AP157" s="627"/>
      <c r="AQ157" s="627"/>
      <c r="AR157" s="627"/>
      <c r="AS157" s="627"/>
      <c r="AT157" s="627" t="s">
        <v>380</v>
      </c>
      <c r="AU157" s="627"/>
      <c r="AV157" s="627"/>
      <c r="AW157" s="627"/>
      <c r="AX157" s="627"/>
    </row>
    <row r="158" spans="1:50" ht="14.25" customHeight="1">
      <c r="A158" s="177"/>
      <c r="B158" s="564"/>
      <c r="C158" s="564"/>
      <c r="D158" s="564"/>
      <c r="E158" s="180" t="s">
        <v>161</v>
      </c>
      <c r="F158" s="180" t="s">
        <v>381</v>
      </c>
      <c r="G158" s="180" t="s">
        <v>163</v>
      </c>
      <c r="H158" s="564"/>
      <c r="I158" s="181" t="s">
        <v>161</v>
      </c>
      <c r="J158" s="181" t="s">
        <v>381</v>
      </c>
      <c r="K158" s="181" t="s">
        <v>163</v>
      </c>
      <c r="L158" s="628"/>
      <c r="M158" s="628"/>
      <c r="N158" s="631"/>
      <c r="O158" s="627"/>
      <c r="P158" s="182" t="s">
        <v>161</v>
      </c>
      <c r="Q158" s="182" t="s">
        <v>381</v>
      </c>
      <c r="R158" s="182" t="s">
        <v>163</v>
      </c>
      <c r="S158" s="182" t="s">
        <v>167</v>
      </c>
      <c r="T158" s="627"/>
      <c r="U158" s="182" t="s">
        <v>161</v>
      </c>
      <c r="V158" s="182" t="s">
        <v>381</v>
      </c>
      <c r="W158" s="182" t="s">
        <v>163</v>
      </c>
      <c r="X158" s="182" t="s">
        <v>167</v>
      </c>
      <c r="Y158" s="627"/>
      <c r="Z158" s="182" t="s">
        <v>161</v>
      </c>
      <c r="AA158" s="182" t="s">
        <v>381</v>
      </c>
      <c r="AB158" s="182" t="s">
        <v>163</v>
      </c>
      <c r="AC158" s="182" t="s">
        <v>167</v>
      </c>
      <c r="AD158" s="627"/>
      <c r="AE158" s="182" t="s">
        <v>161</v>
      </c>
      <c r="AF158" s="182" t="s">
        <v>381</v>
      </c>
      <c r="AG158" s="182" t="s">
        <v>163</v>
      </c>
      <c r="AH158" s="182" t="s">
        <v>167</v>
      </c>
      <c r="AI158" s="627"/>
      <c r="AJ158" s="182" t="s">
        <v>161</v>
      </c>
      <c r="AK158" s="182" t="s">
        <v>381</v>
      </c>
      <c r="AL158" s="182" t="s">
        <v>163</v>
      </c>
      <c r="AM158" s="182" t="s">
        <v>167</v>
      </c>
      <c r="AN158" s="627"/>
      <c r="AO158" s="182" t="s">
        <v>161</v>
      </c>
      <c r="AP158" s="182" t="s">
        <v>381</v>
      </c>
      <c r="AQ158" s="182" t="s">
        <v>163</v>
      </c>
      <c r="AR158" s="182" t="s">
        <v>167</v>
      </c>
      <c r="AS158" s="627"/>
      <c r="AT158" s="182" t="s">
        <v>161</v>
      </c>
      <c r="AU158" s="182" t="s">
        <v>381</v>
      </c>
      <c r="AV158" s="182" t="s">
        <v>163</v>
      </c>
      <c r="AW158" s="182" t="s">
        <v>167</v>
      </c>
      <c r="AX158" s="627"/>
    </row>
    <row r="159" spans="1:50" ht="14.25" customHeight="1">
      <c r="B159" s="564" t="s">
        <v>382</v>
      </c>
      <c r="C159" s="180">
        <v>1</v>
      </c>
      <c r="D159" s="183" t="s">
        <v>407</v>
      </c>
      <c r="E159" s="184">
        <v>4</v>
      </c>
      <c r="F159" s="180">
        <v>3600</v>
      </c>
      <c r="G159" s="185">
        <f>F159/E159</f>
        <v>900</v>
      </c>
      <c r="H159" s="625">
        <f>AVERAGE(G159:G191)</f>
        <v>840.39743589743591</v>
      </c>
      <c r="I159" s="186">
        <f>AVERAGE(P159,U159,Z159,AE159,AJ159,AO159,AT159)</f>
        <v>4</v>
      </c>
      <c r="J159" s="186">
        <f>AVERAGE(Q159,V159,AA159,AF159,AK159,AP159,AU159)</f>
        <v>3172.1674398655778</v>
      </c>
      <c r="K159" s="187">
        <f>AVERAGE(R159,W159,AB159,AG159,AL159,AQ159,AV159)</f>
        <v>793.04185996639444</v>
      </c>
      <c r="L159" s="626">
        <f>IFERROR(AVERAGE(K159:K191),"-")</f>
        <v>746.14935108026543</v>
      </c>
      <c r="M159" s="186">
        <f>RANK(K159, K$159:$K$191)</f>
        <v>13</v>
      </c>
      <c r="N159" s="631"/>
      <c r="O159" s="627"/>
      <c r="P159" s="188">
        <v>4</v>
      </c>
      <c r="Q159" s="188">
        <v>3171.7368961973275</v>
      </c>
      <c r="R159" s="185">
        <f t="shared" ref="R159:R187" si="98">IFERROR(Q159/P159,"")</f>
        <v>792.93422404933187</v>
      </c>
      <c r="S159" s="182">
        <f>RANK(R159, R$159:R$191)</f>
        <v>13</v>
      </c>
      <c r="T159" s="624">
        <f>AVERAGE(R159:R191)</f>
        <v>763.87781329190102</v>
      </c>
      <c r="U159" s="188">
        <v>4</v>
      </c>
      <c r="V159" s="188">
        <v>3172.1387881926453</v>
      </c>
      <c r="W159" s="185">
        <f t="shared" ref="W159:W187" si="99">IFERROR(V159/U159,"")</f>
        <v>793.03469704816132</v>
      </c>
      <c r="X159" s="182">
        <f>RANK(W159, W$159:W$191)</f>
        <v>13</v>
      </c>
      <c r="Y159" s="624">
        <f>AVERAGE(W159:W191)</f>
        <v>763.92333956723894</v>
      </c>
      <c r="Z159" s="188">
        <v>4</v>
      </c>
      <c r="AA159" s="188">
        <v>3172.0010686615028</v>
      </c>
      <c r="AB159" s="185">
        <f>IFERROR(AA159/Z159,"")</f>
        <v>793.0002671653757</v>
      </c>
      <c r="AC159" s="182">
        <f>RANK(AB159, AB$159:AB$191)</f>
        <v>13</v>
      </c>
      <c r="AD159" s="624">
        <f>AVERAGE(AB159:AB191)</f>
        <v>763.89662260251146</v>
      </c>
      <c r="AE159" s="188">
        <v>4</v>
      </c>
      <c r="AF159" s="188">
        <v>3171.6713881019859</v>
      </c>
      <c r="AG159" s="185">
        <f>IFERROR(AF159/AE159,"")</f>
        <v>792.91784702549649</v>
      </c>
      <c r="AH159" s="182">
        <f>RANK(AG159, AG$159:AG$191)</f>
        <v>13</v>
      </c>
      <c r="AI159" s="624">
        <f>AVERAGE(AG159:AG191)</f>
        <v>764.00566067809632</v>
      </c>
      <c r="AJ159" s="188">
        <v>4</v>
      </c>
      <c r="AK159" s="188">
        <v>3172.5663716814192</v>
      </c>
      <c r="AL159" s="185">
        <f>IFERROR(AK159/AJ159,"")</f>
        <v>793.14159292035481</v>
      </c>
      <c r="AM159" s="182">
        <f>RANK(AL159, AL$159:AL$191)</f>
        <v>13</v>
      </c>
      <c r="AN159" s="624">
        <f>AVERAGE(AL159:AL191)</f>
        <v>764.14020939087982</v>
      </c>
      <c r="AO159" s="188">
        <v>4</v>
      </c>
      <c r="AP159" s="188">
        <v>3172.4507179362354</v>
      </c>
      <c r="AQ159" s="185">
        <f>IFERROR(AP159/AO159,"")</f>
        <v>793.11267948405884</v>
      </c>
      <c r="AR159" s="182">
        <f>RANK(AQ159, AQ$159:AQ$191)</f>
        <v>13</v>
      </c>
      <c r="AS159" s="624">
        <f>AVERAGE(AQ159:AQ191)</f>
        <v>764.18133275187574</v>
      </c>
      <c r="AT159" s="188">
        <v>4</v>
      </c>
      <c r="AU159" s="188">
        <v>3172.6068482879277</v>
      </c>
      <c r="AV159" s="185">
        <f>IFERROR(AU159/AT159,"")</f>
        <v>793.15171207198193</v>
      </c>
      <c r="AW159" s="182">
        <f>RANK(AV159, AV$159:AV$191)</f>
        <v>13</v>
      </c>
      <c r="AX159" s="624">
        <f>AVERAGE(AV159:AV191)</f>
        <v>746.34937841683791</v>
      </c>
    </row>
    <row r="160" spans="1:50" ht="14.25" customHeight="1">
      <c r="B160" s="564"/>
      <c r="C160" s="180">
        <v>2</v>
      </c>
      <c r="D160" s="183" t="s">
        <v>405</v>
      </c>
      <c r="E160" s="184">
        <v>3</v>
      </c>
      <c r="F160" s="180">
        <v>3600</v>
      </c>
      <c r="G160" s="185">
        <f t="shared" ref="G160:G179" si="100">F160/E160</f>
        <v>1200</v>
      </c>
      <c r="H160" s="625"/>
      <c r="I160" s="186">
        <f t="shared" ref="I160:K188" si="101">AVERAGE(P160,U160,Z160,AE160,AJ160,AO160,AT160)</f>
        <v>3</v>
      </c>
      <c r="J160" s="186">
        <f t="shared" si="101"/>
        <v>3171.9650447007916</v>
      </c>
      <c r="K160" s="187">
        <f t="shared" si="101"/>
        <v>1057.3216815669307</v>
      </c>
      <c r="L160" s="626"/>
      <c r="M160" s="186">
        <f>RANK(K160, K$159:$K$191)</f>
        <v>7</v>
      </c>
      <c r="N160" s="631"/>
      <c r="O160" s="627"/>
      <c r="P160" s="188">
        <v>3</v>
      </c>
      <c r="Q160" s="188">
        <v>3171.280788177341</v>
      </c>
      <c r="R160" s="185">
        <f t="shared" si="98"/>
        <v>1057.0935960591137</v>
      </c>
      <c r="S160" s="182">
        <f t="shared" ref="S160:S187" si="102">RANK(R160, R$159:R$191)</f>
        <v>6</v>
      </c>
      <c r="T160" s="624"/>
      <c r="U160" s="188">
        <v>3</v>
      </c>
      <c r="V160" s="188">
        <v>3171.3636363636365</v>
      </c>
      <c r="W160" s="185">
        <f t="shared" si="99"/>
        <v>1057.1212121212122</v>
      </c>
      <c r="X160" s="182">
        <f t="shared" ref="X160:X187" si="103">RANK(W160, W$159:W$191)</f>
        <v>7</v>
      </c>
      <c r="Y160" s="624"/>
      <c r="Z160" s="188">
        <v>3</v>
      </c>
      <c r="AA160" s="188">
        <v>3171.5849843587062</v>
      </c>
      <c r="AB160" s="185">
        <f t="shared" ref="AB160:AB187" si="104">IFERROR(AA160/Z160,"")</f>
        <v>1057.1949947862354</v>
      </c>
      <c r="AC160" s="182">
        <f t="shared" ref="AC160:AC187" si="105">RANK(AB160, AB$159:AB$191)</f>
        <v>6</v>
      </c>
      <c r="AD160" s="624"/>
      <c r="AE160" s="188">
        <v>3</v>
      </c>
      <c r="AF160" s="188">
        <v>3171.7262938520321</v>
      </c>
      <c r="AG160" s="185">
        <f t="shared" ref="AG160:AG187" si="106">IFERROR(AF160/AE160,"")</f>
        <v>1057.2420979506774</v>
      </c>
      <c r="AH160" s="182">
        <f t="shared" ref="AH160:AH187" si="107">RANK(AG160, AG$159:AG$191)</f>
        <v>7</v>
      </c>
      <c r="AI160" s="624"/>
      <c r="AJ160" s="188">
        <v>3</v>
      </c>
      <c r="AK160" s="188">
        <v>3172.4635069381911</v>
      </c>
      <c r="AL160" s="185">
        <f t="shared" ref="AL160:AL187" si="108">IFERROR(AK160/AJ160,"")</f>
        <v>1057.4878356460638</v>
      </c>
      <c r="AM160" s="182">
        <f t="shared" ref="AM160:AM187" si="109">RANK(AL160, AL$159:AL$191)</f>
        <v>7</v>
      </c>
      <c r="AN160" s="624"/>
      <c r="AO160" s="188">
        <v>3</v>
      </c>
      <c r="AP160" s="188">
        <v>3172.4315469225385</v>
      </c>
      <c r="AQ160" s="185">
        <f t="shared" ref="AQ160:AQ187" si="110">IFERROR(AP160/AO160,"")</f>
        <v>1057.4771823075127</v>
      </c>
      <c r="AR160" s="182">
        <f t="shared" ref="AR160:AR187" si="111">RANK(AQ160, AQ$159:AQ$191)</f>
        <v>7</v>
      </c>
      <c r="AS160" s="624"/>
      <c r="AT160" s="188">
        <v>3</v>
      </c>
      <c r="AU160" s="188">
        <v>3172.9045562930955</v>
      </c>
      <c r="AV160" s="185">
        <f t="shared" ref="AV160:AV188" si="112">IFERROR(AU160/AT160,"")</f>
        <v>1057.6348520976985</v>
      </c>
      <c r="AW160" s="182">
        <f t="shared" ref="AW160:AW187" si="113">RANK(AV160, AV$159:AV$191)</f>
        <v>7</v>
      </c>
      <c r="AX160" s="624"/>
    </row>
    <row r="161" spans="2:50" ht="14.25" customHeight="1">
      <c r="B161" s="564"/>
      <c r="C161" s="180">
        <v>3</v>
      </c>
      <c r="D161" s="183" t="s">
        <v>406</v>
      </c>
      <c r="E161" s="184">
        <v>5</v>
      </c>
      <c r="F161" s="180">
        <v>3600</v>
      </c>
      <c r="G161" s="185">
        <f t="shared" si="100"/>
        <v>720</v>
      </c>
      <c r="H161" s="625"/>
      <c r="I161" s="186">
        <f t="shared" si="101"/>
        <v>5</v>
      </c>
      <c r="J161" s="186">
        <f t="shared" si="101"/>
        <v>3172.5178364534886</v>
      </c>
      <c r="K161" s="187">
        <f t="shared" si="101"/>
        <v>634.50356729069767</v>
      </c>
      <c r="L161" s="626"/>
      <c r="M161" s="186">
        <f>RANK(K161, K$159:$K$191)</f>
        <v>22</v>
      </c>
      <c r="N161" s="631"/>
      <c r="O161" s="627"/>
      <c r="P161" s="188">
        <v>5</v>
      </c>
      <c r="Q161" s="188">
        <v>3171.5702479338834</v>
      </c>
      <c r="R161" s="185">
        <f t="shared" si="98"/>
        <v>634.31404958677672</v>
      </c>
      <c r="S161" s="182">
        <f t="shared" si="102"/>
        <v>22</v>
      </c>
      <c r="T161" s="624"/>
      <c r="U161" s="188">
        <v>5</v>
      </c>
      <c r="V161" s="188">
        <v>3171.5089034676653</v>
      </c>
      <c r="W161" s="185">
        <f t="shared" si="99"/>
        <v>634.30178069353303</v>
      </c>
      <c r="X161" s="182">
        <f t="shared" si="103"/>
        <v>23</v>
      </c>
      <c r="Y161" s="624"/>
      <c r="Z161" s="188">
        <v>5</v>
      </c>
      <c r="AA161" s="188">
        <v>3171.808679125751</v>
      </c>
      <c r="AB161" s="185">
        <f t="shared" si="104"/>
        <v>634.36173582515016</v>
      </c>
      <c r="AC161" s="182">
        <f t="shared" si="105"/>
        <v>23</v>
      </c>
      <c r="AD161" s="624"/>
      <c r="AE161" s="188">
        <v>5</v>
      </c>
      <c r="AF161" s="188">
        <v>3172.8308138330917</v>
      </c>
      <c r="AG161" s="185">
        <f t="shared" si="106"/>
        <v>634.56616276661839</v>
      </c>
      <c r="AH161" s="182">
        <f t="shared" si="107"/>
        <v>22</v>
      </c>
      <c r="AI161" s="624"/>
      <c r="AJ161" s="188">
        <v>5</v>
      </c>
      <c r="AK161" s="188">
        <v>3173.1717871051515</v>
      </c>
      <c r="AL161" s="185">
        <f t="shared" si="108"/>
        <v>634.63435742103024</v>
      </c>
      <c r="AM161" s="182">
        <f t="shared" si="109"/>
        <v>22</v>
      </c>
      <c r="AN161" s="624"/>
      <c r="AO161" s="188">
        <v>5</v>
      </c>
      <c r="AP161" s="188">
        <v>3173.3791326749688</v>
      </c>
      <c r="AQ161" s="185">
        <f t="shared" si="110"/>
        <v>634.6758265349938</v>
      </c>
      <c r="AR161" s="182">
        <f t="shared" si="111"/>
        <v>22</v>
      </c>
      <c r="AS161" s="624"/>
      <c r="AT161" s="188">
        <v>5</v>
      </c>
      <c r="AU161" s="188">
        <v>3173.3552910339099</v>
      </c>
      <c r="AV161" s="185">
        <f t="shared" si="112"/>
        <v>634.67105820678194</v>
      </c>
      <c r="AW161" s="182">
        <f t="shared" si="113"/>
        <v>22</v>
      </c>
      <c r="AX161" s="624"/>
    </row>
    <row r="162" spans="2:50" ht="14.25" customHeight="1">
      <c r="B162" s="564"/>
      <c r="C162" s="180">
        <v>4</v>
      </c>
      <c r="D162" s="183" t="s">
        <v>231</v>
      </c>
      <c r="E162" s="184">
        <v>5</v>
      </c>
      <c r="F162" s="180">
        <v>3300</v>
      </c>
      <c r="G162" s="185">
        <f t="shared" si="100"/>
        <v>660</v>
      </c>
      <c r="H162" s="625"/>
      <c r="I162" s="186">
        <f t="shared" si="101"/>
        <v>5</v>
      </c>
      <c r="J162" s="186">
        <f t="shared" si="101"/>
        <v>2945.7178470136359</v>
      </c>
      <c r="K162" s="187">
        <f t="shared" si="101"/>
        <v>589.14356940272717</v>
      </c>
      <c r="L162" s="626"/>
      <c r="M162" s="186">
        <f>RANK(K162, K$159:$K$191)</f>
        <v>24</v>
      </c>
      <c r="N162" s="631"/>
      <c r="O162" s="627"/>
      <c r="P162" s="188">
        <v>5</v>
      </c>
      <c r="Q162" s="188">
        <v>2943.7858508604286</v>
      </c>
      <c r="R162" s="185">
        <f t="shared" si="98"/>
        <v>588.75717017208569</v>
      </c>
      <c r="S162" s="182">
        <f t="shared" si="102"/>
        <v>24</v>
      </c>
      <c r="T162" s="624"/>
      <c r="U162" s="188">
        <v>5</v>
      </c>
      <c r="V162" s="188">
        <v>2944.2038216560554</v>
      </c>
      <c r="W162" s="185">
        <f t="shared" si="99"/>
        <v>588.84076433121106</v>
      </c>
      <c r="X162" s="182">
        <f t="shared" si="103"/>
        <v>24</v>
      </c>
      <c r="Y162" s="624"/>
      <c r="Z162" s="188">
        <v>5</v>
      </c>
      <c r="AA162" s="188">
        <v>2945.2427184465987</v>
      </c>
      <c r="AB162" s="185">
        <f t="shared" si="104"/>
        <v>589.04854368931979</v>
      </c>
      <c r="AC162" s="182">
        <f t="shared" si="105"/>
        <v>24</v>
      </c>
      <c r="AD162" s="624"/>
      <c r="AE162" s="188">
        <v>5</v>
      </c>
      <c r="AF162" s="188">
        <v>2945.733788395894</v>
      </c>
      <c r="AG162" s="185">
        <f t="shared" si="106"/>
        <v>589.14675767917879</v>
      </c>
      <c r="AH162" s="182">
        <f t="shared" si="107"/>
        <v>24</v>
      </c>
      <c r="AI162" s="624"/>
      <c r="AJ162" s="188">
        <v>5</v>
      </c>
      <c r="AK162" s="188">
        <v>2947.2527472527654</v>
      </c>
      <c r="AL162" s="185">
        <f t="shared" si="108"/>
        <v>589.45054945055313</v>
      </c>
      <c r="AM162" s="182">
        <f t="shared" si="109"/>
        <v>24</v>
      </c>
      <c r="AN162" s="624"/>
      <c r="AO162" s="188">
        <v>5</v>
      </c>
      <c r="AP162" s="188">
        <v>2947.0697100555199</v>
      </c>
      <c r="AQ162" s="185">
        <f t="shared" si="110"/>
        <v>589.41394201110393</v>
      </c>
      <c r="AR162" s="182">
        <f t="shared" si="111"/>
        <v>24</v>
      </c>
      <c r="AS162" s="624"/>
      <c r="AT162" s="188">
        <v>5</v>
      </c>
      <c r="AU162" s="188">
        <v>2946.7362924281929</v>
      </c>
      <c r="AV162" s="185">
        <f t="shared" si="112"/>
        <v>589.34725848563858</v>
      </c>
      <c r="AW162" s="182">
        <f t="shared" si="113"/>
        <v>24</v>
      </c>
      <c r="AX162" s="624"/>
    </row>
    <row r="163" spans="2:50" ht="14.25" customHeight="1">
      <c r="B163" s="564"/>
      <c r="C163" s="180">
        <v>5</v>
      </c>
      <c r="D163" s="183" t="s">
        <v>402</v>
      </c>
      <c r="E163" s="184">
        <v>3</v>
      </c>
      <c r="F163" s="180">
        <v>3600</v>
      </c>
      <c r="G163" s="185">
        <f t="shared" si="100"/>
        <v>1200</v>
      </c>
      <c r="H163" s="625"/>
      <c r="I163" s="186">
        <f t="shared" si="101"/>
        <v>3</v>
      </c>
      <c r="J163" s="186">
        <f t="shared" si="101"/>
        <v>3174.2762730459431</v>
      </c>
      <c r="K163" s="187">
        <f t="shared" si="101"/>
        <v>1058.0920910153143</v>
      </c>
      <c r="L163" s="626"/>
      <c r="M163" s="186">
        <f>RANK(K163, K$159:$K$191)</f>
        <v>5</v>
      </c>
      <c r="N163" s="631"/>
      <c r="O163" s="627"/>
      <c r="P163" s="188">
        <v>3</v>
      </c>
      <c r="Q163" s="188">
        <v>3173.979238754328</v>
      </c>
      <c r="R163" s="185">
        <f t="shared" si="98"/>
        <v>1057.9930795847761</v>
      </c>
      <c r="S163" s="182">
        <f t="shared" si="102"/>
        <v>4</v>
      </c>
      <c r="T163" s="624"/>
      <c r="U163" s="188">
        <v>3</v>
      </c>
      <c r="V163" s="188">
        <v>3173.6677115987432</v>
      </c>
      <c r="W163" s="185">
        <f t="shared" si="99"/>
        <v>1057.889237199581</v>
      </c>
      <c r="X163" s="182">
        <f t="shared" si="103"/>
        <v>4</v>
      </c>
      <c r="Y163" s="624"/>
      <c r="Z163" s="188">
        <v>3</v>
      </c>
      <c r="AA163" s="188">
        <v>3173.7871107892847</v>
      </c>
      <c r="AB163" s="185">
        <f t="shared" si="104"/>
        <v>1057.9290369297617</v>
      </c>
      <c r="AC163" s="182">
        <f t="shared" si="105"/>
        <v>5</v>
      </c>
      <c r="AD163" s="624"/>
      <c r="AE163" s="188">
        <v>3</v>
      </c>
      <c r="AF163" s="188">
        <v>3174.3016759776538</v>
      </c>
      <c r="AG163" s="185">
        <f t="shared" si="106"/>
        <v>1058.100558659218</v>
      </c>
      <c r="AH163" s="182">
        <f t="shared" si="107"/>
        <v>4</v>
      </c>
      <c r="AI163" s="624"/>
      <c r="AJ163" s="188">
        <v>3</v>
      </c>
      <c r="AK163" s="188">
        <v>3174.4015632633191</v>
      </c>
      <c r="AL163" s="185">
        <f t="shared" si="108"/>
        <v>1058.1338544211064</v>
      </c>
      <c r="AM163" s="182">
        <f t="shared" si="109"/>
        <v>5</v>
      </c>
      <c r="AN163" s="624"/>
      <c r="AO163" s="188">
        <v>3</v>
      </c>
      <c r="AP163" s="188">
        <v>3174.7187293183333</v>
      </c>
      <c r="AQ163" s="185">
        <f t="shared" si="110"/>
        <v>1058.2395764394444</v>
      </c>
      <c r="AR163" s="182">
        <f t="shared" si="111"/>
        <v>5</v>
      </c>
      <c r="AS163" s="624"/>
      <c r="AT163" s="188">
        <v>3</v>
      </c>
      <c r="AU163" s="188">
        <v>3175.0778816199372</v>
      </c>
      <c r="AV163" s="185">
        <f t="shared" si="112"/>
        <v>1058.3592938733125</v>
      </c>
      <c r="AW163" s="182">
        <f t="shared" si="113"/>
        <v>5</v>
      </c>
      <c r="AX163" s="624"/>
    </row>
    <row r="164" spans="2:50" ht="14.25" customHeight="1">
      <c r="B164" s="564"/>
      <c r="C164" s="180">
        <v>6</v>
      </c>
      <c r="D164" s="183" t="s">
        <v>343</v>
      </c>
      <c r="E164" s="184">
        <v>3</v>
      </c>
      <c r="F164" s="180">
        <v>3000</v>
      </c>
      <c r="G164" s="185">
        <f t="shared" si="100"/>
        <v>1000</v>
      </c>
      <c r="H164" s="625"/>
      <c r="I164" s="186">
        <f t="shared" si="101"/>
        <v>3</v>
      </c>
      <c r="J164" s="186">
        <f t="shared" si="101"/>
        <v>2699.0591998746568</v>
      </c>
      <c r="K164" s="187">
        <f t="shared" si="101"/>
        <v>899.68639995821889</v>
      </c>
      <c r="L164" s="626"/>
      <c r="M164" s="186">
        <f>RANK(K164, K$159:$K$191)</f>
        <v>9</v>
      </c>
      <c r="N164" s="631"/>
      <c r="O164" s="627"/>
      <c r="P164" s="188">
        <v>3</v>
      </c>
      <c r="Q164" s="188">
        <v>2697.4691758598292</v>
      </c>
      <c r="R164" s="185">
        <f t="shared" si="98"/>
        <v>899.1563919532764</v>
      </c>
      <c r="S164" s="182">
        <f t="shared" si="102"/>
        <v>9</v>
      </c>
      <c r="T164" s="624"/>
      <c r="U164" s="188">
        <v>3</v>
      </c>
      <c r="V164" s="188">
        <v>2697.817941370949</v>
      </c>
      <c r="W164" s="185">
        <f t="shared" si="99"/>
        <v>899.27264712364968</v>
      </c>
      <c r="X164" s="182">
        <f t="shared" si="103"/>
        <v>9</v>
      </c>
      <c r="Y164" s="624"/>
      <c r="Z164" s="188">
        <v>3</v>
      </c>
      <c r="AA164" s="188">
        <v>2697.7381768334485</v>
      </c>
      <c r="AB164" s="185">
        <f t="shared" si="104"/>
        <v>899.2460589444828</v>
      </c>
      <c r="AC164" s="182">
        <f t="shared" si="105"/>
        <v>9</v>
      </c>
      <c r="AD164" s="624"/>
      <c r="AE164" s="188">
        <v>3</v>
      </c>
      <c r="AF164" s="188">
        <v>2700.0000000000023</v>
      </c>
      <c r="AG164" s="185">
        <f t="shared" si="106"/>
        <v>900.0000000000008</v>
      </c>
      <c r="AH164" s="182">
        <f t="shared" si="107"/>
        <v>9</v>
      </c>
      <c r="AI164" s="624"/>
      <c r="AJ164" s="188">
        <v>3</v>
      </c>
      <c r="AK164" s="188">
        <v>2700.0000000000041</v>
      </c>
      <c r="AL164" s="185">
        <f t="shared" si="108"/>
        <v>900.00000000000136</v>
      </c>
      <c r="AM164" s="182">
        <f t="shared" si="109"/>
        <v>9</v>
      </c>
      <c r="AN164" s="624"/>
      <c r="AO164" s="188">
        <v>3</v>
      </c>
      <c r="AP164" s="188">
        <v>2700.0000000000009</v>
      </c>
      <c r="AQ164" s="185">
        <f t="shared" si="110"/>
        <v>900.00000000000034</v>
      </c>
      <c r="AR164" s="182">
        <f t="shared" si="111"/>
        <v>10</v>
      </c>
      <c r="AS164" s="624"/>
      <c r="AT164" s="188">
        <v>3</v>
      </c>
      <c r="AU164" s="188">
        <v>2700.3891050583634</v>
      </c>
      <c r="AV164" s="185">
        <f t="shared" si="112"/>
        <v>900.12970168612117</v>
      </c>
      <c r="AW164" s="182">
        <f t="shared" si="113"/>
        <v>9</v>
      </c>
      <c r="AX164" s="624"/>
    </row>
    <row r="165" spans="2:50" ht="14.25" customHeight="1">
      <c r="B165" s="564"/>
      <c r="C165" s="180">
        <v>7</v>
      </c>
      <c r="D165" s="183" t="s">
        <v>404</v>
      </c>
      <c r="E165" s="184">
        <v>3</v>
      </c>
      <c r="F165" s="180">
        <v>3600</v>
      </c>
      <c r="G165" s="185">
        <f t="shared" si="100"/>
        <v>1200</v>
      </c>
      <c r="H165" s="625"/>
      <c r="I165" s="186">
        <f t="shared" si="101"/>
        <v>3</v>
      </c>
      <c r="J165" s="186">
        <f t="shared" si="101"/>
        <v>3177.1046237746014</v>
      </c>
      <c r="K165" s="187">
        <f t="shared" si="101"/>
        <v>1059.0348745915339</v>
      </c>
      <c r="L165" s="626"/>
      <c r="M165" s="186">
        <f>RANK(K165, K$159:$K$191)</f>
        <v>1</v>
      </c>
      <c r="N165" s="631"/>
      <c r="O165" s="627"/>
      <c r="P165" s="188">
        <v>3</v>
      </c>
      <c r="Q165" s="188">
        <v>3177.6129467296055</v>
      </c>
      <c r="R165" s="185">
        <f t="shared" si="98"/>
        <v>1059.2043155765352</v>
      </c>
      <c r="S165" s="182">
        <f t="shared" si="102"/>
        <v>1</v>
      </c>
      <c r="T165" s="624"/>
      <c r="U165" s="188">
        <v>3</v>
      </c>
      <c r="V165" s="188">
        <v>3177.4647887323986</v>
      </c>
      <c r="W165" s="185">
        <f t="shared" si="99"/>
        <v>1059.1549295774662</v>
      </c>
      <c r="X165" s="182">
        <f t="shared" si="103"/>
        <v>1</v>
      </c>
      <c r="Y165" s="624"/>
      <c r="Z165" s="188">
        <v>3</v>
      </c>
      <c r="AA165" s="188">
        <v>3176.4705882352905</v>
      </c>
      <c r="AB165" s="185">
        <f t="shared" si="104"/>
        <v>1058.8235294117635</v>
      </c>
      <c r="AC165" s="182">
        <f t="shared" si="105"/>
        <v>1</v>
      </c>
      <c r="AD165" s="624"/>
      <c r="AE165" s="188">
        <v>3</v>
      </c>
      <c r="AF165" s="188">
        <v>3175.8620689655168</v>
      </c>
      <c r="AG165" s="185">
        <f t="shared" si="106"/>
        <v>1058.6206896551723</v>
      </c>
      <c r="AH165" s="182">
        <f t="shared" si="107"/>
        <v>2</v>
      </c>
      <c r="AI165" s="624"/>
      <c r="AJ165" s="188">
        <v>3</v>
      </c>
      <c r="AK165" s="188">
        <v>3177.1195097037762</v>
      </c>
      <c r="AL165" s="185">
        <f t="shared" si="108"/>
        <v>1059.0398365679255</v>
      </c>
      <c r="AM165" s="182">
        <f t="shared" si="109"/>
        <v>1</v>
      </c>
      <c r="AN165" s="624"/>
      <c r="AO165" s="188">
        <v>3</v>
      </c>
      <c r="AP165" s="188">
        <v>3177.9960707269179</v>
      </c>
      <c r="AQ165" s="185">
        <f t="shared" si="110"/>
        <v>1059.3320235756394</v>
      </c>
      <c r="AR165" s="182">
        <f t="shared" si="111"/>
        <v>1</v>
      </c>
      <c r="AS165" s="624"/>
      <c r="AT165" s="188">
        <v>3</v>
      </c>
      <c r="AU165" s="188">
        <v>3177.206393328705</v>
      </c>
      <c r="AV165" s="185">
        <f t="shared" si="112"/>
        <v>1059.068797776235</v>
      </c>
      <c r="AW165" s="182">
        <f t="shared" si="113"/>
        <v>1</v>
      </c>
      <c r="AX165" s="624"/>
    </row>
    <row r="166" spans="2:50" ht="14.25" customHeight="1">
      <c r="B166" s="564"/>
      <c r="C166" s="180">
        <v>8</v>
      </c>
      <c r="D166" s="183" t="s">
        <v>403</v>
      </c>
      <c r="E166" s="184">
        <v>4</v>
      </c>
      <c r="F166" s="180">
        <v>3300</v>
      </c>
      <c r="G166" s="185">
        <f t="shared" si="100"/>
        <v>825</v>
      </c>
      <c r="H166" s="625"/>
      <c r="I166" s="186">
        <f t="shared" si="101"/>
        <v>4</v>
      </c>
      <c r="J166" s="186">
        <f t="shared" si="101"/>
        <v>2940.5167670407982</v>
      </c>
      <c r="K166" s="187">
        <f t="shared" si="101"/>
        <v>735.12919176019955</v>
      </c>
      <c r="L166" s="626"/>
      <c r="M166" s="186">
        <f>RANK(K166, K$159:$K$191)</f>
        <v>17</v>
      </c>
      <c r="N166" s="631"/>
      <c r="O166" s="627"/>
      <c r="P166" s="188">
        <v>4</v>
      </c>
      <c r="Q166" s="188">
        <v>2940.1759530791815</v>
      </c>
      <c r="R166" s="185">
        <f t="shared" si="98"/>
        <v>735.04398826979536</v>
      </c>
      <c r="S166" s="182">
        <f t="shared" si="102"/>
        <v>15</v>
      </c>
      <c r="T166" s="624"/>
      <c r="U166" s="188">
        <v>4</v>
      </c>
      <c r="V166" s="188">
        <v>2940.4050144647963</v>
      </c>
      <c r="W166" s="185">
        <f t="shared" si="99"/>
        <v>735.10125361619907</v>
      </c>
      <c r="X166" s="182">
        <f t="shared" si="103"/>
        <v>16</v>
      </c>
      <c r="Y166" s="624"/>
      <c r="Z166" s="188">
        <v>4</v>
      </c>
      <c r="AA166" s="188">
        <v>2939.4331178518087</v>
      </c>
      <c r="AB166" s="185">
        <f t="shared" si="104"/>
        <v>734.85827946295217</v>
      </c>
      <c r="AC166" s="182">
        <f t="shared" si="105"/>
        <v>18</v>
      </c>
      <c r="AD166" s="624"/>
      <c r="AE166" s="188">
        <v>4</v>
      </c>
      <c r="AF166" s="188">
        <v>2939.7489539748981</v>
      </c>
      <c r="AG166" s="185">
        <f t="shared" si="106"/>
        <v>734.93723849372452</v>
      </c>
      <c r="AH166" s="182">
        <f t="shared" si="107"/>
        <v>18</v>
      </c>
      <c r="AI166" s="624"/>
      <c r="AJ166" s="188">
        <v>4</v>
      </c>
      <c r="AK166" s="188">
        <v>2941.4965986394541</v>
      </c>
      <c r="AL166" s="185">
        <f t="shared" si="108"/>
        <v>735.37414965986352</v>
      </c>
      <c r="AM166" s="182">
        <f t="shared" si="109"/>
        <v>17</v>
      </c>
      <c r="AN166" s="624"/>
      <c r="AO166" s="188">
        <v>4</v>
      </c>
      <c r="AP166" s="188">
        <v>2941.3407821229057</v>
      </c>
      <c r="AQ166" s="185">
        <f t="shared" si="110"/>
        <v>735.33519553072642</v>
      </c>
      <c r="AR166" s="182">
        <f t="shared" si="111"/>
        <v>17</v>
      </c>
      <c r="AS166" s="624"/>
      <c r="AT166" s="188">
        <v>4</v>
      </c>
      <c r="AU166" s="188">
        <v>2941.0169491525448</v>
      </c>
      <c r="AV166" s="185">
        <f t="shared" si="112"/>
        <v>735.25423728813621</v>
      </c>
      <c r="AW166" s="182">
        <f t="shared" si="113"/>
        <v>17</v>
      </c>
      <c r="AX166" s="624"/>
    </row>
    <row r="167" spans="2:50" ht="14.25" customHeight="1">
      <c r="B167" s="564"/>
      <c r="C167" s="180">
        <v>9</v>
      </c>
      <c r="D167" s="183" t="s">
        <v>401</v>
      </c>
      <c r="E167" s="184">
        <v>4</v>
      </c>
      <c r="F167" s="180">
        <v>3300</v>
      </c>
      <c r="G167" s="185">
        <f t="shared" si="100"/>
        <v>825</v>
      </c>
      <c r="H167" s="625"/>
      <c r="I167" s="186">
        <f t="shared" si="101"/>
        <v>4</v>
      </c>
      <c r="J167" s="186">
        <f t="shared" si="101"/>
        <v>2940.2396250173651</v>
      </c>
      <c r="K167" s="187">
        <f t="shared" si="101"/>
        <v>735.05990625434129</v>
      </c>
      <c r="L167" s="626"/>
      <c r="M167" s="186">
        <f>RANK(K167, K$159:$K$191)</f>
        <v>18</v>
      </c>
      <c r="N167" s="631"/>
      <c r="O167" s="627"/>
      <c r="P167" s="188">
        <v>4</v>
      </c>
      <c r="Q167" s="188">
        <v>2939.6700706991378</v>
      </c>
      <c r="R167" s="185">
        <f t="shared" si="98"/>
        <v>734.91751767478445</v>
      </c>
      <c r="S167" s="182">
        <f t="shared" si="102"/>
        <v>17</v>
      </c>
      <c r="T167" s="624"/>
      <c r="U167" s="188">
        <v>4</v>
      </c>
      <c r="V167" s="188">
        <v>2940.2618008726668</v>
      </c>
      <c r="W167" s="185">
        <f t="shared" si="99"/>
        <v>735.06545021816669</v>
      </c>
      <c r="X167" s="182">
        <f t="shared" si="103"/>
        <v>17</v>
      </c>
      <c r="Y167" s="624"/>
      <c r="Z167" s="188">
        <v>4</v>
      </c>
      <c r="AA167" s="188">
        <v>2939.9030694668818</v>
      </c>
      <c r="AB167" s="185">
        <f t="shared" si="104"/>
        <v>734.97576736672045</v>
      </c>
      <c r="AC167" s="182">
        <f t="shared" si="105"/>
        <v>16</v>
      </c>
      <c r="AD167" s="624"/>
      <c r="AE167" s="188">
        <v>4</v>
      </c>
      <c r="AF167" s="188">
        <v>2940.1301518438195</v>
      </c>
      <c r="AG167" s="185">
        <f t="shared" si="106"/>
        <v>735.03253796095487</v>
      </c>
      <c r="AH167" s="182">
        <f t="shared" si="107"/>
        <v>17</v>
      </c>
      <c r="AI167" s="624"/>
      <c r="AJ167" s="188">
        <v>4</v>
      </c>
      <c r="AK167" s="188">
        <v>2940.0681044267899</v>
      </c>
      <c r="AL167" s="185">
        <f t="shared" si="108"/>
        <v>735.01702610669747</v>
      </c>
      <c r="AM167" s="182">
        <f t="shared" si="109"/>
        <v>18</v>
      </c>
      <c r="AN167" s="624"/>
      <c r="AO167" s="188">
        <v>4</v>
      </c>
      <c r="AP167" s="188">
        <v>2941.0216718266252</v>
      </c>
      <c r="AQ167" s="185">
        <f t="shared" si="110"/>
        <v>735.25541795665629</v>
      </c>
      <c r="AR167" s="182">
        <f t="shared" si="111"/>
        <v>18</v>
      </c>
      <c r="AS167" s="624"/>
      <c r="AT167" s="188">
        <v>4</v>
      </c>
      <c r="AU167" s="188">
        <v>2940.6225059856342</v>
      </c>
      <c r="AV167" s="185">
        <f t="shared" si="112"/>
        <v>735.15562649640856</v>
      </c>
      <c r="AW167" s="182">
        <f t="shared" si="113"/>
        <v>18</v>
      </c>
      <c r="AX167" s="624"/>
    </row>
    <row r="168" spans="2:50" ht="14.25" customHeight="1">
      <c r="B168" s="564"/>
      <c r="C168" s="180">
        <v>10</v>
      </c>
      <c r="D168" s="183" t="s">
        <v>230</v>
      </c>
      <c r="E168" s="184">
        <v>3</v>
      </c>
      <c r="F168" s="180">
        <v>3000</v>
      </c>
      <c r="G168" s="185">
        <f t="shared" si="100"/>
        <v>1000</v>
      </c>
      <c r="H168" s="625"/>
      <c r="I168" s="186">
        <f t="shared" si="101"/>
        <v>3</v>
      </c>
      <c r="J168" s="186">
        <f t="shared" si="101"/>
        <v>2698.0467344434228</v>
      </c>
      <c r="K168" s="187">
        <f t="shared" si="101"/>
        <v>899.34891148114093</v>
      </c>
      <c r="L168" s="626"/>
      <c r="M168" s="186">
        <f>RANK(K168, K$159:$K$191)</f>
        <v>11</v>
      </c>
      <c r="N168" s="631"/>
      <c r="O168" s="627"/>
      <c r="P168" s="188">
        <v>3</v>
      </c>
      <c r="Q168" s="188">
        <v>2696.6651845264546</v>
      </c>
      <c r="R168" s="185">
        <f t="shared" si="98"/>
        <v>898.88839484215157</v>
      </c>
      <c r="S168" s="182">
        <f t="shared" si="102"/>
        <v>11</v>
      </c>
      <c r="T168" s="624"/>
      <c r="U168" s="188">
        <v>3</v>
      </c>
      <c r="V168" s="188">
        <v>2696.8353462773266</v>
      </c>
      <c r="W168" s="185">
        <f t="shared" si="99"/>
        <v>898.9451154257755</v>
      </c>
      <c r="X168" s="182">
        <f t="shared" si="103"/>
        <v>11</v>
      </c>
      <c r="Y168" s="624"/>
      <c r="Z168" s="188">
        <v>3</v>
      </c>
      <c r="AA168" s="188">
        <v>2697.2981513667246</v>
      </c>
      <c r="AB168" s="185">
        <f t="shared" si="104"/>
        <v>899.0993837889082</v>
      </c>
      <c r="AC168" s="182">
        <f t="shared" si="105"/>
        <v>11</v>
      </c>
      <c r="AD168" s="624"/>
      <c r="AE168" s="188">
        <v>3</v>
      </c>
      <c r="AF168" s="188">
        <v>2698.8929889298893</v>
      </c>
      <c r="AG168" s="185">
        <f t="shared" si="106"/>
        <v>899.63099630996305</v>
      </c>
      <c r="AH168" s="182">
        <f t="shared" si="107"/>
        <v>10</v>
      </c>
      <c r="AI168" s="624"/>
      <c r="AJ168" s="188">
        <v>3</v>
      </c>
      <c r="AK168" s="188">
        <v>2698.8505747126487</v>
      </c>
      <c r="AL168" s="185">
        <f t="shared" si="108"/>
        <v>899.61685823754954</v>
      </c>
      <c r="AM168" s="182">
        <f t="shared" si="109"/>
        <v>11</v>
      </c>
      <c r="AN168" s="624"/>
      <c r="AO168" s="188">
        <v>3</v>
      </c>
      <c r="AP168" s="188">
        <v>2698.8518781006383</v>
      </c>
      <c r="AQ168" s="185">
        <f t="shared" si="110"/>
        <v>899.61729270021272</v>
      </c>
      <c r="AR168" s="182">
        <f t="shared" si="111"/>
        <v>11</v>
      </c>
      <c r="AS168" s="624"/>
      <c r="AT168" s="188">
        <v>3</v>
      </c>
      <c r="AU168" s="188">
        <v>2698.9330171902784</v>
      </c>
      <c r="AV168" s="185">
        <f t="shared" si="112"/>
        <v>899.64433906342617</v>
      </c>
      <c r="AW168" s="182">
        <f t="shared" si="113"/>
        <v>11</v>
      </c>
      <c r="AX168" s="624"/>
    </row>
    <row r="169" spans="2:50" ht="14.25" customHeight="1">
      <c r="B169" s="564"/>
      <c r="C169" s="180">
        <v>11</v>
      </c>
      <c r="D169" s="183" t="s">
        <v>481</v>
      </c>
      <c r="E169" s="184">
        <v>12</v>
      </c>
      <c r="F169" s="180">
        <v>3600</v>
      </c>
      <c r="G169" s="185">
        <f t="shared" si="100"/>
        <v>300</v>
      </c>
      <c r="H169" s="625"/>
      <c r="I169" s="186">
        <f t="shared" si="101"/>
        <v>12</v>
      </c>
      <c r="J169" s="186">
        <f t="shared" si="101"/>
        <v>3125.8216356895105</v>
      </c>
      <c r="K169" s="187">
        <f t="shared" si="101"/>
        <v>260.48513630745919</v>
      </c>
      <c r="L169" s="626"/>
      <c r="M169" s="186">
        <f>RANK(K169, K$159:$K$191)</f>
        <v>29</v>
      </c>
      <c r="N169" s="631"/>
      <c r="O169" s="627"/>
      <c r="P169" s="188">
        <v>12</v>
      </c>
      <c r="Q169" s="188">
        <v>3125.342465753426</v>
      </c>
      <c r="R169" s="185">
        <f t="shared" si="98"/>
        <v>260.44520547945217</v>
      </c>
      <c r="S169" s="182">
        <f t="shared" si="102"/>
        <v>29</v>
      </c>
      <c r="T169" s="624"/>
      <c r="U169" s="188">
        <v>12</v>
      </c>
      <c r="V169" s="188">
        <v>3125.913338997455</v>
      </c>
      <c r="W169" s="185">
        <f t="shared" si="99"/>
        <v>260.49277824978793</v>
      </c>
      <c r="X169" s="182">
        <f t="shared" si="103"/>
        <v>29</v>
      </c>
      <c r="Y169" s="624"/>
      <c r="Z169" s="188">
        <v>12</v>
      </c>
      <c r="AA169" s="188">
        <v>3125.1533742331285</v>
      </c>
      <c r="AB169" s="185">
        <f t="shared" si="104"/>
        <v>260.42944785276069</v>
      </c>
      <c r="AC169" s="182">
        <f t="shared" si="105"/>
        <v>29</v>
      </c>
      <c r="AD169" s="624"/>
      <c r="AE169" s="188">
        <v>12</v>
      </c>
      <c r="AF169" s="188">
        <v>3125.1847640704973</v>
      </c>
      <c r="AG169" s="185">
        <f t="shared" si="106"/>
        <v>260.43206367254146</v>
      </c>
      <c r="AH169" s="182">
        <f t="shared" si="107"/>
        <v>28</v>
      </c>
      <c r="AI169" s="624"/>
      <c r="AJ169" s="188">
        <v>12</v>
      </c>
      <c r="AK169" s="188">
        <v>3126.2044653349017</v>
      </c>
      <c r="AL169" s="185">
        <f t="shared" si="108"/>
        <v>260.51703877790845</v>
      </c>
      <c r="AM169" s="182">
        <f t="shared" si="109"/>
        <v>28</v>
      </c>
      <c r="AN169" s="624"/>
      <c r="AO169" s="188">
        <v>12</v>
      </c>
      <c r="AP169" s="188">
        <v>3126.4329896907257</v>
      </c>
      <c r="AQ169" s="185">
        <f t="shared" si="110"/>
        <v>260.53608247422716</v>
      </c>
      <c r="AR169" s="182">
        <f t="shared" si="111"/>
        <v>28</v>
      </c>
      <c r="AS169" s="624"/>
      <c r="AT169" s="188">
        <v>12</v>
      </c>
      <c r="AU169" s="188">
        <v>3126.5200517464386</v>
      </c>
      <c r="AV169" s="185">
        <f t="shared" si="112"/>
        <v>260.54333764553655</v>
      </c>
      <c r="AW169" s="182">
        <f t="shared" si="113"/>
        <v>28</v>
      </c>
      <c r="AX169" s="624"/>
    </row>
    <row r="170" spans="2:50" ht="14.25" customHeight="1">
      <c r="B170" s="564"/>
      <c r="C170" s="180">
        <v>12</v>
      </c>
      <c r="D170" s="183" t="s">
        <v>516</v>
      </c>
      <c r="E170" s="184">
        <v>3</v>
      </c>
      <c r="F170" s="180">
        <v>3300</v>
      </c>
      <c r="G170" s="185">
        <f t="shared" si="100"/>
        <v>1100</v>
      </c>
      <c r="H170" s="625"/>
      <c r="I170" s="186">
        <f t="shared" si="101"/>
        <v>3</v>
      </c>
      <c r="J170" s="186">
        <f t="shared" si="101"/>
        <v>2970.9880610773475</v>
      </c>
      <c r="K170" s="187">
        <f t="shared" si="101"/>
        <v>990.32935369244933</v>
      </c>
      <c r="L170" s="626"/>
      <c r="M170" s="186">
        <f>RANK(K170, K$159:$K$191)</f>
        <v>8</v>
      </c>
      <c r="N170" s="631"/>
      <c r="O170" s="627"/>
      <c r="P170" s="188">
        <v>3</v>
      </c>
      <c r="Q170" s="188">
        <v>2970.9890109890111</v>
      </c>
      <c r="R170" s="185">
        <f t="shared" si="98"/>
        <v>990.32967032967042</v>
      </c>
      <c r="S170" s="182">
        <f t="shared" si="102"/>
        <v>8</v>
      </c>
      <c r="T170" s="624"/>
      <c r="U170" s="188">
        <v>3</v>
      </c>
      <c r="V170" s="188">
        <v>2970.7549308546813</v>
      </c>
      <c r="W170" s="185">
        <f t="shared" si="99"/>
        <v>990.25164361822715</v>
      </c>
      <c r="X170" s="182">
        <f t="shared" si="103"/>
        <v>8</v>
      </c>
      <c r="Y170" s="624"/>
      <c r="Z170" s="188">
        <v>3</v>
      </c>
      <c r="AA170" s="188">
        <v>2971.1199812162463</v>
      </c>
      <c r="AB170" s="185">
        <f t="shared" si="104"/>
        <v>990.37332707208213</v>
      </c>
      <c r="AC170" s="182">
        <f t="shared" si="105"/>
        <v>8</v>
      </c>
      <c r="AD170" s="624"/>
      <c r="AE170" s="188">
        <v>3</v>
      </c>
      <c r="AF170" s="188">
        <v>2971.1929307805622</v>
      </c>
      <c r="AG170" s="185">
        <f t="shared" si="106"/>
        <v>990.39764359352068</v>
      </c>
      <c r="AH170" s="182">
        <f t="shared" si="107"/>
        <v>8</v>
      </c>
      <c r="AI170" s="624"/>
      <c r="AJ170" s="188">
        <v>3</v>
      </c>
      <c r="AK170" s="188">
        <v>2970.9497206703909</v>
      </c>
      <c r="AL170" s="185">
        <f t="shared" si="108"/>
        <v>990.31657355679693</v>
      </c>
      <c r="AM170" s="182">
        <f t="shared" si="109"/>
        <v>8</v>
      </c>
      <c r="AN170" s="624"/>
      <c r="AO170" s="188">
        <v>3</v>
      </c>
      <c r="AP170" s="188">
        <v>2970.8589607635222</v>
      </c>
      <c r="AQ170" s="185">
        <f t="shared" si="110"/>
        <v>990.28632025450736</v>
      </c>
      <c r="AR170" s="182">
        <f t="shared" si="111"/>
        <v>8</v>
      </c>
      <c r="AS170" s="624"/>
      <c r="AT170" s="188">
        <v>3</v>
      </c>
      <c r="AU170" s="188">
        <v>2971.0508922670197</v>
      </c>
      <c r="AV170" s="185">
        <f t="shared" si="112"/>
        <v>990.35029742233985</v>
      </c>
      <c r="AW170" s="182">
        <f t="shared" si="113"/>
        <v>8</v>
      </c>
      <c r="AX170" s="624"/>
    </row>
    <row r="171" spans="2:50" ht="14.25" customHeight="1">
      <c r="B171" s="564"/>
      <c r="C171" s="180">
        <v>13</v>
      </c>
      <c r="D171" s="183" t="s">
        <v>415</v>
      </c>
      <c r="E171" s="184">
        <v>5</v>
      </c>
      <c r="F171" s="180">
        <v>3600</v>
      </c>
      <c r="G171" s="185">
        <f t="shared" si="100"/>
        <v>720</v>
      </c>
      <c r="H171" s="625"/>
      <c r="I171" s="186">
        <f t="shared" si="101"/>
        <v>5</v>
      </c>
      <c r="J171" s="186">
        <f t="shared" si="101"/>
        <v>3172.0115438483458</v>
      </c>
      <c r="K171" s="187">
        <f t="shared" si="101"/>
        <v>634.40230876966928</v>
      </c>
      <c r="L171" s="626"/>
      <c r="M171" s="186">
        <f>RANK(K171, K$159:$K$191)</f>
        <v>23</v>
      </c>
      <c r="N171" s="631"/>
      <c r="O171" s="627"/>
      <c r="P171" s="188">
        <v>5</v>
      </c>
      <c r="Q171" s="188">
        <v>3171.3232825168088</v>
      </c>
      <c r="R171" s="185">
        <f t="shared" si="98"/>
        <v>634.26465650336172</v>
      </c>
      <c r="S171" s="182">
        <f t="shared" si="102"/>
        <v>23</v>
      </c>
      <c r="T171" s="624"/>
      <c r="U171" s="188">
        <v>5</v>
      </c>
      <c r="V171" s="188">
        <v>3171.9744937767318</v>
      </c>
      <c r="W171" s="185">
        <f t="shared" si="99"/>
        <v>634.39489875534639</v>
      </c>
      <c r="X171" s="182">
        <f t="shared" si="103"/>
        <v>22</v>
      </c>
      <c r="Y171" s="624"/>
      <c r="Z171" s="188">
        <v>5</v>
      </c>
      <c r="AA171" s="188">
        <v>3172.2179043063888</v>
      </c>
      <c r="AB171" s="185">
        <f t="shared" si="104"/>
        <v>634.44358086127772</v>
      </c>
      <c r="AC171" s="182">
        <f t="shared" si="105"/>
        <v>22</v>
      </c>
      <c r="AD171" s="624"/>
      <c r="AE171" s="188">
        <v>5</v>
      </c>
      <c r="AF171" s="188">
        <v>3172.090136597647</v>
      </c>
      <c r="AG171" s="185">
        <f t="shared" si="106"/>
        <v>634.41802731952941</v>
      </c>
      <c r="AH171" s="182">
        <f t="shared" si="107"/>
        <v>23</v>
      </c>
      <c r="AI171" s="624"/>
      <c r="AJ171" s="188">
        <v>5</v>
      </c>
      <c r="AK171" s="188">
        <v>3172.0624522909275</v>
      </c>
      <c r="AL171" s="185">
        <f t="shared" si="108"/>
        <v>634.41249045818552</v>
      </c>
      <c r="AM171" s="182">
        <f t="shared" si="109"/>
        <v>23</v>
      </c>
      <c r="AN171" s="624"/>
      <c r="AO171" s="188">
        <v>5</v>
      </c>
      <c r="AP171" s="188">
        <v>3172.0615776928162</v>
      </c>
      <c r="AQ171" s="185">
        <f t="shared" si="110"/>
        <v>634.41231553856323</v>
      </c>
      <c r="AR171" s="182">
        <f t="shared" si="111"/>
        <v>23</v>
      </c>
      <c r="AS171" s="624"/>
      <c r="AT171" s="188">
        <v>5</v>
      </c>
      <c r="AU171" s="188">
        <v>3172.3509597571037</v>
      </c>
      <c r="AV171" s="185">
        <f t="shared" si="112"/>
        <v>634.4701919514207</v>
      </c>
      <c r="AW171" s="182">
        <f t="shared" si="113"/>
        <v>23</v>
      </c>
      <c r="AX171" s="624"/>
    </row>
    <row r="172" spans="2:50" ht="14.25" customHeight="1">
      <c r="B172" s="564"/>
      <c r="C172" s="180">
        <v>14</v>
      </c>
      <c r="D172" s="183" t="s">
        <v>414</v>
      </c>
      <c r="E172" s="184">
        <v>3</v>
      </c>
      <c r="F172" s="180">
        <v>3600</v>
      </c>
      <c r="G172" s="185">
        <f t="shared" si="100"/>
        <v>1200</v>
      </c>
      <c r="H172" s="625"/>
      <c r="I172" s="186">
        <f t="shared" si="101"/>
        <v>3</v>
      </c>
      <c r="J172" s="186">
        <f t="shared" si="101"/>
        <v>3174.8072215353018</v>
      </c>
      <c r="K172" s="187">
        <f t="shared" si="101"/>
        <v>1058.2690738451006</v>
      </c>
      <c r="L172" s="626"/>
      <c r="M172" s="186">
        <f>RANK(K172, K$159:$K$191)</f>
        <v>3</v>
      </c>
      <c r="N172" s="631"/>
      <c r="O172" s="627"/>
      <c r="P172" s="188">
        <v>3</v>
      </c>
      <c r="Q172" s="188">
        <v>3174.2714263619541</v>
      </c>
      <c r="R172" s="185">
        <f t="shared" si="98"/>
        <v>1058.0904754539847</v>
      </c>
      <c r="S172" s="182">
        <f t="shared" si="102"/>
        <v>3</v>
      </c>
      <c r="T172" s="624"/>
      <c r="U172" s="188">
        <v>3</v>
      </c>
      <c r="V172" s="188">
        <v>3174.4081282254024</v>
      </c>
      <c r="W172" s="185">
        <f t="shared" si="99"/>
        <v>1058.1360427418008</v>
      </c>
      <c r="X172" s="182">
        <f t="shared" si="103"/>
        <v>3</v>
      </c>
      <c r="Y172" s="624"/>
      <c r="Z172" s="188">
        <v>3</v>
      </c>
      <c r="AA172" s="188">
        <v>3174.6522486576023</v>
      </c>
      <c r="AB172" s="185">
        <f t="shared" si="104"/>
        <v>1058.2174162192007</v>
      </c>
      <c r="AC172" s="182">
        <f t="shared" si="105"/>
        <v>4</v>
      </c>
      <c r="AD172" s="624"/>
      <c r="AE172" s="188">
        <v>3</v>
      </c>
      <c r="AF172" s="188">
        <v>3174.9235513019012</v>
      </c>
      <c r="AG172" s="185">
        <f t="shared" si="106"/>
        <v>1058.3078504339671</v>
      </c>
      <c r="AH172" s="182">
        <f t="shared" si="107"/>
        <v>3</v>
      </c>
      <c r="AI172" s="624"/>
      <c r="AJ172" s="188">
        <v>3</v>
      </c>
      <c r="AK172" s="188">
        <v>3175.3395850384895</v>
      </c>
      <c r="AL172" s="185">
        <f t="shared" si="108"/>
        <v>1058.4465283461632</v>
      </c>
      <c r="AM172" s="182">
        <f t="shared" si="109"/>
        <v>3</v>
      </c>
      <c r="AN172" s="624"/>
      <c r="AO172" s="188">
        <v>3</v>
      </c>
      <c r="AP172" s="188">
        <v>3174.9631382973648</v>
      </c>
      <c r="AQ172" s="185">
        <f t="shared" si="110"/>
        <v>1058.3210460991215</v>
      </c>
      <c r="AR172" s="182">
        <f t="shared" si="111"/>
        <v>4</v>
      </c>
      <c r="AS172" s="624"/>
      <c r="AT172" s="188">
        <v>3</v>
      </c>
      <c r="AU172" s="188">
        <v>3175.0924728643977</v>
      </c>
      <c r="AV172" s="185">
        <f t="shared" si="112"/>
        <v>1058.3641576214659</v>
      </c>
      <c r="AW172" s="182">
        <f t="shared" si="113"/>
        <v>4</v>
      </c>
      <c r="AX172" s="624"/>
    </row>
    <row r="173" spans="2:50" ht="14.25" customHeight="1">
      <c r="B173" s="564"/>
      <c r="C173" s="180">
        <v>15</v>
      </c>
      <c r="D173" s="183" t="s">
        <v>416</v>
      </c>
      <c r="E173" s="184">
        <v>4</v>
      </c>
      <c r="F173" s="180">
        <v>3600</v>
      </c>
      <c r="G173" s="185">
        <f t="shared" si="100"/>
        <v>900</v>
      </c>
      <c r="H173" s="625"/>
      <c r="I173" s="186">
        <f t="shared" si="101"/>
        <v>4</v>
      </c>
      <c r="J173" s="186">
        <f t="shared" si="101"/>
        <v>3176.2420900641346</v>
      </c>
      <c r="K173" s="187">
        <f t="shared" si="101"/>
        <v>794.06052251603364</v>
      </c>
      <c r="L173" s="626"/>
      <c r="M173" s="186">
        <f>RANK(K173, K$159:$K$191)</f>
        <v>12</v>
      </c>
      <c r="N173" s="631"/>
      <c r="O173" s="627"/>
      <c r="P173" s="188">
        <v>4</v>
      </c>
      <c r="Q173" s="188">
        <v>3176.1883301037169</v>
      </c>
      <c r="R173" s="185">
        <f t="shared" si="98"/>
        <v>794.04708252592923</v>
      </c>
      <c r="S173" s="182">
        <f t="shared" si="102"/>
        <v>12</v>
      </c>
      <c r="T173" s="624"/>
      <c r="U173" s="188">
        <v>4</v>
      </c>
      <c r="V173" s="188">
        <v>3176.2205463731561</v>
      </c>
      <c r="W173" s="185">
        <f t="shared" si="99"/>
        <v>794.05513659328903</v>
      </c>
      <c r="X173" s="182">
        <f t="shared" si="103"/>
        <v>12</v>
      </c>
      <c r="Y173" s="624"/>
      <c r="Z173" s="188">
        <v>4</v>
      </c>
      <c r="AA173" s="188">
        <v>3176.0121486822509</v>
      </c>
      <c r="AB173" s="185">
        <f t="shared" si="104"/>
        <v>794.00303717056272</v>
      </c>
      <c r="AC173" s="182">
        <f t="shared" si="105"/>
        <v>12</v>
      </c>
      <c r="AD173" s="624"/>
      <c r="AE173" s="188">
        <v>4</v>
      </c>
      <c r="AF173" s="188">
        <v>3175.5915649416165</v>
      </c>
      <c r="AG173" s="185">
        <f t="shared" si="106"/>
        <v>793.89789123540413</v>
      </c>
      <c r="AH173" s="182">
        <f t="shared" si="107"/>
        <v>12</v>
      </c>
      <c r="AI173" s="624"/>
      <c r="AJ173" s="188">
        <v>4</v>
      </c>
      <c r="AK173" s="188">
        <v>3176.2642923436124</v>
      </c>
      <c r="AL173" s="185">
        <f t="shared" si="108"/>
        <v>794.0660730859031</v>
      </c>
      <c r="AM173" s="182">
        <f t="shared" si="109"/>
        <v>12</v>
      </c>
      <c r="AN173" s="624"/>
      <c r="AO173" s="188">
        <v>4</v>
      </c>
      <c r="AP173" s="188">
        <v>3176.663935368425</v>
      </c>
      <c r="AQ173" s="185">
        <f t="shared" si="110"/>
        <v>794.16598384210624</v>
      </c>
      <c r="AR173" s="182">
        <f t="shared" si="111"/>
        <v>12</v>
      </c>
      <c r="AS173" s="624"/>
      <c r="AT173" s="188">
        <v>4</v>
      </c>
      <c r="AU173" s="188">
        <v>3176.7538126361655</v>
      </c>
      <c r="AV173" s="185">
        <f t="shared" si="112"/>
        <v>794.18845315904139</v>
      </c>
      <c r="AW173" s="182">
        <f t="shared" si="113"/>
        <v>12</v>
      </c>
      <c r="AX173" s="624"/>
    </row>
    <row r="174" spans="2:50" ht="14.25" customHeight="1">
      <c r="B174" s="564"/>
      <c r="C174" s="180">
        <v>16</v>
      </c>
      <c r="D174" s="183" t="s">
        <v>348</v>
      </c>
      <c r="E174" s="184">
        <v>5</v>
      </c>
      <c r="F174" s="180">
        <v>3300</v>
      </c>
      <c r="G174" s="185">
        <f t="shared" si="100"/>
        <v>660</v>
      </c>
      <c r="H174" s="625"/>
      <c r="I174" s="186">
        <f t="shared" si="101"/>
        <v>5</v>
      </c>
      <c r="J174" s="186">
        <f t="shared" si="101"/>
        <v>2939.5045288172228</v>
      </c>
      <c r="K174" s="187">
        <f t="shared" si="101"/>
        <v>587.9009057634446</v>
      </c>
      <c r="L174" s="626"/>
      <c r="M174" s="186">
        <f>RANK(K174, K$159:$K$191)</f>
        <v>25</v>
      </c>
      <c r="N174" s="631"/>
      <c r="O174" s="627"/>
      <c r="P174" s="188">
        <v>5</v>
      </c>
      <c r="Q174" s="188">
        <v>2938.4433838569198</v>
      </c>
      <c r="R174" s="185">
        <f t="shared" si="98"/>
        <v>587.68867677138394</v>
      </c>
      <c r="S174" s="182">
        <f t="shared" si="102"/>
        <v>25</v>
      </c>
      <c r="T174" s="624"/>
      <c r="U174" s="188">
        <v>5</v>
      </c>
      <c r="V174" s="188">
        <v>2940.2245416791752</v>
      </c>
      <c r="W174" s="185">
        <f t="shared" si="99"/>
        <v>588.04490833583509</v>
      </c>
      <c r="X174" s="182">
        <f t="shared" si="103"/>
        <v>25</v>
      </c>
      <c r="Y174" s="624"/>
      <c r="Z174" s="188">
        <v>5</v>
      </c>
      <c r="AA174" s="188">
        <v>2937.5126390293235</v>
      </c>
      <c r="AB174" s="185">
        <f t="shared" si="104"/>
        <v>587.5025278058647</v>
      </c>
      <c r="AC174" s="182">
        <f t="shared" si="105"/>
        <v>25</v>
      </c>
      <c r="AD174" s="624"/>
      <c r="AE174" s="188">
        <v>5</v>
      </c>
      <c r="AF174" s="188">
        <v>2937.480559875592</v>
      </c>
      <c r="AG174" s="185">
        <f t="shared" si="106"/>
        <v>587.49611197511842</v>
      </c>
      <c r="AH174" s="182">
        <f t="shared" si="107"/>
        <v>25</v>
      </c>
      <c r="AI174" s="624"/>
      <c r="AJ174" s="188">
        <v>5</v>
      </c>
      <c r="AK174" s="188">
        <v>2939.7754134660518</v>
      </c>
      <c r="AL174" s="185">
        <f t="shared" si="108"/>
        <v>587.95508269321033</v>
      </c>
      <c r="AM174" s="182">
        <f t="shared" si="109"/>
        <v>25</v>
      </c>
      <c r="AN174" s="624"/>
      <c r="AO174" s="188">
        <v>5</v>
      </c>
      <c r="AP174" s="188">
        <v>2940.7156939842653</v>
      </c>
      <c r="AQ174" s="185">
        <f t="shared" si="110"/>
        <v>588.14313879685301</v>
      </c>
      <c r="AR174" s="182">
        <f t="shared" si="111"/>
        <v>25</v>
      </c>
      <c r="AS174" s="624"/>
      <c r="AT174" s="188">
        <v>5</v>
      </c>
      <c r="AU174" s="188">
        <v>2942.3794698292345</v>
      </c>
      <c r="AV174" s="185">
        <f t="shared" si="112"/>
        <v>588.47589396584692</v>
      </c>
      <c r="AW174" s="182">
        <f t="shared" si="113"/>
        <v>25</v>
      </c>
      <c r="AX174" s="624"/>
    </row>
    <row r="175" spans="2:50" ht="14.25" customHeight="1">
      <c r="B175" s="564"/>
      <c r="C175" s="180">
        <v>17</v>
      </c>
      <c r="D175" s="183" t="s">
        <v>409</v>
      </c>
      <c r="E175" s="184">
        <v>3</v>
      </c>
      <c r="F175" s="180">
        <v>3600</v>
      </c>
      <c r="G175" s="185">
        <f t="shared" si="100"/>
        <v>1200</v>
      </c>
      <c r="H175" s="625"/>
      <c r="I175" s="186">
        <f t="shared" si="101"/>
        <v>3</v>
      </c>
      <c r="J175" s="186">
        <f t="shared" si="101"/>
        <v>3175.6578312410775</v>
      </c>
      <c r="K175" s="187">
        <f t="shared" si="101"/>
        <v>1058.5526104136923</v>
      </c>
      <c r="L175" s="626"/>
      <c r="M175" s="186">
        <f>RANK(K175, K$159:$K$191)</f>
        <v>2</v>
      </c>
      <c r="N175" s="631"/>
      <c r="O175" s="627"/>
      <c r="P175" s="188">
        <v>3</v>
      </c>
      <c r="Q175" s="188">
        <v>3175.9294791828052</v>
      </c>
      <c r="R175" s="185">
        <f t="shared" si="98"/>
        <v>1058.6431597276016</v>
      </c>
      <c r="S175" s="182">
        <f t="shared" si="102"/>
        <v>2</v>
      </c>
      <c r="T175" s="624"/>
      <c r="U175" s="188">
        <v>3</v>
      </c>
      <c r="V175" s="188">
        <v>3175.1302362839592</v>
      </c>
      <c r="W175" s="185">
        <f t="shared" si="99"/>
        <v>1058.3767454279864</v>
      </c>
      <c r="X175" s="182">
        <f t="shared" si="103"/>
        <v>2</v>
      </c>
      <c r="Y175" s="624"/>
      <c r="Z175" s="188">
        <v>3</v>
      </c>
      <c r="AA175" s="188">
        <v>3174.910028975075</v>
      </c>
      <c r="AB175" s="185">
        <f t="shared" si="104"/>
        <v>1058.3033429916916</v>
      </c>
      <c r="AC175" s="182">
        <f t="shared" si="105"/>
        <v>3</v>
      </c>
      <c r="AD175" s="624"/>
      <c r="AE175" s="188">
        <v>3</v>
      </c>
      <c r="AF175" s="188">
        <v>3176.2634631317451</v>
      </c>
      <c r="AG175" s="185">
        <f t="shared" si="106"/>
        <v>1058.7544877105818</v>
      </c>
      <c r="AH175" s="182">
        <f t="shared" si="107"/>
        <v>1</v>
      </c>
      <c r="AI175" s="624"/>
      <c r="AJ175" s="188">
        <v>3</v>
      </c>
      <c r="AK175" s="188">
        <v>3175.9491059326801</v>
      </c>
      <c r="AL175" s="185">
        <f t="shared" si="108"/>
        <v>1058.64970197756</v>
      </c>
      <c r="AM175" s="182">
        <f t="shared" si="109"/>
        <v>2</v>
      </c>
      <c r="AN175" s="624"/>
      <c r="AO175" s="188">
        <v>3</v>
      </c>
      <c r="AP175" s="188">
        <v>3175.3025778057176</v>
      </c>
      <c r="AQ175" s="185">
        <f t="shared" si="110"/>
        <v>1058.4341926019058</v>
      </c>
      <c r="AR175" s="182">
        <f t="shared" si="111"/>
        <v>3</v>
      </c>
      <c r="AS175" s="624"/>
      <c r="AT175" s="188">
        <v>3</v>
      </c>
      <c r="AU175" s="188">
        <v>3176.1199273755578</v>
      </c>
      <c r="AV175" s="185">
        <f t="shared" si="112"/>
        <v>1058.7066424585194</v>
      </c>
      <c r="AW175" s="182">
        <f t="shared" si="113"/>
        <v>3</v>
      </c>
      <c r="AX175" s="624"/>
    </row>
    <row r="176" spans="2:50" ht="14.25" customHeight="1">
      <c r="B176" s="564"/>
      <c r="C176" s="180">
        <v>18</v>
      </c>
      <c r="D176" s="183" t="s">
        <v>413</v>
      </c>
      <c r="E176" s="184">
        <v>3</v>
      </c>
      <c r="F176" s="180">
        <v>3600</v>
      </c>
      <c r="G176" s="185">
        <f t="shared" si="100"/>
        <v>1200</v>
      </c>
      <c r="H176" s="625"/>
      <c r="I176" s="186">
        <f t="shared" si="101"/>
        <v>3</v>
      </c>
      <c r="J176" s="186">
        <f t="shared" si="101"/>
        <v>3172.6076501663965</v>
      </c>
      <c r="K176" s="187">
        <f t="shared" si="101"/>
        <v>1057.5358833887988</v>
      </c>
      <c r="L176" s="626"/>
      <c r="M176" s="186">
        <f>RANK(K176, K$159:$K$191)</f>
        <v>6</v>
      </c>
      <c r="N176" s="631"/>
      <c r="O176" s="627"/>
      <c r="P176" s="188">
        <v>3</v>
      </c>
      <c r="Q176" s="188">
        <v>3170.8762886597947</v>
      </c>
      <c r="R176" s="185">
        <f t="shared" si="98"/>
        <v>1056.9587628865982</v>
      </c>
      <c r="S176" s="182">
        <f t="shared" si="102"/>
        <v>7</v>
      </c>
      <c r="T176" s="624"/>
      <c r="U176" s="188">
        <v>3</v>
      </c>
      <c r="V176" s="188">
        <v>3171.7118307997494</v>
      </c>
      <c r="W176" s="185">
        <f t="shared" si="99"/>
        <v>1057.2372769332499</v>
      </c>
      <c r="X176" s="182">
        <f t="shared" si="103"/>
        <v>6</v>
      </c>
      <c r="Y176" s="624"/>
      <c r="Z176" s="188">
        <v>3</v>
      </c>
      <c r="AA176" s="188">
        <v>3171.1191335740091</v>
      </c>
      <c r="AB176" s="185">
        <f t="shared" si="104"/>
        <v>1057.0397111913364</v>
      </c>
      <c r="AC176" s="182">
        <f t="shared" si="105"/>
        <v>7</v>
      </c>
      <c r="AD176" s="624"/>
      <c r="AE176" s="188">
        <v>3</v>
      </c>
      <c r="AF176" s="188">
        <v>3172.7848101266</v>
      </c>
      <c r="AG176" s="185">
        <f t="shared" si="106"/>
        <v>1057.5949367088667</v>
      </c>
      <c r="AH176" s="182">
        <f t="shared" si="107"/>
        <v>6</v>
      </c>
      <c r="AI176" s="624"/>
      <c r="AJ176" s="188">
        <v>3</v>
      </c>
      <c r="AK176" s="188">
        <v>3173.5874744724456</v>
      </c>
      <c r="AL176" s="185">
        <f t="shared" si="108"/>
        <v>1057.8624914908153</v>
      </c>
      <c r="AM176" s="182">
        <f t="shared" si="109"/>
        <v>6</v>
      </c>
      <c r="AN176" s="624"/>
      <c r="AO176" s="188">
        <v>3</v>
      </c>
      <c r="AP176" s="188">
        <v>3173.4806629834338</v>
      </c>
      <c r="AQ176" s="185">
        <f t="shared" si="110"/>
        <v>1057.8268876611446</v>
      </c>
      <c r="AR176" s="182">
        <f t="shared" si="111"/>
        <v>6</v>
      </c>
      <c r="AS176" s="624"/>
      <c r="AT176" s="188">
        <v>3</v>
      </c>
      <c r="AU176" s="188">
        <v>3174.6933505487427</v>
      </c>
      <c r="AV176" s="185">
        <f t="shared" si="112"/>
        <v>1058.231116849581</v>
      </c>
      <c r="AW176" s="182">
        <f t="shared" si="113"/>
        <v>6</v>
      </c>
      <c r="AX176" s="624"/>
    </row>
    <row r="177" spans="2:50" ht="14.25" customHeight="1">
      <c r="B177" s="564"/>
      <c r="C177" s="180">
        <v>19</v>
      </c>
      <c r="D177" s="183" t="s">
        <v>412</v>
      </c>
      <c r="E177" s="184">
        <v>4</v>
      </c>
      <c r="F177" s="180">
        <v>3300</v>
      </c>
      <c r="G177" s="185">
        <f t="shared" si="100"/>
        <v>825</v>
      </c>
      <c r="H177" s="625"/>
      <c r="I177" s="186">
        <f t="shared" si="101"/>
        <v>4</v>
      </c>
      <c r="J177" s="186">
        <f t="shared" si="101"/>
        <v>2941.8119331485</v>
      </c>
      <c r="K177" s="187">
        <f t="shared" si="101"/>
        <v>735.45298328712499</v>
      </c>
      <c r="L177" s="626"/>
      <c r="M177" s="186">
        <f>RANK(K177, K$159:$K$191)</f>
        <v>15</v>
      </c>
      <c r="N177" s="631"/>
      <c r="O177" s="627"/>
      <c r="P177" s="188">
        <v>4</v>
      </c>
      <c r="Q177" s="188">
        <v>2939.9197570545148</v>
      </c>
      <c r="R177" s="185">
        <f t="shared" si="98"/>
        <v>734.97993926362869</v>
      </c>
      <c r="S177" s="182">
        <f t="shared" si="102"/>
        <v>16</v>
      </c>
      <c r="T177" s="624"/>
      <c r="U177" s="188">
        <v>4</v>
      </c>
      <c r="V177" s="188">
        <v>2941.1220742168252</v>
      </c>
      <c r="W177" s="185">
        <f t="shared" si="99"/>
        <v>735.28051855420631</v>
      </c>
      <c r="X177" s="182">
        <f t="shared" si="103"/>
        <v>15</v>
      </c>
      <c r="Y177" s="624"/>
      <c r="Z177" s="188">
        <v>4</v>
      </c>
      <c r="AA177" s="188">
        <v>2941.172379073495</v>
      </c>
      <c r="AB177" s="185">
        <f t="shared" si="104"/>
        <v>735.29309476837375</v>
      </c>
      <c r="AC177" s="182">
        <f t="shared" si="105"/>
        <v>15</v>
      </c>
      <c r="AD177" s="624"/>
      <c r="AE177" s="188">
        <v>4</v>
      </c>
      <c r="AF177" s="188">
        <v>2942.5051729458837</v>
      </c>
      <c r="AG177" s="185">
        <f t="shared" si="106"/>
        <v>735.62629323647093</v>
      </c>
      <c r="AH177" s="182">
        <f t="shared" si="107"/>
        <v>15</v>
      </c>
      <c r="AI177" s="624"/>
      <c r="AJ177" s="188">
        <v>4</v>
      </c>
      <c r="AK177" s="188">
        <v>2943.2650877395108</v>
      </c>
      <c r="AL177" s="185">
        <f t="shared" si="108"/>
        <v>735.8162719348777</v>
      </c>
      <c r="AM177" s="182">
        <f t="shared" si="109"/>
        <v>15</v>
      </c>
      <c r="AN177" s="624"/>
      <c r="AO177" s="188">
        <v>4</v>
      </c>
      <c r="AP177" s="188">
        <v>2942.3635834110046</v>
      </c>
      <c r="AQ177" s="185">
        <f t="shared" si="110"/>
        <v>735.59089585275115</v>
      </c>
      <c r="AR177" s="182">
        <f t="shared" si="111"/>
        <v>16</v>
      </c>
      <c r="AS177" s="624"/>
      <c r="AT177" s="188">
        <v>4</v>
      </c>
      <c r="AU177" s="188">
        <v>2942.3354775982684</v>
      </c>
      <c r="AV177" s="185">
        <f t="shared" si="112"/>
        <v>735.58386939956711</v>
      </c>
      <c r="AW177" s="182">
        <f t="shared" si="113"/>
        <v>16</v>
      </c>
      <c r="AX177" s="624"/>
    </row>
    <row r="178" spans="2:50" ht="14.25" customHeight="1">
      <c r="B178" s="564"/>
      <c r="C178" s="180">
        <v>20</v>
      </c>
      <c r="D178" s="183" t="s">
        <v>408</v>
      </c>
      <c r="E178" s="184">
        <v>4</v>
      </c>
      <c r="F178" s="180">
        <v>3300</v>
      </c>
      <c r="G178" s="185">
        <f t="shared" si="100"/>
        <v>825</v>
      </c>
      <c r="H178" s="625"/>
      <c r="I178" s="186">
        <f t="shared" si="101"/>
        <v>4</v>
      </c>
      <c r="J178" s="186">
        <f t="shared" si="101"/>
        <v>2941.255375438207</v>
      </c>
      <c r="K178" s="187">
        <f t="shared" si="101"/>
        <v>735.31384385955175</v>
      </c>
      <c r="L178" s="626"/>
      <c r="M178" s="186">
        <f>RANK(K178, K$159:$K$191)</f>
        <v>16</v>
      </c>
      <c r="N178" s="631"/>
      <c r="O178" s="627"/>
      <c r="P178" s="188">
        <v>4</v>
      </c>
      <c r="Q178" s="188">
        <v>2939.271924986213</v>
      </c>
      <c r="R178" s="185">
        <f t="shared" si="98"/>
        <v>734.81798124655325</v>
      </c>
      <c r="S178" s="182">
        <f t="shared" si="102"/>
        <v>18</v>
      </c>
      <c r="T178" s="624"/>
      <c r="U178" s="188">
        <v>4</v>
      </c>
      <c r="V178" s="188">
        <v>2940.2133831175797</v>
      </c>
      <c r="W178" s="185">
        <f t="shared" si="99"/>
        <v>735.05334577939493</v>
      </c>
      <c r="X178" s="182">
        <f t="shared" si="103"/>
        <v>18</v>
      </c>
      <c r="Y178" s="624"/>
      <c r="Z178" s="188">
        <v>4</v>
      </c>
      <c r="AA178" s="188">
        <v>2939.8639696491027</v>
      </c>
      <c r="AB178" s="185">
        <f t="shared" si="104"/>
        <v>734.96599241227568</v>
      </c>
      <c r="AC178" s="182">
        <f t="shared" si="105"/>
        <v>17</v>
      </c>
      <c r="AD178" s="624"/>
      <c r="AE178" s="188">
        <v>4</v>
      </c>
      <c r="AF178" s="188">
        <v>2940.4530071278632</v>
      </c>
      <c r="AG178" s="185">
        <f t="shared" si="106"/>
        <v>735.1132517819658</v>
      </c>
      <c r="AH178" s="182">
        <f t="shared" si="107"/>
        <v>16</v>
      </c>
      <c r="AI178" s="624"/>
      <c r="AJ178" s="188">
        <v>4</v>
      </c>
      <c r="AK178" s="188">
        <v>2942.4567393946354</v>
      </c>
      <c r="AL178" s="185">
        <f t="shared" si="108"/>
        <v>735.61418484865885</v>
      </c>
      <c r="AM178" s="182">
        <f t="shared" si="109"/>
        <v>16</v>
      </c>
      <c r="AN178" s="624"/>
      <c r="AO178" s="188">
        <v>4</v>
      </c>
      <c r="AP178" s="188">
        <v>2942.7399410765374</v>
      </c>
      <c r="AQ178" s="185">
        <f t="shared" si="110"/>
        <v>735.68498526913436</v>
      </c>
      <c r="AR178" s="182">
        <f t="shared" si="111"/>
        <v>15</v>
      </c>
      <c r="AS178" s="624"/>
      <c r="AT178" s="188">
        <v>4</v>
      </c>
      <c r="AU178" s="188">
        <v>2943.7886627155203</v>
      </c>
      <c r="AV178" s="185">
        <f t="shared" si="112"/>
        <v>735.94716567888008</v>
      </c>
      <c r="AW178" s="182">
        <f t="shared" si="113"/>
        <v>15</v>
      </c>
      <c r="AX178" s="624"/>
    </row>
    <row r="179" spans="2:50" ht="14.25" customHeight="1">
      <c r="B179" s="564"/>
      <c r="C179" s="180">
        <v>21</v>
      </c>
      <c r="D179" s="183" t="s">
        <v>411</v>
      </c>
      <c r="E179" s="184">
        <v>4</v>
      </c>
      <c r="F179" s="180">
        <v>3000</v>
      </c>
      <c r="G179" s="185">
        <f t="shared" si="100"/>
        <v>750</v>
      </c>
      <c r="H179" s="625"/>
      <c r="I179" s="186">
        <f t="shared" si="101"/>
        <v>4</v>
      </c>
      <c r="J179" s="186">
        <f t="shared" si="101"/>
        <v>2700.2439976729861</v>
      </c>
      <c r="K179" s="187">
        <f t="shared" si="101"/>
        <v>675.06099941824652</v>
      </c>
      <c r="L179" s="626"/>
      <c r="M179" s="186">
        <f>RANK(K179, K$159:$K$191)</f>
        <v>19</v>
      </c>
      <c r="N179" s="631"/>
      <c r="O179" s="627"/>
      <c r="P179" s="188">
        <v>4</v>
      </c>
      <c r="Q179" s="188">
        <v>2699.9999999999936</v>
      </c>
      <c r="R179" s="185">
        <f t="shared" si="98"/>
        <v>674.99999999999841</v>
      </c>
      <c r="S179" s="182">
        <f t="shared" si="102"/>
        <v>19</v>
      </c>
      <c r="T179" s="624"/>
      <c r="U179" s="188">
        <v>4</v>
      </c>
      <c r="V179" s="188">
        <v>2700.2440374984658</v>
      </c>
      <c r="W179" s="185">
        <f t="shared" si="99"/>
        <v>675.06100937461645</v>
      </c>
      <c r="X179" s="182">
        <f t="shared" si="103"/>
        <v>19</v>
      </c>
      <c r="Y179" s="624"/>
      <c r="Z179" s="188">
        <v>4</v>
      </c>
      <c r="AA179" s="188">
        <v>2699.9999999999964</v>
      </c>
      <c r="AB179" s="185">
        <f t="shared" si="104"/>
        <v>674.99999999999909</v>
      </c>
      <c r="AC179" s="182">
        <f t="shared" si="105"/>
        <v>19</v>
      </c>
      <c r="AD179" s="624"/>
      <c r="AE179" s="188">
        <v>4</v>
      </c>
      <c r="AF179" s="188">
        <v>2700.9269880111538</v>
      </c>
      <c r="AG179" s="185">
        <f t="shared" si="106"/>
        <v>675.23174700278844</v>
      </c>
      <c r="AH179" s="182">
        <f t="shared" si="107"/>
        <v>19</v>
      </c>
      <c r="AI179" s="624"/>
      <c r="AJ179" s="188">
        <v>4</v>
      </c>
      <c r="AK179" s="188">
        <v>2699.9999999999918</v>
      </c>
      <c r="AL179" s="185">
        <f t="shared" si="108"/>
        <v>674.99999999999795</v>
      </c>
      <c r="AM179" s="182">
        <f t="shared" si="109"/>
        <v>19</v>
      </c>
      <c r="AN179" s="624"/>
      <c r="AO179" s="188">
        <v>4</v>
      </c>
      <c r="AP179" s="188">
        <v>2700.0419086963502</v>
      </c>
      <c r="AQ179" s="185">
        <f t="shared" si="110"/>
        <v>675.01047717408755</v>
      </c>
      <c r="AR179" s="182">
        <f t="shared" si="111"/>
        <v>19</v>
      </c>
      <c r="AS179" s="624"/>
      <c r="AT179" s="188">
        <v>4</v>
      </c>
      <c r="AU179" s="188">
        <v>2700.4950495049516</v>
      </c>
      <c r="AV179" s="185">
        <f t="shared" si="112"/>
        <v>675.12376237623789</v>
      </c>
      <c r="AW179" s="182">
        <f t="shared" si="113"/>
        <v>19</v>
      </c>
      <c r="AX179" s="624"/>
    </row>
    <row r="180" spans="2:50" ht="14.25" customHeight="1">
      <c r="B180" s="564"/>
      <c r="C180" s="180">
        <v>22</v>
      </c>
      <c r="D180" s="183" t="s">
        <v>410</v>
      </c>
      <c r="E180" s="184">
        <v>4</v>
      </c>
      <c r="F180" s="180">
        <v>3300</v>
      </c>
      <c r="G180" s="185">
        <f>F180/E180</f>
        <v>825</v>
      </c>
      <c r="H180" s="625"/>
      <c r="I180" s="186">
        <f t="shared" si="101"/>
        <v>4</v>
      </c>
      <c r="J180" s="186">
        <f t="shared" si="101"/>
        <v>2969.3349268275183</v>
      </c>
      <c r="K180" s="187">
        <f t="shared" si="101"/>
        <v>742.33373170687958</v>
      </c>
      <c r="L180" s="626"/>
      <c r="M180" s="186">
        <f>RANK(K180, K$159:$K$191)</f>
        <v>14</v>
      </c>
      <c r="N180" s="631"/>
      <c r="O180" s="627"/>
      <c r="P180" s="188">
        <v>4</v>
      </c>
      <c r="Q180" s="188">
        <v>2969.4501018330034</v>
      </c>
      <c r="R180" s="185">
        <f t="shared" si="98"/>
        <v>742.36252545825084</v>
      </c>
      <c r="S180" s="182">
        <f t="shared" si="102"/>
        <v>14</v>
      </c>
      <c r="T180" s="624"/>
      <c r="U180" s="188">
        <v>4</v>
      </c>
      <c r="V180" s="188">
        <v>2970.0954400848345</v>
      </c>
      <c r="W180" s="185">
        <f t="shared" si="99"/>
        <v>742.52386002120863</v>
      </c>
      <c r="X180" s="182">
        <f t="shared" si="103"/>
        <v>14</v>
      </c>
      <c r="Y180" s="624"/>
      <c r="Z180" s="188">
        <v>4</v>
      </c>
      <c r="AA180" s="188">
        <v>2968.7203791469392</v>
      </c>
      <c r="AB180" s="185">
        <f t="shared" si="104"/>
        <v>742.1800947867348</v>
      </c>
      <c r="AC180" s="182">
        <f t="shared" si="105"/>
        <v>14</v>
      </c>
      <c r="AD180" s="624"/>
      <c r="AE180" s="188">
        <v>4</v>
      </c>
      <c r="AF180" s="188">
        <v>2968.5082872928388</v>
      </c>
      <c r="AG180" s="185">
        <f t="shared" si="106"/>
        <v>742.12707182320969</v>
      </c>
      <c r="AH180" s="182">
        <f t="shared" si="107"/>
        <v>14</v>
      </c>
      <c r="AI180" s="624"/>
      <c r="AJ180" s="188">
        <v>4</v>
      </c>
      <c r="AK180" s="188">
        <v>2968.6274509803934</v>
      </c>
      <c r="AL180" s="185">
        <f t="shared" si="108"/>
        <v>742.15686274509835</v>
      </c>
      <c r="AM180" s="182">
        <f t="shared" si="109"/>
        <v>14</v>
      </c>
      <c r="AN180" s="624"/>
      <c r="AO180" s="188">
        <v>4</v>
      </c>
      <c r="AP180" s="188">
        <v>2969.4716242661452</v>
      </c>
      <c r="AQ180" s="185">
        <f t="shared" si="110"/>
        <v>742.36790606653631</v>
      </c>
      <c r="AR180" s="182">
        <f t="shared" si="111"/>
        <v>14</v>
      </c>
      <c r="AS180" s="624"/>
      <c r="AT180" s="188">
        <v>4</v>
      </c>
      <c r="AU180" s="188">
        <v>2970.471204188475</v>
      </c>
      <c r="AV180" s="185">
        <f t="shared" si="112"/>
        <v>742.61780104711875</v>
      </c>
      <c r="AW180" s="182">
        <f t="shared" si="113"/>
        <v>14</v>
      </c>
      <c r="AX180" s="624"/>
    </row>
    <row r="181" spans="2:50" ht="14.25" customHeight="1">
      <c r="B181" s="564"/>
      <c r="C181" s="180">
        <v>23</v>
      </c>
      <c r="D181" s="183" t="s">
        <v>472</v>
      </c>
      <c r="E181" s="184">
        <v>3</v>
      </c>
      <c r="F181" s="180">
        <v>3600</v>
      </c>
      <c r="G181" s="185">
        <f t="shared" ref="G181:G188" si="114">F181/E181</f>
        <v>1200</v>
      </c>
      <c r="H181" s="625"/>
      <c r="I181" s="186">
        <f t="shared" si="101"/>
        <v>3</v>
      </c>
      <c r="J181" s="186">
        <f t="shared" si="101"/>
        <v>3174.7694005613434</v>
      </c>
      <c r="K181" s="187">
        <f t="shared" si="101"/>
        <v>1058.2564668537811</v>
      </c>
      <c r="L181" s="626"/>
      <c r="M181" s="186">
        <f>RANK(K181, K$159:$K$191)</f>
        <v>4</v>
      </c>
      <c r="N181" s="631"/>
      <c r="O181" s="627"/>
      <c r="P181" s="188">
        <v>3</v>
      </c>
      <c r="Q181" s="188">
        <v>3173.648915187383</v>
      </c>
      <c r="R181" s="185">
        <f t="shared" si="98"/>
        <v>1057.8829717291276</v>
      </c>
      <c r="S181" s="182">
        <f t="shared" si="102"/>
        <v>5</v>
      </c>
      <c r="T181" s="624"/>
      <c r="U181" s="188">
        <v>3</v>
      </c>
      <c r="V181" s="188">
        <v>3172.7451889636</v>
      </c>
      <c r="W181" s="185">
        <f t="shared" si="99"/>
        <v>1057.5817296545333</v>
      </c>
      <c r="X181" s="182">
        <f t="shared" si="103"/>
        <v>5</v>
      </c>
      <c r="Y181" s="624"/>
      <c r="Z181" s="188">
        <v>3</v>
      </c>
      <c r="AA181" s="188">
        <v>3174.9166110740543</v>
      </c>
      <c r="AB181" s="185">
        <f t="shared" si="104"/>
        <v>1058.3055370246848</v>
      </c>
      <c r="AC181" s="182">
        <f t="shared" si="105"/>
        <v>2</v>
      </c>
      <c r="AD181" s="624"/>
      <c r="AE181" s="188">
        <v>3</v>
      </c>
      <c r="AF181" s="188">
        <v>3174.1654571843223</v>
      </c>
      <c r="AG181" s="185">
        <f t="shared" si="106"/>
        <v>1058.055152394774</v>
      </c>
      <c r="AH181" s="182">
        <f t="shared" si="107"/>
        <v>5</v>
      </c>
      <c r="AI181" s="624"/>
      <c r="AJ181" s="188">
        <v>3</v>
      </c>
      <c r="AK181" s="188">
        <v>3175.2298516148021</v>
      </c>
      <c r="AL181" s="185">
        <f t="shared" si="108"/>
        <v>1058.4099505382674</v>
      </c>
      <c r="AM181" s="182">
        <f t="shared" si="109"/>
        <v>4</v>
      </c>
      <c r="AN181" s="624"/>
      <c r="AO181" s="188">
        <v>3</v>
      </c>
      <c r="AP181" s="188">
        <v>3175.9143337738938</v>
      </c>
      <c r="AQ181" s="185">
        <f t="shared" si="110"/>
        <v>1058.6381112579645</v>
      </c>
      <c r="AR181" s="182">
        <f t="shared" si="111"/>
        <v>2</v>
      </c>
      <c r="AS181" s="624"/>
      <c r="AT181" s="188">
        <v>3</v>
      </c>
      <c r="AU181" s="188">
        <v>3176.7654461313473</v>
      </c>
      <c r="AV181" s="185">
        <f t="shared" si="112"/>
        <v>1058.9218153771158</v>
      </c>
      <c r="AW181" s="182">
        <f t="shared" si="113"/>
        <v>2</v>
      </c>
      <c r="AX181" s="624"/>
    </row>
    <row r="182" spans="2:50" ht="14.25" customHeight="1">
      <c r="B182" s="564"/>
      <c r="C182" s="180">
        <v>24</v>
      </c>
      <c r="D182" s="183" t="s">
        <v>483</v>
      </c>
      <c r="E182" s="184">
        <v>4</v>
      </c>
      <c r="F182" s="180">
        <v>3000</v>
      </c>
      <c r="G182" s="185">
        <f t="shared" si="114"/>
        <v>750</v>
      </c>
      <c r="H182" s="625"/>
      <c r="I182" s="186">
        <f t="shared" si="101"/>
        <v>4</v>
      </c>
      <c r="J182" s="186">
        <f t="shared" si="101"/>
        <v>2682.9088572316787</v>
      </c>
      <c r="K182" s="187">
        <f t="shared" si="101"/>
        <v>670.72721430791967</v>
      </c>
      <c r="L182" s="626"/>
      <c r="M182" s="186">
        <f>RANK(K182, K$159:$K$191)</f>
        <v>20</v>
      </c>
      <c r="N182" s="631"/>
      <c r="O182" s="627"/>
      <c r="P182" s="188">
        <v>4</v>
      </c>
      <c r="Q182" s="188">
        <v>2683.4713719841498</v>
      </c>
      <c r="R182" s="185">
        <f t="shared" si="98"/>
        <v>670.86784299603744</v>
      </c>
      <c r="S182" s="182">
        <f t="shared" si="102"/>
        <v>20</v>
      </c>
      <c r="T182" s="624"/>
      <c r="U182" s="188">
        <v>4</v>
      </c>
      <c r="V182" s="188">
        <v>2682.5112107623354</v>
      </c>
      <c r="W182" s="185">
        <f t="shared" si="99"/>
        <v>670.62780269058385</v>
      </c>
      <c r="X182" s="182">
        <f t="shared" si="103"/>
        <v>20</v>
      </c>
      <c r="Y182" s="624"/>
      <c r="Z182" s="188">
        <v>4</v>
      </c>
      <c r="AA182" s="188">
        <v>2683.018867924528</v>
      </c>
      <c r="AB182" s="185">
        <f t="shared" si="104"/>
        <v>670.75471698113199</v>
      </c>
      <c r="AC182" s="182">
        <f t="shared" si="105"/>
        <v>20</v>
      </c>
      <c r="AD182" s="624"/>
      <c r="AE182" s="188">
        <v>4</v>
      </c>
      <c r="AF182" s="188">
        <v>2682.6010544815535</v>
      </c>
      <c r="AG182" s="185">
        <f t="shared" si="106"/>
        <v>670.65026362038839</v>
      </c>
      <c r="AH182" s="182">
        <f t="shared" si="107"/>
        <v>20</v>
      </c>
      <c r="AI182" s="624"/>
      <c r="AJ182" s="188">
        <v>4</v>
      </c>
      <c r="AK182" s="188">
        <v>2682.9113924050685</v>
      </c>
      <c r="AL182" s="185">
        <f t="shared" si="108"/>
        <v>670.72784810126711</v>
      </c>
      <c r="AM182" s="182">
        <f t="shared" si="109"/>
        <v>21</v>
      </c>
      <c r="AN182" s="624"/>
      <c r="AO182" s="188">
        <v>4</v>
      </c>
      <c r="AP182" s="188">
        <v>2683.2378223495716</v>
      </c>
      <c r="AQ182" s="185">
        <f t="shared" si="110"/>
        <v>670.8094555873929</v>
      </c>
      <c r="AR182" s="182">
        <f t="shared" si="111"/>
        <v>20</v>
      </c>
      <c r="AS182" s="624"/>
      <c r="AT182" s="188">
        <v>4</v>
      </c>
      <c r="AU182" s="188">
        <v>2682.6102807145426</v>
      </c>
      <c r="AV182" s="185">
        <f t="shared" si="112"/>
        <v>670.65257017863564</v>
      </c>
      <c r="AW182" s="182">
        <f t="shared" si="113"/>
        <v>21</v>
      </c>
      <c r="AX182" s="624"/>
    </row>
    <row r="183" spans="2:50" ht="14.25" customHeight="1">
      <c r="B183" s="564"/>
      <c r="C183" s="180">
        <v>25</v>
      </c>
      <c r="D183" s="183" t="s">
        <v>508</v>
      </c>
      <c r="E183" s="184">
        <v>5</v>
      </c>
      <c r="F183" s="180">
        <v>3000</v>
      </c>
      <c r="G183" s="185">
        <f t="shared" si="114"/>
        <v>600</v>
      </c>
      <c r="H183" s="625"/>
      <c r="I183" s="186">
        <f t="shared" si="101"/>
        <v>5</v>
      </c>
      <c r="J183" s="186">
        <f t="shared" si="101"/>
        <v>2682.594611382563</v>
      </c>
      <c r="K183" s="187">
        <f t="shared" si="101"/>
        <v>536.51892227651263</v>
      </c>
      <c r="L183" s="626"/>
      <c r="M183" s="186">
        <f>RANK(K183, K$159:$K$191)</f>
        <v>26</v>
      </c>
      <c r="N183" s="631"/>
      <c r="O183" s="627"/>
      <c r="P183" s="188">
        <v>5</v>
      </c>
      <c r="Q183" s="188">
        <v>2683.162341581176</v>
      </c>
      <c r="R183" s="185">
        <f t="shared" si="98"/>
        <v>536.63246831623519</v>
      </c>
      <c r="S183" s="182">
        <f t="shared" si="102"/>
        <v>26</v>
      </c>
      <c r="T183" s="624"/>
      <c r="U183" s="188">
        <v>5</v>
      </c>
      <c r="V183" s="188">
        <v>2682.616822429904</v>
      </c>
      <c r="W183" s="185">
        <f t="shared" si="99"/>
        <v>536.52336448598078</v>
      </c>
      <c r="X183" s="182">
        <f t="shared" si="103"/>
        <v>26</v>
      </c>
      <c r="Y183" s="624"/>
      <c r="Z183" s="188">
        <v>5</v>
      </c>
      <c r="AA183" s="188">
        <v>2682.0124052377673</v>
      </c>
      <c r="AB183" s="185">
        <f t="shared" si="104"/>
        <v>536.40248104755347</v>
      </c>
      <c r="AC183" s="182">
        <f t="shared" si="105"/>
        <v>26</v>
      </c>
      <c r="AD183" s="624"/>
      <c r="AE183" s="188">
        <v>5</v>
      </c>
      <c r="AF183" s="188">
        <v>2682.1852731591534</v>
      </c>
      <c r="AG183" s="185">
        <f t="shared" si="106"/>
        <v>536.43705463183073</v>
      </c>
      <c r="AH183" s="182">
        <f t="shared" si="107"/>
        <v>26</v>
      </c>
      <c r="AI183" s="624"/>
      <c r="AJ183" s="188">
        <v>5</v>
      </c>
      <c r="AK183" s="188">
        <v>2682.3050847457562</v>
      </c>
      <c r="AL183" s="185">
        <f t="shared" si="108"/>
        <v>536.46101694915126</v>
      </c>
      <c r="AM183" s="182">
        <f t="shared" si="109"/>
        <v>26</v>
      </c>
      <c r="AN183" s="624"/>
      <c r="AO183" s="188">
        <v>5</v>
      </c>
      <c r="AP183" s="188">
        <v>2682.6923076923008</v>
      </c>
      <c r="AQ183" s="185">
        <f t="shared" si="110"/>
        <v>536.53846153846018</v>
      </c>
      <c r="AR183" s="182">
        <f t="shared" si="111"/>
        <v>26</v>
      </c>
      <c r="AS183" s="624"/>
      <c r="AT183" s="188">
        <v>5</v>
      </c>
      <c r="AU183" s="188">
        <v>2683.188044831883</v>
      </c>
      <c r="AV183" s="185">
        <f t="shared" si="112"/>
        <v>536.63760896637655</v>
      </c>
      <c r="AW183" s="182">
        <f t="shared" si="113"/>
        <v>26</v>
      </c>
      <c r="AX183" s="624"/>
    </row>
    <row r="184" spans="2:50" ht="14.25" customHeight="1">
      <c r="B184" s="564"/>
      <c r="C184" s="180">
        <v>26</v>
      </c>
      <c r="D184" s="183" t="s">
        <v>607</v>
      </c>
      <c r="E184" s="184">
        <v>4</v>
      </c>
      <c r="F184" s="180">
        <v>3000</v>
      </c>
      <c r="G184" s="185">
        <f t="shared" si="114"/>
        <v>750</v>
      </c>
      <c r="H184" s="625"/>
      <c r="I184" s="186">
        <f t="shared" si="101"/>
        <v>4</v>
      </c>
      <c r="J184" s="186">
        <f t="shared" si="101"/>
        <v>2682.5364771470167</v>
      </c>
      <c r="K184" s="187">
        <f t="shared" si="101"/>
        <v>670.63411928675418</v>
      </c>
      <c r="L184" s="626"/>
      <c r="M184" s="186">
        <f>RANK(K184, K$159:$K$191)</f>
        <v>21</v>
      </c>
      <c r="N184" s="631"/>
      <c r="O184" s="627"/>
      <c r="P184" s="188">
        <v>4</v>
      </c>
      <c r="Q184" s="188">
        <v>2681.7766165904618</v>
      </c>
      <c r="R184" s="185">
        <f t="shared" si="98"/>
        <v>670.44415414761545</v>
      </c>
      <c r="S184" s="182">
        <f t="shared" si="102"/>
        <v>21</v>
      </c>
      <c r="T184" s="624"/>
      <c r="U184" s="188">
        <v>4</v>
      </c>
      <c r="V184" s="188">
        <v>2682.2348611575835</v>
      </c>
      <c r="W184" s="185">
        <f t="shared" si="99"/>
        <v>670.55871528939588</v>
      </c>
      <c r="X184" s="182">
        <f t="shared" si="103"/>
        <v>21</v>
      </c>
      <c r="Y184" s="624"/>
      <c r="Z184" s="188">
        <v>4</v>
      </c>
      <c r="AA184" s="188">
        <v>2682.5408900722755</v>
      </c>
      <c r="AB184" s="185">
        <f t="shared" si="104"/>
        <v>670.63522251806887</v>
      </c>
      <c r="AC184" s="182">
        <f t="shared" si="105"/>
        <v>21</v>
      </c>
      <c r="AD184" s="624"/>
      <c r="AE184" s="188">
        <v>4</v>
      </c>
      <c r="AF184" s="188">
        <v>2682.5088339222589</v>
      </c>
      <c r="AG184" s="185">
        <f t="shared" si="106"/>
        <v>670.62720848056472</v>
      </c>
      <c r="AH184" s="182">
        <f t="shared" si="107"/>
        <v>21</v>
      </c>
      <c r="AI184" s="624"/>
      <c r="AJ184" s="188">
        <v>4</v>
      </c>
      <c r="AK184" s="188">
        <v>2683.2037325038918</v>
      </c>
      <c r="AL184" s="185">
        <f t="shared" si="108"/>
        <v>670.80093312597296</v>
      </c>
      <c r="AM184" s="182">
        <f t="shared" si="109"/>
        <v>20</v>
      </c>
      <c r="AN184" s="624"/>
      <c r="AO184" s="188">
        <v>4</v>
      </c>
      <c r="AP184" s="188">
        <v>2682.6055833929831</v>
      </c>
      <c r="AQ184" s="185">
        <f t="shared" si="110"/>
        <v>670.65139584824578</v>
      </c>
      <c r="AR184" s="182">
        <f t="shared" si="111"/>
        <v>21</v>
      </c>
      <c r="AS184" s="624"/>
      <c r="AT184" s="188">
        <v>4</v>
      </c>
      <c r="AU184" s="188">
        <v>2682.8848223896625</v>
      </c>
      <c r="AV184" s="185">
        <f t="shared" si="112"/>
        <v>670.72120559741563</v>
      </c>
      <c r="AW184" s="182">
        <f t="shared" si="113"/>
        <v>20</v>
      </c>
      <c r="AX184" s="624"/>
    </row>
    <row r="185" spans="2:50" ht="14.25" customHeight="1">
      <c r="B185" s="564"/>
      <c r="C185" s="180">
        <v>27</v>
      </c>
      <c r="D185" s="183" t="s">
        <v>693</v>
      </c>
      <c r="E185" s="184">
        <v>12</v>
      </c>
      <c r="F185" s="180">
        <v>3600</v>
      </c>
      <c r="G185" s="185">
        <f t="shared" si="114"/>
        <v>300</v>
      </c>
      <c r="H185" s="625"/>
      <c r="I185" s="186">
        <f t="shared" si="101"/>
        <v>12</v>
      </c>
      <c r="J185" s="186">
        <f t="shared" si="101"/>
        <v>3251.0123780855206</v>
      </c>
      <c r="K185" s="187">
        <f t="shared" si="101"/>
        <v>270.91769817379338</v>
      </c>
      <c r="L185" s="626"/>
      <c r="M185" s="186">
        <f>RANK(K185, K$159:$K$191)</f>
        <v>27</v>
      </c>
      <c r="N185" s="631"/>
      <c r="O185" s="627"/>
      <c r="P185" s="188">
        <v>12</v>
      </c>
      <c r="Q185" s="188">
        <v>3252.0833333333308</v>
      </c>
      <c r="R185" s="185">
        <f t="shared" si="98"/>
        <v>271.00694444444423</v>
      </c>
      <c r="S185" s="182">
        <f t="shared" si="102"/>
        <v>27</v>
      </c>
      <c r="T185" s="624"/>
      <c r="U185" s="188">
        <v>12</v>
      </c>
      <c r="V185" s="188">
        <v>3251.6931582584602</v>
      </c>
      <c r="W185" s="185">
        <f t="shared" si="99"/>
        <v>270.97442985487169</v>
      </c>
      <c r="X185" s="182">
        <f t="shared" si="103"/>
        <v>27</v>
      </c>
      <c r="Y185" s="624"/>
      <c r="Z185" s="188">
        <v>12</v>
      </c>
      <c r="AA185" s="188">
        <v>3252.546916890074</v>
      </c>
      <c r="AB185" s="185">
        <f t="shared" si="104"/>
        <v>271.04557640750619</v>
      </c>
      <c r="AC185" s="182">
        <f t="shared" si="105"/>
        <v>27</v>
      </c>
      <c r="AD185" s="624"/>
      <c r="AE185" s="188">
        <v>12</v>
      </c>
      <c r="AF185" s="188">
        <v>3249.6256684492123</v>
      </c>
      <c r="AG185" s="185">
        <f t="shared" si="106"/>
        <v>270.80213903743436</v>
      </c>
      <c r="AH185" s="182">
        <f t="shared" si="107"/>
        <v>27</v>
      </c>
      <c r="AI185" s="624"/>
      <c r="AJ185" s="188">
        <v>12</v>
      </c>
      <c r="AK185" s="188">
        <v>3249.664429530199</v>
      </c>
      <c r="AL185" s="185">
        <f t="shared" si="108"/>
        <v>270.8053691275166</v>
      </c>
      <c r="AM185" s="182">
        <f t="shared" si="109"/>
        <v>27</v>
      </c>
      <c r="AN185" s="624"/>
      <c r="AO185" s="188">
        <v>12</v>
      </c>
      <c r="AP185" s="188">
        <v>3250.6110711718188</v>
      </c>
      <c r="AQ185" s="185">
        <f t="shared" si="110"/>
        <v>270.88425593098492</v>
      </c>
      <c r="AR185" s="182">
        <f t="shared" si="111"/>
        <v>27</v>
      </c>
      <c r="AS185" s="624"/>
      <c r="AT185" s="188">
        <v>12</v>
      </c>
      <c r="AU185" s="188">
        <v>3250.8620689655468</v>
      </c>
      <c r="AV185" s="185">
        <f t="shared" si="112"/>
        <v>270.90517241379558</v>
      </c>
      <c r="AW185" s="182">
        <f t="shared" si="113"/>
        <v>27</v>
      </c>
      <c r="AX185" s="624"/>
    </row>
    <row r="186" spans="2:50" ht="14.25" customHeight="1">
      <c r="B186" s="564"/>
      <c r="C186" s="180">
        <v>28</v>
      </c>
      <c r="D186" s="183" t="s">
        <v>349</v>
      </c>
      <c r="E186" s="184">
        <v>3</v>
      </c>
      <c r="F186" s="180">
        <v>3000</v>
      </c>
      <c r="G186" s="185">
        <f t="shared" si="114"/>
        <v>1000</v>
      </c>
      <c r="H186" s="625"/>
      <c r="I186" s="186">
        <f t="shared" si="101"/>
        <v>3</v>
      </c>
      <c r="J186" s="186">
        <f t="shared" si="101"/>
        <v>2698.474019707367</v>
      </c>
      <c r="K186" s="187">
        <f t="shared" si="101"/>
        <v>899.49133990245559</v>
      </c>
      <c r="L186" s="626"/>
      <c r="M186" s="186">
        <f>RANK(K186, K$159:$K$191)</f>
        <v>10</v>
      </c>
      <c r="N186" s="631"/>
      <c r="O186" s="627"/>
      <c r="P186" s="188">
        <v>3</v>
      </c>
      <c r="Q186" s="188">
        <v>2696.7583530471302</v>
      </c>
      <c r="R186" s="185">
        <f t="shared" si="98"/>
        <v>898.91945101571002</v>
      </c>
      <c r="S186" s="182">
        <f t="shared" si="102"/>
        <v>10</v>
      </c>
      <c r="T186" s="624"/>
      <c r="U186" s="188">
        <v>3</v>
      </c>
      <c r="V186" s="188">
        <v>2697.0860579557134</v>
      </c>
      <c r="W186" s="185">
        <f t="shared" si="99"/>
        <v>899.02868598523776</v>
      </c>
      <c r="X186" s="182">
        <f t="shared" si="103"/>
        <v>10</v>
      </c>
      <c r="Y186" s="624"/>
      <c r="Z186" s="188">
        <v>3</v>
      </c>
      <c r="AA186" s="188">
        <v>2697.3893716544962</v>
      </c>
      <c r="AB186" s="185">
        <f t="shared" si="104"/>
        <v>899.12979055149879</v>
      </c>
      <c r="AC186" s="182">
        <f t="shared" si="105"/>
        <v>10</v>
      </c>
      <c r="AD186" s="624"/>
      <c r="AE186" s="188">
        <v>3</v>
      </c>
      <c r="AF186" s="188">
        <v>2698.8448022270268</v>
      </c>
      <c r="AG186" s="185">
        <f t="shared" si="106"/>
        <v>899.61493407567559</v>
      </c>
      <c r="AH186" s="182">
        <f t="shared" si="107"/>
        <v>11</v>
      </c>
      <c r="AI186" s="624"/>
      <c r="AJ186" s="188">
        <v>3</v>
      </c>
      <c r="AK186" s="188">
        <v>2699.3853294601095</v>
      </c>
      <c r="AL186" s="185">
        <f t="shared" si="108"/>
        <v>899.79510982003649</v>
      </c>
      <c r="AM186" s="182">
        <f t="shared" si="109"/>
        <v>10</v>
      </c>
      <c r="AN186" s="624"/>
      <c r="AO186" s="188">
        <v>3</v>
      </c>
      <c r="AP186" s="188">
        <v>2700.2249574655798</v>
      </c>
      <c r="AQ186" s="185">
        <f t="shared" si="110"/>
        <v>900.07498582185997</v>
      </c>
      <c r="AR186" s="182">
        <f t="shared" si="111"/>
        <v>9</v>
      </c>
      <c r="AS186" s="624"/>
      <c r="AT186" s="188">
        <v>3</v>
      </c>
      <c r="AU186" s="188">
        <v>2699.629266141515</v>
      </c>
      <c r="AV186" s="185">
        <f t="shared" si="112"/>
        <v>899.87642204717167</v>
      </c>
      <c r="AW186" s="182">
        <f t="shared" si="113"/>
        <v>10</v>
      </c>
      <c r="AX186" s="624"/>
    </row>
    <row r="187" spans="2:50" ht="14.25" customHeight="1">
      <c r="B187" s="564"/>
      <c r="C187" s="180">
        <v>29</v>
      </c>
      <c r="D187" s="183" t="s">
        <v>478</v>
      </c>
      <c r="E187" s="184">
        <v>12</v>
      </c>
      <c r="F187" s="180">
        <v>3600</v>
      </c>
      <c r="G187" s="185">
        <f t="shared" si="114"/>
        <v>300</v>
      </c>
      <c r="H187" s="625"/>
      <c r="I187" s="186">
        <f t="shared" si="101"/>
        <v>12</v>
      </c>
      <c r="J187" s="186">
        <f t="shared" si="101"/>
        <v>3126.1883758935555</v>
      </c>
      <c r="K187" s="187">
        <f t="shared" si="101"/>
        <v>260.51569799112957</v>
      </c>
      <c r="L187" s="626"/>
      <c r="M187" s="186">
        <f>RANK(K187, K$159:$K$191)</f>
        <v>28</v>
      </c>
      <c r="N187" s="631"/>
      <c r="O187" s="627"/>
      <c r="P187" s="188">
        <v>12</v>
      </c>
      <c r="Q187" s="188">
        <v>3129.262672811049</v>
      </c>
      <c r="R187" s="185">
        <f t="shared" si="98"/>
        <v>260.77188940092077</v>
      </c>
      <c r="S187" s="182">
        <f t="shared" si="102"/>
        <v>28</v>
      </c>
      <c r="T187" s="624"/>
      <c r="U187" s="188">
        <v>12</v>
      </c>
      <c r="V187" s="188">
        <v>3130.1624129930319</v>
      </c>
      <c r="W187" s="185">
        <f t="shared" si="99"/>
        <v>260.84686774941935</v>
      </c>
      <c r="X187" s="182">
        <f t="shared" si="103"/>
        <v>28</v>
      </c>
      <c r="Y187" s="624"/>
      <c r="Z187" s="188">
        <v>12</v>
      </c>
      <c r="AA187" s="188">
        <v>3125.2747252747145</v>
      </c>
      <c r="AB187" s="185">
        <f t="shared" si="104"/>
        <v>260.43956043955956</v>
      </c>
      <c r="AC187" s="182">
        <f t="shared" si="105"/>
        <v>28</v>
      </c>
      <c r="AD187" s="624"/>
      <c r="AE187" s="188">
        <v>12</v>
      </c>
      <c r="AF187" s="188">
        <v>3124.6217331499306</v>
      </c>
      <c r="AG187" s="185">
        <f t="shared" si="106"/>
        <v>260.3851444291609</v>
      </c>
      <c r="AH187" s="182">
        <f t="shared" si="107"/>
        <v>29</v>
      </c>
      <c r="AI187" s="624"/>
      <c r="AJ187" s="188">
        <v>12</v>
      </c>
      <c r="AK187" s="188">
        <v>3124.2778119237828</v>
      </c>
      <c r="AL187" s="185">
        <f t="shared" si="108"/>
        <v>260.3564843269819</v>
      </c>
      <c r="AM187" s="182">
        <f t="shared" si="109"/>
        <v>29</v>
      </c>
      <c r="AN187" s="624"/>
      <c r="AO187" s="188">
        <v>12</v>
      </c>
      <c r="AP187" s="188">
        <v>3125.0713877784146</v>
      </c>
      <c r="AQ187" s="185">
        <f t="shared" si="110"/>
        <v>260.4226156482012</v>
      </c>
      <c r="AR187" s="182">
        <f t="shared" si="111"/>
        <v>29</v>
      </c>
      <c r="AS187" s="624"/>
      <c r="AT187" s="188">
        <v>12</v>
      </c>
      <c r="AU187" s="188">
        <v>3124.6478873239653</v>
      </c>
      <c r="AV187" s="185">
        <f t="shared" si="112"/>
        <v>260.38732394366377</v>
      </c>
      <c r="AW187" s="182">
        <f t="shared" si="113"/>
        <v>29</v>
      </c>
      <c r="AX187" s="624"/>
    </row>
    <row r="188" spans="2:50" ht="14.25" customHeight="1">
      <c r="B188" s="564"/>
      <c r="C188" s="180">
        <v>30</v>
      </c>
      <c r="D188" s="183" t="s">
        <v>775</v>
      </c>
      <c r="E188" s="184">
        <v>13</v>
      </c>
      <c r="F188" s="180">
        <v>3600</v>
      </c>
      <c r="G188" s="185">
        <f t="shared" si="114"/>
        <v>276.92307692307691</v>
      </c>
      <c r="H188" s="625"/>
      <c r="I188" s="186">
        <f t="shared" si="101"/>
        <v>13</v>
      </c>
      <c r="J188" s="186">
        <f t="shared" si="101"/>
        <v>2955.6756756756777</v>
      </c>
      <c r="K188" s="187">
        <f t="shared" si="101"/>
        <v>227.35966735966753</v>
      </c>
      <c r="L188" s="626"/>
      <c r="M188" s="186">
        <f>RANK(K188, K$159:$K$191)</f>
        <v>30</v>
      </c>
      <c r="N188" s="631"/>
      <c r="O188" s="627"/>
      <c r="P188" s="188"/>
      <c r="Q188" s="188"/>
      <c r="R188" s="185"/>
      <c r="S188" s="182"/>
      <c r="T188" s="624"/>
      <c r="U188" s="188"/>
      <c r="V188" s="188"/>
      <c r="W188" s="185"/>
      <c r="X188" s="182"/>
      <c r="Y188" s="624"/>
      <c r="Z188" s="188"/>
      <c r="AA188" s="188"/>
      <c r="AB188" s="185"/>
      <c r="AC188" s="182"/>
      <c r="AD188" s="624"/>
      <c r="AE188" s="188"/>
      <c r="AF188" s="188"/>
      <c r="AG188" s="185"/>
      <c r="AH188" s="182"/>
      <c r="AI188" s="624"/>
      <c r="AJ188" s="188"/>
      <c r="AK188" s="188"/>
      <c r="AL188" s="185"/>
      <c r="AM188" s="182"/>
      <c r="AN188" s="624"/>
      <c r="AO188" s="188"/>
      <c r="AP188" s="188"/>
      <c r="AQ188" s="185"/>
      <c r="AR188" s="182"/>
      <c r="AS188" s="624"/>
      <c r="AT188" s="188">
        <v>13</v>
      </c>
      <c r="AU188" s="188">
        <v>2955.6756756756777</v>
      </c>
      <c r="AV188" s="185">
        <f t="shared" si="112"/>
        <v>227.35966735966753</v>
      </c>
      <c r="AW188" s="182" t="e">
        <f t="shared" ref="AW188" si="115">RANK(AV188, AV$7:AV$39)</f>
        <v>#N/A</v>
      </c>
      <c r="AX188" s="624"/>
    </row>
    <row r="189" spans="2:50" ht="14.25" customHeight="1">
      <c r="B189" s="564"/>
      <c r="C189" s="180">
        <v>31</v>
      </c>
      <c r="D189" s="183"/>
      <c r="E189" s="180"/>
      <c r="F189" s="180"/>
      <c r="G189" s="185"/>
      <c r="H189" s="625"/>
      <c r="I189" s="186"/>
      <c r="J189" s="186"/>
      <c r="K189" s="187"/>
      <c r="L189" s="626"/>
      <c r="M189" s="186"/>
      <c r="N189" s="631"/>
      <c r="O189" s="627"/>
      <c r="P189" s="188"/>
      <c r="Q189" s="188"/>
      <c r="R189" s="185"/>
      <c r="S189" s="182"/>
      <c r="T189" s="624"/>
      <c r="U189" s="188"/>
      <c r="V189" s="188"/>
      <c r="W189" s="185"/>
      <c r="X189" s="182"/>
      <c r="Y189" s="624"/>
      <c r="Z189" s="188"/>
      <c r="AA189" s="188"/>
      <c r="AB189" s="185"/>
      <c r="AC189" s="182"/>
      <c r="AD189" s="624"/>
      <c r="AE189" s="188"/>
      <c r="AF189" s="188"/>
      <c r="AG189" s="185"/>
      <c r="AH189" s="182"/>
      <c r="AI189" s="624"/>
      <c r="AJ189" s="188"/>
      <c r="AK189" s="188"/>
      <c r="AL189" s="185"/>
      <c r="AM189" s="182"/>
      <c r="AN189" s="624"/>
      <c r="AO189" s="188"/>
      <c r="AP189" s="188"/>
      <c r="AQ189" s="185"/>
      <c r="AR189" s="182"/>
      <c r="AS189" s="624"/>
      <c r="AT189" s="188"/>
      <c r="AU189" s="188"/>
      <c r="AV189" s="185"/>
      <c r="AW189" s="182"/>
      <c r="AX189" s="624"/>
    </row>
    <row r="190" spans="2:50" ht="14.25" customHeight="1">
      <c r="B190" s="564"/>
      <c r="C190" s="180">
        <v>32</v>
      </c>
      <c r="D190" s="183"/>
      <c r="E190" s="180"/>
      <c r="F190" s="180"/>
      <c r="G190" s="185"/>
      <c r="H190" s="625"/>
      <c r="I190" s="186"/>
      <c r="J190" s="186"/>
      <c r="K190" s="187"/>
      <c r="L190" s="626"/>
      <c r="M190" s="186"/>
      <c r="N190" s="631"/>
      <c r="O190" s="627"/>
      <c r="P190" s="188"/>
      <c r="Q190" s="188"/>
      <c r="R190" s="185"/>
      <c r="S190" s="182"/>
      <c r="T190" s="624"/>
      <c r="U190" s="188"/>
      <c r="V190" s="188"/>
      <c r="W190" s="185"/>
      <c r="X190" s="182"/>
      <c r="Y190" s="624"/>
      <c r="Z190" s="188"/>
      <c r="AA190" s="188"/>
      <c r="AB190" s="185"/>
      <c r="AC190" s="182"/>
      <c r="AD190" s="624"/>
      <c r="AE190" s="188"/>
      <c r="AF190" s="188"/>
      <c r="AG190" s="185"/>
      <c r="AH190" s="182"/>
      <c r="AI190" s="624"/>
      <c r="AJ190" s="188"/>
      <c r="AK190" s="188"/>
      <c r="AL190" s="185"/>
      <c r="AM190" s="182"/>
      <c r="AN190" s="624"/>
      <c r="AO190" s="188"/>
      <c r="AP190" s="188"/>
      <c r="AQ190" s="185"/>
      <c r="AR190" s="182"/>
      <c r="AS190" s="624"/>
      <c r="AT190" s="188"/>
      <c r="AU190" s="188"/>
      <c r="AV190" s="185"/>
      <c r="AW190" s="182"/>
      <c r="AX190" s="624"/>
    </row>
    <row r="191" spans="2:50" ht="14.25" customHeight="1">
      <c r="B191" s="564"/>
      <c r="C191" s="180">
        <v>33</v>
      </c>
      <c r="D191" s="183"/>
      <c r="E191" s="180"/>
      <c r="F191" s="180"/>
      <c r="G191" s="185"/>
      <c r="H191" s="625"/>
      <c r="I191" s="186"/>
      <c r="J191" s="186"/>
      <c r="K191" s="187"/>
      <c r="L191" s="626"/>
      <c r="M191" s="186"/>
      <c r="N191" s="631"/>
      <c r="O191" s="627"/>
      <c r="P191" s="188"/>
      <c r="Q191" s="188"/>
      <c r="R191" s="185"/>
      <c r="S191" s="182"/>
      <c r="T191" s="624"/>
      <c r="U191" s="188"/>
      <c r="V191" s="188"/>
      <c r="W191" s="185"/>
      <c r="X191" s="182"/>
      <c r="Y191" s="624"/>
      <c r="Z191" s="188"/>
      <c r="AA191" s="188"/>
      <c r="AB191" s="185"/>
      <c r="AC191" s="182"/>
      <c r="AD191" s="624"/>
      <c r="AE191" s="188"/>
      <c r="AF191" s="188"/>
      <c r="AG191" s="185"/>
      <c r="AH191" s="182"/>
      <c r="AI191" s="624"/>
      <c r="AJ191" s="188"/>
      <c r="AK191" s="188"/>
      <c r="AL191" s="185"/>
      <c r="AM191" s="182"/>
      <c r="AN191" s="624"/>
      <c r="AO191" s="188"/>
      <c r="AP191" s="188"/>
      <c r="AQ191" s="185"/>
      <c r="AR191" s="182"/>
      <c r="AS191" s="624"/>
      <c r="AT191" s="188"/>
      <c r="AU191" s="188"/>
      <c r="AV191" s="185"/>
      <c r="AW191" s="182"/>
      <c r="AX191" s="624"/>
    </row>
    <row r="192" spans="2:50">
      <c r="B192" s="617" t="s">
        <v>841</v>
      </c>
      <c r="C192" s="617"/>
      <c r="D192" s="617"/>
      <c r="E192" s="617"/>
      <c r="F192" s="617"/>
      <c r="G192" s="617"/>
      <c r="H192" s="617"/>
      <c r="I192" s="617"/>
      <c r="J192" s="617"/>
      <c r="K192" s="617"/>
      <c r="L192" s="617"/>
      <c r="M192" s="618"/>
      <c r="N192" s="584" t="s">
        <v>377</v>
      </c>
      <c r="O192" s="584" t="s">
        <v>105</v>
      </c>
      <c r="P192" s="596">
        <v>46112</v>
      </c>
      <c r="Q192" s="597"/>
      <c r="R192" s="597"/>
      <c r="S192" s="597"/>
      <c r="T192" s="598"/>
      <c r="U192" s="621">
        <v>46113</v>
      </c>
      <c r="V192" s="622"/>
      <c r="W192" s="622"/>
      <c r="X192" s="622"/>
      <c r="Y192" s="623"/>
      <c r="Z192" s="596">
        <v>46114</v>
      </c>
      <c r="AA192" s="597"/>
      <c r="AB192" s="597"/>
      <c r="AC192" s="597"/>
      <c r="AD192" s="598"/>
      <c r="AE192" s="621">
        <v>46115</v>
      </c>
      <c r="AF192" s="622"/>
      <c r="AG192" s="622"/>
      <c r="AH192" s="622"/>
      <c r="AI192" s="623"/>
      <c r="AJ192" s="596">
        <v>46116</v>
      </c>
      <c r="AK192" s="597"/>
      <c r="AL192" s="597"/>
      <c r="AM192" s="597"/>
      <c r="AN192" s="598"/>
      <c r="AO192" s="621">
        <v>46117</v>
      </c>
      <c r="AP192" s="622"/>
      <c r="AQ192" s="622"/>
      <c r="AR192" s="622"/>
      <c r="AS192" s="623"/>
      <c r="AT192" s="596">
        <v>46118</v>
      </c>
      <c r="AU192" s="597"/>
      <c r="AV192" s="597"/>
      <c r="AW192" s="597"/>
      <c r="AX192" s="598"/>
    </row>
    <row r="193" spans="1:50">
      <c r="B193" s="619"/>
      <c r="C193" s="619"/>
      <c r="D193" s="619"/>
      <c r="E193" s="619"/>
      <c r="F193" s="619"/>
      <c r="G193" s="619"/>
      <c r="H193" s="619"/>
      <c r="I193" s="619"/>
      <c r="J193" s="619"/>
      <c r="K193" s="619"/>
      <c r="L193" s="619"/>
      <c r="M193" s="620"/>
      <c r="N193" s="586"/>
      <c r="O193" s="586"/>
      <c r="P193" s="599">
        <v>46112</v>
      </c>
      <c r="Q193" s="600"/>
      <c r="R193" s="600"/>
      <c r="S193" s="600"/>
      <c r="T193" s="601"/>
      <c r="U193" s="602">
        <v>46113</v>
      </c>
      <c r="V193" s="603"/>
      <c r="W193" s="603"/>
      <c r="X193" s="603"/>
      <c r="Y193" s="604"/>
      <c r="Z193" s="599">
        <v>46114</v>
      </c>
      <c r="AA193" s="600"/>
      <c r="AB193" s="600"/>
      <c r="AC193" s="600"/>
      <c r="AD193" s="601"/>
      <c r="AE193" s="602">
        <v>46115</v>
      </c>
      <c r="AF193" s="603"/>
      <c r="AG193" s="603"/>
      <c r="AH193" s="603"/>
      <c r="AI193" s="604"/>
      <c r="AJ193" s="599">
        <v>46116</v>
      </c>
      <c r="AK193" s="600"/>
      <c r="AL193" s="600"/>
      <c r="AM193" s="600"/>
      <c r="AN193" s="601"/>
      <c r="AO193" s="602">
        <v>46117</v>
      </c>
      <c r="AP193" s="603"/>
      <c r="AQ193" s="603"/>
      <c r="AR193" s="603"/>
      <c r="AS193" s="604"/>
      <c r="AT193" s="599">
        <v>46118</v>
      </c>
      <c r="AU193" s="600"/>
      <c r="AV193" s="600"/>
      <c r="AW193" s="600"/>
      <c r="AX193" s="601"/>
    </row>
    <row r="194" spans="1:50">
      <c r="B194" s="575" t="s">
        <v>164</v>
      </c>
      <c r="C194" s="605" t="s">
        <v>159</v>
      </c>
      <c r="D194" s="606"/>
      <c r="E194" s="590" t="s">
        <v>160</v>
      </c>
      <c r="F194" s="591"/>
      <c r="G194" s="592"/>
      <c r="H194" s="575" t="s">
        <v>165</v>
      </c>
      <c r="I194" s="593" t="s">
        <v>378</v>
      </c>
      <c r="J194" s="594"/>
      <c r="K194" s="595"/>
      <c r="L194" s="611" t="s">
        <v>165</v>
      </c>
      <c r="M194" s="611" t="s">
        <v>167</v>
      </c>
      <c r="N194" s="614"/>
      <c r="O194" s="584" t="s">
        <v>166</v>
      </c>
      <c r="P194" s="587" t="s">
        <v>162</v>
      </c>
      <c r="Q194" s="588"/>
      <c r="R194" s="588"/>
      <c r="S194" s="589"/>
      <c r="T194" s="584" t="s">
        <v>165</v>
      </c>
      <c r="U194" s="587" t="s">
        <v>162</v>
      </c>
      <c r="V194" s="588"/>
      <c r="W194" s="588"/>
      <c r="X194" s="589"/>
      <c r="Y194" s="584" t="s">
        <v>165</v>
      </c>
      <c r="Z194" s="587" t="s">
        <v>162</v>
      </c>
      <c r="AA194" s="588"/>
      <c r="AB194" s="588"/>
      <c r="AC194" s="589"/>
      <c r="AD194" s="584" t="s">
        <v>165</v>
      </c>
      <c r="AE194" s="587" t="s">
        <v>162</v>
      </c>
      <c r="AF194" s="588"/>
      <c r="AG194" s="588"/>
      <c r="AH194" s="589"/>
      <c r="AI194" s="584" t="s">
        <v>165</v>
      </c>
      <c r="AJ194" s="587" t="s">
        <v>162</v>
      </c>
      <c r="AK194" s="588"/>
      <c r="AL194" s="588"/>
      <c r="AM194" s="589"/>
      <c r="AN194" s="584" t="s">
        <v>165</v>
      </c>
      <c r="AO194" s="587" t="s">
        <v>162</v>
      </c>
      <c r="AP194" s="588"/>
      <c r="AQ194" s="588"/>
      <c r="AR194" s="589"/>
      <c r="AS194" s="584" t="s">
        <v>165</v>
      </c>
      <c r="AT194" s="587" t="s">
        <v>162</v>
      </c>
      <c r="AU194" s="588"/>
      <c r="AV194" s="588"/>
      <c r="AW194" s="589"/>
      <c r="AX194" s="584" t="s">
        <v>165</v>
      </c>
    </row>
    <row r="195" spans="1:50">
      <c r="B195" s="576"/>
      <c r="C195" s="607"/>
      <c r="D195" s="608"/>
      <c r="E195" s="590" t="s">
        <v>379</v>
      </c>
      <c r="F195" s="591"/>
      <c r="G195" s="592"/>
      <c r="H195" s="576"/>
      <c r="I195" s="593" t="s">
        <v>379</v>
      </c>
      <c r="J195" s="594"/>
      <c r="K195" s="595"/>
      <c r="L195" s="612"/>
      <c r="M195" s="612"/>
      <c r="N195" s="615"/>
      <c r="O195" s="585"/>
      <c r="P195" s="587" t="s">
        <v>380</v>
      </c>
      <c r="Q195" s="588"/>
      <c r="R195" s="588"/>
      <c r="S195" s="589"/>
      <c r="T195" s="585"/>
      <c r="U195" s="587" t="s">
        <v>380</v>
      </c>
      <c r="V195" s="588"/>
      <c r="W195" s="588"/>
      <c r="X195" s="589"/>
      <c r="Y195" s="585"/>
      <c r="Z195" s="587" t="s">
        <v>380</v>
      </c>
      <c r="AA195" s="588"/>
      <c r="AB195" s="588"/>
      <c r="AC195" s="589"/>
      <c r="AD195" s="585"/>
      <c r="AE195" s="587" t="s">
        <v>380</v>
      </c>
      <c r="AF195" s="588"/>
      <c r="AG195" s="588"/>
      <c r="AH195" s="589"/>
      <c r="AI195" s="585"/>
      <c r="AJ195" s="587" t="s">
        <v>380</v>
      </c>
      <c r="AK195" s="588"/>
      <c r="AL195" s="588"/>
      <c r="AM195" s="589"/>
      <c r="AN195" s="585"/>
      <c r="AO195" s="587" t="s">
        <v>380</v>
      </c>
      <c r="AP195" s="588"/>
      <c r="AQ195" s="588"/>
      <c r="AR195" s="589"/>
      <c r="AS195" s="585"/>
      <c r="AT195" s="587" t="s">
        <v>380</v>
      </c>
      <c r="AU195" s="588"/>
      <c r="AV195" s="588"/>
      <c r="AW195" s="589"/>
      <c r="AX195" s="585"/>
    </row>
    <row r="196" spans="1:50">
      <c r="A196" s="177"/>
      <c r="B196" s="577"/>
      <c r="C196" s="609"/>
      <c r="D196" s="610"/>
      <c r="E196" s="180" t="s">
        <v>161</v>
      </c>
      <c r="F196" s="180" t="s">
        <v>381</v>
      </c>
      <c r="G196" s="180" t="s">
        <v>163</v>
      </c>
      <c r="H196" s="577"/>
      <c r="I196" s="181" t="s">
        <v>161</v>
      </c>
      <c r="J196" s="181" t="s">
        <v>381</v>
      </c>
      <c r="K196" s="181" t="s">
        <v>163</v>
      </c>
      <c r="L196" s="613"/>
      <c r="M196" s="613"/>
      <c r="N196" s="615"/>
      <c r="O196" s="585"/>
      <c r="P196" s="182" t="s">
        <v>161</v>
      </c>
      <c r="Q196" s="182" t="s">
        <v>381</v>
      </c>
      <c r="R196" s="182" t="s">
        <v>163</v>
      </c>
      <c r="S196" s="182" t="s">
        <v>167</v>
      </c>
      <c r="T196" s="586"/>
      <c r="U196" s="182" t="s">
        <v>161</v>
      </c>
      <c r="V196" s="182" t="s">
        <v>381</v>
      </c>
      <c r="W196" s="182" t="s">
        <v>163</v>
      </c>
      <c r="X196" s="182" t="s">
        <v>167</v>
      </c>
      <c r="Y196" s="586"/>
      <c r="Z196" s="182" t="s">
        <v>161</v>
      </c>
      <c r="AA196" s="182" t="s">
        <v>381</v>
      </c>
      <c r="AB196" s="182" t="s">
        <v>163</v>
      </c>
      <c r="AC196" s="182" t="s">
        <v>167</v>
      </c>
      <c r="AD196" s="586"/>
      <c r="AE196" s="182" t="s">
        <v>161</v>
      </c>
      <c r="AF196" s="182" t="s">
        <v>381</v>
      </c>
      <c r="AG196" s="182" t="s">
        <v>163</v>
      </c>
      <c r="AH196" s="182" t="s">
        <v>167</v>
      </c>
      <c r="AI196" s="586"/>
      <c r="AJ196" s="182" t="s">
        <v>161</v>
      </c>
      <c r="AK196" s="182" t="s">
        <v>381</v>
      </c>
      <c r="AL196" s="182" t="s">
        <v>163</v>
      </c>
      <c r="AM196" s="182" t="s">
        <v>167</v>
      </c>
      <c r="AN196" s="586"/>
      <c r="AO196" s="182" t="s">
        <v>161</v>
      </c>
      <c r="AP196" s="182" t="s">
        <v>381</v>
      </c>
      <c r="AQ196" s="182" t="s">
        <v>163</v>
      </c>
      <c r="AR196" s="182" t="s">
        <v>167</v>
      </c>
      <c r="AS196" s="586"/>
      <c r="AT196" s="182" t="s">
        <v>161</v>
      </c>
      <c r="AU196" s="182" t="s">
        <v>381</v>
      </c>
      <c r="AV196" s="182" t="s">
        <v>163</v>
      </c>
      <c r="AW196" s="182" t="s">
        <v>167</v>
      </c>
      <c r="AX196" s="586"/>
    </row>
    <row r="197" spans="1:50">
      <c r="B197" s="575" t="s">
        <v>382</v>
      </c>
      <c r="C197" s="180">
        <v>1</v>
      </c>
      <c r="D197" s="183" t="s">
        <v>407</v>
      </c>
      <c r="E197" s="184">
        <v>4</v>
      </c>
      <c r="F197" s="180">
        <v>3600</v>
      </c>
      <c r="G197" s="185">
        <f>F197/E197</f>
        <v>900</v>
      </c>
      <c r="H197" s="578">
        <f>AVERAGE(G197:G229)</f>
        <v>832.6426799007445</v>
      </c>
      <c r="I197" s="186">
        <f>AVERAGE(P197,U197,Z197,AE197,AJ197,AO197,AT197)</f>
        <v>4</v>
      </c>
      <c r="J197" s="186">
        <f>AVERAGE(Q197,V197,AA197,AF197,AK197,AP197,AU197)</f>
        <v>3173.5385980639976</v>
      </c>
      <c r="K197" s="187">
        <f>AVERAGE(R197,W197,AB197,AG197,AL197,AQ197,AV197)</f>
        <v>793.3846495159994</v>
      </c>
      <c r="L197" s="581">
        <f>IFERROR(AVERAGE(K197:K229),"-")</f>
        <v>738.89977406999492</v>
      </c>
      <c r="M197" s="186">
        <f>RANK(K197, K$197:$K$229)</f>
        <v>13</v>
      </c>
      <c r="N197" s="615"/>
      <c r="O197" s="585"/>
      <c r="P197" s="188">
        <v>4</v>
      </c>
      <c r="Q197" s="188">
        <v>3172.5175006481741</v>
      </c>
      <c r="R197" s="185">
        <f t="shared" ref="R197:R226" si="116">IFERROR(Q197/P197,"")</f>
        <v>793.12937516204352</v>
      </c>
      <c r="S197" s="182">
        <f>RANK(R197, R$197:R$229)</f>
        <v>13</v>
      </c>
      <c r="T197" s="572">
        <f>AVERAGE(R197:R229)</f>
        <v>746.59492506559945</v>
      </c>
      <c r="U197" s="188">
        <v>4</v>
      </c>
      <c r="V197" s="188">
        <v>3172.7986995394217</v>
      </c>
      <c r="W197" s="185">
        <f t="shared" ref="W197:W226" si="117">IFERROR(V197/U197,"")</f>
        <v>793.19967488485543</v>
      </c>
      <c r="X197" s="182">
        <f>RANK(W197, W$197:W$229)</f>
        <v>13</v>
      </c>
      <c r="Y197" s="572">
        <f>AVERAGE(W197:W229)</f>
        <v>746.82007932415434</v>
      </c>
      <c r="Z197" s="188">
        <v>4</v>
      </c>
      <c r="AA197" s="188">
        <v>3172.3032069970841</v>
      </c>
      <c r="AB197" s="185">
        <f>IFERROR(AA197/Z197,"")</f>
        <v>793.07580174927102</v>
      </c>
      <c r="AC197" s="182">
        <f>RANK(AB197, AB$197:AB$229)</f>
        <v>13</v>
      </c>
      <c r="AD197" s="572">
        <f>AVERAGE(AB197:AB229)</f>
        <v>747.00784282999359</v>
      </c>
      <c r="AE197" s="188">
        <v>4</v>
      </c>
      <c r="AF197" s="188">
        <v>3173.499610288387</v>
      </c>
      <c r="AG197" s="185">
        <f>IFERROR(AF197/AE197,"")</f>
        <v>793.37490257209674</v>
      </c>
      <c r="AH197" s="182">
        <f>RANK(AG197, AG$197:AG$229)</f>
        <v>13</v>
      </c>
      <c r="AI197" s="572">
        <f>AVERAGE(AG197:AG229)</f>
        <v>747.12715061221832</v>
      </c>
      <c r="AJ197" s="188">
        <v>4</v>
      </c>
      <c r="AK197" s="188">
        <v>3174.1007194244635</v>
      </c>
      <c r="AL197" s="185">
        <f>IFERROR(AK197/AJ197,"")</f>
        <v>793.52517985611587</v>
      </c>
      <c r="AM197" s="182">
        <f>RANK(AL197, AL$197:AL$229)</f>
        <v>13</v>
      </c>
      <c r="AN197" s="572">
        <f>AVERAGE(AL197:AL229)</f>
        <v>747.3417135779672</v>
      </c>
      <c r="AO197" s="188">
        <v>4</v>
      </c>
      <c r="AP197" s="188">
        <v>3174.7252747252783</v>
      </c>
      <c r="AQ197" s="185">
        <f>IFERROR(AP197/AO197,"")</f>
        <v>793.68131868131957</v>
      </c>
      <c r="AR197" s="182">
        <f>RANK(AQ197, AQ$197:AQ$229)</f>
        <v>13</v>
      </c>
      <c r="AS197" s="572">
        <f>AVERAGE(AQ197:AQ229)</f>
        <v>747.48751780360715</v>
      </c>
      <c r="AT197" s="188">
        <v>4</v>
      </c>
      <c r="AU197" s="188">
        <v>3174.8251748251751</v>
      </c>
      <c r="AV197" s="185">
        <f>IFERROR(AU197/AT197,"")</f>
        <v>793.70629370629376</v>
      </c>
      <c r="AW197" s="182">
        <f>RANK(AV197, AV$197:AV$229)</f>
        <v>13</v>
      </c>
      <c r="AX197" s="572">
        <f>AVERAGE(AV197:AV229)</f>
        <v>739.16591394370437</v>
      </c>
    </row>
    <row r="198" spans="1:50">
      <c r="B198" s="576"/>
      <c r="C198" s="180">
        <v>2</v>
      </c>
      <c r="D198" s="183" t="s">
        <v>405</v>
      </c>
      <c r="E198" s="184">
        <v>3</v>
      </c>
      <c r="F198" s="180">
        <v>3600</v>
      </c>
      <c r="G198" s="185">
        <f t="shared" ref="G198:G217" si="118">F198/E198</f>
        <v>1200</v>
      </c>
      <c r="H198" s="579"/>
      <c r="I198" s="186">
        <f t="shared" ref="I198:K227" si="119">AVERAGE(P198,U198,Z198,AE198,AJ198,AO198,AT198)</f>
        <v>3</v>
      </c>
      <c r="J198" s="186">
        <f t="shared" si="119"/>
        <v>3173.772564635347</v>
      </c>
      <c r="K198" s="187">
        <f t="shared" si="119"/>
        <v>1057.9241882117824</v>
      </c>
      <c r="L198" s="582"/>
      <c r="M198" s="186">
        <f>RANK(K198, K$197:$K$229)</f>
        <v>7</v>
      </c>
      <c r="N198" s="615"/>
      <c r="O198" s="585"/>
      <c r="P198" s="188">
        <v>3</v>
      </c>
      <c r="Q198" s="188">
        <v>3173.069796170475</v>
      </c>
      <c r="R198" s="185">
        <f t="shared" si="116"/>
        <v>1057.689932056825</v>
      </c>
      <c r="S198" s="182">
        <f t="shared" ref="S198:S226" si="120">RANK(R198, R$197:R$229)</f>
        <v>7</v>
      </c>
      <c r="T198" s="573"/>
      <c r="U198" s="188">
        <v>3</v>
      </c>
      <c r="V198" s="188">
        <v>3173.1861198738152</v>
      </c>
      <c r="W198" s="185">
        <f t="shared" si="117"/>
        <v>1057.7287066246051</v>
      </c>
      <c r="X198" s="182">
        <f t="shared" ref="X198:X226" si="121">RANK(W198, W$197:W$229)</f>
        <v>7</v>
      </c>
      <c r="Y198" s="573"/>
      <c r="Z198" s="188">
        <v>3</v>
      </c>
      <c r="AA198" s="188">
        <v>3173.4533183352082</v>
      </c>
      <c r="AB198" s="185">
        <f t="shared" ref="AB198:AB226" si="122">IFERROR(AA198/Z198,"")</f>
        <v>1057.8177727784027</v>
      </c>
      <c r="AC198" s="182">
        <f t="shared" ref="AC198:AC226" si="123">RANK(AB198, AB$197:AB$229)</f>
        <v>7</v>
      </c>
      <c r="AD198" s="573"/>
      <c r="AE198" s="188">
        <v>3</v>
      </c>
      <c r="AF198" s="188">
        <v>3173.9062500000014</v>
      </c>
      <c r="AG198" s="185">
        <f t="shared" ref="AG198:AG226" si="124">IFERROR(AF198/AE198,"")</f>
        <v>1057.9687500000005</v>
      </c>
      <c r="AH198" s="182">
        <f t="shared" ref="AH198:AH226" si="125">RANK(AG198, AG$197:AG$229)</f>
        <v>7</v>
      </c>
      <c r="AI198" s="573"/>
      <c r="AJ198" s="188">
        <v>3</v>
      </c>
      <c r="AK198" s="188">
        <v>3174.1610738255044</v>
      </c>
      <c r="AL198" s="185">
        <f t="shared" ref="AL198:AL226" si="126">IFERROR(AK198/AJ198,"")</f>
        <v>1058.0536912751681</v>
      </c>
      <c r="AM198" s="182">
        <f t="shared" ref="AM198:AM226" si="127">RANK(AL198, AL$197:AL$229)</f>
        <v>7</v>
      </c>
      <c r="AN198" s="573"/>
      <c r="AO198" s="188">
        <v>3</v>
      </c>
      <c r="AP198" s="188">
        <v>3174.3547044129891</v>
      </c>
      <c r="AQ198" s="185">
        <f t="shared" ref="AQ198:AQ226" si="128">IFERROR(AP198/AO198,"")</f>
        <v>1058.1182348043296</v>
      </c>
      <c r="AR198" s="182">
        <f t="shared" ref="AR198:AR226" si="129">RANK(AQ198, AQ$197:AQ$229)</f>
        <v>7</v>
      </c>
      <c r="AS198" s="573"/>
      <c r="AT198" s="188">
        <v>3</v>
      </c>
      <c r="AU198" s="188">
        <v>3174.2766898294376</v>
      </c>
      <c r="AV198" s="185">
        <f t="shared" ref="AV198:AV227" si="130">IFERROR(AU198/AT198,"")</f>
        <v>1058.0922299431459</v>
      </c>
      <c r="AW198" s="182">
        <f t="shared" ref="AW198:AW227" si="131">RANK(AV198, AV$197:AV$229)</f>
        <v>7</v>
      </c>
      <c r="AX198" s="573"/>
    </row>
    <row r="199" spans="1:50">
      <c r="B199" s="576"/>
      <c r="C199" s="180">
        <v>3</v>
      </c>
      <c r="D199" s="183" t="s">
        <v>406</v>
      </c>
      <c r="E199" s="184">
        <v>5</v>
      </c>
      <c r="F199" s="180">
        <v>3600</v>
      </c>
      <c r="G199" s="185">
        <f t="shared" si="118"/>
        <v>720</v>
      </c>
      <c r="H199" s="579"/>
      <c r="I199" s="186">
        <f t="shared" si="119"/>
        <v>5</v>
      </c>
      <c r="J199" s="186">
        <f t="shared" si="119"/>
        <v>3173.8657293623828</v>
      </c>
      <c r="K199" s="187">
        <f t="shared" si="119"/>
        <v>634.77314587247645</v>
      </c>
      <c r="L199" s="582"/>
      <c r="M199" s="186">
        <f>RANK(K199, K$197:$K$229)</f>
        <v>23</v>
      </c>
      <c r="N199" s="615"/>
      <c r="O199" s="585"/>
      <c r="P199" s="188">
        <v>5</v>
      </c>
      <c r="Q199" s="188">
        <v>3173.2457449985045</v>
      </c>
      <c r="R199" s="185">
        <f t="shared" si="116"/>
        <v>634.64914899970086</v>
      </c>
      <c r="S199" s="182">
        <f t="shared" si="120"/>
        <v>22</v>
      </c>
      <c r="T199" s="573"/>
      <c r="U199" s="188">
        <v>5</v>
      </c>
      <c r="V199" s="188">
        <v>3173.7819393747004</v>
      </c>
      <c r="W199" s="185">
        <f t="shared" si="117"/>
        <v>634.75638787494006</v>
      </c>
      <c r="X199" s="182">
        <f t="shared" si="121"/>
        <v>22</v>
      </c>
      <c r="Y199" s="573"/>
      <c r="Z199" s="188">
        <v>5</v>
      </c>
      <c r="AA199" s="188">
        <v>3173.8317757009331</v>
      </c>
      <c r="AB199" s="185">
        <f t="shared" si="122"/>
        <v>634.76635514018665</v>
      </c>
      <c r="AC199" s="182">
        <f t="shared" si="123"/>
        <v>22</v>
      </c>
      <c r="AD199" s="573"/>
      <c r="AE199" s="188">
        <v>5</v>
      </c>
      <c r="AF199" s="188">
        <v>3174.1575644898917</v>
      </c>
      <c r="AG199" s="185">
        <f t="shared" si="124"/>
        <v>634.83151289797831</v>
      </c>
      <c r="AH199" s="182">
        <f t="shared" si="125"/>
        <v>23</v>
      </c>
      <c r="AI199" s="573"/>
      <c r="AJ199" s="188">
        <v>5</v>
      </c>
      <c r="AK199" s="188">
        <v>3174.0285785911269</v>
      </c>
      <c r="AL199" s="185">
        <f t="shared" si="126"/>
        <v>634.80571571822543</v>
      </c>
      <c r="AM199" s="182">
        <f t="shared" si="127"/>
        <v>23</v>
      </c>
      <c r="AN199" s="573"/>
      <c r="AO199" s="188">
        <v>5</v>
      </c>
      <c r="AP199" s="188">
        <v>3174.1550695825072</v>
      </c>
      <c r="AQ199" s="185">
        <f t="shared" si="128"/>
        <v>634.83101391650143</v>
      </c>
      <c r="AR199" s="182">
        <f t="shared" si="129"/>
        <v>23</v>
      </c>
      <c r="AS199" s="573"/>
      <c r="AT199" s="188">
        <v>5</v>
      </c>
      <c r="AU199" s="188">
        <v>3173.8594327990136</v>
      </c>
      <c r="AV199" s="185">
        <f t="shared" si="130"/>
        <v>634.77188655980274</v>
      </c>
      <c r="AW199" s="182">
        <f t="shared" si="131"/>
        <v>22</v>
      </c>
      <c r="AX199" s="573"/>
    </row>
    <row r="200" spans="1:50">
      <c r="B200" s="576"/>
      <c r="C200" s="180">
        <v>4</v>
      </c>
      <c r="D200" s="183" t="s">
        <v>231</v>
      </c>
      <c r="E200" s="184">
        <v>5</v>
      </c>
      <c r="F200" s="180">
        <v>3300</v>
      </c>
      <c r="G200" s="185">
        <f t="shared" si="118"/>
        <v>660</v>
      </c>
      <c r="H200" s="579"/>
      <c r="I200" s="186">
        <f t="shared" si="119"/>
        <v>5</v>
      </c>
      <c r="J200" s="186">
        <f t="shared" si="119"/>
        <v>2947.5098539384066</v>
      </c>
      <c r="K200" s="187">
        <f t="shared" si="119"/>
        <v>589.50197078768144</v>
      </c>
      <c r="L200" s="582"/>
      <c r="M200" s="186">
        <f>RANK(K200, K$197:$K$229)</f>
        <v>24</v>
      </c>
      <c r="N200" s="615"/>
      <c r="O200" s="585"/>
      <c r="P200" s="188">
        <v>5</v>
      </c>
      <c r="Q200" s="188">
        <v>2947.7272727272757</v>
      </c>
      <c r="R200" s="185">
        <f t="shared" si="116"/>
        <v>589.54545454545519</v>
      </c>
      <c r="S200" s="182">
        <f t="shared" si="120"/>
        <v>24</v>
      </c>
      <c r="T200" s="573"/>
      <c r="U200" s="188">
        <v>5</v>
      </c>
      <c r="V200" s="188">
        <v>2946.9127943984736</v>
      </c>
      <c r="W200" s="185">
        <f t="shared" si="117"/>
        <v>589.38255887969467</v>
      </c>
      <c r="X200" s="182">
        <f t="shared" si="121"/>
        <v>24</v>
      </c>
      <c r="Y200" s="573"/>
      <c r="Z200" s="188">
        <v>5</v>
      </c>
      <c r="AA200" s="188">
        <v>2948.3304042179211</v>
      </c>
      <c r="AB200" s="185">
        <f t="shared" si="122"/>
        <v>589.66608084358427</v>
      </c>
      <c r="AC200" s="182">
        <f t="shared" si="123"/>
        <v>24</v>
      </c>
      <c r="AD200" s="573"/>
      <c r="AE200" s="188">
        <v>5</v>
      </c>
      <c r="AF200" s="188">
        <v>2947.8991596638666</v>
      </c>
      <c r="AG200" s="185">
        <f t="shared" si="124"/>
        <v>589.57983193277335</v>
      </c>
      <c r="AH200" s="182">
        <f t="shared" si="125"/>
        <v>24</v>
      </c>
      <c r="AI200" s="573"/>
      <c r="AJ200" s="188">
        <v>5</v>
      </c>
      <c r="AK200" s="188">
        <v>2947.4103585657458</v>
      </c>
      <c r="AL200" s="185">
        <f t="shared" si="126"/>
        <v>589.48207171314914</v>
      </c>
      <c r="AM200" s="182">
        <f t="shared" si="127"/>
        <v>24</v>
      </c>
      <c r="AN200" s="573"/>
      <c r="AO200" s="188">
        <v>5</v>
      </c>
      <c r="AP200" s="188">
        <v>2947.6056338028206</v>
      </c>
      <c r="AQ200" s="185">
        <f t="shared" si="128"/>
        <v>589.52112676056413</v>
      </c>
      <c r="AR200" s="182">
        <f t="shared" si="129"/>
        <v>24</v>
      </c>
      <c r="AS200" s="573"/>
      <c r="AT200" s="188">
        <v>5</v>
      </c>
      <c r="AU200" s="188">
        <v>2946.6833541927431</v>
      </c>
      <c r="AV200" s="185">
        <f t="shared" si="130"/>
        <v>589.33667083854857</v>
      </c>
      <c r="AW200" s="182">
        <f t="shared" si="131"/>
        <v>23</v>
      </c>
      <c r="AX200" s="573"/>
    </row>
    <row r="201" spans="1:50">
      <c r="B201" s="576"/>
      <c r="C201" s="180">
        <v>5</v>
      </c>
      <c r="D201" s="183" t="s">
        <v>402</v>
      </c>
      <c r="E201" s="184">
        <v>3</v>
      </c>
      <c r="F201" s="180">
        <v>3600</v>
      </c>
      <c r="G201" s="185">
        <f t="shared" si="118"/>
        <v>1200</v>
      </c>
      <c r="H201" s="579"/>
      <c r="I201" s="186">
        <f t="shared" si="119"/>
        <v>3</v>
      </c>
      <c r="J201" s="186">
        <f t="shared" si="119"/>
        <v>3175.3093339119396</v>
      </c>
      <c r="K201" s="187">
        <f t="shared" si="119"/>
        <v>1058.4364446373131</v>
      </c>
      <c r="L201" s="582"/>
      <c r="M201" s="186">
        <f>RANK(K201, K$197:$K$229)</f>
        <v>6</v>
      </c>
      <c r="N201" s="615"/>
      <c r="O201" s="585"/>
      <c r="P201" s="188">
        <v>3</v>
      </c>
      <c r="Q201" s="188">
        <v>3175.2175426383556</v>
      </c>
      <c r="R201" s="185">
        <f t="shared" si="116"/>
        <v>1058.4058475461186</v>
      </c>
      <c r="S201" s="182">
        <f t="shared" si="120"/>
        <v>6</v>
      </c>
      <c r="T201" s="573"/>
      <c r="U201" s="188">
        <v>3</v>
      </c>
      <c r="V201" s="188">
        <v>3175.3385602280837</v>
      </c>
      <c r="W201" s="185">
        <f t="shared" si="117"/>
        <v>1058.4461867426946</v>
      </c>
      <c r="X201" s="182">
        <f t="shared" si="121"/>
        <v>6</v>
      </c>
      <c r="Y201" s="573"/>
      <c r="Z201" s="188">
        <v>3</v>
      </c>
      <c r="AA201" s="188">
        <v>3174.9521988527754</v>
      </c>
      <c r="AB201" s="185">
        <f t="shared" si="122"/>
        <v>1058.3173996175917</v>
      </c>
      <c r="AC201" s="182">
        <f t="shared" si="123"/>
        <v>5</v>
      </c>
      <c r="AD201" s="573"/>
      <c r="AE201" s="188">
        <v>3</v>
      </c>
      <c r="AF201" s="188">
        <v>3174.5287824758002</v>
      </c>
      <c r="AG201" s="185">
        <f t="shared" si="124"/>
        <v>1058.1762608252668</v>
      </c>
      <c r="AH201" s="182">
        <f t="shared" si="125"/>
        <v>5</v>
      </c>
      <c r="AI201" s="573"/>
      <c r="AJ201" s="188">
        <v>3</v>
      </c>
      <c r="AK201" s="188">
        <v>3175.9112519809773</v>
      </c>
      <c r="AL201" s="185">
        <f t="shared" si="126"/>
        <v>1058.6370839936592</v>
      </c>
      <c r="AM201" s="182">
        <f t="shared" si="127"/>
        <v>4</v>
      </c>
      <c r="AN201" s="573"/>
      <c r="AO201" s="188">
        <v>3</v>
      </c>
      <c r="AP201" s="188">
        <v>3175.4891864057622</v>
      </c>
      <c r="AQ201" s="185">
        <f t="shared" si="128"/>
        <v>1058.4963954685875</v>
      </c>
      <c r="AR201" s="182">
        <f t="shared" si="129"/>
        <v>6</v>
      </c>
      <c r="AS201" s="573"/>
      <c r="AT201" s="188">
        <v>3</v>
      </c>
      <c r="AU201" s="188">
        <v>3175.7278148018227</v>
      </c>
      <c r="AV201" s="185">
        <f t="shared" si="130"/>
        <v>1058.5759382672743</v>
      </c>
      <c r="AW201" s="182">
        <f t="shared" si="131"/>
        <v>6</v>
      </c>
      <c r="AX201" s="573"/>
    </row>
    <row r="202" spans="1:50">
      <c r="B202" s="576"/>
      <c r="C202" s="180">
        <v>6</v>
      </c>
      <c r="D202" s="183" t="s">
        <v>343</v>
      </c>
      <c r="E202" s="184">
        <v>3</v>
      </c>
      <c r="F202" s="180">
        <v>3000</v>
      </c>
      <c r="G202" s="185">
        <f t="shared" si="118"/>
        <v>1000</v>
      </c>
      <c r="H202" s="579"/>
      <c r="I202" s="186">
        <f t="shared" si="119"/>
        <v>3</v>
      </c>
      <c r="J202" s="186">
        <f t="shared" si="119"/>
        <v>2700.2760856700074</v>
      </c>
      <c r="K202" s="187">
        <f t="shared" si="119"/>
        <v>900.09202855666911</v>
      </c>
      <c r="L202" s="582"/>
      <c r="M202" s="186">
        <f>RANK(K202, K$197:$K$229)</f>
        <v>9</v>
      </c>
      <c r="N202" s="615"/>
      <c r="O202" s="585"/>
      <c r="P202" s="188">
        <v>3</v>
      </c>
      <c r="Q202" s="188">
        <v>2700.1992472880233</v>
      </c>
      <c r="R202" s="185">
        <f t="shared" si="116"/>
        <v>900.06641576267441</v>
      </c>
      <c r="S202" s="182">
        <f t="shared" si="120"/>
        <v>9</v>
      </c>
      <c r="T202" s="573"/>
      <c r="U202" s="188">
        <v>3</v>
      </c>
      <c r="V202" s="188">
        <v>2700.4126547455321</v>
      </c>
      <c r="W202" s="185">
        <f t="shared" si="117"/>
        <v>900.13755158184404</v>
      </c>
      <c r="X202" s="182">
        <f t="shared" si="121"/>
        <v>9</v>
      </c>
      <c r="Y202" s="573"/>
      <c r="Z202" s="188">
        <v>3</v>
      </c>
      <c r="AA202" s="188">
        <v>2700.2894821485979</v>
      </c>
      <c r="AB202" s="185">
        <f t="shared" si="122"/>
        <v>900.09649404953268</v>
      </c>
      <c r="AC202" s="182">
        <f t="shared" si="123"/>
        <v>9</v>
      </c>
      <c r="AD202" s="573"/>
      <c r="AE202" s="188">
        <v>3</v>
      </c>
      <c r="AF202" s="188">
        <v>2700.3068530514861</v>
      </c>
      <c r="AG202" s="185">
        <f t="shared" si="124"/>
        <v>900.10228435049532</v>
      </c>
      <c r="AH202" s="182">
        <f t="shared" si="125"/>
        <v>9</v>
      </c>
      <c r="AI202" s="573"/>
      <c r="AJ202" s="188">
        <v>3</v>
      </c>
      <c r="AK202" s="188">
        <v>2699.9999999999991</v>
      </c>
      <c r="AL202" s="185">
        <f t="shared" si="126"/>
        <v>899.99999999999966</v>
      </c>
      <c r="AM202" s="182">
        <f t="shared" si="127"/>
        <v>10</v>
      </c>
      <c r="AN202" s="573"/>
      <c r="AO202" s="188">
        <v>3</v>
      </c>
      <c r="AP202" s="188">
        <v>2700.3154574132495</v>
      </c>
      <c r="AQ202" s="185">
        <f t="shared" si="128"/>
        <v>900.10515247108322</v>
      </c>
      <c r="AR202" s="182">
        <f t="shared" si="129"/>
        <v>10</v>
      </c>
      <c r="AS202" s="573"/>
      <c r="AT202" s="188">
        <v>3</v>
      </c>
      <c r="AU202" s="188">
        <v>2700.408905043163</v>
      </c>
      <c r="AV202" s="185">
        <f t="shared" si="130"/>
        <v>900.13630168105431</v>
      </c>
      <c r="AW202" s="182">
        <f t="shared" si="131"/>
        <v>10</v>
      </c>
      <c r="AX202" s="573"/>
    </row>
    <row r="203" spans="1:50">
      <c r="B203" s="576"/>
      <c r="C203" s="180">
        <v>7</v>
      </c>
      <c r="D203" s="183" t="s">
        <v>404</v>
      </c>
      <c r="E203" s="184">
        <v>3</v>
      </c>
      <c r="F203" s="180">
        <v>3600</v>
      </c>
      <c r="G203" s="185">
        <f t="shared" si="118"/>
        <v>1200</v>
      </c>
      <c r="H203" s="579"/>
      <c r="I203" s="186">
        <f t="shared" si="119"/>
        <v>3</v>
      </c>
      <c r="J203" s="186">
        <f t="shared" si="119"/>
        <v>3178.836210245116</v>
      </c>
      <c r="K203" s="187">
        <f t="shared" si="119"/>
        <v>1059.612070081705</v>
      </c>
      <c r="L203" s="582"/>
      <c r="M203" s="186">
        <f>RANK(K203, K$197:$K$229)</f>
        <v>2</v>
      </c>
      <c r="N203" s="615"/>
      <c r="O203" s="585"/>
      <c r="P203" s="188">
        <v>3</v>
      </c>
      <c r="Q203" s="188">
        <v>3178.5480706344069</v>
      </c>
      <c r="R203" s="185">
        <f t="shared" si="116"/>
        <v>1059.5160235448022</v>
      </c>
      <c r="S203" s="182">
        <f t="shared" si="120"/>
        <v>1</v>
      </c>
      <c r="T203" s="573"/>
      <c r="U203" s="188">
        <v>3</v>
      </c>
      <c r="V203" s="188">
        <v>3179.6833773087101</v>
      </c>
      <c r="W203" s="185">
        <f t="shared" si="117"/>
        <v>1059.8944591029033</v>
      </c>
      <c r="X203" s="182">
        <f t="shared" si="121"/>
        <v>2</v>
      </c>
      <c r="Y203" s="573"/>
      <c r="Z203" s="188">
        <v>3</v>
      </c>
      <c r="AA203" s="188">
        <v>3179.4392523364404</v>
      </c>
      <c r="AB203" s="185">
        <f t="shared" si="122"/>
        <v>1059.8130841121467</v>
      </c>
      <c r="AC203" s="182">
        <f t="shared" si="123"/>
        <v>2</v>
      </c>
      <c r="AD203" s="573"/>
      <c r="AE203" s="188">
        <v>3</v>
      </c>
      <c r="AF203" s="188">
        <v>3178.3155856727976</v>
      </c>
      <c r="AG203" s="185">
        <f t="shared" si="124"/>
        <v>1059.4385285575993</v>
      </c>
      <c r="AH203" s="182">
        <f t="shared" si="125"/>
        <v>2</v>
      </c>
      <c r="AI203" s="573"/>
      <c r="AJ203" s="188">
        <v>3</v>
      </c>
      <c r="AK203" s="188">
        <v>3178.8526434195674</v>
      </c>
      <c r="AL203" s="185">
        <f t="shared" si="126"/>
        <v>1059.6175478065225</v>
      </c>
      <c r="AM203" s="182">
        <f t="shared" si="127"/>
        <v>2</v>
      </c>
      <c r="AN203" s="573"/>
      <c r="AO203" s="188">
        <v>3</v>
      </c>
      <c r="AP203" s="188">
        <v>3178.5714285714307</v>
      </c>
      <c r="AQ203" s="185">
        <f t="shared" si="128"/>
        <v>1059.5238095238103</v>
      </c>
      <c r="AR203" s="182">
        <f t="shared" si="129"/>
        <v>2</v>
      </c>
      <c r="AS203" s="573"/>
      <c r="AT203" s="188">
        <v>3</v>
      </c>
      <c r="AU203" s="188">
        <v>3178.4431137724555</v>
      </c>
      <c r="AV203" s="185">
        <f t="shared" si="130"/>
        <v>1059.4810379241519</v>
      </c>
      <c r="AW203" s="182">
        <f t="shared" si="131"/>
        <v>3</v>
      </c>
      <c r="AX203" s="573"/>
    </row>
    <row r="204" spans="1:50">
      <c r="B204" s="576"/>
      <c r="C204" s="180">
        <v>8</v>
      </c>
      <c r="D204" s="183" t="s">
        <v>403</v>
      </c>
      <c r="E204" s="184">
        <v>4</v>
      </c>
      <c r="F204" s="180">
        <v>3300</v>
      </c>
      <c r="G204" s="185">
        <f t="shared" si="118"/>
        <v>825</v>
      </c>
      <c r="H204" s="579"/>
      <c r="I204" s="186">
        <f t="shared" si="119"/>
        <v>4</v>
      </c>
      <c r="J204" s="186">
        <f t="shared" si="119"/>
        <v>2943.6951790548251</v>
      </c>
      <c r="K204" s="187">
        <f t="shared" si="119"/>
        <v>735.92379476370627</v>
      </c>
      <c r="L204" s="582"/>
      <c r="M204" s="186">
        <f>RANK(K204, K$197:$K$229)</f>
        <v>17</v>
      </c>
      <c r="N204" s="615"/>
      <c r="O204" s="585"/>
      <c r="P204" s="188">
        <v>4</v>
      </c>
      <c r="Q204" s="188">
        <v>2941.2915851272019</v>
      </c>
      <c r="R204" s="185">
        <f t="shared" si="116"/>
        <v>735.32289628180047</v>
      </c>
      <c r="S204" s="182">
        <f t="shared" si="120"/>
        <v>17</v>
      </c>
      <c r="T204" s="573"/>
      <c r="U204" s="188">
        <v>4</v>
      </c>
      <c r="V204" s="188">
        <v>2941.550695825048</v>
      </c>
      <c r="W204" s="185">
        <f t="shared" si="117"/>
        <v>735.38767395626201</v>
      </c>
      <c r="X204" s="182">
        <f t="shared" si="121"/>
        <v>17</v>
      </c>
      <c r="Y204" s="573"/>
      <c r="Z204" s="188">
        <v>4</v>
      </c>
      <c r="AA204" s="188">
        <v>2943.7359339834984</v>
      </c>
      <c r="AB204" s="185">
        <f t="shared" si="122"/>
        <v>735.9339834958746</v>
      </c>
      <c r="AC204" s="182">
        <f t="shared" si="123"/>
        <v>16</v>
      </c>
      <c r="AD204" s="573"/>
      <c r="AE204" s="188">
        <v>4</v>
      </c>
      <c r="AF204" s="188">
        <v>2943.3414043583489</v>
      </c>
      <c r="AG204" s="185">
        <f t="shared" si="124"/>
        <v>735.83535108958722</v>
      </c>
      <c r="AH204" s="182">
        <f t="shared" si="125"/>
        <v>17</v>
      </c>
      <c r="AI204" s="573"/>
      <c r="AJ204" s="188">
        <v>4</v>
      </c>
      <c r="AK204" s="188">
        <v>2944.8763250883362</v>
      </c>
      <c r="AL204" s="185">
        <f t="shared" si="126"/>
        <v>736.21908127208405</v>
      </c>
      <c r="AM204" s="182">
        <f t="shared" si="127"/>
        <v>15</v>
      </c>
      <c r="AN204" s="573"/>
      <c r="AO204" s="188">
        <v>4</v>
      </c>
      <c r="AP204" s="188">
        <v>2945.4545454545464</v>
      </c>
      <c r="AQ204" s="185">
        <f t="shared" si="128"/>
        <v>736.3636363636366</v>
      </c>
      <c r="AR204" s="182">
        <f t="shared" si="129"/>
        <v>15</v>
      </c>
      <c r="AS204" s="573"/>
      <c r="AT204" s="188">
        <v>4</v>
      </c>
      <c r="AU204" s="188">
        <v>2945.6157635467921</v>
      </c>
      <c r="AV204" s="185">
        <f t="shared" si="130"/>
        <v>736.40394088669802</v>
      </c>
      <c r="AW204" s="182">
        <f t="shared" si="131"/>
        <v>16</v>
      </c>
      <c r="AX204" s="573"/>
    </row>
    <row r="205" spans="1:50">
      <c r="B205" s="576"/>
      <c r="C205" s="180">
        <v>9</v>
      </c>
      <c r="D205" s="183" t="s">
        <v>401</v>
      </c>
      <c r="E205" s="184">
        <v>4</v>
      </c>
      <c r="F205" s="180">
        <v>3300</v>
      </c>
      <c r="G205" s="185">
        <f t="shared" si="118"/>
        <v>825</v>
      </c>
      <c r="H205" s="579"/>
      <c r="I205" s="186">
        <f t="shared" si="119"/>
        <v>4</v>
      </c>
      <c r="J205" s="186">
        <f t="shared" si="119"/>
        <v>2942.6570474907448</v>
      </c>
      <c r="K205" s="187">
        <f t="shared" si="119"/>
        <v>735.66426187268621</v>
      </c>
      <c r="L205" s="582"/>
      <c r="M205" s="186">
        <f>RANK(K205, K$197:$K$229)</f>
        <v>18</v>
      </c>
      <c r="N205" s="615"/>
      <c r="O205" s="585"/>
      <c r="P205" s="188">
        <v>4</v>
      </c>
      <c r="Q205" s="188">
        <v>2941.1293552262732</v>
      </c>
      <c r="R205" s="185">
        <f t="shared" si="116"/>
        <v>735.2823388065683</v>
      </c>
      <c r="S205" s="182">
        <f t="shared" si="120"/>
        <v>18</v>
      </c>
      <c r="T205" s="573"/>
      <c r="U205" s="188">
        <v>4</v>
      </c>
      <c r="V205" s="188">
        <v>2940.8659793814409</v>
      </c>
      <c r="W205" s="185">
        <f t="shared" si="117"/>
        <v>735.21649484536022</v>
      </c>
      <c r="X205" s="182">
        <f t="shared" si="121"/>
        <v>18</v>
      </c>
      <c r="Y205" s="573"/>
      <c r="Z205" s="188">
        <v>4</v>
      </c>
      <c r="AA205" s="188">
        <v>2942.6086956521722</v>
      </c>
      <c r="AB205" s="185">
        <f t="shared" si="122"/>
        <v>735.65217391304304</v>
      </c>
      <c r="AC205" s="182">
        <f t="shared" si="123"/>
        <v>18</v>
      </c>
      <c r="AD205" s="573"/>
      <c r="AE205" s="188">
        <v>4</v>
      </c>
      <c r="AF205" s="188">
        <v>2942.4354243542434</v>
      </c>
      <c r="AG205" s="185">
        <f t="shared" si="124"/>
        <v>735.60885608856086</v>
      </c>
      <c r="AH205" s="182">
        <f t="shared" si="125"/>
        <v>18</v>
      </c>
      <c r="AI205" s="573"/>
      <c r="AJ205" s="188">
        <v>4</v>
      </c>
      <c r="AK205" s="188">
        <v>2942.9483088704587</v>
      </c>
      <c r="AL205" s="185">
        <f t="shared" si="126"/>
        <v>735.73707721761468</v>
      </c>
      <c r="AM205" s="182">
        <f t="shared" si="127"/>
        <v>17</v>
      </c>
      <c r="AN205" s="573"/>
      <c r="AO205" s="188">
        <v>4</v>
      </c>
      <c r="AP205" s="188">
        <v>2944.0860215053717</v>
      </c>
      <c r="AQ205" s="185">
        <f t="shared" si="128"/>
        <v>736.02150537634293</v>
      </c>
      <c r="AR205" s="182">
        <f t="shared" si="129"/>
        <v>18</v>
      </c>
      <c r="AS205" s="573"/>
      <c r="AT205" s="188">
        <v>4</v>
      </c>
      <c r="AU205" s="188">
        <v>2944.5255474452533</v>
      </c>
      <c r="AV205" s="185">
        <f t="shared" si="130"/>
        <v>736.13138686131333</v>
      </c>
      <c r="AW205" s="182">
        <f t="shared" si="131"/>
        <v>17</v>
      </c>
      <c r="AX205" s="573"/>
    </row>
    <row r="206" spans="1:50">
      <c r="B206" s="576"/>
      <c r="C206" s="180">
        <v>10</v>
      </c>
      <c r="D206" s="183" t="s">
        <v>230</v>
      </c>
      <c r="E206" s="184">
        <v>3</v>
      </c>
      <c r="F206" s="180">
        <v>3000</v>
      </c>
      <c r="G206" s="185">
        <f t="shared" si="118"/>
        <v>1000</v>
      </c>
      <c r="H206" s="579"/>
      <c r="I206" s="186">
        <f t="shared" si="119"/>
        <v>3</v>
      </c>
      <c r="J206" s="186">
        <f t="shared" si="119"/>
        <v>2700.0011236945111</v>
      </c>
      <c r="K206" s="187">
        <f t="shared" si="119"/>
        <v>900.0003745648371</v>
      </c>
      <c r="L206" s="582"/>
      <c r="M206" s="186">
        <f>RANK(K206, K$197:$K$229)</f>
        <v>10</v>
      </c>
      <c r="N206" s="615"/>
      <c r="O206" s="585"/>
      <c r="P206" s="188">
        <v>3</v>
      </c>
      <c r="Q206" s="188">
        <v>2699.0918264379407</v>
      </c>
      <c r="R206" s="185">
        <f t="shared" si="116"/>
        <v>899.69727547931359</v>
      </c>
      <c r="S206" s="182">
        <f t="shared" si="120"/>
        <v>11</v>
      </c>
      <c r="T206" s="573"/>
      <c r="U206" s="188">
        <v>3</v>
      </c>
      <c r="V206" s="188">
        <v>2699.430018999366</v>
      </c>
      <c r="W206" s="185">
        <f t="shared" si="117"/>
        <v>899.81000633312203</v>
      </c>
      <c r="X206" s="182">
        <f t="shared" si="121"/>
        <v>11</v>
      </c>
      <c r="Y206" s="573"/>
      <c r="Z206" s="188">
        <v>3</v>
      </c>
      <c r="AA206" s="188">
        <v>2699.6036988110964</v>
      </c>
      <c r="AB206" s="185">
        <f t="shared" si="122"/>
        <v>899.86789960369879</v>
      </c>
      <c r="AC206" s="182">
        <f t="shared" si="123"/>
        <v>11</v>
      </c>
      <c r="AD206" s="573"/>
      <c r="AE206" s="188">
        <v>3</v>
      </c>
      <c r="AF206" s="188">
        <v>2699.791811242193</v>
      </c>
      <c r="AG206" s="185">
        <f t="shared" si="124"/>
        <v>899.93060374739764</v>
      </c>
      <c r="AH206" s="182">
        <f t="shared" si="125"/>
        <v>10</v>
      </c>
      <c r="AI206" s="573"/>
      <c r="AJ206" s="188">
        <v>3</v>
      </c>
      <c r="AK206" s="188">
        <v>2700.2158791077013</v>
      </c>
      <c r="AL206" s="185">
        <f t="shared" si="126"/>
        <v>900.07195970256714</v>
      </c>
      <c r="AM206" s="182">
        <f t="shared" si="127"/>
        <v>9</v>
      </c>
      <c r="AN206" s="573"/>
      <c r="AO206" s="188">
        <v>3</v>
      </c>
      <c r="AP206" s="188">
        <v>2701.049195616692</v>
      </c>
      <c r="AQ206" s="185">
        <f t="shared" si="128"/>
        <v>900.34973187223068</v>
      </c>
      <c r="AR206" s="182">
        <f t="shared" si="129"/>
        <v>9</v>
      </c>
      <c r="AS206" s="573"/>
      <c r="AT206" s="188">
        <v>3</v>
      </c>
      <c r="AU206" s="188">
        <v>2700.8254356465895</v>
      </c>
      <c r="AV206" s="185">
        <f t="shared" si="130"/>
        <v>900.27514521552985</v>
      </c>
      <c r="AW206" s="182">
        <f t="shared" si="131"/>
        <v>9</v>
      </c>
      <c r="AX206" s="573"/>
    </row>
    <row r="207" spans="1:50">
      <c r="B207" s="576"/>
      <c r="C207" s="180">
        <v>11</v>
      </c>
      <c r="D207" s="183" t="s">
        <v>481</v>
      </c>
      <c r="E207" s="184">
        <v>12</v>
      </c>
      <c r="F207" s="180">
        <v>3600</v>
      </c>
      <c r="G207" s="185">
        <f t="shared" si="118"/>
        <v>300</v>
      </c>
      <c r="H207" s="579"/>
      <c r="I207" s="186">
        <f t="shared" si="119"/>
        <v>12</v>
      </c>
      <c r="J207" s="186">
        <f t="shared" si="119"/>
        <v>3125.1402780743629</v>
      </c>
      <c r="K207" s="187">
        <f t="shared" si="119"/>
        <v>260.42835650619696</v>
      </c>
      <c r="L207" s="582"/>
      <c r="M207" s="186">
        <f>RANK(K207, K$197:$K$229)</f>
        <v>29</v>
      </c>
      <c r="N207" s="615"/>
      <c r="O207" s="585"/>
      <c r="P207" s="188">
        <v>12</v>
      </c>
      <c r="Q207" s="188">
        <v>3125.5328403653743</v>
      </c>
      <c r="R207" s="185">
        <f t="shared" si="116"/>
        <v>260.46107003044784</v>
      </c>
      <c r="S207" s="182">
        <f t="shared" si="120"/>
        <v>28</v>
      </c>
      <c r="T207" s="573"/>
      <c r="U207" s="188">
        <v>12</v>
      </c>
      <c r="V207" s="188">
        <v>3126.1894175188972</v>
      </c>
      <c r="W207" s="185">
        <f t="shared" si="117"/>
        <v>260.51578479324144</v>
      </c>
      <c r="X207" s="182">
        <f t="shared" si="121"/>
        <v>28</v>
      </c>
      <c r="Y207" s="573"/>
      <c r="Z207" s="188">
        <v>12</v>
      </c>
      <c r="AA207" s="188">
        <v>3125.1152073732701</v>
      </c>
      <c r="AB207" s="185">
        <f t="shared" si="122"/>
        <v>260.42626728110582</v>
      </c>
      <c r="AC207" s="182">
        <f t="shared" si="123"/>
        <v>28</v>
      </c>
      <c r="AD207" s="573"/>
      <c r="AE207" s="188">
        <v>12</v>
      </c>
      <c r="AF207" s="188">
        <v>3124.4036697247684</v>
      </c>
      <c r="AG207" s="185">
        <f t="shared" si="124"/>
        <v>260.36697247706405</v>
      </c>
      <c r="AH207" s="182">
        <f t="shared" si="125"/>
        <v>28</v>
      </c>
      <c r="AI207" s="573"/>
      <c r="AJ207" s="188">
        <v>12</v>
      </c>
      <c r="AK207" s="188">
        <v>3125.2747252747249</v>
      </c>
      <c r="AL207" s="185">
        <f t="shared" si="126"/>
        <v>260.43956043956041</v>
      </c>
      <c r="AM207" s="182">
        <f t="shared" si="127"/>
        <v>28</v>
      </c>
      <c r="AN207" s="573"/>
      <c r="AO207" s="188">
        <v>12</v>
      </c>
      <c r="AP207" s="188">
        <v>3124.9070631970208</v>
      </c>
      <c r="AQ207" s="185">
        <f t="shared" si="128"/>
        <v>260.40892193308508</v>
      </c>
      <c r="AR207" s="182">
        <f t="shared" si="129"/>
        <v>29</v>
      </c>
      <c r="AS207" s="573"/>
      <c r="AT207" s="188">
        <v>12</v>
      </c>
      <c r="AU207" s="188">
        <v>3124.5590230664848</v>
      </c>
      <c r="AV207" s="185">
        <f t="shared" si="130"/>
        <v>260.37991858887375</v>
      </c>
      <c r="AW207" s="182">
        <f t="shared" si="131"/>
        <v>29</v>
      </c>
      <c r="AX207" s="573"/>
    </row>
    <row r="208" spans="1:50">
      <c r="B208" s="576"/>
      <c r="C208" s="180">
        <v>12</v>
      </c>
      <c r="D208" s="183" t="s">
        <v>516</v>
      </c>
      <c r="E208" s="184">
        <v>3</v>
      </c>
      <c r="F208" s="180">
        <v>3300</v>
      </c>
      <c r="G208" s="185">
        <f t="shared" si="118"/>
        <v>1100</v>
      </c>
      <c r="H208" s="579"/>
      <c r="I208" s="186">
        <f t="shared" si="119"/>
        <v>3</v>
      </c>
      <c r="J208" s="186">
        <f t="shared" si="119"/>
        <v>2971.5361060997557</v>
      </c>
      <c r="K208" s="187">
        <f t="shared" si="119"/>
        <v>990.51203536658511</v>
      </c>
      <c r="L208" s="582"/>
      <c r="M208" s="186">
        <f>RANK(K208, K$197:$K$229)</f>
        <v>8</v>
      </c>
      <c r="N208" s="615"/>
      <c r="O208" s="585"/>
      <c r="P208" s="188">
        <v>3</v>
      </c>
      <c r="Q208" s="188">
        <v>2971.3639448088679</v>
      </c>
      <c r="R208" s="185">
        <f t="shared" si="116"/>
        <v>990.45464826962268</v>
      </c>
      <c r="S208" s="182">
        <f t="shared" si="120"/>
        <v>8</v>
      </c>
      <c r="T208" s="573"/>
      <c r="U208" s="188">
        <v>3</v>
      </c>
      <c r="V208" s="188">
        <v>2971.6052318668262</v>
      </c>
      <c r="W208" s="185">
        <f t="shared" si="117"/>
        <v>990.53507728894203</v>
      </c>
      <c r="X208" s="182">
        <f t="shared" si="121"/>
        <v>8</v>
      </c>
      <c r="Y208" s="573"/>
      <c r="Z208" s="188">
        <v>3</v>
      </c>
      <c r="AA208" s="188">
        <v>2971.0635579687014</v>
      </c>
      <c r="AB208" s="185">
        <f t="shared" si="122"/>
        <v>990.3545193229005</v>
      </c>
      <c r="AC208" s="182">
        <f t="shared" si="123"/>
        <v>8</v>
      </c>
      <c r="AD208" s="573"/>
      <c r="AE208" s="188">
        <v>3</v>
      </c>
      <c r="AF208" s="188">
        <v>2971.5438950555003</v>
      </c>
      <c r="AG208" s="185">
        <f t="shared" si="124"/>
        <v>990.51463168516682</v>
      </c>
      <c r="AH208" s="182">
        <f t="shared" si="125"/>
        <v>8</v>
      </c>
      <c r="AI208" s="573"/>
      <c r="AJ208" s="188">
        <v>3</v>
      </c>
      <c r="AK208" s="188">
        <v>2970.6382978723409</v>
      </c>
      <c r="AL208" s="185">
        <f t="shared" si="126"/>
        <v>990.212765957447</v>
      </c>
      <c r="AM208" s="182">
        <f t="shared" si="127"/>
        <v>8</v>
      </c>
      <c r="AN208" s="573"/>
      <c r="AO208" s="188">
        <v>3</v>
      </c>
      <c r="AP208" s="188">
        <v>2972.2689075630246</v>
      </c>
      <c r="AQ208" s="185">
        <f t="shared" si="128"/>
        <v>990.75630252100825</v>
      </c>
      <c r="AR208" s="182">
        <f t="shared" si="129"/>
        <v>8</v>
      </c>
      <c r="AS208" s="573"/>
      <c r="AT208" s="188">
        <v>3</v>
      </c>
      <c r="AU208" s="188">
        <v>2972.268907563026</v>
      </c>
      <c r="AV208" s="185">
        <f t="shared" si="130"/>
        <v>990.75630252100871</v>
      </c>
      <c r="AW208" s="182">
        <f t="shared" si="131"/>
        <v>8</v>
      </c>
      <c r="AX208" s="573"/>
    </row>
    <row r="209" spans="2:50">
      <c r="B209" s="576"/>
      <c r="C209" s="180">
        <v>13</v>
      </c>
      <c r="D209" s="183" t="s">
        <v>415</v>
      </c>
      <c r="E209" s="184">
        <v>5</v>
      </c>
      <c r="F209" s="180">
        <v>3600</v>
      </c>
      <c r="G209" s="185">
        <f t="shared" si="118"/>
        <v>720</v>
      </c>
      <c r="H209" s="579"/>
      <c r="I209" s="186">
        <f t="shared" si="119"/>
        <v>5</v>
      </c>
      <c r="J209" s="186">
        <f t="shared" si="119"/>
        <v>3174.3570264774967</v>
      </c>
      <c r="K209" s="187">
        <f t="shared" si="119"/>
        <v>634.87140529549936</v>
      </c>
      <c r="L209" s="582"/>
      <c r="M209" s="186">
        <f>RANK(K209, K$197:$K$229)</f>
        <v>22</v>
      </c>
      <c r="N209" s="615"/>
      <c r="O209" s="585"/>
      <c r="P209" s="188">
        <v>5</v>
      </c>
      <c r="Q209" s="188">
        <v>3173.0407899180591</v>
      </c>
      <c r="R209" s="185">
        <f t="shared" si="116"/>
        <v>634.60815798361182</v>
      </c>
      <c r="S209" s="182">
        <f t="shared" si="120"/>
        <v>23</v>
      </c>
      <c r="T209" s="573"/>
      <c r="U209" s="188">
        <v>5</v>
      </c>
      <c r="V209" s="188">
        <v>3173.2392739398247</v>
      </c>
      <c r="W209" s="185">
        <f t="shared" si="117"/>
        <v>634.64785478796489</v>
      </c>
      <c r="X209" s="182">
        <f t="shared" si="121"/>
        <v>23</v>
      </c>
      <c r="Y209" s="573"/>
      <c r="Z209" s="188">
        <v>5</v>
      </c>
      <c r="AA209" s="188">
        <v>3173.6454333776492</v>
      </c>
      <c r="AB209" s="185">
        <f t="shared" si="122"/>
        <v>634.72908667552986</v>
      </c>
      <c r="AC209" s="182">
        <f t="shared" si="123"/>
        <v>23</v>
      </c>
      <c r="AD209" s="573"/>
      <c r="AE209" s="188">
        <v>5</v>
      </c>
      <c r="AF209" s="188">
        <v>3174.1630048148281</v>
      </c>
      <c r="AG209" s="185">
        <f t="shared" si="124"/>
        <v>634.83260096296567</v>
      </c>
      <c r="AH209" s="182">
        <f t="shared" si="125"/>
        <v>22</v>
      </c>
      <c r="AI209" s="573"/>
      <c r="AJ209" s="188">
        <v>5</v>
      </c>
      <c r="AK209" s="188">
        <v>3174.6403022265076</v>
      </c>
      <c r="AL209" s="185">
        <f t="shared" si="126"/>
        <v>634.92806044530153</v>
      </c>
      <c r="AM209" s="182">
        <f t="shared" si="127"/>
        <v>22</v>
      </c>
      <c r="AN209" s="573"/>
      <c r="AO209" s="188">
        <v>5</v>
      </c>
      <c r="AP209" s="188">
        <v>3175.6054344532313</v>
      </c>
      <c r="AQ209" s="185">
        <f t="shared" si="128"/>
        <v>635.12108689064621</v>
      </c>
      <c r="AR209" s="182">
        <f t="shared" si="129"/>
        <v>22</v>
      </c>
      <c r="AS209" s="573"/>
      <c r="AT209" s="188">
        <v>5</v>
      </c>
      <c r="AU209" s="188">
        <v>3176.1649466123758</v>
      </c>
      <c r="AV209" s="185">
        <f t="shared" si="130"/>
        <v>635.23298932247519</v>
      </c>
      <c r="AW209" s="182">
        <f t="shared" si="131"/>
        <v>21</v>
      </c>
      <c r="AX209" s="573"/>
    </row>
    <row r="210" spans="2:50">
      <c r="B210" s="576"/>
      <c r="C210" s="180">
        <v>14</v>
      </c>
      <c r="D210" s="183" t="s">
        <v>414</v>
      </c>
      <c r="E210" s="184">
        <v>3</v>
      </c>
      <c r="F210" s="180">
        <v>3600</v>
      </c>
      <c r="G210" s="185">
        <f t="shared" si="118"/>
        <v>1200</v>
      </c>
      <c r="H210" s="579"/>
      <c r="I210" s="186">
        <f t="shared" si="119"/>
        <v>3</v>
      </c>
      <c r="J210" s="186">
        <f t="shared" si="119"/>
        <v>3177.4049349391148</v>
      </c>
      <c r="K210" s="187">
        <f t="shared" si="119"/>
        <v>1059.1349783130386</v>
      </c>
      <c r="L210" s="582"/>
      <c r="M210" s="186">
        <f>RANK(K210, K$197:$K$229)</f>
        <v>3</v>
      </c>
      <c r="N210" s="615"/>
      <c r="O210" s="585"/>
      <c r="P210" s="188">
        <v>3</v>
      </c>
      <c r="Q210" s="188">
        <v>3175.3075570618348</v>
      </c>
      <c r="R210" s="185">
        <f t="shared" si="116"/>
        <v>1058.4358523539449</v>
      </c>
      <c r="S210" s="182">
        <f t="shared" si="120"/>
        <v>4</v>
      </c>
      <c r="T210" s="573"/>
      <c r="U210" s="188">
        <v>3</v>
      </c>
      <c r="V210" s="188">
        <v>3176.0005289597384</v>
      </c>
      <c r="W210" s="185">
        <f t="shared" si="117"/>
        <v>1058.6668429865795</v>
      </c>
      <c r="X210" s="182">
        <f t="shared" si="121"/>
        <v>4</v>
      </c>
      <c r="Y210" s="573"/>
      <c r="Z210" s="188">
        <v>3</v>
      </c>
      <c r="AA210" s="188">
        <v>3177.1109484837866</v>
      </c>
      <c r="AB210" s="185">
        <f t="shared" si="122"/>
        <v>1059.0369828279288</v>
      </c>
      <c r="AC210" s="182">
        <f t="shared" si="123"/>
        <v>3</v>
      </c>
      <c r="AD210" s="573"/>
      <c r="AE210" s="188">
        <v>3</v>
      </c>
      <c r="AF210" s="188">
        <v>3178.1200408696313</v>
      </c>
      <c r="AG210" s="185">
        <f t="shared" si="124"/>
        <v>1059.3733469565439</v>
      </c>
      <c r="AH210" s="182">
        <f t="shared" si="125"/>
        <v>3</v>
      </c>
      <c r="AI210" s="573"/>
      <c r="AJ210" s="188">
        <v>3</v>
      </c>
      <c r="AK210" s="188">
        <v>3178.0927988692092</v>
      </c>
      <c r="AL210" s="185">
        <f t="shared" si="126"/>
        <v>1059.3642662897364</v>
      </c>
      <c r="AM210" s="182">
        <f t="shared" si="127"/>
        <v>3</v>
      </c>
      <c r="AN210" s="573"/>
      <c r="AO210" s="188">
        <v>3</v>
      </c>
      <c r="AP210" s="188">
        <v>3178.4398339698273</v>
      </c>
      <c r="AQ210" s="185">
        <f t="shared" si="128"/>
        <v>1059.4799446566092</v>
      </c>
      <c r="AR210" s="182">
        <f t="shared" si="129"/>
        <v>3</v>
      </c>
      <c r="AS210" s="573"/>
      <c r="AT210" s="188">
        <v>3</v>
      </c>
      <c r="AU210" s="188">
        <v>3178.7628363597796</v>
      </c>
      <c r="AV210" s="185">
        <f t="shared" si="130"/>
        <v>1059.5876121199265</v>
      </c>
      <c r="AW210" s="182">
        <f t="shared" si="131"/>
        <v>2</v>
      </c>
      <c r="AX210" s="573"/>
    </row>
    <row r="211" spans="2:50">
      <c r="B211" s="576"/>
      <c r="C211" s="180">
        <v>15</v>
      </c>
      <c r="D211" s="183" t="s">
        <v>416</v>
      </c>
      <c r="E211" s="184">
        <v>4</v>
      </c>
      <c r="F211" s="180">
        <v>3600</v>
      </c>
      <c r="G211" s="185">
        <f t="shared" si="118"/>
        <v>900</v>
      </c>
      <c r="H211" s="579"/>
      <c r="I211" s="186">
        <f t="shared" si="119"/>
        <v>4</v>
      </c>
      <c r="J211" s="186">
        <f t="shared" si="119"/>
        <v>3176.1009984431485</v>
      </c>
      <c r="K211" s="187">
        <f t="shared" si="119"/>
        <v>794.02524961078711</v>
      </c>
      <c r="L211" s="582"/>
      <c r="M211" s="186">
        <f>RANK(K211, K$197:$K$229)</f>
        <v>12</v>
      </c>
      <c r="N211" s="615"/>
      <c r="O211" s="585"/>
      <c r="P211" s="188">
        <v>4</v>
      </c>
      <c r="Q211" s="188">
        <v>3176.6634528564591</v>
      </c>
      <c r="R211" s="185">
        <f t="shared" si="116"/>
        <v>794.16586321411478</v>
      </c>
      <c r="S211" s="182">
        <f t="shared" si="120"/>
        <v>12</v>
      </c>
      <c r="T211" s="573"/>
      <c r="U211" s="188">
        <v>4</v>
      </c>
      <c r="V211" s="188">
        <v>3176.7403898706561</v>
      </c>
      <c r="W211" s="185">
        <f t="shared" si="117"/>
        <v>794.18509746766404</v>
      </c>
      <c r="X211" s="182">
        <f t="shared" si="121"/>
        <v>12</v>
      </c>
      <c r="Y211" s="573"/>
      <c r="Z211" s="188">
        <v>4</v>
      </c>
      <c r="AA211" s="188">
        <v>3176.2055452178683</v>
      </c>
      <c r="AB211" s="185">
        <f t="shared" si="122"/>
        <v>794.05138630446709</v>
      </c>
      <c r="AC211" s="182">
        <f t="shared" si="123"/>
        <v>12</v>
      </c>
      <c r="AD211" s="573"/>
      <c r="AE211" s="188">
        <v>4</v>
      </c>
      <c r="AF211" s="188">
        <v>3175.9893356102057</v>
      </c>
      <c r="AG211" s="185">
        <f t="shared" si="124"/>
        <v>793.99733390255142</v>
      </c>
      <c r="AH211" s="182">
        <f t="shared" si="125"/>
        <v>12</v>
      </c>
      <c r="AI211" s="573"/>
      <c r="AJ211" s="188">
        <v>4</v>
      </c>
      <c r="AK211" s="188">
        <v>3175.7148090020828</v>
      </c>
      <c r="AL211" s="185">
        <f t="shared" si="126"/>
        <v>793.9287022505207</v>
      </c>
      <c r="AM211" s="182">
        <f t="shared" si="127"/>
        <v>12</v>
      </c>
      <c r="AN211" s="573"/>
      <c r="AO211" s="188">
        <v>4</v>
      </c>
      <c r="AP211" s="188">
        <v>3175.7254239062731</v>
      </c>
      <c r="AQ211" s="185">
        <f t="shared" si="128"/>
        <v>793.93135597656828</v>
      </c>
      <c r="AR211" s="182">
        <f t="shared" si="129"/>
        <v>12</v>
      </c>
      <c r="AS211" s="573"/>
      <c r="AT211" s="188">
        <v>4</v>
      </c>
      <c r="AU211" s="188">
        <v>3175.6680326384921</v>
      </c>
      <c r="AV211" s="185">
        <f t="shared" si="130"/>
        <v>793.91700815962304</v>
      </c>
      <c r="AW211" s="182">
        <f t="shared" si="131"/>
        <v>12</v>
      </c>
      <c r="AX211" s="573"/>
    </row>
    <row r="212" spans="2:50">
      <c r="B212" s="576"/>
      <c r="C212" s="180">
        <v>16</v>
      </c>
      <c r="D212" s="183" t="s">
        <v>348</v>
      </c>
      <c r="E212" s="184">
        <v>5</v>
      </c>
      <c r="F212" s="180">
        <v>3300</v>
      </c>
      <c r="G212" s="185">
        <f t="shared" si="118"/>
        <v>660</v>
      </c>
      <c r="H212" s="579"/>
      <c r="I212" s="186">
        <f t="shared" si="119"/>
        <v>5</v>
      </c>
      <c r="J212" s="186">
        <f t="shared" si="119"/>
        <v>2943.1906045348082</v>
      </c>
      <c r="K212" s="187">
        <f t="shared" si="119"/>
        <v>588.6381209069616</v>
      </c>
      <c r="L212" s="582"/>
      <c r="M212" s="186">
        <f>RANK(K212, K$197:$K$229)</f>
        <v>25</v>
      </c>
      <c r="N212" s="615"/>
      <c r="O212" s="585"/>
      <c r="P212" s="188">
        <v>5</v>
      </c>
      <c r="Q212" s="188">
        <v>2941.849766222289</v>
      </c>
      <c r="R212" s="185">
        <f t="shared" si="116"/>
        <v>588.36995324445775</v>
      </c>
      <c r="S212" s="182">
        <f t="shared" si="120"/>
        <v>25</v>
      </c>
      <c r="T212" s="573"/>
      <c r="U212" s="188">
        <v>5</v>
      </c>
      <c r="V212" s="188">
        <v>2940.5247813411142</v>
      </c>
      <c r="W212" s="185">
        <f t="shared" si="117"/>
        <v>588.10495626822285</v>
      </c>
      <c r="X212" s="182">
        <f t="shared" si="121"/>
        <v>25</v>
      </c>
      <c r="Y212" s="573"/>
      <c r="Z212" s="188">
        <v>5</v>
      </c>
      <c r="AA212" s="188">
        <v>2943.0238726790544</v>
      </c>
      <c r="AB212" s="185">
        <f t="shared" si="122"/>
        <v>588.60477453581086</v>
      </c>
      <c r="AC212" s="182">
        <f t="shared" si="123"/>
        <v>25</v>
      </c>
      <c r="AD212" s="573"/>
      <c r="AE212" s="188">
        <v>5</v>
      </c>
      <c r="AF212" s="188">
        <v>2943.6353529738799</v>
      </c>
      <c r="AG212" s="185">
        <f t="shared" si="124"/>
        <v>588.72707059477602</v>
      </c>
      <c r="AH212" s="182">
        <f t="shared" si="125"/>
        <v>25</v>
      </c>
      <c r="AI212" s="573"/>
      <c r="AJ212" s="188">
        <v>5</v>
      </c>
      <c r="AK212" s="188">
        <v>2944.1368494000162</v>
      </c>
      <c r="AL212" s="185">
        <f t="shared" si="126"/>
        <v>588.82736988000329</v>
      </c>
      <c r="AM212" s="182">
        <f t="shared" si="127"/>
        <v>25</v>
      </c>
      <c r="AN212" s="573"/>
      <c r="AO212" s="188">
        <v>5</v>
      </c>
      <c r="AP212" s="188">
        <v>2944.8813883139665</v>
      </c>
      <c r="AQ212" s="185">
        <f t="shared" si="128"/>
        <v>588.97627766279334</v>
      </c>
      <c r="AR212" s="182">
        <f t="shared" si="129"/>
        <v>25</v>
      </c>
      <c r="AS212" s="573"/>
      <c r="AT212" s="188">
        <v>5</v>
      </c>
      <c r="AU212" s="188">
        <v>2944.2822208133366</v>
      </c>
      <c r="AV212" s="185">
        <f t="shared" si="130"/>
        <v>588.85644416266734</v>
      </c>
      <c r="AW212" s="182">
        <f t="shared" si="131"/>
        <v>24</v>
      </c>
      <c r="AX212" s="573"/>
    </row>
    <row r="213" spans="2:50">
      <c r="B213" s="576"/>
      <c r="C213" s="180">
        <v>17</v>
      </c>
      <c r="D213" s="183" t="s">
        <v>409</v>
      </c>
      <c r="E213" s="184">
        <v>3</v>
      </c>
      <c r="F213" s="180">
        <v>3600</v>
      </c>
      <c r="G213" s="185">
        <f t="shared" si="118"/>
        <v>1200</v>
      </c>
      <c r="H213" s="579"/>
      <c r="I213" s="186">
        <f t="shared" si="119"/>
        <v>3</v>
      </c>
      <c r="J213" s="186">
        <f t="shared" si="119"/>
        <v>3176.4997092153685</v>
      </c>
      <c r="K213" s="187">
        <f t="shared" si="119"/>
        <v>1058.8332364051228</v>
      </c>
      <c r="L213" s="582"/>
      <c r="M213" s="186">
        <f>RANK(K213, K$197:$K$229)</f>
        <v>4</v>
      </c>
      <c r="N213" s="615"/>
      <c r="O213" s="585"/>
      <c r="P213" s="188">
        <v>3</v>
      </c>
      <c r="Q213" s="188">
        <v>3177.1205755871679</v>
      </c>
      <c r="R213" s="185">
        <f t="shared" si="116"/>
        <v>1059.0401918623893</v>
      </c>
      <c r="S213" s="182">
        <f t="shared" si="120"/>
        <v>3</v>
      </c>
      <c r="T213" s="573"/>
      <c r="U213" s="188">
        <v>3</v>
      </c>
      <c r="V213" s="188">
        <v>3177.3266416436391</v>
      </c>
      <c r="W213" s="185">
        <f t="shared" si="117"/>
        <v>1059.1088805478796</v>
      </c>
      <c r="X213" s="182">
        <f t="shared" si="121"/>
        <v>3</v>
      </c>
      <c r="Y213" s="573"/>
      <c r="Z213" s="188">
        <v>3</v>
      </c>
      <c r="AA213" s="188">
        <v>3175.6821026282864</v>
      </c>
      <c r="AB213" s="185">
        <f t="shared" si="122"/>
        <v>1058.5607008760956</v>
      </c>
      <c r="AC213" s="182">
        <f t="shared" si="123"/>
        <v>4</v>
      </c>
      <c r="AD213" s="573"/>
      <c r="AE213" s="188">
        <v>3</v>
      </c>
      <c r="AF213" s="188">
        <v>3174.9425584097135</v>
      </c>
      <c r="AG213" s="185">
        <f t="shared" si="124"/>
        <v>1058.3141861365712</v>
      </c>
      <c r="AH213" s="182">
        <f t="shared" si="125"/>
        <v>4</v>
      </c>
      <c r="AI213" s="573"/>
      <c r="AJ213" s="188">
        <v>3</v>
      </c>
      <c r="AK213" s="188">
        <v>3175.2364933358244</v>
      </c>
      <c r="AL213" s="185">
        <f t="shared" si="126"/>
        <v>1058.4121644452748</v>
      </c>
      <c r="AM213" s="182">
        <f t="shared" si="127"/>
        <v>6</v>
      </c>
      <c r="AN213" s="573"/>
      <c r="AO213" s="188">
        <v>3</v>
      </c>
      <c r="AP213" s="188">
        <v>3176.9133184886759</v>
      </c>
      <c r="AQ213" s="185">
        <f t="shared" si="128"/>
        <v>1058.9711061628921</v>
      </c>
      <c r="AR213" s="182">
        <f t="shared" si="129"/>
        <v>4</v>
      </c>
      <c r="AS213" s="573"/>
      <c r="AT213" s="188">
        <v>3</v>
      </c>
      <c r="AU213" s="188">
        <v>3178.2762744142733</v>
      </c>
      <c r="AV213" s="185">
        <f t="shared" si="130"/>
        <v>1059.4254248047578</v>
      </c>
      <c r="AW213" s="182">
        <f t="shared" si="131"/>
        <v>4</v>
      </c>
      <c r="AX213" s="573"/>
    </row>
    <row r="214" spans="2:50">
      <c r="B214" s="576"/>
      <c r="C214" s="180">
        <v>18</v>
      </c>
      <c r="D214" s="183" t="s">
        <v>413</v>
      </c>
      <c r="E214" s="184">
        <v>3</v>
      </c>
      <c r="F214" s="180">
        <v>3600</v>
      </c>
      <c r="G214" s="185">
        <f t="shared" si="118"/>
        <v>1200</v>
      </c>
      <c r="H214" s="579"/>
      <c r="I214" s="186">
        <f t="shared" si="119"/>
        <v>3</v>
      </c>
      <c r="J214" s="186">
        <f t="shared" si="119"/>
        <v>3175.6429731826256</v>
      </c>
      <c r="K214" s="187">
        <f t="shared" si="119"/>
        <v>1058.5476577275419</v>
      </c>
      <c r="L214" s="582"/>
      <c r="M214" s="186">
        <f>RANK(K214, K$197:$K$229)</f>
        <v>5</v>
      </c>
      <c r="N214" s="615"/>
      <c r="O214" s="585"/>
      <c r="P214" s="188">
        <v>3</v>
      </c>
      <c r="Q214" s="188">
        <v>3175.2551020407991</v>
      </c>
      <c r="R214" s="185">
        <f t="shared" si="116"/>
        <v>1058.4183673469331</v>
      </c>
      <c r="S214" s="182">
        <f t="shared" si="120"/>
        <v>5</v>
      </c>
      <c r="T214" s="573"/>
      <c r="U214" s="188">
        <v>3</v>
      </c>
      <c r="V214" s="188">
        <v>3175.695461200587</v>
      </c>
      <c r="W214" s="185">
        <f t="shared" si="117"/>
        <v>1058.5651537335291</v>
      </c>
      <c r="X214" s="182">
        <f t="shared" si="121"/>
        <v>5</v>
      </c>
      <c r="Y214" s="573"/>
      <c r="Z214" s="188">
        <v>3</v>
      </c>
      <c r="AA214" s="188">
        <v>3174.8743718593105</v>
      </c>
      <c r="AB214" s="185">
        <f t="shared" si="122"/>
        <v>1058.2914572864368</v>
      </c>
      <c r="AC214" s="182">
        <f t="shared" si="123"/>
        <v>6</v>
      </c>
      <c r="AD214" s="573"/>
      <c r="AE214" s="188">
        <v>3</v>
      </c>
      <c r="AF214" s="188">
        <v>3174.045801526725</v>
      </c>
      <c r="AG214" s="185">
        <f t="shared" si="124"/>
        <v>1058.015267175575</v>
      </c>
      <c r="AH214" s="182">
        <f t="shared" si="125"/>
        <v>6</v>
      </c>
      <c r="AI214" s="573"/>
      <c r="AJ214" s="188">
        <v>3</v>
      </c>
      <c r="AK214" s="188">
        <v>3175.6906077348149</v>
      </c>
      <c r="AL214" s="185">
        <f t="shared" si="126"/>
        <v>1058.563535911605</v>
      </c>
      <c r="AM214" s="182">
        <f t="shared" si="127"/>
        <v>5</v>
      </c>
      <c r="AN214" s="573"/>
      <c r="AO214" s="188">
        <v>3</v>
      </c>
      <c r="AP214" s="188">
        <v>3176.7817781043236</v>
      </c>
      <c r="AQ214" s="185">
        <f t="shared" si="128"/>
        <v>1058.9272593681078</v>
      </c>
      <c r="AR214" s="182">
        <f t="shared" si="129"/>
        <v>5</v>
      </c>
      <c r="AS214" s="573"/>
      <c r="AT214" s="188">
        <v>3</v>
      </c>
      <c r="AU214" s="188">
        <v>3177.1576898118215</v>
      </c>
      <c r="AV214" s="185">
        <f t="shared" si="130"/>
        <v>1059.0525632706072</v>
      </c>
      <c r="AW214" s="182">
        <f t="shared" si="131"/>
        <v>5</v>
      </c>
      <c r="AX214" s="573"/>
    </row>
    <row r="215" spans="2:50">
      <c r="B215" s="576"/>
      <c r="C215" s="180">
        <v>19</v>
      </c>
      <c r="D215" s="183" t="s">
        <v>412</v>
      </c>
      <c r="E215" s="184">
        <v>4</v>
      </c>
      <c r="F215" s="180">
        <v>3300</v>
      </c>
      <c r="G215" s="185">
        <f t="shared" si="118"/>
        <v>825</v>
      </c>
      <c r="H215" s="579"/>
      <c r="I215" s="186">
        <f t="shared" si="119"/>
        <v>4</v>
      </c>
      <c r="J215" s="186">
        <f t="shared" si="119"/>
        <v>2943.9912487394099</v>
      </c>
      <c r="K215" s="187">
        <f t="shared" si="119"/>
        <v>735.99781218485248</v>
      </c>
      <c r="L215" s="582"/>
      <c r="M215" s="186">
        <f>RANK(K215, K$197:$K$229)</f>
        <v>16</v>
      </c>
      <c r="N215" s="615"/>
      <c r="O215" s="585"/>
      <c r="P215" s="188">
        <v>4</v>
      </c>
      <c r="Q215" s="188">
        <v>2943.5896703273934</v>
      </c>
      <c r="R215" s="185">
        <f t="shared" si="116"/>
        <v>735.89741758184834</v>
      </c>
      <c r="S215" s="182">
        <f t="shared" si="120"/>
        <v>16</v>
      </c>
      <c r="T215" s="573"/>
      <c r="U215" s="188">
        <v>4</v>
      </c>
      <c r="V215" s="188">
        <v>2943.704183186333</v>
      </c>
      <c r="W215" s="185">
        <f t="shared" si="117"/>
        <v>735.92604579658325</v>
      </c>
      <c r="X215" s="182">
        <f t="shared" si="121"/>
        <v>16</v>
      </c>
      <c r="Y215" s="573"/>
      <c r="Z215" s="188">
        <v>4</v>
      </c>
      <c r="AA215" s="188">
        <v>2943.7068381855038</v>
      </c>
      <c r="AB215" s="185">
        <f t="shared" si="122"/>
        <v>735.92670954637595</v>
      </c>
      <c r="AC215" s="182">
        <f t="shared" si="123"/>
        <v>17</v>
      </c>
      <c r="AD215" s="573"/>
      <c r="AE215" s="188">
        <v>4</v>
      </c>
      <c r="AF215" s="188">
        <v>2943.3472217478866</v>
      </c>
      <c r="AG215" s="185">
        <f t="shared" si="124"/>
        <v>735.83680543697164</v>
      </c>
      <c r="AH215" s="182">
        <f t="shared" si="125"/>
        <v>16</v>
      </c>
      <c r="AI215" s="573"/>
      <c r="AJ215" s="188">
        <v>4</v>
      </c>
      <c r="AK215" s="188">
        <v>2942.5210084033597</v>
      </c>
      <c r="AL215" s="185">
        <f t="shared" si="126"/>
        <v>735.63025210083993</v>
      </c>
      <c r="AM215" s="182">
        <f t="shared" si="127"/>
        <v>18</v>
      </c>
      <c r="AN215" s="573"/>
      <c r="AO215" s="188">
        <v>4</v>
      </c>
      <c r="AP215" s="188">
        <v>2944.396095495702</v>
      </c>
      <c r="AQ215" s="185">
        <f t="shared" si="128"/>
        <v>736.09902387392549</v>
      </c>
      <c r="AR215" s="182">
        <f t="shared" si="129"/>
        <v>17</v>
      </c>
      <c r="AS215" s="573"/>
      <c r="AT215" s="188">
        <v>4</v>
      </c>
      <c r="AU215" s="188">
        <v>2946.6737238296896</v>
      </c>
      <c r="AV215" s="185">
        <f t="shared" si="130"/>
        <v>736.6684309574224</v>
      </c>
      <c r="AW215" s="182">
        <f t="shared" si="131"/>
        <v>14</v>
      </c>
      <c r="AX215" s="573"/>
    </row>
    <row r="216" spans="2:50">
      <c r="B216" s="576"/>
      <c r="C216" s="180">
        <v>20</v>
      </c>
      <c r="D216" s="183" t="s">
        <v>408</v>
      </c>
      <c r="E216" s="184">
        <v>4</v>
      </c>
      <c r="F216" s="180">
        <v>3300</v>
      </c>
      <c r="G216" s="185">
        <f t="shared" si="118"/>
        <v>825</v>
      </c>
      <c r="H216" s="579"/>
      <c r="I216" s="186">
        <f t="shared" si="119"/>
        <v>4</v>
      </c>
      <c r="J216" s="186">
        <f t="shared" si="119"/>
        <v>2944.6478821117294</v>
      </c>
      <c r="K216" s="187">
        <f t="shared" si="119"/>
        <v>736.16197052793234</v>
      </c>
      <c r="L216" s="582"/>
      <c r="M216" s="186">
        <f>RANK(K216, K$197:$K$229)</f>
        <v>15</v>
      </c>
      <c r="N216" s="615"/>
      <c r="O216" s="585"/>
      <c r="P216" s="188">
        <v>4</v>
      </c>
      <c r="Q216" s="188">
        <v>2944.79831994289</v>
      </c>
      <c r="R216" s="185">
        <f t="shared" si="116"/>
        <v>736.19957998572249</v>
      </c>
      <c r="S216" s="182">
        <f t="shared" si="120"/>
        <v>15</v>
      </c>
      <c r="T216" s="573"/>
      <c r="U216" s="188">
        <v>4</v>
      </c>
      <c r="V216" s="188">
        <v>2944.2267677658169</v>
      </c>
      <c r="W216" s="185">
        <f t="shared" si="117"/>
        <v>736.05669194145423</v>
      </c>
      <c r="X216" s="182">
        <f t="shared" si="121"/>
        <v>15</v>
      </c>
      <c r="Y216" s="573"/>
      <c r="Z216" s="188">
        <v>4</v>
      </c>
      <c r="AA216" s="188">
        <v>2944.0545042204712</v>
      </c>
      <c r="AB216" s="185">
        <f t="shared" si="122"/>
        <v>736.01362605511781</v>
      </c>
      <c r="AC216" s="182">
        <f t="shared" si="123"/>
        <v>15</v>
      </c>
      <c r="AD216" s="573"/>
      <c r="AE216" s="188">
        <v>4</v>
      </c>
      <c r="AF216" s="188">
        <v>2944.1026365688776</v>
      </c>
      <c r="AG216" s="185">
        <f t="shared" si="124"/>
        <v>736.02565914221941</v>
      </c>
      <c r="AH216" s="182">
        <f t="shared" si="125"/>
        <v>15</v>
      </c>
      <c r="AI216" s="573"/>
      <c r="AJ216" s="188">
        <v>4</v>
      </c>
      <c r="AK216" s="188">
        <v>2944.2062300404341</v>
      </c>
      <c r="AL216" s="185">
        <f t="shared" si="126"/>
        <v>736.05155751010852</v>
      </c>
      <c r="AM216" s="182">
        <f t="shared" si="127"/>
        <v>16</v>
      </c>
      <c r="AN216" s="573"/>
      <c r="AO216" s="188">
        <v>4</v>
      </c>
      <c r="AP216" s="188">
        <v>2945.1522149905559</v>
      </c>
      <c r="AQ216" s="185">
        <f t="shared" si="128"/>
        <v>736.28805374763897</v>
      </c>
      <c r="AR216" s="182">
        <f t="shared" si="129"/>
        <v>16</v>
      </c>
      <c r="AS216" s="573"/>
      <c r="AT216" s="188">
        <v>4</v>
      </c>
      <c r="AU216" s="188">
        <v>2945.9945012530588</v>
      </c>
      <c r="AV216" s="185">
        <f t="shared" si="130"/>
        <v>736.49862531326471</v>
      </c>
      <c r="AW216" s="182">
        <f t="shared" si="131"/>
        <v>15</v>
      </c>
      <c r="AX216" s="573"/>
    </row>
    <row r="217" spans="2:50">
      <c r="B217" s="576"/>
      <c r="C217" s="180">
        <v>21</v>
      </c>
      <c r="D217" s="183" t="s">
        <v>411</v>
      </c>
      <c r="E217" s="184">
        <v>4</v>
      </c>
      <c r="F217" s="180">
        <v>3000</v>
      </c>
      <c r="G217" s="185">
        <f t="shared" si="118"/>
        <v>750</v>
      </c>
      <c r="H217" s="579"/>
      <c r="I217" s="186">
        <f t="shared" si="119"/>
        <v>4</v>
      </c>
      <c r="J217" s="186">
        <f t="shared" si="119"/>
        <v>2700.9420940418017</v>
      </c>
      <c r="K217" s="187">
        <f t="shared" si="119"/>
        <v>675.23552351045043</v>
      </c>
      <c r="L217" s="582"/>
      <c r="M217" s="186">
        <f>RANK(K217, K$197:$K$229)</f>
        <v>19</v>
      </c>
      <c r="N217" s="615"/>
      <c r="O217" s="585"/>
      <c r="P217" s="188">
        <v>4</v>
      </c>
      <c r="Q217" s="188">
        <v>2700.7531496130869</v>
      </c>
      <c r="R217" s="185">
        <f t="shared" si="116"/>
        <v>675.18828740327172</v>
      </c>
      <c r="S217" s="182">
        <f t="shared" si="120"/>
        <v>19</v>
      </c>
      <c r="T217" s="573"/>
      <c r="U217" s="188">
        <v>4</v>
      </c>
      <c r="V217" s="188">
        <v>2701.1765027537181</v>
      </c>
      <c r="W217" s="185">
        <f t="shared" si="117"/>
        <v>675.29412568842952</v>
      </c>
      <c r="X217" s="182">
        <f t="shared" si="121"/>
        <v>19</v>
      </c>
      <c r="Y217" s="573"/>
      <c r="Z217" s="188">
        <v>4</v>
      </c>
      <c r="AA217" s="188">
        <v>2701.3506753376787</v>
      </c>
      <c r="AB217" s="185">
        <f t="shared" si="122"/>
        <v>675.33766883441967</v>
      </c>
      <c r="AC217" s="182">
        <f t="shared" si="123"/>
        <v>19</v>
      </c>
      <c r="AD217" s="573"/>
      <c r="AE217" s="188">
        <v>4</v>
      </c>
      <c r="AF217" s="188">
        <v>2700.9443861490072</v>
      </c>
      <c r="AG217" s="185">
        <f t="shared" si="124"/>
        <v>675.2360965372518</v>
      </c>
      <c r="AH217" s="182">
        <f t="shared" si="125"/>
        <v>19</v>
      </c>
      <c r="AI217" s="573"/>
      <c r="AJ217" s="188">
        <v>4</v>
      </c>
      <c r="AK217" s="188">
        <v>2701.4523937600916</v>
      </c>
      <c r="AL217" s="185">
        <f t="shared" si="126"/>
        <v>675.3630984400229</v>
      </c>
      <c r="AM217" s="182">
        <f t="shared" si="127"/>
        <v>19</v>
      </c>
      <c r="AN217" s="573"/>
      <c r="AO217" s="188">
        <v>4</v>
      </c>
      <c r="AP217" s="188">
        <v>2700.3786285233441</v>
      </c>
      <c r="AQ217" s="185">
        <f t="shared" si="128"/>
        <v>675.09465713083603</v>
      </c>
      <c r="AR217" s="182">
        <f t="shared" si="129"/>
        <v>19</v>
      </c>
      <c r="AS217" s="573"/>
      <c r="AT217" s="188">
        <v>4</v>
      </c>
      <c r="AU217" s="188">
        <v>2700.5389221556852</v>
      </c>
      <c r="AV217" s="185">
        <f t="shared" si="130"/>
        <v>675.1347305389213</v>
      </c>
      <c r="AW217" s="182">
        <f t="shared" si="131"/>
        <v>18</v>
      </c>
      <c r="AX217" s="573"/>
    </row>
    <row r="218" spans="2:50">
      <c r="B218" s="576"/>
      <c r="C218" s="180">
        <v>22</v>
      </c>
      <c r="D218" s="183" t="s">
        <v>410</v>
      </c>
      <c r="E218" s="184">
        <v>4</v>
      </c>
      <c r="F218" s="180">
        <v>3300</v>
      </c>
      <c r="G218" s="185">
        <f>F218/E218</f>
        <v>825</v>
      </c>
      <c r="H218" s="579"/>
      <c r="I218" s="186">
        <f t="shared" si="119"/>
        <v>4</v>
      </c>
      <c r="J218" s="186">
        <f t="shared" si="119"/>
        <v>2971.1757656437908</v>
      </c>
      <c r="K218" s="187">
        <f t="shared" si="119"/>
        <v>742.7939414109477</v>
      </c>
      <c r="L218" s="582"/>
      <c r="M218" s="186">
        <f>RANK(K218, K$197:$K$229)</f>
        <v>14</v>
      </c>
      <c r="N218" s="615"/>
      <c r="O218" s="585"/>
      <c r="P218" s="188">
        <v>4</v>
      </c>
      <c r="Q218" s="188">
        <v>2971.2676056337932</v>
      </c>
      <c r="R218" s="185">
        <f t="shared" si="116"/>
        <v>742.8169014084483</v>
      </c>
      <c r="S218" s="182">
        <f t="shared" si="120"/>
        <v>14</v>
      </c>
      <c r="T218" s="573"/>
      <c r="U218" s="188">
        <v>4</v>
      </c>
      <c r="V218" s="188">
        <v>2970.9563164108799</v>
      </c>
      <c r="W218" s="185">
        <f t="shared" si="117"/>
        <v>742.73907910271998</v>
      </c>
      <c r="X218" s="182">
        <f t="shared" si="121"/>
        <v>14</v>
      </c>
      <c r="Y218" s="573"/>
      <c r="Z218" s="188">
        <v>4</v>
      </c>
      <c r="AA218" s="188">
        <v>2970.7736389684933</v>
      </c>
      <c r="AB218" s="185">
        <f t="shared" si="122"/>
        <v>742.69340974212332</v>
      </c>
      <c r="AC218" s="182">
        <f t="shared" si="123"/>
        <v>14</v>
      </c>
      <c r="AD218" s="573"/>
      <c r="AE218" s="188">
        <v>4</v>
      </c>
      <c r="AF218" s="188">
        <v>2970.1444622793174</v>
      </c>
      <c r="AG218" s="185">
        <f t="shared" si="124"/>
        <v>742.53611556982935</v>
      </c>
      <c r="AH218" s="182">
        <f t="shared" si="125"/>
        <v>14</v>
      </c>
      <c r="AI218" s="573"/>
      <c r="AJ218" s="188">
        <v>4</v>
      </c>
      <c r="AK218" s="188">
        <v>2969.3023255813728</v>
      </c>
      <c r="AL218" s="185">
        <f t="shared" si="126"/>
        <v>742.32558139534319</v>
      </c>
      <c r="AM218" s="182">
        <f t="shared" si="127"/>
        <v>14</v>
      </c>
      <c r="AN218" s="573"/>
      <c r="AO218" s="188">
        <v>4</v>
      </c>
      <c r="AP218" s="188">
        <v>2974.6102449888863</v>
      </c>
      <c r="AQ218" s="185">
        <f t="shared" si="128"/>
        <v>743.65256124722157</v>
      </c>
      <c r="AR218" s="182">
        <f t="shared" si="129"/>
        <v>14</v>
      </c>
      <c r="AS218" s="573"/>
      <c r="AT218" s="188"/>
      <c r="AU218" s="188"/>
      <c r="AV218" s="185"/>
      <c r="AW218" s="182"/>
      <c r="AX218" s="573"/>
    </row>
    <row r="219" spans="2:50">
      <c r="B219" s="576"/>
      <c r="C219" s="180">
        <v>23</v>
      </c>
      <c r="D219" s="183" t="s">
        <v>472</v>
      </c>
      <c r="E219" s="184">
        <v>3</v>
      </c>
      <c r="F219" s="180">
        <v>3600</v>
      </c>
      <c r="G219" s="185">
        <f t="shared" ref="G219:G227" si="132">F219/E219</f>
        <v>1200</v>
      </c>
      <c r="H219" s="579"/>
      <c r="I219" s="186">
        <f t="shared" si="119"/>
        <v>3</v>
      </c>
      <c r="J219" s="186">
        <f t="shared" si="119"/>
        <v>3180.9857471046348</v>
      </c>
      <c r="K219" s="187">
        <f t="shared" si="119"/>
        <v>1060.3285823682113</v>
      </c>
      <c r="L219" s="582"/>
      <c r="M219" s="186">
        <f>RANK(K219, K$197:$K$229)</f>
        <v>1</v>
      </c>
      <c r="N219" s="615"/>
      <c r="O219" s="585"/>
      <c r="P219" s="188">
        <v>3</v>
      </c>
      <c r="Q219" s="188">
        <v>3177.8456837280319</v>
      </c>
      <c r="R219" s="185">
        <f t="shared" si="116"/>
        <v>1059.2818945760107</v>
      </c>
      <c r="S219" s="182">
        <f t="shared" si="120"/>
        <v>2</v>
      </c>
      <c r="T219" s="573"/>
      <c r="U219" s="188">
        <v>3</v>
      </c>
      <c r="V219" s="188">
        <v>3180.2914642609271</v>
      </c>
      <c r="W219" s="185">
        <f t="shared" si="117"/>
        <v>1060.0971547536424</v>
      </c>
      <c r="X219" s="182">
        <f t="shared" si="121"/>
        <v>1</v>
      </c>
      <c r="Y219" s="573"/>
      <c r="Z219" s="188">
        <v>3</v>
      </c>
      <c r="AA219" s="188">
        <v>3180.440097799511</v>
      </c>
      <c r="AB219" s="185">
        <f t="shared" si="122"/>
        <v>1060.1466992665037</v>
      </c>
      <c r="AC219" s="182">
        <f t="shared" si="123"/>
        <v>1</v>
      </c>
      <c r="AD219" s="573"/>
      <c r="AE219" s="188">
        <v>3</v>
      </c>
      <c r="AF219" s="188">
        <v>3180.7355516637494</v>
      </c>
      <c r="AG219" s="185">
        <f t="shared" si="124"/>
        <v>1060.2451838879165</v>
      </c>
      <c r="AH219" s="182">
        <f t="shared" si="125"/>
        <v>1</v>
      </c>
      <c r="AI219" s="573"/>
      <c r="AJ219" s="188">
        <v>3</v>
      </c>
      <c r="AK219" s="188">
        <v>3182.3204419889589</v>
      </c>
      <c r="AL219" s="185">
        <f t="shared" si="126"/>
        <v>1060.7734806629862</v>
      </c>
      <c r="AM219" s="182">
        <f t="shared" si="127"/>
        <v>1</v>
      </c>
      <c r="AN219" s="573"/>
      <c r="AO219" s="188">
        <v>3</v>
      </c>
      <c r="AP219" s="188">
        <v>3182.5000000000114</v>
      </c>
      <c r="AQ219" s="185">
        <f t="shared" si="128"/>
        <v>1060.8333333333371</v>
      </c>
      <c r="AR219" s="182">
        <f t="shared" si="129"/>
        <v>1</v>
      </c>
      <c r="AS219" s="573"/>
      <c r="AT219" s="188">
        <v>3</v>
      </c>
      <c r="AU219" s="188">
        <v>3182.7669902912521</v>
      </c>
      <c r="AV219" s="185">
        <f t="shared" si="130"/>
        <v>1060.9223300970841</v>
      </c>
      <c r="AW219" s="182">
        <f t="shared" si="131"/>
        <v>1</v>
      </c>
      <c r="AX219" s="573"/>
    </row>
    <row r="220" spans="2:50">
      <c r="B220" s="576"/>
      <c r="C220" s="180">
        <v>24</v>
      </c>
      <c r="D220" s="183" t="s">
        <v>483</v>
      </c>
      <c r="E220" s="184">
        <v>4</v>
      </c>
      <c r="F220" s="180">
        <v>3000</v>
      </c>
      <c r="G220" s="185">
        <f t="shared" si="132"/>
        <v>750</v>
      </c>
      <c r="H220" s="579"/>
      <c r="I220" s="186">
        <f t="shared" si="119"/>
        <v>4</v>
      </c>
      <c r="J220" s="186">
        <f t="shared" si="119"/>
        <v>2682.7255607841616</v>
      </c>
      <c r="K220" s="187">
        <f t="shared" si="119"/>
        <v>670.68139019604041</v>
      </c>
      <c r="L220" s="582"/>
      <c r="M220" s="186">
        <f>RANK(K220, K$197:$K$229)</f>
        <v>20</v>
      </c>
      <c r="N220" s="615"/>
      <c r="O220" s="585"/>
      <c r="P220" s="188">
        <v>4</v>
      </c>
      <c r="Q220" s="188">
        <v>2682.7178729689763</v>
      </c>
      <c r="R220" s="185">
        <f t="shared" si="116"/>
        <v>670.67946824224407</v>
      </c>
      <c r="S220" s="182">
        <f t="shared" si="120"/>
        <v>21</v>
      </c>
      <c r="T220" s="573"/>
      <c r="U220" s="188">
        <v>4</v>
      </c>
      <c r="V220" s="188">
        <v>2683.361344537821</v>
      </c>
      <c r="W220" s="185">
        <f t="shared" si="117"/>
        <v>670.84033613445524</v>
      </c>
      <c r="X220" s="182">
        <f t="shared" si="121"/>
        <v>20</v>
      </c>
      <c r="Y220" s="573"/>
      <c r="Z220" s="188">
        <v>4</v>
      </c>
      <c r="AA220" s="188">
        <v>2682.5531914893563</v>
      </c>
      <c r="AB220" s="185">
        <f t="shared" si="122"/>
        <v>670.63829787233908</v>
      </c>
      <c r="AC220" s="182">
        <f t="shared" si="123"/>
        <v>21</v>
      </c>
      <c r="AD220" s="573"/>
      <c r="AE220" s="188">
        <v>4</v>
      </c>
      <c r="AF220" s="188">
        <v>2682.1736922295613</v>
      </c>
      <c r="AG220" s="185">
        <f t="shared" si="124"/>
        <v>670.54342305739033</v>
      </c>
      <c r="AH220" s="182">
        <f t="shared" si="125"/>
        <v>21</v>
      </c>
      <c r="AI220" s="573"/>
      <c r="AJ220" s="188">
        <v>4</v>
      </c>
      <c r="AK220" s="188">
        <v>2682.8261990716833</v>
      </c>
      <c r="AL220" s="185">
        <f t="shared" si="126"/>
        <v>670.70654976792082</v>
      </c>
      <c r="AM220" s="182">
        <f t="shared" si="127"/>
        <v>21</v>
      </c>
      <c r="AN220" s="573"/>
      <c r="AO220" s="188">
        <v>4</v>
      </c>
      <c r="AP220" s="188">
        <v>2682.7144686299598</v>
      </c>
      <c r="AQ220" s="185">
        <f t="shared" si="128"/>
        <v>670.67861715748995</v>
      </c>
      <c r="AR220" s="182">
        <f t="shared" si="129"/>
        <v>20</v>
      </c>
      <c r="AS220" s="573"/>
      <c r="AT220" s="188">
        <v>4</v>
      </c>
      <c r="AU220" s="188">
        <v>2682.7321565617726</v>
      </c>
      <c r="AV220" s="185">
        <f t="shared" si="130"/>
        <v>670.68303914044316</v>
      </c>
      <c r="AW220" s="182">
        <f t="shared" si="131"/>
        <v>19</v>
      </c>
      <c r="AX220" s="573"/>
    </row>
    <row r="221" spans="2:50">
      <c r="B221" s="576"/>
      <c r="C221" s="180">
        <v>25</v>
      </c>
      <c r="D221" s="183" t="s">
        <v>508</v>
      </c>
      <c r="E221" s="184">
        <v>5</v>
      </c>
      <c r="F221" s="180">
        <v>3000</v>
      </c>
      <c r="G221" s="185">
        <f t="shared" si="132"/>
        <v>600</v>
      </c>
      <c r="H221" s="579"/>
      <c r="I221" s="186">
        <f t="shared" si="119"/>
        <v>5</v>
      </c>
      <c r="J221" s="186">
        <f t="shared" si="119"/>
        <v>2682.0995140174914</v>
      </c>
      <c r="K221" s="187">
        <f t="shared" si="119"/>
        <v>536.4199028034983</v>
      </c>
      <c r="L221" s="582"/>
      <c r="M221" s="186">
        <f>RANK(K221, K$197:$K$229)</f>
        <v>26</v>
      </c>
      <c r="N221" s="615"/>
      <c r="O221" s="585"/>
      <c r="P221" s="188">
        <v>5</v>
      </c>
      <c r="Q221" s="188">
        <v>2682.5297432686339</v>
      </c>
      <c r="R221" s="185">
        <f t="shared" si="116"/>
        <v>536.50594865372682</v>
      </c>
      <c r="S221" s="182">
        <f t="shared" si="120"/>
        <v>26</v>
      </c>
      <c r="T221" s="573"/>
      <c r="U221" s="188">
        <v>5</v>
      </c>
      <c r="V221" s="188">
        <v>2681.9866567827958</v>
      </c>
      <c r="W221" s="185">
        <f t="shared" si="117"/>
        <v>536.39733135655911</v>
      </c>
      <c r="X221" s="182">
        <f t="shared" si="121"/>
        <v>26</v>
      </c>
      <c r="Y221" s="573"/>
      <c r="Z221" s="188">
        <v>5</v>
      </c>
      <c r="AA221" s="188">
        <v>2683.3333333333426</v>
      </c>
      <c r="AB221" s="185">
        <f t="shared" si="122"/>
        <v>536.66666666666856</v>
      </c>
      <c r="AC221" s="182">
        <f t="shared" si="123"/>
        <v>26</v>
      </c>
      <c r="AD221" s="573"/>
      <c r="AE221" s="188">
        <v>5</v>
      </c>
      <c r="AF221" s="188">
        <v>2682.1428571428464</v>
      </c>
      <c r="AG221" s="185">
        <f t="shared" si="124"/>
        <v>536.42857142856928</v>
      </c>
      <c r="AH221" s="182">
        <f t="shared" si="125"/>
        <v>26</v>
      </c>
      <c r="AI221" s="573"/>
      <c r="AJ221" s="188">
        <v>5</v>
      </c>
      <c r="AK221" s="188">
        <v>2681.4524043179599</v>
      </c>
      <c r="AL221" s="185">
        <f t="shared" si="126"/>
        <v>536.29048086359194</v>
      </c>
      <c r="AM221" s="182">
        <f t="shared" si="127"/>
        <v>26</v>
      </c>
      <c r="AN221" s="573"/>
      <c r="AO221" s="188">
        <v>5</v>
      </c>
      <c r="AP221" s="188">
        <v>2680.8510638297912</v>
      </c>
      <c r="AQ221" s="185">
        <f t="shared" si="128"/>
        <v>536.17021276595824</v>
      </c>
      <c r="AR221" s="182">
        <f t="shared" si="129"/>
        <v>26</v>
      </c>
      <c r="AS221" s="573"/>
      <c r="AT221" s="188">
        <v>5</v>
      </c>
      <c r="AU221" s="188">
        <v>2682.4005394470696</v>
      </c>
      <c r="AV221" s="185">
        <f t="shared" si="130"/>
        <v>536.48010788941394</v>
      </c>
      <c r="AW221" s="182">
        <f t="shared" si="131"/>
        <v>25</v>
      </c>
      <c r="AX221" s="573"/>
    </row>
    <row r="222" spans="2:50">
      <c r="B222" s="576"/>
      <c r="C222" s="180">
        <v>26</v>
      </c>
      <c r="D222" s="183" t="s">
        <v>607</v>
      </c>
      <c r="E222" s="184">
        <v>4</v>
      </c>
      <c r="F222" s="180">
        <v>3000</v>
      </c>
      <c r="G222" s="185">
        <f t="shared" si="132"/>
        <v>750</v>
      </c>
      <c r="H222" s="579"/>
      <c r="I222" s="186">
        <f t="shared" si="119"/>
        <v>4</v>
      </c>
      <c r="J222" s="186">
        <f t="shared" si="119"/>
        <v>2682.71317070235</v>
      </c>
      <c r="K222" s="187">
        <f t="shared" si="119"/>
        <v>670.6782926755875</v>
      </c>
      <c r="L222" s="582"/>
      <c r="M222" s="186">
        <f>RANK(K222, K$197:$K$229)</f>
        <v>21</v>
      </c>
      <c r="N222" s="615"/>
      <c r="O222" s="585"/>
      <c r="P222" s="188">
        <v>4</v>
      </c>
      <c r="Q222" s="188">
        <v>2683.0319353597538</v>
      </c>
      <c r="R222" s="185">
        <f t="shared" si="116"/>
        <v>670.75798383993845</v>
      </c>
      <c r="S222" s="182">
        <f t="shared" si="120"/>
        <v>20</v>
      </c>
      <c r="T222" s="573"/>
      <c r="U222" s="188">
        <v>4</v>
      </c>
      <c r="V222" s="188">
        <v>2682.7098078867552</v>
      </c>
      <c r="W222" s="185">
        <f t="shared" si="117"/>
        <v>670.67745197168881</v>
      </c>
      <c r="X222" s="182">
        <f t="shared" si="121"/>
        <v>21</v>
      </c>
      <c r="Y222" s="573"/>
      <c r="Z222" s="188">
        <v>4</v>
      </c>
      <c r="AA222" s="188">
        <v>2682.772277227728</v>
      </c>
      <c r="AB222" s="185">
        <f t="shared" si="122"/>
        <v>670.69306930693199</v>
      </c>
      <c r="AC222" s="182">
        <f t="shared" si="123"/>
        <v>20</v>
      </c>
      <c r="AD222" s="573"/>
      <c r="AE222" s="188">
        <v>4</v>
      </c>
      <c r="AF222" s="188">
        <v>2683.0425680390667</v>
      </c>
      <c r="AG222" s="185">
        <f t="shared" si="124"/>
        <v>670.76064200976668</v>
      </c>
      <c r="AH222" s="182">
        <f t="shared" si="125"/>
        <v>20</v>
      </c>
      <c r="AI222" s="573"/>
      <c r="AJ222" s="188">
        <v>4</v>
      </c>
      <c r="AK222" s="188">
        <v>2682.8993666432002</v>
      </c>
      <c r="AL222" s="185">
        <f t="shared" si="126"/>
        <v>670.72484166080005</v>
      </c>
      <c r="AM222" s="182">
        <f t="shared" si="127"/>
        <v>20</v>
      </c>
      <c r="AN222" s="573"/>
      <c r="AO222" s="188">
        <v>4</v>
      </c>
      <c r="AP222" s="188">
        <v>2682.2134387351739</v>
      </c>
      <c r="AQ222" s="185">
        <f t="shared" si="128"/>
        <v>670.55335968379347</v>
      </c>
      <c r="AR222" s="182">
        <f t="shared" si="129"/>
        <v>21</v>
      </c>
      <c r="AS222" s="573"/>
      <c r="AT222" s="188">
        <v>4</v>
      </c>
      <c r="AU222" s="188">
        <v>2682.3228010247708</v>
      </c>
      <c r="AV222" s="185">
        <f t="shared" si="130"/>
        <v>670.5807002561927</v>
      </c>
      <c r="AW222" s="182">
        <f t="shared" si="131"/>
        <v>20</v>
      </c>
      <c r="AX222" s="573"/>
    </row>
    <row r="223" spans="2:50">
      <c r="B223" s="576"/>
      <c r="C223" s="180">
        <v>27</v>
      </c>
      <c r="D223" s="183" t="s">
        <v>693</v>
      </c>
      <c r="E223" s="184">
        <v>12</v>
      </c>
      <c r="F223" s="180">
        <v>3600</v>
      </c>
      <c r="G223" s="185">
        <f t="shared" si="132"/>
        <v>300</v>
      </c>
      <c r="H223" s="579"/>
      <c r="I223" s="186">
        <f t="shared" si="119"/>
        <v>12</v>
      </c>
      <c r="J223" s="186">
        <f t="shared" si="119"/>
        <v>3252.2426521270168</v>
      </c>
      <c r="K223" s="187">
        <f t="shared" si="119"/>
        <v>271.02022101058475</v>
      </c>
      <c r="L223" s="582"/>
      <c r="M223" s="186">
        <f>RANK(K223, K$197:$K$229)</f>
        <v>28</v>
      </c>
      <c r="N223" s="615"/>
      <c r="O223" s="585"/>
      <c r="P223" s="188">
        <v>12</v>
      </c>
      <c r="Q223" s="188">
        <v>3250.1079913606995</v>
      </c>
      <c r="R223" s="185">
        <f t="shared" si="116"/>
        <v>270.84233261339165</v>
      </c>
      <c r="S223" s="182">
        <f t="shared" si="120"/>
        <v>27</v>
      </c>
      <c r="T223" s="573"/>
      <c r="U223" s="188">
        <v>12</v>
      </c>
      <c r="V223" s="188">
        <v>3249.901768172911</v>
      </c>
      <c r="W223" s="185">
        <f t="shared" si="117"/>
        <v>270.82514734774259</v>
      </c>
      <c r="X223" s="182">
        <f t="shared" si="121"/>
        <v>27</v>
      </c>
      <c r="Y223" s="573"/>
      <c r="Z223" s="188">
        <v>12</v>
      </c>
      <c r="AA223" s="188">
        <v>3249.7005988024316</v>
      </c>
      <c r="AB223" s="185">
        <f t="shared" si="122"/>
        <v>270.80838323353595</v>
      </c>
      <c r="AC223" s="182">
        <f t="shared" si="123"/>
        <v>27</v>
      </c>
      <c r="AD223" s="573"/>
      <c r="AE223" s="188">
        <v>12</v>
      </c>
      <c r="AF223" s="188">
        <v>3253.1791907514175</v>
      </c>
      <c r="AG223" s="185">
        <f t="shared" si="124"/>
        <v>271.09826589595144</v>
      </c>
      <c r="AH223" s="182">
        <f t="shared" si="125"/>
        <v>27</v>
      </c>
      <c r="AI223" s="573"/>
      <c r="AJ223" s="188">
        <v>12</v>
      </c>
      <c r="AK223" s="188">
        <v>3253.8461538461024</v>
      </c>
      <c r="AL223" s="185">
        <f t="shared" si="126"/>
        <v>271.15384615384187</v>
      </c>
      <c r="AM223" s="182">
        <f t="shared" si="127"/>
        <v>27</v>
      </c>
      <c r="AN223" s="573"/>
      <c r="AO223" s="188">
        <v>12</v>
      </c>
      <c r="AP223" s="188">
        <v>3253.1386861313945</v>
      </c>
      <c r="AQ223" s="185">
        <f t="shared" si="128"/>
        <v>271.09489051094954</v>
      </c>
      <c r="AR223" s="182">
        <f t="shared" si="129"/>
        <v>27</v>
      </c>
      <c r="AS223" s="573"/>
      <c r="AT223" s="188">
        <v>12</v>
      </c>
      <c r="AU223" s="188">
        <v>3255.8241758241588</v>
      </c>
      <c r="AV223" s="185">
        <f t="shared" si="130"/>
        <v>271.31868131867992</v>
      </c>
      <c r="AW223" s="182">
        <f t="shared" si="131"/>
        <v>27</v>
      </c>
      <c r="AX223" s="573"/>
    </row>
    <row r="224" spans="2:50">
      <c r="B224" s="576"/>
      <c r="C224" s="180">
        <v>28</v>
      </c>
      <c r="D224" s="183" t="s">
        <v>775</v>
      </c>
      <c r="E224" s="184">
        <v>13</v>
      </c>
      <c r="F224" s="180">
        <v>3600</v>
      </c>
      <c r="G224" s="185">
        <f t="shared" si="132"/>
        <v>276.92307692307691</v>
      </c>
      <c r="H224" s="579"/>
      <c r="I224" s="186">
        <f t="shared" si="119"/>
        <v>13</v>
      </c>
      <c r="J224" s="186">
        <f t="shared" si="119"/>
        <v>3172.7093415088698</v>
      </c>
      <c r="K224" s="187">
        <f t="shared" si="119"/>
        <v>244.05456473145145</v>
      </c>
      <c r="L224" s="582"/>
      <c r="M224" s="186">
        <f>RANK(K224, K$197:$K$229)</f>
        <v>31</v>
      </c>
      <c r="N224" s="615"/>
      <c r="O224" s="585"/>
      <c r="P224" s="188">
        <v>13</v>
      </c>
      <c r="Q224" s="188">
        <v>3019.0757855822558</v>
      </c>
      <c r="R224" s="185">
        <f t="shared" si="116"/>
        <v>232.23659889094276</v>
      </c>
      <c r="S224" s="182">
        <f t="shared" si="120"/>
        <v>30</v>
      </c>
      <c r="T224" s="573"/>
      <c r="U224" s="188">
        <v>13</v>
      </c>
      <c r="V224" s="188">
        <v>3083.9160839160845</v>
      </c>
      <c r="W224" s="185">
        <f t="shared" si="117"/>
        <v>237.22431414739111</v>
      </c>
      <c r="X224" s="182">
        <f t="shared" si="121"/>
        <v>30</v>
      </c>
      <c r="Y224" s="573"/>
      <c r="Z224" s="188">
        <v>13</v>
      </c>
      <c r="AA224" s="188">
        <v>3145.4416961130801</v>
      </c>
      <c r="AB224" s="185">
        <f t="shared" si="122"/>
        <v>241.95705354716</v>
      </c>
      <c r="AC224" s="182">
        <f t="shared" si="123"/>
        <v>30</v>
      </c>
      <c r="AD224" s="573"/>
      <c r="AE224" s="188">
        <v>13</v>
      </c>
      <c r="AF224" s="188">
        <v>3197.4545454545473</v>
      </c>
      <c r="AG224" s="185">
        <f t="shared" si="124"/>
        <v>245.95804195804209</v>
      </c>
      <c r="AH224" s="182">
        <f t="shared" si="125"/>
        <v>30</v>
      </c>
      <c r="AI224" s="573"/>
      <c r="AJ224" s="188">
        <v>13</v>
      </c>
      <c r="AK224" s="188">
        <v>3253.9114043355439</v>
      </c>
      <c r="AL224" s="185">
        <f t="shared" si="126"/>
        <v>250.30087725658029</v>
      </c>
      <c r="AM224" s="182">
        <f t="shared" si="127"/>
        <v>30</v>
      </c>
      <c r="AN224" s="573"/>
      <c r="AO224" s="188">
        <v>13</v>
      </c>
      <c r="AP224" s="188">
        <v>3254.6021840873627</v>
      </c>
      <c r="AQ224" s="185">
        <f t="shared" si="128"/>
        <v>250.35401416056635</v>
      </c>
      <c r="AR224" s="182">
        <f t="shared" si="129"/>
        <v>30</v>
      </c>
      <c r="AS224" s="573"/>
      <c r="AT224" s="188">
        <v>13</v>
      </c>
      <c r="AU224" s="188">
        <v>3254.5636910732119</v>
      </c>
      <c r="AV224" s="185">
        <f t="shared" si="130"/>
        <v>250.35105315947783</v>
      </c>
      <c r="AW224" s="182">
        <f t="shared" si="131"/>
        <v>30</v>
      </c>
      <c r="AX224" s="573"/>
    </row>
    <row r="225" spans="2:50">
      <c r="B225" s="576"/>
      <c r="C225" s="180">
        <v>29</v>
      </c>
      <c r="D225" s="183" t="s">
        <v>349</v>
      </c>
      <c r="E225" s="184">
        <v>3</v>
      </c>
      <c r="F225" s="180">
        <v>3000</v>
      </c>
      <c r="G225" s="185">
        <f t="shared" si="132"/>
        <v>1000</v>
      </c>
      <c r="H225" s="579"/>
      <c r="I225" s="186">
        <f t="shared" si="119"/>
        <v>3</v>
      </c>
      <c r="J225" s="186">
        <f t="shared" si="119"/>
        <v>2699.4703605622817</v>
      </c>
      <c r="K225" s="187">
        <f t="shared" si="119"/>
        <v>899.82345352076061</v>
      </c>
      <c r="L225" s="582"/>
      <c r="M225" s="186">
        <f>RANK(K225, K$197:$K$229)</f>
        <v>11</v>
      </c>
      <c r="N225" s="615"/>
      <c r="O225" s="585"/>
      <c r="P225" s="188">
        <v>3</v>
      </c>
      <c r="Q225" s="188">
        <v>2699.4725508493048</v>
      </c>
      <c r="R225" s="185">
        <f t="shared" si="116"/>
        <v>899.82418361643488</v>
      </c>
      <c r="S225" s="182">
        <f t="shared" si="120"/>
        <v>10</v>
      </c>
      <c r="T225" s="573"/>
      <c r="U225" s="188">
        <v>3</v>
      </c>
      <c r="V225" s="188">
        <v>2699.5514465394435</v>
      </c>
      <c r="W225" s="185">
        <f t="shared" si="117"/>
        <v>899.85048217981455</v>
      </c>
      <c r="X225" s="182">
        <f t="shared" si="121"/>
        <v>10</v>
      </c>
      <c r="Y225" s="573"/>
      <c r="Z225" s="188">
        <v>3</v>
      </c>
      <c r="AA225" s="188">
        <v>2699.6527217880584</v>
      </c>
      <c r="AB225" s="185">
        <f t="shared" si="122"/>
        <v>899.88424059601948</v>
      </c>
      <c r="AC225" s="182">
        <f t="shared" si="123"/>
        <v>10</v>
      </c>
      <c r="AD225" s="573"/>
      <c r="AE225" s="188">
        <v>3</v>
      </c>
      <c r="AF225" s="188">
        <v>2699.4377817104132</v>
      </c>
      <c r="AG225" s="185">
        <f t="shared" si="124"/>
        <v>899.81259390347111</v>
      </c>
      <c r="AH225" s="182">
        <f t="shared" si="125"/>
        <v>11</v>
      </c>
      <c r="AI225" s="573"/>
      <c r="AJ225" s="188">
        <v>3</v>
      </c>
      <c r="AK225" s="188">
        <v>2699.3546176764748</v>
      </c>
      <c r="AL225" s="185">
        <f t="shared" si="126"/>
        <v>899.78487255882499</v>
      </c>
      <c r="AM225" s="182">
        <f t="shared" si="127"/>
        <v>11</v>
      </c>
      <c r="AN225" s="573"/>
      <c r="AO225" s="188">
        <v>3</v>
      </c>
      <c r="AP225" s="188">
        <v>2699.3758310397734</v>
      </c>
      <c r="AQ225" s="185">
        <f t="shared" si="128"/>
        <v>899.79194367992443</v>
      </c>
      <c r="AR225" s="182">
        <f t="shared" si="129"/>
        <v>11</v>
      </c>
      <c r="AS225" s="573"/>
      <c r="AT225" s="188">
        <v>3</v>
      </c>
      <c r="AU225" s="188">
        <v>2699.4475743325047</v>
      </c>
      <c r="AV225" s="185">
        <f t="shared" si="130"/>
        <v>899.81585811083494</v>
      </c>
      <c r="AW225" s="182">
        <f t="shared" si="131"/>
        <v>11</v>
      </c>
      <c r="AX225" s="573"/>
    </row>
    <row r="226" spans="2:50">
      <c r="B226" s="576"/>
      <c r="C226" s="180">
        <v>30</v>
      </c>
      <c r="D226" s="183" t="s">
        <v>478</v>
      </c>
      <c r="E226" s="184">
        <v>12</v>
      </c>
      <c r="F226" s="180">
        <v>3600</v>
      </c>
      <c r="G226" s="185">
        <f t="shared" si="132"/>
        <v>300</v>
      </c>
      <c r="H226" s="579"/>
      <c r="I226" s="186">
        <f t="shared" si="119"/>
        <v>12</v>
      </c>
      <c r="J226" s="186">
        <f t="shared" si="119"/>
        <v>3124.514992674005</v>
      </c>
      <c r="K226" s="187">
        <f t="shared" si="119"/>
        <v>260.3762493895004</v>
      </c>
      <c r="L226" s="582"/>
      <c r="M226" s="186">
        <f>RANK(K226, K$197:$K$229)</f>
        <v>30</v>
      </c>
      <c r="N226" s="615"/>
      <c r="O226" s="585"/>
      <c r="P226" s="188">
        <v>12</v>
      </c>
      <c r="Q226" s="188">
        <v>3124.3001119820869</v>
      </c>
      <c r="R226" s="185">
        <f t="shared" si="116"/>
        <v>260.35834266517389</v>
      </c>
      <c r="S226" s="182">
        <f t="shared" si="120"/>
        <v>29</v>
      </c>
      <c r="T226" s="573"/>
      <c r="U226" s="188">
        <v>12</v>
      </c>
      <c r="V226" s="188">
        <v>3124.61844724618</v>
      </c>
      <c r="W226" s="185">
        <f t="shared" si="117"/>
        <v>260.38487060384836</v>
      </c>
      <c r="X226" s="182">
        <f t="shared" si="121"/>
        <v>29</v>
      </c>
      <c r="Y226" s="573"/>
      <c r="Z226" s="188">
        <v>12</v>
      </c>
      <c r="AA226" s="188">
        <v>3124.886877828063</v>
      </c>
      <c r="AB226" s="185">
        <f t="shared" si="122"/>
        <v>260.40723981900527</v>
      </c>
      <c r="AC226" s="182">
        <f t="shared" si="123"/>
        <v>29</v>
      </c>
      <c r="AD226" s="573"/>
      <c r="AE226" s="188">
        <v>12</v>
      </c>
      <c r="AF226" s="188">
        <v>3124.1379310344869</v>
      </c>
      <c r="AG226" s="185">
        <f t="shared" si="124"/>
        <v>260.34482758620726</v>
      </c>
      <c r="AH226" s="182">
        <f t="shared" si="125"/>
        <v>29</v>
      </c>
      <c r="AI226" s="573"/>
      <c r="AJ226" s="188">
        <v>12</v>
      </c>
      <c r="AK226" s="188">
        <v>3123.8416175231755</v>
      </c>
      <c r="AL226" s="185">
        <f t="shared" si="126"/>
        <v>260.32013479359796</v>
      </c>
      <c r="AM226" s="182">
        <f t="shared" si="127"/>
        <v>29</v>
      </c>
      <c r="AN226" s="573"/>
      <c r="AO226" s="188">
        <v>12</v>
      </c>
      <c r="AP226" s="188">
        <v>3125.1682368775059</v>
      </c>
      <c r="AQ226" s="185">
        <f t="shared" si="128"/>
        <v>260.43068640645885</v>
      </c>
      <c r="AR226" s="182">
        <f t="shared" si="129"/>
        <v>28</v>
      </c>
      <c r="AS226" s="573"/>
      <c r="AT226" s="188">
        <v>12</v>
      </c>
      <c r="AU226" s="188">
        <v>3124.651726226537</v>
      </c>
      <c r="AV226" s="185">
        <f t="shared" si="130"/>
        <v>260.3876438522114</v>
      </c>
      <c r="AW226" s="182">
        <f t="shared" si="131"/>
        <v>28</v>
      </c>
      <c r="AX226" s="573"/>
    </row>
    <row r="227" spans="2:50">
      <c r="B227" s="576"/>
      <c r="C227" s="180">
        <v>31</v>
      </c>
      <c r="D227" s="183" t="s">
        <v>842</v>
      </c>
      <c r="E227" s="180">
        <v>5</v>
      </c>
      <c r="F227" s="180">
        <v>3000</v>
      </c>
      <c r="G227" s="185">
        <f t="shared" si="132"/>
        <v>600</v>
      </c>
      <c r="H227" s="579"/>
      <c r="I227" s="186">
        <f t="shared" si="119"/>
        <v>5</v>
      </c>
      <c r="J227" s="186">
        <f t="shared" si="119"/>
        <v>2460.0856142171519</v>
      </c>
      <c r="K227" s="187">
        <f t="shared" si="119"/>
        <v>492.0171228434304</v>
      </c>
      <c r="L227" s="582"/>
      <c r="M227" s="186">
        <f>RANK(K227, K$197:$K$229)</f>
        <v>27</v>
      </c>
      <c r="N227" s="615"/>
      <c r="O227" s="585"/>
      <c r="P227" s="188"/>
      <c r="Q227" s="188"/>
      <c r="R227" s="185"/>
      <c r="S227" s="182"/>
      <c r="T227" s="573"/>
      <c r="U227" s="188"/>
      <c r="V227" s="188"/>
      <c r="W227" s="185"/>
      <c r="X227" s="182"/>
      <c r="Y227" s="573"/>
      <c r="Z227" s="188"/>
      <c r="AA227" s="188"/>
      <c r="AB227" s="185"/>
      <c r="AC227" s="182"/>
      <c r="AD227" s="573"/>
      <c r="AE227" s="188"/>
      <c r="AF227" s="188"/>
      <c r="AG227" s="185"/>
      <c r="AH227" s="182"/>
      <c r="AI227" s="573"/>
      <c r="AJ227" s="188"/>
      <c r="AK227" s="188"/>
      <c r="AL227" s="185"/>
      <c r="AM227" s="182"/>
      <c r="AN227" s="573"/>
      <c r="AO227" s="188"/>
      <c r="AP227" s="188"/>
      <c r="AQ227" s="185"/>
      <c r="AR227" s="182"/>
      <c r="AS227" s="573"/>
      <c r="AT227" s="188">
        <v>5</v>
      </c>
      <c r="AU227" s="188">
        <v>2460.0856142171519</v>
      </c>
      <c r="AV227" s="185">
        <f t="shared" si="130"/>
        <v>492.0171228434304</v>
      </c>
      <c r="AW227" s="182">
        <f t="shared" si="131"/>
        <v>26</v>
      </c>
      <c r="AX227" s="573"/>
    </row>
    <row r="228" spans="2:50">
      <c r="B228" s="576"/>
      <c r="C228" s="180">
        <v>32</v>
      </c>
      <c r="D228" s="183"/>
      <c r="E228" s="180"/>
      <c r="F228" s="180"/>
      <c r="G228" s="185"/>
      <c r="H228" s="579"/>
      <c r="I228" s="186"/>
      <c r="J228" s="186"/>
      <c r="K228" s="187"/>
      <c r="L228" s="582"/>
      <c r="M228" s="186"/>
      <c r="N228" s="615"/>
      <c r="O228" s="585"/>
      <c r="P228" s="188"/>
      <c r="Q228" s="188"/>
      <c r="R228" s="185"/>
      <c r="S228" s="182"/>
      <c r="T228" s="573"/>
      <c r="U228" s="188"/>
      <c r="V228" s="188"/>
      <c r="W228" s="185"/>
      <c r="X228" s="182"/>
      <c r="Y228" s="573"/>
      <c r="Z228" s="188"/>
      <c r="AA228" s="188"/>
      <c r="AB228" s="185"/>
      <c r="AC228" s="182"/>
      <c r="AD228" s="573"/>
      <c r="AE228" s="188"/>
      <c r="AF228" s="188"/>
      <c r="AG228" s="185"/>
      <c r="AH228" s="182"/>
      <c r="AI228" s="573"/>
      <c r="AJ228" s="188"/>
      <c r="AK228" s="188"/>
      <c r="AL228" s="185"/>
      <c r="AM228" s="182"/>
      <c r="AN228" s="573"/>
      <c r="AO228" s="188"/>
      <c r="AP228" s="188"/>
      <c r="AQ228" s="185"/>
      <c r="AR228" s="182"/>
      <c r="AS228" s="573"/>
      <c r="AT228" s="188"/>
      <c r="AU228" s="188"/>
      <c r="AV228" s="185"/>
      <c r="AW228" s="182"/>
      <c r="AX228" s="573"/>
    </row>
    <row r="229" spans="2:50">
      <c r="B229" s="577"/>
      <c r="C229" s="180">
        <v>33</v>
      </c>
      <c r="D229" s="183"/>
      <c r="E229" s="180"/>
      <c r="F229" s="180"/>
      <c r="G229" s="185"/>
      <c r="H229" s="580"/>
      <c r="I229" s="186"/>
      <c r="J229" s="186"/>
      <c r="K229" s="187"/>
      <c r="L229" s="583"/>
      <c r="M229" s="186"/>
      <c r="N229" s="616"/>
      <c r="O229" s="586"/>
      <c r="P229" s="188"/>
      <c r="Q229" s="188"/>
      <c r="R229" s="185"/>
      <c r="S229" s="182"/>
      <c r="T229" s="574"/>
      <c r="U229" s="188"/>
      <c r="V229" s="188"/>
      <c r="W229" s="185"/>
      <c r="X229" s="182"/>
      <c r="Y229" s="574"/>
      <c r="Z229" s="188"/>
      <c r="AA229" s="188"/>
      <c r="AB229" s="185"/>
      <c r="AC229" s="182"/>
      <c r="AD229" s="574"/>
      <c r="AE229" s="188"/>
      <c r="AF229" s="188"/>
      <c r="AG229" s="185"/>
      <c r="AH229" s="182"/>
      <c r="AI229" s="574"/>
      <c r="AJ229" s="188"/>
      <c r="AK229" s="188"/>
      <c r="AL229" s="185"/>
      <c r="AM229" s="182"/>
      <c r="AN229" s="574"/>
      <c r="AO229" s="188"/>
      <c r="AP229" s="188"/>
      <c r="AQ229" s="185"/>
      <c r="AR229" s="182"/>
      <c r="AS229" s="574"/>
      <c r="AT229" s="188"/>
      <c r="AU229" s="188"/>
      <c r="AV229" s="185"/>
      <c r="AW229" s="182"/>
      <c r="AX229" s="574"/>
    </row>
  </sheetData>
  <mergeCells count="354">
    <mergeCell ref="AX121:AX153"/>
    <mergeCell ref="B121:B153"/>
    <mergeCell ref="H121:H153"/>
    <mergeCell ref="L121:L153"/>
    <mergeCell ref="T121:T153"/>
    <mergeCell ref="Y121:Y153"/>
    <mergeCell ref="AD121:AD153"/>
    <mergeCell ref="AI121:AI153"/>
    <mergeCell ref="AN121:AN153"/>
    <mergeCell ref="AS121:AS153"/>
    <mergeCell ref="AI118:AI120"/>
    <mergeCell ref="AJ118:AM118"/>
    <mergeCell ref="AN118:AN120"/>
    <mergeCell ref="AO118:AR118"/>
    <mergeCell ref="AS118:AS120"/>
    <mergeCell ref="AT118:AW118"/>
    <mergeCell ref="AX118:AX120"/>
    <mergeCell ref="E119:G119"/>
    <mergeCell ref="I119:K119"/>
    <mergeCell ref="P119:S119"/>
    <mergeCell ref="U119:X119"/>
    <mergeCell ref="Z119:AC119"/>
    <mergeCell ref="AE119:AH119"/>
    <mergeCell ref="AJ119:AM119"/>
    <mergeCell ref="AO119:AR119"/>
    <mergeCell ref="AT119:AW119"/>
    <mergeCell ref="AT116:AX116"/>
    <mergeCell ref="P117:T117"/>
    <mergeCell ref="U117:Y117"/>
    <mergeCell ref="Z117:AD117"/>
    <mergeCell ref="AE117:AI117"/>
    <mergeCell ref="AJ117:AN117"/>
    <mergeCell ref="AO117:AS117"/>
    <mergeCell ref="AT117:AX117"/>
    <mergeCell ref="B118:B120"/>
    <mergeCell ref="C118:D120"/>
    <mergeCell ref="E118:G118"/>
    <mergeCell ref="H118:H120"/>
    <mergeCell ref="I118:K118"/>
    <mergeCell ref="L118:L120"/>
    <mergeCell ref="M118:M120"/>
    <mergeCell ref="N118:N153"/>
    <mergeCell ref="O118:O153"/>
    <mergeCell ref="P118:S118"/>
    <mergeCell ref="T118:T120"/>
    <mergeCell ref="U118:X118"/>
    <mergeCell ref="Y118:Y120"/>
    <mergeCell ref="Z118:AC118"/>
    <mergeCell ref="AD118:AD120"/>
    <mergeCell ref="AE118:AH118"/>
    <mergeCell ref="B116:M117"/>
    <mergeCell ref="N116:N117"/>
    <mergeCell ref="O116:O117"/>
    <mergeCell ref="P116:T116"/>
    <mergeCell ref="U116:Y116"/>
    <mergeCell ref="Z116:AD116"/>
    <mergeCell ref="AE116:AI116"/>
    <mergeCell ref="AJ116:AN116"/>
    <mergeCell ref="AO116:AS116"/>
    <mergeCell ref="AO5:AR5"/>
    <mergeCell ref="AT5:AW5"/>
    <mergeCell ref="B7:B39"/>
    <mergeCell ref="H7:H39"/>
    <mergeCell ref="L7:L39"/>
    <mergeCell ref="T7:T39"/>
    <mergeCell ref="Y7:Y39"/>
    <mergeCell ref="AD7:AD39"/>
    <mergeCell ref="AI7:AI39"/>
    <mergeCell ref="AN7:AN39"/>
    <mergeCell ref="AS7:AS39"/>
    <mergeCell ref="N4:N39"/>
    <mergeCell ref="O4:O39"/>
    <mergeCell ref="Z4:AC4"/>
    <mergeCell ref="AD4:AD6"/>
    <mergeCell ref="AE4:AH4"/>
    <mergeCell ref="AI4:AI6"/>
    <mergeCell ref="AJ4:AM4"/>
    <mergeCell ref="AN4:AN6"/>
    <mergeCell ref="AI83:AI115"/>
    <mergeCell ref="AN83:AN115"/>
    <mergeCell ref="AS83:AS115"/>
    <mergeCell ref="AJ80:AM80"/>
    <mergeCell ref="AN80:AN82"/>
    <mergeCell ref="AO80:AR80"/>
    <mergeCell ref="AS80:AS82"/>
    <mergeCell ref="AT80:AW80"/>
    <mergeCell ref="AX80:AX82"/>
    <mergeCell ref="AX83:AX115"/>
    <mergeCell ref="AJ81:AM81"/>
    <mergeCell ref="AO81:AR81"/>
    <mergeCell ref="AT81:AW81"/>
    <mergeCell ref="B83:B115"/>
    <mergeCell ref="H83:H115"/>
    <mergeCell ref="L83:L115"/>
    <mergeCell ref="T83:T115"/>
    <mergeCell ref="Y83:Y115"/>
    <mergeCell ref="AD83:AD115"/>
    <mergeCell ref="B80:B82"/>
    <mergeCell ref="C80:D82"/>
    <mergeCell ref="E80:G80"/>
    <mergeCell ref="H80:H82"/>
    <mergeCell ref="I80:K80"/>
    <mergeCell ref="L80:L82"/>
    <mergeCell ref="M80:M82"/>
    <mergeCell ref="N80:N115"/>
    <mergeCell ref="O80:O115"/>
    <mergeCell ref="E81:G81"/>
    <mergeCell ref="I81:K81"/>
    <mergeCell ref="P81:S81"/>
    <mergeCell ref="U81:X81"/>
    <mergeCell ref="Z81:AC81"/>
    <mergeCell ref="P80:S80"/>
    <mergeCell ref="T80:T82"/>
    <mergeCell ref="U80:X80"/>
    <mergeCell ref="Y80:Y82"/>
    <mergeCell ref="Z80:AC80"/>
    <mergeCell ref="AD80:AD82"/>
    <mergeCell ref="AE80:AH80"/>
    <mergeCell ref="AI80:AI82"/>
    <mergeCell ref="AE81:AH81"/>
    <mergeCell ref="B78:M79"/>
    <mergeCell ref="N78:N79"/>
    <mergeCell ref="O78:O79"/>
    <mergeCell ref="P78:T78"/>
    <mergeCell ref="U78:Y78"/>
    <mergeCell ref="Z78:AD78"/>
    <mergeCell ref="AE78:AI78"/>
    <mergeCell ref="P79:T79"/>
    <mergeCell ref="U79:Y79"/>
    <mergeCell ref="Z79:AD79"/>
    <mergeCell ref="AE79:AI79"/>
    <mergeCell ref="T42:T44"/>
    <mergeCell ref="U42:X42"/>
    <mergeCell ref="Y42:Y44"/>
    <mergeCell ref="Z42:AC42"/>
    <mergeCell ref="AD42:AD44"/>
    <mergeCell ref="AE42:AH42"/>
    <mergeCell ref="AI42:AI44"/>
    <mergeCell ref="P43:S43"/>
    <mergeCell ref="U43:X43"/>
    <mergeCell ref="B40:M41"/>
    <mergeCell ref="N40:N41"/>
    <mergeCell ref="O40:O41"/>
    <mergeCell ref="P40:T40"/>
    <mergeCell ref="U40:Y40"/>
    <mergeCell ref="Z40:AD40"/>
    <mergeCell ref="AE40:AI40"/>
    <mergeCell ref="B42:B44"/>
    <mergeCell ref="C42:D44"/>
    <mergeCell ref="E42:G42"/>
    <mergeCell ref="H42:H44"/>
    <mergeCell ref="I42:K42"/>
    <mergeCell ref="L42:L44"/>
    <mergeCell ref="M42:M44"/>
    <mergeCell ref="N42:N77"/>
    <mergeCell ref="O42:O77"/>
    <mergeCell ref="B45:B77"/>
    <mergeCell ref="H45:H77"/>
    <mergeCell ref="L45:L77"/>
    <mergeCell ref="E43:G43"/>
    <mergeCell ref="I43:K43"/>
    <mergeCell ref="T45:T77"/>
    <mergeCell ref="Y45:Y77"/>
    <mergeCell ref="AD45:AD77"/>
    <mergeCell ref="AO79:AS79"/>
    <mergeCell ref="AJ40:AN40"/>
    <mergeCell ref="AT79:AX79"/>
    <mergeCell ref="AT42:AW42"/>
    <mergeCell ref="P41:T41"/>
    <mergeCell ref="U41:Y41"/>
    <mergeCell ref="Z41:AD41"/>
    <mergeCell ref="AE41:AI41"/>
    <mergeCell ref="AJ41:AN41"/>
    <mergeCell ref="AS45:AS77"/>
    <mergeCell ref="AJ42:AM42"/>
    <mergeCell ref="AN42:AN44"/>
    <mergeCell ref="AO42:AR42"/>
    <mergeCell ref="AS42:AS44"/>
    <mergeCell ref="AJ79:AN79"/>
    <mergeCell ref="AI45:AI77"/>
    <mergeCell ref="AN45:AN77"/>
    <mergeCell ref="AX42:AX44"/>
    <mergeCell ref="AX45:AX77"/>
    <mergeCell ref="P42:S42"/>
    <mergeCell ref="Z43:AC43"/>
    <mergeCell ref="AE43:AH43"/>
    <mergeCell ref="AJ43:AM43"/>
    <mergeCell ref="AO43:AR43"/>
    <mergeCell ref="AO2:AS2"/>
    <mergeCell ref="AT2:AX2"/>
    <mergeCell ref="AO3:AS3"/>
    <mergeCell ref="AT3:AX3"/>
    <mergeCell ref="U2:Y2"/>
    <mergeCell ref="Z2:AD2"/>
    <mergeCell ref="AT43:AW43"/>
    <mergeCell ref="AT78:AX78"/>
    <mergeCell ref="AJ78:AN78"/>
    <mergeCell ref="AO78:AS78"/>
    <mergeCell ref="AT40:AX40"/>
    <mergeCell ref="AO41:AS41"/>
    <mergeCell ref="AT41:AX41"/>
    <mergeCell ref="AO40:AS40"/>
    <mergeCell ref="AT4:AW4"/>
    <mergeCell ref="AX4:AX6"/>
    <mergeCell ref="AX7:AX39"/>
    <mergeCell ref="AO4:AR4"/>
    <mergeCell ref="AS4:AS6"/>
    <mergeCell ref="AE2:AI2"/>
    <mergeCell ref="AJ2:AN2"/>
    <mergeCell ref="U3:Y3"/>
    <mergeCell ref="Z3:AD3"/>
    <mergeCell ref="AE3:AI3"/>
    <mergeCell ref="AJ3:AN3"/>
    <mergeCell ref="Y4:Y6"/>
    <mergeCell ref="B2:M3"/>
    <mergeCell ref="N2:N3"/>
    <mergeCell ref="O2:O3"/>
    <mergeCell ref="P2:T2"/>
    <mergeCell ref="P3:T3"/>
    <mergeCell ref="B4:B6"/>
    <mergeCell ref="C4:D6"/>
    <mergeCell ref="E4:G4"/>
    <mergeCell ref="H4:H6"/>
    <mergeCell ref="I4:K4"/>
    <mergeCell ref="L4:L6"/>
    <mergeCell ref="M4:M6"/>
    <mergeCell ref="P4:S4"/>
    <mergeCell ref="T4:T6"/>
    <mergeCell ref="U4:X4"/>
    <mergeCell ref="E5:G5"/>
    <mergeCell ref="I5:K5"/>
    <mergeCell ref="P5:S5"/>
    <mergeCell ref="U5:X5"/>
    <mergeCell ref="Z5:AC5"/>
    <mergeCell ref="AE5:AH5"/>
    <mergeCell ref="AJ5:AM5"/>
    <mergeCell ref="B154:M155"/>
    <mergeCell ref="N154:N155"/>
    <mergeCell ref="O154:O155"/>
    <mergeCell ref="P154:T154"/>
    <mergeCell ref="U154:Y154"/>
    <mergeCell ref="Z154:AD154"/>
    <mergeCell ref="AE154:AI154"/>
    <mergeCell ref="AJ154:AN154"/>
    <mergeCell ref="AO154:AS154"/>
    <mergeCell ref="AT154:AX154"/>
    <mergeCell ref="P155:T155"/>
    <mergeCell ref="U155:Y155"/>
    <mergeCell ref="Z155:AD155"/>
    <mergeCell ref="AE155:AI155"/>
    <mergeCell ref="AJ155:AN155"/>
    <mergeCell ref="AO155:AS155"/>
    <mergeCell ref="AT155:AX155"/>
    <mergeCell ref="B156:B158"/>
    <mergeCell ref="C156:D158"/>
    <mergeCell ref="E156:G156"/>
    <mergeCell ref="H156:H158"/>
    <mergeCell ref="I156:K156"/>
    <mergeCell ref="L156:L158"/>
    <mergeCell ref="M156:M158"/>
    <mergeCell ref="N156:N191"/>
    <mergeCell ref="O156:O191"/>
    <mergeCell ref="P156:S156"/>
    <mergeCell ref="T156:T158"/>
    <mergeCell ref="U156:X156"/>
    <mergeCell ref="Y156:Y158"/>
    <mergeCell ref="Z156:AC156"/>
    <mergeCell ref="AD156:AD158"/>
    <mergeCell ref="AE156:AH156"/>
    <mergeCell ref="AI156:AI158"/>
    <mergeCell ref="AJ156:AM156"/>
    <mergeCell ref="AN156:AN158"/>
    <mergeCell ref="AO156:AR156"/>
    <mergeCell ref="AS156:AS158"/>
    <mergeCell ref="AT156:AW156"/>
    <mergeCell ref="AX156:AX158"/>
    <mergeCell ref="E157:G157"/>
    <mergeCell ref="I157:K157"/>
    <mergeCell ref="P157:S157"/>
    <mergeCell ref="U157:X157"/>
    <mergeCell ref="Z157:AC157"/>
    <mergeCell ref="AE157:AH157"/>
    <mergeCell ref="AJ157:AM157"/>
    <mergeCell ref="AO157:AR157"/>
    <mergeCell ref="AT157:AW157"/>
    <mergeCell ref="AX159:AX191"/>
    <mergeCell ref="B159:B191"/>
    <mergeCell ref="H159:H191"/>
    <mergeCell ref="L159:L191"/>
    <mergeCell ref="T159:T191"/>
    <mergeCell ref="Y159:Y191"/>
    <mergeCell ref="AD159:AD191"/>
    <mergeCell ref="AI159:AI191"/>
    <mergeCell ref="AN159:AN191"/>
    <mergeCell ref="AS159:AS191"/>
    <mergeCell ref="B192:M193"/>
    <mergeCell ref="N192:N193"/>
    <mergeCell ref="O192:O193"/>
    <mergeCell ref="P192:T192"/>
    <mergeCell ref="U192:Y192"/>
    <mergeCell ref="Z192:AD192"/>
    <mergeCell ref="AE192:AI192"/>
    <mergeCell ref="AJ192:AN192"/>
    <mergeCell ref="AO192:AS192"/>
    <mergeCell ref="AT192:AX192"/>
    <mergeCell ref="P193:T193"/>
    <mergeCell ref="U193:Y193"/>
    <mergeCell ref="Z193:AD193"/>
    <mergeCell ref="AE193:AI193"/>
    <mergeCell ref="AJ193:AN193"/>
    <mergeCell ref="AO193:AS193"/>
    <mergeCell ref="AT193:AX193"/>
    <mergeCell ref="B194:B196"/>
    <mergeCell ref="C194:D196"/>
    <mergeCell ref="E194:G194"/>
    <mergeCell ref="H194:H196"/>
    <mergeCell ref="I194:K194"/>
    <mergeCell ref="L194:L196"/>
    <mergeCell ref="M194:M196"/>
    <mergeCell ref="N194:N229"/>
    <mergeCell ref="O194:O229"/>
    <mergeCell ref="P194:S194"/>
    <mergeCell ref="T194:T196"/>
    <mergeCell ref="U194:X194"/>
    <mergeCell ref="Y194:Y196"/>
    <mergeCell ref="Z194:AC194"/>
    <mergeCell ref="AD194:AD196"/>
    <mergeCell ref="AE194:AH194"/>
    <mergeCell ref="AI194:AI196"/>
    <mergeCell ref="AJ194:AM194"/>
    <mergeCell ref="AN194:AN196"/>
    <mergeCell ref="AO194:AR194"/>
    <mergeCell ref="AS194:AS196"/>
    <mergeCell ref="AT194:AW194"/>
    <mergeCell ref="AX194:AX196"/>
    <mergeCell ref="E195:G195"/>
    <mergeCell ref="I195:K195"/>
    <mergeCell ref="P195:S195"/>
    <mergeCell ref="U195:X195"/>
    <mergeCell ref="Z195:AC195"/>
    <mergeCell ref="AE195:AH195"/>
    <mergeCell ref="AJ195:AM195"/>
    <mergeCell ref="AO195:AR195"/>
    <mergeCell ref="AT195:AW195"/>
    <mergeCell ref="AX197:AX229"/>
    <mergeCell ref="B197:B229"/>
    <mergeCell ref="H197:H229"/>
    <mergeCell ref="L197:L229"/>
    <mergeCell ref="T197:T229"/>
    <mergeCell ref="Y197:Y229"/>
    <mergeCell ref="AD197:AD229"/>
    <mergeCell ref="AI197:AI229"/>
    <mergeCell ref="AN197:AN229"/>
    <mergeCell ref="AS197:AS229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121"/>
  <sheetViews>
    <sheetView zoomScaleNormal="100" workbookViewId="0">
      <pane xSplit="13" ySplit="1" topLeftCell="AI94" activePane="bottomRight" state="frozen"/>
      <selection activeCell="E31" sqref="E31"/>
      <selection pane="topRight" activeCell="E31" sqref="E31"/>
      <selection pane="bottomLeft" activeCell="E31" sqref="E31"/>
      <selection pane="bottomRight" activeCell="L107" sqref="L107:L12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67" t="s">
        <v>647</v>
      </c>
      <c r="C1" s="175">
        <f>AVERAGE(L27,L47,L67,L87)</f>
        <v>311.70581961708376</v>
      </c>
    </row>
    <row r="2" spans="1:50" ht="14.25" customHeight="1" collapsed="1">
      <c r="B2" s="641" t="s">
        <v>557</v>
      </c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3"/>
      <c r="N2" s="575" t="s">
        <v>377</v>
      </c>
      <c r="O2" s="575" t="s">
        <v>105</v>
      </c>
      <c r="P2" s="655">
        <v>46077</v>
      </c>
      <c r="Q2" s="656"/>
      <c r="R2" s="656"/>
      <c r="S2" s="656"/>
      <c r="T2" s="656"/>
      <c r="U2" s="657">
        <f>P2+1</f>
        <v>46078</v>
      </c>
      <c r="V2" s="658"/>
      <c r="W2" s="658"/>
      <c r="X2" s="658"/>
      <c r="Y2" s="658"/>
      <c r="Z2" s="655">
        <f t="shared" ref="Z2" si="0">U2+1</f>
        <v>46079</v>
      </c>
      <c r="AA2" s="656"/>
      <c r="AB2" s="656"/>
      <c r="AC2" s="656"/>
      <c r="AD2" s="656"/>
      <c r="AE2" s="657">
        <f t="shared" ref="AE2" si="1">Z2+1</f>
        <v>46080</v>
      </c>
      <c r="AF2" s="658"/>
      <c r="AG2" s="658"/>
      <c r="AH2" s="658"/>
      <c r="AI2" s="658"/>
      <c r="AJ2" s="647">
        <f t="shared" ref="AJ2" si="2">AE2+1</f>
        <v>46081</v>
      </c>
      <c r="AK2" s="648"/>
      <c r="AL2" s="648"/>
      <c r="AM2" s="648"/>
      <c r="AN2" s="649"/>
      <c r="AO2" s="657">
        <f t="shared" ref="AO2" si="3">AJ2+1</f>
        <v>46082</v>
      </c>
      <c r="AP2" s="658"/>
      <c r="AQ2" s="658"/>
      <c r="AR2" s="658"/>
      <c r="AS2" s="658"/>
      <c r="AT2" s="647">
        <f t="shared" ref="AT2" si="4">AO2+1</f>
        <v>46083</v>
      </c>
      <c r="AU2" s="648"/>
      <c r="AV2" s="648"/>
      <c r="AW2" s="648"/>
      <c r="AX2" s="649"/>
    </row>
    <row r="3" spans="1:50" ht="14.25" customHeight="1"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5"/>
      <c r="N3" s="577"/>
      <c r="O3" s="577"/>
      <c r="P3" s="650">
        <f>P2</f>
        <v>46077</v>
      </c>
      <c r="Q3" s="650"/>
      <c r="R3" s="650"/>
      <c r="S3" s="650"/>
      <c r="T3" s="650"/>
      <c r="U3" s="651">
        <f>U2</f>
        <v>46078</v>
      </c>
      <c r="V3" s="651"/>
      <c r="W3" s="651"/>
      <c r="X3" s="651"/>
      <c r="Y3" s="651"/>
      <c r="Z3" s="650">
        <f t="shared" ref="Z3" si="5">Z2</f>
        <v>46079</v>
      </c>
      <c r="AA3" s="650"/>
      <c r="AB3" s="650"/>
      <c r="AC3" s="650"/>
      <c r="AD3" s="650"/>
      <c r="AE3" s="651">
        <f t="shared" ref="AE3" si="6">AE2</f>
        <v>46080</v>
      </c>
      <c r="AF3" s="651"/>
      <c r="AG3" s="651"/>
      <c r="AH3" s="651"/>
      <c r="AI3" s="651"/>
      <c r="AJ3" s="652">
        <f t="shared" ref="AJ3" si="7">AJ2</f>
        <v>46081</v>
      </c>
      <c r="AK3" s="653"/>
      <c r="AL3" s="653"/>
      <c r="AM3" s="653"/>
      <c r="AN3" s="654"/>
      <c r="AO3" s="651">
        <f t="shared" ref="AO3" si="8">AO2</f>
        <v>46082</v>
      </c>
      <c r="AP3" s="651"/>
      <c r="AQ3" s="651"/>
      <c r="AR3" s="651"/>
      <c r="AS3" s="651"/>
      <c r="AT3" s="652">
        <f t="shared" ref="AT3" si="9">AT2</f>
        <v>46083</v>
      </c>
      <c r="AU3" s="653"/>
      <c r="AV3" s="653"/>
      <c r="AW3" s="653"/>
      <c r="AX3" s="654"/>
    </row>
    <row r="4" spans="1:50" ht="14.25" customHeight="1">
      <c r="B4" s="564" t="s">
        <v>164</v>
      </c>
      <c r="C4" s="564" t="s">
        <v>159</v>
      </c>
      <c r="D4" s="564"/>
      <c r="E4" s="564" t="s">
        <v>160</v>
      </c>
      <c r="F4" s="564"/>
      <c r="G4" s="564"/>
      <c r="H4" s="564" t="s">
        <v>165</v>
      </c>
      <c r="I4" s="628" t="s">
        <v>378</v>
      </c>
      <c r="J4" s="628"/>
      <c r="K4" s="628"/>
      <c r="L4" s="628" t="s">
        <v>165</v>
      </c>
      <c r="M4" s="628" t="s">
        <v>167</v>
      </c>
      <c r="N4" s="564"/>
      <c r="O4" s="564" t="s">
        <v>166</v>
      </c>
      <c r="P4" s="564" t="s">
        <v>162</v>
      </c>
      <c r="Q4" s="564"/>
      <c r="R4" s="564"/>
      <c r="S4" s="564"/>
      <c r="T4" s="564" t="s">
        <v>165</v>
      </c>
      <c r="U4" s="564" t="s">
        <v>162</v>
      </c>
      <c r="V4" s="564"/>
      <c r="W4" s="564"/>
      <c r="X4" s="564"/>
      <c r="Y4" s="564" t="s">
        <v>165</v>
      </c>
      <c r="Z4" s="564" t="s">
        <v>162</v>
      </c>
      <c r="AA4" s="564"/>
      <c r="AB4" s="564"/>
      <c r="AC4" s="564"/>
      <c r="AD4" s="564" t="s">
        <v>165</v>
      </c>
      <c r="AE4" s="564" t="s">
        <v>162</v>
      </c>
      <c r="AF4" s="564"/>
      <c r="AG4" s="564"/>
      <c r="AH4" s="564"/>
      <c r="AI4" s="564" t="s">
        <v>165</v>
      </c>
      <c r="AJ4" s="564" t="s">
        <v>162</v>
      </c>
      <c r="AK4" s="564"/>
      <c r="AL4" s="564"/>
      <c r="AM4" s="564"/>
      <c r="AN4" s="564" t="s">
        <v>165</v>
      </c>
      <c r="AO4" s="564" t="s">
        <v>162</v>
      </c>
      <c r="AP4" s="564"/>
      <c r="AQ4" s="564"/>
      <c r="AR4" s="564"/>
      <c r="AS4" s="564" t="s">
        <v>165</v>
      </c>
      <c r="AT4" s="564" t="s">
        <v>162</v>
      </c>
      <c r="AU4" s="564"/>
      <c r="AV4" s="564"/>
      <c r="AW4" s="564"/>
      <c r="AX4" s="564" t="s">
        <v>165</v>
      </c>
    </row>
    <row r="5" spans="1:50" ht="14.25" customHeight="1">
      <c r="B5" s="564"/>
      <c r="C5" s="564"/>
      <c r="D5" s="564"/>
      <c r="E5" s="564" t="s">
        <v>379</v>
      </c>
      <c r="F5" s="564"/>
      <c r="G5" s="564"/>
      <c r="H5" s="564"/>
      <c r="I5" s="628" t="s">
        <v>379</v>
      </c>
      <c r="J5" s="628"/>
      <c r="K5" s="628"/>
      <c r="L5" s="628"/>
      <c r="M5" s="628"/>
      <c r="N5" s="564"/>
      <c r="O5" s="564"/>
      <c r="P5" s="564" t="s">
        <v>380</v>
      </c>
      <c r="Q5" s="564"/>
      <c r="R5" s="564"/>
      <c r="S5" s="564"/>
      <c r="T5" s="564"/>
      <c r="U5" s="564" t="s">
        <v>380</v>
      </c>
      <c r="V5" s="564"/>
      <c r="W5" s="564"/>
      <c r="X5" s="564"/>
      <c r="Y5" s="564"/>
      <c r="Z5" s="564" t="s">
        <v>380</v>
      </c>
      <c r="AA5" s="564"/>
      <c r="AB5" s="564"/>
      <c r="AC5" s="564"/>
      <c r="AD5" s="564"/>
      <c r="AE5" s="564" t="s">
        <v>380</v>
      </c>
      <c r="AF5" s="564"/>
      <c r="AG5" s="564"/>
      <c r="AH5" s="564"/>
      <c r="AI5" s="564"/>
      <c r="AJ5" s="564" t="s">
        <v>380</v>
      </c>
      <c r="AK5" s="564"/>
      <c r="AL5" s="564"/>
      <c r="AM5" s="564"/>
      <c r="AN5" s="564"/>
      <c r="AO5" s="564" t="s">
        <v>380</v>
      </c>
      <c r="AP5" s="564"/>
      <c r="AQ5" s="564"/>
      <c r="AR5" s="564"/>
      <c r="AS5" s="564"/>
      <c r="AT5" s="564" t="s">
        <v>380</v>
      </c>
      <c r="AU5" s="564"/>
      <c r="AV5" s="564"/>
      <c r="AW5" s="564"/>
      <c r="AX5" s="564"/>
    </row>
    <row r="6" spans="1:50" ht="14.25" customHeight="1">
      <c r="B6" s="564"/>
      <c r="C6" s="564"/>
      <c r="D6" s="564"/>
      <c r="E6" s="180" t="s">
        <v>161</v>
      </c>
      <c r="F6" s="180" t="s">
        <v>381</v>
      </c>
      <c r="G6" s="180" t="s">
        <v>163</v>
      </c>
      <c r="H6" s="564"/>
      <c r="I6" s="181" t="s">
        <v>161</v>
      </c>
      <c r="J6" s="181" t="s">
        <v>381</v>
      </c>
      <c r="K6" s="181" t="s">
        <v>163</v>
      </c>
      <c r="L6" s="628"/>
      <c r="M6" s="628"/>
      <c r="N6" s="564"/>
      <c r="O6" s="564"/>
      <c r="P6" s="180" t="s">
        <v>161</v>
      </c>
      <c r="Q6" s="180" t="s">
        <v>381</v>
      </c>
      <c r="R6" s="180" t="s">
        <v>163</v>
      </c>
      <c r="S6" s="182" t="s">
        <v>167</v>
      </c>
      <c r="T6" s="564"/>
      <c r="U6" s="180" t="s">
        <v>161</v>
      </c>
      <c r="V6" s="180" t="s">
        <v>381</v>
      </c>
      <c r="W6" s="180" t="s">
        <v>163</v>
      </c>
      <c r="X6" s="182" t="s">
        <v>167</v>
      </c>
      <c r="Y6" s="564"/>
      <c r="Z6" s="180" t="s">
        <v>161</v>
      </c>
      <c r="AA6" s="180" t="s">
        <v>381</v>
      </c>
      <c r="AB6" s="180" t="s">
        <v>163</v>
      </c>
      <c r="AC6" s="182" t="s">
        <v>167</v>
      </c>
      <c r="AD6" s="564"/>
      <c r="AE6" s="180" t="s">
        <v>161</v>
      </c>
      <c r="AF6" s="180" t="s">
        <v>381</v>
      </c>
      <c r="AG6" s="180" t="s">
        <v>163</v>
      </c>
      <c r="AH6" s="182" t="s">
        <v>167</v>
      </c>
      <c r="AI6" s="564"/>
      <c r="AJ6" s="180" t="s">
        <v>161</v>
      </c>
      <c r="AK6" s="180" t="s">
        <v>381</v>
      </c>
      <c r="AL6" s="180" t="s">
        <v>163</v>
      </c>
      <c r="AM6" s="182" t="s">
        <v>167</v>
      </c>
      <c r="AN6" s="564"/>
      <c r="AO6" s="180" t="s">
        <v>161</v>
      </c>
      <c r="AP6" s="180" t="s">
        <v>381</v>
      </c>
      <c r="AQ6" s="180" t="s">
        <v>163</v>
      </c>
      <c r="AR6" s="182" t="s">
        <v>167</v>
      </c>
      <c r="AS6" s="564"/>
      <c r="AT6" s="180" t="s">
        <v>161</v>
      </c>
      <c r="AU6" s="180" t="s">
        <v>381</v>
      </c>
      <c r="AV6" s="180" t="s">
        <v>163</v>
      </c>
      <c r="AW6" s="182" t="s">
        <v>167</v>
      </c>
      <c r="AX6" s="564"/>
    </row>
    <row r="7" spans="1:50" ht="14.25" customHeight="1">
      <c r="B7" s="564" t="s">
        <v>383</v>
      </c>
      <c r="C7" s="180">
        <v>1</v>
      </c>
      <c r="D7" s="183" t="s">
        <v>351</v>
      </c>
      <c r="E7" s="180">
        <v>12</v>
      </c>
      <c r="F7" s="180">
        <v>3600</v>
      </c>
      <c r="G7" s="185">
        <f t="shared" ref="G7:G14" si="10">F7/E7</f>
        <v>300</v>
      </c>
      <c r="H7" s="625">
        <f>AVERAGE(G7:G21)</f>
        <v>340.15151515151513</v>
      </c>
      <c r="I7" s="186">
        <f>AVERAGE(P7,U7,Z7,AE7,AJ7,AO7,AT7)</f>
        <v>12</v>
      </c>
      <c r="J7" s="186">
        <f>AVERAGE(Q7,V7,AA7,AF7,AK7,AP7,AU7)</f>
        <v>3140.3171460477215</v>
      </c>
      <c r="K7" s="187">
        <f>AVERAGE(R7,W7,AB7,AG7,AL7,AQ7,AV7)</f>
        <v>261.69309550397674</v>
      </c>
      <c r="L7" s="626">
        <f>IFERROR(AVERAGE(K7:K21),"-")</f>
        <v>300.55927939537992</v>
      </c>
      <c r="M7" s="186">
        <f>RANK(K7, K$7:$K$21)</f>
        <v>6</v>
      </c>
      <c r="N7" s="564"/>
      <c r="O7" s="564"/>
      <c r="P7" s="188">
        <v>12</v>
      </c>
      <c r="Q7" s="188">
        <v>3140.9572524662062</v>
      </c>
      <c r="R7" s="185">
        <f>IFERROR(Q7/P7,"")</f>
        <v>261.74643770551717</v>
      </c>
      <c r="S7" s="182">
        <f>RANK(R7, R$7:R$21)</f>
        <v>5</v>
      </c>
      <c r="T7" s="625">
        <f>AVERAGE(R7:R21)</f>
        <v>300.56797311618504</v>
      </c>
      <c r="U7" s="188">
        <v>12</v>
      </c>
      <c r="V7" s="188">
        <v>3140.1223461676891</v>
      </c>
      <c r="W7" s="185">
        <f t="shared" ref="W7:W14" si="11">IFERROR(V7/U7,"")</f>
        <v>261.67686218064074</v>
      </c>
      <c r="X7" s="182">
        <f>RANK(W7, W$7:W$21)</f>
        <v>5</v>
      </c>
      <c r="Y7" s="625">
        <f>AVERAGE(W7:W21)</f>
        <v>300.51267827935942</v>
      </c>
      <c r="Z7" s="188">
        <v>12</v>
      </c>
      <c r="AA7" s="188">
        <v>3140.0530503978766</v>
      </c>
      <c r="AB7" s="185">
        <f t="shared" ref="AB7:AB14" si="12">IFERROR(AA7/Z7,"")</f>
        <v>261.67108753315637</v>
      </c>
      <c r="AC7" s="182">
        <f>RANK(AB7, AB$7:AB$21)</f>
        <v>6</v>
      </c>
      <c r="AD7" s="625">
        <f>AVERAGE(AB7:AB21)</f>
        <v>300.51454818968159</v>
      </c>
      <c r="AE7" s="188">
        <v>12</v>
      </c>
      <c r="AF7" s="188">
        <v>3139.8496240601526</v>
      </c>
      <c r="AG7" s="185">
        <f>IFERROR(AF7/AE7,"")</f>
        <v>261.65413533834607</v>
      </c>
      <c r="AH7" s="182">
        <f>RANK(AG7, AG$7:AG$21)</f>
        <v>8</v>
      </c>
      <c r="AI7" s="625">
        <f>AVERAGE(AG7:AG21)</f>
        <v>300.57597839118245</v>
      </c>
      <c r="AJ7" s="188">
        <v>12</v>
      </c>
      <c r="AK7" s="188">
        <v>3140.5378973105035</v>
      </c>
      <c r="AL7" s="185">
        <f t="shared" ref="AL7:AL14" si="13">IFERROR(AK7/AJ7,"")</f>
        <v>261.71149144254196</v>
      </c>
      <c r="AM7" s="182">
        <f>RANK(AL7, AL$7:AL$21)</f>
        <v>6</v>
      </c>
      <c r="AN7" s="625">
        <f>AVERAGE(AL7:AL21)</f>
        <v>300.57532705728045</v>
      </c>
      <c r="AO7" s="188">
        <v>12</v>
      </c>
      <c r="AP7" s="188">
        <v>3140.4521739130432</v>
      </c>
      <c r="AQ7" s="185">
        <f t="shared" ref="AQ7:AQ14" si="14">IFERROR(AP7/AO7,"")</f>
        <v>261.70434782608692</v>
      </c>
      <c r="AR7" s="182">
        <f>RANK(AQ7, AQ$7:AQ$21)</f>
        <v>7</v>
      </c>
      <c r="AS7" s="625">
        <f>AVERAGE(AQ7:AQ21)</f>
        <v>300.58262162037931</v>
      </c>
      <c r="AT7" s="188">
        <v>12</v>
      </c>
      <c r="AU7" s="188">
        <v>3140.247678018578</v>
      </c>
      <c r="AV7" s="185">
        <f t="shared" ref="AV7:AV14" si="15">IFERROR(AU7/AT7,"")</f>
        <v>261.68730650154816</v>
      </c>
      <c r="AW7" s="182">
        <f>RANK(AV7, AV$7:AV$21)</f>
        <v>6</v>
      </c>
      <c r="AX7" s="625">
        <f>AVERAGE(AV7:AV21)</f>
        <v>300.58582911359093</v>
      </c>
    </row>
    <row r="8" spans="1:50" ht="14.25" customHeight="1">
      <c r="B8" s="564"/>
      <c r="C8" s="180">
        <v>2</v>
      </c>
      <c r="D8" s="183" t="s">
        <v>352</v>
      </c>
      <c r="E8" s="180">
        <v>12</v>
      </c>
      <c r="F8" s="180">
        <v>3600</v>
      </c>
      <c r="G8" s="185">
        <f t="shared" si="10"/>
        <v>300</v>
      </c>
      <c r="H8" s="625"/>
      <c r="I8" s="186">
        <f t="shared" ref="I8:I14" si="16">AVERAGE(P8,U8,Z8,AE8,AJ8,AO8,AT8)</f>
        <v>12</v>
      </c>
      <c r="J8" s="186">
        <f t="shared" ref="J8:J14" si="17">AVERAGE(Q8,V8,AA8,AF8,AK8,AP8,AU8)</f>
        <v>3140.2425559193284</v>
      </c>
      <c r="K8" s="187">
        <f t="shared" ref="K8:K14" si="18">AVERAGE(R8,W8,AB8,AG8,AL8,AQ8,AV8)</f>
        <v>261.68687965994411</v>
      </c>
      <c r="L8" s="626"/>
      <c r="M8" s="186">
        <f>RANK(K8, K$7:$K$21)</f>
        <v>7</v>
      </c>
      <c r="N8" s="564"/>
      <c r="O8" s="564"/>
      <c r="P8" s="188">
        <v>12</v>
      </c>
      <c r="Q8" s="188">
        <v>3140.1253918495245</v>
      </c>
      <c r="R8" s="185">
        <f t="shared" ref="R8:R14" si="19">IFERROR(Q8/P8,"")</f>
        <v>261.67711598746035</v>
      </c>
      <c r="S8" s="182">
        <f t="shared" ref="S8:S14" si="20">RANK(R8, R$7:R$21)</f>
        <v>7</v>
      </c>
      <c r="T8" s="625"/>
      <c r="U8" s="188">
        <v>12</v>
      </c>
      <c r="V8" s="188">
        <v>3139.860139860135</v>
      </c>
      <c r="W8" s="185">
        <f t="shared" si="11"/>
        <v>261.65501165501126</v>
      </c>
      <c r="X8" s="182">
        <f t="shared" ref="X8:X14" si="21">RANK(W8, W$7:W$21)</f>
        <v>7</v>
      </c>
      <c r="Y8" s="625"/>
      <c r="Z8" s="188">
        <v>12</v>
      </c>
      <c r="AA8" s="188">
        <v>3139.6946564885498</v>
      </c>
      <c r="AB8" s="185">
        <f t="shared" si="12"/>
        <v>261.64122137404581</v>
      </c>
      <c r="AC8" s="182">
        <f t="shared" ref="AC8:AC14" si="22">RANK(AB8, AB$7:AB$21)</f>
        <v>8</v>
      </c>
      <c r="AD8" s="625"/>
      <c r="AE8" s="188">
        <v>12</v>
      </c>
      <c r="AF8" s="188">
        <v>3140.425531914897</v>
      </c>
      <c r="AG8" s="185">
        <f t="shared" ref="AG8:AG14" si="23">IFERROR(AF8/AE8,"")</f>
        <v>261.70212765957473</v>
      </c>
      <c r="AH8" s="182">
        <f t="shared" ref="AH8:AH14" si="24">RANK(AG8, AG$7:AG$21)</f>
        <v>7</v>
      </c>
      <c r="AI8" s="625"/>
      <c r="AJ8" s="188">
        <v>12</v>
      </c>
      <c r="AK8" s="188">
        <v>3140.347293156286</v>
      </c>
      <c r="AL8" s="185">
        <f t="shared" si="13"/>
        <v>261.69560776302382</v>
      </c>
      <c r="AM8" s="182">
        <f t="shared" ref="AM8:AM14" si="25">RANK(AL8, AL$7:AL$21)</f>
        <v>8</v>
      </c>
      <c r="AN8" s="625"/>
      <c r="AO8" s="188">
        <v>12</v>
      </c>
      <c r="AP8" s="188">
        <v>3140.9124906507077</v>
      </c>
      <c r="AQ8" s="185">
        <f t="shared" si="14"/>
        <v>261.74270755422566</v>
      </c>
      <c r="AR8" s="182">
        <f t="shared" ref="AR8:AR14" si="26">RANK(AQ8, AQ$7:AQ$21)</f>
        <v>5</v>
      </c>
      <c r="AS8" s="625"/>
      <c r="AT8" s="188">
        <v>12</v>
      </c>
      <c r="AU8" s="188">
        <v>3140.3323875152023</v>
      </c>
      <c r="AV8" s="185">
        <f t="shared" si="15"/>
        <v>261.69436562626686</v>
      </c>
      <c r="AW8" s="182">
        <f t="shared" ref="AW8:AW14" si="27">RANK(AV8, AV$7:AV$21)</f>
        <v>5</v>
      </c>
      <c r="AX8" s="625"/>
    </row>
    <row r="9" spans="1:50" ht="14.25" customHeight="1">
      <c r="B9" s="564"/>
      <c r="C9" s="180">
        <v>3</v>
      </c>
      <c r="D9" s="183" t="s">
        <v>350</v>
      </c>
      <c r="E9" s="180">
        <v>11</v>
      </c>
      <c r="F9" s="180">
        <v>3600</v>
      </c>
      <c r="G9" s="185">
        <f t="shared" si="10"/>
        <v>327.27272727272725</v>
      </c>
      <c r="H9" s="625"/>
      <c r="I9" s="186">
        <f t="shared" si="16"/>
        <v>11</v>
      </c>
      <c r="J9" s="186">
        <f t="shared" si="17"/>
        <v>3176.7163075012372</v>
      </c>
      <c r="K9" s="187">
        <f t="shared" si="18"/>
        <v>288.79239159102161</v>
      </c>
      <c r="L9" s="626"/>
      <c r="M9" s="186">
        <f>RANK(K9, K$7:$K$21)</f>
        <v>3</v>
      </c>
      <c r="N9" s="564"/>
      <c r="O9" s="564"/>
      <c r="P9" s="188">
        <v>11</v>
      </c>
      <c r="Q9" s="188">
        <v>3175.8765778401144</v>
      </c>
      <c r="R9" s="185">
        <f t="shared" si="19"/>
        <v>288.71605253091951</v>
      </c>
      <c r="S9" s="182">
        <f t="shared" si="20"/>
        <v>3</v>
      </c>
      <c r="T9" s="625"/>
      <c r="U9" s="188">
        <v>11</v>
      </c>
      <c r="V9" s="188">
        <v>3175.6588404408262</v>
      </c>
      <c r="W9" s="185">
        <f t="shared" si="11"/>
        <v>288.69625822189329</v>
      </c>
      <c r="X9" s="182">
        <f t="shared" si="21"/>
        <v>3</v>
      </c>
      <c r="Y9" s="625"/>
      <c r="Z9" s="188">
        <v>11</v>
      </c>
      <c r="AA9" s="188">
        <v>3175.6345177664989</v>
      </c>
      <c r="AB9" s="185">
        <f t="shared" si="12"/>
        <v>288.69404706968174</v>
      </c>
      <c r="AC9" s="182">
        <f t="shared" si="22"/>
        <v>3</v>
      </c>
      <c r="AD9" s="625"/>
      <c r="AE9" s="188">
        <v>11</v>
      </c>
      <c r="AF9" s="188">
        <v>3176.5932792584044</v>
      </c>
      <c r="AG9" s="185">
        <f t="shared" si="23"/>
        <v>288.7812072053095</v>
      </c>
      <c r="AH9" s="182">
        <f t="shared" si="24"/>
        <v>3</v>
      </c>
      <c r="AI9" s="625"/>
      <c r="AJ9" s="188">
        <v>11</v>
      </c>
      <c r="AK9" s="188">
        <v>3176.9889840881283</v>
      </c>
      <c r="AL9" s="185">
        <f t="shared" si="13"/>
        <v>288.81718037164802</v>
      </c>
      <c r="AM9" s="182">
        <f t="shared" si="25"/>
        <v>3</v>
      </c>
      <c r="AN9" s="625"/>
      <c r="AO9" s="188">
        <v>11</v>
      </c>
      <c r="AP9" s="188">
        <v>3177.6726584673634</v>
      </c>
      <c r="AQ9" s="185">
        <f t="shared" si="14"/>
        <v>288.87933258794214</v>
      </c>
      <c r="AR9" s="182">
        <f t="shared" si="26"/>
        <v>3</v>
      </c>
      <c r="AS9" s="625"/>
      <c r="AT9" s="188">
        <v>11</v>
      </c>
      <c r="AU9" s="188">
        <v>3178.5892946473273</v>
      </c>
      <c r="AV9" s="185">
        <f t="shared" si="15"/>
        <v>288.96266314975702</v>
      </c>
      <c r="AW9" s="182">
        <f t="shared" si="27"/>
        <v>3</v>
      </c>
      <c r="AX9" s="625"/>
    </row>
    <row r="10" spans="1:50" ht="14.25" customHeight="1">
      <c r="B10" s="564"/>
      <c r="C10" s="180">
        <v>4</v>
      </c>
      <c r="D10" s="183" t="s">
        <v>473</v>
      </c>
      <c r="E10" s="180">
        <v>6</v>
      </c>
      <c r="F10" s="180">
        <v>2600</v>
      </c>
      <c r="G10" s="185">
        <f t="shared" si="10"/>
        <v>433.33333333333331</v>
      </c>
      <c r="H10" s="625"/>
      <c r="I10" s="186">
        <f t="shared" si="16"/>
        <v>6</v>
      </c>
      <c r="J10" s="186">
        <f t="shared" si="17"/>
        <v>2340.7791755617664</v>
      </c>
      <c r="K10" s="187">
        <f t="shared" si="18"/>
        <v>390.12986259362782</v>
      </c>
      <c r="L10" s="626"/>
      <c r="M10" s="186">
        <f>RANK(K10, K$7:$K$21)</f>
        <v>1</v>
      </c>
      <c r="N10" s="564"/>
      <c r="O10" s="564"/>
      <c r="P10" s="188">
        <v>6</v>
      </c>
      <c r="Q10" s="188">
        <v>2342.0009666505553</v>
      </c>
      <c r="R10" s="185">
        <f t="shared" si="19"/>
        <v>390.33349444175923</v>
      </c>
      <c r="S10" s="182">
        <f t="shared" si="20"/>
        <v>1</v>
      </c>
      <c r="T10" s="625"/>
      <c r="U10" s="188">
        <v>6</v>
      </c>
      <c r="V10" s="188">
        <v>2340.7837445573273</v>
      </c>
      <c r="W10" s="185">
        <f t="shared" si="11"/>
        <v>390.1306240928879</v>
      </c>
      <c r="X10" s="182">
        <f t="shared" si="21"/>
        <v>1</v>
      </c>
      <c r="Y10" s="625"/>
      <c r="Z10" s="188">
        <v>6</v>
      </c>
      <c r="AA10" s="188">
        <v>2340.5438066465285</v>
      </c>
      <c r="AB10" s="185">
        <f t="shared" si="12"/>
        <v>390.09063444108807</v>
      </c>
      <c r="AC10" s="182">
        <f t="shared" si="22"/>
        <v>1</v>
      </c>
      <c r="AD10" s="625"/>
      <c r="AE10" s="188">
        <v>6</v>
      </c>
      <c r="AF10" s="188">
        <v>2340.5438066465285</v>
      </c>
      <c r="AG10" s="185">
        <f t="shared" si="23"/>
        <v>390.09063444108807</v>
      </c>
      <c r="AH10" s="182">
        <f t="shared" si="24"/>
        <v>2</v>
      </c>
      <c r="AI10" s="625"/>
      <c r="AJ10" s="188">
        <v>6</v>
      </c>
      <c r="AK10" s="188">
        <v>2340.2359108781097</v>
      </c>
      <c r="AL10" s="185">
        <f t="shared" si="13"/>
        <v>390.03931847968494</v>
      </c>
      <c r="AM10" s="182">
        <f t="shared" si="25"/>
        <v>2</v>
      </c>
      <c r="AN10" s="625"/>
      <c r="AO10" s="188">
        <v>6</v>
      </c>
      <c r="AP10" s="188">
        <v>2340.562248995986</v>
      </c>
      <c r="AQ10" s="185">
        <f t="shared" si="14"/>
        <v>390.09370816599767</v>
      </c>
      <c r="AR10" s="182">
        <f t="shared" si="26"/>
        <v>2</v>
      </c>
      <c r="AS10" s="625"/>
      <c r="AT10" s="188">
        <v>6</v>
      </c>
      <c r="AU10" s="188">
        <v>2340.7837445573332</v>
      </c>
      <c r="AV10" s="185">
        <f t="shared" si="15"/>
        <v>390.13062409288887</v>
      </c>
      <c r="AW10" s="182">
        <f t="shared" si="27"/>
        <v>1</v>
      </c>
      <c r="AX10" s="625"/>
    </row>
    <row r="11" spans="1:50" ht="14.25" customHeight="1">
      <c r="B11" s="564"/>
      <c r="C11" s="180">
        <v>5</v>
      </c>
      <c r="D11" s="183" t="s">
        <v>477</v>
      </c>
      <c r="E11" s="180">
        <v>6</v>
      </c>
      <c r="F11" s="180">
        <v>2600</v>
      </c>
      <c r="G11" s="185">
        <f t="shared" si="10"/>
        <v>433.33333333333331</v>
      </c>
      <c r="H11" s="625"/>
      <c r="I11" s="186">
        <f t="shared" si="16"/>
        <v>6</v>
      </c>
      <c r="J11" s="186">
        <f t="shared" si="17"/>
        <v>2340.4750418364006</v>
      </c>
      <c r="K11" s="187">
        <f t="shared" si="18"/>
        <v>390.07917363940015</v>
      </c>
      <c r="L11" s="626"/>
      <c r="M11" s="186">
        <f>RANK(K11, K$7:$K$21)</f>
        <v>2</v>
      </c>
      <c r="N11" s="564"/>
      <c r="O11" s="564"/>
      <c r="P11" s="188">
        <v>6</v>
      </c>
      <c r="Q11" s="188">
        <v>2340.3159742539538</v>
      </c>
      <c r="R11" s="185">
        <f t="shared" si="19"/>
        <v>390.05266237565894</v>
      </c>
      <c r="S11" s="182">
        <f t="shared" si="20"/>
        <v>2</v>
      </c>
      <c r="T11" s="625"/>
      <c r="U11" s="188">
        <v>6</v>
      </c>
      <c r="V11" s="188">
        <v>2340.2135231316734</v>
      </c>
      <c r="W11" s="185">
        <f t="shared" si="11"/>
        <v>390.03558718861223</v>
      </c>
      <c r="X11" s="182">
        <f t="shared" si="21"/>
        <v>2</v>
      </c>
      <c r="Y11" s="625"/>
      <c r="Z11" s="188">
        <v>6</v>
      </c>
      <c r="AA11" s="188">
        <v>2340.0000000000055</v>
      </c>
      <c r="AB11" s="185">
        <f t="shared" si="12"/>
        <v>390.00000000000091</v>
      </c>
      <c r="AC11" s="182">
        <f t="shared" si="22"/>
        <v>2</v>
      </c>
      <c r="AD11" s="625"/>
      <c r="AE11" s="188">
        <v>6</v>
      </c>
      <c r="AF11" s="188">
        <v>2341.0557184750724</v>
      </c>
      <c r="AG11" s="185">
        <f t="shared" si="23"/>
        <v>390.17595307917873</v>
      </c>
      <c r="AH11" s="182">
        <f t="shared" si="24"/>
        <v>1</v>
      </c>
      <c r="AI11" s="625"/>
      <c r="AJ11" s="188">
        <v>6</v>
      </c>
      <c r="AK11" s="188">
        <v>2340.8723747980612</v>
      </c>
      <c r="AL11" s="185">
        <f t="shared" si="13"/>
        <v>390.14539579967686</v>
      </c>
      <c r="AM11" s="182">
        <f t="shared" si="25"/>
        <v>1</v>
      </c>
      <c r="AN11" s="625"/>
      <c r="AO11" s="188">
        <v>6</v>
      </c>
      <c r="AP11" s="188">
        <v>2340.8677021960357</v>
      </c>
      <c r="AQ11" s="185">
        <f t="shared" si="14"/>
        <v>390.14461703267261</v>
      </c>
      <c r="AR11" s="182">
        <f t="shared" si="26"/>
        <v>1</v>
      </c>
      <c r="AS11" s="625"/>
      <c r="AT11" s="188">
        <v>6</v>
      </c>
      <c r="AU11" s="188">
        <v>2340.0000000000018</v>
      </c>
      <c r="AV11" s="185">
        <f t="shared" si="15"/>
        <v>390.00000000000028</v>
      </c>
      <c r="AW11" s="182">
        <f t="shared" si="27"/>
        <v>2</v>
      </c>
      <c r="AX11" s="625"/>
    </row>
    <row r="12" spans="1:50" ht="14.25" customHeight="1">
      <c r="B12" s="564"/>
      <c r="C12" s="180">
        <v>6</v>
      </c>
      <c r="D12" s="183" t="s">
        <v>354</v>
      </c>
      <c r="E12" s="180">
        <v>12</v>
      </c>
      <c r="F12" s="180">
        <v>3600</v>
      </c>
      <c r="G12" s="185">
        <f t="shared" si="10"/>
        <v>300</v>
      </c>
      <c r="H12" s="625"/>
      <c r="I12" s="186">
        <f t="shared" si="16"/>
        <v>12</v>
      </c>
      <c r="J12" s="186">
        <f t="shared" si="17"/>
        <v>3140.4784835398241</v>
      </c>
      <c r="K12" s="187">
        <f t="shared" si="18"/>
        <v>261.70654029498536</v>
      </c>
      <c r="L12" s="626"/>
      <c r="M12" s="186">
        <f>RANK(K12, K$7:$K$21)</f>
        <v>5</v>
      </c>
      <c r="N12" s="564"/>
      <c r="O12" s="564"/>
      <c r="P12" s="188">
        <v>12</v>
      </c>
      <c r="Q12" s="188">
        <v>3140.904079382587</v>
      </c>
      <c r="R12" s="185">
        <f t="shared" si="19"/>
        <v>261.74200661521559</v>
      </c>
      <c r="S12" s="182">
        <f t="shared" si="20"/>
        <v>6</v>
      </c>
      <c r="T12" s="625"/>
      <c r="U12" s="188">
        <v>12</v>
      </c>
      <c r="V12" s="188">
        <v>3140.094339622648</v>
      </c>
      <c r="W12" s="185">
        <f t="shared" si="11"/>
        <v>261.67452830188734</v>
      </c>
      <c r="X12" s="182">
        <f t="shared" si="21"/>
        <v>6</v>
      </c>
      <c r="Y12" s="625"/>
      <c r="Z12" s="188">
        <v>12</v>
      </c>
      <c r="AA12" s="188">
        <v>3140.6725011515327</v>
      </c>
      <c r="AB12" s="185">
        <f t="shared" si="12"/>
        <v>261.72270842929441</v>
      </c>
      <c r="AC12" s="182">
        <f t="shared" si="22"/>
        <v>5</v>
      </c>
      <c r="AD12" s="625"/>
      <c r="AE12" s="188">
        <v>12</v>
      </c>
      <c r="AF12" s="188">
        <v>3140.7548972766299</v>
      </c>
      <c r="AG12" s="185">
        <f t="shared" si="23"/>
        <v>261.72957477305249</v>
      </c>
      <c r="AH12" s="182">
        <f t="shared" si="24"/>
        <v>5</v>
      </c>
      <c r="AI12" s="625"/>
      <c r="AJ12" s="188">
        <v>12</v>
      </c>
      <c r="AK12" s="188">
        <v>3140.5353728489517</v>
      </c>
      <c r="AL12" s="185">
        <f t="shared" si="13"/>
        <v>261.711281070746</v>
      </c>
      <c r="AM12" s="182">
        <f t="shared" si="25"/>
        <v>7</v>
      </c>
      <c r="AN12" s="625"/>
      <c r="AO12" s="188">
        <v>12</v>
      </c>
      <c r="AP12" s="188">
        <v>3140.6032482598594</v>
      </c>
      <c r="AQ12" s="185">
        <f t="shared" si="14"/>
        <v>261.71693735498826</v>
      </c>
      <c r="AR12" s="182">
        <f t="shared" si="26"/>
        <v>6</v>
      </c>
      <c r="AS12" s="625"/>
      <c r="AT12" s="188">
        <v>12</v>
      </c>
      <c r="AU12" s="188">
        <v>3139.7849462365602</v>
      </c>
      <c r="AV12" s="185">
        <f t="shared" si="15"/>
        <v>261.64874551971337</v>
      </c>
      <c r="AW12" s="182">
        <f t="shared" si="27"/>
        <v>7</v>
      </c>
      <c r="AX12" s="625"/>
    </row>
    <row r="13" spans="1:50" ht="14.25" customHeight="1">
      <c r="B13" s="564"/>
      <c r="C13" s="180">
        <v>7</v>
      </c>
      <c r="D13" s="183" t="s">
        <v>355</v>
      </c>
      <c r="E13" s="180">
        <v>12</v>
      </c>
      <c r="F13" s="180">
        <v>3600</v>
      </c>
      <c r="G13" s="185">
        <f t="shared" si="10"/>
        <v>300</v>
      </c>
      <c r="H13" s="625"/>
      <c r="I13" s="186">
        <f t="shared" si="16"/>
        <v>12</v>
      </c>
      <c r="J13" s="186">
        <f t="shared" si="17"/>
        <v>3140.1752295223955</v>
      </c>
      <c r="K13" s="187">
        <f t="shared" si="18"/>
        <v>261.68126912686631</v>
      </c>
      <c r="L13" s="626"/>
      <c r="M13" s="186">
        <f>RANK(K13, K$7:$K$21)</f>
        <v>8</v>
      </c>
      <c r="N13" s="564"/>
      <c r="O13" s="564"/>
      <c r="P13" s="188">
        <v>12</v>
      </c>
      <c r="Q13" s="188">
        <v>3139.6195872116605</v>
      </c>
      <c r="R13" s="185">
        <f t="shared" si="19"/>
        <v>261.63496560097173</v>
      </c>
      <c r="S13" s="182">
        <f t="shared" si="20"/>
        <v>8</v>
      </c>
      <c r="T13" s="625"/>
      <c r="U13" s="188">
        <v>12</v>
      </c>
      <c r="V13" s="188">
        <v>3139.5171537484184</v>
      </c>
      <c r="W13" s="185">
        <f t="shared" si="11"/>
        <v>261.62642947903487</v>
      </c>
      <c r="X13" s="182">
        <f t="shared" si="21"/>
        <v>8</v>
      </c>
      <c r="Y13" s="625"/>
      <c r="Z13" s="188">
        <v>12</v>
      </c>
      <c r="AA13" s="188">
        <v>3139.8901647528714</v>
      </c>
      <c r="AB13" s="185">
        <f t="shared" si="12"/>
        <v>261.65751372940593</v>
      </c>
      <c r="AC13" s="182">
        <f t="shared" si="22"/>
        <v>7</v>
      </c>
      <c r="AD13" s="625"/>
      <c r="AE13" s="188">
        <v>12</v>
      </c>
      <c r="AF13" s="188">
        <v>3140.7485503426528</v>
      </c>
      <c r="AG13" s="185">
        <f t="shared" si="23"/>
        <v>261.72904586188776</v>
      </c>
      <c r="AH13" s="182">
        <f t="shared" si="24"/>
        <v>6</v>
      </c>
      <c r="AI13" s="625"/>
      <c r="AJ13" s="188">
        <v>12</v>
      </c>
      <c r="AK13" s="188">
        <v>3142.0968600319275</v>
      </c>
      <c r="AL13" s="185">
        <f t="shared" si="13"/>
        <v>261.84140500266062</v>
      </c>
      <c r="AM13" s="182">
        <f t="shared" si="25"/>
        <v>5</v>
      </c>
      <c r="AN13" s="625"/>
      <c r="AO13" s="188">
        <v>12</v>
      </c>
      <c r="AP13" s="188">
        <v>3139.6771452846124</v>
      </c>
      <c r="AQ13" s="185">
        <f t="shared" si="14"/>
        <v>261.63976210705101</v>
      </c>
      <c r="AR13" s="182">
        <f t="shared" si="26"/>
        <v>8</v>
      </c>
      <c r="AS13" s="625"/>
      <c r="AT13" s="188">
        <v>12</v>
      </c>
      <c r="AU13" s="188">
        <v>3139.677145284626</v>
      </c>
      <c r="AV13" s="185">
        <f t="shared" si="15"/>
        <v>261.63976210705215</v>
      </c>
      <c r="AW13" s="182">
        <f t="shared" si="27"/>
        <v>8</v>
      </c>
      <c r="AX13" s="625"/>
    </row>
    <row r="14" spans="1:50" ht="14.25" customHeight="1">
      <c r="B14" s="564"/>
      <c r="C14" s="180">
        <v>8</v>
      </c>
      <c r="D14" s="183" t="s">
        <v>353</v>
      </c>
      <c r="E14" s="180">
        <v>11</v>
      </c>
      <c r="F14" s="180">
        <v>3600</v>
      </c>
      <c r="G14" s="185">
        <f t="shared" si="10"/>
        <v>327.27272727272725</v>
      </c>
      <c r="H14" s="625"/>
      <c r="I14" s="186">
        <f t="shared" si="16"/>
        <v>11</v>
      </c>
      <c r="J14" s="186">
        <f t="shared" si="17"/>
        <v>3175.7552502853882</v>
      </c>
      <c r="K14" s="187">
        <f t="shared" si="18"/>
        <v>288.70502275321712</v>
      </c>
      <c r="L14" s="626"/>
      <c r="M14" s="186">
        <f>RANK(K14, K$7:$K$21)</f>
        <v>4</v>
      </c>
      <c r="N14" s="564"/>
      <c r="O14" s="564"/>
      <c r="P14" s="188">
        <v>11</v>
      </c>
      <c r="Q14" s="188">
        <v>3175.0515463917532</v>
      </c>
      <c r="R14" s="185">
        <f t="shared" si="19"/>
        <v>288.64104967197756</v>
      </c>
      <c r="S14" s="182">
        <f t="shared" si="20"/>
        <v>4</v>
      </c>
      <c r="T14" s="625"/>
      <c r="U14" s="188">
        <v>11</v>
      </c>
      <c r="V14" s="188">
        <v>3174.6673762639816</v>
      </c>
      <c r="W14" s="185">
        <f t="shared" si="11"/>
        <v>288.6061251149074</v>
      </c>
      <c r="X14" s="182">
        <f t="shared" si="21"/>
        <v>4</v>
      </c>
      <c r="Y14" s="625"/>
      <c r="Z14" s="188">
        <v>11</v>
      </c>
      <c r="AA14" s="188">
        <v>3175.0309023485779</v>
      </c>
      <c r="AB14" s="185">
        <f t="shared" si="12"/>
        <v>288.63917294077982</v>
      </c>
      <c r="AC14" s="182">
        <f t="shared" si="22"/>
        <v>4</v>
      </c>
      <c r="AD14" s="625"/>
      <c r="AE14" s="188">
        <v>11</v>
      </c>
      <c r="AF14" s="188">
        <v>3176.1966364812447</v>
      </c>
      <c r="AG14" s="185">
        <f t="shared" si="23"/>
        <v>288.74514877102223</v>
      </c>
      <c r="AH14" s="182">
        <f t="shared" si="24"/>
        <v>4</v>
      </c>
      <c r="AI14" s="625"/>
      <c r="AJ14" s="188">
        <v>11</v>
      </c>
      <c r="AK14" s="188">
        <v>3175.0503018108793</v>
      </c>
      <c r="AL14" s="185">
        <f t="shared" si="13"/>
        <v>288.64093652826176</v>
      </c>
      <c r="AM14" s="182">
        <f t="shared" si="25"/>
        <v>4</v>
      </c>
      <c r="AN14" s="625"/>
      <c r="AO14" s="188">
        <v>11</v>
      </c>
      <c r="AP14" s="188">
        <v>3176.13516367477</v>
      </c>
      <c r="AQ14" s="185">
        <f t="shared" si="14"/>
        <v>288.73956033407001</v>
      </c>
      <c r="AR14" s="182">
        <f t="shared" si="26"/>
        <v>4</v>
      </c>
      <c r="AS14" s="625"/>
      <c r="AT14" s="188">
        <v>11</v>
      </c>
      <c r="AU14" s="188">
        <v>3178.15482502651</v>
      </c>
      <c r="AV14" s="185">
        <f t="shared" si="15"/>
        <v>288.92316591150092</v>
      </c>
      <c r="AW14" s="182">
        <f t="shared" si="27"/>
        <v>4</v>
      </c>
      <c r="AX14" s="625"/>
    </row>
    <row r="15" spans="1:50" ht="14.25" customHeight="1">
      <c r="B15" s="564"/>
      <c r="C15" s="180">
        <v>9</v>
      </c>
      <c r="D15" s="183"/>
      <c r="E15" s="180"/>
      <c r="F15" s="180"/>
      <c r="G15" s="185"/>
      <c r="H15" s="625"/>
      <c r="I15" s="186"/>
      <c r="J15" s="186"/>
      <c r="K15" s="187"/>
      <c r="L15" s="626"/>
      <c r="M15" s="186"/>
      <c r="N15" s="564"/>
      <c r="O15" s="564"/>
      <c r="P15" s="188"/>
      <c r="Q15" s="188"/>
      <c r="R15" s="185"/>
      <c r="S15" s="182"/>
      <c r="T15" s="625"/>
      <c r="U15" s="188"/>
      <c r="V15" s="188"/>
      <c r="W15" s="185"/>
      <c r="X15" s="182"/>
      <c r="Y15" s="625"/>
      <c r="Z15" s="188"/>
      <c r="AA15" s="188"/>
      <c r="AB15" s="185"/>
      <c r="AC15" s="182"/>
      <c r="AD15" s="625"/>
      <c r="AE15" s="188"/>
      <c r="AF15" s="188"/>
      <c r="AG15" s="185"/>
      <c r="AH15" s="182"/>
      <c r="AI15" s="625"/>
      <c r="AJ15" s="188"/>
      <c r="AK15" s="188"/>
      <c r="AL15" s="185"/>
      <c r="AM15" s="182"/>
      <c r="AN15" s="625"/>
      <c r="AO15" s="188"/>
      <c r="AP15" s="188"/>
      <c r="AQ15" s="185"/>
      <c r="AR15" s="182"/>
      <c r="AS15" s="625"/>
      <c r="AT15" s="188"/>
      <c r="AU15" s="188"/>
      <c r="AV15" s="185"/>
      <c r="AW15" s="182"/>
      <c r="AX15" s="625"/>
    </row>
    <row r="16" spans="1:50" ht="14.25" customHeight="1">
      <c r="B16" s="564"/>
      <c r="C16" s="180">
        <v>10</v>
      </c>
      <c r="D16" s="183"/>
      <c r="E16" s="180"/>
      <c r="F16" s="180"/>
      <c r="G16" s="185"/>
      <c r="H16" s="625"/>
      <c r="I16" s="186"/>
      <c r="J16" s="186"/>
      <c r="K16" s="187"/>
      <c r="L16" s="626"/>
      <c r="M16" s="186"/>
      <c r="N16" s="564"/>
      <c r="O16" s="564"/>
      <c r="P16" s="188"/>
      <c r="Q16" s="188"/>
      <c r="R16" s="185"/>
      <c r="S16" s="182"/>
      <c r="T16" s="625"/>
      <c r="U16" s="188"/>
      <c r="V16" s="188"/>
      <c r="W16" s="185"/>
      <c r="X16" s="182"/>
      <c r="Y16" s="625"/>
      <c r="Z16" s="188"/>
      <c r="AA16" s="188"/>
      <c r="AB16" s="185"/>
      <c r="AC16" s="182"/>
      <c r="AD16" s="625"/>
      <c r="AE16" s="188"/>
      <c r="AF16" s="188"/>
      <c r="AG16" s="185"/>
      <c r="AH16" s="182"/>
      <c r="AI16" s="625"/>
      <c r="AJ16" s="188"/>
      <c r="AK16" s="188"/>
      <c r="AL16" s="185"/>
      <c r="AM16" s="182"/>
      <c r="AN16" s="625"/>
      <c r="AO16" s="188"/>
      <c r="AP16" s="188"/>
      <c r="AQ16" s="185"/>
      <c r="AR16" s="182"/>
      <c r="AS16" s="625"/>
      <c r="AT16" s="188"/>
      <c r="AU16" s="188"/>
      <c r="AV16" s="185"/>
      <c r="AW16" s="182"/>
      <c r="AX16" s="625"/>
    </row>
    <row r="17" spans="2:50" ht="14.25" customHeight="1">
      <c r="B17" s="564"/>
      <c r="C17" s="180">
        <v>11</v>
      </c>
      <c r="D17" s="183"/>
      <c r="E17" s="180"/>
      <c r="F17" s="180"/>
      <c r="G17" s="185"/>
      <c r="H17" s="625"/>
      <c r="I17" s="186"/>
      <c r="J17" s="186"/>
      <c r="K17" s="187"/>
      <c r="L17" s="626"/>
      <c r="M17" s="186"/>
      <c r="N17" s="564"/>
      <c r="O17" s="564"/>
      <c r="P17" s="188"/>
      <c r="Q17" s="188"/>
      <c r="R17" s="185"/>
      <c r="S17" s="182"/>
      <c r="T17" s="625"/>
      <c r="U17" s="188"/>
      <c r="V17" s="188"/>
      <c r="W17" s="185"/>
      <c r="X17" s="182"/>
      <c r="Y17" s="625"/>
      <c r="Z17" s="188"/>
      <c r="AA17" s="188"/>
      <c r="AB17" s="185"/>
      <c r="AC17" s="182"/>
      <c r="AD17" s="625"/>
      <c r="AE17" s="188"/>
      <c r="AF17" s="188"/>
      <c r="AG17" s="185"/>
      <c r="AH17" s="182"/>
      <c r="AI17" s="625"/>
      <c r="AJ17" s="188"/>
      <c r="AK17" s="188"/>
      <c r="AL17" s="185"/>
      <c r="AM17" s="182"/>
      <c r="AN17" s="625"/>
      <c r="AO17" s="188"/>
      <c r="AP17" s="188"/>
      <c r="AQ17" s="185"/>
      <c r="AR17" s="182"/>
      <c r="AS17" s="625"/>
      <c r="AT17" s="188"/>
      <c r="AU17" s="188"/>
      <c r="AV17" s="185"/>
      <c r="AW17" s="182"/>
      <c r="AX17" s="625"/>
    </row>
    <row r="18" spans="2:50" ht="14.25" customHeight="1">
      <c r="B18" s="564"/>
      <c r="C18" s="180">
        <v>12</v>
      </c>
      <c r="D18" s="183"/>
      <c r="E18" s="180"/>
      <c r="F18" s="180"/>
      <c r="G18" s="185"/>
      <c r="H18" s="625"/>
      <c r="I18" s="186"/>
      <c r="J18" s="186"/>
      <c r="K18" s="187"/>
      <c r="L18" s="626"/>
      <c r="M18" s="186"/>
      <c r="N18" s="564"/>
      <c r="O18" s="564"/>
      <c r="P18" s="188"/>
      <c r="Q18" s="188"/>
      <c r="R18" s="185"/>
      <c r="S18" s="182"/>
      <c r="T18" s="625"/>
      <c r="U18" s="188"/>
      <c r="V18" s="188"/>
      <c r="W18" s="185"/>
      <c r="X18" s="182"/>
      <c r="Y18" s="625"/>
      <c r="Z18" s="188"/>
      <c r="AA18" s="188"/>
      <c r="AB18" s="185"/>
      <c r="AC18" s="182"/>
      <c r="AD18" s="625"/>
      <c r="AE18" s="188"/>
      <c r="AF18" s="188"/>
      <c r="AG18" s="185"/>
      <c r="AH18" s="182"/>
      <c r="AI18" s="625"/>
      <c r="AJ18" s="188"/>
      <c r="AK18" s="188"/>
      <c r="AL18" s="185"/>
      <c r="AM18" s="182"/>
      <c r="AN18" s="625"/>
      <c r="AO18" s="188"/>
      <c r="AP18" s="188"/>
      <c r="AQ18" s="185"/>
      <c r="AR18" s="182"/>
      <c r="AS18" s="625"/>
      <c r="AT18" s="188"/>
      <c r="AU18" s="188"/>
      <c r="AV18" s="185"/>
      <c r="AW18" s="182"/>
      <c r="AX18" s="625"/>
    </row>
    <row r="19" spans="2:50" ht="14.25" customHeight="1">
      <c r="B19" s="564"/>
      <c r="C19" s="180">
        <v>13</v>
      </c>
      <c r="D19" s="183"/>
      <c r="E19" s="180"/>
      <c r="F19" s="180"/>
      <c r="G19" s="185"/>
      <c r="H19" s="625"/>
      <c r="I19" s="186"/>
      <c r="J19" s="186"/>
      <c r="K19" s="187"/>
      <c r="L19" s="626"/>
      <c r="M19" s="186"/>
      <c r="N19" s="564"/>
      <c r="O19" s="564"/>
      <c r="P19" s="188"/>
      <c r="Q19" s="188"/>
      <c r="R19" s="185"/>
      <c r="S19" s="182"/>
      <c r="T19" s="625"/>
      <c r="U19" s="188"/>
      <c r="V19" s="188"/>
      <c r="W19" s="185"/>
      <c r="X19" s="182"/>
      <c r="Y19" s="625"/>
      <c r="Z19" s="188"/>
      <c r="AA19" s="188"/>
      <c r="AB19" s="185"/>
      <c r="AC19" s="182"/>
      <c r="AD19" s="625"/>
      <c r="AE19" s="188"/>
      <c r="AF19" s="188"/>
      <c r="AG19" s="185"/>
      <c r="AH19" s="182"/>
      <c r="AI19" s="625"/>
      <c r="AJ19" s="188"/>
      <c r="AK19" s="188"/>
      <c r="AL19" s="185"/>
      <c r="AM19" s="182"/>
      <c r="AN19" s="625"/>
      <c r="AO19" s="188"/>
      <c r="AP19" s="188"/>
      <c r="AQ19" s="185"/>
      <c r="AR19" s="182"/>
      <c r="AS19" s="625"/>
      <c r="AT19" s="188"/>
      <c r="AU19" s="188"/>
      <c r="AV19" s="185"/>
      <c r="AW19" s="182"/>
      <c r="AX19" s="625"/>
    </row>
    <row r="20" spans="2:50" ht="14.25" customHeight="1">
      <c r="B20" s="564"/>
      <c r="C20" s="180">
        <v>14</v>
      </c>
      <c r="D20" s="183"/>
      <c r="E20" s="180"/>
      <c r="F20" s="180"/>
      <c r="G20" s="185"/>
      <c r="H20" s="625"/>
      <c r="I20" s="186"/>
      <c r="J20" s="186"/>
      <c r="K20" s="187"/>
      <c r="L20" s="626"/>
      <c r="M20" s="186"/>
      <c r="N20" s="564"/>
      <c r="O20" s="564"/>
      <c r="P20" s="188"/>
      <c r="Q20" s="188"/>
      <c r="R20" s="185"/>
      <c r="S20" s="182"/>
      <c r="T20" s="625"/>
      <c r="U20" s="188"/>
      <c r="V20" s="188"/>
      <c r="W20" s="185"/>
      <c r="X20" s="182"/>
      <c r="Y20" s="625"/>
      <c r="Z20" s="188"/>
      <c r="AA20" s="188"/>
      <c r="AB20" s="185"/>
      <c r="AC20" s="182"/>
      <c r="AD20" s="625"/>
      <c r="AE20" s="188"/>
      <c r="AF20" s="188"/>
      <c r="AG20" s="185"/>
      <c r="AH20" s="182"/>
      <c r="AI20" s="625"/>
      <c r="AJ20" s="188"/>
      <c r="AK20" s="188"/>
      <c r="AL20" s="185"/>
      <c r="AM20" s="182"/>
      <c r="AN20" s="625"/>
      <c r="AO20" s="188"/>
      <c r="AP20" s="188"/>
      <c r="AQ20" s="185"/>
      <c r="AR20" s="182"/>
      <c r="AS20" s="625"/>
      <c r="AT20" s="188"/>
      <c r="AU20" s="188"/>
      <c r="AV20" s="185"/>
      <c r="AW20" s="182"/>
      <c r="AX20" s="625"/>
    </row>
    <row r="21" spans="2:50" ht="14.25" customHeight="1">
      <c r="B21" s="564"/>
      <c r="C21" s="180">
        <v>15</v>
      </c>
      <c r="D21" s="183"/>
      <c r="E21" s="180"/>
      <c r="F21" s="180"/>
      <c r="G21" s="185"/>
      <c r="H21" s="625"/>
      <c r="I21" s="186"/>
      <c r="J21" s="186"/>
      <c r="K21" s="187"/>
      <c r="L21" s="626"/>
      <c r="M21" s="186"/>
      <c r="N21" s="564"/>
      <c r="O21" s="564"/>
      <c r="P21" s="188"/>
      <c r="Q21" s="188"/>
      <c r="R21" s="185"/>
      <c r="S21" s="182"/>
      <c r="T21" s="625"/>
      <c r="U21" s="188"/>
      <c r="V21" s="188"/>
      <c r="W21" s="185"/>
      <c r="X21" s="182"/>
      <c r="Y21" s="625"/>
      <c r="Z21" s="188"/>
      <c r="AA21" s="188"/>
      <c r="AB21" s="185"/>
      <c r="AC21" s="182"/>
      <c r="AD21" s="625"/>
      <c r="AE21" s="188"/>
      <c r="AF21" s="188"/>
      <c r="AG21" s="185"/>
      <c r="AH21" s="182"/>
      <c r="AI21" s="625"/>
      <c r="AJ21" s="188"/>
      <c r="AK21" s="188"/>
      <c r="AL21" s="185"/>
      <c r="AM21" s="182"/>
      <c r="AN21" s="625"/>
      <c r="AO21" s="188"/>
      <c r="AP21" s="188"/>
      <c r="AQ21" s="185"/>
      <c r="AR21" s="182"/>
      <c r="AS21" s="625"/>
      <c r="AT21" s="188"/>
      <c r="AU21" s="188"/>
      <c r="AV21" s="185"/>
      <c r="AW21" s="182"/>
      <c r="AX21" s="625"/>
    </row>
    <row r="22" spans="2:50" ht="14.25" customHeight="1">
      <c r="B22" s="646" t="s">
        <v>641</v>
      </c>
      <c r="C22" s="642"/>
      <c r="D22" s="642"/>
      <c r="E22" s="642"/>
      <c r="F22" s="642"/>
      <c r="G22" s="642"/>
      <c r="H22" s="642"/>
      <c r="I22" s="642"/>
      <c r="J22" s="642"/>
      <c r="K22" s="642"/>
      <c r="L22" s="642"/>
      <c r="M22" s="643"/>
      <c r="N22" s="575" t="s">
        <v>377</v>
      </c>
      <c r="O22" s="575" t="s">
        <v>105</v>
      </c>
      <c r="P22" s="655">
        <v>46084</v>
      </c>
      <c r="Q22" s="656"/>
      <c r="R22" s="656"/>
      <c r="S22" s="656"/>
      <c r="T22" s="656"/>
      <c r="U22" s="657">
        <v>46085</v>
      </c>
      <c r="V22" s="658"/>
      <c r="W22" s="658"/>
      <c r="X22" s="658"/>
      <c r="Y22" s="658"/>
      <c r="Z22" s="655">
        <v>46086</v>
      </c>
      <c r="AA22" s="656"/>
      <c r="AB22" s="656"/>
      <c r="AC22" s="656"/>
      <c r="AD22" s="656"/>
      <c r="AE22" s="657">
        <v>46087</v>
      </c>
      <c r="AF22" s="658"/>
      <c r="AG22" s="658"/>
      <c r="AH22" s="658"/>
      <c r="AI22" s="658"/>
      <c r="AJ22" s="647">
        <v>46088</v>
      </c>
      <c r="AK22" s="648"/>
      <c r="AL22" s="648"/>
      <c r="AM22" s="648"/>
      <c r="AN22" s="649"/>
      <c r="AO22" s="657">
        <v>46089</v>
      </c>
      <c r="AP22" s="658"/>
      <c r="AQ22" s="658"/>
      <c r="AR22" s="658"/>
      <c r="AS22" s="658"/>
      <c r="AT22" s="647">
        <v>46090</v>
      </c>
      <c r="AU22" s="648"/>
      <c r="AV22" s="648"/>
      <c r="AW22" s="648"/>
      <c r="AX22" s="649"/>
    </row>
    <row r="23" spans="2:50" ht="14.25" customHeight="1">
      <c r="B23" s="644"/>
      <c r="C23" s="644"/>
      <c r="D23" s="644"/>
      <c r="E23" s="644"/>
      <c r="F23" s="644"/>
      <c r="G23" s="644"/>
      <c r="H23" s="644"/>
      <c r="I23" s="644"/>
      <c r="J23" s="644"/>
      <c r="K23" s="644"/>
      <c r="L23" s="644"/>
      <c r="M23" s="645"/>
      <c r="N23" s="577"/>
      <c r="O23" s="577"/>
      <c r="P23" s="650">
        <v>46084</v>
      </c>
      <c r="Q23" s="650"/>
      <c r="R23" s="650"/>
      <c r="S23" s="650"/>
      <c r="T23" s="650"/>
      <c r="U23" s="651">
        <v>46085</v>
      </c>
      <c r="V23" s="651"/>
      <c r="W23" s="651"/>
      <c r="X23" s="651"/>
      <c r="Y23" s="651"/>
      <c r="Z23" s="650">
        <v>46086</v>
      </c>
      <c r="AA23" s="650"/>
      <c r="AB23" s="650"/>
      <c r="AC23" s="650"/>
      <c r="AD23" s="650"/>
      <c r="AE23" s="651">
        <v>46087</v>
      </c>
      <c r="AF23" s="651"/>
      <c r="AG23" s="651"/>
      <c r="AH23" s="651"/>
      <c r="AI23" s="651"/>
      <c r="AJ23" s="652">
        <v>46088</v>
      </c>
      <c r="AK23" s="653"/>
      <c r="AL23" s="653"/>
      <c r="AM23" s="653"/>
      <c r="AN23" s="654"/>
      <c r="AO23" s="651">
        <v>46089</v>
      </c>
      <c r="AP23" s="651"/>
      <c r="AQ23" s="651"/>
      <c r="AR23" s="651"/>
      <c r="AS23" s="651"/>
      <c r="AT23" s="652">
        <v>46090</v>
      </c>
      <c r="AU23" s="653"/>
      <c r="AV23" s="653"/>
      <c r="AW23" s="653"/>
      <c r="AX23" s="654"/>
    </row>
    <row r="24" spans="2:50" ht="14.25" customHeight="1">
      <c r="B24" s="564" t="s">
        <v>164</v>
      </c>
      <c r="C24" s="564" t="s">
        <v>159</v>
      </c>
      <c r="D24" s="564"/>
      <c r="E24" s="564" t="s">
        <v>160</v>
      </c>
      <c r="F24" s="564"/>
      <c r="G24" s="564"/>
      <c r="H24" s="564" t="s">
        <v>165</v>
      </c>
      <c r="I24" s="628" t="s">
        <v>378</v>
      </c>
      <c r="J24" s="628"/>
      <c r="K24" s="628"/>
      <c r="L24" s="628" t="s">
        <v>165</v>
      </c>
      <c r="M24" s="628" t="s">
        <v>167</v>
      </c>
      <c r="N24" s="564"/>
      <c r="O24" s="564" t="s">
        <v>166</v>
      </c>
      <c r="P24" s="564" t="s">
        <v>162</v>
      </c>
      <c r="Q24" s="564"/>
      <c r="R24" s="564"/>
      <c r="S24" s="564"/>
      <c r="T24" s="564" t="s">
        <v>165</v>
      </c>
      <c r="U24" s="564" t="s">
        <v>162</v>
      </c>
      <c r="V24" s="564"/>
      <c r="W24" s="564"/>
      <c r="X24" s="564"/>
      <c r="Y24" s="564" t="s">
        <v>165</v>
      </c>
      <c r="Z24" s="564" t="s">
        <v>162</v>
      </c>
      <c r="AA24" s="564"/>
      <c r="AB24" s="564"/>
      <c r="AC24" s="564"/>
      <c r="AD24" s="564" t="s">
        <v>165</v>
      </c>
      <c r="AE24" s="564" t="s">
        <v>162</v>
      </c>
      <c r="AF24" s="564"/>
      <c r="AG24" s="564"/>
      <c r="AH24" s="564"/>
      <c r="AI24" s="564" t="s">
        <v>165</v>
      </c>
      <c r="AJ24" s="564" t="s">
        <v>162</v>
      </c>
      <c r="AK24" s="564"/>
      <c r="AL24" s="564"/>
      <c r="AM24" s="564"/>
      <c r="AN24" s="564" t="s">
        <v>165</v>
      </c>
      <c r="AO24" s="564" t="s">
        <v>162</v>
      </c>
      <c r="AP24" s="564"/>
      <c r="AQ24" s="564"/>
      <c r="AR24" s="564"/>
      <c r="AS24" s="564" t="s">
        <v>165</v>
      </c>
      <c r="AT24" s="564" t="s">
        <v>162</v>
      </c>
      <c r="AU24" s="564"/>
      <c r="AV24" s="564"/>
      <c r="AW24" s="564"/>
      <c r="AX24" s="564" t="s">
        <v>165</v>
      </c>
    </row>
    <row r="25" spans="2:50" ht="14.25" customHeight="1">
      <c r="B25" s="564"/>
      <c r="C25" s="564"/>
      <c r="D25" s="564"/>
      <c r="E25" s="564" t="s">
        <v>379</v>
      </c>
      <c r="F25" s="564"/>
      <c r="G25" s="564"/>
      <c r="H25" s="564"/>
      <c r="I25" s="628" t="s">
        <v>379</v>
      </c>
      <c r="J25" s="628"/>
      <c r="K25" s="628"/>
      <c r="L25" s="628"/>
      <c r="M25" s="628"/>
      <c r="N25" s="564"/>
      <c r="O25" s="564"/>
      <c r="P25" s="564" t="s">
        <v>380</v>
      </c>
      <c r="Q25" s="564"/>
      <c r="R25" s="564"/>
      <c r="S25" s="564"/>
      <c r="T25" s="564"/>
      <c r="U25" s="564" t="s">
        <v>380</v>
      </c>
      <c r="V25" s="564"/>
      <c r="W25" s="564"/>
      <c r="X25" s="564"/>
      <c r="Y25" s="564"/>
      <c r="Z25" s="564" t="s">
        <v>380</v>
      </c>
      <c r="AA25" s="564"/>
      <c r="AB25" s="564"/>
      <c r="AC25" s="564"/>
      <c r="AD25" s="564"/>
      <c r="AE25" s="564" t="s">
        <v>380</v>
      </c>
      <c r="AF25" s="564"/>
      <c r="AG25" s="564"/>
      <c r="AH25" s="564"/>
      <c r="AI25" s="564"/>
      <c r="AJ25" s="564" t="s">
        <v>380</v>
      </c>
      <c r="AK25" s="564"/>
      <c r="AL25" s="564"/>
      <c r="AM25" s="564"/>
      <c r="AN25" s="564"/>
      <c r="AO25" s="564" t="s">
        <v>380</v>
      </c>
      <c r="AP25" s="564"/>
      <c r="AQ25" s="564"/>
      <c r="AR25" s="564"/>
      <c r="AS25" s="564"/>
      <c r="AT25" s="564" t="s">
        <v>380</v>
      </c>
      <c r="AU25" s="564"/>
      <c r="AV25" s="564"/>
      <c r="AW25" s="564"/>
      <c r="AX25" s="564"/>
    </row>
    <row r="26" spans="2:50" ht="14.25" customHeight="1">
      <c r="B26" s="564"/>
      <c r="C26" s="564"/>
      <c r="D26" s="564"/>
      <c r="E26" s="180" t="s">
        <v>161</v>
      </c>
      <c r="F26" s="180" t="s">
        <v>381</v>
      </c>
      <c r="G26" s="180" t="s">
        <v>163</v>
      </c>
      <c r="H26" s="564"/>
      <c r="I26" s="181" t="s">
        <v>161</v>
      </c>
      <c r="J26" s="181" t="s">
        <v>381</v>
      </c>
      <c r="K26" s="181" t="s">
        <v>163</v>
      </c>
      <c r="L26" s="628"/>
      <c r="M26" s="628"/>
      <c r="N26" s="564"/>
      <c r="O26" s="564"/>
      <c r="P26" s="180" t="s">
        <v>161</v>
      </c>
      <c r="Q26" s="180" t="s">
        <v>381</v>
      </c>
      <c r="R26" s="180" t="s">
        <v>163</v>
      </c>
      <c r="S26" s="182" t="s">
        <v>167</v>
      </c>
      <c r="T26" s="564"/>
      <c r="U26" s="180" t="s">
        <v>161</v>
      </c>
      <c r="V26" s="180" t="s">
        <v>381</v>
      </c>
      <c r="W26" s="180" t="s">
        <v>163</v>
      </c>
      <c r="X26" s="182" t="s">
        <v>167</v>
      </c>
      <c r="Y26" s="564"/>
      <c r="Z26" s="180" t="s">
        <v>161</v>
      </c>
      <c r="AA26" s="180" t="s">
        <v>381</v>
      </c>
      <c r="AB26" s="180" t="s">
        <v>163</v>
      </c>
      <c r="AC26" s="182" t="s">
        <v>167</v>
      </c>
      <c r="AD26" s="564"/>
      <c r="AE26" s="180" t="s">
        <v>161</v>
      </c>
      <c r="AF26" s="180" t="s">
        <v>381</v>
      </c>
      <c r="AG26" s="180" t="s">
        <v>163</v>
      </c>
      <c r="AH26" s="182" t="s">
        <v>167</v>
      </c>
      <c r="AI26" s="564"/>
      <c r="AJ26" s="180" t="s">
        <v>161</v>
      </c>
      <c r="AK26" s="180" t="s">
        <v>381</v>
      </c>
      <c r="AL26" s="180" t="s">
        <v>163</v>
      </c>
      <c r="AM26" s="182" t="s">
        <v>167</v>
      </c>
      <c r="AN26" s="564"/>
      <c r="AO26" s="180" t="s">
        <v>161</v>
      </c>
      <c r="AP26" s="180" t="s">
        <v>381</v>
      </c>
      <c r="AQ26" s="180" t="s">
        <v>163</v>
      </c>
      <c r="AR26" s="182" t="s">
        <v>167</v>
      </c>
      <c r="AS26" s="564"/>
      <c r="AT26" s="180" t="s">
        <v>161</v>
      </c>
      <c r="AU26" s="180" t="s">
        <v>381</v>
      </c>
      <c r="AV26" s="180" t="s">
        <v>163</v>
      </c>
      <c r="AW26" s="182" t="s">
        <v>167</v>
      </c>
      <c r="AX26" s="564"/>
    </row>
    <row r="27" spans="2:50" ht="14.25" customHeight="1">
      <c r="B27" s="564" t="s">
        <v>383</v>
      </c>
      <c r="C27" s="180">
        <v>1</v>
      </c>
      <c r="D27" s="183" t="s">
        <v>351</v>
      </c>
      <c r="E27" s="180">
        <v>12</v>
      </c>
      <c r="F27" s="180">
        <v>3600</v>
      </c>
      <c r="G27" s="185">
        <f t="shared" ref="G27:G35" si="28">F27/E27</f>
        <v>300</v>
      </c>
      <c r="H27" s="625">
        <f>AVERAGE(G27:G41)</f>
        <v>348.65319865319867</v>
      </c>
      <c r="I27" s="186">
        <f>AVERAGE(P27,U27,Z27,AE27,AJ27,AO27,AT27)</f>
        <v>12</v>
      </c>
      <c r="J27" s="186">
        <f>AVERAGE(Q27,V27,AA27,AF27,AK27,AP27,AU27)</f>
        <v>3140.7340611393556</v>
      </c>
      <c r="K27" s="187">
        <f>AVERAGE(R27,W27,AB27,AG27,AL27,AQ27,AV27)</f>
        <v>261.72783842827965</v>
      </c>
      <c r="L27" s="626">
        <f>IFERROR(AVERAGE(K27:K41),"-")</f>
        <v>307.16310533813407</v>
      </c>
      <c r="M27" s="186">
        <f>RANK(K27, K$27:$K$41)</f>
        <v>6</v>
      </c>
      <c r="N27" s="564"/>
      <c r="O27" s="564"/>
      <c r="P27" s="188">
        <v>12</v>
      </c>
      <c r="Q27" s="188">
        <v>3140.3659011288437</v>
      </c>
      <c r="R27" s="185">
        <f>IFERROR(Q27/P27,"")</f>
        <v>261.69715842740362</v>
      </c>
      <c r="S27" s="182">
        <f>RANK(R27, R$27:R$41)</f>
        <v>8</v>
      </c>
      <c r="T27" s="625">
        <f>AVERAGE(R27:R41)</f>
        <v>304.82307800290761</v>
      </c>
      <c r="U27" s="188">
        <v>12</v>
      </c>
      <c r="V27" s="188">
        <v>3139.8786147804303</v>
      </c>
      <c r="W27" s="185">
        <f t="shared" ref="W27:W35" si="29">IFERROR(V27/U27,"")</f>
        <v>261.65655123170251</v>
      </c>
      <c r="X27" s="182">
        <f>RANK(W27, W$27:W$41)</f>
        <v>9</v>
      </c>
      <c r="Y27" s="625">
        <f>AVERAGE(W27:W41)</f>
        <v>305.60738261791965</v>
      </c>
      <c r="Z27" s="188">
        <v>12</v>
      </c>
      <c r="AA27" s="188">
        <v>3140.3374233128875</v>
      </c>
      <c r="AB27" s="185">
        <f t="shared" ref="AB27:AB35" si="30">IFERROR(AA27/Z27,"")</f>
        <v>261.69478527607396</v>
      </c>
      <c r="AC27" s="182">
        <f>RANK(AB27, AB$27:AB$41)</f>
        <v>7</v>
      </c>
      <c r="AD27" s="625">
        <f>AVERAGE(AB27:AB41)</f>
        <v>306.49668878980833</v>
      </c>
      <c r="AE27" s="188">
        <v>12</v>
      </c>
      <c r="AF27" s="188">
        <v>3139.6468699839415</v>
      </c>
      <c r="AG27" s="185">
        <f>IFERROR(AF27/AE27,"")</f>
        <v>261.63723916532848</v>
      </c>
      <c r="AH27" s="182">
        <f>RANK(AG27, AG$27:AG$41)</f>
        <v>8</v>
      </c>
      <c r="AI27" s="625">
        <f>AVERAGE(AG27:AG41)</f>
        <v>307.18150823554669</v>
      </c>
      <c r="AJ27" s="188">
        <v>12</v>
      </c>
      <c r="AK27" s="188">
        <v>3140.7653910149606</v>
      </c>
      <c r="AL27" s="185">
        <f t="shared" ref="AL27:AL35" si="31">IFERROR(AK27/AJ27,"")</f>
        <v>261.73044925124674</v>
      </c>
      <c r="AM27" s="182">
        <f>RANK(AL27, AL$27:AL$41)</f>
        <v>6</v>
      </c>
      <c r="AN27" s="625">
        <f>AVERAGE(AL27:AL41)</f>
        <v>308.16428537711204</v>
      </c>
      <c r="AO27" s="188">
        <v>12</v>
      </c>
      <c r="AP27" s="188">
        <v>3140.7567567567489</v>
      </c>
      <c r="AQ27" s="185">
        <f t="shared" ref="AQ27:AQ35" si="32">IFERROR(AP27/AO27,"")</f>
        <v>261.72972972972906</v>
      </c>
      <c r="AR27" s="182">
        <f>RANK(AQ27, AQ$27:AQ$41)</f>
        <v>6</v>
      </c>
      <c r="AS27" s="625">
        <f>AVERAGE(AQ27:AQ41)</f>
        <v>308.83414039152581</v>
      </c>
      <c r="AT27" s="188">
        <v>12</v>
      </c>
      <c r="AU27" s="188">
        <v>3143.3874709976781</v>
      </c>
      <c r="AV27" s="185">
        <f t="shared" ref="AV27:AV35" si="33">IFERROR(AU27/AT27,"")</f>
        <v>261.94895591647315</v>
      </c>
      <c r="AW27" s="182">
        <f>RANK(AV27, AV$27:AV$41)</f>
        <v>6</v>
      </c>
      <c r="AX27" s="625">
        <f>AVERAGE(AV27:AV41)</f>
        <v>309.03465395211805</v>
      </c>
    </row>
    <row r="28" spans="2:50" ht="14.25" customHeight="1">
      <c r="B28" s="564"/>
      <c r="C28" s="180">
        <v>2</v>
      </c>
      <c r="D28" s="183" t="s">
        <v>352</v>
      </c>
      <c r="E28" s="180">
        <v>12</v>
      </c>
      <c r="F28" s="180">
        <v>3600</v>
      </c>
      <c r="G28" s="185">
        <f t="shared" si="28"/>
        <v>300</v>
      </c>
      <c r="H28" s="625"/>
      <c r="I28" s="186">
        <f t="shared" ref="I28:K35" si="34">AVERAGE(P28,U28,Z28,AE28,AJ28,AO28,AT28)</f>
        <v>12</v>
      </c>
      <c r="J28" s="186">
        <f t="shared" si="34"/>
        <v>3140.592584662857</v>
      </c>
      <c r="K28" s="187">
        <f t="shared" si="34"/>
        <v>261.71604872190477</v>
      </c>
      <c r="L28" s="626"/>
      <c r="M28" s="186">
        <f>RANK(K28, K$27:$K$41)</f>
        <v>7</v>
      </c>
      <c r="N28" s="564"/>
      <c r="O28" s="564"/>
      <c r="P28" s="188">
        <v>12</v>
      </c>
      <c r="Q28" s="188">
        <v>3140.6171809841508</v>
      </c>
      <c r="R28" s="185">
        <f t="shared" ref="R28:R35" si="35">IFERROR(Q28/P28,"")</f>
        <v>261.71809841534588</v>
      </c>
      <c r="S28" s="182">
        <f t="shared" ref="S28:S35" si="36">RANK(R28, R$27:R$41)</f>
        <v>6</v>
      </c>
      <c r="T28" s="625"/>
      <c r="U28" s="188">
        <v>12</v>
      </c>
      <c r="V28" s="188">
        <v>3140.6000759589797</v>
      </c>
      <c r="W28" s="185">
        <f t="shared" si="29"/>
        <v>261.71667299658162</v>
      </c>
      <c r="X28" s="182">
        <f t="shared" ref="X28:X35" si="37">RANK(W28, W$27:W$41)</f>
        <v>7</v>
      </c>
      <c r="Y28" s="625"/>
      <c r="Z28" s="188">
        <v>12</v>
      </c>
      <c r="AA28" s="188">
        <v>3140.6134969325112</v>
      </c>
      <c r="AB28" s="185">
        <f t="shared" si="30"/>
        <v>261.71779141104258</v>
      </c>
      <c r="AC28" s="182">
        <f t="shared" ref="AC28:AC35" si="38">RANK(AB28, AB$27:AB$41)</f>
        <v>6</v>
      </c>
      <c r="AD28" s="625"/>
      <c r="AE28" s="188">
        <v>12</v>
      </c>
      <c r="AF28" s="188">
        <v>3140.3366221706369</v>
      </c>
      <c r="AG28" s="185">
        <f t="shared" ref="AG28:AG35" si="39">IFERROR(AF28/AE28,"")</f>
        <v>261.69471851421974</v>
      </c>
      <c r="AH28" s="182">
        <f t="shared" ref="AH28:AH35" si="40">RANK(AG28, AG$27:AG$41)</f>
        <v>6</v>
      </c>
      <c r="AI28" s="625"/>
      <c r="AJ28" s="188">
        <v>12</v>
      </c>
      <c r="AK28" s="188">
        <v>3140.1537551744368</v>
      </c>
      <c r="AL28" s="185">
        <f t="shared" si="31"/>
        <v>261.67947959786972</v>
      </c>
      <c r="AM28" s="182">
        <f t="shared" ref="AM28:AM35" si="41">RANK(AL28, AL$27:AL$41)</f>
        <v>9</v>
      </c>
      <c r="AN28" s="625"/>
      <c r="AO28" s="188">
        <v>12</v>
      </c>
      <c r="AP28" s="188">
        <v>3140.6065380070831</v>
      </c>
      <c r="AQ28" s="185">
        <f t="shared" si="32"/>
        <v>261.71721150059028</v>
      </c>
      <c r="AR28" s="182">
        <f t="shared" ref="AR28:AR35" si="42">RANK(AQ28, AQ$27:AQ$41)</f>
        <v>7</v>
      </c>
      <c r="AS28" s="625"/>
      <c r="AT28" s="188">
        <v>12</v>
      </c>
      <c r="AU28" s="188">
        <v>3141.2204234122009</v>
      </c>
      <c r="AV28" s="185">
        <f t="shared" si="33"/>
        <v>261.76836861768339</v>
      </c>
      <c r="AW28" s="182">
        <f t="shared" ref="AW28:AW35" si="43">RANK(AV28, AV$27:AV$41)</f>
        <v>9</v>
      </c>
      <c r="AX28" s="625"/>
    </row>
    <row r="29" spans="2:50" ht="14.25" customHeight="1">
      <c r="B29" s="564"/>
      <c r="C29" s="180">
        <v>3</v>
      </c>
      <c r="D29" s="183" t="s">
        <v>350</v>
      </c>
      <c r="E29" s="180">
        <v>11</v>
      </c>
      <c r="F29" s="180">
        <v>3600</v>
      </c>
      <c r="G29" s="185">
        <f t="shared" si="28"/>
        <v>327.27272727272725</v>
      </c>
      <c r="H29" s="625"/>
      <c r="I29" s="186">
        <f t="shared" si="34"/>
        <v>11</v>
      </c>
      <c r="J29" s="186">
        <f t="shared" si="34"/>
        <v>3179.5741948856157</v>
      </c>
      <c r="K29" s="187">
        <f t="shared" si="34"/>
        <v>289.05219953505599</v>
      </c>
      <c r="L29" s="626"/>
      <c r="M29" s="186">
        <f>RANK(K29, K$27:$K$41)</f>
        <v>4</v>
      </c>
      <c r="N29" s="564"/>
      <c r="O29" s="564"/>
      <c r="P29" s="188">
        <v>11</v>
      </c>
      <c r="Q29" s="188">
        <v>3179.171094580237</v>
      </c>
      <c r="R29" s="185">
        <f t="shared" si="35"/>
        <v>289.01555405274883</v>
      </c>
      <c r="S29" s="182">
        <f t="shared" si="36"/>
        <v>4</v>
      </c>
      <c r="T29" s="625"/>
      <c r="U29" s="188">
        <v>11</v>
      </c>
      <c r="V29" s="188">
        <v>3178.742973939703</v>
      </c>
      <c r="W29" s="185">
        <f t="shared" si="29"/>
        <v>288.97663399451847</v>
      </c>
      <c r="X29" s="182">
        <f t="shared" si="37"/>
        <v>4</v>
      </c>
      <c r="Y29" s="625"/>
      <c r="Z29" s="188">
        <v>11</v>
      </c>
      <c r="AA29" s="188">
        <v>3179.3174767321639</v>
      </c>
      <c r="AB29" s="185">
        <f t="shared" si="30"/>
        <v>289.0288615211058</v>
      </c>
      <c r="AC29" s="182">
        <f t="shared" si="38"/>
        <v>4</v>
      </c>
      <c r="AD29" s="625"/>
      <c r="AE29" s="188">
        <v>11</v>
      </c>
      <c r="AF29" s="188">
        <v>3180.2120141342671</v>
      </c>
      <c r="AG29" s="185">
        <f t="shared" si="39"/>
        <v>289.11018310311516</v>
      </c>
      <c r="AH29" s="182">
        <f t="shared" si="40"/>
        <v>4</v>
      </c>
      <c r="AI29" s="625"/>
      <c r="AJ29" s="188">
        <v>11</v>
      </c>
      <c r="AK29" s="188">
        <v>3179.8192771084114</v>
      </c>
      <c r="AL29" s="185">
        <f t="shared" si="31"/>
        <v>289.07447973712829</v>
      </c>
      <c r="AM29" s="182">
        <f t="shared" si="41"/>
        <v>4</v>
      </c>
      <c r="AN29" s="625"/>
      <c r="AO29" s="188">
        <v>11</v>
      </c>
      <c r="AP29" s="188">
        <v>3179.8219584569742</v>
      </c>
      <c r="AQ29" s="185">
        <f t="shared" si="32"/>
        <v>289.07472349608855</v>
      </c>
      <c r="AR29" s="182">
        <f t="shared" si="42"/>
        <v>4</v>
      </c>
      <c r="AS29" s="625"/>
      <c r="AT29" s="188">
        <v>11</v>
      </c>
      <c r="AU29" s="188">
        <v>3179.9345692475536</v>
      </c>
      <c r="AV29" s="185">
        <f t="shared" si="33"/>
        <v>289.08496084068668</v>
      </c>
      <c r="AW29" s="182">
        <f t="shared" si="43"/>
        <v>4</v>
      </c>
      <c r="AX29" s="625"/>
    </row>
    <row r="30" spans="2:50" ht="14.25" customHeight="1">
      <c r="B30" s="564"/>
      <c r="C30" s="180">
        <v>4</v>
      </c>
      <c r="D30" s="183" t="s">
        <v>473</v>
      </c>
      <c r="E30" s="180">
        <v>6</v>
      </c>
      <c r="F30" s="180">
        <v>2600</v>
      </c>
      <c r="G30" s="185">
        <f t="shared" si="28"/>
        <v>433.33333333333331</v>
      </c>
      <c r="H30" s="625"/>
      <c r="I30" s="186">
        <f t="shared" si="34"/>
        <v>6</v>
      </c>
      <c r="J30" s="186">
        <f t="shared" si="34"/>
        <v>2340.5029751062966</v>
      </c>
      <c r="K30" s="187">
        <f t="shared" si="34"/>
        <v>390.08382918438281</v>
      </c>
      <c r="L30" s="626"/>
      <c r="M30" s="186">
        <f>RANK(K30, K$27:$K$41)</f>
        <v>1</v>
      </c>
      <c r="N30" s="564"/>
      <c r="O30" s="564"/>
      <c r="P30" s="188">
        <v>6</v>
      </c>
      <c r="Q30" s="188">
        <v>2340.3543307086584</v>
      </c>
      <c r="R30" s="185">
        <f t="shared" si="35"/>
        <v>390.05905511810971</v>
      </c>
      <c r="S30" s="182">
        <f t="shared" si="36"/>
        <v>1</v>
      </c>
      <c r="T30" s="625"/>
      <c r="U30" s="188">
        <v>6</v>
      </c>
      <c r="V30" s="188">
        <v>2340.6844106463882</v>
      </c>
      <c r="W30" s="185">
        <f t="shared" si="29"/>
        <v>390.11406844106472</v>
      </c>
      <c r="X30" s="182">
        <f t="shared" si="37"/>
        <v>1</v>
      </c>
      <c r="Y30" s="625"/>
      <c r="Z30" s="188">
        <v>6</v>
      </c>
      <c r="AA30" s="188">
        <v>2340.5351833498516</v>
      </c>
      <c r="AB30" s="185">
        <f t="shared" si="30"/>
        <v>390.08919722497529</v>
      </c>
      <c r="AC30" s="182">
        <f t="shared" si="38"/>
        <v>1</v>
      </c>
      <c r="AD30" s="625"/>
      <c r="AE30" s="188">
        <v>6</v>
      </c>
      <c r="AF30" s="188">
        <v>2339.8653702318602</v>
      </c>
      <c r="AG30" s="185">
        <f t="shared" si="39"/>
        <v>389.97756170531005</v>
      </c>
      <c r="AH30" s="182">
        <f t="shared" si="40"/>
        <v>1</v>
      </c>
      <c r="AI30" s="625"/>
      <c r="AJ30" s="188">
        <v>6</v>
      </c>
      <c r="AK30" s="188">
        <v>2340.968485780169</v>
      </c>
      <c r="AL30" s="185">
        <f t="shared" si="31"/>
        <v>390.16141429669483</v>
      </c>
      <c r="AM30" s="182">
        <f t="shared" si="41"/>
        <v>1</v>
      </c>
      <c r="AN30" s="625"/>
      <c r="AO30" s="188">
        <v>6</v>
      </c>
      <c r="AP30" s="188">
        <v>2340.263543191802</v>
      </c>
      <c r="AQ30" s="185">
        <f t="shared" si="32"/>
        <v>390.04392386530031</v>
      </c>
      <c r="AR30" s="182">
        <f t="shared" si="42"/>
        <v>1</v>
      </c>
      <c r="AS30" s="625"/>
      <c r="AT30" s="188">
        <v>6</v>
      </c>
      <c r="AU30" s="188">
        <v>2340.8495018353447</v>
      </c>
      <c r="AV30" s="185">
        <f t="shared" si="33"/>
        <v>390.14158363922411</v>
      </c>
      <c r="AW30" s="182">
        <f t="shared" si="43"/>
        <v>1</v>
      </c>
      <c r="AX30" s="625"/>
    </row>
    <row r="31" spans="2:50" ht="14.25" customHeight="1">
      <c r="B31" s="564"/>
      <c r="C31" s="180">
        <v>5</v>
      </c>
      <c r="D31" s="183" t="s">
        <v>477</v>
      </c>
      <c r="E31" s="180">
        <v>6</v>
      </c>
      <c r="F31" s="180">
        <v>2600</v>
      </c>
      <c r="G31" s="185">
        <f t="shared" si="28"/>
        <v>433.33333333333331</v>
      </c>
      <c r="H31" s="625"/>
      <c r="I31" s="186">
        <f t="shared" si="34"/>
        <v>6</v>
      </c>
      <c r="J31" s="186">
        <f t="shared" si="34"/>
        <v>2339.4672358219859</v>
      </c>
      <c r="K31" s="187">
        <f t="shared" si="34"/>
        <v>389.91120597033097</v>
      </c>
      <c r="L31" s="626"/>
      <c r="M31" s="186">
        <f>RANK(K31, K$27:$K$41)</f>
        <v>2</v>
      </c>
      <c r="N31" s="564"/>
      <c r="O31" s="564"/>
      <c r="P31" s="188">
        <v>6</v>
      </c>
      <c r="Q31" s="188">
        <v>2339.5465994962251</v>
      </c>
      <c r="R31" s="185">
        <f t="shared" si="35"/>
        <v>389.92443324937085</v>
      </c>
      <c r="S31" s="182">
        <f t="shared" si="36"/>
        <v>2</v>
      </c>
      <c r="T31" s="625"/>
      <c r="U31" s="188">
        <v>6</v>
      </c>
      <c r="V31" s="188">
        <v>2339.7923875432493</v>
      </c>
      <c r="W31" s="185">
        <f t="shared" si="29"/>
        <v>389.96539792387489</v>
      </c>
      <c r="X31" s="182">
        <f t="shared" si="37"/>
        <v>2</v>
      </c>
      <c r="Y31" s="625"/>
      <c r="Z31" s="188">
        <v>6</v>
      </c>
      <c r="AA31" s="188">
        <v>2339.6768402154403</v>
      </c>
      <c r="AB31" s="185">
        <f t="shared" si="30"/>
        <v>389.94614003590669</v>
      </c>
      <c r="AC31" s="182">
        <f t="shared" si="38"/>
        <v>2</v>
      </c>
      <c r="AD31" s="625"/>
      <c r="AE31" s="188">
        <v>6</v>
      </c>
      <c r="AF31" s="188">
        <v>2339.372822299651</v>
      </c>
      <c r="AG31" s="185">
        <f t="shared" si="39"/>
        <v>389.89547038327515</v>
      </c>
      <c r="AH31" s="182">
        <f t="shared" si="40"/>
        <v>2</v>
      </c>
      <c r="AI31" s="625"/>
      <c r="AJ31" s="188">
        <v>6</v>
      </c>
      <c r="AK31" s="188">
        <v>2339.6584440227634</v>
      </c>
      <c r="AL31" s="185">
        <f t="shared" si="31"/>
        <v>389.94307400379392</v>
      </c>
      <c r="AM31" s="182">
        <f t="shared" si="41"/>
        <v>2</v>
      </c>
      <c r="AN31" s="625"/>
      <c r="AO31" s="188">
        <v>6</v>
      </c>
      <c r="AP31" s="188">
        <v>2339.2405063291135</v>
      </c>
      <c r="AQ31" s="185">
        <f t="shared" si="32"/>
        <v>389.87341772151893</v>
      </c>
      <c r="AR31" s="182">
        <f t="shared" si="42"/>
        <v>2</v>
      </c>
      <c r="AS31" s="625"/>
      <c r="AT31" s="188">
        <v>6</v>
      </c>
      <c r="AU31" s="188">
        <v>2338.9830508474579</v>
      </c>
      <c r="AV31" s="185">
        <f t="shared" si="33"/>
        <v>389.83050847457633</v>
      </c>
      <c r="AW31" s="182">
        <f t="shared" si="43"/>
        <v>2</v>
      </c>
      <c r="AX31" s="625"/>
    </row>
    <row r="32" spans="2:50" ht="14.25" customHeight="1">
      <c r="B32" s="564"/>
      <c r="C32" s="180">
        <v>6</v>
      </c>
      <c r="D32" s="183" t="s">
        <v>643</v>
      </c>
      <c r="E32" s="180">
        <v>6</v>
      </c>
      <c r="F32" s="180">
        <v>2500</v>
      </c>
      <c r="G32" s="185">
        <f t="shared" si="28"/>
        <v>416.66666666666669</v>
      </c>
      <c r="H32" s="625"/>
      <c r="I32" s="186">
        <f t="shared" si="34"/>
        <v>6</v>
      </c>
      <c r="J32" s="186">
        <f t="shared" si="34"/>
        <v>2157.9351813714316</v>
      </c>
      <c r="K32" s="187">
        <f t="shared" si="34"/>
        <v>359.65586356190533</v>
      </c>
      <c r="L32" s="626"/>
      <c r="M32" s="186">
        <f>RANK(K32, K$27:$K$41)</f>
        <v>3</v>
      </c>
      <c r="N32" s="564"/>
      <c r="O32" s="564"/>
      <c r="P32" s="188">
        <v>6</v>
      </c>
      <c r="Q32" s="188">
        <v>2032.1739130434773</v>
      </c>
      <c r="R32" s="185">
        <f t="shared" si="35"/>
        <v>338.69565217391289</v>
      </c>
      <c r="S32" s="182">
        <f t="shared" si="36"/>
        <v>3</v>
      </c>
      <c r="T32" s="625"/>
      <c r="U32" s="188">
        <v>6</v>
      </c>
      <c r="V32" s="188">
        <v>2074.1028128031039</v>
      </c>
      <c r="W32" s="185">
        <f t="shared" si="29"/>
        <v>345.68380213385063</v>
      </c>
      <c r="X32" s="182">
        <f t="shared" si="37"/>
        <v>3</v>
      </c>
      <c r="Y32" s="625"/>
      <c r="Z32" s="188">
        <v>6</v>
      </c>
      <c r="AA32" s="188">
        <v>2122.608695652174</v>
      </c>
      <c r="AB32" s="185">
        <f t="shared" si="30"/>
        <v>353.768115942029</v>
      </c>
      <c r="AC32" s="182">
        <f t="shared" si="38"/>
        <v>3</v>
      </c>
      <c r="AD32" s="625"/>
      <c r="AE32" s="188">
        <v>6</v>
      </c>
      <c r="AF32" s="188">
        <v>2161.1123372323991</v>
      </c>
      <c r="AG32" s="185">
        <f t="shared" si="39"/>
        <v>360.1853895387332</v>
      </c>
      <c r="AH32" s="182">
        <f t="shared" si="40"/>
        <v>3</v>
      </c>
      <c r="AI32" s="625"/>
      <c r="AJ32" s="188">
        <v>6</v>
      </c>
      <c r="AK32" s="188">
        <v>2211.2000000000007</v>
      </c>
      <c r="AL32" s="185">
        <f t="shared" si="31"/>
        <v>368.53333333333347</v>
      </c>
      <c r="AM32" s="182">
        <f t="shared" si="41"/>
        <v>3</v>
      </c>
      <c r="AN32" s="625"/>
      <c r="AO32" s="188">
        <v>6</v>
      </c>
      <c r="AP32" s="188">
        <v>2248.8221950793945</v>
      </c>
      <c r="AQ32" s="185">
        <f t="shared" si="32"/>
        <v>374.80369917989907</v>
      </c>
      <c r="AR32" s="182">
        <f t="shared" si="42"/>
        <v>3</v>
      </c>
      <c r="AS32" s="625"/>
      <c r="AT32" s="188">
        <v>6</v>
      </c>
      <c r="AU32" s="188">
        <v>2255.5263157894719</v>
      </c>
      <c r="AV32" s="185">
        <f t="shared" si="33"/>
        <v>375.92105263157868</v>
      </c>
      <c r="AW32" s="182">
        <f t="shared" si="43"/>
        <v>3</v>
      </c>
      <c r="AX32" s="625"/>
    </row>
    <row r="33" spans="2:50" ht="14.25" customHeight="1">
      <c r="B33" s="564"/>
      <c r="C33" s="180">
        <v>7</v>
      </c>
      <c r="D33" s="183" t="s">
        <v>354</v>
      </c>
      <c r="E33" s="180">
        <v>12</v>
      </c>
      <c r="F33" s="180">
        <v>3600</v>
      </c>
      <c r="G33" s="185">
        <f t="shared" si="28"/>
        <v>300</v>
      </c>
      <c r="H33" s="625"/>
      <c r="I33" s="186">
        <f t="shared" si="34"/>
        <v>12</v>
      </c>
      <c r="J33" s="186">
        <f t="shared" si="34"/>
        <v>3140.4591580967085</v>
      </c>
      <c r="K33" s="187">
        <f t="shared" si="34"/>
        <v>261.70492984139236</v>
      </c>
      <c r="L33" s="626"/>
      <c r="M33" s="186">
        <f>RANK(K33, K$27:$K$41)</f>
        <v>8</v>
      </c>
      <c r="N33" s="564"/>
      <c r="O33" s="564"/>
      <c r="P33" s="188">
        <v>12</v>
      </c>
      <c r="Q33" s="188">
        <v>3140.4866374152471</v>
      </c>
      <c r="R33" s="185">
        <f t="shared" si="35"/>
        <v>261.70721978460392</v>
      </c>
      <c r="S33" s="182">
        <f t="shared" si="36"/>
        <v>7</v>
      </c>
      <c r="T33" s="625"/>
      <c r="U33" s="188">
        <v>12</v>
      </c>
      <c r="V33" s="188">
        <v>3140.9020217729326</v>
      </c>
      <c r="W33" s="185">
        <f t="shared" si="29"/>
        <v>261.74183514774438</v>
      </c>
      <c r="X33" s="182">
        <f t="shared" si="37"/>
        <v>6</v>
      </c>
      <c r="Y33" s="625"/>
      <c r="Z33" s="188">
        <v>12</v>
      </c>
      <c r="AA33" s="188">
        <v>3139.8834304745983</v>
      </c>
      <c r="AB33" s="185">
        <f t="shared" si="30"/>
        <v>261.65695253954988</v>
      </c>
      <c r="AC33" s="182">
        <f t="shared" si="38"/>
        <v>9</v>
      </c>
      <c r="AD33" s="625"/>
      <c r="AE33" s="188">
        <v>12</v>
      </c>
      <c r="AF33" s="188">
        <v>3139.7515527950241</v>
      </c>
      <c r="AG33" s="185">
        <f t="shared" si="39"/>
        <v>261.64596273291869</v>
      </c>
      <c r="AH33" s="182">
        <f t="shared" si="40"/>
        <v>7</v>
      </c>
      <c r="AI33" s="625"/>
      <c r="AJ33" s="188">
        <v>12</v>
      </c>
      <c r="AK33" s="188">
        <v>3140.5083829096843</v>
      </c>
      <c r="AL33" s="185">
        <f t="shared" si="31"/>
        <v>261.70903190914038</v>
      </c>
      <c r="AM33" s="182">
        <f t="shared" si="41"/>
        <v>7</v>
      </c>
      <c r="AN33" s="625"/>
      <c r="AO33" s="188">
        <v>12</v>
      </c>
      <c r="AP33" s="188">
        <v>3140.3286978508258</v>
      </c>
      <c r="AQ33" s="185">
        <f t="shared" si="32"/>
        <v>261.69405815423551</v>
      </c>
      <c r="AR33" s="182">
        <f t="shared" si="42"/>
        <v>8</v>
      </c>
      <c r="AS33" s="625"/>
      <c r="AT33" s="188">
        <v>12</v>
      </c>
      <c r="AU33" s="188">
        <v>3141.353383458646</v>
      </c>
      <c r="AV33" s="185">
        <f t="shared" si="33"/>
        <v>261.77944862155385</v>
      </c>
      <c r="AW33" s="182">
        <f t="shared" si="43"/>
        <v>8</v>
      </c>
      <c r="AX33" s="625"/>
    </row>
    <row r="34" spans="2:50" ht="14.25" customHeight="1">
      <c r="B34" s="564"/>
      <c r="C34" s="180">
        <v>8</v>
      </c>
      <c r="D34" s="183" t="s">
        <v>355</v>
      </c>
      <c r="E34" s="180">
        <v>12</v>
      </c>
      <c r="F34" s="180">
        <v>3600</v>
      </c>
      <c r="G34" s="185">
        <f t="shared" si="28"/>
        <v>300</v>
      </c>
      <c r="H34" s="625"/>
      <c r="I34" s="186">
        <f t="shared" si="34"/>
        <v>12</v>
      </c>
      <c r="J34" s="186">
        <f t="shared" si="34"/>
        <v>3140.3480793049034</v>
      </c>
      <c r="K34" s="187">
        <f t="shared" si="34"/>
        <v>261.69567327540864</v>
      </c>
      <c r="L34" s="626"/>
      <c r="M34" s="186">
        <f>RANK(K34, K$27:$K$41)</f>
        <v>9</v>
      </c>
      <c r="N34" s="564"/>
      <c r="O34" s="564"/>
      <c r="P34" s="188">
        <v>12</v>
      </c>
      <c r="Q34" s="188">
        <v>3140.0083787180661</v>
      </c>
      <c r="R34" s="185">
        <f t="shared" si="35"/>
        <v>261.66736489317219</v>
      </c>
      <c r="S34" s="182">
        <f t="shared" si="36"/>
        <v>9</v>
      </c>
      <c r="T34" s="625"/>
      <c r="U34" s="188">
        <v>12</v>
      </c>
      <c r="V34" s="188">
        <v>3140.4255319149038</v>
      </c>
      <c r="W34" s="185">
        <f t="shared" si="29"/>
        <v>261.7021276595753</v>
      </c>
      <c r="X34" s="182">
        <f t="shared" si="37"/>
        <v>8</v>
      </c>
      <c r="Y34" s="625"/>
      <c r="Z34" s="188">
        <v>12</v>
      </c>
      <c r="AA34" s="188">
        <v>3140.139860139861</v>
      </c>
      <c r="AB34" s="185">
        <f t="shared" si="30"/>
        <v>261.67832167832177</v>
      </c>
      <c r="AC34" s="182">
        <f t="shared" si="38"/>
        <v>8</v>
      </c>
      <c r="AD34" s="625"/>
      <c r="AE34" s="188">
        <v>12</v>
      </c>
      <c r="AF34" s="188">
        <v>3139.2978482446183</v>
      </c>
      <c r="AG34" s="185">
        <f t="shared" si="39"/>
        <v>261.60815402038486</v>
      </c>
      <c r="AH34" s="182">
        <f t="shared" si="40"/>
        <v>9</v>
      </c>
      <c r="AI34" s="625"/>
      <c r="AJ34" s="188">
        <v>12</v>
      </c>
      <c r="AK34" s="188">
        <v>3140.1611047180672</v>
      </c>
      <c r="AL34" s="185">
        <f t="shared" si="31"/>
        <v>261.68009205983896</v>
      </c>
      <c r="AM34" s="182">
        <f t="shared" si="41"/>
        <v>8</v>
      </c>
      <c r="AN34" s="625"/>
      <c r="AO34" s="188">
        <v>12</v>
      </c>
      <c r="AP34" s="188">
        <v>3139.8005439709927</v>
      </c>
      <c r="AQ34" s="185">
        <f t="shared" si="32"/>
        <v>261.65004533091604</v>
      </c>
      <c r="AR34" s="182">
        <f t="shared" si="42"/>
        <v>9</v>
      </c>
      <c r="AS34" s="625"/>
      <c r="AT34" s="188">
        <v>12</v>
      </c>
      <c r="AU34" s="188">
        <v>3142.603287427818</v>
      </c>
      <c r="AV34" s="185">
        <f t="shared" si="33"/>
        <v>261.88360728565152</v>
      </c>
      <c r="AW34" s="182">
        <f t="shared" si="43"/>
        <v>7</v>
      </c>
      <c r="AX34" s="625"/>
    </row>
    <row r="35" spans="2:50" ht="14.25" customHeight="1">
      <c r="B35" s="564"/>
      <c r="C35" s="180">
        <v>9</v>
      </c>
      <c r="D35" s="183" t="s">
        <v>353</v>
      </c>
      <c r="E35" s="180">
        <v>11</v>
      </c>
      <c r="F35" s="180">
        <v>3600</v>
      </c>
      <c r="G35" s="185">
        <f t="shared" si="28"/>
        <v>327.27272727272725</v>
      </c>
      <c r="H35" s="625"/>
      <c r="I35" s="186">
        <f t="shared" si="34"/>
        <v>11</v>
      </c>
      <c r="J35" s="186">
        <f t="shared" si="34"/>
        <v>3178.1239547700047</v>
      </c>
      <c r="K35" s="187">
        <f t="shared" si="34"/>
        <v>288.92035952454586</v>
      </c>
      <c r="L35" s="626"/>
      <c r="M35" s="186">
        <f>RANK(K35, K$27:$K$41)</f>
        <v>5</v>
      </c>
      <c r="N35" s="564"/>
      <c r="O35" s="564"/>
      <c r="P35" s="188">
        <v>11</v>
      </c>
      <c r="Q35" s="188">
        <v>3178.15482502651</v>
      </c>
      <c r="R35" s="185">
        <f t="shared" si="35"/>
        <v>288.92316591150092</v>
      </c>
      <c r="S35" s="182">
        <f t="shared" si="36"/>
        <v>5</v>
      </c>
      <c r="T35" s="625"/>
      <c r="U35" s="188">
        <v>11</v>
      </c>
      <c r="V35" s="188">
        <v>3178.0028943560087</v>
      </c>
      <c r="W35" s="185">
        <f t="shared" si="29"/>
        <v>288.90935403236443</v>
      </c>
      <c r="X35" s="182">
        <f t="shared" si="37"/>
        <v>5</v>
      </c>
      <c r="Y35" s="625"/>
      <c r="Z35" s="188">
        <v>11</v>
      </c>
      <c r="AA35" s="188">
        <v>3177.7903682719643</v>
      </c>
      <c r="AB35" s="185">
        <f t="shared" si="30"/>
        <v>288.8900334792695</v>
      </c>
      <c r="AC35" s="182">
        <f t="shared" si="38"/>
        <v>5</v>
      </c>
      <c r="AD35" s="625"/>
      <c r="AE35" s="188">
        <v>11</v>
      </c>
      <c r="AF35" s="188">
        <v>3177.6678445229813</v>
      </c>
      <c r="AG35" s="185">
        <f t="shared" si="39"/>
        <v>288.87889495663467</v>
      </c>
      <c r="AH35" s="182">
        <f t="shared" si="40"/>
        <v>5</v>
      </c>
      <c r="AI35" s="625"/>
      <c r="AJ35" s="188">
        <v>11</v>
      </c>
      <c r="AK35" s="188">
        <v>3178.6393562545809</v>
      </c>
      <c r="AL35" s="185">
        <f t="shared" si="31"/>
        <v>288.96721420496192</v>
      </c>
      <c r="AM35" s="182">
        <f t="shared" si="41"/>
        <v>5</v>
      </c>
      <c r="AN35" s="625"/>
      <c r="AO35" s="188">
        <v>11</v>
      </c>
      <c r="AP35" s="188">
        <v>3178.1250000000023</v>
      </c>
      <c r="AQ35" s="185">
        <f t="shared" si="32"/>
        <v>288.92045454545473</v>
      </c>
      <c r="AR35" s="182">
        <f t="shared" si="42"/>
        <v>5</v>
      </c>
      <c r="AS35" s="625"/>
      <c r="AT35" s="188">
        <v>11</v>
      </c>
      <c r="AU35" s="188">
        <v>3178.4873949579819</v>
      </c>
      <c r="AV35" s="185">
        <f t="shared" si="33"/>
        <v>288.95339954163472</v>
      </c>
      <c r="AW35" s="182">
        <f t="shared" si="43"/>
        <v>5</v>
      </c>
      <c r="AX35" s="625"/>
    </row>
    <row r="36" spans="2:50" ht="14.25" customHeight="1">
      <c r="B36" s="564"/>
      <c r="C36" s="180">
        <v>10</v>
      </c>
      <c r="D36" s="183"/>
      <c r="E36" s="180"/>
      <c r="F36" s="180"/>
      <c r="G36" s="185"/>
      <c r="H36" s="625"/>
      <c r="I36" s="186"/>
      <c r="J36" s="186"/>
      <c r="K36" s="187"/>
      <c r="L36" s="626"/>
      <c r="M36" s="186"/>
      <c r="N36" s="564"/>
      <c r="O36" s="564"/>
      <c r="P36" s="188"/>
      <c r="Q36" s="188"/>
      <c r="R36" s="185"/>
      <c r="S36" s="182"/>
      <c r="T36" s="625"/>
      <c r="U36" s="188"/>
      <c r="V36" s="188"/>
      <c r="W36" s="185"/>
      <c r="X36" s="182"/>
      <c r="Y36" s="625"/>
      <c r="Z36" s="188"/>
      <c r="AA36" s="188"/>
      <c r="AB36" s="185"/>
      <c r="AC36" s="182"/>
      <c r="AD36" s="625"/>
      <c r="AE36" s="188"/>
      <c r="AF36" s="188"/>
      <c r="AG36" s="185"/>
      <c r="AH36" s="182"/>
      <c r="AI36" s="625"/>
      <c r="AJ36" s="188"/>
      <c r="AK36" s="188"/>
      <c r="AL36" s="185"/>
      <c r="AM36" s="182"/>
      <c r="AN36" s="625"/>
      <c r="AO36" s="188"/>
      <c r="AP36" s="188"/>
      <c r="AQ36" s="185"/>
      <c r="AR36" s="182"/>
      <c r="AS36" s="625"/>
      <c r="AT36" s="188"/>
      <c r="AU36" s="188"/>
      <c r="AV36" s="185"/>
      <c r="AW36" s="182"/>
      <c r="AX36" s="625"/>
    </row>
    <row r="37" spans="2:50" ht="14.25" customHeight="1">
      <c r="B37" s="564"/>
      <c r="C37" s="180">
        <v>11</v>
      </c>
      <c r="D37" s="183"/>
      <c r="E37" s="180"/>
      <c r="F37" s="180"/>
      <c r="G37" s="185"/>
      <c r="H37" s="625"/>
      <c r="I37" s="186"/>
      <c r="J37" s="186"/>
      <c r="K37" s="187"/>
      <c r="L37" s="626"/>
      <c r="M37" s="186"/>
      <c r="N37" s="564"/>
      <c r="O37" s="564"/>
      <c r="P37" s="188"/>
      <c r="Q37" s="188"/>
      <c r="R37" s="185"/>
      <c r="S37" s="182"/>
      <c r="T37" s="625"/>
      <c r="U37" s="188"/>
      <c r="V37" s="188"/>
      <c r="W37" s="185"/>
      <c r="X37" s="182"/>
      <c r="Y37" s="625"/>
      <c r="Z37" s="188"/>
      <c r="AA37" s="188"/>
      <c r="AB37" s="185"/>
      <c r="AC37" s="182"/>
      <c r="AD37" s="625"/>
      <c r="AE37" s="188"/>
      <c r="AF37" s="188"/>
      <c r="AG37" s="185"/>
      <c r="AH37" s="182"/>
      <c r="AI37" s="625"/>
      <c r="AJ37" s="188"/>
      <c r="AK37" s="188"/>
      <c r="AL37" s="185"/>
      <c r="AM37" s="182"/>
      <c r="AN37" s="625"/>
      <c r="AO37" s="188"/>
      <c r="AP37" s="188"/>
      <c r="AQ37" s="185"/>
      <c r="AR37" s="182"/>
      <c r="AS37" s="625"/>
      <c r="AT37" s="188"/>
      <c r="AU37" s="188"/>
      <c r="AV37" s="185"/>
      <c r="AW37" s="182"/>
      <c r="AX37" s="625"/>
    </row>
    <row r="38" spans="2:50" ht="14.25" customHeight="1">
      <c r="B38" s="564"/>
      <c r="C38" s="180">
        <v>12</v>
      </c>
      <c r="D38" s="183"/>
      <c r="E38" s="180"/>
      <c r="F38" s="180"/>
      <c r="G38" s="185"/>
      <c r="H38" s="625"/>
      <c r="I38" s="186"/>
      <c r="J38" s="186"/>
      <c r="K38" s="187"/>
      <c r="L38" s="626"/>
      <c r="M38" s="186"/>
      <c r="N38" s="564"/>
      <c r="O38" s="564"/>
      <c r="P38" s="188"/>
      <c r="Q38" s="188"/>
      <c r="R38" s="185"/>
      <c r="S38" s="182"/>
      <c r="T38" s="625"/>
      <c r="U38" s="188"/>
      <c r="V38" s="188"/>
      <c r="W38" s="185"/>
      <c r="X38" s="182"/>
      <c r="Y38" s="625"/>
      <c r="Z38" s="188"/>
      <c r="AA38" s="188"/>
      <c r="AB38" s="185"/>
      <c r="AC38" s="182"/>
      <c r="AD38" s="625"/>
      <c r="AE38" s="188"/>
      <c r="AF38" s="188"/>
      <c r="AG38" s="185"/>
      <c r="AH38" s="182"/>
      <c r="AI38" s="625"/>
      <c r="AJ38" s="188"/>
      <c r="AK38" s="188"/>
      <c r="AL38" s="185"/>
      <c r="AM38" s="182"/>
      <c r="AN38" s="625"/>
      <c r="AO38" s="188"/>
      <c r="AP38" s="188"/>
      <c r="AQ38" s="185"/>
      <c r="AR38" s="182"/>
      <c r="AS38" s="625"/>
      <c r="AT38" s="188"/>
      <c r="AU38" s="188"/>
      <c r="AV38" s="185"/>
      <c r="AW38" s="182"/>
      <c r="AX38" s="625"/>
    </row>
    <row r="39" spans="2:50" ht="14.25" customHeight="1">
      <c r="B39" s="564"/>
      <c r="C39" s="180">
        <v>13</v>
      </c>
      <c r="D39" s="183"/>
      <c r="E39" s="180"/>
      <c r="F39" s="180"/>
      <c r="G39" s="185"/>
      <c r="H39" s="625"/>
      <c r="I39" s="186"/>
      <c r="J39" s="186"/>
      <c r="K39" s="187"/>
      <c r="L39" s="626"/>
      <c r="M39" s="186"/>
      <c r="N39" s="564"/>
      <c r="O39" s="564"/>
      <c r="P39" s="188"/>
      <c r="Q39" s="188"/>
      <c r="R39" s="185"/>
      <c r="S39" s="182"/>
      <c r="T39" s="625"/>
      <c r="U39" s="188"/>
      <c r="V39" s="188"/>
      <c r="W39" s="185"/>
      <c r="X39" s="182"/>
      <c r="Y39" s="625"/>
      <c r="Z39" s="188"/>
      <c r="AA39" s="188"/>
      <c r="AB39" s="185"/>
      <c r="AC39" s="182"/>
      <c r="AD39" s="625"/>
      <c r="AE39" s="188"/>
      <c r="AF39" s="188"/>
      <c r="AG39" s="185"/>
      <c r="AH39" s="182"/>
      <c r="AI39" s="625"/>
      <c r="AJ39" s="188"/>
      <c r="AK39" s="188"/>
      <c r="AL39" s="185"/>
      <c r="AM39" s="182"/>
      <c r="AN39" s="625"/>
      <c r="AO39" s="188"/>
      <c r="AP39" s="188"/>
      <c r="AQ39" s="185"/>
      <c r="AR39" s="182"/>
      <c r="AS39" s="625"/>
      <c r="AT39" s="188"/>
      <c r="AU39" s="188"/>
      <c r="AV39" s="185"/>
      <c r="AW39" s="182"/>
      <c r="AX39" s="625"/>
    </row>
    <row r="40" spans="2:50" ht="14.25" customHeight="1">
      <c r="B40" s="564"/>
      <c r="C40" s="180">
        <v>14</v>
      </c>
      <c r="D40" s="183"/>
      <c r="E40" s="180"/>
      <c r="F40" s="180"/>
      <c r="G40" s="185"/>
      <c r="H40" s="625"/>
      <c r="I40" s="186"/>
      <c r="J40" s="186"/>
      <c r="K40" s="187"/>
      <c r="L40" s="626"/>
      <c r="M40" s="186"/>
      <c r="N40" s="564"/>
      <c r="O40" s="564"/>
      <c r="P40" s="188"/>
      <c r="Q40" s="188"/>
      <c r="R40" s="185"/>
      <c r="S40" s="182"/>
      <c r="T40" s="625"/>
      <c r="U40" s="188"/>
      <c r="V40" s="188"/>
      <c r="W40" s="185"/>
      <c r="X40" s="182"/>
      <c r="Y40" s="625"/>
      <c r="Z40" s="188"/>
      <c r="AA40" s="188"/>
      <c r="AB40" s="185"/>
      <c r="AC40" s="182"/>
      <c r="AD40" s="625"/>
      <c r="AE40" s="188"/>
      <c r="AF40" s="188"/>
      <c r="AG40" s="185"/>
      <c r="AH40" s="182"/>
      <c r="AI40" s="625"/>
      <c r="AJ40" s="188"/>
      <c r="AK40" s="188"/>
      <c r="AL40" s="185"/>
      <c r="AM40" s="182"/>
      <c r="AN40" s="625"/>
      <c r="AO40" s="188"/>
      <c r="AP40" s="188"/>
      <c r="AQ40" s="185"/>
      <c r="AR40" s="182"/>
      <c r="AS40" s="625"/>
      <c r="AT40" s="188"/>
      <c r="AU40" s="188"/>
      <c r="AV40" s="185"/>
      <c r="AW40" s="182"/>
      <c r="AX40" s="625"/>
    </row>
    <row r="41" spans="2:50" ht="14.25" customHeight="1">
      <c r="B41" s="564"/>
      <c r="C41" s="180">
        <v>15</v>
      </c>
      <c r="D41" s="183"/>
      <c r="E41" s="180"/>
      <c r="F41" s="180"/>
      <c r="G41" s="185"/>
      <c r="H41" s="625"/>
      <c r="I41" s="186"/>
      <c r="J41" s="186"/>
      <c r="K41" s="187"/>
      <c r="L41" s="626"/>
      <c r="M41" s="186"/>
      <c r="N41" s="564"/>
      <c r="O41" s="564"/>
      <c r="P41" s="188"/>
      <c r="Q41" s="188"/>
      <c r="R41" s="185"/>
      <c r="S41" s="182"/>
      <c r="T41" s="625"/>
      <c r="U41" s="188"/>
      <c r="V41" s="188"/>
      <c r="W41" s="185"/>
      <c r="X41" s="182"/>
      <c r="Y41" s="625"/>
      <c r="Z41" s="188"/>
      <c r="AA41" s="188"/>
      <c r="AB41" s="185"/>
      <c r="AC41" s="182"/>
      <c r="AD41" s="625"/>
      <c r="AE41" s="188"/>
      <c r="AF41" s="188"/>
      <c r="AG41" s="185"/>
      <c r="AH41" s="182"/>
      <c r="AI41" s="625"/>
      <c r="AJ41" s="188"/>
      <c r="AK41" s="188"/>
      <c r="AL41" s="185"/>
      <c r="AM41" s="182"/>
      <c r="AN41" s="625"/>
      <c r="AO41" s="188"/>
      <c r="AP41" s="188"/>
      <c r="AQ41" s="185"/>
      <c r="AR41" s="182"/>
      <c r="AS41" s="625"/>
      <c r="AT41" s="188"/>
      <c r="AU41" s="188"/>
      <c r="AV41" s="185"/>
      <c r="AW41" s="182"/>
      <c r="AX41" s="625"/>
    </row>
    <row r="42" spans="2:50" ht="14.25" customHeight="1" collapsed="1">
      <c r="B42" s="646" t="s">
        <v>642</v>
      </c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43"/>
      <c r="N42" s="575" t="s">
        <v>377</v>
      </c>
      <c r="O42" s="575" t="s">
        <v>105</v>
      </c>
      <c r="P42" s="655">
        <f>AT22+1</f>
        <v>46091</v>
      </c>
      <c r="Q42" s="656"/>
      <c r="R42" s="656"/>
      <c r="S42" s="656"/>
      <c r="T42" s="656"/>
      <c r="U42" s="657">
        <f>P42+1</f>
        <v>46092</v>
      </c>
      <c r="V42" s="658"/>
      <c r="W42" s="658"/>
      <c r="X42" s="658"/>
      <c r="Y42" s="658"/>
      <c r="Z42" s="655">
        <f t="shared" ref="Z42" si="44">U42+1</f>
        <v>46093</v>
      </c>
      <c r="AA42" s="656"/>
      <c r="AB42" s="656"/>
      <c r="AC42" s="656"/>
      <c r="AD42" s="656"/>
      <c r="AE42" s="657">
        <f t="shared" ref="AE42" si="45">Z42+1</f>
        <v>46094</v>
      </c>
      <c r="AF42" s="658"/>
      <c r="AG42" s="658"/>
      <c r="AH42" s="658"/>
      <c r="AI42" s="658"/>
      <c r="AJ42" s="647">
        <f t="shared" ref="AJ42" si="46">AE42+1</f>
        <v>46095</v>
      </c>
      <c r="AK42" s="648"/>
      <c r="AL42" s="648"/>
      <c r="AM42" s="648"/>
      <c r="AN42" s="649"/>
      <c r="AO42" s="657">
        <f t="shared" ref="AO42" si="47">AJ42+1</f>
        <v>46096</v>
      </c>
      <c r="AP42" s="658"/>
      <c r="AQ42" s="658"/>
      <c r="AR42" s="658"/>
      <c r="AS42" s="658"/>
      <c r="AT42" s="647">
        <f t="shared" ref="AT42" si="48">AO42+1</f>
        <v>46097</v>
      </c>
      <c r="AU42" s="648"/>
      <c r="AV42" s="648"/>
      <c r="AW42" s="648"/>
      <c r="AX42" s="649"/>
    </row>
    <row r="43" spans="2:50" ht="14.25" customHeight="1">
      <c r="B43" s="644"/>
      <c r="C43" s="644"/>
      <c r="D43" s="644"/>
      <c r="E43" s="644"/>
      <c r="F43" s="644"/>
      <c r="G43" s="644"/>
      <c r="H43" s="644"/>
      <c r="I43" s="644"/>
      <c r="J43" s="644"/>
      <c r="K43" s="644"/>
      <c r="L43" s="644"/>
      <c r="M43" s="645"/>
      <c r="N43" s="577"/>
      <c r="O43" s="577"/>
      <c r="P43" s="650">
        <f>P42</f>
        <v>46091</v>
      </c>
      <c r="Q43" s="650"/>
      <c r="R43" s="650"/>
      <c r="S43" s="650"/>
      <c r="T43" s="650"/>
      <c r="U43" s="651">
        <f>U42</f>
        <v>46092</v>
      </c>
      <c r="V43" s="651"/>
      <c r="W43" s="651"/>
      <c r="X43" s="651"/>
      <c r="Y43" s="651"/>
      <c r="Z43" s="650">
        <f t="shared" ref="Z43" si="49">Z42</f>
        <v>46093</v>
      </c>
      <c r="AA43" s="650"/>
      <c r="AB43" s="650"/>
      <c r="AC43" s="650"/>
      <c r="AD43" s="650"/>
      <c r="AE43" s="651">
        <f t="shared" ref="AE43" si="50">AE42</f>
        <v>46094</v>
      </c>
      <c r="AF43" s="651"/>
      <c r="AG43" s="651"/>
      <c r="AH43" s="651"/>
      <c r="AI43" s="651"/>
      <c r="AJ43" s="652">
        <f t="shared" ref="AJ43" si="51">AJ42</f>
        <v>46095</v>
      </c>
      <c r="AK43" s="653"/>
      <c r="AL43" s="653"/>
      <c r="AM43" s="653"/>
      <c r="AN43" s="654"/>
      <c r="AO43" s="651">
        <f t="shared" ref="AO43" si="52">AO42</f>
        <v>46096</v>
      </c>
      <c r="AP43" s="651"/>
      <c r="AQ43" s="651"/>
      <c r="AR43" s="651"/>
      <c r="AS43" s="651"/>
      <c r="AT43" s="652">
        <f t="shared" ref="AT43" si="53">AT42</f>
        <v>46097</v>
      </c>
      <c r="AU43" s="653"/>
      <c r="AV43" s="653"/>
      <c r="AW43" s="653"/>
      <c r="AX43" s="654"/>
    </row>
    <row r="44" spans="2:50" ht="14.25" customHeight="1">
      <c r="B44" s="564" t="s">
        <v>164</v>
      </c>
      <c r="C44" s="564" t="s">
        <v>159</v>
      </c>
      <c r="D44" s="564"/>
      <c r="E44" s="564" t="s">
        <v>160</v>
      </c>
      <c r="F44" s="564"/>
      <c r="G44" s="564"/>
      <c r="H44" s="564" t="s">
        <v>165</v>
      </c>
      <c r="I44" s="628" t="s">
        <v>378</v>
      </c>
      <c r="J44" s="628"/>
      <c r="K44" s="628"/>
      <c r="L44" s="628" t="s">
        <v>165</v>
      </c>
      <c r="M44" s="628" t="s">
        <v>167</v>
      </c>
      <c r="N44" s="564"/>
      <c r="O44" s="564" t="s">
        <v>166</v>
      </c>
      <c r="P44" s="564" t="s">
        <v>162</v>
      </c>
      <c r="Q44" s="564"/>
      <c r="R44" s="564"/>
      <c r="S44" s="564"/>
      <c r="T44" s="564" t="s">
        <v>165</v>
      </c>
      <c r="U44" s="564" t="s">
        <v>162</v>
      </c>
      <c r="V44" s="564"/>
      <c r="W44" s="564"/>
      <c r="X44" s="564"/>
      <c r="Y44" s="564" t="s">
        <v>165</v>
      </c>
      <c r="Z44" s="564" t="s">
        <v>162</v>
      </c>
      <c r="AA44" s="564"/>
      <c r="AB44" s="564"/>
      <c r="AC44" s="564"/>
      <c r="AD44" s="564" t="s">
        <v>165</v>
      </c>
      <c r="AE44" s="564" t="s">
        <v>162</v>
      </c>
      <c r="AF44" s="564"/>
      <c r="AG44" s="564"/>
      <c r="AH44" s="564"/>
      <c r="AI44" s="564" t="s">
        <v>165</v>
      </c>
      <c r="AJ44" s="564" t="s">
        <v>162</v>
      </c>
      <c r="AK44" s="564"/>
      <c r="AL44" s="564"/>
      <c r="AM44" s="564"/>
      <c r="AN44" s="564" t="s">
        <v>165</v>
      </c>
      <c r="AO44" s="564" t="s">
        <v>162</v>
      </c>
      <c r="AP44" s="564"/>
      <c r="AQ44" s="564"/>
      <c r="AR44" s="564"/>
      <c r="AS44" s="564" t="s">
        <v>165</v>
      </c>
      <c r="AT44" s="564" t="s">
        <v>162</v>
      </c>
      <c r="AU44" s="564"/>
      <c r="AV44" s="564"/>
      <c r="AW44" s="564"/>
      <c r="AX44" s="564" t="s">
        <v>165</v>
      </c>
    </row>
    <row r="45" spans="2:50" ht="14.25" customHeight="1">
      <c r="B45" s="564"/>
      <c r="C45" s="564"/>
      <c r="D45" s="564"/>
      <c r="E45" s="564" t="s">
        <v>379</v>
      </c>
      <c r="F45" s="564"/>
      <c r="G45" s="564"/>
      <c r="H45" s="564"/>
      <c r="I45" s="628" t="s">
        <v>379</v>
      </c>
      <c r="J45" s="628"/>
      <c r="K45" s="628"/>
      <c r="L45" s="628"/>
      <c r="M45" s="628"/>
      <c r="N45" s="564"/>
      <c r="O45" s="564"/>
      <c r="P45" s="564" t="s">
        <v>380</v>
      </c>
      <c r="Q45" s="564"/>
      <c r="R45" s="564"/>
      <c r="S45" s="564"/>
      <c r="T45" s="564"/>
      <c r="U45" s="564" t="s">
        <v>380</v>
      </c>
      <c r="V45" s="564"/>
      <c r="W45" s="564"/>
      <c r="X45" s="564"/>
      <c r="Y45" s="564"/>
      <c r="Z45" s="564" t="s">
        <v>380</v>
      </c>
      <c r="AA45" s="564"/>
      <c r="AB45" s="564"/>
      <c r="AC45" s="564"/>
      <c r="AD45" s="564"/>
      <c r="AE45" s="564" t="s">
        <v>380</v>
      </c>
      <c r="AF45" s="564"/>
      <c r="AG45" s="564"/>
      <c r="AH45" s="564"/>
      <c r="AI45" s="564"/>
      <c r="AJ45" s="564" t="s">
        <v>380</v>
      </c>
      <c r="AK45" s="564"/>
      <c r="AL45" s="564"/>
      <c r="AM45" s="564"/>
      <c r="AN45" s="564"/>
      <c r="AO45" s="564" t="s">
        <v>380</v>
      </c>
      <c r="AP45" s="564"/>
      <c r="AQ45" s="564"/>
      <c r="AR45" s="564"/>
      <c r="AS45" s="564"/>
      <c r="AT45" s="564" t="s">
        <v>380</v>
      </c>
      <c r="AU45" s="564"/>
      <c r="AV45" s="564"/>
      <c r="AW45" s="564"/>
      <c r="AX45" s="564"/>
    </row>
    <row r="46" spans="2:50" ht="14.25" customHeight="1">
      <c r="B46" s="564"/>
      <c r="C46" s="564"/>
      <c r="D46" s="564"/>
      <c r="E46" s="180" t="s">
        <v>161</v>
      </c>
      <c r="F46" s="180" t="s">
        <v>381</v>
      </c>
      <c r="G46" s="180" t="s">
        <v>163</v>
      </c>
      <c r="H46" s="564"/>
      <c r="I46" s="181" t="s">
        <v>161</v>
      </c>
      <c r="J46" s="181" t="s">
        <v>381</v>
      </c>
      <c r="K46" s="181" t="s">
        <v>163</v>
      </c>
      <c r="L46" s="628"/>
      <c r="M46" s="628"/>
      <c r="N46" s="564"/>
      <c r="O46" s="564"/>
      <c r="P46" s="180" t="s">
        <v>161</v>
      </c>
      <c r="Q46" s="180" t="s">
        <v>381</v>
      </c>
      <c r="R46" s="180" t="s">
        <v>163</v>
      </c>
      <c r="S46" s="182" t="s">
        <v>167</v>
      </c>
      <c r="T46" s="564"/>
      <c r="U46" s="180" t="s">
        <v>161</v>
      </c>
      <c r="V46" s="180" t="s">
        <v>381</v>
      </c>
      <c r="W46" s="180" t="s">
        <v>163</v>
      </c>
      <c r="X46" s="182" t="s">
        <v>167</v>
      </c>
      <c r="Y46" s="564"/>
      <c r="Z46" s="180" t="s">
        <v>161</v>
      </c>
      <c r="AA46" s="180" t="s">
        <v>381</v>
      </c>
      <c r="AB46" s="180" t="s">
        <v>163</v>
      </c>
      <c r="AC46" s="182" t="s">
        <v>167</v>
      </c>
      <c r="AD46" s="564"/>
      <c r="AE46" s="180" t="s">
        <v>161</v>
      </c>
      <c r="AF46" s="180" t="s">
        <v>381</v>
      </c>
      <c r="AG46" s="180" t="s">
        <v>163</v>
      </c>
      <c r="AH46" s="182" t="s">
        <v>167</v>
      </c>
      <c r="AI46" s="564"/>
      <c r="AJ46" s="180" t="s">
        <v>161</v>
      </c>
      <c r="AK46" s="180" t="s">
        <v>381</v>
      </c>
      <c r="AL46" s="180" t="s">
        <v>163</v>
      </c>
      <c r="AM46" s="182" t="s">
        <v>167</v>
      </c>
      <c r="AN46" s="564"/>
      <c r="AO46" s="180" t="s">
        <v>161</v>
      </c>
      <c r="AP46" s="180" t="s">
        <v>381</v>
      </c>
      <c r="AQ46" s="180" t="s">
        <v>163</v>
      </c>
      <c r="AR46" s="182" t="s">
        <v>167</v>
      </c>
      <c r="AS46" s="564"/>
      <c r="AT46" s="180" t="s">
        <v>161</v>
      </c>
      <c r="AU46" s="180" t="s">
        <v>381</v>
      </c>
      <c r="AV46" s="180" t="s">
        <v>163</v>
      </c>
      <c r="AW46" s="182" t="s">
        <v>167</v>
      </c>
      <c r="AX46" s="564"/>
    </row>
    <row r="47" spans="2:50" ht="14.25" customHeight="1">
      <c r="B47" s="564" t="s">
        <v>383</v>
      </c>
      <c r="C47" s="180">
        <v>1</v>
      </c>
      <c r="D47" s="183" t="s">
        <v>473</v>
      </c>
      <c r="E47" s="180">
        <v>6</v>
      </c>
      <c r="F47" s="180">
        <v>2600</v>
      </c>
      <c r="G47" s="185">
        <f t="shared" ref="G47:G55" si="54">F47/E47</f>
        <v>433.33333333333331</v>
      </c>
      <c r="H47" s="625">
        <f>AVERAGE(G47:G61)</f>
        <v>348.65319865319867</v>
      </c>
      <c r="I47" s="186">
        <f>AVERAGE(P47,U47,Z47,AE47,AJ47,AO47,AT47)</f>
        <v>6</v>
      </c>
      <c r="J47" s="186">
        <f>AVERAGE(Q47,V47,AA47,AF47,AK47,AP47,AU47)</f>
        <v>2340.6637433298197</v>
      </c>
      <c r="K47" s="187">
        <f>AVERAGE(R47,W47,AB47,AG47,AL47,AQ47,AV47)</f>
        <v>390.11062388830322</v>
      </c>
      <c r="L47" s="626">
        <f>IFERROR(AVERAGE(K47:K61),"-")</f>
        <v>309.11003312515885</v>
      </c>
      <c r="M47" s="186">
        <f>RANK(K47, K$47:$K$61)</f>
        <v>1</v>
      </c>
      <c r="N47" s="564"/>
      <c r="O47" s="564"/>
      <c r="P47" s="188">
        <v>6</v>
      </c>
      <c r="Q47" s="188">
        <v>2340.1831129196344</v>
      </c>
      <c r="R47" s="185">
        <f>IFERROR(Q47/P47,"")</f>
        <v>390.03051881993906</v>
      </c>
      <c r="S47" s="182">
        <f>RANK(R47, R$47:R$61)</f>
        <v>1</v>
      </c>
      <c r="T47" s="625">
        <f>AVERAGE(R47:R61)</f>
        <v>309.03642362885302</v>
      </c>
      <c r="U47" s="188">
        <v>6</v>
      </c>
      <c r="V47" s="188">
        <v>2341.1589895988068</v>
      </c>
      <c r="W47" s="185">
        <f t="shared" ref="W47:W55" si="55">IFERROR(V47/U47,"")</f>
        <v>390.19316493313448</v>
      </c>
      <c r="X47" s="182">
        <f>RANK(W47, W$47:W$61)</f>
        <v>1</v>
      </c>
      <c r="Y47" s="625">
        <f>AVERAGE(W47:W61)</f>
        <v>309.08621036930407</v>
      </c>
      <c r="Z47" s="188">
        <v>6</v>
      </c>
      <c r="AA47" s="188">
        <v>2341.1513859275024</v>
      </c>
      <c r="AB47" s="185">
        <f t="shared" ref="AB47:AB55" si="56">IFERROR(AA47/Z47,"")</f>
        <v>390.19189765458373</v>
      </c>
      <c r="AC47" s="182">
        <f>RANK(AB47, AB$47:AB$61)</f>
        <v>1</v>
      </c>
      <c r="AD47" s="625">
        <f>AVERAGE(AB47:AB61)</f>
        <v>309.11425593480959</v>
      </c>
      <c r="AE47" s="188">
        <v>6</v>
      </c>
      <c r="AF47" s="188">
        <v>2340.6741573033751</v>
      </c>
      <c r="AG47" s="185">
        <f>IFERROR(AF47/AE47,"")</f>
        <v>390.11235955056253</v>
      </c>
      <c r="AH47" s="182">
        <f>RANK(AG47, AG$47:AG$61)</f>
        <v>2</v>
      </c>
      <c r="AI47" s="625">
        <f>AVERAGE(AG47:AG61)</f>
        <v>309.12457121545526</v>
      </c>
      <c r="AJ47" s="188">
        <v>6</v>
      </c>
      <c r="AK47" s="188">
        <v>2340.1471790678697</v>
      </c>
      <c r="AL47" s="185">
        <f t="shared" ref="AL47:AL55" si="57">IFERROR(AK47/AJ47,"")</f>
        <v>390.02452984464497</v>
      </c>
      <c r="AM47" s="182">
        <f>RANK(AL47, AL$47:AL$61)</f>
        <v>2</v>
      </c>
      <c r="AN47" s="625">
        <f>AVERAGE(AL47:AL61)</f>
        <v>309.13993065896705</v>
      </c>
      <c r="AO47" s="188">
        <v>6</v>
      </c>
      <c r="AP47" s="188">
        <v>2340.2742508887732</v>
      </c>
      <c r="AQ47" s="185">
        <f t="shared" ref="AQ47:AQ55" si="58">IFERROR(AP47/AO47,"")</f>
        <v>390.04570848146221</v>
      </c>
      <c r="AR47" s="182">
        <f>RANK(AQ47, AQ$47:AQ$61)</f>
        <v>2</v>
      </c>
      <c r="AS47" s="625">
        <f>AVERAGE(AQ47:AQ61)</f>
        <v>309.12811665704652</v>
      </c>
      <c r="AT47" s="188">
        <v>6</v>
      </c>
      <c r="AU47" s="188">
        <v>2341.057127602774</v>
      </c>
      <c r="AV47" s="185">
        <f t="shared" ref="AV47:AV55" si="59">IFERROR(AU47/AT47,"")</f>
        <v>390.17618793379569</v>
      </c>
      <c r="AW47" s="182">
        <f>RANK(AV47, AV$47:AV$61)</f>
        <v>1</v>
      </c>
      <c r="AX47" s="625">
        <f>AVERAGE(AV47:AV61)</f>
        <v>309.14072341167605</v>
      </c>
    </row>
    <row r="48" spans="2:50" ht="14.25" customHeight="1">
      <c r="B48" s="564"/>
      <c r="C48" s="180">
        <v>2</v>
      </c>
      <c r="D48" s="183" t="s">
        <v>477</v>
      </c>
      <c r="E48" s="180">
        <v>6</v>
      </c>
      <c r="F48" s="180">
        <v>2600</v>
      </c>
      <c r="G48" s="185">
        <f t="shared" si="54"/>
        <v>433.33333333333331</v>
      </c>
      <c r="H48" s="625"/>
      <c r="I48" s="186">
        <f t="shared" ref="I48:K55" si="60">AVERAGE(P48,U48,Z48,AE48,AJ48,AO48,AT48)</f>
        <v>6</v>
      </c>
      <c r="J48" s="186">
        <f t="shared" si="60"/>
        <v>2340.2584151214692</v>
      </c>
      <c r="K48" s="187">
        <f t="shared" si="60"/>
        <v>390.04306918691145</v>
      </c>
      <c r="L48" s="626"/>
      <c r="M48" s="186">
        <f>RANK(K48, K$47:$K$61)</f>
        <v>2</v>
      </c>
      <c r="N48" s="564"/>
      <c r="O48" s="564"/>
      <c r="P48" s="188">
        <v>6</v>
      </c>
      <c r="Q48" s="188">
        <v>2338.8819875776389</v>
      </c>
      <c r="R48" s="185">
        <f t="shared" ref="R48:R55" si="61">IFERROR(Q48/P48,"")</f>
        <v>389.81366459627316</v>
      </c>
      <c r="S48" s="182">
        <f t="shared" ref="S48:S55" si="62">RANK(R48, R$47:R$61)</f>
        <v>2</v>
      </c>
      <c r="T48" s="625"/>
      <c r="U48" s="188">
        <v>6</v>
      </c>
      <c r="V48" s="188">
        <v>2339.8900427611484</v>
      </c>
      <c r="W48" s="185">
        <f t="shared" si="55"/>
        <v>389.98167379352475</v>
      </c>
      <c r="X48" s="182">
        <f t="shared" ref="X48:X55" si="63">RANK(W48, W$47:W$61)</f>
        <v>2</v>
      </c>
      <c r="Y48" s="625"/>
      <c r="Z48" s="188">
        <v>6</v>
      </c>
      <c r="AA48" s="188">
        <v>2339.8858592263787</v>
      </c>
      <c r="AB48" s="185">
        <f t="shared" si="56"/>
        <v>389.98097653772976</v>
      </c>
      <c r="AC48" s="182">
        <f t="shared" ref="AC48:AC55" si="64">RANK(AB48, AB$47:AB$61)</f>
        <v>2</v>
      </c>
      <c r="AD48" s="625"/>
      <c r="AE48" s="188">
        <v>6</v>
      </c>
      <c r="AF48" s="188">
        <v>2341.1444141689385</v>
      </c>
      <c r="AG48" s="185">
        <f t="shared" ref="AG48:AG55" si="65">IFERROR(AF48/AE48,"")</f>
        <v>390.1907356948231</v>
      </c>
      <c r="AH48" s="182">
        <f t="shared" ref="AH48:AH55" si="66">RANK(AG48, AG$47:AG$61)</f>
        <v>1</v>
      </c>
      <c r="AI48" s="625"/>
      <c r="AJ48" s="188">
        <v>6</v>
      </c>
      <c r="AK48" s="188">
        <v>2340.5351833498598</v>
      </c>
      <c r="AL48" s="185">
        <f t="shared" si="57"/>
        <v>390.08919722497666</v>
      </c>
      <c r="AM48" s="182">
        <f t="shared" ref="AM48:AM55" si="67">RANK(AL48, AL$47:AL$61)</f>
        <v>1</v>
      </c>
      <c r="AN48" s="625"/>
      <c r="AO48" s="188">
        <v>6</v>
      </c>
      <c r="AP48" s="188">
        <v>2340.6844106463918</v>
      </c>
      <c r="AQ48" s="185">
        <f t="shared" si="58"/>
        <v>390.11406844106529</v>
      </c>
      <c r="AR48" s="182">
        <f t="shared" ref="AR48:AR55" si="68">RANK(AQ48, AQ$47:AQ$61)</f>
        <v>1</v>
      </c>
      <c r="AS48" s="625"/>
      <c r="AT48" s="188">
        <v>6</v>
      </c>
      <c r="AU48" s="188">
        <v>2340.7870081199258</v>
      </c>
      <c r="AV48" s="185">
        <f t="shared" si="59"/>
        <v>390.13116801998763</v>
      </c>
      <c r="AW48" s="182">
        <f t="shared" ref="AW48:AW55" si="69">RANK(AV48, AV$47:AV$61)</f>
        <v>2</v>
      </c>
      <c r="AX48" s="625"/>
    </row>
    <row r="49" spans="2:50" ht="14.25" customHeight="1">
      <c r="B49" s="564"/>
      <c r="C49" s="180">
        <v>3</v>
      </c>
      <c r="D49" s="183" t="s">
        <v>643</v>
      </c>
      <c r="E49" s="180">
        <v>6</v>
      </c>
      <c r="F49" s="180">
        <v>2500</v>
      </c>
      <c r="G49" s="185">
        <f t="shared" si="54"/>
        <v>416.66666666666669</v>
      </c>
      <c r="H49" s="625"/>
      <c r="I49" s="186">
        <f t="shared" si="60"/>
        <v>6</v>
      </c>
      <c r="J49" s="186">
        <f t="shared" si="60"/>
        <v>2255.9336598473474</v>
      </c>
      <c r="K49" s="187">
        <f t="shared" si="60"/>
        <v>375.98894330789125</v>
      </c>
      <c r="L49" s="626"/>
      <c r="M49" s="186">
        <f>RANK(K49, K$47:$K$61)</f>
        <v>3</v>
      </c>
      <c r="N49" s="564"/>
      <c r="O49" s="564"/>
      <c r="P49" s="188">
        <v>6</v>
      </c>
      <c r="Q49" s="188">
        <v>2255.5641421947448</v>
      </c>
      <c r="R49" s="185">
        <f t="shared" si="61"/>
        <v>375.92735703245745</v>
      </c>
      <c r="S49" s="182">
        <f t="shared" si="62"/>
        <v>3</v>
      </c>
      <c r="T49" s="625"/>
      <c r="U49" s="188">
        <v>6</v>
      </c>
      <c r="V49" s="188">
        <v>2255.5928190964705</v>
      </c>
      <c r="W49" s="185">
        <f t="shared" si="55"/>
        <v>375.9321365160784</v>
      </c>
      <c r="X49" s="182">
        <f t="shared" si="63"/>
        <v>3</v>
      </c>
      <c r="Y49" s="625"/>
      <c r="Z49" s="188">
        <v>6</v>
      </c>
      <c r="AA49" s="188">
        <v>2255.83926329008</v>
      </c>
      <c r="AB49" s="185">
        <f t="shared" si="56"/>
        <v>375.97321054834669</v>
      </c>
      <c r="AC49" s="182">
        <f t="shared" si="64"/>
        <v>3</v>
      </c>
      <c r="AD49" s="625"/>
      <c r="AE49" s="188">
        <v>6</v>
      </c>
      <c r="AF49" s="188">
        <v>2255.7939914163089</v>
      </c>
      <c r="AG49" s="185">
        <f t="shared" si="65"/>
        <v>375.96566523605151</v>
      </c>
      <c r="AH49" s="182">
        <f t="shared" si="66"/>
        <v>3</v>
      </c>
      <c r="AI49" s="625"/>
      <c r="AJ49" s="188">
        <v>6</v>
      </c>
      <c r="AK49" s="188">
        <v>2256.100104275285</v>
      </c>
      <c r="AL49" s="185">
        <f t="shared" si="57"/>
        <v>376.01668404588082</v>
      </c>
      <c r="AM49" s="182">
        <f t="shared" si="67"/>
        <v>3</v>
      </c>
      <c r="AN49" s="625"/>
      <c r="AO49" s="188">
        <v>6</v>
      </c>
      <c r="AP49" s="188">
        <v>2256.2180579216365</v>
      </c>
      <c r="AQ49" s="185">
        <f t="shared" si="58"/>
        <v>376.03634298693942</v>
      </c>
      <c r="AR49" s="182">
        <f t="shared" si="68"/>
        <v>3</v>
      </c>
      <c r="AS49" s="625"/>
      <c r="AT49" s="188">
        <v>6</v>
      </c>
      <c r="AU49" s="188">
        <v>2256.4272407369067</v>
      </c>
      <c r="AV49" s="185">
        <f t="shared" si="59"/>
        <v>376.07120678948445</v>
      </c>
      <c r="AW49" s="182">
        <f t="shared" si="69"/>
        <v>3</v>
      </c>
      <c r="AX49" s="625"/>
    </row>
    <row r="50" spans="2:50" ht="14.25" customHeight="1">
      <c r="B50" s="564"/>
      <c r="C50" s="180">
        <v>4</v>
      </c>
      <c r="D50" s="183" t="s">
        <v>350</v>
      </c>
      <c r="E50" s="180">
        <v>11</v>
      </c>
      <c r="F50" s="180">
        <v>3600</v>
      </c>
      <c r="G50" s="185">
        <f t="shared" si="54"/>
        <v>327.27272727272725</v>
      </c>
      <c r="H50" s="625"/>
      <c r="I50" s="186">
        <f t="shared" si="60"/>
        <v>11</v>
      </c>
      <c r="J50" s="186">
        <f t="shared" si="60"/>
        <v>3179.9871084852971</v>
      </c>
      <c r="K50" s="187">
        <f t="shared" si="60"/>
        <v>289.08973713502695</v>
      </c>
      <c r="L50" s="626"/>
      <c r="M50" s="186">
        <f>RANK(K50, K$47:$K$61)</f>
        <v>4</v>
      </c>
      <c r="N50" s="564"/>
      <c r="O50" s="564"/>
      <c r="P50" s="188">
        <v>11</v>
      </c>
      <c r="Q50" s="188">
        <v>3180.2553191489369</v>
      </c>
      <c r="R50" s="185">
        <f t="shared" si="61"/>
        <v>289.11411992263061</v>
      </c>
      <c r="S50" s="182">
        <f t="shared" si="62"/>
        <v>4</v>
      </c>
      <c r="T50" s="625"/>
      <c r="U50" s="188">
        <v>11</v>
      </c>
      <c r="V50" s="188">
        <v>3179.6178343949014</v>
      </c>
      <c r="W50" s="185">
        <f t="shared" si="55"/>
        <v>289.05616676317283</v>
      </c>
      <c r="X50" s="182">
        <f t="shared" si="63"/>
        <v>4</v>
      </c>
      <c r="Y50" s="625"/>
      <c r="Z50" s="188">
        <v>11</v>
      </c>
      <c r="AA50" s="188">
        <v>3180.3314917127045</v>
      </c>
      <c r="AB50" s="185">
        <f t="shared" si="56"/>
        <v>289.12104470115497</v>
      </c>
      <c r="AC50" s="182">
        <f t="shared" si="64"/>
        <v>4</v>
      </c>
      <c r="AD50" s="625"/>
      <c r="AE50" s="188">
        <v>11</v>
      </c>
      <c r="AF50" s="188">
        <v>3179.0530846484921</v>
      </c>
      <c r="AG50" s="185">
        <f t="shared" si="65"/>
        <v>289.00482587713566</v>
      </c>
      <c r="AH50" s="182">
        <f t="shared" si="66"/>
        <v>5</v>
      </c>
      <c r="AI50" s="625"/>
      <c r="AJ50" s="188">
        <v>11</v>
      </c>
      <c r="AK50" s="188">
        <v>3180.1916932907329</v>
      </c>
      <c r="AL50" s="185">
        <f t="shared" si="57"/>
        <v>289.10833575370299</v>
      </c>
      <c r="AM50" s="182">
        <f t="shared" si="67"/>
        <v>4</v>
      </c>
      <c r="AN50" s="625"/>
      <c r="AO50" s="188">
        <v>11</v>
      </c>
      <c r="AP50" s="188">
        <v>3180.0315291644738</v>
      </c>
      <c r="AQ50" s="185">
        <f t="shared" si="58"/>
        <v>289.09377537858853</v>
      </c>
      <c r="AR50" s="182">
        <f t="shared" si="68"/>
        <v>5</v>
      </c>
      <c r="AS50" s="625"/>
      <c r="AT50" s="188">
        <v>11</v>
      </c>
      <c r="AU50" s="188">
        <v>3180.4288070368366</v>
      </c>
      <c r="AV50" s="185">
        <f t="shared" si="59"/>
        <v>289.1298915488033</v>
      </c>
      <c r="AW50" s="182">
        <f t="shared" si="69"/>
        <v>4</v>
      </c>
      <c r="AX50" s="625"/>
    </row>
    <row r="51" spans="2:50" ht="14.25" customHeight="1">
      <c r="B51" s="564"/>
      <c r="C51" s="180">
        <v>5</v>
      </c>
      <c r="D51" s="183" t="s">
        <v>353</v>
      </c>
      <c r="E51" s="180">
        <v>11</v>
      </c>
      <c r="F51" s="180">
        <v>3600</v>
      </c>
      <c r="G51" s="185">
        <f t="shared" si="54"/>
        <v>327.27272727272725</v>
      </c>
      <c r="H51" s="625"/>
      <c r="I51" s="186">
        <f t="shared" si="60"/>
        <v>11</v>
      </c>
      <c r="J51" s="186">
        <f t="shared" si="60"/>
        <v>3179.5608941714227</v>
      </c>
      <c r="K51" s="187">
        <f t="shared" si="60"/>
        <v>289.05099037922025</v>
      </c>
      <c r="L51" s="626"/>
      <c r="M51" s="186">
        <f>RANK(K51, K$47:$K$61)</f>
        <v>5</v>
      </c>
      <c r="N51" s="564"/>
      <c r="O51" s="564"/>
      <c r="P51" s="188">
        <v>11</v>
      </c>
      <c r="Q51" s="188">
        <v>3178.8756388415723</v>
      </c>
      <c r="R51" s="185">
        <f t="shared" si="61"/>
        <v>288.98869444014292</v>
      </c>
      <c r="S51" s="182">
        <f t="shared" si="62"/>
        <v>5</v>
      </c>
      <c r="T51" s="625"/>
      <c r="U51" s="188">
        <v>11</v>
      </c>
      <c r="V51" s="188">
        <v>3178.8756388415723</v>
      </c>
      <c r="W51" s="185">
        <f t="shared" si="55"/>
        <v>288.98869444014292</v>
      </c>
      <c r="X51" s="182">
        <f t="shared" si="63"/>
        <v>5</v>
      </c>
      <c r="Y51" s="625"/>
      <c r="Z51" s="188">
        <v>11</v>
      </c>
      <c r="AA51" s="188">
        <v>3179.6407185628827</v>
      </c>
      <c r="AB51" s="185">
        <f t="shared" si="56"/>
        <v>289.05824714208023</v>
      </c>
      <c r="AC51" s="182">
        <f t="shared" si="64"/>
        <v>5</v>
      </c>
      <c r="AD51" s="625"/>
      <c r="AE51" s="188">
        <v>11</v>
      </c>
      <c r="AF51" s="188">
        <v>3179.5823665893254</v>
      </c>
      <c r="AG51" s="185">
        <f t="shared" si="65"/>
        <v>289.0529424172114</v>
      </c>
      <c r="AH51" s="182">
        <f t="shared" si="66"/>
        <v>4</v>
      </c>
      <c r="AI51" s="625"/>
      <c r="AJ51" s="188">
        <v>11</v>
      </c>
      <c r="AK51" s="188">
        <v>3179.5620437956181</v>
      </c>
      <c r="AL51" s="185">
        <f t="shared" si="57"/>
        <v>289.05109489051074</v>
      </c>
      <c r="AM51" s="182">
        <f t="shared" si="67"/>
        <v>5</v>
      </c>
      <c r="AN51" s="625"/>
      <c r="AO51" s="188">
        <v>11</v>
      </c>
      <c r="AP51" s="188">
        <v>3180.0348229831734</v>
      </c>
      <c r="AQ51" s="185">
        <f t="shared" si="58"/>
        <v>289.09407481665215</v>
      </c>
      <c r="AR51" s="182">
        <f t="shared" si="68"/>
        <v>4</v>
      </c>
      <c r="AS51" s="625"/>
      <c r="AT51" s="188">
        <v>11</v>
      </c>
      <c r="AU51" s="188">
        <v>3180.3550295858131</v>
      </c>
      <c r="AV51" s="185">
        <f t="shared" si="59"/>
        <v>289.12318450780117</v>
      </c>
      <c r="AW51" s="182">
        <f t="shared" si="69"/>
        <v>5</v>
      </c>
      <c r="AX51" s="625"/>
    </row>
    <row r="52" spans="2:50" ht="14.25" customHeight="1">
      <c r="B52" s="564"/>
      <c r="C52" s="180">
        <v>6</v>
      </c>
      <c r="D52" s="183" t="s">
        <v>351</v>
      </c>
      <c r="E52" s="180">
        <v>12</v>
      </c>
      <c r="F52" s="180">
        <v>3600</v>
      </c>
      <c r="G52" s="185">
        <f t="shared" si="54"/>
        <v>300</v>
      </c>
      <c r="H52" s="625"/>
      <c r="I52" s="186">
        <f t="shared" si="60"/>
        <v>12</v>
      </c>
      <c r="J52" s="186">
        <f t="shared" si="60"/>
        <v>3143.4466145566539</v>
      </c>
      <c r="K52" s="187">
        <f t="shared" si="60"/>
        <v>261.95388454638783</v>
      </c>
      <c r="L52" s="626"/>
      <c r="M52" s="186">
        <f>RANK(K52, K$47:$K$61)</f>
        <v>7</v>
      </c>
      <c r="N52" s="564"/>
      <c r="O52" s="564"/>
      <c r="P52" s="188">
        <v>12</v>
      </c>
      <c r="Q52" s="188">
        <v>3143.9621152328318</v>
      </c>
      <c r="R52" s="185">
        <f t="shared" si="61"/>
        <v>261.9968429360693</v>
      </c>
      <c r="S52" s="182">
        <f t="shared" si="62"/>
        <v>6</v>
      </c>
      <c r="T52" s="625"/>
      <c r="U52" s="188">
        <v>12</v>
      </c>
      <c r="V52" s="188">
        <v>3143.5816164817716</v>
      </c>
      <c r="W52" s="185">
        <f t="shared" si="55"/>
        <v>261.9651347068143</v>
      </c>
      <c r="X52" s="182">
        <f t="shared" si="63"/>
        <v>6</v>
      </c>
      <c r="Y52" s="625"/>
      <c r="Z52" s="188">
        <v>12</v>
      </c>
      <c r="AA52" s="188">
        <v>3144.2857142857129</v>
      </c>
      <c r="AB52" s="185">
        <f t="shared" si="56"/>
        <v>262.0238095238094</v>
      </c>
      <c r="AC52" s="182">
        <f t="shared" si="64"/>
        <v>6</v>
      </c>
      <c r="AD52" s="625"/>
      <c r="AE52" s="188">
        <v>12</v>
      </c>
      <c r="AF52" s="188">
        <v>3143.7500000000055</v>
      </c>
      <c r="AG52" s="185">
        <f t="shared" si="65"/>
        <v>261.97916666666714</v>
      </c>
      <c r="AH52" s="182">
        <f t="shared" si="66"/>
        <v>7</v>
      </c>
      <c r="AI52" s="625"/>
      <c r="AJ52" s="188">
        <v>12</v>
      </c>
      <c r="AK52" s="188">
        <v>3143.3168316831743</v>
      </c>
      <c r="AL52" s="185">
        <f t="shared" si="57"/>
        <v>261.94306930693119</v>
      </c>
      <c r="AM52" s="182">
        <f t="shared" si="67"/>
        <v>8</v>
      </c>
      <c r="AN52" s="625"/>
      <c r="AO52" s="188">
        <v>12</v>
      </c>
      <c r="AP52" s="188">
        <v>3142.8571428571477</v>
      </c>
      <c r="AQ52" s="185">
        <f t="shared" si="58"/>
        <v>261.90476190476232</v>
      </c>
      <c r="AR52" s="182">
        <f t="shared" si="68"/>
        <v>8</v>
      </c>
      <c r="AS52" s="625"/>
      <c r="AT52" s="188">
        <v>12</v>
      </c>
      <c r="AU52" s="188">
        <v>3142.3728813559333</v>
      </c>
      <c r="AV52" s="185">
        <f t="shared" si="59"/>
        <v>261.86440677966112</v>
      </c>
      <c r="AW52" s="182">
        <f t="shared" si="69"/>
        <v>8</v>
      </c>
      <c r="AX52" s="625"/>
    </row>
    <row r="53" spans="2:50" ht="14.25" customHeight="1">
      <c r="B53" s="564"/>
      <c r="C53" s="180">
        <v>7</v>
      </c>
      <c r="D53" s="183" t="s">
        <v>352</v>
      </c>
      <c r="E53" s="180">
        <v>12</v>
      </c>
      <c r="F53" s="180">
        <v>3600</v>
      </c>
      <c r="G53" s="185">
        <f t="shared" si="54"/>
        <v>300</v>
      </c>
      <c r="H53" s="625"/>
      <c r="I53" s="186">
        <f t="shared" si="60"/>
        <v>12</v>
      </c>
      <c r="J53" s="186">
        <f t="shared" si="60"/>
        <v>3142.0087501891198</v>
      </c>
      <c r="K53" s="187">
        <f t="shared" si="60"/>
        <v>261.83406251575997</v>
      </c>
      <c r="L53" s="626"/>
      <c r="M53" s="186">
        <f>RANK(K53, K$47:$K$61)</f>
        <v>9</v>
      </c>
      <c r="N53" s="564"/>
      <c r="O53" s="564"/>
      <c r="P53" s="188">
        <v>12</v>
      </c>
      <c r="Q53" s="188">
        <v>3141.0419313850066</v>
      </c>
      <c r="R53" s="185">
        <f t="shared" si="61"/>
        <v>261.75349428208386</v>
      </c>
      <c r="S53" s="182">
        <f t="shared" si="62"/>
        <v>9</v>
      </c>
      <c r="T53" s="625"/>
      <c r="U53" s="188">
        <v>12</v>
      </c>
      <c r="V53" s="188">
        <v>3141.8464193270042</v>
      </c>
      <c r="W53" s="185">
        <f t="shared" si="55"/>
        <v>261.82053494391704</v>
      </c>
      <c r="X53" s="182">
        <f t="shared" si="63"/>
        <v>9</v>
      </c>
      <c r="Y53" s="625"/>
      <c r="Z53" s="188">
        <v>12</v>
      </c>
      <c r="AA53" s="188">
        <v>3141.7897480451761</v>
      </c>
      <c r="AB53" s="185">
        <f t="shared" si="56"/>
        <v>261.81581233709801</v>
      </c>
      <c r="AC53" s="182">
        <f t="shared" si="64"/>
        <v>9</v>
      </c>
      <c r="AD53" s="625"/>
      <c r="AE53" s="188">
        <v>12</v>
      </c>
      <c r="AF53" s="188">
        <v>3142.2982885085607</v>
      </c>
      <c r="AG53" s="185">
        <f t="shared" si="65"/>
        <v>261.85819070904671</v>
      </c>
      <c r="AH53" s="182">
        <f t="shared" si="66"/>
        <v>9</v>
      </c>
      <c r="AI53" s="625"/>
      <c r="AJ53" s="188">
        <v>12</v>
      </c>
      <c r="AK53" s="188">
        <v>3142.5938117182372</v>
      </c>
      <c r="AL53" s="185">
        <f t="shared" si="57"/>
        <v>261.88281764318646</v>
      </c>
      <c r="AM53" s="182">
        <f t="shared" si="67"/>
        <v>9</v>
      </c>
      <c r="AN53" s="625"/>
      <c r="AO53" s="188">
        <v>12</v>
      </c>
      <c r="AP53" s="188">
        <v>3142.2945205479464</v>
      </c>
      <c r="AQ53" s="185">
        <f t="shared" si="58"/>
        <v>261.85787671232885</v>
      </c>
      <c r="AR53" s="182">
        <f t="shared" si="68"/>
        <v>9</v>
      </c>
      <c r="AS53" s="625"/>
      <c r="AT53" s="188">
        <v>12</v>
      </c>
      <c r="AU53" s="188">
        <v>3142.1965317919071</v>
      </c>
      <c r="AV53" s="185">
        <f t="shared" si="59"/>
        <v>261.84971098265891</v>
      </c>
      <c r="AW53" s="182">
        <f t="shared" si="69"/>
        <v>9</v>
      </c>
      <c r="AX53" s="625"/>
    </row>
    <row r="54" spans="2:50" ht="14.25" customHeight="1">
      <c r="B54" s="564"/>
      <c r="C54" s="180">
        <v>8</v>
      </c>
      <c r="D54" s="183" t="s">
        <v>354</v>
      </c>
      <c r="E54" s="180">
        <v>12</v>
      </c>
      <c r="F54" s="180">
        <v>3600</v>
      </c>
      <c r="G54" s="185">
        <f t="shared" si="54"/>
        <v>300</v>
      </c>
      <c r="H54" s="625"/>
      <c r="I54" s="186">
        <f t="shared" si="60"/>
        <v>12</v>
      </c>
      <c r="J54" s="186">
        <f t="shared" si="60"/>
        <v>3143.1317409717935</v>
      </c>
      <c r="K54" s="187">
        <f t="shared" si="60"/>
        <v>261.92764508098281</v>
      </c>
      <c r="L54" s="626"/>
      <c r="M54" s="186">
        <f>RANK(K54, K$47:$K$61)</f>
        <v>8</v>
      </c>
      <c r="N54" s="564"/>
      <c r="O54" s="564"/>
      <c r="P54" s="188">
        <v>12</v>
      </c>
      <c r="Q54" s="188">
        <v>3141.7085427135689</v>
      </c>
      <c r="R54" s="185">
        <f t="shared" si="61"/>
        <v>261.80904522613076</v>
      </c>
      <c r="S54" s="182">
        <f t="shared" si="62"/>
        <v>8</v>
      </c>
      <c r="T54" s="625"/>
      <c r="U54" s="188">
        <v>12</v>
      </c>
      <c r="V54" s="188">
        <v>3142.5159914712212</v>
      </c>
      <c r="W54" s="185">
        <f t="shared" si="55"/>
        <v>261.87633262260175</v>
      </c>
      <c r="X54" s="182">
        <f t="shared" si="63"/>
        <v>8</v>
      </c>
      <c r="Y54" s="625"/>
      <c r="Z54" s="188">
        <v>12</v>
      </c>
      <c r="AA54" s="188">
        <v>3142.5769059295608</v>
      </c>
      <c r="AB54" s="185">
        <f t="shared" si="56"/>
        <v>261.88140882746342</v>
      </c>
      <c r="AC54" s="182">
        <f t="shared" si="64"/>
        <v>8</v>
      </c>
      <c r="AD54" s="625"/>
      <c r="AE54" s="188">
        <v>12</v>
      </c>
      <c r="AF54" s="188">
        <v>3143.2387312186934</v>
      </c>
      <c r="AG54" s="185">
        <f t="shared" si="65"/>
        <v>261.93656093489113</v>
      </c>
      <c r="AH54" s="182">
        <f t="shared" si="66"/>
        <v>8</v>
      </c>
      <c r="AI54" s="625"/>
      <c r="AJ54" s="188">
        <v>12</v>
      </c>
      <c r="AK54" s="188">
        <v>3143.9189189189201</v>
      </c>
      <c r="AL54" s="185">
        <f t="shared" si="57"/>
        <v>261.99324324324334</v>
      </c>
      <c r="AM54" s="182">
        <f t="shared" si="67"/>
        <v>7</v>
      </c>
      <c r="AN54" s="625"/>
      <c r="AO54" s="188">
        <v>12</v>
      </c>
      <c r="AP54" s="188">
        <v>3144.3447037701885</v>
      </c>
      <c r="AQ54" s="185">
        <f t="shared" si="58"/>
        <v>262.0287253141824</v>
      </c>
      <c r="AR54" s="182">
        <f t="shared" si="68"/>
        <v>6</v>
      </c>
      <c r="AS54" s="625"/>
      <c r="AT54" s="188">
        <v>12</v>
      </c>
      <c r="AU54" s="188">
        <v>3143.6183927804004</v>
      </c>
      <c r="AV54" s="185">
        <f t="shared" si="59"/>
        <v>261.96819939836672</v>
      </c>
      <c r="AW54" s="182">
        <f t="shared" si="69"/>
        <v>6</v>
      </c>
      <c r="AX54" s="625"/>
    </row>
    <row r="55" spans="2:50" ht="14.25" customHeight="1">
      <c r="B55" s="564"/>
      <c r="C55" s="180">
        <v>9</v>
      </c>
      <c r="D55" s="183" t="s">
        <v>355</v>
      </c>
      <c r="E55" s="180">
        <v>12</v>
      </c>
      <c r="F55" s="180">
        <v>3600</v>
      </c>
      <c r="G55" s="185">
        <f t="shared" si="54"/>
        <v>300</v>
      </c>
      <c r="H55" s="625"/>
      <c r="I55" s="186">
        <f t="shared" si="60"/>
        <v>12</v>
      </c>
      <c r="J55" s="186">
        <f t="shared" si="60"/>
        <v>3143.8961050313437</v>
      </c>
      <c r="K55" s="187">
        <f t="shared" si="60"/>
        <v>261.99134208594529</v>
      </c>
      <c r="L55" s="626"/>
      <c r="M55" s="186">
        <f>RANK(K55, K$47:$K$61)</f>
        <v>6</v>
      </c>
      <c r="N55" s="564"/>
      <c r="O55" s="564"/>
      <c r="P55" s="188">
        <v>12</v>
      </c>
      <c r="Q55" s="188">
        <v>3142.7289048474017</v>
      </c>
      <c r="R55" s="185">
        <f t="shared" si="61"/>
        <v>261.89407540395013</v>
      </c>
      <c r="S55" s="182">
        <f t="shared" si="62"/>
        <v>7</v>
      </c>
      <c r="T55" s="625"/>
      <c r="U55" s="188">
        <v>12</v>
      </c>
      <c r="V55" s="188">
        <v>3143.5446552521994</v>
      </c>
      <c r="W55" s="185">
        <f t="shared" si="55"/>
        <v>261.96205460434993</v>
      </c>
      <c r="X55" s="182">
        <f t="shared" si="63"/>
        <v>7</v>
      </c>
      <c r="Y55" s="625"/>
      <c r="Z55" s="188">
        <v>12</v>
      </c>
      <c r="AA55" s="188">
        <v>3143.7827536922405</v>
      </c>
      <c r="AB55" s="185">
        <f t="shared" si="56"/>
        <v>261.98189614102006</v>
      </c>
      <c r="AC55" s="182">
        <f t="shared" si="64"/>
        <v>7</v>
      </c>
      <c r="AD55" s="625"/>
      <c r="AE55" s="188">
        <v>12</v>
      </c>
      <c r="AF55" s="188">
        <v>3144.2483262324995</v>
      </c>
      <c r="AG55" s="185">
        <f t="shared" si="65"/>
        <v>262.02069385270829</v>
      </c>
      <c r="AH55" s="182">
        <f t="shared" si="66"/>
        <v>6</v>
      </c>
      <c r="AI55" s="625"/>
      <c r="AJ55" s="188">
        <v>12</v>
      </c>
      <c r="AK55" s="188">
        <v>3145.8048477315124</v>
      </c>
      <c r="AL55" s="185">
        <f t="shared" si="57"/>
        <v>262.15040397762601</v>
      </c>
      <c r="AM55" s="182">
        <f t="shared" si="67"/>
        <v>6</v>
      </c>
      <c r="AN55" s="625"/>
      <c r="AO55" s="188">
        <v>12</v>
      </c>
      <c r="AP55" s="188">
        <v>3143.7325905292464</v>
      </c>
      <c r="AQ55" s="185">
        <f t="shared" si="58"/>
        <v>261.97771587743722</v>
      </c>
      <c r="AR55" s="182">
        <f t="shared" si="68"/>
        <v>7</v>
      </c>
      <c r="AS55" s="625"/>
      <c r="AT55" s="188">
        <v>12</v>
      </c>
      <c r="AU55" s="188">
        <v>3143.4306569343053</v>
      </c>
      <c r="AV55" s="185">
        <f t="shared" si="59"/>
        <v>261.95255474452546</v>
      </c>
      <c r="AW55" s="182">
        <f t="shared" si="69"/>
        <v>7</v>
      </c>
      <c r="AX55" s="625"/>
    </row>
    <row r="56" spans="2:50" ht="14.25" customHeight="1">
      <c r="B56" s="564"/>
      <c r="C56" s="180">
        <v>10</v>
      </c>
      <c r="D56" s="183"/>
      <c r="E56" s="180"/>
      <c r="F56" s="180"/>
      <c r="G56" s="185"/>
      <c r="H56" s="625"/>
      <c r="I56" s="186"/>
      <c r="J56" s="186"/>
      <c r="K56" s="187"/>
      <c r="L56" s="626"/>
      <c r="M56" s="186"/>
      <c r="N56" s="564"/>
      <c r="O56" s="564"/>
      <c r="P56" s="188"/>
      <c r="Q56" s="188"/>
      <c r="R56" s="185"/>
      <c r="S56" s="182"/>
      <c r="T56" s="625"/>
      <c r="U56" s="188"/>
      <c r="V56" s="188"/>
      <c r="W56" s="185"/>
      <c r="X56" s="182"/>
      <c r="Y56" s="625"/>
      <c r="Z56" s="188"/>
      <c r="AA56" s="188"/>
      <c r="AB56" s="185"/>
      <c r="AC56" s="182"/>
      <c r="AD56" s="625"/>
      <c r="AE56" s="188"/>
      <c r="AF56" s="188"/>
      <c r="AG56" s="185"/>
      <c r="AH56" s="182"/>
      <c r="AI56" s="625"/>
      <c r="AJ56" s="188"/>
      <c r="AK56" s="188"/>
      <c r="AL56" s="185"/>
      <c r="AM56" s="182"/>
      <c r="AN56" s="625"/>
      <c r="AO56" s="188"/>
      <c r="AP56" s="188"/>
      <c r="AQ56" s="185"/>
      <c r="AR56" s="182"/>
      <c r="AS56" s="625"/>
      <c r="AT56" s="188"/>
      <c r="AU56" s="188"/>
      <c r="AV56" s="185"/>
      <c r="AW56" s="182"/>
      <c r="AX56" s="625"/>
    </row>
    <row r="57" spans="2:50" ht="14.25" customHeight="1">
      <c r="B57" s="564"/>
      <c r="C57" s="180">
        <v>11</v>
      </c>
      <c r="D57" s="183"/>
      <c r="E57" s="180"/>
      <c r="F57" s="180"/>
      <c r="G57" s="185"/>
      <c r="H57" s="625"/>
      <c r="I57" s="186"/>
      <c r="J57" s="186"/>
      <c r="K57" s="187"/>
      <c r="L57" s="626"/>
      <c r="M57" s="186"/>
      <c r="N57" s="564"/>
      <c r="O57" s="564"/>
      <c r="P57" s="188"/>
      <c r="Q57" s="188"/>
      <c r="R57" s="185"/>
      <c r="S57" s="182"/>
      <c r="T57" s="625"/>
      <c r="U57" s="188"/>
      <c r="V57" s="188"/>
      <c r="W57" s="185"/>
      <c r="X57" s="182"/>
      <c r="Y57" s="625"/>
      <c r="Z57" s="188"/>
      <c r="AA57" s="188"/>
      <c r="AB57" s="185"/>
      <c r="AC57" s="182"/>
      <c r="AD57" s="625"/>
      <c r="AE57" s="188"/>
      <c r="AF57" s="188"/>
      <c r="AG57" s="185"/>
      <c r="AH57" s="182"/>
      <c r="AI57" s="625"/>
      <c r="AJ57" s="188"/>
      <c r="AK57" s="188"/>
      <c r="AL57" s="185"/>
      <c r="AM57" s="182"/>
      <c r="AN57" s="625"/>
      <c r="AO57" s="188"/>
      <c r="AP57" s="188"/>
      <c r="AQ57" s="185"/>
      <c r="AR57" s="182"/>
      <c r="AS57" s="625"/>
      <c r="AT57" s="188"/>
      <c r="AU57" s="188"/>
      <c r="AV57" s="185"/>
      <c r="AW57" s="182"/>
      <c r="AX57" s="625"/>
    </row>
    <row r="58" spans="2:50" ht="14.25" customHeight="1">
      <c r="B58" s="564"/>
      <c r="C58" s="180">
        <v>12</v>
      </c>
      <c r="D58" s="183"/>
      <c r="E58" s="180"/>
      <c r="F58" s="180"/>
      <c r="G58" s="185"/>
      <c r="H58" s="625"/>
      <c r="I58" s="186"/>
      <c r="J58" s="186"/>
      <c r="K58" s="187"/>
      <c r="L58" s="626"/>
      <c r="M58" s="186"/>
      <c r="N58" s="564"/>
      <c r="O58" s="564"/>
      <c r="P58" s="188"/>
      <c r="Q58" s="188"/>
      <c r="R58" s="185"/>
      <c r="S58" s="182"/>
      <c r="T58" s="625"/>
      <c r="U58" s="188"/>
      <c r="V58" s="188"/>
      <c r="W58" s="185"/>
      <c r="X58" s="182"/>
      <c r="Y58" s="625"/>
      <c r="Z58" s="188"/>
      <c r="AA58" s="188"/>
      <c r="AB58" s="185"/>
      <c r="AC58" s="182"/>
      <c r="AD58" s="625"/>
      <c r="AE58" s="188"/>
      <c r="AF58" s="188"/>
      <c r="AG58" s="185"/>
      <c r="AH58" s="182"/>
      <c r="AI58" s="625"/>
      <c r="AJ58" s="188"/>
      <c r="AK58" s="188"/>
      <c r="AL58" s="185"/>
      <c r="AM58" s="182"/>
      <c r="AN58" s="625"/>
      <c r="AO58" s="188"/>
      <c r="AP58" s="188"/>
      <c r="AQ58" s="185"/>
      <c r="AR58" s="182"/>
      <c r="AS58" s="625"/>
      <c r="AT58" s="188"/>
      <c r="AU58" s="188"/>
      <c r="AV58" s="185"/>
      <c r="AW58" s="182"/>
      <c r="AX58" s="625"/>
    </row>
    <row r="59" spans="2:50" ht="14.25" customHeight="1">
      <c r="B59" s="564"/>
      <c r="C59" s="180">
        <v>13</v>
      </c>
      <c r="D59" s="183"/>
      <c r="E59" s="180"/>
      <c r="F59" s="180"/>
      <c r="G59" s="185"/>
      <c r="H59" s="625"/>
      <c r="I59" s="186"/>
      <c r="J59" s="186"/>
      <c r="K59" s="187"/>
      <c r="L59" s="626"/>
      <c r="M59" s="186"/>
      <c r="N59" s="564"/>
      <c r="O59" s="564"/>
      <c r="P59" s="188"/>
      <c r="Q59" s="188"/>
      <c r="R59" s="185"/>
      <c r="S59" s="182"/>
      <c r="T59" s="625"/>
      <c r="U59" s="188"/>
      <c r="V59" s="188"/>
      <c r="W59" s="185"/>
      <c r="X59" s="182"/>
      <c r="Y59" s="625"/>
      <c r="Z59" s="188"/>
      <c r="AA59" s="188"/>
      <c r="AB59" s="185"/>
      <c r="AC59" s="182"/>
      <c r="AD59" s="625"/>
      <c r="AE59" s="188"/>
      <c r="AF59" s="188"/>
      <c r="AG59" s="185"/>
      <c r="AH59" s="182"/>
      <c r="AI59" s="625"/>
      <c r="AJ59" s="188"/>
      <c r="AK59" s="188"/>
      <c r="AL59" s="185"/>
      <c r="AM59" s="182"/>
      <c r="AN59" s="625"/>
      <c r="AO59" s="188"/>
      <c r="AP59" s="188"/>
      <c r="AQ59" s="185"/>
      <c r="AR59" s="182"/>
      <c r="AS59" s="625"/>
      <c r="AT59" s="188"/>
      <c r="AU59" s="188"/>
      <c r="AV59" s="185"/>
      <c r="AW59" s="182"/>
      <c r="AX59" s="625"/>
    </row>
    <row r="60" spans="2:50" ht="14.25" customHeight="1">
      <c r="B60" s="564"/>
      <c r="C60" s="180">
        <v>14</v>
      </c>
      <c r="D60" s="183"/>
      <c r="E60" s="180"/>
      <c r="F60" s="180"/>
      <c r="G60" s="185"/>
      <c r="H60" s="625"/>
      <c r="I60" s="186"/>
      <c r="J60" s="186"/>
      <c r="K60" s="187"/>
      <c r="L60" s="626"/>
      <c r="M60" s="186"/>
      <c r="N60" s="564"/>
      <c r="O60" s="564"/>
      <c r="P60" s="188"/>
      <c r="Q60" s="188"/>
      <c r="R60" s="185"/>
      <c r="S60" s="182"/>
      <c r="T60" s="625"/>
      <c r="U60" s="188"/>
      <c r="V60" s="188"/>
      <c r="W60" s="185"/>
      <c r="X60" s="182"/>
      <c r="Y60" s="625"/>
      <c r="Z60" s="188"/>
      <c r="AA60" s="188"/>
      <c r="AB60" s="185"/>
      <c r="AC60" s="182"/>
      <c r="AD60" s="625"/>
      <c r="AE60" s="188"/>
      <c r="AF60" s="188"/>
      <c r="AG60" s="185"/>
      <c r="AH60" s="182"/>
      <c r="AI60" s="625"/>
      <c r="AJ60" s="188"/>
      <c r="AK60" s="188"/>
      <c r="AL60" s="185"/>
      <c r="AM60" s="182"/>
      <c r="AN60" s="625"/>
      <c r="AO60" s="188"/>
      <c r="AP60" s="188"/>
      <c r="AQ60" s="185"/>
      <c r="AR60" s="182"/>
      <c r="AS60" s="625"/>
      <c r="AT60" s="188"/>
      <c r="AU60" s="188"/>
      <c r="AV60" s="185"/>
      <c r="AW60" s="182"/>
      <c r="AX60" s="625"/>
    </row>
    <row r="61" spans="2:50" ht="14.25" customHeight="1">
      <c r="B61" s="564"/>
      <c r="C61" s="180">
        <v>15</v>
      </c>
      <c r="D61" s="183"/>
      <c r="E61" s="180"/>
      <c r="F61" s="180"/>
      <c r="G61" s="185"/>
      <c r="H61" s="625"/>
      <c r="I61" s="186"/>
      <c r="J61" s="186"/>
      <c r="K61" s="187"/>
      <c r="L61" s="626"/>
      <c r="M61" s="186"/>
      <c r="N61" s="564"/>
      <c r="O61" s="564"/>
      <c r="P61" s="188"/>
      <c r="Q61" s="188"/>
      <c r="R61" s="185"/>
      <c r="S61" s="182"/>
      <c r="T61" s="625"/>
      <c r="U61" s="188"/>
      <c r="V61" s="188"/>
      <c r="W61" s="185"/>
      <c r="X61" s="182"/>
      <c r="Y61" s="625"/>
      <c r="Z61" s="188"/>
      <c r="AA61" s="188"/>
      <c r="AB61" s="185"/>
      <c r="AC61" s="182"/>
      <c r="AD61" s="625"/>
      <c r="AE61" s="188"/>
      <c r="AF61" s="188"/>
      <c r="AG61" s="185"/>
      <c r="AH61" s="182"/>
      <c r="AI61" s="625"/>
      <c r="AJ61" s="188"/>
      <c r="AK61" s="188"/>
      <c r="AL61" s="185"/>
      <c r="AM61" s="182"/>
      <c r="AN61" s="625"/>
      <c r="AO61" s="188"/>
      <c r="AP61" s="188"/>
      <c r="AQ61" s="185"/>
      <c r="AR61" s="182"/>
      <c r="AS61" s="625"/>
      <c r="AT61" s="188"/>
      <c r="AU61" s="188"/>
      <c r="AV61" s="185"/>
      <c r="AW61" s="182"/>
      <c r="AX61" s="625"/>
    </row>
    <row r="62" spans="2:50" ht="14.25" customHeight="1" collapsed="1">
      <c r="B62" s="641" t="s">
        <v>644</v>
      </c>
      <c r="C62" s="641"/>
      <c r="D62" s="641"/>
      <c r="E62" s="641"/>
      <c r="F62" s="641"/>
      <c r="G62" s="641"/>
      <c r="H62" s="641"/>
      <c r="I62" s="641"/>
      <c r="J62" s="641"/>
      <c r="K62" s="641"/>
      <c r="L62" s="641"/>
      <c r="M62" s="659"/>
      <c r="N62" s="575" t="s">
        <v>377</v>
      </c>
      <c r="O62" s="575" t="s">
        <v>105</v>
      </c>
      <c r="P62" s="647">
        <f>AT42+1</f>
        <v>46098</v>
      </c>
      <c r="Q62" s="648"/>
      <c r="R62" s="648"/>
      <c r="S62" s="648"/>
      <c r="T62" s="649"/>
      <c r="U62" s="662">
        <f>P62+1</f>
        <v>46099</v>
      </c>
      <c r="V62" s="663"/>
      <c r="W62" s="663"/>
      <c r="X62" s="663"/>
      <c r="Y62" s="664"/>
      <c r="Z62" s="647">
        <f t="shared" ref="Z62" si="70">U62+1</f>
        <v>46100</v>
      </c>
      <c r="AA62" s="648"/>
      <c r="AB62" s="648"/>
      <c r="AC62" s="648"/>
      <c r="AD62" s="649"/>
      <c r="AE62" s="662">
        <f t="shared" ref="AE62" si="71">Z62+1</f>
        <v>46101</v>
      </c>
      <c r="AF62" s="663"/>
      <c r="AG62" s="663"/>
      <c r="AH62" s="663"/>
      <c r="AI62" s="664"/>
      <c r="AJ62" s="647">
        <f t="shared" ref="AJ62" si="72">AE62+1</f>
        <v>46102</v>
      </c>
      <c r="AK62" s="648"/>
      <c r="AL62" s="648"/>
      <c r="AM62" s="648"/>
      <c r="AN62" s="649"/>
      <c r="AO62" s="662">
        <f t="shared" ref="AO62" si="73">AJ62+1</f>
        <v>46103</v>
      </c>
      <c r="AP62" s="663"/>
      <c r="AQ62" s="663"/>
      <c r="AR62" s="663"/>
      <c r="AS62" s="664"/>
      <c r="AT62" s="647">
        <f t="shared" ref="AT62" si="74">AO62+1</f>
        <v>46104</v>
      </c>
      <c r="AU62" s="648"/>
      <c r="AV62" s="648"/>
      <c r="AW62" s="648"/>
      <c r="AX62" s="649"/>
    </row>
    <row r="63" spans="2:50" ht="14.25" customHeight="1"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1"/>
      <c r="N63" s="577"/>
      <c r="O63" s="577"/>
      <c r="P63" s="652">
        <f>P62</f>
        <v>46098</v>
      </c>
      <c r="Q63" s="653"/>
      <c r="R63" s="653"/>
      <c r="S63" s="653"/>
      <c r="T63" s="654"/>
      <c r="U63" s="665">
        <f>U62</f>
        <v>46099</v>
      </c>
      <c r="V63" s="666"/>
      <c r="W63" s="666"/>
      <c r="X63" s="666"/>
      <c r="Y63" s="667"/>
      <c r="Z63" s="652">
        <f t="shared" ref="Z63" si="75">Z62</f>
        <v>46100</v>
      </c>
      <c r="AA63" s="653"/>
      <c r="AB63" s="653"/>
      <c r="AC63" s="653"/>
      <c r="AD63" s="654"/>
      <c r="AE63" s="665">
        <f t="shared" ref="AE63" si="76">AE62</f>
        <v>46101</v>
      </c>
      <c r="AF63" s="666"/>
      <c r="AG63" s="666"/>
      <c r="AH63" s="666"/>
      <c r="AI63" s="667"/>
      <c r="AJ63" s="652">
        <f t="shared" ref="AJ63" si="77">AJ62</f>
        <v>46102</v>
      </c>
      <c r="AK63" s="653"/>
      <c r="AL63" s="653"/>
      <c r="AM63" s="653"/>
      <c r="AN63" s="654"/>
      <c r="AO63" s="665">
        <f t="shared" ref="AO63" si="78">AO62</f>
        <v>46103</v>
      </c>
      <c r="AP63" s="666"/>
      <c r="AQ63" s="666"/>
      <c r="AR63" s="666"/>
      <c r="AS63" s="667"/>
      <c r="AT63" s="652">
        <f t="shared" ref="AT63" si="79">AT62</f>
        <v>46104</v>
      </c>
      <c r="AU63" s="653"/>
      <c r="AV63" s="653"/>
      <c r="AW63" s="653"/>
      <c r="AX63" s="654"/>
    </row>
    <row r="64" spans="2:50" ht="14.25" customHeight="1">
      <c r="B64" s="564" t="s">
        <v>164</v>
      </c>
      <c r="C64" s="564" t="s">
        <v>159</v>
      </c>
      <c r="D64" s="564"/>
      <c r="E64" s="564" t="s">
        <v>160</v>
      </c>
      <c r="F64" s="564"/>
      <c r="G64" s="564"/>
      <c r="H64" s="564" t="s">
        <v>165</v>
      </c>
      <c r="I64" s="628" t="s">
        <v>378</v>
      </c>
      <c r="J64" s="628"/>
      <c r="K64" s="628"/>
      <c r="L64" s="628" t="s">
        <v>165</v>
      </c>
      <c r="M64" s="628" t="s">
        <v>167</v>
      </c>
      <c r="N64" s="564"/>
      <c r="O64" s="564" t="s">
        <v>166</v>
      </c>
      <c r="P64" s="564" t="s">
        <v>162</v>
      </c>
      <c r="Q64" s="564"/>
      <c r="R64" s="564"/>
      <c r="S64" s="564"/>
      <c r="T64" s="564" t="s">
        <v>165</v>
      </c>
      <c r="U64" s="564" t="s">
        <v>162</v>
      </c>
      <c r="V64" s="564"/>
      <c r="W64" s="564"/>
      <c r="X64" s="564"/>
      <c r="Y64" s="564" t="s">
        <v>165</v>
      </c>
      <c r="Z64" s="564" t="s">
        <v>162</v>
      </c>
      <c r="AA64" s="564"/>
      <c r="AB64" s="564"/>
      <c r="AC64" s="564"/>
      <c r="AD64" s="564" t="s">
        <v>165</v>
      </c>
      <c r="AE64" s="564" t="s">
        <v>162</v>
      </c>
      <c r="AF64" s="564"/>
      <c r="AG64" s="564"/>
      <c r="AH64" s="564"/>
      <c r="AI64" s="564" t="s">
        <v>165</v>
      </c>
      <c r="AJ64" s="564" t="s">
        <v>162</v>
      </c>
      <c r="AK64" s="564"/>
      <c r="AL64" s="564"/>
      <c r="AM64" s="564"/>
      <c r="AN64" s="564" t="s">
        <v>165</v>
      </c>
      <c r="AO64" s="564" t="s">
        <v>162</v>
      </c>
      <c r="AP64" s="564"/>
      <c r="AQ64" s="564"/>
      <c r="AR64" s="564"/>
      <c r="AS64" s="564" t="s">
        <v>165</v>
      </c>
      <c r="AT64" s="564" t="s">
        <v>162</v>
      </c>
      <c r="AU64" s="564"/>
      <c r="AV64" s="564"/>
      <c r="AW64" s="564"/>
      <c r="AX64" s="564" t="s">
        <v>165</v>
      </c>
    </row>
    <row r="65" spans="2:50" ht="14.25" customHeight="1">
      <c r="B65" s="564"/>
      <c r="C65" s="564"/>
      <c r="D65" s="564"/>
      <c r="E65" s="564" t="s">
        <v>379</v>
      </c>
      <c r="F65" s="564"/>
      <c r="G65" s="564"/>
      <c r="H65" s="564"/>
      <c r="I65" s="628" t="s">
        <v>379</v>
      </c>
      <c r="J65" s="628"/>
      <c r="K65" s="628"/>
      <c r="L65" s="628"/>
      <c r="M65" s="628"/>
      <c r="N65" s="564"/>
      <c r="O65" s="564"/>
      <c r="P65" s="564" t="s">
        <v>380</v>
      </c>
      <c r="Q65" s="564"/>
      <c r="R65" s="564"/>
      <c r="S65" s="564"/>
      <c r="T65" s="564"/>
      <c r="U65" s="564" t="s">
        <v>380</v>
      </c>
      <c r="V65" s="564"/>
      <c r="W65" s="564"/>
      <c r="X65" s="564"/>
      <c r="Y65" s="564"/>
      <c r="Z65" s="564" t="s">
        <v>380</v>
      </c>
      <c r="AA65" s="564"/>
      <c r="AB65" s="564"/>
      <c r="AC65" s="564"/>
      <c r="AD65" s="564"/>
      <c r="AE65" s="564" t="s">
        <v>380</v>
      </c>
      <c r="AF65" s="564"/>
      <c r="AG65" s="564"/>
      <c r="AH65" s="564"/>
      <c r="AI65" s="564"/>
      <c r="AJ65" s="564" t="s">
        <v>380</v>
      </c>
      <c r="AK65" s="564"/>
      <c r="AL65" s="564"/>
      <c r="AM65" s="564"/>
      <c r="AN65" s="564"/>
      <c r="AO65" s="564" t="s">
        <v>380</v>
      </c>
      <c r="AP65" s="564"/>
      <c r="AQ65" s="564"/>
      <c r="AR65" s="564"/>
      <c r="AS65" s="564"/>
      <c r="AT65" s="564" t="s">
        <v>380</v>
      </c>
      <c r="AU65" s="564"/>
      <c r="AV65" s="564"/>
      <c r="AW65" s="564"/>
      <c r="AX65" s="564"/>
    </row>
    <row r="66" spans="2:50" ht="14.25" customHeight="1">
      <c r="B66" s="564"/>
      <c r="C66" s="564"/>
      <c r="D66" s="564"/>
      <c r="E66" s="180" t="s">
        <v>161</v>
      </c>
      <c r="F66" s="180" t="s">
        <v>381</v>
      </c>
      <c r="G66" s="180" t="s">
        <v>163</v>
      </c>
      <c r="H66" s="564"/>
      <c r="I66" s="181" t="s">
        <v>161</v>
      </c>
      <c r="J66" s="181" t="s">
        <v>381</v>
      </c>
      <c r="K66" s="181" t="s">
        <v>163</v>
      </c>
      <c r="L66" s="628"/>
      <c r="M66" s="628"/>
      <c r="N66" s="564"/>
      <c r="O66" s="564"/>
      <c r="P66" s="180" t="s">
        <v>161</v>
      </c>
      <c r="Q66" s="180" t="s">
        <v>381</v>
      </c>
      <c r="R66" s="180" t="s">
        <v>163</v>
      </c>
      <c r="S66" s="182" t="s">
        <v>167</v>
      </c>
      <c r="T66" s="564"/>
      <c r="U66" s="180" t="s">
        <v>161</v>
      </c>
      <c r="V66" s="180" t="s">
        <v>381</v>
      </c>
      <c r="W66" s="180" t="s">
        <v>163</v>
      </c>
      <c r="X66" s="182" t="s">
        <v>167</v>
      </c>
      <c r="Y66" s="564"/>
      <c r="Z66" s="180" t="s">
        <v>161</v>
      </c>
      <c r="AA66" s="180" t="s">
        <v>381</v>
      </c>
      <c r="AB66" s="180" t="s">
        <v>163</v>
      </c>
      <c r="AC66" s="182" t="s">
        <v>167</v>
      </c>
      <c r="AD66" s="564"/>
      <c r="AE66" s="180" t="s">
        <v>161</v>
      </c>
      <c r="AF66" s="180" t="s">
        <v>381</v>
      </c>
      <c r="AG66" s="180" t="s">
        <v>163</v>
      </c>
      <c r="AH66" s="182" t="s">
        <v>167</v>
      </c>
      <c r="AI66" s="564"/>
      <c r="AJ66" s="180" t="s">
        <v>161</v>
      </c>
      <c r="AK66" s="180" t="s">
        <v>381</v>
      </c>
      <c r="AL66" s="180" t="s">
        <v>163</v>
      </c>
      <c r="AM66" s="182" t="s">
        <v>167</v>
      </c>
      <c r="AN66" s="564"/>
      <c r="AO66" s="180" t="s">
        <v>161</v>
      </c>
      <c r="AP66" s="180" t="s">
        <v>381</v>
      </c>
      <c r="AQ66" s="180" t="s">
        <v>163</v>
      </c>
      <c r="AR66" s="182" t="s">
        <v>167</v>
      </c>
      <c r="AS66" s="564"/>
      <c r="AT66" s="180" t="s">
        <v>161</v>
      </c>
      <c r="AU66" s="180" t="s">
        <v>381</v>
      </c>
      <c r="AV66" s="180" t="s">
        <v>163</v>
      </c>
      <c r="AW66" s="182" t="s">
        <v>167</v>
      </c>
      <c r="AX66" s="564"/>
    </row>
    <row r="67" spans="2:50" ht="14.25" customHeight="1">
      <c r="B67" s="564" t="s">
        <v>383</v>
      </c>
      <c r="C67" s="180">
        <v>1</v>
      </c>
      <c r="D67" s="183" t="s">
        <v>351</v>
      </c>
      <c r="E67" s="180">
        <v>12</v>
      </c>
      <c r="F67" s="180">
        <v>3600</v>
      </c>
      <c r="G67" s="185">
        <f t="shared" ref="G67:G76" si="80">F67/E67</f>
        <v>300</v>
      </c>
      <c r="H67" s="625">
        <f>AVERAGE(G67:G81)</f>
        <v>355.45454545454538</v>
      </c>
      <c r="I67" s="186">
        <f>AVERAGE(P67,U67,Z67,AE67,AJ67,AO67,AT67)</f>
        <v>12</v>
      </c>
      <c r="J67" s="186">
        <f>AVERAGE(Q67,V67,AA67,AF67,AK67,AP67,AU67)</f>
        <v>3144.9294501172294</v>
      </c>
      <c r="K67" s="187">
        <f>AVERAGE(R67,W67,AB67,AG67,AL67,AQ67,AV67)</f>
        <v>262.07745417643577</v>
      </c>
      <c r="L67" s="626">
        <f>IFERROR(AVERAGE(K67:K81),"-")</f>
        <v>314.54674398974026</v>
      </c>
      <c r="M67" s="186">
        <f>RANK(K67, K$67:$K$81)</f>
        <v>9</v>
      </c>
      <c r="N67" s="564"/>
      <c r="O67" s="564"/>
      <c r="P67" s="188">
        <v>12</v>
      </c>
      <c r="Q67" s="188">
        <v>3143.4571890145394</v>
      </c>
      <c r="R67" s="185">
        <f>IFERROR(Q67/P67,"")</f>
        <v>261.9547657512116</v>
      </c>
      <c r="S67" s="182">
        <f>RANK(R67, R$67:R$81)</f>
        <v>10</v>
      </c>
      <c r="T67" s="625">
        <f>AVERAGE(R67:R81)</f>
        <v>312.51018498600939</v>
      </c>
      <c r="U67" s="188">
        <v>12</v>
      </c>
      <c r="V67" s="188">
        <v>3142.8791972211493</v>
      </c>
      <c r="W67" s="185">
        <f t="shared" ref="W67:W76" si="81">IFERROR(V67/U67,"")</f>
        <v>261.90659976842909</v>
      </c>
      <c r="X67" s="182">
        <f>RANK(W67, W$67:W$81)</f>
        <v>10</v>
      </c>
      <c r="Y67" s="625">
        <f>AVERAGE(W67:W81)</f>
        <v>313.15577661290462</v>
      </c>
      <c r="Z67" s="188">
        <v>12</v>
      </c>
      <c r="AA67" s="188">
        <v>3142.6800929512019</v>
      </c>
      <c r="AB67" s="185">
        <f t="shared" ref="AB67:AB76" si="82">IFERROR(AA67/Z67,"")</f>
        <v>261.89000774593347</v>
      </c>
      <c r="AC67" s="182">
        <f>RANK(AB67, AB$67:AB$81)</f>
        <v>10</v>
      </c>
      <c r="AD67" s="625">
        <f>AVERAGE(AB67:AB81)</f>
        <v>313.89393654916171</v>
      </c>
      <c r="AE67" s="188">
        <v>12</v>
      </c>
      <c r="AF67" s="188">
        <v>3145.9641255605393</v>
      </c>
      <c r="AG67" s="185">
        <f>IFERROR(AF67/AE67,"")</f>
        <v>262.16367713004496</v>
      </c>
      <c r="AH67" s="182">
        <f>RANK(AG67, AG$67:AG$81)</f>
        <v>9</v>
      </c>
      <c r="AI67" s="625">
        <f>AVERAGE(AG67:AG81)</f>
        <v>314.87487050442365</v>
      </c>
      <c r="AJ67" s="188">
        <v>12</v>
      </c>
      <c r="AK67" s="188">
        <v>3145.8256029684535</v>
      </c>
      <c r="AL67" s="185">
        <f t="shared" ref="AL67:AL76" si="83">IFERROR(AK67/AJ67,"")</f>
        <v>262.15213358070446</v>
      </c>
      <c r="AM67" s="182">
        <f>RANK(AL67, AL$67:AL$81)</f>
        <v>9</v>
      </c>
      <c r="AN67" s="625">
        <f>AVERAGE(AL67:AL81)</f>
        <v>315.41058803899142</v>
      </c>
      <c r="AO67" s="188">
        <v>12</v>
      </c>
      <c r="AP67" s="188">
        <v>3146.5753424657496</v>
      </c>
      <c r="AQ67" s="185">
        <f t="shared" ref="AQ67:AQ76" si="84">IFERROR(AP67/AO67,"")</f>
        <v>262.21461187214578</v>
      </c>
      <c r="AR67" s="182">
        <f>RANK(AQ67, AQ$67:AQ$81)</f>
        <v>9</v>
      </c>
      <c r="AS67" s="625">
        <f>AVERAGE(AQ67:AQ81)</f>
        <v>315.97485747308889</v>
      </c>
      <c r="AT67" s="188">
        <v>12</v>
      </c>
      <c r="AU67" s="188">
        <v>3147.1246006389756</v>
      </c>
      <c r="AV67" s="185">
        <f t="shared" ref="AV67:AV76" si="85">IFERROR(AU67/AT67,"")</f>
        <v>262.26038338658128</v>
      </c>
      <c r="AW67" s="182">
        <f>RANK(AV67, AV$67:AV$81)</f>
        <v>8</v>
      </c>
      <c r="AX67" s="625">
        <f>AVERAGE(AV67:AV81)</f>
        <v>316.00699376360217</v>
      </c>
    </row>
    <row r="68" spans="2:50" ht="14.25" customHeight="1">
      <c r="B68" s="564"/>
      <c r="C68" s="180">
        <v>2</v>
      </c>
      <c r="D68" s="183" t="s">
        <v>352</v>
      </c>
      <c r="E68" s="180">
        <v>12</v>
      </c>
      <c r="F68" s="180">
        <v>3600</v>
      </c>
      <c r="G68" s="185">
        <f t="shared" si="80"/>
        <v>300</v>
      </c>
      <c r="H68" s="625"/>
      <c r="I68" s="186">
        <f t="shared" ref="I68:K76" si="86">AVERAGE(P68,U68,Z68,AE68,AJ68,AO68,AT68)</f>
        <v>12</v>
      </c>
      <c r="J68" s="186">
        <f t="shared" si="86"/>
        <v>3144.7361668576959</v>
      </c>
      <c r="K68" s="187">
        <f t="shared" si="86"/>
        <v>262.06134723814131</v>
      </c>
      <c r="L68" s="626"/>
      <c r="M68" s="186">
        <f>RANK(K68, K$67:$K$81)</f>
        <v>10</v>
      </c>
      <c r="N68" s="564"/>
      <c r="O68" s="564"/>
      <c r="P68" s="188">
        <v>12</v>
      </c>
      <c r="Q68" s="188">
        <v>3143.7972432192087</v>
      </c>
      <c r="R68" s="185">
        <f t="shared" ref="R68:R76" si="87">IFERROR(Q68/P68,"")</f>
        <v>261.9831036016007</v>
      </c>
      <c r="S68" s="182">
        <f t="shared" ref="S68:S76" si="88">RANK(R68, R$67:R$81)</f>
        <v>9</v>
      </c>
      <c r="T68" s="625"/>
      <c r="U68" s="188">
        <v>12</v>
      </c>
      <c r="V68" s="188">
        <v>3143.7683592110784</v>
      </c>
      <c r="W68" s="185">
        <f t="shared" si="81"/>
        <v>261.98069660092318</v>
      </c>
      <c r="X68" s="182">
        <f t="shared" ref="X68:X76" si="89">RANK(W68, W$67:W$81)</f>
        <v>8</v>
      </c>
      <c r="Y68" s="625"/>
      <c r="Z68" s="188">
        <v>12</v>
      </c>
      <c r="AA68" s="188">
        <v>3144.0713982150446</v>
      </c>
      <c r="AB68" s="185">
        <f t="shared" si="82"/>
        <v>262.00594985125372</v>
      </c>
      <c r="AC68" s="182">
        <f t="shared" ref="AC68:AC76" si="90">RANK(AB68, AB$67:AB$81)</f>
        <v>8</v>
      </c>
      <c r="AD68" s="625"/>
      <c r="AE68" s="188">
        <v>12</v>
      </c>
      <c r="AF68" s="188">
        <v>3144.6192573945837</v>
      </c>
      <c r="AG68" s="185">
        <f t="shared" ref="AG68:AG76" si="91">IFERROR(AF68/AE68,"")</f>
        <v>262.05160478288195</v>
      </c>
      <c r="AH68" s="182">
        <f t="shared" ref="AH68:AH76" si="92">RANK(AG68, AG$67:AG$81)</f>
        <v>10</v>
      </c>
      <c r="AI68" s="625"/>
      <c r="AJ68" s="188">
        <v>12</v>
      </c>
      <c r="AK68" s="188">
        <v>3145.7025920873184</v>
      </c>
      <c r="AL68" s="185">
        <f t="shared" si="83"/>
        <v>262.1418826739432</v>
      </c>
      <c r="AM68" s="182">
        <f t="shared" ref="AM68:AM76" si="93">RANK(AL68, AL$67:AL$81)</f>
        <v>10</v>
      </c>
      <c r="AN68" s="625"/>
      <c r="AO68" s="188">
        <v>12</v>
      </c>
      <c r="AP68" s="188">
        <v>3145.7800511508922</v>
      </c>
      <c r="AQ68" s="185">
        <f t="shared" si="84"/>
        <v>262.14833759590766</v>
      </c>
      <c r="AR68" s="182">
        <f t="shared" ref="AR68:AR76" si="94">RANK(AQ68, AQ$67:AQ$81)</f>
        <v>10</v>
      </c>
      <c r="AS68" s="625"/>
      <c r="AT68" s="188">
        <v>12</v>
      </c>
      <c r="AU68" s="188">
        <v>3145.4142667257429</v>
      </c>
      <c r="AV68" s="185">
        <f t="shared" si="85"/>
        <v>262.11785556047857</v>
      </c>
      <c r="AW68" s="182">
        <f t="shared" ref="AW68:AW76" si="95">RANK(AV68, AV$67:AV$81)</f>
        <v>10</v>
      </c>
      <c r="AX68" s="625"/>
    </row>
    <row r="69" spans="2:50" ht="14.25" customHeight="1">
      <c r="B69" s="564"/>
      <c r="C69" s="180">
        <v>3</v>
      </c>
      <c r="D69" s="183" t="s">
        <v>350</v>
      </c>
      <c r="E69" s="180">
        <v>11</v>
      </c>
      <c r="F69" s="180">
        <v>3600</v>
      </c>
      <c r="G69" s="185">
        <f t="shared" si="80"/>
        <v>327.27272727272725</v>
      </c>
      <c r="H69" s="625"/>
      <c r="I69" s="186">
        <f t="shared" si="86"/>
        <v>11</v>
      </c>
      <c r="J69" s="186">
        <f t="shared" si="86"/>
        <v>3181.9535912030046</v>
      </c>
      <c r="K69" s="187">
        <f t="shared" si="86"/>
        <v>289.26850829118223</v>
      </c>
      <c r="L69" s="626"/>
      <c r="M69" s="186">
        <f>RANK(K69, K$67:$K$81)</f>
        <v>5</v>
      </c>
      <c r="N69" s="564"/>
      <c r="O69" s="564"/>
      <c r="P69" s="188">
        <v>11</v>
      </c>
      <c r="Q69" s="188">
        <v>3180.6988352745361</v>
      </c>
      <c r="R69" s="185">
        <f t="shared" si="87"/>
        <v>289.15443957041236</v>
      </c>
      <c r="S69" s="182">
        <f t="shared" si="88"/>
        <v>5</v>
      </c>
      <c r="T69" s="625"/>
      <c r="U69" s="188">
        <v>11</v>
      </c>
      <c r="V69" s="188">
        <v>3180.1339285714307</v>
      </c>
      <c r="W69" s="185">
        <f t="shared" si="81"/>
        <v>289.10308441558459</v>
      </c>
      <c r="X69" s="182">
        <f t="shared" si="89"/>
        <v>5</v>
      </c>
      <c r="Y69" s="625"/>
      <c r="Z69" s="188">
        <v>11</v>
      </c>
      <c r="AA69" s="188">
        <v>3179.5199999999995</v>
      </c>
      <c r="AB69" s="185">
        <f t="shared" si="82"/>
        <v>289.04727272727268</v>
      </c>
      <c r="AC69" s="182">
        <f t="shared" si="90"/>
        <v>6</v>
      </c>
      <c r="AD69" s="625"/>
      <c r="AE69" s="188">
        <v>11</v>
      </c>
      <c r="AF69" s="188">
        <v>3183.4245504300229</v>
      </c>
      <c r="AG69" s="185">
        <f t="shared" si="91"/>
        <v>289.40223185727478</v>
      </c>
      <c r="AH69" s="182">
        <f t="shared" si="92"/>
        <v>5</v>
      </c>
      <c r="AI69" s="625"/>
      <c r="AJ69" s="188">
        <v>11</v>
      </c>
      <c r="AK69" s="188">
        <v>3183.2797427652708</v>
      </c>
      <c r="AL69" s="185">
        <f t="shared" si="83"/>
        <v>289.38906752411555</v>
      </c>
      <c r="AM69" s="182">
        <f t="shared" si="93"/>
        <v>5</v>
      </c>
      <c r="AN69" s="625"/>
      <c r="AO69" s="188">
        <v>11</v>
      </c>
      <c r="AP69" s="188">
        <v>3183.4394904458563</v>
      </c>
      <c r="AQ69" s="185">
        <f t="shared" si="84"/>
        <v>289.40359004053238</v>
      </c>
      <c r="AR69" s="182">
        <f t="shared" si="94"/>
        <v>5</v>
      </c>
      <c r="AS69" s="625"/>
      <c r="AT69" s="188">
        <v>11</v>
      </c>
      <c r="AU69" s="188">
        <v>3183.178590933916</v>
      </c>
      <c r="AV69" s="185">
        <f t="shared" si="85"/>
        <v>289.37987190308326</v>
      </c>
      <c r="AW69" s="182">
        <f t="shared" si="95"/>
        <v>5</v>
      </c>
      <c r="AX69" s="625"/>
    </row>
    <row r="70" spans="2:50" ht="14.25" customHeight="1">
      <c r="B70" s="564"/>
      <c r="C70" s="180">
        <v>4</v>
      </c>
      <c r="D70" s="183" t="s">
        <v>473</v>
      </c>
      <c r="E70" s="180">
        <v>6</v>
      </c>
      <c r="F70" s="180">
        <v>2600</v>
      </c>
      <c r="G70" s="185">
        <f t="shared" si="80"/>
        <v>433.33333333333331</v>
      </c>
      <c r="H70" s="625"/>
      <c r="I70" s="186">
        <f t="shared" si="86"/>
        <v>6</v>
      </c>
      <c r="J70" s="186">
        <f t="shared" si="86"/>
        <v>2340.8138486083012</v>
      </c>
      <c r="K70" s="187">
        <f t="shared" si="86"/>
        <v>390.13564143471683</v>
      </c>
      <c r="L70" s="626"/>
      <c r="M70" s="186">
        <f>RANK(K70, K$67:$K$81)</f>
        <v>1</v>
      </c>
      <c r="N70" s="564"/>
      <c r="O70" s="564"/>
      <c r="P70" s="188">
        <v>6</v>
      </c>
      <c r="Q70" s="188">
        <v>2340.1888772298039</v>
      </c>
      <c r="R70" s="185">
        <f t="shared" si="87"/>
        <v>390.03147953830063</v>
      </c>
      <c r="S70" s="182">
        <f t="shared" si="88"/>
        <v>2</v>
      </c>
      <c r="T70" s="625"/>
      <c r="U70" s="188">
        <v>6</v>
      </c>
      <c r="V70" s="188">
        <v>2340.7809110629082</v>
      </c>
      <c r="W70" s="185">
        <f t="shared" si="81"/>
        <v>390.13015184381806</v>
      </c>
      <c r="X70" s="182">
        <f t="shared" si="89"/>
        <v>1</v>
      </c>
      <c r="Y70" s="625"/>
      <c r="Z70" s="188">
        <v>6</v>
      </c>
      <c r="AA70" s="188">
        <v>2340.5070422535241</v>
      </c>
      <c r="AB70" s="185">
        <f t="shared" si="82"/>
        <v>390.08450704225402</v>
      </c>
      <c r="AC70" s="182">
        <f t="shared" si="90"/>
        <v>1</v>
      </c>
      <c r="AD70" s="625"/>
      <c r="AE70" s="188">
        <v>6</v>
      </c>
      <c r="AF70" s="188">
        <v>2341.1214953271042</v>
      </c>
      <c r="AG70" s="185">
        <f t="shared" si="91"/>
        <v>390.18691588785072</v>
      </c>
      <c r="AH70" s="182">
        <f t="shared" si="92"/>
        <v>1</v>
      </c>
      <c r="AI70" s="625"/>
      <c r="AJ70" s="188">
        <v>6</v>
      </c>
      <c r="AK70" s="188">
        <v>2341.2371134020623</v>
      </c>
      <c r="AL70" s="185">
        <f t="shared" si="83"/>
        <v>390.20618556701038</v>
      </c>
      <c r="AM70" s="182">
        <f t="shared" si="93"/>
        <v>1</v>
      </c>
      <c r="AN70" s="625"/>
      <c r="AO70" s="188">
        <v>6</v>
      </c>
      <c r="AP70" s="188">
        <v>2340.5750798722029</v>
      </c>
      <c r="AQ70" s="185">
        <f t="shared" si="84"/>
        <v>390.09584664536715</v>
      </c>
      <c r="AR70" s="182">
        <f t="shared" si="94"/>
        <v>1</v>
      </c>
      <c r="AS70" s="625"/>
      <c r="AT70" s="188">
        <v>6</v>
      </c>
      <c r="AU70" s="188">
        <v>2341.2864211105025</v>
      </c>
      <c r="AV70" s="185">
        <f t="shared" si="85"/>
        <v>390.2144035184171</v>
      </c>
      <c r="AW70" s="182">
        <f t="shared" si="95"/>
        <v>1</v>
      </c>
      <c r="AX70" s="625"/>
    </row>
    <row r="71" spans="2:50" ht="14.25" customHeight="1">
      <c r="B71" s="564"/>
      <c r="C71" s="180">
        <v>5</v>
      </c>
      <c r="D71" s="183" t="s">
        <v>477</v>
      </c>
      <c r="E71" s="180">
        <v>6</v>
      </c>
      <c r="F71" s="180">
        <v>2600</v>
      </c>
      <c r="G71" s="185">
        <f t="shared" si="80"/>
        <v>433.33333333333331</v>
      </c>
      <c r="H71" s="625"/>
      <c r="I71" s="186">
        <f t="shared" si="86"/>
        <v>6</v>
      </c>
      <c r="J71" s="186">
        <f t="shared" si="86"/>
        <v>2339.8856461762698</v>
      </c>
      <c r="K71" s="187">
        <f t="shared" si="86"/>
        <v>389.98094102937824</v>
      </c>
      <c r="L71" s="626"/>
      <c r="M71" s="186">
        <f>RANK(K71, K$67:$K$81)</f>
        <v>2</v>
      </c>
      <c r="N71" s="564"/>
      <c r="O71" s="564"/>
      <c r="P71" s="188">
        <v>6</v>
      </c>
      <c r="Q71" s="188">
        <v>2340.9207161125364</v>
      </c>
      <c r="R71" s="185">
        <f t="shared" si="87"/>
        <v>390.15345268542274</v>
      </c>
      <c r="S71" s="182">
        <f t="shared" si="88"/>
        <v>1</v>
      </c>
      <c r="T71" s="625"/>
      <c r="U71" s="188">
        <v>6</v>
      </c>
      <c r="V71" s="188">
        <v>2339.9999999999986</v>
      </c>
      <c r="W71" s="185">
        <f t="shared" si="81"/>
        <v>389.99999999999977</v>
      </c>
      <c r="X71" s="182">
        <f t="shared" si="89"/>
        <v>2</v>
      </c>
      <c r="Y71" s="625"/>
      <c r="Z71" s="188">
        <v>6</v>
      </c>
      <c r="AA71" s="188">
        <v>2339.9999999999964</v>
      </c>
      <c r="AB71" s="185">
        <f t="shared" si="82"/>
        <v>389.99999999999937</v>
      </c>
      <c r="AC71" s="182">
        <f t="shared" si="90"/>
        <v>2</v>
      </c>
      <c r="AD71" s="625"/>
      <c r="AE71" s="188">
        <v>6</v>
      </c>
      <c r="AF71" s="188">
        <v>2340.3377110694282</v>
      </c>
      <c r="AG71" s="185">
        <f t="shared" si="91"/>
        <v>390.05628517823806</v>
      </c>
      <c r="AH71" s="182">
        <f t="shared" si="92"/>
        <v>2</v>
      </c>
      <c r="AI71" s="625"/>
      <c r="AJ71" s="188">
        <v>6</v>
      </c>
      <c r="AK71" s="188">
        <v>2339.0673575129517</v>
      </c>
      <c r="AL71" s="185">
        <f t="shared" si="83"/>
        <v>389.84455958549194</v>
      </c>
      <c r="AM71" s="182">
        <f t="shared" si="93"/>
        <v>2</v>
      </c>
      <c r="AN71" s="625"/>
      <c r="AO71" s="188">
        <v>6</v>
      </c>
      <c r="AP71" s="188">
        <v>2338.7523629489619</v>
      </c>
      <c r="AQ71" s="185">
        <f t="shared" si="84"/>
        <v>389.79206049149366</v>
      </c>
      <c r="AR71" s="182">
        <f t="shared" si="94"/>
        <v>2</v>
      </c>
      <c r="AS71" s="625"/>
      <c r="AT71" s="188">
        <v>6</v>
      </c>
      <c r="AU71" s="188">
        <v>2340.1213755900153</v>
      </c>
      <c r="AV71" s="185">
        <f t="shared" si="85"/>
        <v>390.02022926500257</v>
      </c>
      <c r="AW71" s="182">
        <f t="shared" si="95"/>
        <v>2</v>
      </c>
      <c r="AX71" s="625"/>
    </row>
    <row r="72" spans="2:50" ht="14.25" customHeight="1">
      <c r="B72" s="564"/>
      <c r="C72" s="180">
        <v>6</v>
      </c>
      <c r="D72" s="183" t="s">
        <v>643</v>
      </c>
      <c r="E72" s="180">
        <v>6</v>
      </c>
      <c r="F72" s="180">
        <v>2500</v>
      </c>
      <c r="G72" s="185">
        <f t="shared" si="80"/>
        <v>416.66666666666669</v>
      </c>
      <c r="H72" s="625"/>
      <c r="I72" s="186">
        <f t="shared" si="86"/>
        <v>6</v>
      </c>
      <c r="J72" s="186">
        <f t="shared" si="86"/>
        <v>2257.1588524696658</v>
      </c>
      <c r="K72" s="187">
        <f t="shared" si="86"/>
        <v>376.19314207827762</v>
      </c>
      <c r="L72" s="626"/>
      <c r="M72" s="186">
        <f>RANK(K72, K$67:$K$81)</f>
        <v>3</v>
      </c>
      <c r="N72" s="564"/>
      <c r="O72" s="564"/>
      <c r="P72" s="188">
        <v>6</v>
      </c>
      <c r="Q72" s="188">
        <v>2256.7411846047471</v>
      </c>
      <c r="R72" s="185">
        <f t="shared" si="87"/>
        <v>376.12353076745785</v>
      </c>
      <c r="S72" s="182">
        <f t="shared" si="88"/>
        <v>3</v>
      </c>
      <c r="T72" s="625"/>
      <c r="U72" s="188">
        <v>6</v>
      </c>
      <c r="V72" s="188">
        <v>2256.6270783847995</v>
      </c>
      <c r="W72" s="185">
        <f t="shared" si="81"/>
        <v>376.10451306413324</v>
      </c>
      <c r="X72" s="182">
        <f t="shared" si="89"/>
        <v>3</v>
      </c>
      <c r="Y72" s="625"/>
      <c r="Z72" s="188">
        <v>6</v>
      </c>
      <c r="AA72" s="188">
        <v>2256.7658791040212</v>
      </c>
      <c r="AB72" s="185">
        <f t="shared" si="82"/>
        <v>376.12764651733687</v>
      </c>
      <c r="AC72" s="182">
        <f t="shared" si="90"/>
        <v>3</v>
      </c>
      <c r="AD72" s="625"/>
      <c r="AE72" s="188">
        <v>6</v>
      </c>
      <c r="AF72" s="188">
        <v>2257.313943541491</v>
      </c>
      <c r="AG72" s="185">
        <f t="shared" si="91"/>
        <v>376.2189905902485</v>
      </c>
      <c r="AH72" s="182">
        <f t="shared" si="92"/>
        <v>3</v>
      </c>
      <c r="AI72" s="625"/>
      <c r="AJ72" s="188">
        <v>6</v>
      </c>
      <c r="AK72" s="188">
        <v>2257.4538570752525</v>
      </c>
      <c r="AL72" s="185">
        <f t="shared" si="83"/>
        <v>376.24230951254208</v>
      </c>
      <c r="AM72" s="182">
        <f t="shared" si="93"/>
        <v>3</v>
      </c>
      <c r="AN72" s="625"/>
      <c r="AO72" s="188">
        <v>6</v>
      </c>
      <c r="AP72" s="188">
        <v>2257.7586206896567</v>
      </c>
      <c r="AQ72" s="185">
        <f t="shared" si="84"/>
        <v>376.2931034482761</v>
      </c>
      <c r="AR72" s="182">
        <f t="shared" si="94"/>
        <v>3</v>
      </c>
      <c r="AS72" s="625"/>
      <c r="AT72" s="188">
        <v>6</v>
      </c>
      <c r="AU72" s="188">
        <v>2257.4514038876905</v>
      </c>
      <c r="AV72" s="185">
        <f t="shared" si="85"/>
        <v>376.2419006479484</v>
      </c>
      <c r="AW72" s="182">
        <f t="shared" si="95"/>
        <v>3</v>
      </c>
      <c r="AX72" s="625"/>
    </row>
    <row r="73" spans="2:50" ht="14.25" customHeight="1">
      <c r="B73" s="564"/>
      <c r="C73" s="180">
        <v>7</v>
      </c>
      <c r="D73" s="183" t="s">
        <v>751</v>
      </c>
      <c r="E73" s="180">
        <v>6</v>
      </c>
      <c r="F73" s="180">
        <v>2500</v>
      </c>
      <c r="G73" s="185">
        <f t="shared" si="80"/>
        <v>416.66666666666669</v>
      </c>
      <c r="H73" s="625"/>
      <c r="I73" s="186">
        <f t="shared" si="86"/>
        <v>6</v>
      </c>
      <c r="J73" s="186">
        <f t="shared" si="86"/>
        <v>2173.8704676577358</v>
      </c>
      <c r="K73" s="187">
        <f t="shared" si="86"/>
        <v>362.31174460962268</v>
      </c>
      <c r="L73" s="626"/>
      <c r="M73" s="186">
        <f>RANK(K73, K$67:$K$81)</f>
        <v>4</v>
      </c>
      <c r="N73" s="564"/>
      <c r="O73" s="564"/>
      <c r="P73" s="188">
        <v>6</v>
      </c>
      <c r="Q73" s="188">
        <v>2055.5102040816332</v>
      </c>
      <c r="R73" s="185">
        <f t="shared" si="87"/>
        <v>342.58503401360554</v>
      </c>
      <c r="S73" s="182">
        <f t="shared" si="88"/>
        <v>4</v>
      </c>
      <c r="T73" s="625"/>
      <c r="U73" s="188">
        <v>6</v>
      </c>
      <c r="V73" s="188">
        <v>2095.662650602409</v>
      </c>
      <c r="W73" s="185">
        <f t="shared" si="81"/>
        <v>349.27710843373484</v>
      </c>
      <c r="X73" s="182">
        <f t="shared" si="89"/>
        <v>4</v>
      </c>
      <c r="Y73" s="625"/>
      <c r="Z73" s="188">
        <v>6</v>
      </c>
      <c r="AA73" s="188">
        <v>2140.2531645569607</v>
      </c>
      <c r="AB73" s="185">
        <f t="shared" si="82"/>
        <v>356.70886075949346</v>
      </c>
      <c r="AC73" s="182">
        <f t="shared" si="90"/>
        <v>4</v>
      </c>
      <c r="AD73" s="625"/>
      <c r="AE73" s="188">
        <v>6</v>
      </c>
      <c r="AF73" s="188">
        <v>2190.0845630906988</v>
      </c>
      <c r="AG73" s="185">
        <f t="shared" si="91"/>
        <v>365.01409384844982</v>
      </c>
      <c r="AH73" s="182">
        <f t="shared" si="92"/>
        <v>4</v>
      </c>
      <c r="AI73" s="625"/>
      <c r="AJ73" s="188">
        <v>6</v>
      </c>
      <c r="AK73" s="188">
        <v>2222.5531914893622</v>
      </c>
      <c r="AL73" s="185">
        <f t="shared" si="83"/>
        <v>370.42553191489372</v>
      </c>
      <c r="AM73" s="182">
        <f t="shared" si="93"/>
        <v>4</v>
      </c>
      <c r="AN73" s="625"/>
      <c r="AO73" s="188">
        <v>6</v>
      </c>
      <c r="AP73" s="188">
        <v>2256.4334085778773</v>
      </c>
      <c r="AQ73" s="185">
        <f t="shared" si="84"/>
        <v>376.07223476297958</v>
      </c>
      <c r="AR73" s="182">
        <f t="shared" si="94"/>
        <v>4</v>
      </c>
      <c r="AS73" s="625"/>
      <c r="AT73" s="188">
        <v>6</v>
      </c>
      <c r="AU73" s="188">
        <v>2256.5960912052105</v>
      </c>
      <c r="AV73" s="185">
        <f t="shared" si="85"/>
        <v>376.09934853420174</v>
      </c>
      <c r="AW73" s="182">
        <f t="shared" si="95"/>
        <v>4</v>
      </c>
      <c r="AX73" s="625"/>
    </row>
    <row r="74" spans="2:50" ht="14.25" customHeight="1">
      <c r="B74" s="564"/>
      <c r="C74" s="180">
        <v>8</v>
      </c>
      <c r="D74" s="183" t="s">
        <v>354</v>
      </c>
      <c r="E74" s="180">
        <v>12</v>
      </c>
      <c r="F74" s="180">
        <v>3600</v>
      </c>
      <c r="G74" s="185">
        <f t="shared" si="80"/>
        <v>300</v>
      </c>
      <c r="H74" s="625"/>
      <c r="I74" s="186">
        <f t="shared" si="86"/>
        <v>12</v>
      </c>
      <c r="J74" s="186">
        <f t="shared" si="86"/>
        <v>3146.048125434555</v>
      </c>
      <c r="K74" s="187">
        <f t="shared" si="86"/>
        <v>262.17067711954627</v>
      </c>
      <c r="L74" s="626"/>
      <c r="M74" s="186">
        <f>RANK(K74, K$67:$K$81)</f>
        <v>7</v>
      </c>
      <c r="N74" s="564"/>
      <c r="O74" s="564"/>
      <c r="P74" s="188">
        <v>12</v>
      </c>
      <c r="Q74" s="188">
        <v>3144.1509433962283</v>
      </c>
      <c r="R74" s="185">
        <f t="shared" si="87"/>
        <v>262.01257861635236</v>
      </c>
      <c r="S74" s="182">
        <f t="shared" si="88"/>
        <v>8</v>
      </c>
      <c r="T74" s="625"/>
      <c r="U74" s="188">
        <v>12</v>
      </c>
      <c r="V74" s="188">
        <v>3143.7683592110852</v>
      </c>
      <c r="W74" s="185">
        <f t="shared" si="81"/>
        <v>261.98069660092375</v>
      </c>
      <c r="X74" s="182">
        <f t="shared" si="89"/>
        <v>7</v>
      </c>
      <c r="Y74" s="625"/>
      <c r="Z74" s="188">
        <v>12</v>
      </c>
      <c r="AA74" s="188">
        <v>3144.5217391304241</v>
      </c>
      <c r="AB74" s="185">
        <f t="shared" si="82"/>
        <v>262.04347826086865</v>
      </c>
      <c r="AC74" s="182">
        <f t="shared" si="90"/>
        <v>7</v>
      </c>
      <c r="AD74" s="625"/>
      <c r="AE74" s="188">
        <v>12</v>
      </c>
      <c r="AF74" s="188">
        <v>3147.6240760295586</v>
      </c>
      <c r="AG74" s="185">
        <f t="shared" si="91"/>
        <v>262.30200633579653</v>
      </c>
      <c r="AH74" s="182">
        <f t="shared" si="92"/>
        <v>7</v>
      </c>
      <c r="AI74" s="625"/>
      <c r="AJ74" s="188">
        <v>12</v>
      </c>
      <c r="AK74" s="188">
        <v>3146.9933184855131</v>
      </c>
      <c r="AL74" s="185">
        <f t="shared" si="83"/>
        <v>262.24944320712609</v>
      </c>
      <c r="AM74" s="182">
        <f t="shared" si="93"/>
        <v>8</v>
      </c>
      <c r="AN74" s="625"/>
      <c r="AO74" s="188">
        <v>12</v>
      </c>
      <c r="AP74" s="188">
        <v>3147.2197705207468</v>
      </c>
      <c r="AQ74" s="185">
        <f t="shared" si="84"/>
        <v>262.26831421006221</v>
      </c>
      <c r="AR74" s="182">
        <f t="shared" si="94"/>
        <v>7</v>
      </c>
      <c r="AS74" s="625"/>
      <c r="AT74" s="188">
        <v>12</v>
      </c>
      <c r="AU74" s="188">
        <v>3148.058671268333</v>
      </c>
      <c r="AV74" s="185">
        <f t="shared" si="85"/>
        <v>262.3382226056944</v>
      </c>
      <c r="AW74" s="182">
        <f t="shared" si="95"/>
        <v>7</v>
      </c>
      <c r="AX74" s="625"/>
    </row>
    <row r="75" spans="2:50" ht="14.25" customHeight="1">
      <c r="B75" s="564"/>
      <c r="C75" s="180">
        <v>9</v>
      </c>
      <c r="D75" s="183" t="s">
        <v>355</v>
      </c>
      <c r="E75" s="180">
        <v>12</v>
      </c>
      <c r="F75" s="180">
        <v>3600</v>
      </c>
      <c r="G75" s="185">
        <f t="shared" si="80"/>
        <v>300</v>
      </c>
      <c r="H75" s="625"/>
      <c r="I75" s="186">
        <f t="shared" si="86"/>
        <v>12</v>
      </c>
      <c r="J75" s="186">
        <f t="shared" si="86"/>
        <v>3145.528580848681</v>
      </c>
      <c r="K75" s="187">
        <f t="shared" si="86"/>
        <v>262.12738173739007</v>
      </c>
      <c r="L75" s="626"/>
      <c r="M75" s="186">
        <f>RANK(K75, K$67:$K$81)</f>
        <v>8</v>
      </c>
      <c r="N75" s="564"/>
      <c r="O75" s="564"/>
      <c r="P75" s="188">
        <v>12</v>
      </c>
      <c r="Q75" s="188">
        <v>3144.5491251682461</v>
      </c>
      <c r="R75" s="185">
        <f t="shared" si="87"/>
        <v>262.04576043068715</v>
      </c>
      <c r="S75" s="182">
        <f t="shared" si="88"/>
        <v>7</v>
      </c>
      <c r="T75" s="625"/>
      <c r="U75" s="188">
        <v>12</v>
      </c>
      <c r="V75" s="188">
        <v>3143.6619718309835</v>
      </c>
      <c r="W75" s="185">
        <f t="shared" si="81"/>
        <v>261.97183098591529</v>
      </c>
      <c r="X75" s="182">
        <f t="shared" si="89"/>
        <v>9</v>
      </c>
      <c r="Y75" s="625"/>
      <c r="Z75" s="188">
        <v>12</v>
      </c>
      <c r="AA75" s="188">
        <v>3143.2120674356784</v>
      </c>
      <c r="AB75" s="185">
        <f t="shared" si="82"/>
        <v>261.93433895297318</v>
      </c>
      <c r="AC75" s="182">
        <f t="shared" si="90"/>
        <v>9</v>
      </c>
      <c r="AD75" s="625"/>
      <c r="AE75" s="188">
        <v>12</v>
      </c>
      <c r="AF75" s="188">
        <v>3146.16695059624</v>
      </c>
      <c r="AG75" s="185">
        <f t="shared" si="91"/>
        <v>262.18057921635335</v>
      </c>
      <c r="AH75" s="182">
        <f t="shared" si="92"/>
        <v>8</v>
      </c>
      <c r="AI75" s="625"/>
      <c r="AJ75" s="188">
        <v>12</v>
      </c>
      <c r="AK75" s="188">
        <v>3147.3435655253847</v>
      </c>
      <c r="AL75" s="185">
        <f t="shared" si="83"/>
        <v>262.27863046044871</v>
      </c>
      <c r="AM75" s="182">
        <f t="shared" si="93"/>
        <v>7</v>
      </c>
      <c r="AN75" s="625"/>
      <c r="AO75" s="188">
        <v>12</v>
      </c>
      <c r="AP75" s="188">
        <v>3147.0752089136472</v>
      </c>
      <c r="AQ75" s="185">
        <f t="shared" si="84"/>
        <v>262.25626740947058</v>
      </c>
      <c r="AR75" s="182">
        <f t="shared" si="94"/>
        <v>8</v>
      </c>
      <c r="AS75" s="625"/>
      <c r="AT75" s="188">
        <v>12</v>
      </c>
      <c r="AU75" s="188">
        <v>3146.6911764705865</v>
      </c>
      <c r="AV75" s="185">
        <f t="shared" si="85"/>
        <v>262.22426470588221</v>
      </c>
      <c r="AW75" s="182">
        <f t="shared" si="95"/>
        <v>9</v>
      </c>
      <c r="AX75" s="625"/>
    </row>
    <row r="76" spans="2:50" ht="14.25" customHeight="1">
      <c r="B76" s="564"/>
      <c r="C76" s="180">
        <v>10</v>
      </c>
      <c r="D76" s="183" t="s">
        <v>353</v>
      </c>
      <c r="E76" s="180">
        <v>11</v>
      </c>
      <c r="F76" s="180">
        <v>3600</v>
      </c>
      <c r="G76" s="185">
        <f t="shared" si="80"/>
        <v>327.27272727272725</v>
      </c>
      <c r="H76" s="625"/>
      <c r="I76" s="186">
        <f t="shared" si="86"/>
        <v>11</v>
      </c>
      <c r="J76" s="186">
        <f t="shared" si="86"/>
        <v>3180.5466240098281</v>
      </c>
      <c r="K76" s="187">
        <f t="shared" si="86"/>
        <v>289.14060218271158</v>
      </c>
      <c r="L76" s="626"/>
      <c r="M76" s="186">
        <f>RANK(K76, K$67:$K$81)</f>
        <v>6</v>
      </c>
      <c r="N76" s="564"/>
      <c r="O76" s="564"/>
      <c r="P76" s="188">
        <v>11</v>
      </c>
      <c r="Q76" s="188">
        <v>3179.6347537354713</v>
      </c>
      <c r="R76" s="185">
        <f t="shared" si="87"/>
        <v>289.05770488504282</v>
      </c>
      <c r="S76" s="182">
        <f t="shared" si="88"/>
        <v>6</v>
      </c>
      <c r="T76" s="625"/>
      <c r="U76" s="188">
        <v>11</v>
      </c>
      <c r="V76" s="188">
        <v>3180.1339285714307</v>
      </c>
      <c r="W76" s="185">
        <f t="shared" si="81"/>
        <v>289.10308441558459</v>
      </c>
      <c r="X76" s="182">
        <f t="shared" si="89"/>
        <v>5</v>
      </c>
      <c r="Y76" s="625"/>
      <c r="Z76" s="188">
        <v>11</v>
      </c>
      <c r="AA76" s="188">
        <v>3180.0703399765512</v>
      </c>
      <c r="AB76" s="185">
        <f t="shared" si="82"/>
        <v>289.09730363423193</v>
      </c>
      <c r="AC76" s="182">
        <f t="shared" si="90"/>
        <v>5</v>
      </c>
      <c r="AD76" s="625"/>
      <c r="AE76" s="188">
        <v>11</v>
      </c>
      <c r="AF76" s="188">
        <v>3180.8955223880785</v>
      </c>
      <c r="AG76" s="185">
        <f t="shared" si="91"/>
        <v>289.17232021709805</v>
      </c>
      <c r="AH76" s="182">
        <f t="shared" si="92"/>
        <v>6</v>
      </c>
      <c r="AI76" s="625"/>
      <c r="AJ76" s="188">
        <v>11</v>
      </c>
      <c r="AK76" s="188">
        <v>3180.9375000000191</v>
      </c>
      <c r="AL76" s="185">
        <f t="shared" si="83"/>
        <v>289.17613636363808</v>
      </c>
      <c r="AM76" s="182">
        <f t="shared" si="93"/>
        <v>6</v>
      </c>
      <c r="AN76" s="625"/>
      <c r="AO76" s="188">
        <v>11</v>
      </c>
      <c r="AP76" s="188">
        <v>3181.2462908011903</v>
      </c>
      <c r="AQ76" s="185">
        <f t="shared" si="84"/>
        <v>289.20420825465368</v>
      </c>
      <c r="AR76" s="182">
        <f t="shared" si="94"/>
        <v>6</v>
      </c>
      <c r="AS76" s="625"/>
      <c r="AT76" s="188">
        <v>11</v>
      </c>
      <c r="AU76" s="188">
        <v>3180.908032596054</v>
      </c>
      <c r="AV76" s="185">
        <f t="shared" si="85"/>
        <v>289.17345750873216</v>
      </c>
      <c r="AW76" s="182">
        <f t="shared" si="95"/>
        <v>6</v>
      </c>
      <c r="AX76" s="625"/>
    </row>
    <row r="77" spans="2:50" ht="14.25" customHeight="1">
      <c r="B77" s="564"/>
      <c r="C77" s="180">
        <v>11</v>
      </c>
      <c r="D77" s="183"/>
      <c r="E77" s="180"/>
      <c r="F77" s="180"/>
      <c r="G77" s="185"/>
      <c r="H77" s="625"/>
      <c r="I77" s="186"/>
      <c r="J77" s="186"/>
      <c r="K77" s="187"/>
      <c r="L77" s="626"/>
      <c r="M77" s="186"/>
      <c r="N77" s="564"/>
      <c r="O77" s="564"/>
      <c r="P77" s="188"/>
      <c r="Q77" s="188"/>
      <c r="R77" s="185"/>
      <c r="S77" s="182"/>
      <c r="T77" s="625"/>
      <c r="U77" s="188"/>
      <c r="V77" s="188"/>
      <c r="W77" s="185"/>
      <c r="X77" s="182"/>
      <c r="Y77" s="625"/>
      <c r="Z77" s="188"/>
      <c r="AA77" s="188"/>
      <c r="AB77" s="185"/>
      <c r="AC77" s="182"/>
      <c r="AD77" s="625"/>
      <c r="AE77" s="188"/>
      <c r="AF77" s="188"/>
      <c r="AG77" s="185"/>
      <c r="AH77" s="182"/>
      <c r="AI77" s="625"/>
      <c r="AJ77" s="188"/>
      <c r="AK77" s="188"/>
      <c r="AL77" s="185"/>
      <c r="AM77" s="182"/>
      <c r="AN77" s="625"/>
      <c r="AO77" s="188"/>
      <c r="AP77" s="188"/>
      <c r="AQ77" s="185"/>
      <c r="AR77" s="182"/>
      <c r="AS77" s="625"/>
      <c r="AT77" s="188"/>
      <c r="AU77" s="188"/>
      <c r="AV77" s="185"/>
      <c r="AW77" s="182"/>
      <c r="AX77" s="625"/>
    </row>
    <row r="78" spans="2:50" ht="14.25" customHeight="1">
      <c r="B78" s="564"/>
      <c r="C78" s="180">
        <v>12</v>
      </c>
      <c r="D78" s="183"/>
      <c r="E78" s="180"/>
      <c r="F78" s="180"/>
      <c r="G78" s="185"/>
      <c r="H78" s="625"/>
      <c r="I78" s="186"/>
      <c r="J78" s="186"/>
      <c r="K78" s="187"/>
      <c r="L78" s="626"/>
      <c r="M78" s="186"/>
      <c r="N78" s="564"/>
      <c r="O78" s="564"/>
      <c r="P78" s="188"/>
      <c r="Q78" s="188"/>
      <c r="R78" s="185"/>
      <c r="S78" s="182"/>
      <c r="T78" s="625"/>
      <c r="U78" s="188"/>
      <c r="V78" s="188"/>
      <c r="W78" s="185"/>
      <c r="X78" s="182"/>
      <c r="Y78" s="625"/>
      <c r="Z78" s="188"/>
      <c r="AA78" s="188"/>
      <c r="AB78" s="185"/>
      <c r="AC78" s="182"/>
      <c r="AD78" s="625"/>
      <c r="AE78" s="188"/>
      <c r="AF78" s="188"/>
      <c r="AG78" s="185"/>
      <c r="AH78" s="182"/>
      <c r="AI78" s="625"/>
      <c r="AJ78" s="188"/>
      <c r="AK78" s="188"/>
      <c r="AL78" s="185"/>
      <c r="AM78" s="182"/>
      <c r="AN78" s="625"/>
      <c r="AO78" s="188"/>
      <c r="AP78" s="188"/>
      <c r="AQ78" s="185"/>
      <c r="AR78" s="182"/>
      <c r="AS78" s="625"/>
      <c r="AT78" s="188"/>
      <c r="AU78" s="188"/>
      <c r="AV78" s="185"/>
      <c r="AW78" s="182"/>
      <c r="AX78" s="625"/>
    </row>
    <row r="79" spans="2:50" ht="14.25" customHeight="1">
      <c r="B79" s="564"/>
      <c r="C79" s="180">
        <v>13</v>
      </c>
      <c r="D79" s="183"/>
      <c r="E79" s="180"/>
      <c r="F79" s="180"/>
      <c r="G79" s="185"/>
      <c r="H79" s="625"/>
      <c r="I79" s="186"/>
      <c r="J79" s="186"/>
      <c r="K79" s="187"/>
      <c r="L79" s="626"/>
      <c r="M79" s="186"/>
      <c r="N79" s="564"/>
      <c r="O79" s="564"/>
      <c r="P79" s="188"/>
      <c r="Q79" s="188"/>
      <c r="R79" s="185"/>
      <c r="S79" s="182"/>
      <c r="T79" s="625"/>
      <c r="U79" s="188"/>
      <c r="V79" s="188"/>
      <c r="W79" s="185"/>
      <c r="X79" s="182"/>
      <c r="Y79" s="625"/>
      <c r="Z79" s="188"/>
      <c r="AA79" s="188"/>
      <c r="AB79" s="185"/>
      <c r="AC79" s="182"/>
      <c r="AD79" s="625"/>
      <c r="AE79" s="188"/>
      <c r="AF79" s="188"/>
      <c r="AG79" s="185"/>
      <c r="AH79" s="182"/>
      <c r="AI79" s="625"/>
      <c r="AJ79" s="188"/>
      <c r="AK79" s="188"/>
      <c r="AL79" s="185"/>
      <c r="AM79" s="182"/>
      <c r="AN79" s="625"/>
      <c r="AO79" s="188"/>
      <c r="AP79" s="188"/>
      <c r="AQ79" s="185"/>
      <c r="AR79" s="182"/>
      <c r="AS79" s="625"/>
      <c r="AT79" s="188"/>
      <c r="AU79" s="188"/>
      <c r="AV79" s="185"/>
      <c r="AW79" s="182"/>
      <c r="AX79" s="625"/>
    </row>
    <row r="80" spans="2:50" ht="14.25" customHeight="1">
      <c r="B80" s="564"/>
      <c r="C80" s="180">
        <v>14</v>
      </c>
      <c r="D80" s="183"/>
      <c r="E80" s="180"/>
      <c r="F80" s="180"/>
      <c r="G80" s="185"/>
      <c r="H80" s="625"/>
      <c r="I80" s="186"/>
      <c r="J80" s="186"/>
      <c r="K80" s="187"/>
      <c r="L80" s="626"/>
      <c r="M80" s="186"/>
      <c r="N80" s="564"/>
      <c r="O80" s="564"/>
      <c r="P80" s="188"/>
      <c r="Q80" s="188"/>
      <c r="R80" s="185"/>
      <c r="S80" s="182"/>
      <c r="T80" s="625"/>
      <c r="U80" s="188"/>
      <c r="V80" s="188"/>
      <c r="W80" s="185"/>
      <c r="X80" s="182"/>
      <c r="Y80" s="625"/>
      <c r="Z80" s="188"/>
      <c r="AA80" s="188"/>
      <c r="AB80" s="185"/>
      <c r="AC80" s="182"/>
      <c r="AD80" s="625"/>
      <c r="AE80" s="188"/>
      <c r="AF80" s="188"/>
      <c r="AG80" s="185"/>
      <c r="AH80" s="182"/>
      <c r="AI80" s="625"/>
      <c r="AJ80" s="188"/>
      <c r="AK80" s="188"/>
      <c r="AL80" s="185"/>
      <c r="AM80" s="182"/>
      <c r="AN80" s="625"/>
      <c r="AO80" s="188"/>
      <c r="AP80" s="188"/>
      <c r="AQ80" s="185"/>
      <c r="AR80" s="182"/>
      <c r="AS80" s="625"/>
      <c r="AT80" s="188"/>
      <c r="AU80" s="188"/>
      <c r="AV80" s="185"/>
      <c r="AW80" s="182"/>
      <c r="AX80" s="625"/>
    </row>
    <row r="81" spans="2:50" ht="14.25" customHeight="1">
      <c r="B81" s="564"/>
      <c r="C81" s="180">
        <v>15</v>
      </c>
      <c r="D81" s="183"/>
      <c r="E81" s="180"/>
      <c r="F81" s="180"/>
      <c r="G81" s="185"/>
      <c r="H81" s="625"/>
      <c r="I81" s="186"/>
      <c r="J81" s="186"/>
      <c r="K81" s="187"/>
      <c r="L81" s="626"/>
      <c r="M81" s="186"/>
      <c r="N81" s="564"/>
      <c r="O81" s="564"/>
      <c r="P81" s="188"/>
      <c r="Q81" s="188"/>
      <c r="R81" s="185"/>
      <c r="S81" s="182"/>
      <c r="T81" s="625"/>
      <c r="U81" s="188"/>
      <c r="V81" s="188"/>
      <c r="W81" s="185"/>
      <c r="X81" s="182"/>
      <c r="Y81" s="625"/>
      <c r="Z81" s="188"/>
      <c r="AA81" s="188"/>
      <c r="AB81" s="185"/>
      <c r="AC81" s="182"/>
      <c r="AD81" s="625"/>
      <c r="AE81" s="188"/>
      <c r="AF81" s="188"/>
      <c r="AG81" s="185"/>
      <c r="AH81" s="182"/>
      <c r="AI81" s="625"/>
      <c r="AJ81" s="188"/>
      <c r="AK81" s="188"/>
      <c r="AL81" s="185"/>
      <c r="AM81" s="182"/>
      <c r="AN81" s="625"/>
      <c r="AO81" s="188"/>
      <c r="AP81" s="188"/>
      <c r="AQ81" s="185"/>
      <c r="AR81" s="182"/>
      <c r="AS81" s="625"/>
      <c r="AT81" s="188"/>
      <c r="AU81" s="188"/>
      <c r="AV81" s="185"/>
      <c r="AW81" s="182"/>
      <c r="AX81" s="625"/>
    </row>
    <row r="82" spans="2:50" ht="14.25" customHeight="1" collapsed="1">
      <c r="B82" s="641" t="s">
        <v>645</v>
      </c>
      <c r="C82" s="642"/>
      <c r="D82" s="642"/>
      <c r="E82" s="642"/>
      <c r="F82" s="642"/>
      <c r="G82" s="642"/>
      <c r="H82" s="642"/>
      <c r="I82" s="642"/>
      <c r="J82" s="642"/>
      <c r="K82" s="642"/>
      <c r="L82" s="642"/>
      <c r="M82" s="643"/>
      <c r="N82" s="575" t="s">
        <v>377</v>
      </c>
      <c r="O82" s="575" t="s">
        <v>105</v>
      </c>
      <c r="P82" s="655">
        <f>AT62+1</f>
        <v>46105</v>
      </c>
      <c r="Q82" s="656"/>
      <c r="R82" s="656"/>
      <c r="S82" s="656"/>
      <c r="T82" s="656"/>
      <c r="U82" s="657">
        <f>P82+1</f>
        <v>46106</v>
      </c>
      <c r="V82" s="658"/>
      <c r="W82" s="658"/>
      <c r="X82" s="658"/>
      <c r="Y82" s="658"/>
      <c r="Z82" s="655">
        <f t="shared" ref="Z82" si="96">U82+1</f>
        <v>46107</v>
      </c>
      <c r="AA82" s="656"/>
      <c r="AB82" s="656"/>
      <c r="AC82" s="656"/>
      <c r="AD82" s="656"/>
      <c r="AE82" s="657">
        <f t="shared" ref="AE82" si="97">Z82+1</f>
        <v>46108</v>
      </c>
      <c r="AF82" s="658"/>
      <c r="AG82" s="658"/>
      <c r="AH82" s="658"/>
      <c r="AI82" s="658"/>
      <c r="AJ82" s="647">
        <f t="shared" ref="AJ82" si="98">AE82+1</f>
        <v>46109</v>
      </c>
      <c r="AK82" s="648"/>
      <c r="AL82" s="648"/>
      <c r="AM82" s="648"/>
      <c r="AN82" s="649"/>
      <c r="AO82" s="657">
        <f t="shared" ref="AO82" si="99">AJ82+1</f>
        <v>46110</v>
      </c>
      <c r="AP82" s="658"/>
      <c r="AQ82" s="658"/>
      <c r="AR82" s="658"/>
      <c r="AS82" s="658"/>
      <c r="AT82" s="647">
        <f t="shared" ref="AT82" si="100">AO82+1</f>
        <v>46111</v>
      </c>
      <c r="AU82" s="648"/>
      <c r="AV82" s="648"/>
      <c r="AW82" s="648"/>
      <c r="AX82" s="649"/>
    </row>
    <row r="83" spans="2:50" ht="14.25" customHeight="1">
      <c r="B83" s="644"/>
      <c r="C83" s="644"/>
      <c r="D83" s="644"/>
      <c r="E83" s="644"/>
      <c r="F83" s="644"/>
      <c r="G83" s="644"/>
      <c r="H83" s="644"/>
      <c r="I83" s="644"/>
      <c r="J83" s="644"/>
      <c r="K83" s="644"/>
      <c r="L83" s="644"/>
      <c r="M83" s="645"/>
      <c r="N83" s="577"/>
      <c r="O83" s="577"/>
      <c r="P83" s="650">
        <f>P82</f>
        <v>46105</v>
      </c>
      <c r="Q83" s="650"/>
      <c r="R83" s="650"/>
      <c r="S83" s="650"/>
      <c r="T83" s="650"/>
      <c r="U83" s="651">
        <f>U82</f>
        <v>46106</v>
      </c>
      <c r="V83" s="651"/>
      <c r="W83" s="651"/>
      <c r="X83" s="651"/>
      <c r="Y83" s="651"/>
      <c r="Z83" s="650">
        <f t="shared" ref="Z83" si="101">Z82</f>
        <v>46107</v>
      </c>
      <c r="AA83" s="650"/>
      <c r="AB83" s="650"/>
      <c r="AC83" s="650"/>
      <c r="AD83" s="650"/>
      <c r="AE83" s="651">
        <f t="shared" ref="AE83" si="102">AE82</f>
        <v>46108</v>
      </c>
      <c r="AF83" s="651"/>
      <c r="AG83" s="651"/>
      <c r="AH83" s="651"/>
      <c r="AI83" s="651"/>
      <c r="AJ83" s="652">
        <f t="shared" ref="AJ83" si="103">AJ82</f>
        <v>46109</v>
      </c>
      <c r="AK83" s="653"/>
      <c r="AL83" s="653"/>
      <c r="AM83" s="653"/>
      <c r="AN83" s="654"/>
      <c r="AO83" s="651">
        <f t="shared" ref="AO83" si="104">AO82</f>
        <v>46110</v>
      </c>
      <c r="AP83" s="651"/>
      <c r="AQ83" s="651"/>
      <c r="AR83" s="651"/>
      <c r="AS83" s="651"/>
      <c r="AT83" s="652">
        <f t="shared" ref="AT83" si="105">AT82</f>
        <v>46111</v>
      </c>
      <c r="AU83" s="653"/>
      <c r="AV83" s="653"/>
      <c r="AW83" s="653"/>
      <c r="AX83" s="654"/>
    </row>
    <row r="84" spans="2:50" ht="14.25" customHeight="1">
      <c r="B84" s="564" t="s">
        <v>164</v>
      </c>
      <c r="C84" s="564" t="s">
        <v>159</v>
      </c>
      <c r="D84" s="564"/>
      <c r="E84" s="564" t="s">
        <v>160</v>
      </c>
      <c r="F84" s="564"/>
      <c r="G84" s="564"/>
      <c r="H84" s="564" t="s">
        <v>165</v>
      </c>
      <c r="I84" s="628" t="s">
        <v>378</v>
      </c>
      <c r="J84" s="628"/>
      <c r="K84" s="628"/>
      <c r="L84" s="628" t="s">
        <v>165</v>
      </c>
      <c r="M84" s="628" t="s">
        <v>167</v>
      </c>
      <c r="N84" s="564"/>
      <c r="O84" s="564" t="s">
        <v>166</v>
      </c>
      <c r="P84" s="564" t="s">
        <v>162</v>
      </c>
      <c r="Q84" s="564"/>
      <c r="R84" s="564"/>
      <c r="S84" s="564"/>
      <c r="T84" s="564" t="s">
        <v>165</v>
      </c>
      <c r="U84" s="564" t="s">
        <v>162</v>
      </c>
      <c r="V84" s="564"/>
      <c r="W84" s="564"/>
      <c r="X84" s="564"/>
      <c r="Y84" s="564" t="s">
        <v>165</v>
      </c>
      <c r="Z84" s="564" t="s">
        <v>162</v>
      </c>
      <c r="AA84" s="564"/>
      <c r="AB84" s="564"/>
      <c r="AC84" s="564"/>
      <c r="AD84" s="564" t="s">
        <v>165</v>
      </c>
      <c r="AE84" s="564" t="s">
        <v>162</v>
      </c>
      <c r="AF84" s="564"/>
      <c r="AG84" s="564"/>
      <c r="AH84" s="564"/>
      <c r="AI84" s="564" t="s">
        <v>165</v>
      </c>
      <c r="AJ84" s="564" t="s">
        <v>162</v>
      </c>
      <c r="AK84" s="564"/>
      <c r="AL84" s="564"/>
      <c r="AM84" s="564"/>
      <c r="AN84" s="564" t="s">
        <v>165</v>
      </c>
      <c r="AO84" s="564" t="s">
        <v>162</v>
      </c>
      <c r="AP84" s="564"/>
      <c r="AQ84" s="564"/>
      <c r="AR84" s="564"/>
      <c r="AS84" s="564" t="s">
        <v>165</v>
      </c>
      <c r="AT84" s="564" t="s">
        <v>162</v>
      </c>
      <c r="AU84" s="564"/>
      <c r="AV84" s="564"/>
      <c r="AW84" s="564"/>
      <c r="AX84" s="564" t="s">
        <v>165</v>
      </c>
    </row>
    <row r="85" spans="2:50" ht="14.25" customHeight="1">
      <c r="B85" s="564"/>
      <c r="C85" s="564"/>
      <c r="D85" s="564"/>
      <c r="E85" s="564" t="s">
        <v>379</v>
      </c>
      <c r="F85" s="564"/>
      <c r="G85" s="564"/>
      <c r="H85" s="564"/>
      <c r="I85" s="628" t="s">
        <v>379</v>
      </c>
      <c r="J85" s="628"/>
      <c r="K85" s="628"/>
      <c r="L85" s="628"/>
      <c r="M85" s="628"/>
      <c r="N85" s="564"/>
      <c r="O85" s="564"/>
      <c r="P85" s="564" t="s">
        <v>380</v>
      </c>
      <c r="Q85" s="564"/>
      <c r="R85" s="564"/>
      <c r="S85" s="564"/>
      <c r="T85" s="564"/>
      <c r="U85" s="564" t="s">
        <v>380</v>
      </c>
      <c r="V85" s="564"/>
      <c r="W85" s="564"/>
      <c r="X85" s="564"/>
      <c r="Y85" s="564"/>
      <c r="Z85" s="564" t="s">
        <v>380</v>
      </c>
      <c r="AA85" s="564"/>
      <c r="AB85" s="564"/>
      <c r="AC85" s="564"/>
      <c r="AD85" s="564"/>
      <c r="AE85" s="564" t="s">
        <v>380</v>
      </c>
      <c r="AF85" s="564"/>
      <c r="AG85" s="564"/>
      <c r="AH85" s="564"/>
      <c r="AI85" s="564"/>
      <c r="AJ85" s="564" t="s">
        <v>380</v>
      </c>
      <c r="AK85" s="564"/>
      <c r="AL85" s="564"/>
      <c r="AM85" s="564"/>
      <c r="AN85" s="564"/>
      <c r="AO85" s="564" t="s">
        <v>380</v>
      </c>
      <c r="AP85" s="564"/>
      <c r="AQ85" s="564"/>
      <c r="AR85" s="564"/>
      <c r="AS85" s="564"/>
      <c r="AT85" s="564" t="s">
        <v>380</v>
      </c>
      <c r="AU85" s="564"/>
      <c r="AV85" s="564"/>
      <c r="AW85" s="564"/>
      <c r="AX85" s="564"/>
    </row>
    <row r="86" spans="2:50" ht="14.25" customHeight="1">
      <c r="B86" s="564"/>
      <c r="C86" s="564"/>
      <c r="D86" s="564"/>
      <c r="E86" s="180" t="s">
        <v>161</v>
      </c>
      <c r="F86" s="180" t="s">
        <v>381</v>
      </c>
      <c r="G86" s="180" t="s">
        <v>163</v>
      </c>
      <c r="H86" s="564"/>
      <c r="I86" s="181" t="s">
        <v>161</v>
      </c>
      <c r="J86" s="181" t="s">
        <v>381</v>
      </c>
      <c r="K86" s="181" t="s">
        <v>163</v>
      </c>
      <c r="L86" s="628"/>
      <c r="M86" s="628"/>
      <c r="N86" s="564"/>
      <c r="O86" s="564"/>
      <c r="P86" s="180" t="s">
        <v>161</v>
      </c>
      <c r="Q86" s="180" t="s">
        <v>381</v>
      </c>
      <c r="R86" s="180" t="s">
        <v>163</v>
      </c>
      <c r="S86" s="182" t="s">
        <v>167</v>
      </c>
      <c r="T86" s="564"/>
      <c r="U86" s="180" t="s">
        <v>161</v>
      </c>
      <c r="V86" s="180" t="s">
        <v>381</v>
      </c>
      <c r="W86" s="180" t="s">
        <v>163</v>
      </c>
      <c r="X86" s="182" t="s">
        <v>167</v>
      </c>
      <c r="Y86" s="564"/>
      <c r="Z86" s="180" t="s">
        <v>161</v>
      </c>
      <c r="AA86" s="180" t="s">
        <v>381</v>
      </c>
      <c r="AB86" s="180" t="s">
        <v>163</v>
      </c>
      <c r="AC86" s="182" t="s">
        <v>167</v>
      </c>
      <c r="AD86" s="564"/>
      <c r="AE86" s="180" t="s">
        <v>161</v>
      </c>
      <c r="AF86" s="180" t="s">
        <v>381</v>
      </c>
      <c r="AG86" s="180" t="s">
        <v>163</v>
      </c>
      <c r="AH86" s="182" t="s">
        <v>167</v>
      </c>
      <c r="AI86" s="564"/>
      <c r="AJ86" s="180" t="s">
        <v>161</v>
      </c>
      <c r="AK86" s="180" t="s">
        <v>381</v>
      </c>
      <c r="AL86" s="180" t="s">
        <v>163</v>
      </c>
      <c r="AM86" s="182" t="s">
        <v>167</v>
      </c>
      <c r="AN86" s="564"/>
      <c r="AO86" s="180" t="s">
        <v>161</v>
      </c>
      <c r="AP86" s="180" t="s">
        <v>381</v>
      </c>
      <c r="AQ86" s="180" t="s">
        <v>163</v>
      </c>
      <c r="AR86" s="182" t="s">
        <v>167</v>
      </c>
      <c r="AS86" s="564"/>
      <c r="AT86" s="180" t="s">
        <v>161</v>
      </c>
      <c r="AU86" s="180" t="s">
        <v>381</v>
      </c>
      <c r="AV86" s="180" t="s">
        <v>163</v>
      </c>
      <c r="AW86" s="182" t="s">
        <v>167</v>
      </c>
      <c r="AX86" s="564"/>
    </row>
    <row r="87" spans="2:50" ht="14.25" customHeight="1">
      <c r="B87" s="564" t="s">
        <v>383</v>
      </c>
      <c r="C87" s="180">
        <v>1</v>
      </c>
      <c r="D87" s="183" t="s">
        <v>351</v>
      </c>
      <c r="E87" s="180">
        <v>12</v>
      </c>
      <c r="F87" s="180">
        <v>3600</v>
      </c>
      <c r="G87" s="185">
        <f t="shared" ref="G87:G96" si="106">F87/E87</f>
        <v>300</v>
      </c>
      <c r="H87" s="625">
        <f>AVERAGE(G87:G101)</f>
        <v>355.45454545454538</v>
      </c>
      <c r="I87" s="186">
        <f>AVERAGE(P87,U87,Z87,AE87,AJ87,AO87,AT87)</f>
        <v>12</v>
      </c>
      <c r="J87" s="186">
        <f>AVERAGE(Q87,V87,AA87,AF87,AK87,AP87,AU87)</f>
        <v>3146.8970624773501</v>
      </c>
      <c r="K87" s="187">
        <f>AVERAGE(R87,W87,AB87,AG87,AL87,AQ87,AV87)</f>
        <v>262.24142187311253</v>
      </c>
      <c r="L87" s="626">
        <f>IFERROR(AVERAGE(K87:K101),"-")</f>
        <v>316.00339601530197</v>
      </c>
      <c r="M87" s="186">
        <f>RANK(K87, K$87:$K$101)</f>
        <v>9</v>
      </c>
      <c r="N87" s="564"/>
      <c r="O87" s="564"/>
      <c r="P87" s="188">
        <v>12</v>
      </c>
      <c r="Q87" s="188">
        <v>3146.6884709730166</v>
      </c>
      <c r="R87" s="185">
        <f>IFERROR(Q87/P87,"")</f>
        <v>262.22403924775136</v>
      </c>
      <c r="S87" s="182">
        <f>RANK(R87, R$87:R$101)</f>
        <v>9</v>
      </c>
      <c r="T87" s="625">
        <f>AVERAGE(R87:R101)</f>
        <v>316.02269016489481</v>
      </c>
      <c r="U87" s="188">
        <v>12</v>
      </c>
      <c r="V87" s="188">
        <v>3146.9917420369611</v>
      </c>
      <c r="W87" s="185">
        <f t="shared" ref="W87:W96" si="107">IFERROR(V87/U87,"")</f>
        <v>262.24931183641343</v>
      </c>
      <c r="X87" s="182">
        <f>RANK(W87, W$87:W$101)</f>
        <v>8</v>
      </c>
      <c r="Y87" s="625">
        <f>AVERAGE(W87:W101)</f>
        <v>316.009873266868</v>
      </c>
      <c r="Z87" s="188">
        <v>12</v>
      </c>
      <c r="AA87" s="188">
        <v>3147.1011746873837</v>
      </c>
      <c r="AB87" s="185">
        <f t="shared" ref="AB87:AB96" si="108">IFERROR(AA87/Z87,"")</f>
        <v>262.25843122394866</v>
      </c>
      <c r="AC87" s="182">
        <f>RANK(AB87, AB$87:AB$101)</f>
        <v>8</v>
      </c>
      <c r="AD87" s="625">
        <f>AVERAGE(AB87:AB101)</f>
        <v>316.01983734642096</v>
      </c>
      <c r="AE87" s="188">
        <v>12</v>
      </c>
      <c r="AF87" s="188">
        <v>3147.2081218274129</v>
      </c>
      <c r="AG87" s="185">
        <f>IFERROR(AF87/AE87,"")</f>
        <v>262.26734348561774</v>
      </c>
      <c r="AH87" s="182">
        <f>RANK(AG87, AG$87:AG$101)</f>
        <v>8</v>
      </c>
      <c r="AI87" s="625">
        <f>AVERAGE(AG87:AG101)</f>
        <v>315.96393030398428</v>
      </c>
      <c r="AJ87" s="188">
        <v>12</v>
      </c>
      <c r="AK87" s="188">
        <v>3146.4566929133844</v>
      </c>
      <c r="AL87" s="185">
        <f t="shared" ref="AL87:AL96" si="109">IFERROR(AK87/AJ87,"")</f>
        <v>262.20472440944872</v>
      </c>
      <c r="AM87" s="182">
        <f>RANK(AL87, AL$87:AL$101)</f>
        <v>8</v>
      </c>
      <c r="AN87" s="625">
        <f>AVERAGE(AL87:AL101)</f>
        <v>315.99130865869773</v>
      </c>
      <c r="AO87" s="188">
        <v>12</v>
      </c>
      <c r="AP87" s="188">
        <v>3146.7178502879065</v>
      </c>
      <c r="AQ87" s="185">
        <f t="shared" ref="AQ87:AQ96" si="110">IFERROR(AP87/AO87,"")</f>
        <v>262.2264875239922</v>
      </c>
      <c r="AR87" s="182">
        <f>RANK(AQ87, AQ$87:AQ$101)</f>
        <v>8</v>
      </c>
      <c r="AS87" s="625">
        <f>AVERAGE(AQ87:AQ101)</f>
        <v>316.00797309993902</v>
      </c>
      <c r="AT87" s="188">
        <v>12</v>
      </c>
      <c r="AU87" s="188">
        <v>3147.1153846153884</v>
      </c>
      <c r="AV87" s="185">
        <f t="shared" ref="AV87:AV96" si="111">IFERROR(AU87/AT87,"")</f>
        <v>262.2596153846157</v>
      </c>
      <c r="AW87" s="182">
        <f>RANK(AV87, AV$87:AV$101)</f>
        <v>8</v>
      </c>
      <c r="AX87" s="625">
        <f>AVERAGE(AV87:AV101)</f>
        <v>316.00815926630855</v>
      </c>
    </row>
    <row r="88" spans="2:50" ht="14.25" customHeight="1">
      <c r="B88" s="564"/>
      <c r="C88" s="180">
        <v>2</v>
      </c>
      <c r="D88" s="183" t="s">
        <v>352</v>
      </c>
      <c r="E88" s="180">
        <v>12</v>
      </c>
      <c r="F88" s="180">
        <v>3600</v>
      </c>
      <c r="G88" s="185">
        <f t="shared" si="106"/>
        <v>300</v>
      </c>
      <c r="H88" s="625"/>
      <c r="I88" s="186">
        <f t="shared" ref="I88:K96" si="112">AVERAGE(P88,U88,Z88,AE88,AJ88,AO88,AT88)</f>
        <v>12</v>
      </c>
      <c r="J88" s="186">
        <f t="shared" si="112"/>
        <v>3147.2025907979855</v>
      </c>
      <c r="K88" s="187">
        <f t="shared" si="112"/>
        <v>262.26688256649885</v>
      </c>
      <c r="L88" s="626"/>
      <c r="M88" s="186">
        <f>RANK(K88, K$87:$K$101)</f>
        <v>7</v>
      </c>
      <c r="N88" s="564"/>
      <c r="O88" s="564"/>
      <c r="P88" s="188">
        <v>12</v>
      </c>
      <c r="Q88" s="188">
        <v>3146.5211459754455</v>
      </c>
      <c r="R88" s="185">
        <f t="shared" ref="R88:R96" si="113">IFERROR(Q88/P88,"")</f>
        <v>262.21009549795377</v>
      </c>
      <c r="S88" s="182">
        <f t="shared" ref="S88:S96" si="114">RANK(R88, R$87:R$101)</f>
        <v>10</v>
      </c>
      <c r="T88" s="625"/>
      <c r="U88" s="188">
        <v>12</v>
      </c>
      <c r="V88" s="188">
        <v>3146.6075388026602</v>
      </c>
      <c r="W88" s="185">
        <f t="shared" si="107"/>
        <v>262.2172949002217</v>
      </c>
      <c r="X88" s="182">
        <f t="shared" ref="X88:X96" si="115">RANK(W88, W$87:W$101)</f>
        <v>10</v>
      </c>
      <c r="Y88" s="625"/>
      <c r="Z88" s="188">
        <v>12</v>
      </c>
      <c r="AA88" s="188">
        <v>3146.4190981432384</v>
      </c>
      <c r="AB88" s="185">
        <f t="shared" si="108"/>
        <v>262.20159151193656</v>
      </c>
      <c r="AC88" s="182">
        <f t="shared" ref="AC88:AC96" si="116">RANK(AB88, AB$87:AB$101)</f>
        <v>10</v>
      </c>
      <c r="AD88" s="625"/>
      <c r="AE88" s="188">
        <v>12</v>
      </c>
      <c r="AF88" s="188">
        <v>3147.4797759800863</v>
      </c>
      <c r="AG88" s="185">
        <f t="shared" ref="AG88:AG96" si="117">IFERROR(AF88/AE88,"")</f>
        <v>262.28998133167386</v>
      </c>
      <c r="AH88" s="182">
        <f t="shared" ref="AH88:AH96" si="118">RANK(AG88, AG$87:AG$101)</f>
        <v>7</v>
      </c>
      <c r="AI88" s="625"/>
      <c r="AJ88" s="188">
        <v>12</v>
      </c>
      <c r="AK88" s="188">
        <v>3147.8730587440923</v>
      </c>
      <c r="AL88" s="185">
        <f t="shared" si="109"/>
        <v>262.32275489534101</v>
      </c>
      <c r="AM88" s="182">
        <f t="shared" ref="AM88:AM96" si="119">RANK(AL88, AL$87:AL$101)</f>
        <v>7</v>
      </c>
      <c r="AN88" s="625"/>
      <c r="AO88" s="188">
        <v>12</v>
      </c>
      <c r="AP88" s="188">
        <v>3147.7462437395675</v>
      </c>
      <c r="AQ88" s="185">
        <f t="shared" si="110"/>
        <v>262.31218697829729</v>
      </c>
      <c r="AR88" s="182">
        <f t="shared" ref="AR88:AR96" si="120">RANK(AQ88, AQ$87:AQ$101)</f>
        <v>7</v>
      </c>
      <c r="AS88" s="625"/>
      <c r="AT88" s="188">
        <v>12</v>
      </c>
      <c r="AU88" s="188">
        <v>3147.7712742008125</v>
      </c>
      <c r="AV88" s="185">
        <f t="shared" si="111"/>
        <v>262.31427285006771</v>
      </c>
      <c r="AW88" s="182">
        <f t="shared" ref="AW88:AW96" si="121">RANK(AV88, AV$87:AV$101)</f>
        <v>7</v>
      </c>
      <c r="AX88" s="625"/>
    </row>
    <row r="89" spans="2:50" ht="14.25" customHeight="1">
      <c r="B89" s="564"/>
      <c r="C89" s="180">
        <v>3</v>
      </c>
      <c r="D89" s="183" t="s">
        <v>350</v>
      </c>
      <c r="E89" s="180">
        <v>11</v>
      </c>
      <c r="F89" s="180">
        <v>3600</v>
      </c>
      <c r="G89" s="185">
        <f t="shared" si="106"/>
        <v>327.27272727272725</v>
      </c>
      <c r="H89" s="625"/>
      <c r="I89" s="186">
        <f t="shared" si="112"/>
        <v>11</v>
      </c>
      <c r="J89" s="186">
        <f t="shared" si="112"/>
        <v>3181.8658539227231</v>
      </c>
      <c r="K89" s="187">
        <f t="shared" si="112"/>
        <v>289.26053217479301</v>
      </c>
      <c r="L89" s="626"/>
      <c r="M89" s="186">
        <f>RANK(K89, K$87:$K$101)</f>
        <v>6</v>
      </c>
      <c r="N89" s="564"/>
      <c r="O89" s="564"/>
      <c r="P89" s="188">
        <v>11</v>
      </c>
      <c r="Q89" s="188">
        <v>3182.3429541595874</v>
      </c>
      <c r="R89" s="185">
        <f t="shared" si="113"/>
        <v>289.30390492359885</v>
      </c>
      <c r="S89" s="182">
        <f t="shared" si="114"/>
        <v>5</v>
      </c>
      <c r="T89" s="625"/>
      <c r="U89" s="188">
        <v>11</v>
      </c>
      <c r="V89" s="188">
        <v>3182.3759063022862</v>
      </c>
      <c r="W89" s="185">
        <f t="shared" si="107"/>
        <v>289.30690057293509</v>
      </c>
      <c r="X89" s="182">
        <f t="shared" si="115"/>
        <v>5</v>
      </c>
      <c r="Y89" s="625"/>
      <c r="Z89" s="188">
        <v>11</v>
      </c>
      <c r="AA89" s="188">
        <v>3183.1121833534316</v>
      </c>
      <c r="AB89" s="185">
        <f t="shared" si="108"/>
        <v>289.37383485031199</v>
      </c>
      <c r="AC89" s="182">
        <f t="shared" si="116"/>
        <v>5</v>
      </c>
      <c r="AD89" s="625"/>
      <c r="AE89" s="188">
        <v>11</v>
      </c>
      <c r="AF89" s="188">
        <v>3181.7195972114587</v>
      </c>
      <c r="AG89" s="185">
        <f t="shared" si="117"/>
        <v>289.24723611013263</v>
      </c>
      <c r="AH89" s="182">
        <f t="shared" si="118"/>
        <v>6</v>
      </c>
      <c r="AI89" s="625"/>
      <c r="AJ89" s="188">
        <v>11</v>
      </c>
      <c r="AK89" s="188">
        <v>3181.861575178998</v>
      </c>
      <c r="AL89" s="185">
        <f t="shared" si="109"/>
        <v>289.2601431980907</v>
      </c>
      <c r="AM89" s="182">
        <f t="shared" si="119"/>
        <v>6</v>
      </c>
      <c r="AN89" s="625"/>
      <c r="AO89" s="188">
        <v>11</v>
      </c>
      <c r="AP89" s="188">
        <v>3181.0259238830631</v>
      </c>
      <c r="AQ89" s="185">
        <f t="shared" si="110"/>
        <v>289.1841748984603</v>
      </c>
      <c r="AR89" s="182">
        <f t="shared" si="120"/>
        <v>6</v>
      </c>
      <c r="AS89" s="625"/>
      <c r="AT89" s="188">
        <v>11</v>
      </c>
      <c r="AU89" s="188">
        <v>3180.6228373702379</v>
      </c>
      <c r="AV89" s="185">
        <f t="shared" si="111"/>
        <v>289.14753067002164</v>
      </c>
      <c r="AW89" s="182">
        <f t="shared" si="121"/>
        <v>6</v>
      </c>
      <c r="AX89" s="625"/>
    </row>
    <row r="90" spans="2:50" ht="14.25" customHeight="1">
      <c r="B90" s="564"/>
      <c r="C90" s="180">
        <v>4</v>
      </c>
      <c r="D90" s="183" t="s">
        <v>473</v>
      </c>
      <c r="E90" s="180">
        <v>6</v>
      </c>
      <c r="F90" s="180">
        <v>2600</v>
      </c>
      <c r="G90" s="185">
        <f t="shared" si="106"/>
        <v>433.33333333333331</v>
      </c>
      <c r="H90" s="625"/>
      <c r="I90" s="186">
        <f t="shared" si="112"/>
        <v>6</v>
      </c>
      <c r="J90" s="186">
        <f t="shared" si="112"/>
        <v>2340.1621919284512</v>
      </c>
      <c r="K90" s="187">
        <f t="shared" si="112"/>
        <v>390.02703198807518</v>
      </c>
      <c r="L90" s="626"/>
      <c r="M90" s="186">
        <f>RANK(K90, K$87:$K$101)</f>
        <v>2</v>
      </c>
      <c r="N90" s="564"/>
      <c r="O90" s="564"/>
      <c r="P90" s="188">
        <v>6</v>
      </c>
      <c r="Q90" s="188">
        <v>2341.2026726057893</v>
      </c>
      <c r="R90" s="185">
        <f t="shared" si="113"/>
        <v>390.20044543429822</v>
      </c>
      <c r="S90" s="182">
        <f t="shared" si="114"/>
        <v>1</v>
      </c>
      <c r="T90" s="625"/>
      <c r="U90" s="188">
        <v>6</v>
      </c>
      <c r="V90" s="188">
        <v>2340.0000000000023</v>
      </c>
      <c r="W90" s="185">
        <f t="shared" si="107"/>
        <v>390.0000000000004</v>
      </c>
      <c r="X90" s="182">
        <f t="shared" si="115"/>
        <v>2</v>
      </c>
      <c r="Y90" s="625"/>
      <c r="Z90" s="188">
        <v>6</v>
      </c>
      <c r="AA90" s="188">
        <v>2340.2110199296581</v>
      </c>
      <c r="AB90" s="185">
        <f t="shared" si="108"/>
        <v>390.03516998827632</v>
      </c>
      <c r="AC90" s="182">
        <f t="shared" si="116"/>
        <v>2</v>
      </c>
      <c r="AD90" s="625"/>
      <c r="AE90" s="188">
        <v>6</v>
      </c>
      <c r="AF90" s="188">
        <v>2338.8349514563083</v>
      </c>
      <c r="AG90" s="185">
        <f t="shared" si="117"/>
        <v>389.80582524271807</v>
      </c>
      <c r="AH90" s="182">
        <f t="shared" si="118"/>
        <v>2</v>
      </c>
      <c r="AI90" s="625"/>
      <c r="AJ90" s="188">
        <v>6</v>
      </c>
      <c r="AK90" s="188">
        <v>2340.0000000000086</v>
      </c>
      <c r="AL90" s="185">
        <f t="shared" si="109"/>
        <v>390.00000000000142</v>
      </c>
      <c r="AM90" s="182">
        <f t="shared" si="119"/>
        <v>2</v>
      </c>
      <c r="AN90" s="625"/>
      <c r="AO90" s="188">
        <v>6</v>
      </c>
      <c r="AP90" s="188">
        <v>2340.8866995073918</v>
      </c>
      <c r="AQ90" s="185">
        <f t="shared" si="110"/>
        <v>390.14778325123194</v>
      </c>
      <c r="AR90" s="182">
        <f t="shared" si="120"/>
        <v>1</v>
      </c>
      <c r="AS90" s="625"/>
      <c r="AT90" s="188">
        <v>6</v>
      </c>
      <c r="AU90" s="188">
        <v>2339.9999999999995</v>
      </c>
      <c r="AV90" s="185">
        <f t="shared" si="111"/>
        <v>389.99999999999994</v>
      </c>
      <c r="AW90" s="182">
        <f t="shared" si="121"/>
        <v>2</v>
      </c>
      <c r="AX90" s="625"/>
    </row>
    <row r="91" spans="2:50" ht="14.25" customHeight="1">
      <c r="B91" s="564"/>
      <c r="C91" s="180">
        <v>5</v>
      </c>
      <c r="D91" s="183" t="s">
        <v>477</v>
      </c>
      <c r="E91" s="180">
        <v>6</v>
      </c>
      <c r="F91" s="180">
        <v>2600</v>
      </c>
      <c r="G91" s="185">
        <f t="shared" si="106"/>
        <v>433.33333333333331</v>
      </c>
      <c r="H91" s="625"/>
      <c r="I91" s="186">
        <f t="shared" si="112"/>
        <v>6</v>
      </c>
      <c r="J91" s="186">
        <f t="shared" si="112"/>
        <v>2340.4936784736988</v>
      </c>
      <c r="K91" s="187">
        <f t="shared" si="112"/>
        <v>390.0822797456164</v>
      </c>
      <c r="L91" s="626"/>
      <c r="M91" s="186">
        <f>RANK(K91, K$87:$K$101)</f>
        <v>1</v>
      </c>
      <c r="N91" s="564"/>
      <c r="O91" s="564"/>
      <c r="P91" s="188">
        <v>6</v>
      </c>
      <c r="Q91" s="188">
        <v>2340.6271777003476</v>
      </c>
      <c r="R91" s="185">
        <f t="shared" si="113"/>
        <v>390.10452961672462</v>
      </c>
      <c r="S91" s="182">
        <f t="shared" si="114"/>
        <v>2</v>
      </c>
      <c r="T91" s="625"/>
      <c r="U91" s="188">
        <v>6</v>
      </c>
      <c r="V91" s="188">
        <v>2340.4891304347775</v>
      </c>
      <c r="W91" s="185">
        <f t="shared" si="107"/>
        <v>390.08152173912958</v>
      </c>
      <c r="X91" s="182">
        <f t="shared" si="115"/>
        <v>1</v>
      </c>
      <c r="Y91" s="625"/>
      <c r="Z91" s="188">
        <v>6</v>
      </c>
      <c r="AA91" s="188">
        <v>2340.7510431154365</v>
      </c>
      <c r="AB91" s="185">
        <f t="shared" si="108"/>
        <v>390.12517385257274</v>
      </c>
      <c r="AC91" s="182">
        <f t="shared" si="116"/>
        <v>1</v>
      </c>
      <c r="AD91" s="625"/>
      <c r="AE91" s="188">
        <v>6</v>
      </c>
      <c r="AF91" s="188">
        <v>2339.1705069124419</v>
      </c>
      <c r="AG91" s="185">
        <f t="shared" si="117"/>
        <v>389.86175115207362</v>
      </c>
      <c r="AH91" s="182">
        <f t="shared" si="118"/>
        <v>1</v>
      </c>
      <c r="AI91" s="625"/>
      <c r="AJ91" s="188">
        <v>6</v>
      </c>
      <c r="AK91" s="188">
        <v>2340.9424083769695</v>
      </c>
      <c r="AL91" s="185">
        <f t="shared" si="109"/>
        <v>390.15706806282827</v>
      </c>
      <c r="AM91" s="182">
        <f t="shared" si="119"/>
        <v>1</v>
      </c>
      <c r="AN91" s="625"/>
      <c r="AO91" s="188">
        <v>6</v>
      </c>
      <c r="AP91" s="188">
        <v>2340.8394403730899</v>
      </c>
      <c r="AQ91" s="185">
        <f t="shared" si="110"/>
        <v>390.1399067288483</v>
      </c>
      <c r="AR91" s="182">
        <f t="shared" si="120"/>
        <v>2</v>
      </c>
      <c r="AS91" s="625"/>
      <c r="AT91" s="188">
        <v>6</v>
      </c>
      <c r="AU91" s="188">
        <v>2340.6360424028285</v>
      </c>
      <c r="AV91" s="185">
        <f t="shared" si="111"/>
        <v>390.10600706713808</v>
      </c>
      <c r="AW91" s="182">
        <f t="shared" si="121"/>
        <v>1</v>
      </c>
      <c r="AX91" s="625"/>
    </row>
    <row r="92" spans="2:50" ht="14.25" customHeight="1">
      <c r="B92" s="564"/>
      <c r="C92" s="180">
        <v>6</v>
      </c>
      <c r="D92" s="183" t="s">
        <v>643</v>
      </c>
      <c r="E92" s="180">
        <v>6</v>
      </c>
      <c r="F92" s="180">
        <v>2500</v>
      </c>
      <c r="G92" s="185">
        <f t="shared" si="106"/>
        <v>416.66666666666669</v>
      </c>
      <c r="H92" s="625"/>
      <c r="I92" s="186">
        <f t="shared" si="112"/>
        <v>6</v>
      </c>
      <c r="J92" s="186">
        <f t="shared" si="112"/>
        <v>2257.9484433249049</v>
      </c>
      <c r="K92" s="187">
        <f t="shared" si="112"/>
        <v>376.32474055415088</v>
      </c>
      <c r="L92" s="626"/>
      <c r="M92" s="186">
        <f>RANK(K92, K$87:$K$101)</f>
        <v>3</v>
      </c>
      <c r="N92" s="564"/>
      <c r="O92" s="564"/>
      <c r="P92" s="188">
        <v>6</v>
      </c>
      <c r="Q92" s="188">
        <v>2257.7997877608755</v>
      </c>
      <c r="R92" s="185">
        <f t="shared" si="113"/>
        <v>376.2999646268126</v>
      </c>
      <c r="S92" s="182">
        <f t="shared" si="114"/>
        <v>3</v>
      </c>
      <c r="T92" s="625"/>
      <c r="U92" s="188">
        <v>6</v>
      </c>
      <c r="V92" s="188">
        <v>2258.1935023206001</v>
      </c>
      <c r="W92" s="185">
        <f t="shared" si="107"/>
        <v>376.36558372010001</v>
      </c>
      <c r="X92" s="182">
        <f t="shared" si="115"/>
        <v>3</v>
      </c>
      <c r="Y92" s="625"/>
      <c r="Z92" s="188">
        <v>6</v>
      </c>
      <c r="AA92" s="188">
        <v>2257.90679908327</v>
      </c>
      <c r="AB92" s="185">
        <f t="shared" si="108"/>
        <v>376.31779984721169</v>
      </c>
      <c r="AC92" s="182">
        <f t="shared" si="116"/>
        <v>3</v>
      </c>
      <c r="AD92" s="625"/>
      <c r="AE92" s="188">
        <v>6</v>
      </c>
      <c r="AF92" s="188">
        <v>2257.9036827195478</v>
      </c>
      <c r="AG92" s="185">
        <f t="shared" si="117"/>
        <v>376.31728045325798</v>
      </c>
      <c r="AH92" s="182">
        <f t="shared" si="118"/>
        <v>3</v>
      </c>
      <c r="AI92" s="625"/>
      <c r="AJ92" s="188">
        <v>6</v>
      </c>
      <c r="AK92" s="188">
        <v>2257.4332909783989</v>
      </c>
      <c r="AL92" s="185">
        <f t="shared" si="109"/>
        <v>376.23888182973315</v>
      </c>
      <c r="AM92" s="182">
        <f t="shared" si="119"/>
        <v>3</v>
      </c>
      <c r="AN92" s="625"/>
      <c r="AO92" s="188">
        <v>6</v>
      </c>
      <c r="AP92" s="188">
        <v>2258.2362728785374</v>
      </c>
      <c r="AQ92" s="185">
        <f t="shared" si="110"/>
        <v>376.37271214642288</v>
      </c>
      <c r="AR92" s="182">
        <f t="shared" si="120"/>
        <v>3</v>
      </c>
      <c r="AS92" s="625"/>
      <c r="AT92" s="188">
        <v>6</v>
      </c>
      <c r="AU92" s="188">
        <v>2258.1657675331039</v>
      </c>
      <c r="AV92" s="185">
        <f t="shared" si="111"/>
        <v>376.36096125551734</v>
      </c>
      <c r="AW92" s="182">
        <f t="shared" si="121"/>
        <v>3</v>
      </c>
      <c r="AX92" s="625"/>
    </row>
    <row r="93" spans="2:50" ht="14.25" customHeight="1">
      <c r="B93" s="564"/>
      <c r="C93" s="180">
        <v>7</v>
      </c>
      <c r="D93" s="183" t="s">
        <v>751</v>
      </c>
      <c r="E93" s="180">
        <v>6</v>
      </c>
      <c r="F93" s="180">
        <v>2500</v>
      </c>
      <c r="G93" s="185">
        <f t="shared" si="106"/>
        <v>416.66666666666669</v>
      </c>
      <c r="H93" s="625"/>
      <c r="I93" s="186">
        <f t="shared" si="112"/>
        <v>6</v>
      </c>
      <c r="J93" s="186">
        <f t="shared" si="112"/>
        <v>2256.8942145802989</v>
      </c>
      <c r="K93" s="187">
        <f t="shared" si="112"/>
        <v>376.14903576338321</v>
      </c>
      <c r="L93" s="626"/>
      <c r="M93" s="186">
        <f>RANK(K93, K$87:$K$101)</f>
        <v>4</v>
      </c>
      <c r="N93" s="564"/>
      <c r="O93" s="564"/>
      <c r="P93" s="188">
        <v>6</v>
      </c>
      <c r="Q93" s="188">
        <v>2256.5481672499527</v>
      </c>
      <c r="R93" s="185">
        <f t="shared" si="113"/>
        <v>376.09136120832545</v>
      </c>
      <c r="S93" s="182">
        <f t="shared" si="114"/>
        <v>4</v>
      </c>
      <c r="T93" s="625"/>
      <c r="U93" s="188">
        <v>6</v>
      </c>
      <c r="V93" s="188">
        <v>2256.4628641772656</v>
      </c>
      <c r="W93" s="185">
        <f t="shared" si="107"/>
        <v>376.07714402954429</v>
      </c>
      <c r="X93" s="182">
        <f t="shared" si="115"/>
        <v>4</v>
      </c>
      <c r="Y93" s="625"/>
      <c r="Z93" s="188">
        <v>6</v>
      </c>
      <c r="AA93" s="188">
        <v>2256.7375886524815</v>
      </c>
      <c r="AB93" s="185">
        <f t="shared" si="108"/>
        <v>376.12293144208024</v>
      </c>
      <c r="AC93" s="182">
        <f t="shared" si="116"/>
        <v>4</v>
      </c>
      <c r="AD93" s="625"/>
      <c r="AE93" s="188">
        <v>6</v>
      </c>
      <c r="AF93" s="188">
        <v>2256.6642388929345</v>
      </c>
      <c r="AG93" s="185">
        <f t="shared" si="117"/>
        <v>376.11070648215576</v>
      </c>
      <c r="AH93" s="182">
        <f t="shared" si="118"/>
        <v>4</v>
      </c>
      <c r="AI93" s="625"/>
      <c r="AJ93" s="188">
        <v>6</v>
      </c>
      <c r="AK93" s="188">
        <v>2257.1206225680944</v>
      </c>
      <c r="AL93" s="185">
        <f t="shared" si="109"/>
        <v>376.18677042801573</v>
      </c>
      <c r="AM93" s="182">
        <f t="shared" si="119"/>
        <v>4</v>
      </c>
      <c r="AN93" s="625"/>
      <c r="AO93" s="188">
        <v>6</v>
      </c>
      <c r="AP93" s="188">
        <v>2257.2163927935057</v>
      </c>
      <c r="AQ93" s="185">
        <f t="shared" si="110"/>
        <v>376.20273213225096</v>
      </c>
      <c r="AR93" s="182">
        <f t="shared" si="120"/>
        <v>4</v>
      </c>
      <c r="AS93" s="625"/>
      <c r="AT93" s="188">
        <v>6</v>
      </c>
      <c r="AU93" s="188">
        <v>2257.5096277278581</v>
      </c>
      <c r="AV93" s="185">
        <f t="shared" si="111"/>
        <v>376.2516046213097</v>
      </c>
      <c r="AW93" s="182">
        <f t="shared" si="121"/>
        <v>4</v>
      </c>
      <c r="AX93" s="625"/>
    </row>
    <row r="94" spans="2:50" ht="14.25" customHeight="1">
      <c r="B94" s="564"/>
      <c r="C94" s="180">
        <v>8</v>
      </c>
      <c r="D94" s="183" t="s">
        <v>354</v>
      </c>
      <c r="E94" s="180">
        <v>12</v>
      </c>
      <c r="F94" s="180">
        <v>3600</v>
      </c>
      <c r="G94" s="185">
        <f t="shared" si="106"/>
        <v>300</v>
      </c>
      <c r="H94" s="625"/>
      <c r="I94" s="186">
        <f t="shared" si="112"/>
        <v>12</v>
      </c>
      <c r="J94" s="186">
        <f t="shared" si="112"/>
        <v>3145.9305028549143</v>
      </c>
      <c r="K94" s="187">
        <f t="shared" si="112"/>
        <v>262.16087523790958</v>
      </c>
      <c r="L94" s="626"/>
      <c r="M94" s="186">
        <f>RANK(K94, K$87:$K$101)</f>
        <v>10</v>
      </c>
      <c r="N94" s="564"/>
      <c r="O94" s="564"/>
      <c r="P94" s="188">
        <v>12</v>
      </c>
      <c r="Q94" s="188">
        <v>3147.5074563272274</v>
      </c>
      <c r="R94" s="185">
        <f t="shared" si="113"/>
        <v>262.29228802726897</v>
      </c>
      <c r="S94" s="182">
        <f t="shared" si="114"/>
        <v>7</v>
      </c>
      <c r="T94" s="625"/>
      <c r="U94" s="188">
        <v>12</v>
      </c>
      <c r="V94" s="188">
        <v>3146.8749999999927</v>
      </c>
      <c r="W94" s="185">
        <f t="shared" si="107"/>
        <v>262.23958333333275</v>
      </c>
      <c r="X94" s="182">
        <f t="shared" si="115"/>
        <v>9</v>
      </c>
      <c r="Y94" s="625"/>
      <c r="Z94" s="188">
        <v>12</v>
      </c>
      <c r="AA94" s="188">
        <v>3146.7971530249074</v>
      </c>
      <c r="AB94" s="185">
        <f t="shared" si="108"/>
        <v>262.23309608540893</v>
      </c>
      <c r="AC94" s="182">
        <f t="shared" si="116"/>
        <v>9</v>
      </c>
      <c r="AD94" s="625"/>
      <c r="AE94" s="188">
        <v>12</v>
      </c>
      <c r="AF94" s="188">
        <v>3145.0026441036412</v>
      </c>
      <c r="AG94" s="185">
        <f t="shared" si="117"/>
        <v>262.08355367530345</v>
      </c>
      <c r="AH94" s="182">
        <f t="shared" si="118"/>
        <v>10</v>
      </c>
      <c r="AI94" s="625"/>
      <c r="AJ94" s="188">
        <v>12</v>
      </c>
      <c r="AK94" s="188">
        <v>3144.9888641425291</v>
      </c>
      <c r="AL94" s="185">
        <f t="shared" si="109"/>
        <v>262.08240534521076</v>
      </c>
      <c r="AM94" s="182">
        <f t="shared" si="119"/>
        <v>10</v>
      </c>
      <c r="AN94" s="625"/>
      <c r="AO94" s="188">
        <v>12</v>
      </c>
      <c r="AP94" s="188">
        <v>3145.0462351387055</v>
      </c>
      <c r="AQ94" s="185">
        <f t="shared" si="110"/>
        <v>262.08718626155877</v>
      </c>
      <c r="AR94" s="182">
        <f t="shared" si="120"/>
        <v>10</v>
      </c>
      <c r="AS94" s="625"/>
      <c r="AT94" s="188">
        <v>12</v>
      </c>
      <c r="AU94" s="188">
        <v>3145.2961672473984</v>
      </c>
      <c r="AV94" s="185">
        <f t="shared" si="111"/>
        <v>262.1080139372832</v>
      </c>
      <c r="AW94" s="182">
        <f t="shared" si="121"/>
        <v>10</v>
      </c>
      <c r="AX94" s="625"/>
    </row>
    <row r="95" spans="2:50" ht="14.25" customHeight="1">
      <c r="B95" s="564"/>
      <c r="C95" s="180">
        <v>9</v>
      </c>
      <c r="D95" s="183" t="s">
        <v>355</v>
      </c>
      <c r="E95" s="180">
        <v>12</v>
      </c>
      <c r="F95" s="180">
        <v>3600</v>
      </c>
      <c r="G95" s="185">
        <f t="shared" si="106"/>
        <v>300</v>
      </c>
      <c r="H95" s="625"/>
      <c r="I95" s="186">
        <f t="shared" si="112"/>
        <v>12</v>
      </c>
      <c r="J95" s="186">
        <f t="shared" si="112"/>
        <v>3147.0122255305882</v>
      </c>
      <c r="K95" s="187">
        <f t="shared" si="112"/>
        <v>262.25101879421567</v>
      </c>
      <c r="L95" s="626"/>
      <c r="M95" s="186">
        <f>RANK(K95, K$87:$K$101)</f>
        <v>8</v>
      </c>
      <c r="N95" s="564"/>
      <c r="O95" s="564"/>
      <c r="P95" s="188">
        <v>12</v>
      </c>
      <c r="Q95" s="188">
        <v>3147.1180237877411</v>
      </c>
      <c r="R95" s="185">
        <f t="shared" si="113"/>
        <v>262.25983531564509</v>
      </c>
      <c r="S95" s="182">
        <f t="shared" si="114"/>
        <v>8</v>
      </c>
      <c r="T95" s="625"/>
      <c r="U95" s="188">
        <v>12</v>
      </c>
      <c r="V95" s="188">
        <v>3147.9674796747959</v>
      </c>
      <c r="W95" s="185">
        <f t="shared" si="107"/>
        <v>262.33062330623301</v>
      </c>
      <c r="X95" s="182">
        <f t="shared" si="115"/>
        <v>7</v>
      </c>
      <c r="Y95" s="625"/>
      <c r="Z95" s="188">
        <v>12</v>
      </c>
      <c r="AA95" s="188">
        <v>3147.860538827249</v>
      </c>
      <c r="AB95" s="185">
        <f t="shared" si="108"/>
        <v>262.32171156893742</v>
      </c>
      <c r="AC95" s="182">
        <f t="shared" si="116"/>
        <v>7</v>
      </c>
      <c r="AD95" s="625"/>
      <c r="AE95" s="188">
        <v>12</v>
      </c>
      <c r="AF95" s="188">
        <v>3147.2081218274129</v>
      </c>
      <c r="AG95" s="185">
        <f t="shared" si="117"/>
        <v>262.26734348561774</v>
      </c>
      <c r="AH95" s="182">
        <f t="shared" si="118"/>
        <v>8</v>
      </c>
      <c r="AI95" s="625"/>
      <c r="AJ95" s="188">
        <v>12</v>
      </c>
      <c r="AK95" s="188">
        <v>3146.3414634146334</v>
      </c>
      <c r="AL95" s="185">
        <f t="shared" si="109"/>
        <v>262.19512195121945</v>
      </c>
      <c r="AM95" s="182">
        <f t="shared" si="119"/>
        <v>9</v>
      </c>
      <c r="AN95" s="625"/>
      <c r="AO95" s="188">
        <v>12</v>
      </c>
      <c r="AP95" s="188">
        <v>3145.8866544789862</v>
      </c>
      <c r="AQ95" s="185">
        <f t="shared" si="110"/>
        <v>262.15722120658216</v>
      </c>
      <c r="AR95" s="182">
        <f t="shared" si="120"/>
        <v>9</v>
      </c>
      <c r="AS95" s="625"/>
      <c r="AT95" s="188">
        <v>12</v>
      </c>
      <c r="AU95" s="188">
        <v>3146.7032967033024</v>
      </c>
      <c r="AV95" s="185">
        <f t="shared" si="111"/>
        <v>262.2252747252752</v>
      </c>
      <c r="AW95" s="182">
        <f t="shared" si="121"/>
        <v>9</v>
      </c>
      <c r="AX95" s="625"/>
    </row>
    <row r="96" spans="2:50" ht="14.25" customHeight="1">
      <c r="B96" s="564"/>
      <c r="C96" s="180">
        <v>10</v>
      </c>
      <c r="D96" s="183" t="s">
        <v>353</v>
      </c>
      <c r="E96" s="180">
        <v>11</v>
      </c>
      <c r="F96" s="180">
        <v>3600</v>
      </c>
      <c r="G96" s="185">
        <f t="shared" si="106"/>
        <v>327.27272727272725</v>
      </c>
      <c r="H96" s="625"/>
      <c r="I96" s="186">
        <f t="shared" si="112"/>
        <v>11</v>
      </c>
      <c r="J96" s="186">
        <f t="shared" si="112"/>
        <v>3181.9715560079048</v>
      </c>
      <c r="K96" s="187">
        <f t="shared" si="112"/>
        <v>289.27014145526408</v>
      </c>
      <c r="L96" s="626"/>
      <c r="M96" s="186">
        <f>RANK(K96, K$87:$K$101)</f>
        <v>5</v>
      </c>
      <c r="N96" s="564"/>
      <c r="O96" s="564"/>
      <c r="P96" s="188">
        <v>11</v>
      </c>
      <c r="Q96" s="188">
        <v>3181.6448152562571</v>
      </c>
      <c r="R96" s="185">
        <f t="shared" si="113"/>
        <v>289.24043775056884</v>
      </c>
      <c r="S96" s="182">
        <f t="shared" si="114"/>
        <v>6</v>
      </c>
      <c r="T96" s="625"/>
      <c r="U96" s="188">
        <v>11</v>
      </c>
      <c r="V96" s="188">
        <v>3181.5384615384687</v>
      </c>
      <c r="W96" s="185">
        <f t="shared" si="107"/>
        <v>289.23076923076991</v>
      </c>
      <c r="X96" s="182">
        <f t="shared" si="115"/>
        <v>6</v>
      </c>
      <c r="Y96" s="625"/>
      <c r="Z96" s="188">
        <v>11</v>
      </c>
      <c r="AA96" s="188">
        <v>3181.2949640287734</v>
      </c>
      <c r="AB96" s="185">
        <f t="shared" si="108"/>
        <v>289.20863309352484</v>
      </c>
      <c r="AC96" s="182">
        <f t="shared" si="116"/>
        <v>6</v>
      </c>
      <c r="AD96" s="625"/>
      <c r="AE96" s="188">
        <v>11</v>
      </c>
      <c r="AF96" s="188">
        <v>3183.2710978342166</v>
      </c>
      <c r="AG96" s="185">
        <f t="shared" si="117"/>
        <v>289.38828162129244</v>
      </c>
      <c r="AH96" s="182">
        <f t="shared" si="118"/>
        <v>5</v>
      </c>
      <c r="AI96" s="625"/>
      <c r="AJ96" s="188">
        <v>11</v>
      </c>
      <c r="AK96" s="188">
        <v>3181.917381137976</v>
      </c>
      <c r="AL96" s="185">
        <f t="shared" si="109"/>
        <v>289.26521646708875</v>
      </c>
      <c r="AM96" s="182">
        <f t="shared" si="119"/>
        <v>5</v>
      </c>
      <c r="AN96" s="625"/>
      <c r="AO96" s="188">
        <v>11</v>
      </c>
      <c r="AP96" s="188">
        <v>3181.7427385892088</v>
      </c>
      <c r="AQ96" s="185">
        <f t="shared" si="110"/>
        <v>289.24933987174626</v>
      </c>
      <c r="AR96" s="182">
        <f t="shared" si="120"/>
        <v>5</v>
      </c>
      <c r="AS96" s="625"/>
      <c r="AT96" s="188">
        <v>11</v>
      </c>
      <c r="AU96" s="188">
        <v>3182.3914336704329</v>
      </c>
      <c r="AV96" s="185">
        <f t="shared" si="111"/>
        <v>289.30831215185754</v>
      </c>
      <c r="AW96" s="182">
        <f t="shared" si="121"/>
        <v>5</v>
      </c>
      <c r="AX96" s="625"/>
    </row>
    <row r="97" spans="2:50" ht="14.25" customHeight="1">
      <c r="B97" s="564"/>
      <c r="C97" s="180">
        <v>11</v>
      </c>
      <c r="D97" s="183"/>
      <c r="E97" s="180"/>
      <c r="F97" s="180"/>
      <c r="G97" s="185"/>
      <c r="H97" s="625"/>
      <c r="I97" s="186"/>
      <c r="J97" s="186"/>
      <c r="K97" s="187"/>
      <c r="L97" s="626"/>
      <c r="M97" s="186"/>
      <c r="N97" s="564"/>
      <c r="O97" s="564"/>
      <c r="P97" s="188"/>
      <c r="Q97" s="188"/>
      <c r="R97" s="185"/>
      <c r="S97" s="182"/>
      <c r="T97" s="625"/>
      <c r="U97" s="188"/>
      <c r="V97" s="188"/>
      <c r="W97" s="185"/>
      <c r="X97" s="182"/>
      <c r="Y97" s="625"/>
      <c r="Z97" s="188"/>
      <c r="AA97" s="188"/>
      <c r="AB97" s="185"/>
      <c r="AC97" s="182"/>
      <c r="AD97" s="625"/>
      <c r="AE97" s="188"/>
      <c r="AF97" s="188"/>
      <c r="AG97" s="185"/>
      <c r="AH97" s="182"/>
      <c r="AI97" s="625"/>
      <c r="AJ97" s="188"/>
      <c r="AK97" s="188"/>
      <c r="AL97" s="185"/>
      <c r="AM97" s="182"/>
      <c r="AN97" s="625"/>
      <c r="AO97" s="188"/>
      <c r="AP97" s="188"/>
      <c r="AQ97" s="185"/>
      <c r="AR97" s="182"/>
      <c r="AS97" s="625"/>
      <c r="AT97" s="188"/>
      <c r="AU97" s="188"/>
      <c r="AV97" s="185"/>
      <c r="AW97" s="182"/>
      <c r="AX97" s="625"/>
    </row>
    <row r="98" spans="2:50" ht="14.25" customHeight="1">
      <c r="B98" s="564"/>
      <c r="C98" s="180">
        <v>12</v>
      </c>
      <c r="D98" s="183"/>
      <c r="E98" s="180"/>
      <c r="F98" s="180"/>
      <c r="G98" s="185"/>
      <c r="H98" s="625"/>
      <c r="I98" s="186"/>
      <c r="J98" s="186"/>
      <c r="K98" s="187"/>
      <c r="L98" s="626"/>
      <c r="M98" s="186"/>
      <c r="N98" s="564"/>
      <c r="O98" s="564"/>
      <c r="P98" s="188"/>
      <c r="Q98" s="188"/>
      <c r="R98" s="185"/>
      <c r="S98" s="182"/>
      <c r="T98" s="625"/>
      <c r="U98" s="188"/>
      <c r="V98" s="188"/>
      <c r="W98" s="185"/>
      <c r="X98" s="182"/>
      <c r="Y98" s="625"/>
      <c r="Z98" s="188"/>
      <c r="AA98" s="188"/>
      <c r="AB98" s="185"/>
      <c r="AC98" s="182"/>
      <c r="AD98" s="625"/>
      <c r="AE98" s="188"/>
      <c r="AF98" s="188"/>
      <c r="AG98" s="185"/>
      <c r="AH98" s="182"/>
      <c r="AI98" s="625"/>
      <c r="AJ98" s="188"/>
      <c r="AK98" s="188"/>
      <c r="AL98" s="185"/>
      <c r="AM98" s="182"/>
      <c r="AN98" s="625"/>
      <c r="AO98" s="188"/>
      <c r="AP98" s="188"/>
      <c r="AQ98" s="185"/>
      <c r="AR98" s="182"/>
      <c r="AS98" s="625"/>
      <c r="AT98" s="188"/>
      <c r="AU98" s="188"/>
      <c r="AV98" s="185"/>
      <c r="AW98" s="182"/>
      <c r="AX98" s="625"/>
    </row>
    <row r="99" spans="2:50" ht="14.25" customHeight="1">
      <c r="B99" s="564"/>
      <c r="C99" s="180">
        <v>13</v>
      </c>
      <c r="D99" s="183"/>
      <c r="E99" s="180"/>
      <c r="F99" s="180"/>
      <c r="G99" s="185"/>
      <c r="H99" s="625"/>
      <c r="I99" s="186"/>
      <c r="J99" s="186"/>
      <c r="K99" s="187"/>
      <c r="L99" s="626"/>
      <c r="M99" s="186"/>
      <c r="N99" s="564"/>
      <c r="O99" s="564"/>
      <c r="P99" s="188"/>
      <c r="Q99" s="188"/>
      <c r="R99" s="185"/>
      <c r="S99" s="182"/>
      <c r="T99" s="625"/>
      <c r="U99" s="188"/>
      <c r="V99" s="188"/>
      <c r="W99" s="185"/>
      <c r="X99" s="182"/>
      <c r="Y99" s="625"/>
      <c r="Z99" s="188"/>
      <c r="AA99" s="188"/>
      <c r="AB99" s="185"/>
      <c r="AC99" s="182"/>
      <c r="AD99" s="625"/>
      <c r="AE99" s="188"/>
      <c r="AF99" s="188"/>
      <c r="AG99" s="185"/>
      <c r="AH99" s="182"/>
      <c r="AI99" s="625"/>
      <c r="AJ99" s="188"/>
      <c r="AK99" s="188"/>
      <c r="AL99" s="185"/>
      <c r="AM99" s="182"/>
      <c r="AN99" s="625"/>
      <c r="AO99" s="188"/>
      <c r="AP99" s="188"/>
      <c r="AQ99" s="185"/>
      <c r="AR99" s="182"/>
      <c r="AS99" s="625"/>
      <c r="AT99" s="188"/>
      <c r="AU99" s="188"/>
      <c r="AV99" s="185"/>
      <c r="AW99" s="182"/>
      <c r="AX99" s="625"/>
    </row>
    <row r="100" spans="2:50" ht="14.25" customHeight="1">
      <c r="B100" s="564"/>
      <c r="C100" s="180">
        <v>14</v>
      </c>
      <c r="D100" s="183"/>
      <c r="E100" s="180"/>
      <c r="F100" s="180"/>
      <c r="G100" s="185"/>
      <c r="H100" s="625"/>
      <c r="I100" s="186"/>
      <c r="J100" s="186"/>
      <c r="K100" s="187"/>
      <c r="L100" s="626"/>
      <c r="M100" s="186"/>
      <c r="N100" s="564"/>
      <c r="O100" s="564"/>
      <c r="P100" s="188"/>
      <c r="Q100" s="188"/>
      <c r="R100" s="185"/>
      <c r="S100" s="182"/>
      <c r="T100" s="625"/>
      <c r="U100" s="188"/>
      <c r="V100" s="188"/>
      <c r="W100" s="185"/>
      <c r="X100" s="182"/>
      <c r="Y100" s="625"/>
      <c r="Z100" s="188"/>
      <c r="AA100" s="188"/>
      <c r="AB100" s="185"/>
      <c r="AC100" s="182"/>
      <c r="AD100" s="625"/>
      <c r="AE100" s="188"/>
      <c r="AF100" s="188"/>
      <c r="AG100" s="185"/>
      <c r="AH100" s="182"/>
      <c r="AI100" s="625"/>
      <c r="AJ100" s="188"/>
      <c r="AK100" s="188"/>
      <c r="AL100" s="185"/>
      <c r="AM100" s="182"/>
      <c r="AN100" s="625"/>
      <c r="AO100" s="188"/>
      <c r="AP100" s="188"/>
      <c r="AQ100" s="185"/>
      <c r="AR100" s="182"/>
      <c r="AS100" s="625"/>
      <c r="AT100" s="188"/>
      <c r="AU100" s="188"/>
      <c r="AV100" s="185"/>
      <c r="AW100" s="182"/>
      <c r="AX100" s="625"/>
    </row>
    <row r="101" spans="2:50" ht="14.25" customHeight="1">
      <c r="B101" s="564"/>
      <c r="C101" s="180">
        <v>15</v>
      </c>
      <c r="D101" s="183"/>
      <c r="E101" s="180"/>
      <c r="F101" s="180"/>
      <c r="G101" s="185"/>
      <c r="H101" s="625"/>
      <c r="I101" s="186"/>
      <c r="J101" s="186"/>
      <c r="K101" s="187"/>
      <c r="L101" s="626"/>
      <c r="M101" s="186"/>
      <c r="N101" s="564"/>
      <c r="O101" s="564"/>
      <c r="P101" s="188"/>
      <c r="Q101" s="188"/>
      <c r="R101" s="185"/>
      <c r="S101" s="182"/>
      <c r="T101" s="625"/>
      <c r="U101" s="188"/>
      <c r="V101" s="188"/>
      <c r="W101" s="185"/>
      <c r="X101" s="182"/>
      <c r="Y101" s="625"/>
      <c r="Z101" s="188"/>
      <c r="AA101" s="188"/>
      <c r="AB101" s="185"/>
      <c r="AC101" s="182"/>
      <c r="AD101" s="625"/>
      <c r="AE101" s="188"/>
      <c r="AF101" s="188"/>
      <c r="AG101" s="185"/>
      <c r="AH101" s="182"/>
      <c r="AI101" s="625"/>
      <c r="AJ101" s="188"/>
      <c r="AK101" s="188"/>
      <c r="AL101" s="185"/>
      <c r="AM101" s="182"/>
      <c r="AN101" s="625"/>
      <c r="AO101" s="188"/>
      <c r="AP101" s="188"/>
      <c r="AQ101" s="185"/>
      <c r="AR101" s="182"/>
      <c r="AS101" s="625"/>
      <c r="AT101" s="188"/>
      <c r="AU101" s="188"/>
      <c r="AV101" s="185"/>
      <c r="AW101" s="182"/>
      <c r="AX101" s="625"/>
    </row>
    <row r="102" spans="2:50" ht="14.25" customHeight="1" collapsed="1">
      <c r="B102" s="641" t="s">
        <v>646</v>
      </c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3"/>
      <c r="N102" s="575" t="s">
        <v>377</v>
      </c>
      <c r="O102" s="575" t="s">
        <v>105</v>
      </c>
      <c r="P102" s="655">
        <f>AT82+1</f>
        <v>46112</v>
      </c>
      <c r="Q102" s="656"/>
      <c r="R102" s="656"/>
      <c r="S102" s="656"/>
      <c r="T102" s="656"/>
      <c r="U102" s="657">
        <f>P102+1</f>
        <v>46113</v>
      </c>
      <c r="V102" s="658"/>
      <c r="W102" s="658"/>
      <c r="X102" s="658"/>
      <c r="Y102" s="658"/>
      <c r="Z102" s="655">
        <f t="shared" ref="Z102" si="122">U102+1</f>
        <v>46114</v>
      </c>
      <c r="AA102" s="656"/>
      <c r="AB102" s="656"/>
      <c r="AC102" s="656"/>
      <c r="AD102" s="656"/>
      <c r="AE102" s="657">
        <f t="shared" ref="AE102" si="123">Z102+1</f>
        <v>46115</v>
      </c>
      <c r="AF102" s="658"/>
      <c r="AG102" s="658"/>
      <c r="AH102" s="658"/>
      <c r="AI102" s="658"/>
      <c r="AJ102" s="647">
        <f t="shared" ref="AJ102" si="124">AE102+1</f>
        <v>46116</v>
      </c>
      <c r="AK102" s="648"/>
      <c r="AL102" s="648"/>
      <c r="AM102" s="648"/>
      <c r="AN102" s="649"/>
      <c r="AO102" s="657">
        <f t="shared" ref="AO102" si="125">AJ102+1</f>
        <v>46117</v>
      </c>
      <c r="AP102" s="658"/>
      <c r="AQ102" s="658"/>
      <c r="AR102" s="658"/>
      <c r="AS102" s="658"/>
      <c r="AT102" s="647">
        <f t="shared" ref="AT102" si="126">AO102+1</f>
        <v>46118</v>
      </c>
      <c r="AU102" s="648"/>
      <c r="AV102" s="648"/>
      <c r="AW102" s="648"/>
      <c r="AX102" s="649"/>
    </row>
    <row r="103" spans="2:50" ht="14.25" customHeight="1">
      <c r="B103" s="644"/>
      <c r="C103" s="644"/>
      <c r="D103" s="644"/>
      <c r="E103" s="644"/>
      <c r="F103" s="644"/>
      <c r="G103" s="644"/>
      <c r="H103" s="644"/>
      <c r="I103" s="644"/>
      <c r="J103" s="644"/>
      <c r="K103" s="644"/>
      <c r="L103" s="644"/>
      <c r="M103" s="645"/>
      <c r="N103" s="577"/>
      <c r="O103" s="577"/>
      <c r="P103" s="650">
        <f>P102</f>
        <v>46112</v>
      </c>
      <c r="Q103" s="650"/>
      <c r="R103" s="650"/>
      <c r="S103" s="650"/>
      <c r="T103" s="650"/>
      <c r="U103" s="651">
        <f>U102</f>
        <v>46113</v>
      </c>
      <c r="V103" s="651"/>
      <c r="W103" s="651"/>
      <c r="X103" s="651"/>
      <c r="Y103" s="651"/>
      <c r="Z103" s="650">
        <f t="shared" ref="Z103" si="127">Z102</f>
        <v>46114</v>
      </c>
      <c r="AA103" s="650"/>
      <c r="AB103" s="650"/>
      <c r="AC103" s="650"/>
      <c r="AD103" s="650"/>
      <c r="AE103" s="651">
        <f t="shared" ref="AE103" si="128">AE102</f>
        <v>46115</v>
      </c>
      <c r="AF103" s="651"/>
      <c r="AG103" s="651"/>
      <c r="AH103" s="651"/>
      <c r="AI103" s="651"/>
      <c r="AJ103" s="652">
        <f t="shared" ref="AJ103" si="129">AJ102</f>
        <v>46116</v>
      </c>
      <c r="AK103" s="653"/>
      <c r="AL103" s="653"/>
      <c r="AM103" s="653"/>
      <c r="AN103" s="654"/>
      <c r="AO103" s="651">
        <f t="shared" ref="AO103" si="130">AO102</f>
        <v>46117</v>
      </c>
      <c r="AP103" s="651"/>
      <c r="AQ103" s="651"/>
      <c r="AR103" s="651"/>
      <c r="AS103" s="651"/>
      <c r="AT103" s="652">
        <f t="shared" ref="AT103" si="131">AT102</f>
        <v>46118</v>
      </c>
      <c r="AU103" s="653"/>
      <c r="AV103" s="653"/>
      <c r="AW103" s="653"/>
      <c r="AX103" s="654"/>
    </row>
    <row r="104" spans="2:50" ht="14.25" customHeight="1">
      <c r="B104" s="564" t="s">
        <v>164</v>
      </c>
      <c r="C104" s="564" t="s">
        <v>159</v>
      </c>
      <c r="D104" s="564"/>
      <c r="E104" s="564" t="s">
        <v>160</v>
      </c>
      <c r="F104" s="564"/>
      <c r="G104" s="564"/>
      <c r="H104" s="564" t="s">
        <v>165</v>
      </c>
      <c r="I104" s="628" t="s">
        <v>378</v>
      </c>
      <c r="J104" s="628"/>
      <c r="K104" s="628"/>
      <c r="L104" s="628" t="s">
        <v>165</v>
      </c>
      <c r="M104" s="628" t="s">
        <v>167</v>
      </c>
      <c r="N104" s="564"/>
      <c r="O104" s="564" t="s">
        <v>166</v>
      </c>
      <c r="P104" s="564" t="s">
        <v>162</v>
      </c>
      <c r="Q104" s="564"/>
      <c r="R104" s="564"/>
      <c r="S104" s="564"/>
      <c r="T104" s="564" t="s">
        <v>165</v>
      </c>
      <c r="U104" s="564" t="s">
        <v>162</v>
      </c>
      <c r="V104" s="564"/>
      <c r="W104" s="564"/>
      <c r="X104" s="564"/>
      <c r="Y104" s="564" t="s">
        <v>165</v>
      </c>
      <c r="Z104" s="564" t="s">
        <v>162</v>
      </c>
      <c r="AA104" s="564"/>
      <c r="AB104" s="564"/>
      <c r="AC104" s="564"/>
      <c r="AD104" s="564" t="s">
        <v>165</v>
      </c>
      <c r="AE104" s="564" t="s">
        <v>162</v>
      </c>
      <c r="AF104" s="564"/>
      <c r="AG104" s="564"/>
      <c r="AH104" s="564"/>
      <c r="AI104" s="564" t="s">
        <v>165</v>
      </c>
      <c r="AJ104" s="564" t="s">
        <v>162</v>
      </c>
      <c r="AK104" s="564"/>
      <c r="AL104" s="564"/>
      <c r="AM104" s="564"/>
      <c r="AN104" s="564" t="s">
        <v>165</v>
      </c>
      <c r="AO104" s="564" t="s">
        <v>162</v>
      </c>
      <c r="AP104" s="564"/>
      <c r="AQ104" s="564"/>
      <c r="AR104" s="564"/>
      <c r="AS104" s="564" t="s">
        <v>165</v>
      </c>
      <c r="AT104" s="564" t="s">
        <v>162</v>
      </c>
      <c r="AU104" s="564"/>
      <c r="AV104" s="564"/>
      <c r="AW104" s="564"/>
      <c r="AX104" s="564" t="s">
        <v>165</v>
      </c>
    </row>
    <row r="105" spans="2:50" ht="14.25" customHeight="1">
      <c r="B105" s="564"/>
      <c r="C105" s="564"/>
      <c r="D105" s="564"/>
      <c r="E105" s="564" t="s">
        <v>379</v>
      </c>
      <c r="F105" s="564"/>
      <c r="G105" s="564"/>
      <c r="H105" s="564"/>
      <c r="I105" s="628" t="s">
        <v>379</v>
      </c>
      <c r="J105" s="628"/>
      <c r="K105" s="628"/>
      <c r="L105" s="628"/>
      <c r="M105" s="628"/>
      <c r="N105" s="564"/>
      <c r="O105" s="564"/>
      <c r="P105" s="564" t="s">
        <v>380</v>
      </c>
      <c r="Q105" s="564"/>
      <c r="R105" s="564"/>
      <c r="S105" s="564"/>
      <c r="T105" s="564"/>
      <c r="U105" s="564" t="s">
        <v>380</v>
      </c>
      <c r="V105" s="564"/>
      <c r="W105" s="564"/>
      <c r="X105" s="564"/>
      <c r="Y105" s="564"/>
      <c r="Z105" s="564" t="s">
        <v>380</v>
      </c>
      <c r="AA105" s="564"/>
      <c r="AB105" s="564"/>
      <c r="AC105" s="564"/>
      <c r="AD105" s="564"/>
      <c r="AE105" s="564" t="s">
        <v>380</v>
      </c>
      <c r="AF105" s="564"/>
      <c r="AG105" s="564"/>
      <c r="AH105" s="564"/>
      <c r="AI105" s="564"/>
      <c r="AJ105" s="564" t="s">
        <v>380</v>
      </c>
      <c r="AK105" s="564"/>
      <c r="AL105" s="564"/>
      <c r="AM105" s="564"/>
      <c r="AN105" s="564"/>
      <c r="AO105" s="564" t="s">
        <v>380</v>
      </c>
      <c r="AP105" s="564"/>
      <c r="AQ105" s="564"/>
      <c r="AR105" s="564"/>
      <c r="AS105" s="564"/>
      <c r="AT105" s="564" t="s">
        <v>380</v>
      </c>
      <c r="AU105" s="564"/>
      <c r="AV105" s="564"/>
      <c r="AW105" s="564"/>
      <c r="AX105" s="564"/>
    </row>
    <row r="106" spans="2:50" ht="14.25" customHeight="1">
      <c r="B106" s="564"/>
      <c r="C106" s="564"/>
      <c r="D106" s="564"/>
      <c r="E106" s="180" t="s">
        <v>161</v>
      </c>
      <c r="F106" s="180" t="s">
        <v>381</v>
      </c>
      <c r="G106" s="180" t="s">
        <v>163</v>
      </c>
      <c r="H106" s="564"/>
      <c r="I106" s="181" t="s">
        <v>161</v>
      </c>
      <c r="J106" s="181" t="s">
        <v>381</v>
      </c>
      <c r="K106" s="181" t="s">
        <v>163</v>
      </c>
      <c r="L106" s="628"/>
      <c r="M106" s="628"/>
      <c r="N106" s="564"/>
      <c r="O106" s="564"/>
      <c r="P106" s="180" t="s">
        <v>161</v>
      </c>
      <c r="Q106" s="180" t="s">
        <v>381</v>
      </c>
      <c r="R106" s="180" t="s">
        <v>163</v>
      </c>
      <c r="S106" s="182" t="s">
        <v>167</v>
      </c>
      <c r="T106" s="564"/>
      <c r="U106" s="180" t="s">
        <v>161</v>
      </c>
      <c r="V106" s="180" t="s">
        <v>381</v>
      </c>
      <c r="W106" s="180" t="s">
        <v>163</v>
      </c>
      <c r="X106" s="182" t="s">
        <v>167</v>
      </c>
      <c r="Y106" s="564"/>
      <c r="Z106" s="180" t="s">
        <v>161</v>
      </c>
      <c r="AA106" s="180" t="s">
        <v>381</v>
      </c>
      <c r="AB106" s="180" t="s">
        <v>163</v>
      </c>
      <c r="AC106" s="182" t="s">
        <v>167</v>
      </c>
      <c r="AD106" s="564"/>
      <c r="AE106" s="180" t="s">
        <v>161</v>
      </c>
      <c r="AF106" s="180" t="s">
        <v>381</v>
      </c>
      <c r="AG106" s="180" t="s">
        <v>163</v>
      </c>
      <c r="AH106" s="182" t="s">
        <v>167</v>
      </c>
      <c r="AI106" s="564"/>
      <c r="AJ106" s="180" t="s">
        <v>161</v>
      </c>
      <c r="AK106" s="180" t="s">
        <v>381</v>
      </c>
      <c r="AL106" s="180" t="s">
        <v>163</v>
      </c>
      <c r="AM106" s="182" t="s">
        <v>167</v>
      </c>
      <c r="AN106" s="564"/>
      <c r="AO106" s="180" t="s">
        <v>161</v>
      </c>
      <c r="AP106" s="180" t="s">
        <v>381</v>
      </c>
      <c r="AQ106" s="180" t="s">
        <v>163</v>
      </c>
      <c r="AR106" s="182" t="s">
        <v>167</v>
      </c>
      <c r="AS106" s="564"/>
      <c r="AT106" s="180" t="s">
        <v>161</v>
      </c>
      <c r="AU106" s="180" t="s">
        <v>381</v>
      </c>
      <c r="AV106" s="180" t="s">
        <v>163</v>
      </c>
      <c r="AW106" s="182" t="s">
        <v>167</v>
      </c>
      <c r="AX106" s="564"/>
    </row>
    <row r="107" spans="2:50" ht="14.25" customHeight="1">
      <c r="B107" s="564" t="s">
        <v>383</v>
      </c>
      <c r="C107" s="180">
        <v>1</v>
      </c>
      <c r="D107" s="183" t="s">
        <v>351</v>
      </c>
      <c r="E107" s="180">
        <v>12</v>
      </c>
      <c r="F107" s="180">
        <v>3600</v>
      </c>
      <c r="G107" s="185">
        <f t="shared" ref="G107:G116" si="132">F107/E107</f>
        <v>300</v>
      </c>
      <c r="H107" s="625">
        <f>AVERAGE(G107:G121)</f>
        <v>355.45454545454538</v>
      </c>
      <c r="I107" s="186">
        <f>AVERAGE(P107,U107,Z107,AE107,AJ107,AO107,AT107)</f>
        <v>12</v>
      </c>
      <c r="J107" s="186">
        <f>AVERAGE(Q107,V107,AA107,AF107,AK107,AP107,AU107)</f>
        <v>3147.1343289887091</v>
      </c>
      <c r="K107" s="187">
        <f>AVERAGE(R107,W107,AB107,AG107,AL107,AQ107,AV107)</f>
        <v>262.26119408239236</v>
      </c>
      <c r="L107" s="626">
        <f>IFERROR(AVERAGE(K107:K121),"-")</f>
        <v>316.08100089952649</v>
      </c>
      <c r="M107" s="186">
        <f>RANK(K107, K$107:$K$121)</f>
        <v>8</v>
      </c>
      <c r="N107" s="564"/>
      <c r="O107" s="564"/>
      <c r="P107" s="188">
        <v>12</v>
      </c>
      <c r="Q107" s="188">
        <v>3146.9436675988813</v>
      </c>
      <c r="R107" s="185">
        <f>IFERROR(Q107/P107,"")</f>
        <v>262.24530563324009</v>
      </c>
      <c r="S107" s="182">
        <f>RANK(R107, R$107:R$121)</f>
        <v>9</v>
      </c>
      <c r="T107" s="625">
        <f>AVERAGE(R107:R121)</f>
        <v>316.06276712305277</v>
      </c>
      <c r="U107" s="188">
        <v>12</v>
      </c>
      <c r="V107" s="188">
        <v>3146.9140782573613</v>
      </c>
      <c r="W107" s="185">
        <f t="shared" ref="W107:W116" si="133">IFERROR(V107/U107,"")</f>
        <v>262.24283985478013</v>
      </c>
      <c r="X107" s="182">
        <f>RANK(W107, W$107:W$121)</f>
        <v>9</v>
      </c>
      <c r="Y107" s="625">
        <f>AVERAGE(W107:W121)</f>
        <v>316.02878876362627</v>
      </c>
      <c r="Z107" s="188">
        <v>12</v>
      </c>
      <c r="AA107" s="188">
        <v>3147.216494845361</v>
      </c>
      <c r="AB107" s="185">
        <f t="shared" ref="AB107:AB116" si="134">IFERROR(AA107/Z107,"")</f>
        <v>262.26804123711344</v>
      </c>
      <c r="AC107" s="182">
        <f>RANK(AB107, AB$107:AB$121)</f>
        <v>7</v>
      </c>
      <c r="AD107" s="625">
        <f>AVERAGE(AB107:AB121)</f>
        <v>316.03087004427135</v>
      </c>
      <c r="AE107" s="188">
        <v>12</v>
      </c>
      <c r="AF107" s="188">
        <v>3146.694648478493</v>
      </c>
      <c r="AG107" s="185">
        <f>IFERROR(AF107/AE107,"")</f>
        <v>262.22455403987442</v>
      </c>
      <c r="AH107" s="182">
        <f>RANK(AG107, AG$107:AG$121)</f>
        <v>8</v>
      </c>
      <c r="AI107" s="625">
        <f>AVERAGE(AG107:AG121)</f>
        <v>316.08141589602019</v>
      </c>
      <c r="AJ107" s="188">
        <v>12</v>
      </c>
      <c r="AK107" s="188">
        <v>3147.3515248796157</v>
      </c>
      <c r="AL107" s="185">
        <f t="shared" ref="AL107:AL116" si="135">IFERROR(AK107/AJ107,"")</f>
        <v>262.27929373996795</v>
      </c>
      <c r="AM107" s="182">
        <f>RANK(AL107, AL$107:AL$121)</f>
        <v>8</v>
      </c>
      <c r="AN107" s="625">
        <f>AVERAGE(AL107:AL121)</f>
        <v>316.12612017537691</v>
      </c>
      <c r="AO107" s="188">
        <v>12</v>
      </c>
      <c r="AP107" s="188">
        <v>3147.4392136575243</v>
      </c>
      <c r="AQ107" s="185">
        <f t="shared" ref="AQ107:AQ116" si="136">IFERROR(AP107/AO107,"")</f>
        <v>262.28660113812703</v>
      </c>
      <c r="AR107" s="182">
        <f>RANK(AQ107, AQ$107:AQ$121)</f>
        <v>7</v>
      </c>
      <c r="AS107" s="625">
        <f>AVERAGE(AQ107:AQ121)</f>
        <v>316.11160717936946</v>
      </c>
      <c r="AT107" s="188">
        <v>12</v>
      </c>
      <c r="AU107" s="188">
        <v>3147.3806752037253</v>
      </c>
      <c r="AV107" s="185">
        <f t="shared" ref="AV107:AV116" si="137">IFERROR(AU107/AT107,"")</f>
        <v>262.28172293364378</v>
      </c>
      <c r="AW107" s="182">
        <f>RANK(AV107, AV$107:AV$121)</f>
        <v>8</v>
      </c>
      <c r="AX107" s="625">
        <f>AVERAGE(AV107:AV121)</f>
        <v>329.59966139328651</v>
      </c>
    </row>
    <row r="108" spans="2:50" ht="14.25" customHeight="1">
      <c r="B108" s="564"/>
      <c r="C108" s="180">
        <v>2</v>
      </c>
      <c r="D108" s="183" t="s">
        <v>352</v>
      </c>
      <c r="E108" s="180">
        <v>12</v>
      </c>
      <c r="F108" s="180">
        <v>3600</v>
      </c>
      <c r="G108" s="185">
        <f t="shared" si="132"/>
        <v>300</v>
      </c>
      <c r="H108" s="625"/>
      <c r="I108" s="186">
        <f t="shared" ref="I108:K116" si="138">AVERAGE(P108,U108,Z108,AE108,AJ108,AO108,AT108)</f>
        <v>12</v>
      </c>
      <c r="J108" s="186">
        <f t="shared" si="138"/>
        <v>3147.3181783382001</v>
      </c>
      <c r="K108" s="187">
        <f t="shared" si="138"/>
        <v>262.27651486151672</v>
      </c>
      <c r="L108" s="626"/>
      <c r="M108" s="186">
        <f>RANK(K108, K$107:$K$121)</f>
        <v>7</v>
      </c>
      <c r="N108" s="564"/>
      <c r="O108" s="564"/>
      <c r="P108" s="188">
        <v>12</v>
      </c>
      <c r="Q108" s="188">
        <v>3147.8107032286644</v>
      </c>
      <c r="R108" s="185">
        <f t="shared" ref="R108:R116" si="139">IFERROR(Q108/P108,"")</f>
        <v>262.31755860238871</v>
      </c>
      <c r="S108" s="182">
        <f t="shared" ref="S108:S116" si="140">RANK(R108, R$107:R$121)</f>
        <v>7</v>
      </c>
      <c r="T108" s="625"/>
      <c r="U108" s="188">
        <v>12</v>
      </c>
      <c r="V108" s="188">
        <v>3147.1900089206038</v>
      </c>
      <c r="W108" s="185">
        <f t="shared" si="133"/>
        <v>262.265834076717</v>
      </c>
      <c r="X108" s="182">
        <f t="shared" ref="X108:X116" si="141">RANK(W108, W$107:W$121)</f>
        <v>8</v>
      </c>
      <c r="Y108" s="625"/>
      <c r="Z108" s="188">
        <v>12</v>
      </c>
      <c r="AA108" s="188">
        <v>3146.6967814793898</v>
      </c>
      <c r="AB108" s="185">
        <f t="shared" si="134"/>
        <v>262.22473178994915</v>
      </c>
      <c r="AC108" s="182">
        <f t="shared" ref="AC108:AC116" si="142">RANK(AB108, AB$107:AB$121)</f>
        <v>9</v>
      </c>
      <c r="AD108" s="625"/>
      <c r="AE108" s="188">
        <v>12</v>
      </c>
      <c r="AF108" s="188">
        <v>3147.1698113207549</v>
      </c>
      <c r="AG108" s="185">
        <f t="shared" ref="AG108:AG116" si="143">IFERROR(AF108/AE108,"")</f>
        <v>262.26415094339626</v>
      </c>
      <c r="AH108" s="182">
        <f t="shared" ref="AH108:AH116" si="144">RANK(AG108, AG$107:AG$121)</f>
        <v>7</v>
      </c>
      <c r="AI108" s="625"/>
      <c r="AJ108" s="188">
        <v>12</v>
      </c>
      <c r="AK108" s="188">
        <v>3147.4633596392323</v>
      </c>
      <c r="AL108" s="185">
        <f t="shared" si="135"/>
        <v>262.28861330326936</v>
      </c>
      <c r="AM108" s="182">
        <f t="shared" ref="AM108:AM116" si="145">RANK(AL108, AL$107:AL$121)</f>
        <v>7</v>
      </c>
      <c r="AN108" s="625"/>
      <c r="AO108" s="188">
        <v>12</v>
      </c>
      <c r="AP108" s="188">
        <v>3147.032967032967</v>
      </c>
      <c r="AQ108" s="185">
        <f t="shared" si="136"/>
        <v>262.25274725274727</v>
      </c>
      <c r="AR108" s="182">
        <f t="shared" ref="AR108:AR116" si="146">RANK(AQ108, AQ$107:AQ$121)</f>
        <v>10</v>
      </c>
      <c r="AS108" s="625"/>
      <c r="AT108" s="188">
        <v>12</v>
      </c>
      <c r="AU108" s="188">
        <v>3147.8636167457935</v>
      </c>
      <c r="AV108" s="185">
        <f t="shared" si="137"/>
        <v>262.32196806214944</v>
      </c>
      <c r="AW108" s="182">
        <f t="shared" ref="AW108:AW116" si="147">RANK(AV108, AV$107:AV$121)</f>
        <v>7</v>
      </c>
      <c r="AX108" s="625"/>
    </row>
    <row r="109" spans="2:50" ht="14.25" customHeight="1">
      <c r="B109" s="564"/>
      <c r="C109" s="180">
        <v>3</v>
      </c>
      <c r="D109" s="183" t="s">
        <v>350</v>
      </c>
      <c r="E109" s="180">
        <v>11</v>
      </c>
      <c r="F109" s="180">
        <v>3600</v>
      </c>
      <c r="G109" s="185">
        <f t="shared" si="132"/>
        <v>327.27272727272725</v>
      </c>
      <c r="H109" s="625"/>
      <c r="I109" s="186">
        <f t="shared" si="138"/>
        <v>11</v>
      </c>
      <c r="J109" s="186">
        <f t="shared" si="138"/>
        <v>3182.7206885116507</v>
      </c>
      <c r="K109" s="187">
        <f t="shared" si="138"/>
        <v>289.33824441015003</v>
      </c>
      <c r="L109" s="626"/>
      <c r="M109" s="186">
        <f>RANK(K109, K$107:$K$121)</f>
        <v>6</v>
      </c>
      <c r="N109" s="564"/>
      <c r="O109" s="564"/>
      <c r="P109" s="188">
        <v>11</v>
      </c>
      <c r="Q109" s="188">
        <v>3182.8151498021452</v>
      </c>
      <c r="R109" s="185">
        <f t="shared" si="139"/>
        <v>289.34683180019505</v>
      </c>
      <c r="S109" s="182">
        <f t="shared" si="140"/>
        <v>6</v>
      </c>
      <c r="T109" s="625"/>
      <c r="U109" s="188">
        <v>11</v>
      </c>
      <c r="V109" s="188">
        <v>3182.0638820638846</v>
      </c>
      <c r="W109" s="185">
        <f t="shared" si="133"/>
        <v>289.27853473308045</v>
      </c>
      <c r="X109" s="182">
        <f t="shared" si="141"/>
        <v>6</v>
      </c>
      <c r="Y109" s="625"/>
      <c r="Z109" s="188">
        <v>11</v>
      </c>
      <c r="AA109" s="188">
        <v>3182.7721221613242</v>
      </c>
      <c r="AB109" s="185">
        <f t="shared" si="134"/>
        <v>289.34292019648404</v>
      </c>
      <c r="AC109" s="182">
        <f t="shared" si="142"/>
        <v>6</v>
      </c>
      <c r="AD109" s="625"/>
      <c r="AE109" s="188">
        <v>11</v>
      </c>
      <c r="AF109" s="188">
        <v>3183.8318512530359</v>
      </c>
      <c r="AG109" s="185">
        <f t="shared" si="143"/>
        <v>289.43925920482144</v>
      </c>
      <c r="AH109" s="182">
        <f t="shared" si="144"/>
        <v>5</v>
      </c>
      <c r="AI109" s="625"/>
      <c r="AJ109" s="188">
        <v>11</v>
      </c>
      <c r="AK109" s="188">
        <v>3182.0840950639808</v>
      </c>
      <c r="AL109" s="185">
        <f t="shared" si="135"/>
        <v>289.28037227854372</v>
      </c>
      <c r="AM109" s="182">
        <f t="shared" si="145"/>
        <v>6</v>
      </c>
      <c r="AN109" s="625"/>
      <c r="AO109" s="188">
        <v>11</v>
      </c>
      <c r="AP109" s="188">
        <v>3182.4742268041246</v>
      </c>
      <c r="AQ109" s="185">
        <f t="shared" si="136"/>
        <v>289.31583880037493</v>
      </c>
      <c r="AR109" s="182">
        <f t="shared" si="146"/>
        <v>6</v>
      </c>
      <c r="AS109" s="625"/>
      <c r="AT109" s="188">
        <v>11</v>
      </c>
      <c r="AU109" s="188">
        <v>3183.0034924330557</v>
      </c>
      <c r="AV109" s="185">
        <f t="shared" si="137"/>
        <v>289.36395385755054</v>
      </c>
      <c r="AW109" s="182">
        <f t="shared" si="147"/>
        <v>6</v>
      </c>
      <c r="AX109" s="625"/>
    </row>
    <row r="110" spans="2:50" ht="14.25" customHeight="1">
      <c r="B110" s="564"/>
      <c r="C110" s="180">
        <v>4</v>
      </c>
      <c r="D110" s="183" t="s">
        <v>473</v>
      </c>
      <c r="E110" s="180">
        <v>6</v>
      </c>
      <c r="F110" s="180">
        <v>2600</v>
      </c>
      <c r="G110" s="185">
        <f t="shared" si="132"/>
        <v>433.33333333333331</v>
      </c>
      <c r="H110" s="625"/>
      <c r="I110" s="186">
        <f t="shared" si="138"/>
        <v>6</v>
      </c>
      <c r="J110" s="186">
        <f t="shared" si="138"/>
        <v>2340.3482577837344</v>
      </c>
      <c r="K110" s="187">
        <f t="shared" si="138"/>
        <v>390.05804296395581</v>
      </c>
      <c r="L110" s="626"/>
      <c r="M110" s="186">
        <f>RANK(K110, K$107:$K$121)</f>
        <v>2</v>
      </c>
      <c r="N110" s="564"/>
      <c r="O110" s="564"/>
      <c r="P110" s="188">
        <v>6</v>
      </c>
      <c r="Q110" s="188">
        <v>2340.3123192596895</v>
      </c>
      <c r="R110" s="185">
        <f t="shared" si="139"/>
        <v>390.05205320994827</v>
      </c>
      <c r="S110" s="182">
        <f t="shared" si="140"/>
        <v>2</v>
      </c>
      <c r="T110" s="625"/>
      <c r="U110" s="188">
        <v>6</v>
      </c>
      <c r="V110" s="188">
        <v>2340.2135231316734</v>
      </c>
      <c r="W110" s="185">
        <f t="shared" si="133"/>
        <v>390.03558718861223</v>
      </c>
      <c r="X110" s="182">
        <f t="shared" si="141"/>
        <v>1</v>
      </c>
      <c r="Y110" s="625"/>
      <c r="Z110" s="188">
        <v>6</v>
      </c>
      <c r="AA110" s="188">
        <v>2340.9015025041699</v>
      </c>
      <c r="AB110" s="185">
        <f t="shared" si="134"/>
        <v>390.15025041736163</v>
      </c>
      <c r="AC110" s="182">
        <f t="shared" si="142"/>
        <v>1</v>
      </c>
      <c r="AD110" s="625"/>
      <c r="AE110" s="188">
        <v>6</v>
      </c>
      <c r="AF110" s="188">
        <v>2340.4958677686004</v>
      </c>
      <c r="AG110" s="185">
        <f t="shared" si="143"/>
        <v>390.08264462810007</v>
      </c>
      <c r="AH110" s="182">
        <f t="shared" si="144"/>
        <v>1</v>
      </c>
      <c r="AI110" s="625"/>
      <c r="AJ110" s="188">
        <v>6</v>
      </c>
      <c r="AK110" s="188">
        <v>2340.9045226130638</v>
      </c>
      <c r="AL110" s="185">
        <f t="shared" si="135"/>
        <v>390.15075376884397</v>
      </c>
      <c r="AM110" s="182">
        <f t="shared" si="145"/>
        <v>2</v>
      </c>
      <c r="AN110" s="625"/>
      <c r="AO110" s="188">
        <v>6</v>
      </c>
      <c r="AP110" s="188">
        <v>2339.8359161349194</v>
      </c>
      <c r="AQ110" s="185">
        <f t="shared" si="136"/>
        <v>389.97265268915322</v>
      </c>
      <c r="AR110" s="182">
        <f t="shared" si="146"/>
        <v>2</v>
      </c>
      <c r="AS110" s="625"/>
      <c r="AT110" s="188">
        <v>6</v>
      </c>
      <c r="AU110" s="188">
        <v>2339.7741530740254</v>
      </c>
      <c r="AV110" s="185">
        <f t="shared" si="137"/>
        <v>389.96235884567091</v>
      </c>
      <c r="AW110" s="182">
        <f t="shared" si="147"/>
        <v>2</v>
      </c>
      <c r="AX110" s="625"/>
    </row>
    <row r="111" spans="2:50" ht="14.25" customHeight="1">
      <c r="B111" s="564"/>
      <c r="C111" s="180">
        <v>5</v>
      </c>
      <c r="D111" s="183" t="s">
        <v>477</v>
      </c>
      <c r="E111" s="180">
        <v>6</v>
      </c>
      <c r="F111" s="180">
        <v>2600</v>
      </c>
      <c r="G111" s="185">
        <f t="shared" si="132"/>
        <v>433.33333333333331</v>
      </c>
      <c r="H111" s="625"/>
      <c r="I111" s="186">
        <f t="shared" si="138"/>
        <v>6</v>
      </c>
      <c r="J111" s="186">
        <f t="shared" si="138"/>
        <v>2340.6250136555805</v>
      </c>
      <c r="K111" s="187">
        <f t="shared" si="138"/>
        <v>390.10416894259663</v>
      </c>
      <c r="L111" s="626"/>
      <c r="M111" s="186">
        <f>RANK(K111, K$107:$K$121)</f>
        <v>1</v>
      </c>
      <c r="N111" s="564"/>
      <c r="O111" s="564"/>
      <c r="P111" s="188">
        <v>6</v>
      </c>
      <c r="Q111" s="188">
        <v>2340.9574468085157</v>
      </c>
      <c r="R111" s="185">
        <f t="shared" si="139"/>
        <v>390.15957446808596</v>
      </c>
      <c r="S111" s="182">
        <f t="shared" si="140"/>
        <v>1</v>
      </c>
      <c r="T111" s="625"/>
      <c r="U111" s="188">
        <v>6</v>
      </c>
      <c r="V111" s="188">
        <v>2340.1301518438172</v>
      </c>
      <c r="W111" s="185">
        <f t="shared" si="133"/>
        <v>390.02169197396955</v>
      </c>
      <c r="X111" s="182">
        <f t="shared" si="141"/>
        <v>2</v>
      </c>
      <c r="Y111" s="625"/>
      <c r="Z111" s="188">
        <v>6</v>
      </c>
      <c r="AA111" s="188">
        <v>2340.6976744186086</v>
      </c>
      <c r="AB111" s="185">
        <f t="shared" si="134"/>
        <v>390.1162790697681</v>
      </c>
      <c r="AC111" s="182">
        <f t="shared" si="142"/>
        <v>2</v>
      </c>
      <c r="AD111" s="625"/>
      <c r="AE111" s="188">
        <v>6</v>
      </c>
      <c r="AF111" s="188">
        <v>2339.4072447859576</v>
      </c>
      <c r="AG111" s="185">
        <f t="shared" si="143"/>
        <v>389.90120746432626</v>
      </c>
      <c r="AH111" s="182">
        <f t="shared" si="144"/>
        <v>2</v>
      </c>
      <c r="AI111" s="625"/>
      <c r="AJ111" s="188">
        <v>6</v>
      </c>
      <c r="AK111" s="188">
        <v>2341.2887828162338</v>
      </c>
      <c r="AL111" s="185">
        <f t="shared" si="135"/>
        <v>390.21479713603895</v>
      </c>
      <c r="AM111" s="182">
        <f t="shared" si="145"/>
        <v>1</v>
      </c>
      <c r="AN111" s="625"/>
      <c r="AO111" s="188">
        <v>6</v>
      </c>
      <c r="AP111" s="188">
        <v>2340.7258064516132</v>
      </c>
      <c r="AQ111" s="185">
        <f t="shared" si="136"/>
        <v>390.12096774193554</v>
      </c>
      <c r="AR111" s="182">
        <f t="shared" si="146"/>
        <v>1</v>
      </c>
      <c r="AS111" s="625"/>
      <c r="AT111" s="188">
        <v>6</v>
      </c>
      <c r="AU111" s="188">
        <v>2341.1679884643149</v>
      </c>
      <c r="AV111" s="185">
        <f t="shared" si="137"/>
        <v>390.19466474405249</v>
      </c>
      <c r="AW111" s="182">
        <f t="shared" si="147"/>
        <v>1</v>
      </c>
      <c r="AX111" s="625"/>
    </row>
    <row r="112" spans="2:50" ht="14.25" customHeight="1">
      <c r="B112" s="564"/>
      <c r="C112" s="180">
        <v>6</v>
      </c>
      <c r="D112" s="183" t="s">
        <v>643</v>
      </c>
      <c r="E112" s="180">
        <v>6</v>
      </c>
      <c r="F112" s="180">
        <v>2500</v>
      </c>
      <c r="G112" s="185">
        <f t="shared" si="132"/>
        <v>416.66666666666669</v>
      </c>
      <c r="H112" s="625"/>
      <c r="I112" s="186">
        <f t="shared" si="138"/>
        <v>6</v>
      </c>
      <c r="J112" s="186">
        <f t="shared" si="138"/>
        <v>2258.8431108831473</v>
      </c>
      <c r="K112" s="187">
        <f t="shared" si="138"/>
        <v>376.47385181385789</v>
      </c>
      <c r="L112" s="626"/>
      <c r="M112" s="186">
        <f>RANK(K112, K$107:$K$121)</f>
        <v>3</v>
      </c>
      <c r="N112" s="564"/>
      <c r="O112" s="564"/>
      <c r="P112" s="188">
        <v>6</v>
      </c>
      <c r="Q112" s="188">
        <v>2258.4362139917685</v>
      </c>
      <c r="R112" s="185">
        <f t="shared" si="139"/>
        <v>376.40603566529472</v>
      </c>
      <c r="S112" s="182">
        <f t="shared" si="140"/>
        <v>3</v>
      </c>
      <c r="T112" s="625"/>
      <c r="U112" s="188">
        <v>6</v>
      </c>
      <c r="V112" s="188">
        <v>2258.4172661870502</v>
      </c>
      <c r="W112" s="185">
        <f t="shared" si="133"/>
        <v>376.40287769784169</v>
      </c>
      <c r="X112" s="182">
        <f t="shared" si="141"/>
        <v>3</v>
      </c>
      <c r="Y112" s="625"/>
      <c r="Z112" s="188">
        <v>6</v>
      </c>
      <c r="AA112" s="188">
        <v>2256.5488565488563</v>
      </c>
      <c r="AB112" s="185">
        <f t="shared" si="134"/>
        <v>376.09147609147607</v>
      </c>
      <c r="AC112" s="182">
        <f t="shared" si="142"/>
        <v>4</v>
      </c>
      <c r="AD112" s="625"/>
      <c r="AE112" s="188">
        <v>6</v>
      </c>
      <c r="AF112" s="188">
        <v>2259.0909090909113</v>
      </c>
      <c r="AG112" s="185">
        <f t="shared" si="143"/>
        <v>376.5151515151519</v>
      </c>
      <c r="AH112" s="182">
        <f t="shared" si="144"/>
        <v>4</v>
      </c>
      <c r="AI112" s="625"/>
      <c r="AJ112" s="188">
        <v>6</v>
      </c>
      <c r="AK112" s="188">
        <v>2259.520451339924</v>
      </c>
      <c r="AL112" s="185">
        <f t="shared" si="135"/>
        <v>376.58674188998731</v>
      </c>
      <c r="AM112" s="182">
        <f t="shared" si="145"/>
        <v>4</v>
      </c>
      <c r="AN112" s="625"/>
      <c r="AO112" s="188">
        <v>6</v>
      </c>
      <c r="AP112" s="188">
        <v>2259.8202824133496</v>
      </c>
      <c r="AQ112" s="185">
        <f t="shared" si="136"/>
        <v>376.63671373555826</v>
      </c>
      <c r="AR112" s="182">
        <f t="shared" si="146"/>
        <v>3</v>
      </c>
      <c r="AS112" s="625"/>
      <c r="AT112" s="188">
        <v>6</v>
      </c>
      <c r="AU112" s="188">
        <v>2260.0677966101712</v>
      </c>
      <c r="AV112" s="185">
        <f t="shared" si="137"/>
        <v>376.67796610169518</v>
      </c>
      <c r="AW112" s="182">
        <f t="shared" si="147"/>
        <v>3</v>
      </c>
      <c r="AX112" s="625"/>
    </row>
    <row r="113" spans="2:50" ht="14.25" customHeight="1">
      <c r="B113" s="564"/>
      <c r="C113" s="180">
        <v>7</v>
      </c>
      <c r="D113" s="183" t="s">
        <v>751</v>
      </c>
      <c r="E113" s="180">
        <v>6</v>
      </c>
      <c r="F113" s="180">
        <v>2500</v>
      </c>
      <c r="G113" s="185">
        <f t="shared" si="132"/>
        <v>416.66666666666669</v>
      </c>
      <c r="H113" s="625"/>
      <c r="I113" s="186">
        <f t="shared" si="138"/>
        <v>6</v>
      </c>
      <c r="J113" s="186">
        <f t="shared" si="138"/>
        <v>2258.6161131123072</v>
      </c>
      <c r="K113" s="187">
        <f t="shared" si="138"/>
        <v>376.43601885205123</v>
      </c>
      <c r="L113" s="626"/>
      <c r="M113" s="186">
        <f>RANK(K113, K$107:$K$121)</f>
        <v>4</v>
      </c>
      <c r="N113" s="564"/>
      <c r="O113" s="564"/>
      <c r="P113" s="188">
        <v>6</v>
      </c>
      <c r="Q113" s="188">
        <v>2257.6957695769574</v>
      </c>
      <c r="R113" s="185">
        <f t="shared" si="139"/>
        <v>376.28262826282622</v>
      </c>
      <c r="S113" s="182">
        <f t="shared" si="140"/>
        <v>4</v>
      </c>
      <c r="T113" s="625"/>
      <c r="U113" s="188">
        <v>6</v>
      </c>
      <c r="V113" s="188">
        <v>2257.6271186440663</v>
      </c>
      <c r="W113" s="185">
        <f t="shared" si="133"/>
        <v>376.2711864406777</v>
      </c>
      <c r="X113" s="182">
        <f t="shared" si="141"/>
        <v>4</v>
      </c>
      <c r="Y113" s="625"/>
      <c r="Z113" s="188">
        <v>6</v>
      </c>
      <c r="AA113" s="188">
        <v>2257.5684766938998</v>
      </c>
      <c r="AB113" s="185">
        <f t="shared" si="134"/>
        <v>376.26141278231665</v>
      </c>
      <c r="AC113" s="182">
        <f t="shared" si="142"/>
        <v>3</v>
      </c>
      <c r="AD113" s="625"/>
      <c r="AE113" s="188">
        <v>6</v>
      </c>
      <c r="AF113" s="188">
        <v>2259.3238822246449</v>
      </c>
      <c r="AG113" s="185">
        <f t="shared" si="143"/>
        <v>376.55398037077413</v>
      </c>
      <c r="AH113" s="182">
        <f t="shared" si="144"/>
        <v>3</v>
      </c>
      <c r="AI113" s="625"/>
      <c r="AJ113" s="188">
        <v>6</v>
      </c>
      <c r="AK113" s="188">
        <v>2259.5294117647054</v>
      </c>
      <c r="AL113" s="185">
        <f t="shared" si="135"/>
        <v>376.58823529411757</v>
      </c>
      <c r="AM113" s="182">
        <f t="shared" si="145"/>
        <v>3</v>
      </c>
      <c r="AN113" s="625"/>
      <c r="AO113" s="188">
        <v>6</v>
      </c>
      <c r="AP113" s="188">
        <v>2259.3381940549607</v>
      </c>
      <c r="AQ113" s="185">
        <f t="shared" si="136"/>
        <v>376.55636567582678</v>
      </c>
      <c r="AR113" s="182">
        <f t="shared" si="146"/>
        <v>4</v>
      </c>
      <c r="AS113" s="625"/>
      <c r="AT113" s="188">
        <v>6</v>
      </c>
      <c r="AU113" s="188">
        <v>2259.2299388269166</v>
      </c>
      <c r="AV113" s="185">
        <f t="shared" si="137"/>
        <v>376.53832313781942</v>
      </c>
      <c r="AW113" s="182">
        <f t="shared" si="147"/>
        <v>4</v>
      </c>
      <c r="AX113" s="625"/>
    </row>
    <row r="114" spans="2:50" ht="14.25" customHeight="1">
      <c r="B114" s="564"/>
      <c r="C114" s="180">
        <v>8</v>
      </c>
      <c r="D114" s="183" t="s">
        <v>354</v>
      </c>
      <c r="E114" s="180">
        <v>12</v>
      </c>
      <c r="F114" s="180">
        <v>3600</v>
      </c>
      <c r="G114" s="185">
        <f t="shared" si="132"/>
        <v>300</v>
      </c>
      <c r="H114" s="625"/>
      <c r="I114" s="186">
        <f t="shared" si="138"/>
        <v>12</v>
      </c>
      <c r="J114" s="186">
        <f t="shared" si="138"/>
        <v>3146.4360593420611</v>
      </c>
      <c r="K114" s="187">
        <f t="shared" si="138"/>
        <v>262.20300494517176</v>
      </c>
      <c r="L114" s="626"/>
      <c r="M114" s="186">
        <f>RANK(K114, K$107:$K$121)</f>
        <v>10</v>
      </c>
      <c r="N114" s="564"/>
      <c r="O114" s="564"/>
      <c r="P114" s="188">
        <v>12</v>
      </c>
      <c r="Q114" s="188">
        <v>3145.2948557089089</v>
      </c>
      <c r="R114" s="185">
        <f t="shared" si="139"/>
        <v>262.1079046424091</v>
      </c>
      <c r="S114" s="182">
        <f t="shared" si="140"/>
        <v>10</v>
      </c>
      <c r="T114" s="625"/>
      <c r="U114" s="188">
        <v>12</v>
      </c>
      <c r="V114" s="188">
        <v>3145.7103949160296</v>
      </c>
      <c r="W114" s="185">
        <f t="shared" si="133"/>
        <v>262.14253290966911</v>
      </c>
      <c r="X114" s="182">
        <f t="shared" si="141"/>
        <v>10</v>
      </c>
      <c r="Y114" s="625"/>
      <c r="Z114" s="188">
        <v>12</v>
      </c>
      <c r="AA114" s="188">
        <v>3146.6524973432465</v>
      </c>
      <c r="AB114" s="185">
        <f t="shared" si="134"/>
        <v>262.22104144527054</v>
      </c>
      <c r="AC114" s="182">
        <f t="shared" si="142"/>
        <v>10</v>
      </c>
      <c r="AD114" s="625"/>
      <c r="AE114" s="188">
        <v>12</v>
      </c>
      <c r="AF114" s="188">
        <v>3146.6092572658781</v>
      </c>
      <c r="AG114" s="185">
        <f t="shared" si="143"/>
        <v>262.21743810548986</v>
      </c>
      <c r="AH114" s="182">
        <f t="shared" si="144"/>
        <v>9</v>
      </c>
      <c r="AI114" s="625"/>
      <c r="AJ114" s="188">
        <v>12</v>
      </c>
      <c r="AK114" s="188">
        <v>3147.3053892215466</v>
      </c>
      <c r="AL114" s="185">
        <f t="shared" si="135"/>
        <v>262.27544910179557</v>
      </c>
      <c r="AM114" s="182">
        <f t="shared" si="145"/>
        <v>9</v>
      </c>
      <c r="AN114" s="625"/>
      <c r="AO114" s="188">
        <v>12</v>
      </c>
      <c r="AP114" s="188">
        <v>3147.0439615967571</v>
      </c>
      <c r="AQ114" s="185">
        <f t="shared" si="136"/>
        <v>262.2536634663964</v>
      </c>
      <c r="AR114" s="182">
        <f t="shared" si="146"/>
        <v>9</v>
      </c>
      <c r="AS114" s="625"/>
      <c r="AT114" s="188"/>
      <c r="AU114" s="188"/>
      <c r="AV114" s="185"/>
      <c r="AW114" s="182"/>
      <c r="AX114" s="625"/>
    </row>
    <row r="115" spans="2:50" ht="14.25" customHeight="1">
      <c r="B115" s="564"/>
      <c r="C115" s="180">
        <v>9</v>
      </c>
      <c r="D115" s="183" t="s">
        <v>355</v>
      </c>
      <c r="E115" s="180">
        <v>12</v>
      </c>
      <c r="F115" s="180">
        <v>3600</v>
      </c>
      <c r="G115" s="185">
        <f t="shared" si="132"/>
        <v>300</v>
      </c>
      <c r="H115" s="625"/>
      <c r="I115" s="186">
        <f t="shared" si="138"/>
        <v>12</v>
      </c>
      <c r="J115" s="186">
        <f t="shared" si="138"/>
        <v>3147.0489006986536</v>
      </c>
      <c r="K115" s="187">
        <f t="shared" si="138"/>
        <v>262.25407505822119</v>
      </c>
      <c r="L115" s="626"/>
      <c r="M115" s="186">
        <f>RANK(K115, K$107:$K$121)</f>
        <v>9</v>
      </c>
      <c r="N115" s="564"/>
      <c r="O115" s="564"/>
      <c r="P115" s="188">
        <v>12</v>
      </c>
      <c r="Q115" s="188">
        <v>3147.2099202834352</v>
      </c>
      <c r="R115" s="185">
        <f t="shared" si="139"/>
        <v>262.26749335695291</v>
      </c>
      <c r="S115" s="182">
        <f t="shared" si="140"/>
        <v>8</v>
      </c>
      <c r="T115" s="625"/>
      <c r="U115" s="188">
        <v>12</v>
      </c>
      <c r="V115" s="188">
        <v>3147.6529160739633</v>
      </c>
      <c r="W115" s="185">
        <f t="shared" si="133"/>
        <v>262.30440967283027</v>
      </c>
      <c r="X115" s="182">
        <f t="shared" si="141"/>
        <v>7</v>
      </c>
      <c r="Y115" s="625"/>
      <c r="Z115" s="188">
        <v>12</v>
      </c>
      <c r="AA115" s="188">
        <v>3147.0842332613415</v>
      </c>
      <c r="AB115" s="185">
        <f t="shared" si="134"/>
        <v>262.25701943844513</v>
      </c>
      <c r="AC115" s="182">
        <f t="shared" si="142"/>
        <v>8</v>
      </c>
      <c r="AD115" s="625"/>
      <c r="AE115" s="188">
        <v>12</v>
      </c>
      <c r="AF115" s="188">
        <v>3146.2520821765684</v>
      </c>
      <c r="AG115" s="185">
        <f t="shared" si="143"/>
        <v>262.18767351471405</v>
      </c>
      <c r="AH115" s="182">
        <f t="shared" si="144"/>
        <v>10</v>
      </c>
      <c r="AI115" s="625"/>
      <c r="AJ115" s="188">
        <v>12</v>
      </c>
      <c r="AK115" s="188">
        <v>3147.0483005366664</v>
      </c>
      <c r="AL115" s="185">
        <f t="shared" si="135"/>
        <v>262.2540250447222</v>
      </c>
      <c r="AM115" s="182">
        <f t="shared" si="145"/>
        <v>10</v>
      </c>
      <c r="AN115" s="625"/>
      <c r="AO115" s="188">
        <v>12</v>
      </c>
      <c r="AP115" s="188">
        <v>3147.0459518599491</v>
      </c>
      <c r="AQ115" s="185">
        <f t="shared" si="136"/>
        <v>262.25382932166241</v>
      </c>
      <c r="AR115" s="182">
        <f t="shared" si="146"/>
        <v>8</v>
      </c>
      <c r="AS115" s="625"/>
      <c r="AT115" s="188"/>
      <c r="AU115" s="188"/>
      <c r="AV115" s="185"/>
      <c r="AW115" s="182"/>
      <c r="AX115" s="625"/>
    </row>
    <row r="116" spans="2:50" ht="14.25" customHeight="1">
      <c r="B116" s="564"/>
      <c r="C116" s="180">
        <v>10</v>
      </c>
      <c r="D116" s="183" t="s">
        <v>353</v>
      </c>
      <c r="E116" s="180">
        <v>11</v>
      </c>
      <c r="F116" s="180">
        <v>3600</v>
      </c>
      <c r="G116" s="185">
        <f t="shared" si="132"/>
        <v>327.27272727272725</v>
      </c>
      <c r="H116" s="625"/>
      <c r="I116" s="186">
        <f t="shared" si="138"/>
        <v>11</v>
      </c>
      <c r="J116" s="186">
        <f t="shared" si="138"/>
        <v>3183.4538237188617</v>
      </c>
      <c r="K116" s="187">
        <f t="shared" si="138"/>
        <v>289.40489306535113</v>
      </c>
      <c r="L116" s="626"/>
      <c r="M116" s="186">
        <f>RANK(K116, K$107:$K$121)</f>
        <v>5</v>
      </c>
      <c r="N116" s="564"/>
      <c r="O116" s="564"/>
      <c r="P116" s="188">
        <v>11</v>
      </c>
      <c r="Q116" s="188">
        <v>3183.8651414810465</v>
      </c>
      <c r="R116" s="185">
        <f t="shared" si="139"/>
        <v>289.44228558918604</v>
      </c>
      <c r="S116" s="182">
        <f t="shared" si="140"/>
        <v>5</v>
      </c>
      <c r="T116" s="625"/>
      <c r="U116" s="188">
        <v>11</v>
      </c>
      <c r="V116" s="188">
        <v>3182.5463239689257</v>
      </c>
      <c r="W116" s="185">
        <f t="shared" si="133"/>
        <v>289.32239308808414</v>
      </c>
      <c r="X116" s="182">
        <f t="shared" si="141"/>
        <v>5</v>
      </c>
      <c r="Y116" s="625"/>
      <c r="Z116" s="188">
        <v>11</v>
      </c>
      <c r="AA116" s="188">
        <v>3183.1308077198114</v>
      </c>
      <c r="AB116" s="185">
        <f t="shared" si="134"/>
        <v>289.37552797452832</v>
      </c>
      <c r="AC116" s="182">
        <f t="shared" si="142"/>
        <v>5</v>
      </c>
      <c r="AD116" s="625"/>
      <c r="AE116" s="188">
        <v>11</v>
      </c>
      <c r="AF116" s="188">
        <v>3183.7090909090894</v>
      </c>
      <c r="AG116" s="185">
        <f t="shared" si="143"/>
        <v>289.42809917355356</v>
      </c>
      <c r="AH116" s="182">
        <f t="shared" si="144"/>
        <v>6</v>
      </c>
      <c r="AI116" s="625"/>
      <c r="AJ116" s="188">
        <v>11</v>
      </c>
      <c r="AK116" s="188">
        <v>3182.7721221613119</v>
      </c>
      <c r="AL116" s="185">
        <f t="shared" si="135"/>
        <v>289.34292019648291</v>
      </c>
      <c r="AM116" s="182">
        <f t="shared" si="145"/>
        <v>5</v>
      </c>
      <c r="AN116" s="625"/>
      <c r="AO116" s="188">
        <v>11</v>
      </c>
      <c r="AP116" s="188">
        <v>3184.1336116910352</v>
      </c>
      <c r="AQ116" s="185">
        <f t="shared" si="136"/>
        <v>289.46669197191227</v>
      </c>
      <c r="AR116" s="182">
        <f t="shared" si="146"/>
        <v>5</v>
      </c>
      <c r="AS116" s="625"/>
      <c r="AT116" s="188">
        <v>11</v>
      </c>
      <c r="AU116" s="188">
        <v>3184.0196681008142</v>
      </c>
      <c r="AV116" s="185">
        <f t="shared" si="137"/>
        <v>289.45633346371039</v>
      </c>
      <c r="AW116" s="182">
        <f t="shared" si="147"/>
        <v>5</v>
      </c>
      <c r="AX116" s="625"/>
    </row>
    <row r="117" spans="2:50" ht="14.25" customHeight="1">
      <c r="B117" s="564"/>
      <c r="C117" s="180">
        <v>11</v>
      </c>
      <c r="D117" s="183"/>
      <c r="E117" s="180"/>
      <c r="F117" s="180"/>
      <c r="G117" s="185"/>
      <c r="H117" s="625"/>
      <c r="I117" s="186"/>
      <c r="J117" s="186"/>
      <c r="K117" s="187"/>
      <c r="L117" s="626"/>
      <c r="M117" s="186"/>
      <c r="N117" s="564"/>
      <c r="O117" s="564"/>
      <c r="P117" s="188"/>
      <c r="Q117" s="188"/>
      <c r="R117" s="185"/>
      <c r="S117" s="182"/>
      <c r="T117" s="625"/>
      <c r="U117" s="188"/>
      <c r="V117" s="188"/>
      <c r="W117" s="185"/>
      <c r="X117" s="182"/>
      <c r="Y117" s="625"/>
      <c r="Z117" s="188"/>
      <c r="AA117" s="188"/>
      <c r="AB117" s="185"/>
      <c r="AC117" s="182"/>
      <c r="AD117" s="625"/>
      <c r="AE117" s="188"/>
      <c r="AF117" s="188"/>
      <c r="AG117" s="185"/>
      <c r="AH117" s="182"/>
      <c r="AI117" s="625"/>
      <c r="AJ117" s="188"/>
      <c r="AK117" s="188"/>
      <c r="AL117" s="185"/>
      <c r="AM117" s="182"/>
      <c r="AN117" s="625"/>
      <c r="AO117" s="188"/>
      <c r="AP117" s="188"/>
      <c r="AQ117" s="185"/>
      <c r="AR117" s="182"/>
      <c r="AS117" s="625"/>
      <c r="AT117" s="188"/>
      <c r="AU117" s="188"/>
      <c r="AV117" s="185"/>
      <c r="AW117" s="182"/>
      <c r="AX117" s="625"/>
    </row>
    <row r="118" spans="2:50" ht="14.25" customHeight="1">
      <c r="B118" s="564"/>
      <c r="C118" s="180">
        <v>12</v>
      </c>
      <c r="D118" s="183"/>
      <c r="E118" s="180"/>
      <c r="F118" s="180"/>
      <c r="G118" s="185"/>
      <c r="H118" s="625"/>
      <c r="I118" s="186"/>
      <c r="J118" s="186"/>
      <c r="K118" s="187"/>
      <c r="L118" s="626"/>
      <c r="M118" s="186"/>
      <c r="N118" s="564"/>
      <c r="O118" s="564"/>
      <c r="P118" s="188"/>
      <c r="Q118" s="188"/>
      <c r="R118" s="185"/>
      <c r="S118" s="182"/>
      <c r="T118" s="625"/>
      <c r="U118" s="188"/>
      <c r="V118" s="188"/>
      <c r="W118" s="185"/>
      <c r="X118" s="182"/>
      <c r="Y118" s="625"/>
      <c r="Z118" s="188"/>
      <c r="AA118" s="188"/>
      <c r="AB118" s="185"/>
      <c r="AC118" s="182"/>
      <c r="AD118" s="625"/>
      <c r="AE118" s="188"/>
      <c r="AF118" s="188"/>
      <c r="AG118" s="185"/>
      <c r="AH118" s="182"/>
      <c r="AI118" s="625"/>
      <c r="AJ118" s="188"/>
      <c r="AK118" s="188"/>
      <c r="AL118" s="185"/>
      <c r="AM118" s="182"/>
      <c r="AN118" s="625"/>
      <c r="AO118" s="188"/>
      <c r="AP118" s="188"/>
      <c r="AQ118" s="185"/>
      <c r="AR118" s="182"/>
      <c r="AS118" s="625"/>
      <c r="AT118" s="188"/>
      <c r="AU118" s="188"/>
      <c r="AV118" s="185"/>
      <c r="AW118" s="182"/>
      <c r="AX118" s="625"/>
    </row>
    <row r="119" spans="2:50" ht="14.25" customHeight="1">
      <c r="B119" s="564"/>
      <c r="C119" s="180">
        <v>13</v>
      </c>
      <c r="D119" s="183"/>
      <c r="E119" s="180"/>
      <c r="F119" s="180"/>
      <c r="G119" s="185"/>
      <c r="H119" s="625"/>
      <c r="I119" s="186"/>
      <c r="J119" s="186"/>
      <c r="K119" s="187"/>
      <c r="L119" s="626"/>
      <c r="M119" s="186"/>
      <c r="N119" s="564"/>
      <c r="O119" s="564"/>
      <c r="P119" s="188"/>
      <c r="Q119" s="188"/>
      <c r="R119" s="185"/>
      <c r="S119" s="182"/>
      <c r="T119" s="625"/>
      <c r="U119" s="188"/>
      <c r="V119" s="188"/>
      <c r="W119" s="185"/>
      <c r="X119" s="182"/>
      <c r="Y119" s="625"/>
      <c r="Z119" s="188"/>
      <c r="AA119" s="188"/>
      <c r="AB119" s="185"/>
      <c r="AC119" s="182"/>
      <c r="AD119" s="625"/>
      <c r="AE119" s="188"/>
      <c r="AF119" s="188"/>
      <c r="AG119" s="185"/>
      <c r="AH119" s="182"/>
      <c r="AI119" s="625"/>
      <c r="AJ119" s="188"/>
      <c r="AK119" s="188"/>
      <c r="AL119" s="185"/>
      <c r="AM119" s="182"/>
      <c r="AN119" s="625"/>
      <c r="AO119" s="188"/>
      <c r="AP119" s="188"/>
      <c r="AQ119" s="185"/>
      <c r="AR119" s="182"/>
      <c r="AS119" s="625"/>
      <c r="AT119" s="188"/>
      <c r="AU119" s="188"/>
      <c r="AV119" s="185"/>
      <c r="AW119" s="182"/>
      <c r="AX119" s="625"/>
    </row>
    <row r="120" spans="2:50" ht="14.25" customHeight="1">
      <c r="B120" s="564"/>
      <c r="C120" s="180">
        <v>14</v>
      </c>
      <c r="D120" s="183"/>
      <c r="E120" s="180"/>
      <c r="F120" s="180"/>
      <c r="G120" s="185"/>
      <c r="H120" s="625"/>
      <c r="I120" s="186"/>
      <c r="J120" s="186"/>
      <c r="K120" s="187"/>
      <c r="L120" s="626"/>
      <c r="M120" s="186"/>
      <c r="N120" s="564"/>
      <c r="O120" s="564"/>
      <c r="P120" s="188"/>
      <c r="Q120" s="188"/>
      <c r="R120" s="185"/>
      <c r="S120" s="182"/>
      <c r="T120" s="625"/>
      <c r="U120" s="188"/>
      <c r="V120" s="188"/>
      <c r="W120" s="185"/>
      <c r="X120" s="182"/>
      <c r="Y120" s="625"/>
      <c r="Z120" s="188"/>
      <c r="AA120" s="188"/>
      <c r="AB120" s="185"/>
      <c r="AC120" s="182"/>
      <c r="AD120" s="625"/>
      <c r="AE120" s="188"/>
      <c r="AF120" s="188"/>
      <c r="AG120" s="185"/>
      <c r="AH120" s="182"/>
      <c r="AI120" s="625"/>
      <c r="AJ120" s="188"/>
      <c r="AK120" s="188"/>
      <c r="AL120" s="185"/>
      <c r="AM120" s="182"/>
      <c r="AN120" s="625"/>
      <c r="AO120" s="188"/>
      <c r="AP120" s="188"/>
      <c r="AQ120" s="185"/>
      <c r="AR120" s="182"/>
      <c r="AS120" s="625"/>
      <c r="AT120" s="188"/>
      <c r="AU120" s="188"/>
      <c r="AV120" s="185"/>
      <c r="AW120" s="182"/>
      <c r="AX120" s="625"/>
    </row>
    <row r="121" spans="2:50" ht="14.25" customHeight="1">
      <c r="B121" s="564"/>
      <c r="C121" s="180">
        <v>15</v>
      </c>
      <c r="D121" s="183"/>
      <c r="E121" s="180"/>
      <c r="F121" s="180"/>
      <c r="G121" s="185"/>
      <c r="H121" s="625"/>
      <c r="I121" s="186"/>
      <c r="J121" s="186"/>
      <c r="K121" s="187"/>
      <c r="L121" s="626"/>
      <c r="M121" s="186"/>
      <c r="N121" s="564"/>
      <c r="O121" s="564"/>
      <c r="P121" s="188"/>
      <c r="Q121" s="188"/>
      <c r="R121" s="185"/>
      <c r="S121" s="182"/>
      <c r="T121" s="625"/>
      <c r="U121" s="188"/>
      <c r="V121" s="188"/>
      <c r="W121" s="185"/>
      <c r="X121" s="182"/>
      <c r="Y121" s="625"/>
      <c r="Z121" s="188"/>
      <c r="AA121" s="188"/>
      <c r="AB121" s="185"/>
      <c r="AC121" s="182"/>
      <c r="AD121" s="625"/>
      <c r="AE121" s="188"/>
      <c r="AF121" s="188"/>
      <c r="AG121" s="185"/>
      <c r="AH121" s="182"/>
      <c r="AI121" s="625"/>
      <c r="AJ121" s="188"/>
      <c r="AK121" s="188"/>
      <c r="AL121" s="185"/>
      <c r="AM121" s="182"/>
      <c r="AN121" s="625"/>
      <c r="AO121" s="188"/>
      <c r="AP121" s="188"/>
      <c r="AQ121" s="185"/>
      <c r="AR121" s="182"/>
      <c r="AS121" s="625"/>
      <c r="AT121" s="188"/>
      <c r="AU121" s="188"/>
      <c r="AV121" s="185"/>
      <c r="AW121" s="182"/>
      <c r="AX121" s="625"/>
    </row>
  </sheetData>
  <mergeCells count="354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121"/>
  <sheetViews>
    <sheetView zoomScaleNormal="100" workbookViewId="0">
      <pane xSplit="13" ySplit="1" topLeftCell="AI91" activePane="bottomRight" state="frozen"/>
      <selection activeCell="L95" sqref="L95"/>
      <selection pane="topRight" activeCell="L95" sqref="L95"/>
      <selection pane="bottomLeft" activeCell="L95" sqref="L95"/>
      <selection pane="bottomRight" activeCell="AW107" sqref="AW107:AW108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67" t="s">
        <v>647</v>
      </c>
      <c r="C1" s="175">
        <f>AVERAGE(L27,L47,L67,L87)</f>
        <v>331.13667122055222</v>
      </c>
    </row>
    <row r="2" spans="1:50" ht="14.25" customHeight="1" collapsed="1">
      <c r="B2" s="641" t="s">
        <v>557</v>
      </c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3"/>
      <c r="N2" s="575" t="s">
        <v>377</v>
      </c>
      <c r="O2" s="575" t="s">
        <v>105</v>
      </c>
      <c r="P2" s="655">
        <v>46077</v>
      </c>
      <c r="Q2" s="656"/>
      <c r="R2" s="656"/>
      <c r="S2" s="656"/>
      <c r="T2" s="656"/>
      <c r="U2" s="657">
        <f>P2+1</f>
        <v>46078</v>
      </c>
      <c r="V2" s="658"/>
      <c r="W2" s="658"/>
      <c r="X2" s="658"/>
      <c r="Y2" s="658"/>
      <c r="Z2" s="655">
        <f t="shared" ref="Z2" si="0">U2+1</f>
        <v>46079</v>
      </c>
      <c r="AA2" s="656"/>
      <c r="AB2" s="656"/>
      <c r="AC2" s="656"/>
      <c r="AD2" s="656"/>
      <c r="AE2" s="657">
        <f t="shared" ref="AE2" si="1">Z2+1</f>
        <v>46080</v>
      </c>
      <c r="AF2" s="658"/>
      <c r="AG2" s="658"/>
      <c r="AH2" s="658"/>
      <c r="AI2" s="658"/>
      <c r="AJ2" s="647">
        <f t="shared" ref="AJ2" si="2">AE2+1</f>
        <v>46081</v>
      </c>
      <c r="AK2" s="648"/>
      <c r="AL2" s="648"/>
      <c r="AM2" s="648"/>
      <c r="AN2" s="649"/>
      <c r="AO2" s="657">
        <f t="shared" ref="AO2" si="3">AJ2+1</f>
        <v>46082</v>
      </c>
      <c r="AP2" s="658"/>
      <c r="AQ2" s="658"/>
      <c r="AR2" s="658"/>
      <c r="AS2" s="658"/>
      <c r="AT2" s="647">
        <f t="shared" ref="AT2" si="4">AO2+1</f>
        <v>46083</v>
      </c>
      <c r="AU2" s="648"/>
      <c r="AV2" s="648"/>
      <c r="AW2" s="648"/>
      <c r="AX2" s="649"/>
    </row>
    <row r="3" spans="1:50" ht="14.25" customHeight="1"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5"/>
      <c r="N3" s="577"/>
      <c r="O3" s="577"/>
      <c r="P3" s="650">
        <f>P2</f>
        <v>46077</v>
      </c>
      <c r="Q3" s="650"/>
      <c r="R3" s="650"/>
      <c r="S3" s="650"/>
      <c r="T3" s="650"/>
      <c r="U3" s="651">
        <f>U2</f>
        <v>46078</v>
      </c>
      <c r="V3" s="651"/>
      <c r="W3" s="651"/>
      <c r="X3" s="651"/>
      <c r="Y3" s="651"/>
      <c r="Z3" s="650">
        <f t="shared" ref="Z3" si="5">Z2</f>
        <v>46079</v>
      </c>
      <c r="AA3" s="650"/>
      <c r="AB3" s="650"/>
      <c r="AC3" s="650"/>
      <c r="AD3" s="650"/>
      <c r="AE3" s="651">
        <f t="shared" ref="AE3" si="6">AE2</f>
        <v>46080</v>
      </c>
      <c r="AF3" s="651"/>
      <c r="AG3" s="651"/>
      <c r="AH3" s="651"/>
      <c r="AI3" s="651"/>
      <c r="AJ3" s="652">
        <f t="shared" ref="AJ3" si="7">AJ2</f>
        <v>46081</v>
      </c>
      <c r="AK3" s="653"/>
      <c r="AL3" s="653"/>
      <c r="AM3" s="653"/>
      <c r="AN3" s="654"/>
      <c r="AO3" s="651">
        <f t="shared" ref="AO3" si="8">AO2</f>
        <v>46082</v>
      </c>
      <c r="AP3" s="651"/>
      <c r="AQ3" s="651"/>
      <c r="AR3" s="651"/>
      <c r="AS3" s="651"/>
      <c r="AT3" s="652">
        <f t="shared" ref="AT3" si="9">AT2</f>
        <v>46083</v>
      </c>
      <c r="AU3" s="653"/>
      <c r="AV3" s="653"/>
      <c r="AW3" s="653"/>
      <c r="AX3" s="654"/>
    </row>
    <row r="4" spans="1:50" ht="14.25" customHeight="1">
      <c r="B4" s="564" t="s">
        <v>164</v>
      </c>
      <c r="C4" s="564" t="s">
        <v>159</v>
      </c>
      <c r="D4" s="564"/>
      <c r="E4" s="564" t="s">
        <v>160</v>
      </c>
      <c r="F4" s="564"/>
      <c r="G4" s="564"/>
      <c r="H4" s="564" t="s">
        <v>165</v>
      </c>
      <c r="I4" s="628" t="s">
        <v>378</v>
      </c>
      <c r="J4" s="628"/>
      <c r="K4" s="628"/>
      <c r="L4" s="628" t="s">
        <v>165</v>
      </c>
      <c r="M4" s="628" t="s">
        <v>167</v>
      </c>
      <c r="N4" s="564"/>
      <c r="O4" s="564" t="s">
        <v>166</v>
      </c>
      <c r="P4" s="564" t="s">
        <v>162</v>
      </c>
      <c r="Q4" s="564"/>
      <c r="R4" s="564"/>
      <c r="S4" s="564"/>
      <c r="T4" s="564" t="s">
        <v>165</v>
      </c>
      <c r="U4" s="564" t="s">
        <v>162</v>
      </c>
      <c r="V4" s="564"/>
      <c r="W4" s="564"/>
      <c r="X4" s="564"/>
      <c r="Y4" s="564" t="s">
        <v>165</v>
      </c>
      <c r="Z4" s="564" t="s">
        <v>162</v>
      </c>
      <c r="AA4" s="564"/>
      <c r="AB4" s="564"/>
      <c r="AC4" s="564"/>
      <c r="AD4" s="564" t="s">
        <v>165</v>
      </c>
      <c r="AE4" s="564" t="s">
        <v>162</v>
      </c>
      <c r="AF4" s="564"/>
      <c r="AG4" s="564"/>
      <c r="AH4" s="564"/>
      <c r="AI4" s="564" t="s">
        <v>165</v>
      </c>
      <c r="AJ4" s="564" t="s">
        <v>162</v>
      </c>
      <c r="AK4" s="564"/>
      <c r="AL4" s="564"/>
      <c r="AM4" s="564"/>
      <c r="AN4" s="564" t="s">
        <v>165</v>
      </c>
      <c r="AO4" s="564" t="s">
        <v>162</v>
      </c>
      <c r="AP4" s="564"/>
      <c r="AQ4" s="564"/>
      <c r="AR4" s="564"/>
      <c r="AS4" s="564" t="s">
        <v>165</v>
      </c>
      <c r="AT4" s="564" t="s">
        <v>162</v>
      </c>
      <c r="AU4" s="564"/>
      <c r="AV4" s="564"/>
      <c r="AW4" s="564"/>
      <c r="AX4" s="564" t="s">
        <v>165</v>
      </c>
    </row>
    <row r="5" spans="1:50" ht="14.25" customHeight="1">
      <c r="B5" s="564"/>
      <c r="C5" s="564"/>
      <c r="D5" s="564"/>
      <c r="E5" s="564" t="s">
        <v>379</v>
      </c>
      <c r="F5" s="564"/>
      <c r="G5" s="564"/>
      <c r="H5" s="564"/>
      <c r="I5" s="628" t="s">
        <v>379</v>
      </c>
      <c r="J5" s="628"/>
      <c r="K5" s="628"/>
      <c r="L5" s="628"/>
      <c r="M5" s="628"/>
      <c r="N5" s="564"/>
      <c r="O5" s="564"/>
      <c r="P5" s="564" t="s">
        <v>380</v>
      </c>
      <c r="Q5" s="564"/>
      <c r="R5" s="564"/>
      <c r="S5" s="564"/>
      <c r="T5" s="564"/>
      <c r="U5" s="564" t="s">
        <v>380</v>
      </c>
      <c r="V5" s="564"/>
      <c r="W5" s="564"/>
      <c r="X5" s="564"/>
      <c r="Y5" s="564"/>
      <c r="Z5" s="564" t="s">
        <v>380</v>
      </c>
      <c r="AA5" s="564"/>
      <c r="AB5" s="564"/>
      <c r="AC5" s="564"/>
      <c r="AD5" s="564"/>
      <c r="AE5" s="564" t="s">
        <v>380</v>
      </c>
      <c r="AF5" s="564"/>
      <c r="AG5" s="564"/>
      <c r="AH5" s="564"/>
      <c r="AI5" s="564"/>
      <c r="AJ5" s="564" t="s">
        <v>380</v>
      </c>
      <c r="AK5" s="564"/>
      <c r="AL5" s="564"/>
      <c r="AM5" s="564"/>
      <c r="AN5" s="564"/>
      <c r="AO5" s="564" t="s">
        <v>380</v>
      </c>
      <c r="AP5" s="564"/>
      <c r="AQ5" s="564"/>
      <c r="AR5" s="564"/>
      <c r="AS5" s="564"/>
      <c r="AT5" s="564" t="s">
        <v>380</v>
      </c>
      <c r="AU5" s="564"/>
      <c r="AV5" s="564"/>
      <c r="AW5" s="564"/>
      <c r="AX5" s="564"/>
    </row>
    <row r="6" spans="1:50" ht="14.25" customHeight="1">
      <c r="B6" s="564"/>
      <c r="C6" s="564"/>
      <c r="D6" s="564"/>
      <c r="E6" s="180" t="s">
        <v>161</v>
      </c>
      <c r="F6" s="180" t="s">
        <v>381</v>
      </c>
      <c r="G6" s="180" t="s">
        <v>163</v>
      </c>
      <c r="H6" s="564"/>
      <c r="I6" s="181" t="s">
        <v>161</v>
      </c>
      <c r="J6" s="181" t="s">
        <v>381</v>
      </c>
      <c r="K6" s="181" t="s">
        <v>163</v>
      </c>
      <c r="L6" s="628"/>
      <c r="M6" s="628"/>
      <c r="N6" s="564"/>
      <c r="O6" s="564"/>
      <c r="P6" s="180" t="s">
        <v>161</v>
      </c>
      <c r="Q6" s="180" t="s">
        <v>381</v>
      </c>
      <c r="R6" s="180" t="s">
        <v>163</v>
      </c>
      <c r="S6" s="182" t="s">
        <v>167</v>
      </c>
      <c r="T6" s="564"/>
      <c r="U6" s="180" t="s">
        <v>161</v>
      </c>
      <c r="V6" s="180" t="s">
        <v>381</v>
      </c>
      <c r="W6" s="180" t="s">
        <v>163</v>
      </c>
      <c r="X6" s="182" t="s">
        <v>167</v>
      </c>
      <c r="Y6" s="564"/>
      <c r="Z6" s="180" t="s">
        <v>161</v>
      </c>
      <c r="AA6" s="180" t="s">
        <v>381</v>
      </c>
      <c r="AB6" s="180" t="s">
        <v>163</v>
      </c>
      <c r="AC6" s="182" t="s">
        <v>167</v>
      </c>
      <c r="AD6" s="564"/>
      <c r="AE6" s="180" t="s">
        <v>161</v>
      </c>
      <c r="AF6" s="180" t="s">
        <v>381</v>
      </c>
      <c r="AG6" s="180" t="s">
        <v>163</v>
      </c>
      <c r="AH6" s="182" t="s">
        <v>167</v>
      </c>
      <c r="AI6" s="564"/>
      <c r="AJ6" s="180" t="s">
        <v>161</v>
      </c>
      <c r="AK6" s="180" t="s">
        <v>381</v>
      </c>
      <c r="AL6" s="180" t="s">
        <v>163</v>
      </c>
      <c r="AM6" s="182" t="s">
        <v>167</v>
      </c>
      <c r="AN6" s="564"/>
      <c r="AO6" s="180" t="s">
        <v>161</v>
      </c>
      <c r="AP6" s="180" t="s">
        <v>381</v>
      </c>
      <c r="AQ6" s="180" t="s">
        <v>163</v>
      </c>
      <c r="AR6" s="182" t="s">
        <v>167</v>
      </c>
      <c r="AS6" s="564"/>
      <c r="AT6" s="180" t="s">
        <v>161</v>
      </c>
      <c r="AU6" s="180" t="s">
        <v>381</v>
      </c>
      <c r="AV6" s="180" t="s">
        <v>163</v>
      </c>
      <c r="AW6" s="182" t="s">
        <v>167</v>
      </c>
      <c r="AX6" s="564"/>
    </row>
    <row r="7" spans="1:50" ht="14.25" customHeight="1">
      <c r="B7" s="565" t="s">
        <v>456</v>
      </c>
      <c r="C7" s="180">
        <v>1</v>
      </c>
      <c r="D7" s="183" t="s">
        <v>356</v>
      </c>
      <c r="E7" s="180">
        <v>21</v>
      </c>
      <c r="F7" s="180">
        <v>2790</v>
      </c>
      <c r="G7" s="185">
        <f t="shared" ref="G7:G8" si="10">F7/E7</f>
        <v>132.85714285714286</v>
      </c>
      <c r="H7" s="625">
        <f>AVERAGE(G7:G21)</f>
        <v>366.42857142857144</v>
      </c>
      <c r="I7" s="186">
        <f>AVERAGE(P7,U7,Z7,AE7,AJ7,AO7,AT7)</f>
        <v>21.571428571428573</v>
      </c>
      <c r="J7" s="186">
        <f>AVERAGE(Q7,V7,AA7,AF7,AK7,AP7,AU7)</f>
        <v>2565.6296690448612</v>
      </c>
      <c r="K7" s="187">
        <f>AVERAGE(R7,W7,AB7,AG7,AL7,AQ7,AV7)</f>
        <v>118.92391952790344</v>
      </c>
      <c r="L7" s="626">
        <f>IFERROR(AVERAGE(K7:K21),"-")</f>
        <v>317.46260310389169</v>
      </c>
      <c r="M7" s="186">
        <f>RANK(K7, K$7:$K$21)</f>
        <v>2</v>
      </c>
      <c r="N7" s="564"/>
      <c r="O7" s="564"/>
      <c r="P7" s="188">
        <v>21</v>
      </c>
      <c r="Q7" s="188">
        <v>2484.0307429547411</v>
      </c>
      <c r="R7" s="185">
        <f>IFERROR(Q7/P7,"")</f>
        <v>118.28717823594005</v>
      </c>
      <c r="S7" s="182">
        <f>RANK(R7, R$7:R$21)</f>
        <v>2</v>
      </c>
      <c r="T7" s="625">
        <f>AVERAGE(R7:R21)</f>
        <v>304.2810098367861</v>
      </c>
      <c r="U7" s="188">
        <v>21</v>
      </c>
      <c r="V7" s="188">
        <v>2484.4527696012829</v>
      </c>
      <c r="W7" s="185">
        <f t="shared" ref="W7:W8" si="11">IFERROR(V7/U7,"")</f>
        <v>118.30727474291822</v>
      </c>
      <c r="X7" s="182">
        <f>RANK(W7, W$7:W$21)</f>
        <v>2</v>
      </c>
      <c r="Y7" s="625">
        <f>AVERAGE(W7:W21)</f>
        <v>308.32234152793814</v>
      </c>
      <c r="Z7" s="188">
        <v>21</v>
      </c>
      <c r="AA7" s="188">
        <v>2483.9108910891136</v>
      </c>
      <c r="AB7" s="185">
        <f t="shared" ref="AB7:AB8" si="12">IFERROR(AA7/Z7,"")</f>
        <v>118.28147100424351</v>
      </c>
      <c r="AC7" s="182">
        <f>RANK(AB7, AB$7:AB$21)</f>
        <v>2</v>
      </c>
      <c r="AD7" s="625">
        <f>AVERAGE(AB7:AB21)</f>
        <v>312.29069113654936</v>
      </c>
      <c r="AE7" s="188">
        <v>22</v>
      </c>
      <c r="AF7" s="188">
        <v>2626.4323911382735</v>
      </c>
      <c r="AG7" s="185">
        <f>IFERROR(AF7/AE7,"")</f>
        <v>119.38329050628516</v>
      </c>
      <c r="AH7" s="182">
        <f>RANK(AG7, AG$7:AG$21)</f>
        <v>2</v>
      </c>
      <c r="AI7" s="625">
        <f>AVERAGE(AG7:AG21)</f>
        <v>317.37337413329965</v>
      </c>
      <c r="AJ7" s="188">
        <v>22</v>
      </c>
      <c r="AK7" s="188">
        <v>2626.8595041322242</v>
      </c>
      <c r="AL7" s="185">
        <f t="shared" ref="AL7:AL8" si="13">IFERROR(AK7/AJ7,"")</f>
        <v>119.40270473328292</v>
      </c>
      <c r="AM7" s="182">
        <f>RANK(AL7, AL$7:AL$21)</f>
        <v>2</v>
      </c>
      <c r="AN7" s="625">
        <f>AVERAGE(AL7:AL21)</f>
        <v>322.13445975158584</v>
      </c>
      <c r="AO7" s="188">
        <v>22</v>
      </c>
      <c r="AP7" s="188">
        <v>2626.7983074753156</v>
      </c>
      <c r="AQ7" s="185">
        <f t="shared" ref="AQ7:AQ8" si="14">IFERROR(AP7/AO7,"")</f>
        <v>119.3999230670598</v>
      </c>
      <c r="AR7" s="182">
        <f>RANK(AQ7, AQ$7:AQ$21)</f>
        <v>2</v>
      </c>
      <c r="AS7" s="625">
        <f>AVERAGE(AQ7:AQ21)</f>
        <v>327.38112095382013</v>
      </c>
      <c r="AT7" s="188">
        <v>22</v>
      </c>
      <c r="AU7" s="188">
        <v>2626.9230769230767</v>
      </c>
      <c r="AV7" s="185">
        <f t="shared" ref="AV7:AV8" si="15">IFERROR(AU7/AT7,"")</f>
        <v>119.4055944055944</v>
      </c>
      <c r="AW7" s="182">
        <f>RANK(AV7, AV$7:AV$21)</f>
        <v>2</v>
      </c>
      <c r="AX7" s="625">
        <f>AVERAGE(AV7:AV21)</f>
        <v>330.45522438726289</v>
      </c>
    </row>
    <row r="8" spans="1:50" ht="14.25" customHeight="1">
      <c r="B8" s="564"/>
      <c r="C8" s="180">
        <v>2</v>
      </c>
      <c r="D8" s="183" t="s">
        <v>608</v>
      </c>
      <c r="E8" s="180">
        <v>6</v>
      </c>
      <c r="F8" s="180">
        <v>3600</v>
      </c>
      <c r="G8" s="185">
        <f t="shared" si="10"/>
        <v>600</v>
      </c>
      <c r="H8" s="625"/>
      <c r="I8" s="186">
        <f t="shared" ref="I8" si="16">AVERAGE(P8,U8,Z8,AE8,AJ8,AO8,AT8)</f>
        <v>6</v>
      </c>
      <c r="J8" s="186">
        <f t="shared" ref="J8" si="17">AVERAGE(Q8,V8,AA8,AF8,AK8,AP8,AU8)</f>
        <v>3096.0077200792798</v>
      </c>
      <c r="K8" s="187">
        <f t="shared" ref="K8" si="18">AVERAGE(R8,W8,AB8,AG8,AL8,AQ8,AV8)</f>
        <v>516.00128667987997</v>
      </c>
      <c r="L8" s="626"/>
      <c r="M8" s="186">
        <f>RANK(K8, K$7:$K$21)</f>
        <v>1</v>
      </c>
      <c r="N8" s="564"/>
      <c r="O8" s="564"/>
      <c r="P8" s="188">
        <v>6</v>
      </c>
      <c r="Q8" s="188">
        <v>2941.6490486257926</v>
      </c>
      <c r="R8" s="185">
        <f t="shared" ref="R8" si="19">IFERROR(Q8/P8,"")</f>
        <v>490.27484143763212</v>
      </c>
      <c r="S8" s="182">
        <f>RANK(R8, R$7:R$21)</f>
        <v>1</v>
      </c>
      <c r="T8" s="625"/>
      <c r="U8" s="188">
        <v>6</v>
      </c>
      <c r="V8" s="188">
        <v>2990.0244498777483</v>
      </c>
      <c r="W8" s="185">
        <f t="shared" si="11"/>
        <v>498.33740831295808</v>
      </c>
      <c r="X8" s="182" t="e">
        <f>RANK(W8, W$87:W$101)</f>
        <v>#N/A</v>
      </c>
      <c r="Y8" s="625"/>
      <c r="Z8" s="188">
        <v>6</v>
      </c>
      <c r="AA8" s="188">
        <v>3037.7994676131311</v>
      </c>
      <c r="AB8" s="185">
        <f t="shared" si="12"/>
        <v>506.29991126885517</v>
      </c>
      <c r="AC8" s="182">
        <f>RANK(AB8, AB$7:AB$21)</f>
        <v>1</v>
      </c>
      <c r="AD8" s="625"/>
      <c r="AE8" s="188">
        <v>6</v>
      </c>
      <c r="AF8" s="188">
        <v>3092.1807465618845</v>
      </c>
      <c r="AG8" s="185">
        <f t="shared" ref="AG8" si="20">IFERROR(AF8/AE8,"")</f>
        <v>515.36345776031408</v>
      </c>
      <c r="AH8" s="182">
        <f>RANK(AG8, AG$7:AG$21)</f>
        <v>1</v>
      </c>
      <c r="AI8" s="625"/>
      <c r="AJ8" s="188">
        <v>6</v>
      </c>
      <c r="AK8" s="188">
        <v>3149.1972886193325</v>
      </c>
      <c r="AL8" s="185">
        <f t="shared" si="13"/>
        <v>524.86621476988876</v>
      </c>
      <c r="AM8" s="182">
        <f>RANK(AL8, AL$7:AL$21)</f>
        <v>1</v>
      </c>
      <c r="AN8" s="625"/>
      <c r="AO8" s="188">
        <v>6</v>
      </c>
      <c r="AP8" s="188">
        <v>3212.1739130434826</v>
      </c>
      <c r="AQ8" s="185">
        <f t="shared" si="14"/>
        <v>535.36231884058043</v>
      </c>
      <c r="AR8" s="182">
        <f>RANK(AQ8, AQ$7:AQ$21)</f>
        <v>1</v>
      </c>
      <c r="AS8" s="625"/>
      <c r="AT8" s="188">
        <v>6</v>
      </c>
      <c r="AU8" s="188">
        <v>3249.0291262135884</v>
      </c>
      <c r="AV8" s="185">
        <f t="shared" si="15"/>
        <v>541.50485436893143</v>
      </c>
      <c r="AW8" s="182">
        <f>RANK(AV8, AV$7:AV$21)</f>
        <v>1</v>
      </c>
      <c r="AX8" s="625"/>
    </row>
    <row r="9" spans="1:50" ht="14.25" customHeight="1">
      <c r="B9" s="564"/>
      <c r="C9" s="180">
        <v>3</v>
      </c>
      <c r="D9" s="183"/>
      <c r="E9" s="180"/>
      <c r="F9" s="180"/>
      <c r="G9" s="185"/>
      <c r="H9" s="625"/>
      <c r="I9" s="186"/>
      <c r="J9" s="186"/>
      <c r="K9" s="187"/>
      <c r="L9" s="626"/>
      <c r="M9" s="186"/>
      <c r="N9" s="564"/>
      <c r="O9" s="564"/>
      <c r="P9" s="188"/>
      <c r="Q9" s="188"/>
      <c r="R9" s="185"/>
      <c r="S9" s="182"/>
      <c r="T9" s="625"/>
      <c r="U9" s="188"/>
      <c r="V9" s="188"/>
      <c r="W9" s="185"/>
      <c r="X9" s="182"/>
      <c r="Y9" s="625"/>
      <c r="Z9" s="188"/>
      <c r="AA9" s="188"/>
      <c r="AB9" s="185"/>
      <c r="AC9" s="182"/>
      <c r="AD9" s="625"/>
      <c r="AE9" s="188"/>
      <c r="AF9" s="188"/>
      <c r="AG9" s="185"/>
      <c r="AH9" s="182"/>
      <c r="AI9" s="625"/>
      <c r="AJ9" s="188"/>
      <c r="AK9" s="188"/>
      <c r="AL9" s="185"/>
      <c r="AM9" s="182"/>
      <c r="AN9" s="625"/>
      <c r="AO9" s="188"/>
      <c r="AP9" s="188"/>
      <c r="AQ9" s="185"/>
      <c r="AR9" s="182"/>
      <c r="AS9" s="625"/>
      <c r="AT9" s="188"/>
      <c r="AU9" s="188"/>
      <c r="AV9" s="185"/>
      <c r="AW9" s="182"/>
      <c r="AX9" s="625"/>
    </row>
    <row r="10" spans="1:50" ht="14.25" customHeight="1">
      <c r="B10" s="564"/>
      <c r="C10" s="180">
        <v>4</v>
      </c>
      <c r="D10" s="183"/>
      <c r="E10" s="180"/>
      <c r="F10" s="180"/>
      <c r="G10" s="185"/>
      <c r="H10" s="625"/>
      <c r="I10" s="186"/>
      <c r="J10" s="186"/>
      <c r="K10" s="187"/>
      <c r="L10" s="626"/>
      <c r="M10" s="186"/>
      <c r="N10" s="564"/>
      <c r="O10" s="564"/>
      <c r="P10" s="188"/>
      <c r="Q10" s="188"/>
      <c r="R10" s="185"/>
      <c r="S10" s="182"/>
      <c r="T10" s="625"/>
      <c r="U10" s="188"/>
      <c r="V10" s="188"/>
      <c r="W10" s="185"/>
      <c r="X10" s="182"/>
      <c r="Y10" s="625"/>
      <c r="Z10" s="188"/>
      <c r="AA10" s="188"/>
      <c r="AB10" s="185"/>
      <c r="AC10" s="182"/>
      <c r="AD10" s="625"/>
      <c r="AE10" s="188"/>
      <c r="AF10" s="188"/>
      <c r="AG10" s="185"/>
      <c r="AH10" s="182"/>
      <c r="AI10" s="625"/>
      <c r="AJ10" s="188"/>
      <c r="AK10" s="188"/>
      <c r="AL10" s="185"/>
      <c r="AM10" s="182"/>
      <c r="AN10" s="625"/>
      <c r="AO10" s="188"/>
      <c r="AP10" s="188"/>
      <c r="AQ10" s="185"/>
      <c r="AR10" s="182"/>
      <c r="AS10" s="625"/>
      <c r="AT10" s="188"/>
      <c r="AU10" s="188"/>
      <c r="AV10" s="185"/>
      <c r="AW10" s="182"/>
      <c r="AX10" s="625"/>
    </row>
    <row r="11" spans="1:50" ht="14.25" customHeight="1">
      <c r="B11" s="564"/>
      <c r="C11" s="180">
        <v>5</v>
      </c>
      <c r="D11" s="183"/>
      <c r="E11" s="180"/>
      <c r="F11" s="180"/>
      <c r="G11" s="185"/>
      <c r="H11" s="625"/>
      <c r="I11" s="186"/>
      <c r="J11" s="186"/>
      <c r="K11" s="187"/>
      <c r="L11" s="626"/>
      <c r="M11" s="186"/>
      <c r="N11" s="564"/>
      <c r="O11" s="564"/>
      <c r="P11" s="188"/>
      <c r="Q11" s="188"/>
      <c r="R11" s="185"/>
      <c r="S11" s="182"/>
      <c r="T11" s="625"/>
      <c r="U11" s="188"/>
      <c r="V11" s="188"/>
      <c r="W11" s="185"/>
      <c r="X11" s="182"/>
      <c r="Y11" s="625"/>
      <c r="Z11" s="188"/>
      <c r="AA11" s="188"/>
      <c r="AB11" s="185"/>
      <c r="AC11" s="182"/>
      <c r="AD11" s="625"/>
      <c r="AE11" s="188"/>
      <c r="AF11" s="188"/>
      <c r="AG11" s="185"/>
      <c r="AH11" s="182"/>
      <c r="AI11" s="625"/>
      <c r="AJ11" s="188"/>
      <c r="AK11" s="188"/>
      <c r="AL11" s="185"/>
      <c r="AM11" s="182"/>
      <c r="AN11" s="625"/>
      <c r="AO11" s="188"/>
      <c r="AP11" s="188"/>
      <c r="AQ11" s="185"/>
      <c r="AR11" s="182"/>
      <c r="AS11" s="625"/>
      <c r="AT11" s="188"/>
      <c r="AU11" s="188"/>
      <c r="AV11" s="185"/>
      <c r="AW11" s="182"/>
      <c r="AX11" s="625"/>
    </row>
    <row r="12" spans="1:50" ht="14.25" customHeight="1">
      <c r="B12" s="564"/>
      <c r="C12" s="180">
        <v>6</v>
      </c>
      <c r="D12" s="183"/>
      <c r="E12" s="180"/>
      <c r="F12" s="180"/>
      <c r="G12" s="185"/>
      <c r="H12" s="625"/>
      <c r="I12" s="186"/>
      <c r="J12" s="186"/>
      <c r="K12" s="187"/>
      <c r="L12" s="626"/>
      <c r="M12" s="186"/>
      <c r="N12" s="564"/>
      <c r="O12" s="564"/>
      <c r="P12" s="188"/>
      <c r="Q12" s="188"/>
      <c r="R12" s="185"/>
      <c r="S12" s="182"/>
      <c r="T12" s="625"/>
      <c r="U12" s="188"/>
      <c r="V12" s="188"/>
      <c r="W12" s="185"/>
      <c r="X12" s="182"/>
      <c r="Y12" s="625"/>
      <c r="Z12" s="188"/>
      <c r="AA12" s="188"/>
      <c r="AB12" s="185"/>
      <c r="AC12" s="182"/>
      <c r="AD12" s="625"/>
      <c r="AE12" s="188"/>
      <c r="AF12" s="188"/>
      <c r="AG12" s="185"/>
      <c r="AH12" s="182"/>
      <c r="AI12" s="625"/>
      <c r="AJ12" s="188"/>
      <c r="AK12" s="188"/>
      <c r="AL12" s="185"/>
      <c r="AM12" s="182"/>
      <c r="AN12" s="625"/>
      <c r="AO12" s="188"/>
      <c r="AP12" s="188"/>
      <c r="AQ12" s="185"/>
      <c r="AR12" s="182"/>
      <c r="AS12" s="625"/>
      <c r="AT12" s="188"/>
      <c r="AU12" s="188"/>
      <c r="AV12" s="185"/>
      <c r="AW12" s="182"/>
      <c r="AX12" s="625"/>
    </row>
    <row r="13" spans="1:50" ht="14.25" customHeight="1">
      <c r="B13" s="564"/>
      <c r="C13" s="180">
        <v>7</v>
      </c>
      <c r="D13" s="183"/>
      <c r="E13" s="180"/>
      <c r="F13" s="180"/>
      <c r="G13" s="185"/>
      <c r="H13" s="625"/>
      <c r="I13" s="186"/>
      <c r="J13" s="186"/>
      <c r="K13" s="187"/>
      <c r="L13" s="626"/>
      <c r="M13" s="186"/>
      <c r="N13" s="564"/>
      <c r="O13" s="564"/>
      <c r="P13" s="188"/>
      <c r="Q13" s="188"/>
      <c r="R13" s="185"/>
      <c r="S13" s="182"/>
      <c r="T13" s="625"/>
      <c r="U13" s="188"/>
      <c r="V13" s="188"/>
      <c r="W13" s="185"/>
      <c r="X13" s="182"/>
      <c r="Y13" s="625"/>
      <c r="Z13" s="188"/>
      <c r="AA13" s="188"/>
      <c r="AB13" s="185"/>
      <c r="AC13" s="182"/>
      <c r="AD13" s="625"/>
      <c r="AE13" s="188"/>
      <c r="AF13" s="188"/>
      <c r="AG13" s="185"/>
      <c r="AH13" s="182"/>
      <c r="AI13" s="625"/>
      <c r="AJ13" s="188"/>
      <c r="AK13" s="188"/>
      <c r="AL13" s="185"/>
      <c r="AM13" s="182"/>
      <c r="AN13" s="625"/>
      <c r="AO13" s="188"/>
      <c r="AP13" s="188"/>
      <c r="AQ13" s="185"/>
      <c r="AR13" s="182"/>
      <c r="AS13" s="625"/>
      <c r="AT13" s="188"/>
      <c r="AU13" s="188"/>
      <c r="AV13" s="185"/>
      <c r="AW13" s="182"/>
      <c r="AX13" s="625"/>
    </row>
    <row r="14" spans="1:50" ht="14.25" customHeight="1">
      <c r="B14" s="564"/>
      <c r="C14" s="180">
        <v>8</v>
      </c>
      <c r="D14" s="183"/>
      <c r="E14" s="180"/>
      <c r="F14" s="180"/>
      <c r="G14" s="185"/>
      <c r="H14" s="625"/>
      <c r="I14" s="186"/>
      <c r="J14" s="186"/>
      <c r="K14" s="187"/>
      <c r="L14" s="626"/>
      <c r="M14" s="186"/>
      <c r="N14" s="564"/>
      <c r="O14" s="564"/>
      <c r="P14" s="188"/>
      <c r="Q14" s="188"/>
      <c r="R14" s="185"/>
      <c r="S14" s="182"/>
      <c r="T14" s="625"/>
      <c r="U14" s="188"/>
      <c r="V14" s="188"/>
      <c r="W14" s="185"/>
      <c r="X14" s="182"/>
      <c r="Y14" s="625"/>
      <c r="Z14" s="188"/>
      <c r="AA14" s="188"/>
      <c r="AB14" s="185"/>
      <c r="AC14" s="182"/>
      <c r="AD14" s="625"/>
      <c r="AE14" s="188"/>
      <c r="AF14" s="188"/>
      <c r="AG14" s="185"/>
      <c r="AH14" s="182"/>
      <c r="AI14" s="625"/>
      <c r="AJ14" s="188"/>
      <c r="AK14" s="188"/>
      <c r="AL14" s="185"/>
      <c r="AM14" s="182"/>
      <c r="AN14" s="625"/>
      <c r="AO14" s="188"/>
      <c r="AP14" s="188"/>
      <c r="AQ14" s="185"/>
      <c r="AR14" s="182"/>
      <c r="AS14" s="625"/>
      <c r="AT14" s="188"/>
      <c r="AU14" s="188"/>
      <c r="AV14" s="185"/>
      <c r="AW14" s="182"/>
      <c r="AX14" s="625"/>
    </row>
    <row r="15" spans="1:50" ht="14.25" customHeight="1">
      <c r="B15" s="564"/>
      <c r="C15" s="180">
        <v>9</v>
      </c>
      <c r="D15" s="183"/>
      <c r="E15" s="180"/>
      <c r="F15" s="180"/>
      <c r="G15" s="185"/>
      <c r="H15" s="625"/>
      <c r="I15" s="186"/>
      <c r="J15" s="186"/>
      <c r="K15" s="187"/>
      <c r="L15" s="626"/>
      <c r="M15" s="186"/>
      <c r="N15" s="564"/>
      <c r="O15" s="564"/>
      <c r="P15" s="188"/>
      <c r="Q15" s="188"/>
      <c r="R15" s="185"/>
      <c r="S15" s="182"/>
      <c r="T15" s="625"/>
      <c r="U15" s="188"/>
      <c r="V15" s="188"/>
      <c r="W15" s="185"/>
      <c r="X15" s="182"/>
      <c r="Y15" s="625"/>
      <c r="Z15" s="188"/>
      <c r="AA15" s="188"/>
      <c r="AB15" s="185"/>
      <c r="AC15" s="182"/>
      <c r="AD15" s="625"/>
      <c r="AE15" s="188"/>
      <c r="AF15" s="188"/>
      <c r="AG15" s="185"/>
      <c r="AH15" s="182"/>
      <c r="AI15" s="625"/>
      <c r="AJ15" s="188"/>
      <c r="AK15" s="188"/>
      <c r="AL15" s="185"/>
      <c r="AM15" s="182"/>
      <c r="AN15" s="625"/>
      <c r="AO15" s="188"/>
      <c r="AP15" s="188"/>
      <c r="AQ15" s="185"/>
      <c r="AR15" s="182"/>
      <c r="AS15" s="625"/>
      <c r="AT15" s="188"/>
      <c r="AU15" s="188"/>
      <c r="AV15" s="185"/>
      <c r="AW15" s="182"/>
      <c r="AX15" s="625"/>
    </row>
    <row r="16" spans="1:50" ht="14.25" customHeight="1">
      <c r="B16" s="564"/>
      <c r="C16" s="180">
        <v>10</v>
      </c>
      <c r="D16" s="183"/>
      <c r="E16" s="180"/>
      <c r="F16" s="180"/>
      <c r="G16" s="185"/>
      <c r="H16" s="625"/>
      <c r="I16" s="186"/>
      <c r="J16" s="186"/>
      <c r="K16" s="187"/>
      <c r="L16" s="626"/>
      <c r="M16" s="186"/>
      <c r="N16" s="564"/>
      <c r="O16" s="564"/>
      <c r="P16" s="188"/>
      <c r="Q16" s="188"/>
      <c r="R16" s="185"/>
      <c r="S16" s="182"/>
      <c r="T16" s="625"/>
      <c r="U16" s="188"/>
      <c r="V16" s="188"/>
      <c r="W16" s="185"/>
      <c r="X16" s="182"/>
      <c r="Y16" s="625"/>
      <c r="Z16" s="188"/>
      <c r="AA16" s="188"/>
      <c r="AB16" s="185"/>
      <c r="AC16" s="182"/>
      <c r="AD16" s="625"/>
      <c r="AE16" s="188"/>
      <c r="AF16" s="188"/>
      <c r="AG16" s="185"/>
      <c r="AH16" s="182"/>
      <c r="AI16" s="625"/>
      <c r="AJ16" s="188"/>
      <c r="AK16" s="188"/>
      <c r="AL16" s="185"/>
      <c r="AM16" s="182"/>
      <c r="AN16" s="625"/>
      <c r="AO16" s="188"/>
      <c r="AP16" s="188"/>
      <c r="AQ16" s="185"/>
      <c r="AR16" s="182"/>
      <c r="AS16" s="625"/>
      <c r="AT16" s="188"/>
      <c r="AU16" s="188"/>
      <c r="AV16" s="185"/>
      <c r="AW16" s="182"/>
      <c r="AX16" s="625"/>
    </row>
    <row r="17" spans="2:50" ht="14.25" customHeight="1">
      <c r="B17" s="564"/>
      <c r="C17" s="180">
        <v>11</v>
      </c>
      <c r="D17" s="183"/>
      <c r="E17" s="180"/>
      <c r="F17" s="180"/>
      <c r="G17" s="185"/>
      <c r="H17" s="625"/>
      <c r="I17" s="186"/>
      <c r="J17" s="186"/>
      <c r="K17" s="187"/>
      <c r="L17" s="626"/>
      <c r="M17" s="186"/>
      <c r="N17" s="564"/>
      <c r="O17" s="564"/>
      <c r="P17" s="188"/>
      <c r="Q17" s="188"/>
      <c r="R17" s="185"/>
      <c r="S17" s="182"/>
      <c r="T17" s="625"/>
      <c r="U17" s="188"/>
      <c r="V17" s="188"/>
      <c r="W17" s="185"/>
      <c r="X17" s="182"/>
      <c r="Y17" s="625"/>
      <c r="Z17" s="188"/>
      <c r="AA17" s="188"/>
      <c r="AB17" s="185"/>
      <c r="AC17" s="182"/>
      <c r="AD17" s="625"/>
      <c r="AE17" s="188"/>
      <c r="AF17" s="188"/>
      <c r="AG17" s="185"/>
      <c r="AH17" s="182"/>
      <c r="AI17" s="625"/>
      <c r="AJ17" s="188"/>
      <c r="AK17" s="188"/>
      <c r="AL17" s="185"/>
      <c r="AM17" s="182"/>
      <c r="AN17" s="625"/>
      <c r="AO17" s="188"/>
      <c r="AP17" s="188"/>
      <c r="AQ17" s="185"/>
      <c r="AR17" s="182"/>
      <c r="AS17" s="625"/>
      <c r="AT17" s="188"/>
      <c r="AU17" s="188"/>
      <c r="AV17" s="185"/>
      <c r="AW17" s="182"/>
      <c r="AX17" s="625"/>
    </row>
    <row r="18" spans="2:50" ht="14.25" customHeight="1">
      <c r="B18" s="564"/>
      <c r="C18" s="180">
        <v>12</v>
      </c>
      <c r="D18" s="183"/>
      <c r="E18" s="180"/>
      <c r="F18" s="180"/>
      <c r="G18" s="185"/>
      <c r="H18" s="625"/>
      <c r="I18" s="186"/>
      <c r="J18" s="186"/>
      <c r="K18" s="187"/>
      <c r="L18" s="626"/>
      <c r="M18" s="186"/>
      <c r="N18" s="564"/>
      <c r="O18" s="564"/>
      <c r="P18" s="188"/>
      <c r="Q18" s="188"/>
      <c r="R18" s="185"/>
      <c r="S18" s="182"/>
      <c r="T18" s="625"/>
      <c r="U18" s="188"/>
      <c r="V18" s="188"/>
      <c r="W18" s="185"/>
      <c r="X18" s="182"/>
      <c r="Y18" s="625"/>
      <c r="Z18" s="188"/>
      <c r="AA18" s="188"/>
      <c r="AB18" s="185"/>
      <c r="AC18" s="182"/>
      <c r="AD18" s="625"/>
      <c r="AE18" s="188"/>
      <c r="AF18" s="188"/>
      <c r="AG18" s="185"/>
      <c r="AH18" s="182"/>
      <c r="AI18" s="625"/>
      <c r="AJ18" s="188"/>
      <c r="AK18" s="188"/>
      <c r="AL18" s="185"/>
      <c r="AM18" s="182"/>
      <c r="AN18" s="625"/>
      <c r="AO18" s="188"/>
      <c r="AP18" s="188"/>
      <c r="AQ18" s="185"/>
      <c r="AR18" s="182"/>
      <c r="AS18" s="625"/>
      <c r="AT18" s="188"/>
      <c r="AU18" s="188"/>
      <c r="AV18" s="185"/>
      <c r="AW18" s="182"/>
      <c r="AX18" s="625"/>
    </row>
    <row r="19" spans="2:50" ht="14.25" customHeight="1">
      <c r="B19" s="564"/>
      <c r="C19" s="180">
        <v>13</v>
      </c>
      <c r="D19" s="183"/>
      <c r="E19" s="180"/>
      <c r="F19" s="180"/>
      <c r="G19" s="185"/>
      <c r="H19" s="625"/>
      <c r="I19" s="186"/>
      <c r="J19" s="186"/>
      <c r="K19" s="187"/>
      <c r="L19" s="626"/>
      <c r="M19" s="186"/>
      <c r="N19" s="564"/>
      <c r="O19" s="564"/>
      <c r="P19" s="188"/>
      <c r="Q19" s="188"/>
      <c r="R19" s="185"/>
      <c r="S19" s="182"/>
      <c r="T19" s="625"/>
      <c r="U19" s="188"/>
      <c r="V19" s="188"/>
      <c r="W19" s="185"/>
      <c r="X19" s="182"/>
      <c r="Y19" s="625"/>
      <c r="Z19" s="188"/>
      <c r="AA19" s="188"/>
      <c r="AB19" s="185"/>
      <c r="AC19" s="182"/>
      <c r="AD19" s="625"/>
      <c r="AE19" s="188"/>
      <c r="AF19" s="188"/>
      <c r="AG19" s="185"/>
      <c r="AH19" s="182"/>
      <c r="AI19" s="625"/>
      <c r="AJ19" s="188"/>
      <c r="AK19" s="188"/>
      <c r="AL19" s="185"/>
      <c r="AM19" s="182"/>
      <c r="AN19" s="625"/>
      <c r="AO19" s="188"/>
      <c r="AP19" s="188"/>
      <c r="AQ19" s="185"/>
      <c r="AR19" s="182"/>
      <c r="AS19" s="625"/>
      <c r="AT19" s="188"/>
      <c r="AU19" s="188"/>
      <c r="AV19" s="185"/>
      <c r="AW19" s="182"/>
      <c r="AX19" s="625"/>
    </row>
    <row r="20" spans="2:50" ht="14.25" customHeight="1">
      <c r="B20" s="564"/>
      <c r="C20" s="180">
        <v>14</v>
      </c>
      <c r="D20" s="183"/>
      <c r="E20" s="180"/>
      <c r="F20" s="180"/>
      <c r="G20" s="185"/>
      <c r="H20" s="625"/>
      <c r="I20" s="186"/>
      <c r="J20" s="186"/>
      <c r="K20" s="187"/>
      <c r="L20" s="626"/>
      <c r="M20" s="186"/>
      <c r="N20" s="564"/>
      <c r="O20" s="564"/>
      <c r="P20" s="188"/>
      <c r="Q20" s="188"/>
      <c r="R20" s="185"/>
      <c r="S20" s="182"/>
      <c r="T20" s="625"/>
      <c r="U20" s="188"/>
      <c r="V20" s="188"/>
      <c r="W20" s="185"/>
      <c r="X20" s="182"/>
      <c r="Y20" s="625"/>
      <c r="Z20" s="188"/>
      <c r="AA20" s="188"/>
      <c r="AB20" s="185"/>
      <c r="AC20" s="182"/>
      <c r="AD20" s="625"/>
      <c r="AE20" s="188"/>
      <c r="AF20" s="188"/>
      <c r="AG20" s="185"/>
      <c r="AH20" s="182"/>
      <c r="AI20" s="625"/>
      <c r="AJ20" s="188"/>
      <c r="AK20" s="188"/>
      <c r="AL20" s="185"/>
      <c r="AM20" s="182"/>
      <c r="AN20" s="625"/>
      <c r="AO20" s="188"/>
      <c r="AP20" s="188"/>
      <c r="AQ20" s="185"/>
      <c r="AR20" s="182"/>
      <c r="AS20" s="625"/>
      <c r="AT20" s="188"/>
      <c r="AU20" s="188"/>
      <c r="AV20" s="185"/>
      <c r="AW20" s="182"/>
      <c r="AX20" s="625"/>
    </row>
    <row r="21" spans="2:50" ht="14.25" customHeight="1">
      <c r="B21" s="564"/>
      <c r="C21" s="180">
        <v>15</v>
      </c>
      <c r="D21" s="183"/>
      <c r="E21" s="180"/>
      <c r="F21" s="180"/>
      <c r="G21" s="185"/>
      <c r="H21" s="625"/>
      <c r="I21" s="186"/>
      <c r="J21" s="186"/>
      <c r="K21" s="187"/>
      <c r="L21" s="626"/>
      <c r="M21" s="186"/>
      <c r="N21" s="564"/>
      <c r="O21" s="564"/>
      <c r="P21" s="188"/>
      <c r="Q21" s="188"/>
      <c r="R21" s="185"/>
      <c r="S21" s="182"/>
      <c r="T21" s="625"/>
      <c r="U21" s="188"/>
      <c r="V21" s="188"/>
      <c r="W21" s="185"/>
      <c r="X21" s="182"/>
      <c r="Y21" s="625"/>
      <c r="Z21" s="188"/>
      <c r="AA21" s="188"/>
      <c r="AB21" s="185"/>
      <c r="AC21" s="182"/>
      <c r="AD21" s="625"/>
      <c r="AE21" s="188"/>
      <c r="AF21" s="188"/>
      <c r="AG21" s="185"/>
      <c r="AH21" s="182"/>
      <c r="AI21" s="625"/>
      <c r="AJ21" s="188"/>
      <c r="AK21" s="188"/>
      <c r="AL21" s="185"/>
      <c r="AM21" s="182"/>
      <c r="AN21" s="625"/>
      <c r="AO21" s="188"/>
      <c r="AP21" s="188"/>
      <c r="AQ21" s="185"/>
      <c r="AR21" s="182"/>
      <c r="AS21" s="625"/>
      <c r="AT21" s="188"/>
      <c r="AU21" s="188"/>
      <c r="AV21" s="185"/>
      <c r="AW21" s="182"/>
      <c r="AX21" s="625"/>
    </row>
    <row r="22" spans="2:50" ht="14.25" customHeight="1">
      <c r="B22" s="646" t="s">
        <v>641</v>
      </c>
      <c r="C22" s="642"/>
      <c r="D22" s="642"/>
      <c r="E22" s="642"/>
      <c r="F22" s="642"/>
      <c r="G22" s="642"/>
      <c r="H22" s="642"/>
      <c r="I22" s="642"/>
      <c r="J22" s="642"/>
      <c r="K22" s="642"/>
      <c r="L22" s="642"/>
      <c r="M22" s="643"/>
      <c r="N22" s="575" t="s">
        <v>377</v>
      </c>
      <c r="O22" s="575" t="s">
        <v>105</v>
      </c>
      <c r="P22" s="655">
        <v>46084</v>
      </c>
      <c r="Q22" s="656"/>
      <c r="R22" s="656"/>
      <c r="S22" s="656"/>
      <c r="T22" s="656"/>
      <c r="U22" s="657">
        <v>46085</v>
      </c>
      <c r="V22" s="658"/>
      <c r="W22" s="658"/>
      <c r="X22" s="658"/>
      <c r="Y22" s="658"/>
      <c r="Z22" s="655">
        <v>46086</v>
      </c>
      <c r="AA22" s="656"/>
      <c r="AB22" s="656"/>
      <c r="AC22" s="656"/>
      <c r="AD22" s="656"/>
      <c r="AE22" s="657">
        <v>46087</v>
      </c>
      <c r="AF22" s="658"/>
      <c r="AG22" s="658"/>
      <c r="AH22" s="658"/>
      <c r="AI22" s="658"/>
      <c r="AJ22" s="647">
        <v>46088</v>
      </c>
      <c r="AK22" s="648"/>
      <c r="AL22" s="648"/>
      <c r="AM22" s="648"/>
      <c r="AN22" s="649"/>
      <c r="AO22" s="657">
        <v>46089</v>
      </c>
      <c r="AP22" s="658"/>
      <c r="AQ22" s="658"/>
      <c r="AR22" s="658"/>
      <c r="AS22" s="658"/>
      <c r="AT22" s="647">
        <v>46090</v>
      </c>
      <c r="AU22" s="648"/>
      <c r="AV22" s="648"/>
      <c r="AW22" s="648"/>
      <c r="AX22" s="649"/>
    </row>
    <row r="23" spans="2:50" ht="14.25" customHeight="1">
      <c r="B23" s="644"/>
      <c r="C23" s="644"/>
      <c r="D23" s="644"/>
      <c r="E23" s="644"/>
      <c r="F23" s="644"/>
      <c r="G23" s="644"/>
      <c r="H23" s="644"/>
      <c r="I23" s="644"/>
      <c r="J23" s="644"/>
      <c r="K23" s="644"/>
      <c r="L23" s="644"/>
      <c r="M23" s="645"/>
      <c r="N23" s="577"/>
      <c r="O23" s="577"/>
      <c r="P23" s="650">
        <v>46084</v>
      </c>
      <c r="Q23" s="650"/>
      <c r="R23" s="650"/>
      <c r="S23" s="650"/>
      <c r="T23" s="650"/>
      <c r="U23" s="651">
        <v>46085</v>
      </c>
      <c r="V23" s="651"/>
      <c r="W23" s="651"/>
      <c r="X23" s="651"/>
      <c r="Y23" s="651"/>
      <c r="Z23" s="650">
        <v>46086</v>
      </c>
      <c r="AA23" s="650"/>
      <c r="AB23" s="650"/>
      <c r="AC23" s="650"/>
      <c r="AD23" s="650"/>
      <c r="AE23" s="651">
        <v>46087</v>
      </c>
      <c r="AF23" s="651"/>
      <c r="AG23" s="651"/>
      <c r="AH23" s="651"/>
      <c r="AI23" s="651"/>
      <c r="AJ23" s="652">
        <v>46088</v>
      </c>
      <c r="AK23" s="653"/>
      <c r="AL23" s="653"/>
      <c r="AM23" s="653"/>
      <c r="AN23" s="654"/>
      <c r="AO23" s="651">
        <v>46089</v>
      </c>
      <c r="AP23" s="651"/>
      <c r="AQ23" s="651"/>
      <c r="AR23" s="651"/>
      <c r="AS23" s="651"/>
      <c r="AT23" s="652">
        <v>46090</v>
      </c>
      <c r="AU23" s="653"/>
      <c r="AV23" s="653"/>
      <c r="AW23" s="653"/>
      <c r="AX23" s="654"/>
    </row>
    <row r="24" spans="2:50" ht="14.25" customHeight="1">
      <c r="B24" s="564" t="s">
        <v>164</v>
      </c>
      <c r="C24" s="564" t="s">
        <v>159</v>
      </c>
      <c r="D24" s="564"/>
      <c r="E24" s="564" t="s">
        <v>160</v>
      </c>
      <c r="F24" s="564"/>
      <c r="G24" s="564"/>
      <c r="H24" s="564" t="s">
        <v>165</v>
      </c>
      <c r="I24" s="628" t="s">
        <v>378</v>
      </c>
      <c r="J24" s="628"/>
      <c r="K24" s="628"/>
      <c r="L24" s="628" t="s">
        <v>165</v>
      </c>
      <c r="M24" s="628" t="s">
        <v>167</v>
      </c>
      <c r="N24" s="564"/>
      <c r="O24" s="564" t="s">
        <v>166</v>
      </c>
      <c r="P24" s="564" t="s">
        <v>162</v>
      </c>
      <c r="Q24" s="564"/>
      <c r="R24" s="564"/>
      <c r="S24" s="564"/>
      <c r="T24" s="564" t="s">
        <v>165</v>
      </c>
      <c r="U24" s="564" t="s">
        <v>162</v>
      </c>
      <c r="V24" s="564"/>
      <c r="W24" s="564"/>
      <c r="X24" s="564"/>
      <c r="Y24" s="564" t="s">
        <v>165</v>
      </c>
      <c r="Z24" s="564" t="s">
        <v>162</v>
      </c>
      <c r="AA24" s="564"/>
      <c r="AB24" s="564"/>
      <c r="AC24" s="564"/>
      <c r="AD24" s="564" t="s">
        <v>165</v>
      </c>
      <c r="AE24" s="564" t="s">
        <v>162</v>
      </c>
      <c r="AF24" s="564"/>
      <c r="AG24" s="564"/>
      <c r="AH24" s="564"/>
      <c r="AI24" s="564" t="s">
        <v>165</v>
      </c>
      <c r="AJ24" s="564" t="s">
        <v>162</v>
      </c>
      <c r="AK24" s="564"/>
      <c r="AL24" s="564"/>
      <c r="AM24" s="564"/>
      <c r="AN24" s="564" t="s">
        <v>165</v>
      </c>
      <c r="AO24" s="564" t="s">
        <v>162</v>
      </c>
      <c r="AP24" s="564"/>
      <c r="AQ24" s="564"/>
      <c r="AR24" s="564"/>
      <c r="AS24" s="564" t="s">
        <v>165</v>
      </c>
      <c r="AT24" s="564" t="s">
        <v>162</v>
      </c>
      <c r="AU24" s="564"/>
      <c r="AV24" s="564"/>
      <c r="AW24" s="564"/>
      <c r="AX24" s="564" t="s">
        <v>165</v>
      </c>
    </row>
    <row r="25" spans="2:50" ht="14.25" customHeight="1">
      <c r="B25" s="564"/>
      <c r="C25" s="564"/>
      <c r="D25" s="564"/>
      <c r="E25" s="564" t="s">
        <v>379</v>
      </c>
      <c r="F25" s="564"/>
      <c r="G25" s="564"/>
      <c r="H25" s="564"/>
      <c r="I25" s="628" t="s">
        <v>379</v>
      </c>
      <c r="J25" s="628"/>
      <c r="K25" s="628"/>
      <c r="L25" s="628"/>
      <c r="M25" s="628"/>
      <c r="N25" s="564"/>
      <c r="O25" s="564"/>
      <c r="P25" s="564" t="s">
        <v>380</v>
      </c>
      <c r="Q25" s="564"/>
      <c r="R25" s="564"/>
      <c r="S25" s="564"/>
      <c r="T25" s="564"/>
      <c r="U25" s="564" t="s">
        <v>380</v>
      </c>
      <c r="V25" s="564"/>
      <c r="W25" s="564"/>
      <c r="X25" s="564"/>
      <c r="Y25" s="564"/>
      <c r="Z25" s="564" t="s">
        <v>380</v>
      </c>
      <c r="AA25" s="564"/>
      <c r="AB25" s="564"/>
      <c r="AC25" s="564"/>
      <c r="AD25" s="564"/>
      <c r="AE25" s="564" t="s">
        <v>380</v>
      </c>
      <c r="AF25" s="564"/>
      <c r="AG25" s="564"/>
      <c r="AH25" s="564"/>
      <c r="AI25" s="564"/>
      <c r="AJ25" s="564" t="s">
        <v>380</v>
      </c>
      <c r="AK25" s="564"/>
      <c r="AL25" s="564"/>
      <c r="AM25" s="564"/>
      <c r="AN25" s="564"/>
      <c r="AO25" s="564" t="s">
        <v>380</v>
      </c>
      <c r="AP25" s="564"/>
      <c r="AQ25" s="564"/>
      <c r="AR25" s="564"/>
      <c r="AS25" s="564"/>
      <c r="AT25" s="564" t="s">
        <v>380</v>
      </c>
      <c r="AU25" s="564"/>
      <c r="AV25" s="564"/>
      <c r="AW25" s="564"/>
      <c r="AX25" s="564"/>
    </row>
    <row r="26" spans="2:50" ht="14.25" customHeight="1">
      <c r="B26" s="564"/>
      <c r="C26" s="564"/>
      <c r="D26" s="564"/>
      <c r="E26" s="180" t="s">
        <v>161</v>
      </c>
      <c r="F26" s="180" t="s">
        <v>381</v>
      </c>
      <c r="G26" s="180" t="s">
        <v>163</v>
      </c>
      <c r="H26" s="564"/>
      <c r="I26" s="181" t="s">
        <v>161</v>
      </c>
      <c r="J26" s="181" t="s">
        <v>381</v>
      </c>
      <c r="K26" s="181" t="s">
        <v>163</v>
      </c>
      <c r="L26" s="628"/>
      <c r="M26" s="628"/>
      <c r="N26" s="564"/>
      <c r="O26" s="564"/>
      <c r="P26" s="180" t="s">
        <v>161</v>
      </c>
      <c r="Q26" s="180" t="s">
        <v>381</v>
      </c>
      <c r="R26" s="180" t="s">
        <v>163</v>
      </c>
      <c r="S26" s="182" t="s">
        <v>167</v>
      </c>
      <c r="T26" s="564"/>
      <c r="U26" s="180" t="s">
        <v>161</v>
      </c>
      <c r="V26" s="180" t="s">
        <v>381</v>
      </c>
      <c r="W26" s="180" t="s">
        <v>163</v>
      </c>
      <c r="X26" s="182" t="s">
        <v>167</v>
      </c>
      <c r="Y26" s="564"/>
      <c r="Z26" s="180" t="s">
        <v>161</v>
      </c>
      <c r="AA26" s="180" t="s">
        <v>381</v>
      </c>
      <c r="AB26" s="180" t="s">
        <v>163</v>
      </c>
      <c r="AC26" s="182" t="s">
        <v>167</v>
      </c>
      <c r="AD26" s="564"/>
      <c r="AE26" s="180" t="s">
        <v>161</v>
      </c>
      <c r="AF26" s="180" t="s">
        <v>381</v>
      </c>
      <c r="AG26" s="180" t="s">
        <v>163</v>
      </c>
      <c r="AH26" s="182" t="s">
        <v>167</v>
      </c>
      <c r="AI26" s="564"/>
      <c r="AJ26" s="180" t="s">
        <v>161</v>
      </c>
      <c r="AK26" s="180" t="s">
        <v>381</v>
      </c>
      <c r="AL26" s="180" t="s">
        <v>163</v>
      </c>
      <c r="AM26" s="182" t="s">
        <v>167</v>
      </c>
      <c r="AN26" s="564"/>
      <c r="AO26" s="180" t="s">
        <v>161</v>
      </c>
      <c r="AP26" s="180" t="s">
        <v>381</v>
      </c>
      <c r="AQ26" s="180" t="s">
        <v>163</v>
      </c>
      <c r="AR26" s="182" t="s">
        <v>167</v>
      </c>
      <c r="AS26" s="564"/>
      <c r="AT26" s="180" t="s">
        <v>161</v>
      </c>
      <c r="AU26" s="180" t="s">
        <v>381</v>
      </c>
      <c r="AV26" s="180" t="s">
        <v>163</v>
      </c>
      <c r="AW26" s="182" t="s">
        <v>167</v>
      </c>
      <c r="AX26" s="564"/>
    </row>
    <row r="27" spans="2:50" ht="14.25" customHeight="1">
      <c r="B27" s="565" t="s">
        <v>456</v>
      </c>
      <c r="C27" s="180">
        <v>1</v>
      </c>
      <c r="D27" s="183" t="s">
        <v>356</v>
      </c>
      <c r="E27" s="180">
        <v>21</v>
      </c>
      <c r="F27" s="180">
        <v>2790</v>
      </c>
      <c r="G27" s="185">
        <f t="shared" ref="G27:G28" si="21">F27/E27</f>
        <v>132.85714285714286</v>
      </c>
      <c r="H27" s="625">
        <f>AVERAGE(G27:G41)</f>
        <v>366.42857142857144</v>
      </c>
      <c r="I27" s="186">
        <f>AVERAGE(P27,U27,Z27,AE27,AJ27,AO27,AT27)</f>
        <v>22.142857142857142</v>
      </c>
      <c r="J27" s="186">
        <f>AVERAGE(Q27,V27,AA27,AF27,AK27,AP27,AU27)</f>
        <v>2655.1279573822417</v>
      </c>
      <c r="K27" s="187">
        <f>AVERAGE(R27,W27,AB27,AG27,AL27,AQ27,AV27)</f>
        <v>119.8627617492419</v>
      </c>
      <c r="L27" s="626">
        <f>IFERROR(AVERAGE(K27:K41),"-")</f>
        <v>330.85324673676564</v>
      </c>
      <c r="M27" s="186">
        <f>RANK(K27, K$27:$K$41)</f>
        <v>2</v>
      </c>
      <c r="N27" s="564"/>
      <c r="O27" s="564"/>
      <c r="P27" s="188">
        <v>22</v>
      </c>
      <c r="Q27" s="188">
        <v>2627.2300469483571</v>
      </c>
      <c r="R27" s="185">
        <f>IFERROR(Q27/P27,"")</f>
        <v>119.41954758856168</v>
      </c>
      <c r="S27" s="182">
        <f>RANK(R27, R$27:R$41)</f>
        <v>2</v>
      </c>
      <c r="T27" s="625">
        <f>AVERAGE(R27:R41)</f>
        <v>330.51722721043058</v>
      </c>
      <c r="U27" s="188">
        <v>22</v>
      </c>
      <c r="V27" s="188">
        <v>2626.9714285714258</v>
      </c>
      <c r="W27" s="185">
        <f t="shared" ref="W27:W28" si="22">IFERROR(V27/U27,"")</f>
        <v>119.40779220779208</v>
      </c>
      <c r="X27" s="182">
        <f>RANK(W27, W$27:W$41)</f>
        <v>2</v>
      </c>
      <c r="Y27" s="625">
        <f>AVERAGE(W27:W41)</f>
        <v>330.62550627338771</v>
      </c>
      <c r="Z27" s="188">
        <v>23</v>
      </c>
      <c r="AA27" s="188">
        <v>2787.8293135436033</v>
      </c>
      <c r="AB27" s="185">
        <f t="shared" ref="AB27:AB28" si="23">IFERROR(AA27/Z27,"")</f>
        <v>121.20997015406971</v>
      </c>
      <c r="AC27" s="182">
        <f>RANK(AB27, AB$27:AB$41)</f>
        <v>2</v>
      </c>
      <c r="AD27" s="625">
        <f>AVERAGE(AB27:AB41)</f>
        <v>331.50909466607538</v>
      </c>
      <c r="AE27" s="188">
        <v>23</v>
      </c>
      <c r="AF27" s="188">
        <v>2788.0794701986729</v>
      </c>
      <c r="AG27" s="185">
        <f>IFERROR(AF27/AE27,"")</f>
        <v>121.22084653037709</v>
      </c>
      <c r="AH27" s="182">
        <f>RANK(AG27, AG$27:AG$41)</f>
        <v>2</v>
      </c>
      <c r="AI27" s="625">
        <f>AVERAGE(AG27:AG41)</f>
        <v>331.56968739133811</v>
      </c>
      <c r="AJ27" s="188">
        <v>23</v>
      </c>
      <c r="AK27" s="188">
        <v>2787.378640776702</v>
      </c>
      <c r="AL27" s="185">
        <f t="shared" ref="AL27:AL28" si="24">IFERROR(AK27/AJ27,"")</f>
        <v>121.19037568594356</v>
      </c>
      <c r="AM27" s="182">
        <f>RANK(AL27, AL$27:AL$41)</f>
        <v>2</v>
      </c>
      <c r="AN27" s="625">
        <f>AVERAGE(AL27:AL41)</f>
        <v>331.57935073890013</v>
      </c>
      <c r="AO27" s="188">
        <v>21</v>
      </c>
      <c r="AP27" s="188">
        <v>2484.2264150943406</v>
      </c>
      <c r="AQ27" s="185">
        <f t="shared" ref="AQ27:AQ28" si="25">IFERROR(AP27/AO27,"")</f>
        <v>118.29649595687336</v>
      </c>
      <c r="AR27" s="182">
        <f>RANK(AQ27, AQ$27:AQ$41)</f>
        <v>2</v>
      </c>
      <c r="AS27" s="625">
        <f>AVERAGE(AQ27:AQ41)</f>
        <v>330.09587890112971</v>
      </c>
      <c r="AT27" s="188">
        <v>21</v>
      </c>
      <c r="AU27" s="188">
        <v>2484.1803865425895</v>
      </c>
      <c r="AV27" s="185">
        <f t="shared" ref="AV27:AV28" si="26">IFERROR(AU27/AT27,"")</f>
        <v>118.2943041210757</v>
      </c>
      <c r="AW27" s="182">
        <f>RANK(AV27, AV$27:AV$41)</f>
        <v>2</v>
      </c>
      <c r="AX27" s="625">
        <f>AVERAGE(AV27:AV41)</f>
        <v>330.07598197609764</v>
      </c>
    </row>
    <row r="28" spans="2:50" ht="14.25" customHeight="1">
      <c r="B28" s="564"/>
      <c r="C28" s="180">
        <v>2</v>
      </c>
      <c r="D28" s="183" t="s">
        <v>608</v>
      </c>
      <c r="E28" s="180">
        <v>6</v>
      </c>
      <c r="F28" s="180">
        <v>3600</v>
      </c>
      <c r="G28" s="185">
        <f t="shared" si="21"/>
        <v>600</v>
      </c>
      <c r="H28" s="625"/>
      <c r="I28" s="186">
        <f t="shared" ref="I28:K28" si="27">AVERAGE(P28,U28,Z28,AE28,AJ28,AO28,AT28)</f>
        <v>6</v>
      </c>
      <c r="J28" s="186">
        <f t="shared" si="27"/>
        <v>3251.0623903457367</v>
      </c>
      <c r="K28" s="187">
        <f t="shared" si="27"/>
        <v>541.84373172428934</v>
      </c>
      <c r="L28" s="626"/>
      <c r="M28" s="186">
        <f>RANK(K28, K$27:$K$41)</f>
        <v>1</v>
      </c>
      <c r="N28" s="564"/>
      <c r="O28" s="564"/>
      <c r="P28" s="188">
        <v>6</v>
      </c>
      <c r="Q28" s="188">
        <v>3249.6894409937968</v>
      </c>
      <c r="R28" s="185">
        <f t="shared" ref="R28" si="28">IFERROR(Q28/P28,"")</f>
        <v>541.61490683229943</v>
      </c>
      <c r="S28" s="182">
        <f>RANK(R28, R$27:R$41)</f>
        <v>1</v>
      </c>
      <c r="T28" s="625"/>
      <c r="U28" s="188">
        <v>6</v>
      </c>
      <c r="V28" s="188">
        <v>3251.0593220338997</v>
      </c>
      <c r="W28" s="185">
        <f t="shared" si="22"/>
        <v>541.84322033898331</v>
      </c>
      <c r="X28" s="182">
        <f>RANK(W28, W$27:W$41)</f>
        <v>1</v>
      </c>
      <c r="Y28" s="625"/>
      <c r="Z28" s="188">
        <v>6</v>
      </c>
      <c r="AA28" s="188">
        <v>3250.8493150684862</v>
      </c>
      <c r="AB28" s="185">
        <f t="shared" si="23"/>
        <v>541.808219178081</v>
      </c>
      <c r="AC28" s="182">
        <f>RANK(AB28, AB$27:AB$41)</f>
        <v>1</v>
      </c>
      <c r="AD28" s="625"/>
      <c r="AE28" s="188">
        <v>6</v>
      </c>
      <c r="AF28" s="188">
        <v>3251.5111695137948</v>
      </c>
      <c r="AG28" s="185">
        <f t="shared" ref="AG28" si="29">IFERROR(AF28/AE28,"")</f>
        <v>541.9185282522991</v>
      </c>
      <c r="AH28" s="182">
        <f>RANK(AG28, AG$27:AG$41)</f>
        <v>1</v>
      </c>
      <c r="AI28" s="625"/>
      <c r="AJ28" s="188">
        <v>6</v>
      </c>
      <c r="AK28" s="188">
        <v>3251.8099547511406</v>
      </c>
      <c r="AL28" s="185">
        <f t="shared" si="24"/>
        <v>541.96832579185673</v>
      </c>
      <c r="AM28" s="182">
        <f>RANK(AL28, AL$27:AL$41)</f>
        <v>1</v>
      </c>
      <c r="AN28" s="625"/>
      <c r="AO28" s="188">
        <v>6</v>
      </c>
      <c r="AP28" s="188">
        <v>3251.3715710723159</v>
      </c>
      <c r="AQ28" s="185">
        <f t="shared" si="25"/>
        <v>541.89526184538602</v>
      </c>
      <c r="AR28" s="182">
        <f>RANK(AQ28, AQ$27:AQ$41)</f>
        <v>1</v>
      </c>
      <c r="AS28" s="625"/>
      <c r="AT28" s="188">
        <v>6</v>
      </c>
      <c r="AU28" s="188">
        <v>3251.1459589867177</v>
      </c>
      <c r="AV28" s="185">
        <f t="shared" si="26"/>
        <v>541.85765983111958</v>
      </c>
      <c r="AW28" s="182">
        <f>RANK(AV28, AV$27:AV$41)</f>
        <v>1</v>
      </c>
      <c r="AX28" s="625"/>
    </row>
    <row r="29" spans="2:50" ht="14.25" customHeight="1">
      <c r="B29" s="564"/>
      <c r="C29" s="180">
        <v>3</v>
      </c>
      <c r="D29" s="183"/>
      <c r="E29" s="180"/>
      <c r="F29" s="180"/>
      <c r="G29" s="185"/>
      <c r="H29" s="625"/>
      <c r="I29" s="186"/>
      <c r="J29" s="186"/>
      <c r="K29" s="187"/>
      <c r="L29" s="626"/>
      <c r="M29" s="186"/>
      <c r="N29" s="564"/>
      <c r="O29" s="564"/>
      <c r="P29" s="188"/>
      <c r="Q29" s="188"/>
      <c r="R29" s="185"/>
      <c r="S29" s="182"/>
      <c r="T29" s="625"/>
      <c r="U29" s="188"/>
      <c r="V29" s="188"/>
      <c r="W29" s="185"/>
      <c r="X29" s="182"/>
      <c r="Y29" s="625"/>
      <c r="Z29" s="188"/>
      <c r="AA29" s="188"/>
      <c r="AB29" s="185"/>
      <c r="AC29" s="182"/>
      <c r="AD29" s="625"/>
      <c r="AE29" s="188"/>
      <c r="AF29" s="188"/>
      <c r="AG29" s="185"/>
      <c r="AH29" s="182"/>
      <c r="AI29" s="625"/>
      <c r="AJ29" s="188"/>
      <c r="AK29" s="188"/>
      <c r="AL29" s="185"/>
      <c r="AM29" s="182"/>
      <c r="AN29" s="625"/>
      <c r="AO29" s="188"/>
      <c r="AP29" s="188"/>
      <c r="AQ29" s="185"/>
      <c r="AR29" s="182"/>
      <c r="AS29" s="625"/>
      <c r="AT29" s="188"/>
      <c r="AU29" s="188"/>
      <c r="AV29" s="185"/>
      <c r="AW29" s="182"/>
      <c r="AX29" s="625"/>
    </row>
    <row r="30" spans="2:50" ht="14.25" customHeight="1">
      <c r="B30" s="564"/>
      <c r="C30" s="180">
        <v>4</v>
      </c>
      <c r="D30" s="183"/>
      <c r="E30" s="180"/>
      <c r="F30" s="180"/>
      <c r="G30" s="185"/>
      <c r="H30" s="625"/>
      <c r="I30" s="186"/>
      <c r="J30" s="186"/>
      <c r="K30" s="187"/>
      <c r="L30" s="626"/>
      <c r="M30" s="186"/>
      <c r="N30" s="564"/>
      <c r="O30" s="564"/>
      <c r="P30" s="188"/>
      <c r="Q30" s="188"/>
      <c r="R30" s="185"/>
      <c r="S30" s="182"/>
      <c r="T30" s="625"/>
      <c r="U30" s="188"/>
      <c r="V30" s="188"/>
      <c r="W30" s="185"/>
      <c r="X30" s="182"/>
      <c r="Y30" s="625"/>
      <c r="Z30" s="188"/>
      <c r="AA30" s="188"/>
      <c r="AB30" s="185"/>
      <c r="AC30" s="182"/>
      <c r="AD30" s="625"/>
      <c r="AE30" s="188"/>
      <c r="AF30" s="188"/>
      <c r="AG30" s="185"/>
      <c r="AH30" s="182"/>
      <c r="AI30" s="625"/>
      <c r="AJ30" s="188"/>
      <c r="AK30" s="188"/>
      <c r="AL30" s="185"/>
      <c r="AM30" s="182"/>
      <c r="AN30" s="625"/>
      <c r="AO30" s="188"/>
      <c r="AP30" s="188"/>
      <c r="AQ30" s="185"/>
      <c r="AR30" s="182"/>
      <c r="AS30" s="625"/>
      <c r="AT30" s="188"/>
      <c r="AU30" s="188"/>
      <c r="AV30" s="185"/>
      <c r="AW30" s="182"/>
      <c r="AX30" s="625"/>
    </row>
    <row r="31" spans="2:50" ht="14.25" customHeight="1">
      <c r="B31" s="564"/>
      <c r="C31" s="180">
        <v>5</v>
      </c>
      <c r="D31" s="183"/>
      <c r="E31" s="180"/>
      <c r="F31" s="180"/>
      <c r="G31" s="185"/>
      <c r="H31" s="625"/>
      <c r="I31" s="186"/>
      <c r="J31" s="186"/>
      <c r="K31" s="187"/>
      <c r="L31" s="626"/>
      <c r="M31" s="186"/>
      <c r="N31" s="564"/>
      <c r="O31" s="564"/>
      <c r="P31" s="188"/>
      <c r="Q31" s="188"/>
      <c r="R31" s="185"/>
      <c r="S31" s="182"/>
      <c r="T31" s="625"/>
      <c r="U31" s="188"/>
      <c r="V31" s="188"/>
      <c r="W31" s="185"/>
      <c r="X31" s="182"/>
      <c r="Y31" s="625"/>
      <c r="Z31" s="188"/>
      <c r="AA31" s="188"/>
      <c r="AB31" s="185"/>
      <c r="AC31" s="182"/>
      <c r="AD31" s="625"/>
      <c r="AE31" s="188"/>
      <c r="AF31" s="188"/>
      <c r="AG31" s="185"/>
      <c r="AH31" s="182"/>
      <c r="AI31" s="625"/>
      <c r="AJ31" s="188"/>
      <c r="AK31" s="188"/>
      <c r="AL31" s="185"/>
      <c r="AM31" s="182"/>
      <c r="AN31" s="625"/>
      <c r="AO31" s="188"/>
      <c r="AP31" s="188"/>
      <c r="AQ31" s="185"/>
      <c r="AR31" s="182"/>
      <c r="AS31" s="625"/>
      <c r="AT31" s="188"/>
      <c r="AU31" s="188"/>
      <c r="AV31" s="185"/>
      <c r="AW31" s="182"/>
      <c r="AX31" s="625"/>
    </row>
    <row r="32" spans="2:50" ht="14.25" customHeight="1">
      <c r="B32" s="564"/>
      <c r="C32" s="180">
        <v>6</v>
      </c>
      <c r="D32" s="183"/>
      <c r="E32" s="180"/>
      <c r="F32" s="180"/>
      <c r="G32" s="185"/>
      <c r="H32" s="625"/>
      <c r="I32" s="186"/>
      <c r="J32" s="186"/>
      <c r="K32" s="187"/>
      <c r="L32" s="626"/>
      <c r="M32" s="186"/>
      <c r="N32" s="564"/>
      <c r="O32" s="564"/>
      <c r="P32" s="188"/>
      <c r="Q32" s="188"/>
      <c r="R32" s="185"/>
      <c r="S32" s="182"/>
      <c r="T32" s="625"/>
      <c r="U32" s="188"/>
      <c r="V32" s="188"/>
      <c r="W32" s="185"/>
      <c r="X32" s="182"/>
      <c r="Y32" s="625"/>
      <c r="Z32" s="188"/>
      <c r="AA32" s="188"/>
      <c r="AB32" s="185"/>
      <c r="AC32" s="182"/>
      <c r="AD32" s="625"/>
      <c r="AE32" s="188"/>
      <c r="AF32" s="188"/>
      <c r="AG32" s="185"/>
      <c r="AH32" s="182"/>
      <c r="AI32" s="625"/>
      <c r="AJ32" s="188"/>
      <c r="AK32" s="188"/>
      <c r="AL32" s="185"/>
      <c r="AM32" s="182"/>
      <c r="AN32" s="625"/>
      <c r="AO32" s="188"/>
      <c r="AP32" s="188"/>
      <c r="AQ32" s="185"/>
      <c r="AR32" s="182"/>
      <c r="AS32" s="625"/>
      <c r="AT32" s="188"/>
      <c r="AU32" s="188"/>
      <c r="AV32" s="185"/>
      <c r="AW32" s="182"/>
      <c r="AX32" s="625"/>
    </row>
    <row r="33" spans="2:50" ht="14.25" customHeight="1">
      <c r="B33" s="564"/>
      <c r="C33" s="180">
        <v>7</v>
      </c>
      <c r="D33" s="183"/>
      <c r="E33" s="180"/>
      <c r="F33" s="180"/>
      <c r="G33" s="185"/>
      <c r="H33" s="625"/>
      <c r="I33" s="186"/>
      <c r="J33" s="186"/>
      <c r="K33" s="187"/>
      <c r="L33" s="626"/>
      <c r="M33" s="186"/>
      <c r="N33" s="564"/>
      <c r="O33" s="564"/>
      <c r="P33" s="188"/>
      <c r="Q33" s="188"/>
      <c r="R33" s="185"/>
      <c r="S33" s="182"/>
      <c r="T33" s="625"/>
      <c r="U33" s="188"/>
      <c r="V33" s="188"/>
      <c r="W33" s="185"/>
      <c r="X33" s="182"/>
      <c r="Y33" s="625"/>
      <c r="Z33" s="188"/>
      <c r="AA33" s="188"/>
      <c r="AB33" s="185"/>
      <c r="AC33" s="182"/>
      <c r="AD33" s="625"/>
      <c r="AE33" s="188"/>
      <c r="AF33" s="188"/>
      <c r="AG33" s="185"/>
      <c r="AH33" s="182"/>
      <c r="AI33" s="625"/>
      <c r="AJ33" s="188"/>
      <c r="AK33" s="188"/>
      <c r="AL33" s="185"/>
      <c r="AM33" s="182"/>
      <c r="AN33" s="625"/>
      <c r="AO33" s="188"/>
      <c r="AP33" s="188"/>
      <c r="AQ33" s="185"/>
      <c r="AR33" s="182"/>
      <c r="AS33" s="625"/>
      <c r="AT33" s="188"/>
      <c r="AU33" s="188"/>
      <c r="AV33" s="185"/>
      <c r="AW33" s="182"/>
      <c r="AX33" s="625"/>
    </row>
    <row r="34" spans="2:50" ht="14.25" customHeight="1">
      <c r="B34" s="564"/>
      <c r="C34" s="180">
        <v>8</v>
      </c>
      <c r="D34" s="183"/>
      <c r="E34" s="180"/>
      <c r="F34" s="180"/>
      <c r="G34" s="185"/>
      <c r="H34" s="625"/>
      <c r="I34" s="186"/>
      <c r="J34" s="186"/>
      <c r="K34" s="187"/>
      <c r="L34" s="626"/>
      <c r="M34" s="186"/>
      <c r="N34" s="564"/>
      <c r="O34" s="564"/>
      <c r="P34" s="188"/>
      <c r="Q34" s="188"/>
      <c r="R34" s="185"/>
      <c r="S34" s="182"/>
      <c r="T34" s="625"/>
      <c r="U34" s="188"/>
      <c r="V34" s="188"/>
      <c r="W34" s="185"/>
      <c r="X34" s="182"/>
      <c r="Y34" s="625"/>
      <c r="Z34" s="188"/>
      <c r="AA34" s="188"/>
      <c r="AB34" s="185"/>
      <c r="AC34" s="182"/>
      <c r="AD34" s="625"/>
      <c r="AE34" s="188"/>
      <c r="AF34" s="188"/>
      <c r="AG34" s="185"/>
      <c r="AH34" s="182"/>
      <c r="AI34" s="625"/>
      <c r="AJ34" s="188"/>
      <c r="AK34" s="188"/>
      <c r="AL34" s="185"/>
      <c r="AM34" s="182"/>
      <c r="AN34" s="625"/>
      <c r="AO34" s="188"/>
      <c r="AP34" s="188"/>
      <c r="AQ34" s="185"/>
      <c r="AR34" s="182"/>
      <c r="AS34" s="625"/>
      <c r="AT34" s="188"/>
      <c r="AU34" s="188"/>
      <c r="AV34" s="185"/>
      <c r="AW34" s="182"/>
      <c r="AX34" s="625"/>
    </row>
    <row r="35" spans="2:50" ht="14.25" customHeight="1">
      <c r="B35" s="564"/>
      <c r="C35" s="180">
        <v>9</v>
      </c>
      <c r="D35" s="183"/>
      <c r="E35" s="180"/>
      <c r="F35" s="180"/>
      <c r="G35" s="185"/>
      <c r="H35" s="625"/>
      <c r="I35" s="186"/>
      <c r="J35" s="186"/>
      <c r="K35" s="187"/>
      <c r="L35" s="626"/>
      <c r="M35" s="186"/>
      <c r="N35" s="564"/>
      <c r="O35" s="564"/>
      <c r="P35" s="188"/>
      <c r="Q35" s="188"/>
      <c r="R35" s="185"/>
      <c r="S35" s="182"/>
      <c r="T35" s="625"/>
      <c r="U35" s="188"/>
      <c r="V35" s="188"/>
      <c r="W35" s="185"/>
      <c r="X35" s="182"/>
      <c r="Y35" s="625"/>
      <c r="Z35" s="188"/>
      <c r="AA35" s="188"/>
      <c r="AB35" s="185"/>
      <c r="AC35" s="182"/>
      <c r="AD35" s="625"/>
      <c r="AE35" s="188"/>
      <c r="AF35" s="188"/>
      <c r="AG35" s="185"/>
      <c r="AH35" s="182"/>
      <c r="AI35" s="625"/>
      <c r="AJ35" s="188"/>
      <c r="AK35" s="188"/>
      <c r="AL35" s="185"/>
      <c r="AM35" s="182"/>
      <c r="AN35" s="625"/>
      <c r="AO35" s="188"/>
      <c r="AP35" s="188"/>
      <c r="AQ35" s="185"/>
      <c r="AR35" s="182"/>
      <c r="AS35" s="625"/>
      <c r="AT35" s="188"/>
      <c r="AU35" s="188"/>
      <c r="AV35" s="185"/>
      <c r="AW35" s="182"/>
      <c r="AX35" s="625"/>
    </row>
    <row r="36" spans="2:50" ht="14.25" customHeight="1">
      <c r="B36" s="564"/>
      <c r="C36" s="180">
        <v>10</v>
      </c>
      <c r="D36" s="183"/>
      <c r="E36" s="180"/>
      <c r="F36" s="180"/>
      <c r="G36" s="185"/>
      <c r="H36" s="625"/>
      <c r="I36" s="186"/>
      <c r="J36" s="186"/>
      <c r="K36" s="187"/>
      <c r="L36" s="626"/>
      <c r="M36" s="186"/>
      <c r="N36" s="564"/>
      <c r="O36" s="564"/>
      <c r="P36" s="188"/>
      <c r="Q36" s="188"/>
      <c r="R36" s="185"/>
      <c r="S36" s="182"/>
      <c r="T36" s="625"/>
      <c r="U36" s="188"/>
      <c r="V36" s="188"/>
      <c r="W36" s="185"/>
      <c r="X36" s="182"/>
      <c r="Y36" s="625"/>
      <c r="Z36" s="188"/>
      <c r="AA36" s="188"/>
      <c r="AB36" s="185"/>
      <c r="AC36" s="182"/>
      <c r="AD36" s="625"/>
      <c r="AE36" s="188"/>
      <c r="AF36" s="188"/>
      <c r="AG36" s="185"/>
      <c r="AH36" s="182"/>
      <c r="AI36" s="625"/>
      <c r="AJ36" s="188"/>
      <c r="AK36" s="188"/>
      <c r="AL36" s="185"/>
      <c r="AM36" s="182"/>
      <c r="AN36" s="625"/>
      <c r="AO36" s="188"/>
      <c r="AP36" s="188"/>
      <c r="AQ36" s="185"/>
      <c r="AR36" s="182"/>
      <c r="AS36" s="625"/>
      <c r="AT36" s="188"/>
      <c r="AU36" s="188"/>
      <c r="AV36" s="185"/>
      <c r="AW36" s="182"/>
      <c r="AX36" s="625"/>
    </row>
    <row r="37" spans="2:50" ht="14.25" customHeight="1">
      <c r="B37" s="564"/>
      <c r="C37" s="180">
        <v>11</v>
      </c>
      <c r="D37" s="183"/>
      <c r="E37" s="180"/>
      <c r="F37" s="180"/>
      <c r="G37" s="185"/>
      <c r="H37" s="625"/>
      <c r="I37" s="186"/>
      <c r="J37" s="186"/>
      <c r="K37" s="187"/>
      <c r="L37" s="626"/>
      <c r="M37" s="186"/>
      <c r="N37" s="564"/>
      <c r="O37" s="564"/>
      <c r="P37" s="188"/>
      <c r="Q37" s="188"/>
      <c r="R37" s="185"/>
      <c r="S37" s="182"/>
      <c r="T37" s="625"/>
      <c r="U37" s="188"/>
      <c r="V37" s="188"/>
      <c r="W37" s="185"/>
      <c r="X37" s="182"/>
      <c r="Y37" s="625"/>
      <c r="Z37" s="188"/>
      <c r="AA37" s="188"/>
      <c r="AB37" s="185"/>
      <c r="AC37" s="182"/>
      <c r="AD37" s="625"/>
      <c r="AE37" s="188"/>
      <c r="AF37" s="188"/>
      <c r="AG37" s="185"/>
      <c r="AH37" s="182"/>
      <c r="AI37" s="625"/>
      <c r="AJ37" s="188"/>
      <c r="AK37" s="188"/>
      <c r="AL37" s="185"/>
      <c r="AM37" s="182"/>
      <c r="AN37" s="625"/>
      <c r="AO37" s="188"/>
      <c r="AP37" s="188"/>
      <c r="AQ37" s="185"/>
      <c r="AR37" s="182"/>
      <c r="AS37" s="625"/>
      <c r="AT37" s="188"/>
      <c r="AU37" s="188"/>
      <c r="AV37" s="185"/>
      <c r="AW37" s="182"/>
      <c r="AX37" s="625"/>
    </row>
    <row r="38" spans="2:50" ht="14.25" customHeight="1">
      <c r="B38" s="564"/>
      <c r="C38" s="180">
        <v>12</v>
      </c>
      <c r="D38" s="183"/>
      <c r="E38" s="180"/>
      <c r="F38" s="180"/>
      <c r="G38" s="185"/>
      <c r="H38" s="625"/>
      <c r="I38" s="186"/>
      <c r="J38" s="186"/>
      <c r="K38" s="187"/>
      <c r="L38" s="626"/>
      <c r="M38" s="186"/>
      <c r="N38" s="564"/>
      <c r="O38" s="564"/>
      <c r="P38" s="188"/>
      <c r="Q38" s="188"/>
      <c r="R38" s="185"/>
      <c r="S38" s="182"/>
      <c r="T38" s="625"/>
      <c r="U38" s="188"/>
      <c r="V38" s="188"/>
      <c r="W38" s="185"/>
      <c r="X38" s="182"/>
      <c r="Y38" s="625"/>
      <c r="Z38" s="188"/>
      <c r="AA38" s="188"/>
      <c r="AB38" s="185"/>
      <c r="AC38" s="182"/>
      <c r="AD38" s="625"/>
      <c r="AE38" s="188"/>
      <c r="AF38" s="188"/>
      <c r="AG38" s="185"/>
      <c r="AH38" s="182"/>
      <c r="AI38" s="625"/>
      <c r="AJ38" s="188"/>
      <c r="AK38" s="188"/>
      <c r="AL38" s="185"/>
      <c r="AM38" s="182"/>
      <c r="AN38" s="625"/>
      <c r="AO38" s="188"/>
      <c r="AP38" s="188"/>
      <c r="AQ38" s="185"/>
      <c r="AR38" s="182"/>
      <c r="AS38" s="625"/>
      <c r="AT38" s="188"/>
      <c r="AU38" s="188"/>
      <c r="AV38" s="185"/>
      <c r="AW38" s="182"/>
      <c r="AX38" s="625"/>
    </row>
    <row r="39" spans="2:50" ht="14.25" customHeight="1">
      <c r="B39" s="564"/>
      <c r="C39" s="180">
        <v>13</v>
      </c>
      <c r="D39" s="183"/>
      <c r="E39" s="180"/>
      <c r="F39" s="180"/>
      <c r="G39" s="185"/>
      <c r="H39" s="625"/>
      <c r="I39" s="186"/>
      <c r="J39" s="186"/>
      <c r="K39" s="187"/>
      <c r="L39" s="626"/>
      <c r="M39" s="186"/>
      <c r="N39" s="564"/>
      <c r="O39" s="564"/>
      <c r="P39" s="188"/>
      <c r="Q39" s="188"/>
      <c r="R39" s="185"/>
      <c r="S39" s="182"/>
      <c r="T39" s="625"/>
      <c r="U39" s="188"/>
      <c r="V39" s="188"/>
      <c r="W39" s="185"/>
      <c r="X39" s="182"/>
      <c r="Y39" s="625"/>
      <c r="Z39" s="188"/>
      <c r="AA39" s="188"/>
      <c r="AB39" s="185"/>
      <c r="AC39" s="182"/>
      <c r="AD39" s="625"/>
      <c r="AE39" s="188"/>
      <c r="AF39" s="188"/>
      <c r="AG39" s="185"/>
      <c r="AH39" s="182"/>
      <c r="AI39" s="625"/>
      <c r="AJ39" s="188"/>
      <c r="AK39" s="188"/>
      <c r="AL39" s="185"/>
      <c r="AM39" s="182"/>
      <c r="AN39" s="625"/>
      <c r="AO39" s="188"/>
      <c r="AP39" s="188"/>
      <c r="AQ39" s="185"/>
      <c r="AR39" s="182"/>
      <c r="AS39" s="625"/>
      <c r="AT39" s="188"/>
      <c r="AU39" s="188"/>
      <c r="AV39" s="185"/>
      <c r="AW39" s="182"/>
      <c r="AX39" s="625"/>
    </row>
    <row r="40" spans="2:50" ht="14.25" customHeight="1">
      <c r="B40" s="564"/>
      <c r="C40" s="180">
        <v>14</v>
      </c>
      <c r="D40" s="183"/>
      <c r="E40" s="180"/>
      <c r="F40" s="180"/>
      <c r="G40" s="185"/>
      <c r="H40" s="625"/>
      <c r="I40" s="186"/>
      <c r="J40" s="186"/>
      <c r="K40" s="187"/>
      <c r="L40" s="626"/>
      <c r="M40" s="186"/>
      <c r="N40" s="564"/>
      <c r="O40" s="564"/>
      <c r="P40" s="188"/>
      <c r="Q40" s="188"/>
      <c r="R40" s="185"/>
      <c r="S40" s="182"/>
      <c r="T40" s="625"/>
      <c r="U40" s="188"/>
      <c r="V40" s="188"/>
      <c r="W40" s="185"/>
      <c r="X40" s="182"/>
      <c r="Y40" s="625"/>
      <c r="Z40" s="188"/>
      <c r="AA40" s="188"/>
      <c r="AB40" s="185"/>
      <c r="AC40" s="182"/>
      <c r="AD40" s="625"/>
      <c r="AE40" s="188"/>
      <c r="AF40" s="188"/>
      <c r="AG40" s="185"/>
      <c r="AH40" s="182"/>
      <c r="AI40" s="625"/>
      <c r="AJ40" s="188"/>
      <c r="AK40" s="188"/>
      <c r="AL40" s="185"/>
      <c r="AM40" s="182"/>
      <c r="AN40" s="625"/>
      <c r="AO40" s="188"/>
      <c r="AP40" s="188"/>
      <c r="AQ40" s="185"/>
      <c r="AR40" s="182"/>
      <c r="AS40" s="625"/>
      <c r="AT40" s="188"/>
      <c r="AU40" s="188"/>
      <c r="AV40" s="185"/>
      <c r="AW40" s="182"/>
      <c r="AX40" s="625"/>
    </row>
    <row r="41" spans="2:50" ht="14.25" customHeight="1">
      <c r="B41" s="564"/>
      <c r="C41" s="180">
        <v>15</v>
      </c>
      <c r="D41" s="183"/>
      <c r="E41" s="180"/>
      <c r="F41" s="180"/>
      <c r="G41" s="185"/>
      <c r="H41" s="625"/>
      <c r="I41" s="186"/>
      <c r="J41" s="186"/>
      <c r="K41" s="187"/>
      <c r="L41" s="626"/>
      <c r="M41" s="186"/>
      <c r="N41" s="564"/>
      <c r="O41" s="564"/>
      <c r="P41" s="188"/>
      <c r="Q41" s="188"/>
      <c r="R41" s="185"/>
      <c r="S41" s="182"/>
      <c r="T41" s="625"/>
      <c r="U41" s="188"/>
      <c r="V41" s="188"/>
      <c r="W41" s="185"/>
      <c r="X41" s="182"/>
      <c r="Y41" s="625"/>
      <c r="Z41" s="188"/>
      <c r="AA41" s="188"/>
      <c r="AB41" s="185"/>
      <c r="AC41" s="182"/>
      <c r="AD41" s="625"/>
      <c r="AE41" s="188"/>
      <c r="AF41" s="188"/>
      <c r="AG41" s="185"/>
      <c r="AH41" s="182"/>
      <c r="AI41" s="625"/>
      <c r="AJ41" s="188"/>
      <c r="AK41" s="188"/>
      <c r="AL41" s="185"/>
      <c r="AM41" s="182"/>
      <c r="AN41" s="625"/>
      <c r="AO41" s="188"/>
      <c r="AP41" s="188"/>
      <c r="AQ41" s="185"/>
      <c r="AR41" s="182"/>
      <c r="AS41" s="625"/>
      <c r="AT41" s="188"/>
      <c r="AU41" s="188"/>
      <c r="AV41" s="185"/>
      <c r="AW41" s="182"/>
      <c r="AX41" s="625"/>
    </row>
    <row r="42" spans="2:50" ht="14.25" customHeight="1" collapsed="1">
      <c r="B42" s="646" t="s">
        <v>642</v>
      </c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43"/>
      <c r="N42" s="575" t="s">
        <v>377</v>
      </c>
      <c r="O42" s="575" t="s">
        <v>105</v>
      </c>
      <c r="P42" s="655">
        <f>AT22+1</f>
        <v>46091</v>
      </c>
      <c r="Q42" s="656"/>
      <c r="R42" s="656"/>
      <c r="S42" s="656"/>
      <c r="T42" s="656"/>
      <c r="U42" s="657">
        <f>P42+1</f>
        <v>46092</v>
      </c>
      <c r="V42" s="658"/>
      <c r="W42" s="658"/>
      <c r="X42" s="658"/>
      <c r="Y42" s="658"/>
      <c r="Z42" s="655">
        <f t="shared" ref="Z42" si="30">U42+1</f>
        <v>46093</v>
      </c>
      <c r="AA42" s="656"/>
      <c r="AB42" s="656"/>
      <c r="AC42" s="656"/>
      <c r="AD42" s="656"/>
      <c r="AE42" s="657">
        <f t="shared" ref="AE42" si="31">Z42+1</f>
        <v>46094</v>
      </c>
      <c r="AF42" s="658"/>
      <c r="AG42" s="658"/>
      <c r="AH42" s="658"/>
      <c r="AI42" s="658"/>
      <c r="AJ42" s="647">
        <f t="shared" ref="AJ42" si="32">AE42+1</f>
        <v>46095</v>
      </c>
      <c r="AK42" s="648"/>
      <c r="AL42" s="648"/>
      <c r="AM42" s="648"/>
      <c r="AN42" s="649"/>
      <c r="AO42" s="657">
        <f t="shared" ref="AO42" si="33">AJ42+1</f>
        <v>46096</v>
      </c>
      <c r="AP42" s="658"/>
      <c r="AQ42" s="658"/>
      <c r="AR42" s="658"/>
      <c r="AS42" s="658"/>
      <c r="AT42" s="647">
        <f t="shared" ref="AT42" si="34">AO42+1</f>
        <v>46097</v>
      </c>
      <c r="AU42" s="648"/>
      <c r="AV42" s="648"/>
      <c r="AW42" s="648"/>
      <c r="AX42" s="649"/>
    </row>
    <row r="43" spans="2:50" ht="14.25" customHeight="1">
      <c r="B43" s="644"/>
      <c r="C43" s="644"/>
      <c r="D43" s="644"/>
      <c r="E43" s="644"/>
      <c r="F43" s="644"/>
      <c r="G43" s="644"/>
      <c r="H43" s="644"/>
      <c r="I43" s="644"/>
      <c r="J43" s="644"/>
      <c r="K43" s="644"/>
      <c r="L43" s="644"/>
      <c r="M43" s="645"/>
      <c r="N43" s="577"/>
      <c r="O43" s="577"/>
      <c r="P43" s="650">
        <f>P42</f>
        <v>46091</v>
      </c>
      <c r="Q43" s="650"/>
      <c r="R43" s="650"/>
      <c r="S43" s="650"/>
      <c r="T43" s="650"/>
      <c r="U43" s="651">
        <f>U42</f>
        <v>46092</v>
      </c>
      <c r="V43" s="651"/>
      <c r="W43" s="651"/>
      <c r="X43" s="651"/>
      <c r="Y43" s="651"/>
      <c r="Z43" s="650">
        <f t="shared" ref="Z43" si="35">Z42</f>
        <v>46093</v>
      </c>
      <c r="AA43" s="650"/>
      <c r="AB43" s="650"/>
      <c r="AC43" s="650"/>
      <c r="AD43" s="650"/>
      <c r="AE43" s="651">
        <f t="shared" ref="AE43" si="36">AE42</f>
        <v>46094</v>
      </c>
      <c r="AF43" s="651"/>
      <c r="AG43" s="651"/>
      <c r="AH43" s="651"/>
      <c r="AI43" s="651"/>
      <c r="AJ43" s="652">
        <f t="shared" ref="AJ43" si="37">AJ42</f>
        <v>46095</v>
      </c>
      <c r="AK43" s="653"/>
      <c r="AL43" s="653"/>
      <c r="AM43" s="653"/>
      <c r="AN43" s="654"/>
      <c r="AO43" s="651">
        <f t="shared" ref="AO43" si="38">AO42</f>
        <v>46096</v>
      </c>
      <c r="AP43" s="651"/>
      <c r="AQ43" s="651"/>
      <c r="AR43" s="651"/>
      <c r="AS43" s="651"/>
      <c r="AT43" s="652">
        <f t="shared" ref="AT43" si="39">AT42</f>
        <v>46097</v>
      </c>
      <c r="AU43" s="653"/>
      <c r="AV43" s="653"/>
      <c r="AW43" s="653"/>
      <c r="AX43" s="654"/>
    </row>
    <row r="44" spans="2:50" ht="14.25" customHeight="1">
      <c r="B44" s="564" t="s">
        <v>164</v>
      </c>
      <c r="C44" s="564" t="s">
        <v>159</v>
      </c>
      <c r="D44" s="564"/>
      <c r="E44" s="564" t="s">
        <v>160</v>
      </c>
      <c r="F44" s="564"/>
      <c r="G44" s="564"/>
      <c r="H44" s="564" t="s">
        <v>165</v>
      </c>
      <c r="I44" s="628" t="s">
        <v>378</v>
      </c>
      <c r="J44" s="628"/>
      <c r="K44" s="628"/>
      <c r="L44" s="628" t="s">
        <v>165</v>
      </c>
      <c r="M44" s="628" t="s">
        <v>167</v>
      </c>
      <c r="N44" s="564"/>
      <c r="O44" s="564" t="s">
        <v>166</v>
      </c>
      <c r="P44" s="564" t="s">
        <v>162</v>
      </c>
      <c r="Q44" s="564"/>
      <c r="R44" s="564"/>
      <c r="S44" s="564"/>
      <c r="T44" s="564" t="s">
        <v>165</v>
      </c>
      <c r="U44" s="564" t="s">
        <v>162</v>
      </c>
      <c r="V44" s="564"/>
      <c r="W44" s="564"/>
      <c r="X44" s="564"/>
      <c r="Y44" s="564" t="s">
        <v>165</v>
      </c>
      <c r="Z44" s="564" t="s">
        <v>162</v>
      </c>
      <c r="AA44" s="564"/>
      <c r="AB44" s="564"/>
      <c r="AC44" s="564"/>
      <c r="AD44" s="564" t="s">
        <v>165</v>
      </c>
      <c r="AE44" s="564" t="s">
        <v>162</v>
      </c>
      <c r="AF44" s="564"/>
      <c r="AG44" s="564"/>
      <c r="AH44" s="564"/>
      <c r="AI44" s="564" t="s">
        <v>165</v>
      </c>
      <c r="AJ44" s="564" t="s">
        <v>162</v>
      </c>
      <c r="AK44" s="564"/>
      <c r="AL44" s="564"/>
      <c r="AM44" s="564"/>
      <c r="AN44" s="564" t="s">
        <v>165</v>
      </c>
      <c r="AO44" s="564" t="s">
        <v>162</v>
      </c>
      <c r="AP44" s="564"/>
      <c r="AQ44" s="564"/>
      <c r="AR44" s="564"/>
      <c r="AS44" s="564" t="s">
        <v>165</v>
      </c>
      <c r="AT44" s="564" t="s">
        <v>162</v>
      </c>
      <c r="AU44" s="564"/>
      <c r="AV44" s="564"/>
      <c r="AW44" s="564"/>
      <c r="AX44" s="564" t="s">
        <v>165</v>
      </c>
    </row>
    <row r="45" spans="2:50" ht="14.25" customHeight="1">
      <c r="B45" s="564"/>
      <c r="C45" s="564"/>
      <c r="D45" s="564"/>
      <c r="E45" s="564" t="s">
        <v>379</v>
      </c>
      <c r="F45" s="564"/>
      <c r="G45" s="564"/>
      <c r="H45" s="564"/>
      <c r="I45" s="628" t="s">
        <v>379</v>
      </c>
      <c r="J45" s="628"/>
      <c r="K45" s="628"/>
      <c r="L45" s="628"/>
      <c r="M45" s="628"/>
      <c r="N45" s="564"/>
      <c r="O45" s="564"/>
      <c r="P45" s="564" t="s">
        <v>380</v>
      </c>
      <c r="Q45" s="564"/>
      <c r="R45" s="564"/>
      <c r="S45" s="564"/>
      <c r="T45" s="564"/>
      <c r="U45" s="564" t="s">
        <v>380</v>
      </c>
      <c r="V45" s="564"/>
      <c r="W45" s="564"/>
      <c r="X45" s="564"/>
      <c r="Y45" s="564"/>
      <c r="Z45" s="564" t="s">
        <v>380</v>
      </c>
      <c r="AA45" s="564"/>
      <c r="AB45" s="564"/>
      <c r="AC45" s="564"/>
      <c r="AD45" s="564"/>
      <c r="AE45" s="564" t="s">
        <v>380</v>
      </c>
      <c r="AF45" s="564"/>
      <c r="AG45" s="564"/>
      <c r="AH45" s="564"/>
      <c r="AI45" s="564"/>
      <c r="AJ45" s="564" t="s">
        <v>380</v>
      </c>
      <c r="AK45" s="564"/>
      <c r="AL45" s="564"/>
      <c r="AM45" s="564"/>
      <c r="AN45" s="564"/>
      <c r="AO45" s="564" t="s">
        <v>380</v>
      </c>
      <c r="AP45" s="564"/>
      <c r="AQ45" s="564"/>
      <c r="AR45" s="564"/>
      <c r="AS45" s="564"/>
      <c r="AT45" s="564" t="s">
        <v>380</v>
      </c>
      <c r="AU45" s="564"/>
      <c r="AV45" s="564"/>
      <c r="AW45" s="564"/>
      <c r="AX45" s="564"/>
    </row>
    <row r="46" spans="2:50" ht="14.25" customHeight="1">
      <c r="B46" s="564"/>
      <c r="C46" s="564"/>
      <c r="D46" s="564"/>
      <c r="E46" s="180" t="s">
        <v>161</v>
      </c>
      <c r="F46" s="180" t="s">
        <v>381</v>
      </c>
      <c r="G46" s="180" t="s">
        <v>163</v>
      </c>
      <c r="H46" s="564"/>
      <c r="I46" s="181" t="s">
        <v>161</v>
      </c>
      <c r="J46" s="181" t="s">
        <v>381</v>
      </c>
      <c r="K46" s="181" t="s">
        <v>163</v>
      </c>
      <c r="L46" s="628"/>
      <c r="M46" s="628"/>
      <c r="N46" s="564"/>
      <c r="O46" s="564"/>
      <c r="P46" s="180" t="s">
        <v>161</v>
      </c>
      <c r="Q46" s="180" t="s">
        <v>381</v>
      </c>
      <c r="R46" s="180" t="s">
        <v>163</v>
      </c>
      <c r="S46" s="182" t="s">
        <v>167</v>
      </c>
      <c r="T46" s="564"/>
      <c r="U46" s="180" t="s">
        <v>161</v>
      </c>
      <c r="V46" s="180" t="s">
        <v>381</v>
      </c>
      <c r="W46" s="180" t="s">
        <v>163</v>
      </c>
      <c r="X46" s="182" t="s">
        <v>167</v>
      </c>
      <c r="Y46" s="564"/>
      <c r="Z46" s="180" t="s">
        <v>161</v>
      </c>
      <c r="AA46" s="180" t="s">
        <v>381</v>
      </c>
      <c r="AB46" s="180" t="s">
        <v>163</v>
      </c>
      <c r="AC46" s="182" t="s">
        <v>167</v>
      </c>
      <c r="AD46" s="564"/>
      <c r="AE46" s="180" t="s">
        <v>161</v>
      </c>
      <c r="AF46" s="180" t="s">
        <v>381</v>
      </c>
      <c r="AG46" s="180" t="s">
        <v>163</v>
      </c>
      <c r="AH46" s="182" t="s">
        <v>167</v>
      </c>
      <c r="AI46" s="564"/>
      <c r="AJ46" s="180" t="s">
        <v>161</v>
      </c>
      <c r="AK46" s="180" t="s">
        <v>381</v>
      </c>
      <c r="AL46" s="180" t="s">
        <v>163</v>
      </c>
      <c r="AM46" s="182" t="s">
        <v>167</v>
      </c>
      <c r="AN46" s="564"/>
      <c r="AO46" s="180" t="s">
        <v>161</v>
      </c>
      <c r="AP46" s="180" t="s">
        <v>381</v>
      </c>
      <c r="AQ46" s="180" t="s">
        <v>163</v>
      </c>
      <c r="AR46" s="182" t="s">
        <v>167</v>
      </c>
      <c r="AS46" s="564"/>
      <c r="AT46" s="180" t="s">
        <v>161</v>
      </c>
      <c r="AU46" s="180" t="s">
        <v>381</v>
      </c>
      <c r="AV46" s="180" t="s">
        <v>163</v>
      </c>
      <c r="AW46" s="182" t="s">
        <v>167</v>
      </c>
      <c r="AX46" s="564"/>
    </row>
    <row r="47" spans="2:50" ht="14.25" customHeight="1">
      <c r="B47" s="565" t="s">
        <v>456</v>
      </c>
      <c r="C47" s="180">
        <v>1</v>
      </c>
      <c r="D47" s="183" t="s">
        <v>608</v>
      </c>
      <c r="E47" s="180">
        <v>6</v>
      </c>
      <c r="F47" s="180">
        <v>3600</v>
      </c>
      <c r="G47" s="185">
        <f t="shared" ref="G47:G48" si="40">F47/E47</f>
        <v>600</v>
      </c>
      <c r="H47" s="625">
        <f>AVERAGE(G47:G61)</f>
        <v>366.42857142857144</v>
      </c>
      <c r="I47" s="186">
        <f>AVERAGE(P47,U47,Z47,AE47,AJ47,AO47,AT47)</f>
        <v>6</v>
      </c>
      <c r="J47" s="186">
        <f>AVERAGE(Q47,V47,AA47,AF47,AK47,AP47,AU47)</f>
        <v>3254.7107293069198</v>
      </c>
      <c r="K47" s="187">
        <f>AVERAGE(R47,W47,AB47,AG47,AL47,AQ47,AV47)</f>
        <v>542.45178821781997</v>
      </c>
      <c r="L47" s="626">
        <f>IFERROR(AVERAGE(K47:K61),"-")</f>
        <v>330.571990516965</v>
      </c>
      <c r="M47" s="186">
        <f>RANK(K47, K$47:$K$61)</f>
        <v>1</v>
      </c>
      <c r="N47" s="564"/>
      <c r="O47" s="564"/>
      <c r="P47" s="188">
        <v>6</v>
      </c>
      <c r="Q47" s="188">
        <v>3252.2139160436909</v>
      </c>
      <c r="R47" s="185">
        <f>IFERROR(Q47/P47,"")</f>
        <v>542.03565267394845</v>
      </c>
      <c r="S47" s="182">
        <f>RANK(R47, R$47:R$61)</f>
        <v>1</v>
      </c>
      <c r="T47" s="625">
        <f>AVERAGE(R47:R61)</f>
        <v>330.16392613881175</v>
      </c>
      <c r="U47" s="188">
        <v>6</v>
      </c>
      <c r="V47" s="188">
        <v>3252.2238163558168</v>
      </c>
      <c r="W47" s="185">
        <f t="shared" ref="W47:W48" si="41">IFERROR(V47/U47,"")</f>
        <v>542.03730272596943</v>
      </c>
      <c r="X47" s="182">
        <f>RANK(W47, W$47:W$61)</f>
        <v>1</v>
      </c>
      <c r="Y47" s="625">
        <f>AVERAGE(W47:W61)</f>
        <v>330.17326842596322</v>
      </c>
      <c r="Z47" s="188">
        <v>6</v>
      </c>
      <c r="AA47" s="188">
        <v>3252.6748971193465</v>
      </c>
      <c r="AB47" s="185">
        <f t="shared" ref="AB47:AB48" si="42">IFERROR(AA47/Z47,"")</f>
        <v>542.11248285322438</v>
      </c>
      <c r="AC47" s="182">
        <f>RANK(AB47, AB$47:AB$61)</f>
        <v>1</v>
      </c>
      <c r="AD47" s="625">
        <f>AVERAGE(AB47:AB61)</f>
        <v>330.19525056562134</v>
      </c>
      <c r="AE47" s="188">
        <v>6</v>
      </c>
      <c r="AF47" s="188">
        <v>3253.4974818130868</v>
      </c>
      <c r="AG47" s="185">
        <f>IFERROR(AF47/AE47,"")</f>
        <v>542.24958030218113</v>
      </c>
      <c r="AH47" s="182">
        <f>RANK(AG47, AG$47:AG$61)</f>
        <v>1</v>
      </c>
      <c r="AI47" s="625">
        <f>AVERAGE(AG47:AG61)</f>
        <v>330.26100277567525</v>
      </c>
      <c r="AJ47" s="188">
        <v>6</v>
      </c>
      <c r="AK47" s="188">
        <v>3255.319148936173</v>
      </c>
      <c r="AL47" s="185">
        <f t="shared" ref="AL47:AL48" si="43">IFERROR(AK47/AJ47,"")</f>
        <v>542.55319148936212</v>
      </c>
      <c r="AM47" s="182">
        <f>RANK(AL47, AL$47:AL$61)</f>
        <v>1</v>
      </c>
      <c r="AN47" s="625">
        <f>AVERAGE(AL47:AL61)</f>
        <v>330.41339534084466</v>
      </c>
      <c r="AO47" s="188">
        <v>6</v>
      </c>
      <c r="AP47" s="188">
        <v>3255.7510148849783</v>
      </c>
      <c r="AQ47" s="185">
        <f t="shared" ref="AQ47:AQ48" si="44">IFERROR(AP47/AO47,"")</f>
        <v>542.62516914749642</v>
      </c>
      <c r="AR47" s="182">
        <f>RANK(AQ47, AQ$47:AQ$61)</f>
        <v>1</v>
      </c>
      <c r="AS47" s="625">
        <f>AVERAGE(AQ47:AQ61)</f>
        <v>330.45449876516733</v>
      </c>
      <c r="AT47" s="188">
        <v>6</v>
      </c>
      <c r="AU47" s="188">
        <v>3261.294829995345</v>
      </c>
      <c r="AV47" s="185">
        <f t="shared" ref="AV47:AV48" si="45">IFERROR(AU47/AT47,"")</f>
        <v>543.5491383325575</v>
      </c>
      <c r="AW47" s="182">
        <f>RANK(AV47, AV$47:AV$61)</f>
        <v>1</v>
      </c>
      <c r="AX47" s="625">
        <f>AVERAGE(AV47:AV61)</f>
        <v>332.34259160667136</v>
      </c>
    </row>
    <row r="48" spans="2:50" ht="14.25" customHeight="1">
      <c r="B48" s="564"/>
      <c r="C48" s="180">
        <v>2</v>
      </c>
      <c r="D48" s="183" t="s">
        <v>356</v>
      </c>
      <c r="E48" s="180">
        <v>21</v>
      </c>
      <c r="F48" s="180">
        <v>2790</v>
      </c>
      <c r="G48" s="185">
        <f t="shared" si="40"/>
        <v>132.85714285714286</v>
      </c>
      <c r="H48" s="625"/>
      <c r="I48" s="186">
        <f t="shared" ref="I48:K48" si="46">AVERAGE(P48,U48,Z48,AE48,AJ48,AO48,AT48)</f>
        <v>21.285714285714285</v>
      </c>
      <c r="J48" s="186">
        <f t="shared" si="46"/>
        <v>2527.1463476756776</v>
      </c>
      <c r="K48" s="187">
        <f t="shared" si="46"/>
        <v>118.69219281611004</v>
      </c>
      <c r="L48" s="626"/>
      <c r="M48" s="186">
        <f>RANK(K48, K$47:$K$61)</f>
        <v>2</v>
      </c>
      <c r="N48" s="564"/>
      <c r="O48" s="564"/>
      <c r="P48" s="188">
        <v>21</v>
      </c>
      <c r="Q48" s="188">
        <v>2484.1361916771752</v>
      </c>
      <c r="R48" s="185">
        <f t="shared" ref="R48" si="47">IFERROR(Q48/P48,"")</f>
        <v>118.29219960367502</v>
      </c>
      <c r="S48" s="182">
        <f>RANK(R48, R$47:R$61)</f>
        <v>2</v>
      </c>
      <c r="T48" s="625"/>
      <c r="U48" s="188">
        <v>21</v>
      </c>
      <c r="V48" s="188">
        <v>2484.4939166450959</v>
      </c>
      <c r="W48" s="185">
        <f t="shared" si="41"/>
        <v>118.30923412595695</v>
      </c>
      <c r="X48" s="182">
        <f>RANK(W48, W$47:W$61)</f>
        <v>2</v>
      </c>
      <c r="Y48" s="625"/>
      <c r="Z48" s="188">
        <v>21</v>
      </c>
      <c r="AA48" s="188">
        <v>2483.8383838383834</v>
      </c>
      <c r="AB48" s="185">
        <f t="shared" si="42"/>
        <v>118.27801827801825</v>
      </c>
      <c r="AC48" s="182">
        <f>RANK(AB48, AB$47:AB$61)</f>
        <v>2</v>
      </c>
      <c r="AD48" s="625"/>
      <c r="AE48" s="188">
        <v>21</v>
      </c>
      <c r="AF48" s="188">
        <v>2483.7209302325577</v>
      </c>
      <c r="AG48" s="185">
        <f t="shared" ref="AG48" si="48">IFERROR(AF48/AE48,"")</f>
        <v>118.27242524916942</v>
      </c>
      <c r="AH48" s="182">
        <f>RANK(AG48, AG$47:AG$61)</f>
        <v>2</v>
      </c>
      <c r="AI48" s="625"/>
      <c r="AJ48" s="188">
        <v>21</v>
      </c>
      <c r="AK48" s="188">
        <v>2483.7455830388703</v>
      </c>
      <c r="AL48" s="185">
        <f t="shared" si="43"/>
        <v>118.27359919232715</v>
      </c>
      <c r="AM48" s="182">
        <f>RANK(AL48, AL$47:AL$61)</f>
        <v>2</v>
      </c>
      <c r="AN48" s="625"/>
      <c r="AO48" s="188">
        <v>21</v>
      </c>
      <c r="AP48" s="188">
        <v>2483.9603960396034</v>
      </c>
      <c r="AQ48" s="185">
        <f t="shared" si="44"/>
        <v>118.28382838283827</v>
      </c>
      <c r="AR48" s="182">
        <f>RANK(AQ48, AQ$47:AQ$61)</f>
        <v>2</v>
      </c>
      <c r="AS48" s="625"/>
      <c r="AT48" s="188">
        <v>23</v>
      </c>
      <c r="AU48" s="188">
        <v>2786.1290322580599</v>
      </c>
      <c r="AV48" s="185">
        <f t="shared" si="45"/>
        <v>121.13604488078521</v>
      </c>
      <c r="AW48" s="182">
        <f>RANK(AV48, AV$47:AV$61)</f>
        <v>2</v>
      </c>
      <c r="AX48" s="625"/>
    </row>
    <row r="49" spans="2:50" ht="14.25" customHeight="1">
      <c r="B49" s="564"/>
      <c r="C49" s="180">
        <v>3</v>
      </c>
      <c r="D49" s="183"/>
      <c r="E49" s="180"/>
      <c r="F49" s="180"/>
      <c r="G49" s="185"/>
      <c r="H49" s="625"/>
      <c r="I49" s="186"/>
      <c r="J49" s="186"/>
      <c r="K49" s="187"/>
      <c r="L49" s="626"/>
      <c r="M49" s="186"/>
      <c r="N49" s="564"/>
      <c r="O49" s="564"/>
      <c r="P49" s="188"/>
      <c r="Q49" s="188"/>
      <c r="R49" s="185"/>
      <c r="S49" s="182"/>
      <c r="T49" s="625"/>
      <c r="U49" s="188"/>
      <c r="V49" s="188"/>
      <c r="W49" s="185"/>
      <c r="X49" s="182"/>
      <c r="Y49" s="625"/>
      <c r="Z49" s="188"/>
      <c r="AA49" s="188"/>
      <c r="AB49" s="185"/>
      <c r="AC49" s="182"/>
      <c r="AD49" s="625"/>
      <c r="AE49" s="188"/>
      <c r="AF49" s="188"/>
      <c r="AG49" s="185"/>
      <c r="AH49" s="182"/>
      <c r="AI49" s="625"/>
      <c r="AJ49" s="188"/>
      <c r="AK49" s="188"/>
      <c r="AL49" s="185"/>
      <c r="AM49" s="182"/>
      <c r="AN49" s="625"/>
      <c r="AO49" s="188"/>
      <c r="AP49" s="188"/>
      <c r="AQ49" s="185"/>
      <c r="AR49" s="182"/>
      <c r="AS49" s="625"/>
      <c r="AT49" s="188"/>
      <c r="AU49" s="188"/>
      <c r="AV49" s="185"/>
      <c r="AW49" s="182"/>
      <c r="AX49" s="625"/>
    </row>
    <row r="50" spans="2:50" ht="14.25" customHeight="1">
      <c r="B50" s="564"/>
      <c r="C50" s="180">
        <v>4</v>
      </c>
      <c r="D50" s="183"/>
      <c r="E50" s="180"/>
      <c r="F50" s="180"/>
      <c r="G50" s="185"/>
      <c r="H50" s="625"/>
      <c r="I50" s="186"/>
      <c r="J50" s="186"/>
      <c r="K50" s="187"/>
      <c r="L50" s="626"/>
      <c r="M50" s="186"/>
      <c r="N50" s="564"/>
      <c r="O50" s="564"/>
      <c r="P50" s="188"/>
      <c r="Q50" s="188"/>
      <c r="R50" s="185"/>
      <c r="S50" s="182"/>
      <c r="T50" s="625"/>
      <c r="U50" s="188"/>
      <c r="V50" s="188"/>
      <c r="W50" s="185"/>
      <c r="X50" s="182"/>
      <c r="Y50" s="625"/>
      <c r="Z50" s="188"/>
      <c r="AA50" s="188"/>
      <c r="AB50" s="185"/>
      <c r="AC50" s="182"/>
      <c r="AD50" s="625"/>
      <c r="AE50" s="188"/>
      <c r="AF50" s="188"/>
      <c r="AG50" s="185"/>
      <c r="AH50" s="182"/>
      <c r="AI50" s="625"/>
      <c r="AJ50" s="188"/>
      <c r="AK50" s="188"/>
      <c r="AL50" s="185"/>
      <c r="AM50" s="182"/>
      <c r="AN50" s="625"/>
      <c r="AO50" s="188"/>
      <c r="AP50" s="188"/>
      <c r="AQ50" s="185"/>
      <c r="AR50" s="182"/>
      <c r="AS50" s="625"/>
      <c r="AT50" s="188"/>
      <c r="AU50" s="188"/>
      <c r="AV50" s="185"/>
      <c r="AW50" s="182"/>
      <c r="AX50" s="625"/>
    </row>
    <row r="51" spans="2:50" ht="14.25" customHeight="1">
      <c r="B51" s="564"/>
      <c r="C51" s="180">
        <v>5</v>
      </c>
      <c r="D51" s="183"/>
      <c r="E51" s="180"/>
      <c r="F51" s="180"/>
      <c r="G51" s="185"/>
      <c r="H51" s="625"/>
      <c r="I51" s="186"/>
      <c r="J51" s="186"/>
      <c r="K51" s="187"/>
      <c r="L51" s="626"/>
      <c r="M51" s="186"/>
      <c r="N51" s="564"/>
      <c r="O51" s="564"/>
      <c r="P51" s="188"/>
      <c r="Q51" s="188"/>
      <c r="R51" s="185"/>
      <c r="S51" s="182"/>
      <c r="T51" s="625"/>
      <c r="U51" s="188"/>
      <c r="V51" s="188"/>
      <c r="W51" s="185"/>
      <c r="X51" s="182"/>
      <c r="Y51" s="625"/>
      <c r="Z51" s="188"/>
      <c r="AA51" s="188"/>
      <c r="AB51" s="185"/>
      <c r="AC51" s="182"/>
      <c r="AD51" s="625"/>
      <c r="AE51" s="188"/>
      <c r="AF51" s="188"/>
      <c r="AG51" s="185"/>
      <c r="AH51" s="182"/>
      <c r="AI51" s="625"/>
      <c r="AJ51" s="188"/>
      <c r="AK51" s="188"/>
      <c r="AL51" s="185"/>
      <c r="AM51" s="182"/>
      <c r="AN51" s="625"/>
      <c r="AO51" s="188"/>
      <c r="AP51" s="188"/>
      <c r="AQ51" s="185"/>
      <c r="AR51" s="182"/>
      <c r="AS51" s="625"/>
      <c r="AT51" s="188"/>
      <c r="AU51" s="188"/>
      <c r="AV51" s="185"/>
      <c r="AW51" s="182"/>
      <c r="AX51" s="625"/>
    </row>
    <row r="52" spans="2:50" ht="14.25" customHeight="1">
      <c r="B52" s="564"/>
      <c r="C52" s="180">
        <v>6</v>
      </c>
      <c r="D52" s="183"/>
      <c r="E52" s="180"/>
      <c r="F52" s="180"/>
      <c r="G52" s="185"/>
      <c r="H52" s="625"/>
      <c r="I52" s="186"/>
      <c r="J52" s="186"/>
      <c r="K52" s="187"/>
      <c r="L52" s="626"/>
      <c r="M52" s="186"/>
      <c r="N52" s="564"/>
      <c r="O52" s="564"/>
      <c r="P52" s="188"/>
      <c r="Q52" s="188"/>
      <c r="R52" s="185"/>
      <c r="S52" s="182"/>
      <c r="T52" s="625"/>
      <c r="U52" s="188"/>
      <c r="V52" s="188"/>
      <c r="W52" s="185"/>
      <c r="X52" s="182"/>
      <c r="Y52" s="625"/>
      <c r="Z52" s="188"/>
      <c r="AA52" s="188"/>
      <c r="AB52" s="185"/>
      <c r="AC52" s="182"/>
      <c r="AD52" s="625"/>
      <c r="AE52" s="188"/>
      <c r="AF52" s="188"/>
      <c r="AG52" s="185"/>
      <c r="AH52" s="182"/>
      <c r="AI52" s="625"/>
      <c r="AJ52" s="188"/>
      <c r="AK52" s="188"/>
      <c r="AL52" s="185"/>
      <c r="AM52" s="182"/>
      <c r="AN52" s="625"/>
      <c r="AO52" s="188"/>
      <c r="AP52" s="188"/>
      <c r="AQ52" s="185"/>
      <c r="AR52" s="182"/>
      <c r="AS52" s="625"/>
      <c r="AT52" s="188"/>
      <c r="AU52" s="188"/>
      <c r="AV52" s="185"/>
      <c r="AW52" s="182"/>
      <c r="AX52" s="625"/>
    </row>
    <row r="53" spans="2:50" ht="14.25" customHeight="1">
      <c r="B53" s="564"/>
      <c r="C53" s="180">
        <v>7</v>
      </c>
      <c r="D53" s="183"/>
      <c r="E53" s="180"/>
      <c r="F53" s="180"/>
      <c r="G53" s="185"/>
      <c r="H53" s="625"/>
      <c r="I53" s="186"/>
      <c r="J53" s="186"/>
      <c r="K53" s="187"/>
      <c r="L53" s="626"/>
      <c r="M53" s="186"/>
      <c r="N53" s="564"/>
      <c r="O53" s="564"/>
      <c r="P53" s="188"/>
      <c r="Q53" s="188"/>
      <c r="R53" s="185"/>
      <c r="S53" s="182"/>
      <c r="T53" s="625"/>
      <c r="U53" s="188"/>
      <c r="V53" s="188"/>
      <c r="W53" s="185"/>
      <c r="X53" s="182"/>
      <c r="Y53" s="625"/>
      <c r="Z53" s="188"/>
      <c r="AA53" s="188"/>
      <c r="AB53" s="185"/>
      <c r="AC53" s="182"/>
      <c r="AD53" s="625"/>
      <c r="AE53" s="188"/>
      <c r="AF53" s="188"/>
      <c r="AG53" s="185"/>
      <c r="AH53" s="182"/>
      <c r="AI53" s="625"/>
      <c r="AJ53" s="188"/>
      <c r="AK53" s="188"/>
      <c r="AL53" s="185"/>
      <c r="AM53" s="182"/>
      <c r="AN53" s="625"/>
      <c r="AO53" s="188"/>
      <c r="AP53" s="188"/>
      <c r="AQ53" s="185"/>
      <c r="AR53" s="182"/>
      <c r="AS53" s="625"/>
      <c r="AT53" s="188"/>
      <c r="AU53" s="188"/>
      <c r="AV53" s="185"/>
      <c r="AW53" s="182"/>
      <c r="AX53" s="625"/>
    </row>
    <row r="54" spans="2:50" ht="14.25" customHeight="1">
      <c r="B54" s="564"/>
      <c r="C54" s="180">
        <v>8</v>
      </c>
      <c r="D54" s="183"/>
      <c r="E54" s="180"/>
      <c r="F54" s="180"/>
      <c r="G54" s="185"/>
      <c r="H54" s="625"/>
      <c r="I54" s="186"/>
      <c r="J54" s="186"/>
      <c r="K54" s="187"/>
      <c r="L54" s="626"/>
      <c r="M54" s="186"/>
      <c r="N54" s="564"/>
      <c r="O54" s="564"/>
      <c r="P54" s="188"/>
      <c r="Q54" s="188"/>
      <c r="R54" s="185"/>
      <c r="S54" s="182"/>
      <c r="T54" s="625"/>
      <c r="U54" s="188"/>
      <c r="V54" s="188"/>
      <c r="W54" s="185"/>
      <c r="X54" s="182"/>
      <c r="Y54" s="625"/>
      <c r="Z54" s="188"/>
      <c r="AA54" s="188"/>
      <c r="AB54" s="185"/>
      <c r="AC54" s="182"/>
      <c r="AD54" s="625"/>
      <c r="AE54" s="188"/>
      <c r="AF54" s="188"/>
      <c r="AG54" s="185"/>
      <c r="AH54" s="182"/>
      <c r="AI54" s="625"/>
      <c r="AJ54" s="188"/>
      <c r="AK54" s="188"/>
      <c r="AL54" s="185"/>
      <c r="AM54" s="182"/>
      <c r="AN54" s="625"/>
      <c r="AO54" s="188"/>
      <c r="AP54" s="188"/>
      <c r="AQ54" s="185"/>
      <c r="AR54" s="182"/>
      <c r="AS54" s="625"/>
      <c r="AT54" s="188"/>
      <c r="AU54" s="188"/>
      <c r="AV54" s="185"/>
      <c r="AW54" s="182"/>
      <c r="AX54" s="625"/>
    </row>
    <row r="55" spans="2:50" ht="14.25" customHeight="1">
      <c r="B55" s="564"/>
      <c r="C55" s="180">
        <v>9</v>
      </c>
      <c r="D55" s="183"/>
      <c r="E55" s="180"/>
      <c r="F55" s="180"/>
      <c r="G55" s="185"/>
      <c r="H55" s="625"/>
      <c r="I55" s="186"/>
      <c r="J55" s="186"/>
      <c r="K55" s="187"/>
      <c r="L55" s="626"/>
      <c r="M55" s="186"/>
      <c r="N55" s="564"/>
      <c r="O55" s="564"/>
      <c r="P55" s="188"/>
      <c r="Q55" s="188"/>
      <c r="R55" s="185"/>
      <c r="S55" s="182"/>
      <c r="T55" s="625"/>
      <c r="U55" s="188"/>
      <c r="V55" s="188"/>
      <c r="W55" s="185"/>
      <c r="X55" s="182"/>
      <c r="Y55" s="625"/>
      <c r="Z55" s="188"/>
      <c r="AA55" s="188"/>
      <c r="AB55" s="185"/>
      <c r="AC55" s="182"/>
      <c r="AD55" s="625"/>
      <c r="AE55" s="188"/>
      <c r="AF55" s="188"/>
      <c r="AG55" s="185"/>
      <c r="AH55" s="182"/>
      <c r="AI55" s="625"/>
      <c r="AJ55" s="188"/>
      <c r="AK55" s="188"/>
      <c r="AL55" s="185"/>
      <c r="AM55" s="182"/>
      <c r="AN55" s="625"/>
      <c r="AO55" s="188"/>
      <c r="AP55" s="188"/>
      <c r="AQ55" s="185"/>
      <c r="AR55" s="182"/>
      <c r="AS55" s="625"/>
      <c r="AT55" s="188"/>
      <c r="AU55" s="188"/>
      <c r="AV55" s="185"/>
      <c r="AW55" s="182"/>
      <c r="AX55" s="625"/>
    </row>
    <row r="56" spans="2:50" ht="14.25" customHeight="1">
      <c r="B56" s="564"/>
      <c r="C56" s="180">
        <v>10</v>
      </c>
      <c r="D56" s="183"/>
      <c r="E56" s="180"/>
      <c r="F56" s="180"/>
      <c r="G56" s="185"/>
      <c r="H56" s="625"/>
      <c r="I56" s="186"/>
      <c r="J56" s="186"/>
      <c r="K56" s="187"/>
      <c r="L56" s="626"/>
      <c r="M56" s="186"/>
      <c r="N56" s="564"/>
      <c r="O56" s="564"/>
      <c r="P56" s="188"/>
      <c r="Q56" s="188"/>
      <c r="R56" s="185"/>
      <c r="S56" s="182"/>
      <c r="T56" s="625"/>
      <c r="U56" s="188"/>
      <c r="V56" s="188"/>
      <c r="W56" s="185"/>
      <c r="X56" s="182"/>
      <c r="Y56" s="625"/>
      <c r="Z56" s="188"/>
      <c r="AA56" s="188"/>
      <c r="AB56" s="185"/>
      <c r="AC56" s="182"/>
      <c r="AD56" s="625"/>
      <c r="AE56" s="188"/>
      <c r="AF56" s="188"/>
      <c r="AG56" s="185"/>
      <c r="AH56" s="182"/>
      <c r="AI56" s="625"/>
      <c r="AJ56" s="188"/>
      <c r="AK56" s="188"/>
      <c r="AL56" s="185"/>
      <c r="AM56" s="182"/>
      <c r="AN56" s="625"/>
      <c r="AO56" s="188"/>
      <c r="AP56" s="188"/>
      <c r="AQ56" s="185"/>
      <c r="AR56" s="182"/>
      <c r="AS56" s="625"/>
      <c r="AT56" s="188"/>
      <c r="AU56" s="188"/>
      <c r="AV56" s="185"/>
      <c r="AW56" s="182"/>
      <c r="AX56" s="625"/>
    </row>
    <row r="57" spans="2:50" ht="14.25" customHeight="1">
      <c r="B57" s="564"/>
      <c r="C57" s="180">
        <v>11</v>
      </c>
      <c r="D57" s="183"/>
      <c r="E57" s="180"/>
      <c r="F57" s="180"/>
      <c r="G57" s="185"/>
      <c r="H57" s="625"/>
      <c r="I57" s="186"/>
      <c r="J57" s="186"/>
      <c r="K57" s="187"/>
      <c r="L57" s="626"/>
      <c r="M57" s="186"/>
      <c r="N57" s="564"/>
      <c r="O57" s="564"/>
      <c r="P57" s="188"/>
      <c r="Q57" s="188"/>
      <c r="R57" s="185"/>
      <c r="S57" s="182"/>
      <c r="T57" s="625"/>
      <c r="U57" s="188"/>
      <c r="V57" s="188"/>
      <c r="W57" s="185"/>
      <c r="X57" s="182"/>
      <c r="Y57" s="625"/>
      <c r="Z57" s="188"/>
      <c r="AA57" s="188"/>
      <c r="AB57" s="185"/>
      <c r="AC57" s="182"/>
      <c r="AD57" s="625"/>
      <c r="AE57" s="188"/>
      <c r="AF57" s="188"/>
      <c r="AG57" s="185"/>
      <c r="AH57" s="182"/>
      <c r="AI57" s="625"/>
      <c r="AJ57" s="188"/>
      <c r="AK57" s="188"/>
      <c r="AL57" s="185"/>
      <c r="AM57" s="182"/>
      <c r="AN57" s="625"/>
      <c r="AO57" s="188"/>
      <c r="AP57" s="188"/>
      <c r="AQ57" s="185"/>
      <c r="AR57" s="182"/>
      <c r="AS57" s="625"/>
      <c r="AT57" s="188"/>
      <c r="AU57" s="188"/>
      <c r="AV57" s="185"/>
      <c r="AW57" s="182"/>
      <c r="AX57" s="625"/>
    </row>
    <row r="58" spans="2:50" ht="14.25" customHeight="1">
      <c r="B58" s="564"/>
      <c r="C58" s="180">
        <v>12</v>
      </c>
      <c r="D58" s="183"/>
      <c r="E58" s="180"/>
      <c r="F58" s="180"/>
      <c r="G58" s="185"/>
      <c r="H58" s="625"/>
      <c r="I58" s="186"/>
      <c r="J58" s="186"/>
      <c r="K58" s="187"/>
      <c r="L58" s="626"/>
      <c r="M58" s="186"/>
      <c r="N58" s="564"/>
      <c r="O58" s="564"/>
      <c r="P58" s="188"/>
      <c r="Q58" s="188"/>
      <c r="R58" s="185"/>
      <c r="S58" s="182"/>
      <c r="T58" s="625"/>
      <c r="U58" s="188"/>
      <c r="V58" s="188"/>
      <c r="W58" s="185"/>
      <c r="X58" s="182"/>
      <c r="Y58" s="625"/>
      <c r="Z58" s="188"/>
      <c r="AA58" s="188"/>
      <c r="AB58" s="185"/>
      <c r="AC58" s="182"/>
      <c r="AD58" s="625"/>
      <c r="AE58" s="188"/>
      <c r="AF58" s="188"/>
      <c r="AG58" s="185"/>
      <c r="AH58" s="182"/>
      <c r="AI58" s="625"/>
      <c r="AJ58" s="188"/>
      <c r="AK58" s="188"/>
      <c r="AL58" s="185"/>
      <c r="AM58" s="182"/>
      <c r="AN58" s="625"/>
      <c r="AO58" s="188"/>
      <c r="AP58" s="188"/>
      <c r="AQ58" s="185"/>
      <c r="AR58" s="182"/>
      <c r="AS58" s="625"/>
      <c r="AT58" s="188"/>
      <c r="AU58" s="188"/>
      <c r="AV58" s="185"/>
      <c r="AW58" s="182"/>
      <c r="AX58" s="625"/>
    </row>
    <row r="59" spans="2:50" ht="14.25" customHeight="1">
      <c r="B59" s="564"/>
      <c r="C59" s="180">
        <v>13</v>
      </c>
      <c r="D59" s="183"/>
      <c r="E59" s="180"/>
      <c r="F59" s="180"/>
      <c r="G59" s="185"/>
      <c r="H59" s="625"/>
      <c r="I59" s="186"/>
      <c r="J59" s="186"/>
      <c r="K59" s="187"/>
      <c r="L59" s="626"/>
      <c r="M59" s="186"/>
      <c r="N59" s="564"/>
      <c r="O59" s="564"/>
      <c r="P59" s="188"/>
      <c r="Q59" s="188"/>
      <c r="R59" s="185"/>
      <c r="S59" s="182"/>
      <c r="T59" s="625"/>
      <c r="U59" s="188"/>
      <c r="V59" s="188"/>
      <c r="W59" s="185"/>
      <c r="X59" s="182"/>
      <c r="Y59" s="625"/>
      <c r="Z59" s="188"/>
      <c r="AA59" s="188"/>
      <c r="AB59" s="185"/>
      <c r="AC59" s="182"/>
      <c r="AD59" s="625"/>
      <c r="AE59" s="188"/>
      <c r="AF59" s="188"/>
      <c r="AG59" s="185"/>
      <c r="AH59" s="182"/>
      <c r="AI59" s="625"/>
      <c r="AJ59" s="188"/>
      <c r="AK59" s="188"/>
      <c r="AL59" s="185"/>
      <c r="AM59" s="182"/>
      <c r="AN59" s="625"/>
      <c r="AO59" s="188"/>
      <c r="AP59" s="188"/>
      <c r="AQ59" s="185"/>
      <c r="AR59" s="182"/>
      <c r="AS59" s="625"/>
      <c r="AT59" s="188"/>
      <c r="AU59" s="188"/>
      <c r="AV59" s="185"/>
      <c r="AW59" s="182"/>
      <c r="AX59" s="625"/>
    </row>
    <row r="60" spans="2:50" ht="14.25" customHeight="1">
      <c r="B60" s="564"/>
      <c r="C60" s="180">
        <v>14</v>
      </c>
      <c r="D60" s="183"/>
      <c r="E60" s="180"/>
      <c r="F60" s="180"/>
      <c r="G60" s="185"/>
      <c r="H60" s="625"/>
      <c r="I60" s="186"/>
      <c r="J60" s="186"/>
      <c r="K60" s="187"/>
      <c r="L60" s="626"/>
      <c r="M60" s="186"/>
      <c r="N60" s="564"/>
      <c r="O60" s="564"/>
      <c r="P60" s="188"/>
      <c r="Q60" s="188"/>
      <c r="R60" s="185"/>
      <c r="S60" s="182"/>
      <c r="T60" s="625"/>
      <c r="U60" s="188"/>
      <c r="V60" s="188"/>
      <c r="W60" s="185"/>
      <c r="X60" s="182"/>
      <c r="Y60" s="625"/>
      <c r="Z60" s="188"/>
      <c r="AA60" s="188"/>
      <c r="AB60" s="185"/>
      <c r="AC60" s="182"/>
      <c r="AD60" s="625"/>
      <c r="AE60" s="188"/>
      <c r="AF60" s="188"/>
      <c r="AG60" s="185"/>
      <c r="AH60" s="182"/>
      <c r="AI60" s="625"/>
      <c r="AJ60" s="188"/>
      <c r="AK60" s="188"/>
      <c r="AL60" s="185"/>
      <c r="AM60" s="182"/>
      <c r="AN60" s="625"/>
      <c r="AO60" s="188"/>
      <c r="AP60" s="188"/>
      <c r="AQ60" s="185"/>
      <c r="AR60" s="182"/>
      <c r="AS60" s="625"/>
      <c r="AT60" s="188"/>
      <c r="AU60" s="188"/>
      <c r="AV60" s="185"/>
      <c r="AW60" s="182"/>
      <c r="AX60" s="625"/>
    </row>
    <row r="61" spans="2:50" ht="14.25" customHeight="1">
      <c r="B61" s="564"/>
      <c r="C61" s="180">
        <v>15</v>
      </c>
      <c r="D61" s="183"/>
      <c r="E61" s="180"/>
      <c r="F61" s="180"/>
      <c r="G61" s="185"/>
      <c r="H61" s="625"/>
      <c r="I61" s="186"/>
      <c r="J61" s="186"/>
      <c r="K61" s="187"/>
      <c r="L61" s="626"/>
      <c r="M61" s="186"/>
      <c r="N61" s="564"/>
      <c r="O61" s="564"/>
      <c r="P61" s="188"/>
      <c r="Q61" s="188"/>
      <c r="R61" s="185"/>
      <c r="S61" s="182"/>
      <c r="T61" s="625"/>
      <c r="U61" s="188"/>
      <c r="V61" s="188"/>
      <c r="W61" s="185"/>
      <c r="X61" s="182"/>
      <c r="Y61" s="625"/>
      <c r="Z61" s="188"/>
      <c r="AA61" s="188"/>
      <c r="AB61" s="185"/>
      <c r="AC61" s="182"/>
      <c r="AD61" s="625"/>
      <c r="AE61" s="188"/>
      <c r="AF61" s="188"/>
      <c r="AG61" s="185"/>
      <c r="AH61" s="182"/>
      <c r="AI61" s="625"/>
      <c r="AJ61" s="188"/>
      <c r="AK61" s="188"/>
      <c r="AL61" s="185"/>
      <c r="AM61" s="182"/>
      <c r="AN61" s="625"/>
      <c r="AO61" s="188"/>
      <c r="AP61" s="188"/>
      <c r="AQ61" s="185"/>
      <c r="AR61" s="182"/>
      <c r="AS61" s="625"/>
      <c r="AT61" s="188"/>
      <c r="AU61" s="188"/>
      <c r="AV61" s="185"/>
      <c r="AW61" s="182"/>
      <c r="AX61" s="625"/>
    </row>
    <row r="62" spans="2:50" ht="14.25" customHeight="1" collapsed="1">
      <c r="B62" s="641" t="s">
        <v>644</v>
      </c>
      <c r="C62" s="642"/>
      <c r="D62" s="642"/>
      <c r="E62" s="642"/>
      <c r="F62" s="642"/>
      <c r="G62" s="642"/>
      <c r="H62" s="642"/>
      <c r="I62" s="642"/>
      <c r="J62" s="642"/>
      <c r="K62" s="642"/>
      <c r="L62" s="642"/>
      <c r="M62" s="643"/>
      <c r="N62" s="575" t="s">
        <v>377</v>
      </c>
      <c r="O62" s="575" t="s">
        <v>105</v>
      </c>
      <c r="P62" s="655">
        <f>AT42+1</f>
        <v>46098</v>
      </c>
      <c r="Q62" s="656"/>
      <c r="R62" s="656"/>
      <c r="S62" s="656"/>
      <c r="T62" s="656"/>
      <c r="U62" s="657">
        <f>P62+1</f>
        <v>46099</v>
      </c>
      <c r="V62" s="658"/>
      <c r="W62" s="658"/>
      <c r="X62" s="658"/>
      <c r="Y62" s="658"/>
      <c r="Z62" s="655">
        <f t="shared" ref="Z62" si="49">U62+1</f>
        <v>46100</v>
      </c>
      <c r="AA62" s="656"/>
      <c r="AB62" s="656"/>
      <c r="AC62" s="656"/>
      <c r="AD62" s="656"/>
      <c r="AE62" s="657">
        <f t="shared" ref="AE62" si="50">Z62+1</f>
        <v>46101</v>
      </c>
      <c r="AF62" s="658"/>
      <c r="AG62" s="658"/>
      <c r="AH62" s="658"/>
      <c r="AI62" s="658"/>
      <c r="AJ62" s="647">
        <f t="shared" ref="AJ62" si="51">AE62+1</f>
        <v>46102</v>
      </c>
      <c r="AK62" s="648"/>
      <c r="AL62" s="648"/>
      <c r="AM62" s="648"/>
      <c r="AN62" s="649"/>
      <c r="AO62" s="657">
        <f t="shared" ref="AO62" si="52">AJ62+1</f>
        <v>46103</v>
      </c>
      <c r="AP62" s="658"/>
      <c r="AQ62" s="658"/>
      <c r="AR62" s="658"/>
      <c r="AS62" s="658"/>
      <c r="AT62" s="647">
        <f t="shared" ref="AT62" si="53">AO62+1</f>
        <v>46104</v>
      </c>
      <c r="AU62" s="648"/>
      <c r="AV62" s="648"/>
      <c r="AW62" s="648"/>
      <c r="AX62" s="649"/>
    </row>
    <row r="63" spans="2:50" ht="14.25" customHeight="1">
      <c r="B63" s="644"/>
      <c r="C63" s="644"/>
      <c r="D63" s="644"/>
      <c r="E63" s="644"/>
      <c r="F63" s="644"/>
      <c r="G63" s="644"/>
      <c r="H63" s="644"/>
      <c r="I63" s="644"/>
      <c r="J63" s="644"/>
      <c r="K63" s="644"/>
      <c r="L63" s="644"/>
      <c r="M63" s="645"/>
      <c r="N63" s="577"/>
      <c r="O63" s="577"/>
      <c r="P63" s="650">
        <f>P62</f>
        <v>46098</v>
      </c>
      <c r="Q63" s="650"/>
      <c r="R63" s="650"/>
      <c r="S63" s="650"/>
      <c r="T63" s="650"/>
      <c r="U63" s="651">
        <f>U62</f>
        <v>46099</v>
      </c>
      <c r="V63" s="651"/>
      <c r="W63" s="651"/>
      <c r="X63" s="651"/>
      <c r="Y63" s="651"/>
      <c r="Z63" s="650">
        <f t="shared" ref="Z63" si="54">Z62</f>
        <v>46100</v>
      </c>
      <c r="AA63" s="650"/>
      <c r="AB63" s="650"/>
      <c r="AC63" s="650"/>
      <c r="AD63" s="650"/>
      <c r="AE63" s="651">
        <f t="shared" ref="AE63" si="55">AE62</f>
        <v>46101</v>
      </c>
      <c r="AF63" s="651"/>
      <c r="AG63" s="651"/>
      <c r="AH63" s="651"/>
      <c r="AI63" s="651"/>
      <c r="AJ63" s="652">
        <f t="shared" ref="AJ63" si="56">AJ62</f>
        <v>46102</v>
      </c>
      <c r="AK63" s="653"/>
      <c r="AL63" s="653"/>
      <c r="AM63" s="653"/>
      <c r="AN63" s="654"/>
      <c r="AO63" s="651">
        <f t="shared" ref="AO63" si="57">AO62</f>
        <v>46103</v>
      </c>
      <c r="AP63" s="651"/>
      <c r="AQ63" s="651"/>
      <c r="AR63" s="651"/>
      <c r="AS63" s="651"/>
      <c r="AT63" s="652">
        <f t="shared" ref="AT63" si="58">AT62</f>
        <v>46104</v>
      </c>
      <c r="AU63" s="653"/>
      <c r="AV63" s="653"/>
      <c r="AW63" s="653"/>
      <c r="AX63" s="654"/>
    </row>
    <row r="64" spans="2:50" ht="14.25" customHeight="1">
      <c r="B64" s="564" t="s">
        <v>164</v>
      </c>
      <c r="C64" s="564" t="s">
        <v>159</v>
      </c>
      <c r="D64" s="564"/>
      <c r="E64" s="564" t="s">
        <v>160</v>
      </c>
      <c r="F64" s="564"/>
      <c r="G64" s="564"/>
      <c r="H64" s="564" t="s">
        <v>165</v>
      </c>
      <c r="I64" s="628" t="s">
        <v>378</v>
      </c>
      <c r="J64" s="628"/>
      <c r="K64" s="628"/>
      <c r="L64" s="628" t="s">
        <v>165</v>
      </c>
      <c r="M64" s="628" t="s">
        <v>167</v>
      </c>
      <c r="N64" s="564"/>
      <c r="O64" s="564" t="s">
        <v>166</v>
      </c>
      <c r="P64" s="564" t="s">
        <v>162</v>
      </c>
      <c r="Q64" s="564"/>
      <c r="R64" s="564"/>
      <c r="S64" s="564"/>
      <c r="T64" s="564" t="s">
        <v>165</v>
      </c>
      <c r="U64" s="564" t="s">
        <v>162</v>
      </c>
      <c r="V64" s="564"/>
      <c r="W64" s="564"/>
      <c r="X64" s="564"/>
      <c r="Y64" s="564" t="s">
        <v>165</v>
      </c>
      <c r="Z64" s="564" t="s">
        <v>162</v>
      </c>
      <c r="AA64" s="564"/>
      <c r="AB64" s="564"/>
      <c r="AC64" s="564"/>
      <c r="AD64" s="564" t="s">
        <v>165</v>
      </c>
      <c r="AE64" s="564" t="s">
        <v>162</v>
      </c>
      <c r="AF64" s="564"/>
      <c r="AG64" s="564"/>
      <c r="AH64" s="564"/>
      <c r="AI64" s="564" t="s">
        <v>165</v>
      </c>
      <c r="AJ64" s="564" t="s">
        <v>162</v>
      </c>
      <c r="AK64" s="564"/>
      <c r="AL64" s="564"/>
      <c r="AM64" s="564"/>
      <c r="AN64" s="564" t="s">
        <v>165</v>
      </c>
      <c r="AO64" s="564" t="s">
        <v>162</v>
      </c>
      <c r="AP64" s="564"/>
      <c r="AQ64" s="564"/>
      <c r="AR64" s="564"/>
      <c r="AS64" s="564" t="s">
        <v>165</v>
      </c>
      <c r="AT64" s="564" t="s">
        <v>162</v>
      </c>
      <c r="AU64" s="564"/>
      <c r="AV64" s="564"/>
      <c r="AW64" s="564"/>
      <c r="AX64" s="564" t="s">
        <v>165</v>
      </c>
    </row>
    <row r="65" spans="2:50" ht="14.25" customHeight="1">
      <c r="B65" s="564"/>
      <c r="C65" s="564"/>
      <c r="D65" s="564"/>
      <c r="E65" s="564" t="s">
        <v>379</v>
      </c>
      <c r="F65" s="564"/>
      <c r="G65" s="564"/>
      <c r="H65" s="564"/>
      <c r="I65" s="628" t="s">
        <v>379</v>
      </c>
      <c r="J65" s="628"/>
      <c r="K65" s="628"/>
      <c r="L65" s="628"/>
      <c r="M65" s="628"/>
      <c r="N65" s="564"/>
      <c r="O65" s="564"/>
      <c r="P65" s="564" t="s">
        <v>380</v>
      </c>
      <c r="Q65" s="564"/>
      <c r="R65" s="564"/>
      <c r="S65" s="564"/>
      <c r="T65" s="564"/>
      <c r="U65" s="564" t="s">
        <v>380</v>
      </c>
      <c r="V65" s="564"/>
      <c r="W65" s="564"/>
      <c r="X65" s="564"/>
      <c r="Y65" s="564"/>
      <c r="Z65" s="564" t="s">
        <v>380</v>
      </c>
      <c r="AA65" s="564"/>
      <c r="AB65" s="564"/>
      <c r="AC65" s="564"/>
      <c r="AD65" s="564"/>
      <c r="AE65" s="564" t="s">
        <v>380</v>
      </c>
      <c r="AF65" s="564"/>
      <c r="AG65" s="564"/>
      <c r="AH65" s="564"/>
      <c r="AI65" s="564"/>
      <c r="AJ65" s="564" t="s">
        <v>380</v>
      </c>
      <c r="AK65" s="564"/>
      <c r="AL65" s="564"/>
      <c r="AM65" s="564"/>
      <c r="AN65" s="564"/>
      <c r="AO65" s="564" t="s">
        <v>380</v>
      </c>
      <c r="AP65" s="564"/>
      <c r="AQ65" s="564"/>
      <c r="AR65" s="564"/>
      <c r="AS65" s="564"/>
      <c r="AT65" s="564" t="s">
        <v>380</v>
      </c>
      <c r="AU65" s="564"/>
      <c r="AV65" s="564"/>
      <c r="AW65" s="564"/>
      <c r="AX65" s="564"/>
    </row>
    <row r="66" spans="2:50" ht="14.25" customHeight="1">
      <c r="B66" s="564"/>
      <c r="C66" s="564"/>
      <c r="D66" s="564"/>
      <c r="E66" s="180" t="s">
        <v>161</v>
      </c>
      <c r="F66" s="180" t="s">
        <v>381</v>
      </c>
      <c r="G66" s="180" t="s">
        <v>163</v>
      </c>
      <c r="H66" s="564"/>
      <c r="I66" s="181" t="s">
        <v>161</v>
      </c>
      <c r="J66" s="181" t="s">
        <v>381</v>
      </c>
      <c r="K66" s="181" t="s">
        <v>163</v>
      </c>
      <c r="L66" s="628"/>
      <c r="M66" s="628"/>
      <c r="N66" s="564"/>
      <c r="O66" s="564"/>
      <c r="P66" s="180" t="s">
        <v>161</v>
      </c>
      <c r="Q66" s="180" t="s">
        <v>381</v>
      </c>
      <c r="R66" s="180" t="s">
        <v>163</v>
      </c>
      <c r="S66" s="182" t="s">
        <v>167</v>
      </c>
      <c r="T66" s="564"/>
      <c r="U66" s="180" t="s">
        <v>161</v>
      </c>
      <c r="V66" s="180" t="s">
        <v>381</v>
      </c>
      <c r="W66" s="180" t="s">
        <v>163</v>
      </c>
      <c r="X66" s="182" t="s">
        <v>167</v>
      </c>
      <c r="Y66" s="564"/>
      <c r="Z66" s="180" t="s">
        <v>161</v>
      </c>
      <c r="AA66" s="180" t="s">
        <v>381</v>
      </c>
      <c r="AB66" s="180" t="s">
        <v>163</v>
      </c>
      <c r="AC66" s="182" t="s">
        <v>167</v>
      </c>
      <c r="AD66" s="564"/>
      <c r="AE66" s="180" t="s">
        <v>161</v>
      </c>
      <c r="AF66" s="180" t="s">
        <v>381</v>
      </c>
      <c r="AG66" s="180" t="s">
        <v>163</v>
      </c>
      <c r="AH66" s="182" t="s">
        <v>167</v>
      </c>
      <c r="AI66" s="564"/>
      <c r="AJ66" s="180" t="s">
        <v>161</v>
      </c>
      <c r="AK66" s="180" t="s">
        <v>381</v>
      </c>
      <c r="AL66" s="180" t="s">
        <v>163</v>
      </c>
      <c r="AM66" s="182" t="s">
        <v>167</v>
      </c>
      <c r="AN66" s="564"/>
      <c r="AO66" s="180" t="s">
        <v>161</v>
      </c>
      <c r="AP66" s="180" t="s">
        <v>381</v>
      </c>
      <c r="AQ66" s="180" t="s">
        <v>163</v>
      </c>
      <c r="AR66" s="182" t="s">
        <v>167</v>
      </c>
      <c r="AS66" s="564"/>
      <c r="AT66" s="180" t="s">
        <v>161</v>
      </c>
      <c r="AU66" s="180" t="s">
        <v>381</v>
      </c>
      <c r="AV66" s="180" t="s">
        <v>163</v>
      </c>
      <c r="AW66" s="182" t="s">
        <v>167</v>
      </c>
      <c r="AX66" s="564"/>
    </row>
    <row r="67" spans="2:50" ht="14.25" customHeight="1">
      <c r="B67" s="565" t="s">
        <v>456</v>
      </c>
      <c r="C67" s="180">
        <v>1</v>
      </c>
      <c r="D67" s="183" t="s">
        <v>356</v>
      </c>
      <c r="E67" s="180">
        <v>21</v>
      </c>
      <c r="F67" s="180">
        <v>2790</v>
      </c>
      <c r="G67" s="185">
        <f t="shared" ref="G67:G68" si="59">F67/E67</f>
        <v>132.85714285714286</v>
      </c>
      <c r="H67" s="625">
        <f>AVERAGE(G67:G81)</f>
        <v>366.42857142857144</v>
      </c>
      <c r="I67" s="186">
        <f>AVERAGE(P67,U67,Z67,AE67,AJ67,AO67,AT67)</f>
        <v>22</v>
      </c>
      <c r="J67" s="186">
        <f>AVERAGE(Q67,V67,AA67,AF67,AK67,AP67,AU67)</f>
        <v>2628.6806364993768</v>
      </c>
      <c r="K67" s="187">
        <f>AVERAGE(R67,W67,AB67,AG67,AL67,AQ67,AV67)</f>
        <v>119.48548347724441</v>
      </c>
      <c r="L67" s="626">
        <f>IFERROR(AVERAGE(K67:K81),"-")</f>
        <v>331.53994862229206</v>
      </c>
      <c r="M67" s="186">
        <f>RANK(K67, K$67:$K$81)</f>
        <v>2</v>
      </c>
      <c r="N67" s="564"/>
      <c r="O67" s="564"/>
      <c r="P67" s="188">
        <v>22</v>
      </c>
      <c r="Q67" s="188">
        <v>2628.7960687960681</v>
      </c>
      <c r="R67" s="185">
        <f>IFERROR(Q67/P67,"")</f>
        <v>119.49073039982127</v>
      </c>
      <c r="S67" s="182">
        <f>RANK(R67, R$67:R$81)</f>
        <v>2</v>
      </c>
      <c r="T67" s="625">
        <f>AVERAGE(R67:R81)</f>
        <v>331.63945888626449</v>
      </c>
      <c r="U67" s="188">
        <v>22</v>
      </c>
      <c r="V67" s="188">
        <v>2628.5714285714325</v>
      </c>
      <c r="W67" s="185">
        <f t="shared" ref="W67:W68" si="60">IFERROR(V67/U67,"")</f>
        <v>119.48051948051966</v>
      </c>
      <c r="X67" s="182">
        <f>RANK(W67, W$67:W$81)</f>
        <v>2</v>
      </c>
      <c r="Y67" s="625">
        <f>AVERAGE(W67:W81)</f>
        <v>331.55451459987052</v>
      </c>
      <c r="Z67" s="188">
        <v>22</v>
      </c>
      <c r="AA67" s="188">
        <v>2628.7694974003471</v>
      </c>
      <c r="AB67" s="185">
        <f t="shared" ref="AB67:AB68" si="61">IFERROR(AA67/Z67,"")</f>
        <v>119.48952260910669</v>
      </c>
      <c r="AC67" s="182">
        <f>RANK(AB67, AB$67:AB$81)</f>
        <v>2</v>
      </c>
      <c r="AD67" s="625">
        <f>AVERAGE(AB67:AB81)</f>
        <v>331.51565551846323</v>
      </c>
      <c r="AE67" s="188">
        <v>22</v>
      </c>
      <c r="AF67" s="188">
        <v>2628.8032454361078</v>
      </c>
      <c r="AG67" s="185">
        <f>IFERROR(AF67/AE67,"")</f>
        <v>119.49105661073217</v>
      </c>
      <c r="AH67" s="182">
        <f>RANK(AG67, AG$67:AG$81)</f>
        <v>2</v>
      </c>
      <c r="AI67" s="625">
        <f>AVERAGE(AG67:AG81)</f>
        <v>331.49440722913232</v>
      </c>
      <c r="AJ67" s="188">
        <v>22</v>
      </c>
      <c r="AK67" s="188">
        <v>2628.4963887065019</v>
      </c>
      <c r="AL67" s="185">
        <f t="shared" ref="AL67:AL68" si="62">IFERROR(AK67/AJ67,"")</f>
        <v>119.47710857756827</v>
      </c>
      <c r="AM67" s="182">
        <f>RANK(AL67, AL$67:AL$81)</f>
        <v>2</v>
      </c>
      <c r="AN67" s="625">
        <f>AVERAGE(AL67:AL81)</f>
        <v>331.51098317280974</v>
      </c>
      <c r="AO67" s="188">
        <v>22</v>
      </c>
      <c r="AP67" s="188">
        <v>2628.8602941176487</v>
      </c>
      <c r="AQ67" s="185">
        <f t="shared" ref="AQ67:AQ68" si="63">IFERROR(AP67/AO67,"")</f>
        <v>119.4936497326204</v>
      </c>
      <c r="AR67" s="182">
        <f>RANK(AQ67, AQ$67:AQ$81)</f>
        <v>2</v>
      </c>
      <c r="AS67" s="625">
        <f>AVERAGE(AQ67:AQ81)</f>
        <v>331.53886026454057</v>
      </c>
      <c r="AT67" s="188">
        <v>22</v>
      </c>
      <c r="AU67" s="188">
        <v>2628.4675324675327</v>
      </c>
      <c r="AV67" s="185">
        <f t="shared" ref="AV67:AV68" si="64">IFERROR(AU67/AT67,"")</f>
        <v>119.4757969303424</v>
      </c>
      <c r="AW67" s="182">
        <f>RANK(AV67, AV$67:AV$81)</f>
        <v>2</v>
      </c>
      <c r="AX67" s="625">
        <f>AVERAGE(AV67:AV81)</f>
        <v>331.5257606849633</v>
      </c>
    </row>
    <row r="68" spans="2:50" ht="14.25" customHeight="1">
      <c r="B68" s="564"/>
      <c r="C68" s="180">
        <v>2</v>
      </c>
      <c r="D68" s="183" t="s">
        <v>608</v>
      </c>
      <c r="E68" s="180">
        <v>6</v>
      </c>
      <c r="F68" s="180">
        <v>3600</v>
      </c>
      <c r="G68" s="185">
        <f t="shared" si="59"/>
        <v>600</v>
      </c>
      <c r="H68" s="625"/>
      <c r="I68" s="186">
        <f t="shared" ref="I68:K68" si="65">AVERAGE(P68,U68,Z68,AE68,AJ68,AO68,AT68)</f>
        <v>6</v>
      </c>
      <c r="J68" s="186">
        <f t="shared" si="65"/>
        <v>3261.5664826040374</v>
      </c>
      <c r="K68" s="187">
        <f t="shared" si="65"/>
        <v>543.59441376733969</v>
      </c>
      <c r="L68" s="626"/>
      <c r="M68" s="186">
        <f>RANK(K68, K$67:$K$81)</f>
        <v>1</v>
      </c>
      <c r="N68" s="564"/>
      <c r="O68" s="564"/>
      <c r="P68" s="188">
        <v>6</v>
      </c>
      <c r="Q68" s="188">
        <v>3262.7291242362467</v>
      </c>
      <c r="R68" s="185">
        <f t="shared" ref="R68" si="66">IFERROR(Q68/P68,"")</f>
        <v>543.78818737270774</v>
      </c>
      <c r="S68" s="182">
        <f>RANK(R68, R$67:R$81)</f>
        <v>1</v>
      </c>
      <c r="T68" s="625"/>
      <c r="U68" s="188">
        <v>6</v>
      </c>
      <c r="V68" s="188">
        <v>3261.7710583153284</v>
      </c>
      <c r="W68" s="185">
        <f t="shared" si="60"/>
        <v>543.62850971922137</v>
      </c>
      <c r="X68" s="182">
        <f>RANK(W68, W$67:W$81)</f>
        <v>1</v>
      </c>
      <c r="Y68" s="625"/>
      <c r="Z68" s="188">
        <v>6</v>
      </c>
      <c r="AA68" s="188">
        <v>3261.2507305669192</v>
      </c>
      <c r="AB68" s="185">
        <f t="shared" si="61"/>
        <v>543.54178842781982</v>
      </c>
      <c r="AC68" s="182">
        <f>RANK(AB68, AB$67:AB$81)</f>
        <v>1</v>
      </c>
      <c r="AD68" s="625"/>
      <c r="AE68" s="188">
        <v>6</v>
      </c>
      <c r="AF68" s="188">
        <v>3260.9865470851951</v>
      </c>
      <c r="AG68" s="185">
        <f t="shared" ref="AG68" si="67">IFERROR(AF68/AE68,"")</f>
        <v>543.49775784753251</v>
      </c>
      <c r="AH68" s="182">
        <f>RANK(AG68, AG$67:AG$81)</f>
        <v>1</v>
      </c>
      <c r="AI68" s="625"/>
      <c r="AJ68" s="188">
        <v>6</v>
      </c>
      <c r="AK68" s="188">
        <v>3261.269146608307</v>
      </c>
      <c r="AL68" s="185">
        <f t="shared" si="62"/>
        <v>543.5448577680512</v>
      </c>
      <c r="AM68" s="182">
        <f>RANK(AL68, AL$67:AL$81)</f>
        <v>1</v>
      </c>
      <c r="AN68" s="625"/>
      <c r="AO68" s="188">
        <v>6</v>
      </c>
      <c r="AP68" s="188">
        <v>3261.5044247787646</v>
      </c>
      <c r="AQ68" s="185">
        <f t="shared" si="63"/>
        <v>543.58407079646076</v>
      </c>
      <c r="AR68" s="182">
        <f>RANK(AQ68, AQ$67:AQ$81)</f>
        <v>1</v>
      </c>
      <c r="AS68" s="625"/>
      <c r="AT68" s="188">
        <v>6</v>
      </c>
      <c r="AU68" s="188">
        <v>3261.4543466375048</v>
      </c>
      <c r="AV68" s="185">
        <f t="shared" si="64"/>
        <v>543.57572443958418</v>
      </c>
      <c r="AW68" s="182">
        <f>RANK(AV68, AV$67:AV$81)</f>
        <v>1</v>
      </c>
      <c r="AX68" s="625"/>
    </row>
    <row r="69" spans="2:50" ht="14.25" customHeight="1">
      <c r="B69" s="564"/>
      <c r="C69" s="180">
        <v>3</v>
      </c>
      <c r="D69" s="183"/>
      <c r="E69" s="180"/>
      <c r="F69" s="180"/>
      <c r="G69" s="185"/>
      <c r="H69" s="625"/>
      <c r="I69" s="186"/>
      <c r="J69" s="186"/>
      <c r="K69" s="187"/>
      <c r="L69" s="626"/>
      <c r="M69" s="186"/>
      <c r="N69" s="564"/>
      <c r="O69" s="564"/>
      <c r="P69" s="188"/>
      <c r="Q69" s="188"/>
      <c r="R69" s="185"/>
      <c r="S69" s="182"/>
      <c r="T69" s="625"/>
      <c r="U69" s="188"/>
      <c r="V69" s="188"/>
      <c r="W69" s="185"/>
      <c r="X69" s="182"/>
      <c r="Y69" s="625"/>
      <c r="Z69" s="188"/>
      <c r="AA69" s="188"/>
      <c r="AB69" s="185"/>
      <c r="AC69" s="182"/>
      <c r="AD69" s="625"/>
      <c r="AE69" s="188"/>
      <c r="AF69" s="188"/>
      <c r="AG69" s="185"/>
      <c r="AH69" s="182"/>
      <c r="AI69" s="625"/>
      <c r="AJ69" s="188"/>
      <c r="AK69" s="188"/>
      <c r="AL69" s="185"/>
      <c r="AM69" s="182"/>
      <c r="AN69" s="625"/>
      <c r="AO69" s="188"/>
      <c r="AP69" s="188"/>
      <c r="AQ69" s="185"/>
      <c r="AR69" s="182"/>
      <c r="AS69" s="625"/>
      <c r="AT69" s="188"/>
      <c r="AU69" s="188"/>
      <c r="AV69" s="185"/>
      <c r="AW69" s="182"/>
      <c r="AX69" s="625"/>
    </row>
    <row r="70" spans="2:50" ht="14.25" customHeight="1">
      <c r="B70" s="564"/>
      <c r="C70" s="180">
        <v>4</v>
      </c>
      <c r="D70" s="183"/>
      <c r="E70" s="180"/>
      <c r="F70" s="180"/>
      <c r="G70" s="185"/>
      <c r="H70" s="625"/>
      <c r="I70" s="186"/>
      <c r="J70" s="186"/>
      <c r="K70" s="187"/>
      <c r="L70" s="626"/>
      <c r="M70" s="186"/>
      <c r="N70" s="564"/>
      <c r="O70" s="564"/>
      <c r="P70" s="188"/>
      <c r="Q70" s="188"/>
      <c r="R70" s="185"/>
      <c r="S70" s="182"/>
      <c r="T70" s="625"/>
      <c r="U70" s="188"/>
      <c r="V70" s="188"/>
      <c r="W70" s="185"/>
      <c r="X70" s="182"/>
      <c r="Y70" s="625"/>
      <c r="Z70" s="188"/>
      <c r="AA70" s="188"/>
      <c r="AB70" s="185"/>
      <c r="AC70" s="182"/>
      <c r="AD70" s="625"/>
      <c r="AE70" s="188"/>
      <c r="AF70" s="188"/>
      <c r="AG70" s="185"/>
      <c r="AH70" s="182"/>
      <c r="AI70" s="625"/>
      <c r="AJ70" s="188"/>
      <c r="AK70" s="188"/>
      <c r="AL70" s="185"/>
      <c r="AM70" s="182"/>
      <c r="AN70" s="625"/>
      <c r="AO70" s="188"/>
      <c r="AP70" s="188"/>
      <c r="AQ70" s="185"/>
      <c r="AR70" s="182"/>
      <c r="AS70" s="625"/>
      <c r="AT70" s="188"/>
      <c r="AU70" s="188"/>
      <c r="AV70" s="185"/>
      <c r="AW70" s="182"/>
      <c r="AX70" s="625"/>
    </row>
    <row r="71" spans="2:50" ht="14.25" customHeight="1">
      <c r="B71" s="564"/>
      <c r="C71" s="180">
        <v>5</v>
      </c>
      <c r="D71" s="183"/>
      <c r="E71" s="180"/>
      <c r="F71" s="180"/>
      <c r="G71" s="185"/>
      <c r="H71" s="625"/>
      <c r="I71" s="186"/>
      <c r="J71" s="186"/>
      <c r="K71" s="187"/>
      <c r="L71" s="626"/>
      <c r="M71" s="186"/>
      <c r="N71" s="564"/>
      <c r="O71" s="564"/>
      <c r="P71" s="188"/>
      <c r="Q71" s="188"/>
      <c r="R71" s="185"/>
      <c r="S71" s="182"/>
      <c r="T71" s="625"/>
      <c r="U71" s="188"/>
      <c r="V71" s="188"/>
      <c r="W71" s="185"/>
      <c r="X71" s="182"/>
      <c r="Y71" s="625"/>
      <c r="Z71" s="188"/>
      <c r="AA71" s="188"/>
      <c r="AB71" s="185"/>
      <c r="AC71" s="182"/>
      <c r="AD71" s="625"/>
      <c r="AE71" s="188"/>
      <c r="AF71" s="188"/>
      <c r="AG71" s="185"/>
      <c r="AH71" s="182"/>
      <c r="AI71" s="625"/>
      <c r="AJ71" s="188"/>
      <c r="AK71" s="188"/>
      <c r="AL71" s="185"/>
      <c r="AM71" s="182"/>
      <c r="AN71" s="625"/>
      <c r="AO71" s="188"/>
      <c r="AP71" s="188"/>
      <c r="AQ71" s="185"/>
      <c r="AR71" s="182"/>
      <c r="AS71" s="625"/>
      <c r="AT71" s="188"/>
      <c r="AU71" s="188"/>
      <c r="AV71" s="185"/>
      <c r="AW71" s="182"/>
      <c r="AX71" s="625"/>
    </row>
    <row r="72" spans="2:50" ht="14.25" customHeight="1">
      <c r="B72" s="564"/>
      <c r="C72" s="180">
        <v>6</v>
      </c>
      <c r="D72" s="183"/>
      <c r="E72" s="180"/>
      <c r="F72" s="180"/>
      <c r="G72" s="185"/>
      <c r="H72" s="625"/>
      <c r="I72" s="186"/>
      <c r="J72" s="186"/>
      <c r="K72" s="187"/>
      <c r="L72" s="626"/>
      <c r="M72" s="186"/>
      <c r="N72" s="564"/>
      <c r="O72" s="564"/>
      <c r="P72" s="188"/>
      <c r="Q72" s="188"/>
      <c r="R72" s="185"/>
      <c r="S72" s="182"/>
      <c r="T72" s="625"/>
      <c r="U72" s="188"/>
      <c r="V72" s="188"/>
      <c r="W72" s="185"/>
      <c r="X72" s="182"/>
      <c r="Y72" s="625"/>
      <c r="Z72" s="188"/>
      <c r="AA72" s="188"/>
      <c r="AB72" s="185"/>
      <c r="AC72" s="182"/>
      <c r="AD72" s="625"/>
      <c r="AE72" s="188"/>
      <c r="AF72" s="188"/>
      <c r="AG72" s="185"/>
      <c r="AH72" s="182"/>
      <c r="AI72" s="625"/>
      <c r="AJ72" s="188"/>
      <c r="AK72" s="188"/>
      <c r="AL72" s="185"/>
      <c r="AM72" s="182"/>
      <c r="AN72" s="625"/>
      <c r="AO72" s="188"/>
      <c r="AP72" s="188"/>
      <c r="AQ72" s="185"/>
      <c r="AR72" s="182"/>
      <c r="AS72" s="625"/>
      <c r="AT72" s="188"/>
      <c r="AU72" s="188"/>
      <c r="AV72" s="185"/>
      <c r="AW72" s="182"/>
      <c r="AX72" s="625"/>
    </row>
    <row r="73" spans="2:50" ht="14.25" customHeight="1">
      <c r="B73" s="564"/>
      <c r="C73" s="180">
        <v>7</v>
      </c>
      <c r="D73" s="183"/>
      <c r="E73" s="180"/>
      <c r="F73" s="180"/>
      <c r="G73" s="185"/>
      <c r="H73" s="625"/>
      <c r="I73" s="186"/>
      <c r="J73" s="186"/>
      <c r="K73" s="187"/>
      <c r="L73" s="626"/>
      <c r="M73" s="186"/>
      <c r="N73" s="564"/>
      <c r="O73" s="564"/>
      <c r="P73" s="188"/>
      <c r="Q73" s="188"/>
      <c r="R73" s="185"/>
      <c r="S73" s="182"/>
      <c r="T73" s="625"/>
      <c r="U73" s="188"/>
      <c r="V73" s="188"/>
      <c r="W73" s="185"/>
      <c r="X73" s="182"/>
      <c r="Y73" s="625"/>
      <c r="Z73" s="188"/>
      <c r="AA73" s="188"/>
      <c r="AB73" s="185"/>
      <c r="AC73" s="182"/>
      <c r="AD73" s="625"/>
      <c r="AE73" s="188"/>
      <c r="AF73" s="188"/>
      <c r="AG73" s="185"/>
      <c r="AH73" s="182"/>
      <c r="AI73" s="625"/>
      <c r="AJ73" s="188"/>
      <c r="AK73" s="188"/>
      <c r="AL73" s="185"/>
      <c r="AM73" s="182"/>
      <c r="AN73" s="625"/>
      <c r="AO73" s="188"/>
      <c r="AP73" s="188"/>
      <c r="AQ73" s="185"/>
      <c r="AR73" s="182"/>
      <c r="AS73" s="625"/>
      <c r="AT73" s="188"/>
      <c r="AU73" s="188"/>
      <c r="AV73" s="185"/>
      <c r="AW73" s="182"/>
      <c r="AX73" s="625"/>
    </row>
    <row r="74" spans="2:50" ht="14.25" customHeight="1">
      <c r="B74" s="564"/>
      <c r="C74" s="180">
        <v>8</v>
      </c>
      <c r="D74" s="183"/>
      <c r="E74" s="180"/>
      <c r="F74" s="180"/>
      <c r="G74" s="185"/>
      <c r="H74" s="625"/>
      <c r="I74" s="186"/>
      <c r="J74" s="186"/>
      <c r="K74" s="187"/>
      <c r="L74" s="626"/>
      <c r="M74" s="186"/>
      <c r="N74" s="564"/>
      <c r="O74" s="564"/>
      <c r="P74" s="188"/>
      <c r="Q74" s="188"/>
      <c r="R74" s="185"/>
      <c r="S74" s="182"/>
      <c r="T74" s="625"/>
      <c r="U74" s="188"/>
      <c r="V74" s="188"/>
      <c r="W74" s="185"/>
      <c r="X74" s="182"/>
      <c r="Y74" s="625"/>
      <c r="Z74" s="188"/>
      <c r="AA74" s="188"/>
      <c r="AB74" s="185"/>
      <c r="AC74" s="182"/>
      <c r="AD74" s="625"/>
      <c r="AE74" s="188"/>
      <c r="AF74" s="188"/>
      <c r="AG74" s="185"/>
      <c r="AH74" s="182"/>
      <c r="AI74" s="625"/>
      <c r="AJ74" s="188"/>
      <c r="AK74" s="188"/>
      <c r="AL74" s="185"/>
      <c r="AM74" s="182"/>
      <c r="AN74" s="625"/>
      <c r="AO74" s="188"/>
      <c r="AP74" s="188"/>
      <c r="AQ74" s="185"/>
      <c r="AR74" s="182"/>
      <c r="AS74" s="625"/>
      <c r="AT74" s="188"/>
      <c r="AU74" s="188"/>
      <c r="AV74" s="185"/>
      <c r="AW74" s="182"/>
      <c r="AX74" s="625"/>
    </row>
    <row r="75" spans="2:50" ht="14.25" customHeight="1">
      <c r="B75" s="564"/>
      <c r="C75" s="180">
        <v>9</v>
      </c>
      <c r="D75" s="183"/>
      <c r="E75" s="180"/>
      <c r="F75" s="180"/>
      <c r="G75" s="185"/>
      <c r="H75" s="625"/>
      <c r="I75" s="186"/>
      <c r="J75" s="186"/>
      <c r="K75" s="187"/>
      <c r="L75" s="626"/>
      <c r="M75" s="186"/>
      <c r="N75" s="564"/>
      <c r="O75" s="564"/>
      <c r="P75" s="188"/>
      <c r="Q75" s="188"/>
      <c r="R75" s="185"/>
      <c r="S75" s="182"/>
      <c r="T75" s="625"/>
      <c r="U75" s="188"/>
      <c r="V75" s="188"/>
      <c r="W75" s="185"/>
      <c r="X75" s="182"/>
      <c r="Y75" s="625"/>
      <c r="Z75" s="188"/>
      <c r="AA75" s="188"/>
      <c r="AB75" s="185"/>
      <c r="AC75" s="182"/>
      <c r="AD75" s="625"/>
      <c r="AE75" s="188"/>
      <c r="AF75" s="188"/>
      <c r="AG75" s="185"/>
      <c r="AH75" s="182"/>
      <c r="AI75" s="625"/>
      <c r="AJ75" s="188"/>
      <c r="AK75" s="188"/>
      <c r="AL75" s="185"/>
      <c r="AM75" s="182"/>
      <c r="AN75" s="625"/>
      <c r="AO75" s="188"/>
      <c r="AP75" s="188"/>
      <c r="AQ75" s="185"/>
      <c r="AR75" s="182"/>
      <c r="AS75" s="625"/>
      <c r="AT75" s="188"/>
      <c r="AU75" s="188"/>
      <c r="AV75" s="185"/>
      <c r="AW75" s="182"/>
      <c r="AX75" s="625"/>
    </row>
    <row r="76" spans="2:50" ht="14.25" customHeight="1">
      <c r="B76" s="564"/>
      <c r="C76" s="180">
        <v>10</v>
      </c>
      <c r="D76" s="183"/>
      <c r="E76" s="180"/>
      <c r="F76" s="180"/>
      <c r="G76" s="185"/>
      <c r="H76" s="625"/>
      <c r="I76" s="186"/>
      <c r="J76" s="186"/>
      <c r="K76" s="187"/>
      <c r="L76" s="626"/>
      <c r="M76" s="186"/>
      <c r="N76" s="564"/>
      <c r="O76" s="564"/>
      <c r="P76" s="188"/>
      <c r="Q76" s="188"/>
      <c r="R76" s="185"/>
      <c r="S76" s="182"/>
      <c r="T76" s="625"/>
      <c r="U76" s="188"/>
      <c r="V76" s="188"/>
      <c r="W76" s="185"/>
      <c r="X76" s="182"/>
      <c r="Y76" s="625"/>
      <c r="Z76" s="188"/>
      <c r="AA76" s="188"/>
      <c r="AB76" s="185"/>
      <c r="AC76" s="182"/>
      <c r="AD76" s="625"/>
      <c r="AE76" s="188"/>
      <c r="AF76" s="188"/>
      <c r="AG76" s="185"/>
      <c r="AH76" s="182"/>
      <c r="AI76" s="625"/>
      <c r="AJ76" s="188"/>
      <c r="AK76" s="188"/>
      <c r="AL76" s="185"/>
      <c r="AM76" s="182"/>
      <c r="AN76" s="625"/>
      <c r="AO76" s="188"/>
      <c r="AP76" s="188"/>
      <c r="AQ76" s="185"/>
      <c r="AR76" s="182"/>
      <c r="AS76" s="625"/>
      <c r="AT76" s="188"/>
      <c r="AU76" s="188"/>
      <c r="AV76" s="185"/>
      <c r="AW76" s="182"/>
      <c r="AX76" s="625"/>
    </row>
    <row r="77" spans="2:50" ht="14.25" customHeight="1">
      <c r="B77" s="564"/>
      <c r="C77" s="180">
        <v>11</v>
      </c>
      <c r="D77" s="183"/>
      <c r="E77" s="180"/>
      <c r="F77" s="180"/>
      <c r="G77" s="185"/>
      <c r="H77" s="625"/>
      <c r="I77" s="186"/>
      <c r="J77" s="186"/>
      <c r="K77" s="187"/>
      <c r="L77" s="626"/>
      <c r="M77" s="186"/>
      <c r="N77" s="564"/>
      <c r="O77" s="564"/>
      <c r="P77" s="188"/>
      <c r="Q77" s="188"/>
      <c r="R77" s="185"/>
      <c r="S77" s="182"/>
      <c r="T77" s="625"/>
      <c r="U77" s="188"/>
      <c r="V77" s="188"/>
      <c r="W77" s="185"/>
      <c r="X77" s="182"/>
      <c r="Y77" s="625"/>
      <c r="Z77" s="188"/>
      <c r="AA77" s="188"/>
      <c r="AB77" s="185"/>
      <c r="AC77" s="182"/>
      <c r="AD77" s="625"/>
      <c r="AE77" s="188"/>
      <c r="AF77" s="188"/>
      <c r="AG77" s="185"/>
      <c r="AH77" s="182"/>
      <c r="AI77" s="625"/>
      <c r="AJ77" s="188"/>
      <c r="AK77" s="188"/>
      <c r="AL77" s="185"/>
      <c r="AM77" s="182"/>
      <c r="AN77" s="625"/>
      <c r="AO77" s="188"/>
      <c r="AP77" s="188"/>
      <c r="AQ77" s="185"/>
      <c r="AR77" s="182"/>
      <c r="AS77" s="625"/>
      <c r="AT77" s="188"/>
      <c r="AU77" s="188"/>
      <c r="AV77" s="185"/>
      <c r="AW77" s="182"/>
      <c r="AX77" s="625"/>
    </row>
    <row r="78" spans="2:50" ht="14.25" customHeight="1">
      <c r="B78" s="564"/>
      <c r="C78" s="180">
        <v>12</v>
      </c>
      <c r="D78" s="183"/>
      <c r="E78" s="180"/>
      <c r="F78" s="180"/>
      <c r="G78" s="185"/>
      <c r="H78" s="625"/>
      <c r="I78" s="186"/>
      <c r="J78" s="186"/>
      <c r="K78" s="187"/>
      <c r="L78" s="626"/>
      <c r="M78" s="186"/>
      <c r="N78" s="564"/>
      <c r="O78" s="564"/>
      <c r="P78" s="188"/>
      <c r="Q78" s="188"/>
      <c r="R78" s="185"/>
      <c r="S78" s="182"/>
      <c r="T78" s="625"/>
      <c r="U78" s="188"/>
      <c r="V78" s="188"/>
      <c r="W78" s="185"/>
      <c r="X78" s="182"/>
      <c r="Y78" s="625"/>
      <c r="Z78" s="188"/>
      <c r="AA78" s="188"/>
      <c r="AB78" s="185"/>
      <c r="AC78" s="182"/>
      <c r="AD78" s="625"/>
      <c r="AE78" s="188"/>
      <c r="AF78" s="188"/>
      <c r="AG78" s="185"/>
      <c r="AH78" s="182"/>
      <c r="AI78" s="625"/>
      <c r="AJ78" s="188"/>
      <c r="AK78" s="188"/>
      <c r="AL78" s="185"/>
      <c r="AM78" s="182"/>
      <c r="AN78" s="625"/>
      <c r="AO78" s="188"/>
      <c r="AP78" s="188"/>
      <c r="AQ78" s="185"/>
      <c r="AR78" s="182"/>
      <c r="AS78" s="625"/>
      <c r="AT78" s="188"/>
      <c r="AU78" s="188"/>
      <c r="AV78" s="185"/>
      <c r="AW78" s="182"/>
      <c r="AX78" s="625"/>
    </row>
    <row r="79" spans="2:50" ht="14.25" customHeight="1">
      <c r="B79" s="564"/>
      <c r="C79" s="180">
        <v>13</v>
      </c>
      <c r="D79" s="183"/>
      <c r="E79" s="180"/>
      <c r="F79" s="180"/>
      <c r="G79" s="185"/>
      <c r="H79" s="625"/>
      <c r="I79" s="186"/>
      <c r="J79" s="186"/>
      <c r="K79" s="187"/>
      <c r="L79" s="626"/>
      <c r="M79" s="186"/>
      <c r="N79" s="564"/>
      <c r="O79" s="564"/>
      <c r="P79" s="188"/>
      <c r="Q79" s="188"/>
      <c r="R79" s="185"/>
      <c r="S79" s="182"/>
      <c r="T79" s="625"/>
      <c r="U79" s="188"/>
      <c r="V79" s="188"/>
      <c r="W79" s="185"/>
      <c r="X79" s="182"/>
      <c r="Y79" s="625"/>
      <c r="Z79" s="188"/>
      <c r="AA79" s="188"/>
      <c r="AB79" s="185"/>
      <c r="AC79" s="182"/>
      <c r="AD79" s="625"/>
      <c r="AE79" s="188"/>
      <c r="AF79" s="188"/>
      <c r="AG79" s="185"/>
      <c r="AH79" s="182"/>
      <c r="AI79" s="625"/>
      <c r="AJ79" s="188"/>
      <c r="AK79" s="188"/>
      <c r="AL79" s="185"/>
      <c r="AM79" s="182"/>
      <c r="AN79" s="625"/>
      <c r="AO79" s="188"/>
      <c r="AP79" s="188"/>
      <c r="AQ79" s="185"/>
      <c r="AR79" s="182"/>
      <c r="AS79" s="625"/>
      <c r="AT79" s="188"/>
      <c r="AU79" s="188"/>
      <c r="AV79" s="185"/>
      <c r="AW79" s="182"/>
      <c r="AX79" s="625"/>
    </row>
    <row r="80" spans="2:50" ht="14.25" customHeight="1">
      <c r="B80" s="564"/>
      <c r="C80" s="180">
        <v>14</v>
      </c>
      <c r="D80" s="183"/>
      <c r="E80" s="180"/>
      <c r="F80" s="180"/>
      <c r="G80" s="185"/>
      <c r="H80" s="625"/>
      <c r="I80" s="186"/>
      <c r="J80" s="186"/>
      <c r="K80" s="187"/>
      <c r="L80" s="626"/>
      <c r="M80" s="186"/>
      <c r="N80" s="564"/>
      <c r="O80" s="564"/>
      <c r="P80" s="188"/>
      <c r="Q80" s="188"/>
      <c r="R80" s="185"/>
      <c r="S80" s="182"/>
      <c r="T80" s="625"/>
      <c r="U80" s="188"/>
      <c r="V80" s="188"/>
      <c r="W80" s="185"/>
      <c r="X80" s="182"/>
      <c r="Y80" s="625"/>
      <c r="Z80" s="188"/>
      <c r="AA80" s="188"/>
      <c r="AB80" s="185"/>
      <c r="AC80" s="182"/>
      <c r="AD80" s="625"/>
      <c r="AE80" s="188"/>
      <c r="AF80" s="188"/>
      <c r="AG80" s="185"/>
      <c r="AH80" s="182"/>
      <c r="AI80" s="625"/>
      <c r="AJ80" s="188"/>
      <c r="AK80" s="188"/>
      <c r="AL80" s="185"/>
      <c r="AM80" s="182"/>
      <c r="AN80" s="625"/>
      <c r="AO80" s="188"/>
      <c r="AP80" s="188"/>
      <c r="AQ80" s="185"/>
      <c r="AR80" s="182"/>
      <c r="AS80" s="625"/>
      <c r="AT80" s="188"/>
      <c r="AU80" s="188"/>
      <c r="AV80" s="185"/>
      <c r="AW80" s="182"/>
      <c r="AX80" s="625"/>
    </row>
    <row r="81" spans="2:50" ht="14.25" customHeight="1">
      <c r="B81" s="564"/>
      <c r="C81" s="180">
        <v>15</v>
      </c>
      <c r="D81" s="183"/>
      <c r="E81" s="180"/>
      <c r="F81" s="180"/>
      <c r="G81" s="185"/>
      <c r="H81" s="625"/>
      <c r="I81" s="186"/>
      <c r="J81" s="186"/>
      <c r="K81" s="187"/>
      <c r="L81" s="626"/>
      <c r="M81" s="186"/>
      <c r="N81" s="564"/>
      <c r="O81" s="564"/>
      <c r="P81" s="188"/>
      <c r="Q81" s="188"/>
      <c r="R81" s="185"/>
      <c r="S81" s="182"/>
      <c r="T81" s="625"/>
      <c r="U81" s="188"/>
      <c r="V81" s="188"/>
      <c r="W81" s="185"/>
      <c r="X81" s="182"/>
      <c r="Y81" s="625"/>
      <c r="Z81" s="188"/>
      <c r="AA81" s="188"/>
      <c r="AB81" s="185"/>
      <c r="AC81" s="182"/>
      <c r="AD81" s="625"/>
      <c r="AE81" s="188"/>
      <c r="AF81" s="188"/>
      <c r="AG81" s="185"/>
      <c r="AH81" s="182"/>
      <c r="AI81" s="625"/>
      <c r="AJ81" s="188"/>
      <c r="AK81" s="188"/>
      <c r="AL81" s="185"/>
      <c r="AM81" s="182"/>
      <c r="AN81" s="625"/>
      <c r="AO81" s="188"/>
      <c r="AP81" s="188"/>
      <c r="AQ81" s="185"/>
      <c r="AR81" s="182"/>
      <c r="AS81" s="625"/>
      <c r="AT81" s="188"/>
      <c r="AU81" s="188"/>
      <c r="AV81" s="185"/>
      <c r="AW81" s="182"/>
      <c r="AX81" s="625"/>
    </row>
    <row r="82" spans="2:50" ht="14.25" customHeight="1" collapsed="1">
      <c r="B82" s="641" t="s">
        <v>645</v>
      </c>
      <c r="C82" s="642"/>
      <c r="D82" s="642"/>
      <c r="E82" s="642"/>
      <c r="F82" s="642"/>
      <c r="G82" s="642"/>
      <c r="H82" s="642"/>
      <c r="I82" s="642"/>
      <c r="J82" s="642"/>
      <c r="K82" s="642"/>
      <c r="L82" s="642"/>
      <c r="M82" s="643"/>
      <c r="N82" s="575" t="s">
        <v>377</v>
      </c>
      <c r="O82" s="575" t="s">
        <v>105</v>
      </c>
      <c r="P82" s="655">
        <f>AT62+1</f>
        <v>46105</v>
      </c>
      <c r="Q82" s="656"/>
      <c r="R82" s="656"/>
      <c r="S82" s="656"/>
      <c r="T82" s="656"/>
      <c r="U82" s="657">
        <f>P82+1</f>
        <v>46106</v>
      </c>
      <c r="V82" s="658"/>
      <c r="W82" s="658"/>
      <c r="X82" s="658"/>
      <c r="Y82" s="658"/>
      <c r="Z82" s="655">
        <f t="shared" ref="Z82" si="68">U82+1</f>
        <v>46107</v>
      </c>
      <c r="AA82" s="656"/>
      <c r="AB82" s="656"/>
      <c r="AC82" s="656"/>
      <c r="AD82" s="656"/>
      <c r="AE82" s="657">
        <f t="shared" ref="AE82" si="69">Z82+1</f>
        <v>46108</v>
      </c>
      <c r="AF82" s="658"/>
      <c r="AG82" s="658"/>
      <c r="AH82" s="658"/>
      <c r="AI82" s="658"/>
      <c r="AJ82" s="647">
        <f t="shared" ref="AJ82" si="70">AE82+1</f>
        <v>46109</v>
      </c>
      <c r="AK82" s="648"/>
      <c r="AL82" s="648"/>
      <c r="AM82" s="648"/>
      <c r="AN82" s="649"/>
      <c r="AO82" s="657">
        <f t="shared" ref="AO82" si="71">AJ82+1</f>
        <v>46110</v>
      </c>
      <c r="AP82" s="658"/>
      <c r="AQ82" s="658"/>
      <c r="AR82" s="658"/>
      <c r="AS82" s="658"/>
      <c r="AT82" s="647">
        <f t="shared" ref="AT82" si="72">AO82+1</f>
        <v>46111</v>
      </c>
      <c r="AU82" s="648"/>
      <c r="AV82" s="648"/>
      <c r="AW82" s="648"/>
      <c r="AX82" s="649"/>
    </row>
    <row r="83" spans="2:50" ht="14.25" customHeight="1">
      <c r="B83" s="644"/>
      <c r="C83" s="644"/>
      <c r="D83" s="644"/>
      <c r="E83" s="644"/>
      <c r="F83" s="644"/>
      <c r="G83" s="644"/>
      <c r="H83" s="644"/>
      <c r="I83" s="644"/>
      <c r="J83" s="644"/>
      <c r="K83" s="644"/>
      <c r="L83" s="644"/>
      <c r="M83" s="645"/>
      <c r="N83" s="577"/>
      <c r="O83" s="577"/>
      <c r="P83" s="650">
        <f>P82</f>
        <v>46105</v>
      </c>
      <c r="Q83" s="650"/>
      <c r="R83" s="650"/>
      <c r="S83" s="650"/>
      <c r="T83" s="650"/>
      <c r="U83" s="651">
        <f>U82</f>
        <v>46106</v>
      </c>
      <c r="V83" s="651"/>
      <c r="W83" s="651"/>
      <c r="X83" s="651"/>
      <c r="Y83" s="651"/>
      <c r="Z83" s="650">
        <f t="shared" ref="Z83" si="73">Z82</f>
        <v>46107</v>
      </c>
      <c r="AA83" s="650"/>
      <c r="AB83" s="650"/>
      <c r="AC83" s="650"/>
      <c r="AD83" s="650"/>
      <c r="AE83" s="651">
        <f t="shared" ref="AE83" si="74">AE82</f>
        <v>46108</v>
      </c>
      <c r="AF83" s="651"/>
      <c r="AG83" s="651"/>
      <c r="AH83" s="651"/>
      <c r="AI83" s="651"/>
      <c r="AJ83" s="652">
        <f t="shared" ref="AJ83" si="75">AJ82</f>
        <v>46109</v>
      </c>
      <c r="AK83" s="653"/>
      <c r="AL83" s="653"/>
      <c r="AM83" s="653"/>
      <c r="AN83" s="654"/>
      <c r="AO83" s="651">
        <f t="shared" ref="AO83" si="76">AO82</f>
        <v>46110</v>
      </c>
      <c r="AP83" s="651"/>
      <c r="AQ83" s="651"/>
      <c r="AR83" s="651"/>
      <c r="AS83" s="651"/>
      <c r="AT83" s="652">
        <f t="shared" ref="AT83" si="77">AT82</f>
        <v>46111</v>
      </c>
      <c r="AU83" s="653"/>
      <c r="AV83" s="653"/>
      <c r="AW83" s="653"/>
      <c r="AX83" s="654"/>
    </row>
    <row r="84" spans="2:50" ht="14.25" customHeight="1">
      <c r="B84" s="564" t="s">
        <v>164</v>
      </c>
      <c r="C84" s="564" t="s">
        <v>159</v>
      </c>
      <c r="D84" s="564"/>
      <c r="E84" s="564" t="s">
        <v>160</v>
      </c>
      <c r="F84" s="564"/>
      <c r="G84" s="564"/>
      <c r="H84" s="564" t="s">
        <v>165</v>
      </c>
      <c r="I84" s="628" t="s">
        <v>378</v>
      </c>
      <c r="J84" s="628"/>
      <c r="K84" s="628"/>
      <c r="L84" s="628" t="s">
        <v>165</v>
      </c>
      <c r="M84" s="628" t="s">
        <v>167</v>
      </c>
      <c r="N84" s="564"/>
      <c r="O84" s="564" t="s">
        <v>166</v>
      </c>
      <c r="P84" s="564" t="s">
        <v>162</v>
      </c>
      <c r="Q84" s="564"/>
      <c r="R84" s="564"/>
      <c r="S84" s="564"/>
      <c r="T84" s="564" t="s">
        <v>165</v>
      </c>
      <c r="U84" s="564" t="s">
        <v>162</v>
      </c>
      <c r="V84" s="564"/>
      <c r="W84" s="564"/>
      <c r="X84" s="564"/>
      <c r="Y84" s="564" t="s">
        <v>165</v>
      </c>
      <c r="Z84" s="564" t="s">
        <v>162</v>
      </c>
      <c r="AA84" s="564"/>
      <c r="AB84" s="564"/>
      <c r="AC84" s="564"/>
      <c r="AD84" s="564" t="s">
        <v>165</v>
      </c>
      <c r="AE84" s="564" t="s">
        <v>162</v>
      </c>
      <c r="AF84" s="564"/>
      <c r="AG84" s="564"/>
      <c r="AH84" s="564"/>
      <c r="AI84" s="564" t="s">
        <v>165</v>
      </c>
      <c r="AJ84" s="564" t="s">
        <v>162</v>
      </c>
      <c r="AK84" s="564"/>
      <c r="AL84" s="564"/>
      <c r="AM84" s="564"/>
      <c r="AN84" s="564" t="s">
        <v>165</v>
      </c>
      <c r="AO84" s="564" t="s">
        <v>162</v>
      </c>
      <c r="AP84" s="564"/>
      <c r="AQ84" s="564"/>
      <c r="AR84" s="564"/>
      <c r="AS84" s="564" t="s">
        <v>165</v>
      </c>
      <c r="AT84" s="564" t="s">
        <v>162</v>
      </c>
      <c r="AU84" s="564"/>
      <c r="AV84" s="564"/>
      <c r="AW84" s="564"/>
      <c r="AX84" s="564" t="s">
        <v>165</v>
      </c>
    </row>
    <row r="85" spans="2:50" ht="14.25" customHeight="1">
      <c r="B85" s="564"/>
      <c r="C85" s="564"/>
      <c r="D85" s="564"/>
      <c r="E85" s="564" t="s">
        <v>379</v>
      </c>
      <c r="F85" s="564"/>
      <c r="G85" s="564"/>
      <c r="H85" s="564"/>
      <c r="I85" s="628" t="s">
        <v>379</v>
      </c>
      <c r="J85" s="628"/>
      <c r="K85" s="628"/>
      <c r="L85" s="628"/>
      <c r="M85" s="628"/>
      <c r="N85" s="564"/>
      <c r="O85" s="564"/>
      <c r="P85" s="564" t="s">
        <v>380</v>
      </c>
      <c r="Q85" s="564"/>
      <c r="R85" s="564"/>
      <c r="S85" s="564"/>
      <c r="T85" s="564"/>
      <c r="U85" s="564" t="s">
        <v>380</v>
      </c>
      <c r="V85" s="564"/>
      <c r="W85" s="564"/>
      <c r="X85" s="564"/>
      <c r="Y85" s="564"/>
      <c r="Z85" s="564" t="s">
        <v>380</v>
      </c>
      <c r="AA85" s="564"/>
      <c r="AB85" s="564"/>
      <c r="AC85" s="564"/>
      <c r="AD85" s="564"/>
      <c r="AE85" s="564" t="s">
        <v>380</v>
      </c>
      <c r="AF85" s="564"/>
      <c r="AG85" s="564"/>
      <c r="AH85" s="564"/>
      <c r="AI85" s="564"/>
      <c r="AJ85" s="564" t="s">
        <v>380</v>
      </c>
      <c r="AK85" s="564"/>
      <c r="AL85" s="564"/>
      <c r="AM85" s="564"/>
      <c r="AN85" s="564"/>
      <c r="AO85" s="564" t="s">
        <v>380</v>
      </c>
      <c r="AP85" s="564"/>
      <c r="AQ85" s="564"/>
      <c r="AR85" s="564"/>
      <c r="AS85" s="564"/>
      <c r="AT85" s="564" t="s">
        <v>380</v>
      </c>
      <c r="AU85" s="564"/>
      <c r="AV85" s="564"/>
      <c r="AW85" s="564"/>
      <c r="AX85" s="564"/>
    </row>
    <row r="86" spans="2:50" ht="14.25" customHeight="1">
      <c r="B86" s="564"/>
      <c r="C86" s="564"/>
      <c r="D86" s="564"/>
      <c r="E86" s="180" t="s">
        <v>161</v>
      </c>
      <c r="F86" s="180" t="s">
        <v>381</v>
      </c>
      <c r="G86" s="180" t="s">
        <v>163</v>
      </c>
      <c r="H86" s="564"/>
      <c r="I86" s="181" t="s">
        <v>161</v>
      </c>
      <c r="J86" s="181" t="s">
        <v>381</v>
      </c>
      <c r="K86" s="181" t="s">
        <v>163</v>
      </c>
      <c r="L86" s="628"/>
      <c r="M86" s="628"/>
      <c r="N86" s="564"/>
      <c r="O86" s="564"/>
      <c r="P86" s="180" t="s">
        <v>161</v>
      </c>
      <c r="Q86" s="180" t="s">
        <v>381</v>
      </c>
      <c r="R86" s="180" t="s">
        <v>163</v>
      </c>
      <c r="S86" s="182" t="s">
        <v>167</v>
      </c>
      <c r="T86" s="564"/>
      <c r="U86" s="180" t="s">
        <v>161</v>
      </c>
      <c r="V86" s="180" t="s">
        <v>381</v>
      </c>
      <c r="W86" s="180" t="s">
        <v>163</v>
      </c>
      <c r="X86" s="182" t="s">
        <v>167</v>
      </c>
      <c r="Y86" s="564"/>
      <c r="Z86" s="180" t="s">
        <v>161</v>
      </c>
      <c r="AA86" s="180" t="s">
        <v>381</v>
      </c>
      <c r="AB86" s="180" t="s">
        <v>163</v>
      </c>
      <c r="AC86" s="182" t="s">
        <v>167</v>
      </c>
      <c r="AD86" s="564"/>
      <c r="AE86" s="180" t="s">
        <v>161</v>
      </c>
      <c r="AF86" s="180" t="s">
        <v>381</v>
      </c>
      <c r="AG86" s="180" t="s">
        <v>163</v>
      </c>
      <c r="AH86" s="182" t="s">
        <v>167</v>
      </c>
      <c r="AI86" s="564"/>
      <c r="AJ86" s="180" t="s">
        <v>161</v>
      </c>
      <c r="AK86" s="180" t="s">
        <v>381</v>
      </c>
      <c r="AL86" s="180" t="s">
        <v>163</v>
      </c>
      <c r="AM86" s="182" t="s">
        <v>167</v>
      </c>
      <c r="AN86" s="564"/>
      <c r="AO86" s="180" t="s">
        <v>161</v>
      </c>
      <c r="AP86" s="180" t="s">
        <v>381</v>
      </c>
      <c r="AQ86" s="180" t="s">
        <v>163</v>
      </c>
      <c r="AR86" s="182" t="s">
        <v>167</v>
      </c>
      <c r="AS86" s="564"/>
      <c r="AT86" s="180" t="s">
        <v>161</v>
      </c>
      <c r="AU86" s="180" t="s">
        <v>381</v>
      </c>
      <c r="AV86" s="180" t="s">
        <v>163</v>
      </c>
      <c r="AW86" s="182" t="s">
        <v>167</v>
      </c>
      <c r="AX86" s="564"/>
    </row>
    <row r="87" spans="2:50" ht="14.25" customHeight="1">
      <c r="B87" s="565" t="s">
        <v>456</v>
      </c>
      <c r="C87" s="180">
        <v>1</v>
      </c>
      <c r="D87" s="183" t="s">
        <v>356</v>
      </c>
      <c r="E87" s="180">
        <v>21</v>
      </c>
      <c r="F87" s="180">
        <v>2790</v>
      </c>
      <c r="G87" s="185">
        <f t="shared" ref="G87:G88" si="78">F87/E87</f>
        <v>132.85714285714286</v>
      </c>
      <c r="H87" s="625">
        <f>AVERAGE(G87:G101)</f>
        <v>366.42857142857144</v>
      </c>
      <c r="I87" s="186">
        <f>AVERAGE(P87,U87,Z87,AE87,AJ87,AO87,AT87)</f>
        <v>22</v>
      </c>
      <c r="J87" s="186">
        <f>AVERAGE(Q87,V87,AA87,AF87,AK87,AP87,AU87)</f>
        <v>2628.1596706063929</v>
      </c>
      <c r="K87" s="187">
        <f>AVERAGE(R87,W87,AB87,AG87,AL87,AQ87,AV87)</f>
        <v>119.46180320938149</v>
      </c>
      <c r="L87" s="626">
        <f>IFERROR(AVERAGE(K87:K101),"-")</f>
        <v>331.58149900618611</v>
      </c>
      <c r="M87" s="186">
        <f>RANK(K87, K$87:$K$101)</f>
        <v>2</v>
      </c>
      <c r="N87" s="564"/>
      <c r="O87" s="564"/>
      <c r="P87" s="188">
        <v>22</v>
      </c>
      <c r="Q87" s="188">
        <v>2628.3388450775865</v>
      </c>
      <c r="R87" s="185">
        <f>IFERROR(Q87/P87,"")</f>
        <v>119.46994750352665</v>
      </c>
      <c r="S87" s="182">
        <f>RANK(R87, R$87:R$101)</f>
        <v>2</v>
      </c>
      <c r="T87" s="625">
        <f>AVERAGE(R87:R101)</f>
        <v>331.59272972969114</v>
      </c>
      <c r="U87" s="188">
        <v>22</v>
      </c>
      <c r="V87" s="188">
        <v>2628.2208588957046</v>
      </c>
      <c r="W87" s="185">
        <f t="shared" ref="W87:W88" si="79">IFERROR(V87/U87,"")</f>
        <v>119.4645844952593</v>
      </c>
      <c r="X87" s="182">
        <f>RANK(W87, W$87:W$101)</f>
        <v>2</v>
      </c>
      <c r="Y87" s="625">
        <f>AVERAGE(W87:W101)</f>
        <v>331.56675796720924</v>
      </c>
      <c r="Z87" s="188">
        <v>22</v>
      </c>
      <c r="AA87" s="188">
        <v>2628.6189683860248</v>
      </c>
      <c r="AB87" s="185">
        <f t="shared" ref="AB87:AB88" si="80">IFERROR(AA87/Z87,"")</f>
        <v>119.48268038118294</v>
      </c>
      <c r="AC87" s="182">
        <f>RANK(AB87, AB$87:AB$101)</f>
        <v>2</v>
      </c>
      <c r="AD87" s="625">
        <f>AVERAGE(AB87:AB101)</f>
        <v>331.61006088717608</v>
      </c>
      <c r="AE87" s="188">
        <v>22</v>
      </c>
      <c r="AF87" s="188">
        <v>2628.2135794330948</v>
      </c>
      <c r="AG87" s="185">
        <f>IFERROR(AF87/AE87,"")</f>
        <v>119.46425361059522</v>
      </c>
      <c r="AH87" s="182">
        <f>RANK(AG87, AG$87:AG$101)</f>
        <v>2</v>
      </c>
      <c r="AI87" s="625">
        <f>AVERAGE(AG87:AG101)</f>
        <v>331.60712680529787</v>
      </c>
      <c r="AJ87" s="188">
        <v>22</v>
      </c>
      <c r="AK87" s="188">
        <v>2627.8802540066522</v>
      </c>
      <c r="AL87" s="185">
        <f t="shared" ref="AL87:AL88" si="81">IFERROR(AK87/AJ87,"")</f>
        <v>119.44910245484783</v>
      </c>
      <c r="AM87" s="182">
        <f>RANK(AL87, AL$87:AL$101)</f>
        <v>2</v>
      </c>
      <c r="AN87" s="625">
        <f>AVERAGE(AL87:AL101)</f>
        <v>331.48088034134742</v>
      </c>
      <c r="AO87" s="188">
        <v>22</v>
      </c>
      <c r="AP87" s="188">
        <v>2627.9598662207386</v>
      </c>
      <c r="AQ87" s="185">
        <f t="shared" ref="AQ87:AQ88" si="82">IFERROR(AP87/AO87,"")</f>
        <v>119.45272119185175</v>
      </c>
      <c r="AR87" s="182" t="e">
        <f>RANK(AQ87, AQ$7:AQ$21)</f>
        <v>#N/A</v>
      </c>
      <c r="AS87" s="625">
        <f>AVERAGE(AQ87:AQ101)</f>
        <v>331.56616034561318</v>
      </c>
      <c r="AT87" s="188">
        <v>22</v>
      </c>
      <c r="AU87" s="188">
        <v>2627.8853222249468</v>
      </c>
      <c r="AV87" s="185">
        <f t="shared" ref="AV87:AV88" si="83">IFERROR(AU87/AT87,"")</f>
        <v>119.44933282840667</v>
      </c>
      <c r="AW87" s="182">
        <f>RANK(AV87, AV$87:AV$101)</f>
        <v>2</v>
      </c>
      <c r="AX87" s="625">
        <f>AVERAGE(AV87:AV101)</f>
        <v>331.64677696696754</v>
      </c>
    </row>
    <row r="88" spans="2:50" ht="14.25" customHeight="1">
      <c r="B88" s="564"/>
      <c r="C88" s="180">
        <v>2</v>
      </c>
      <c r="D88" s="183" t="s">
        <v>608</v>
      </c>
      <c r="E88" s="180">
        <v>6</v>
      </c>
      <c r="F88" s="180">
        <v>3600</v>
      </c>
      <c r="G88" s="185">
        <f t="shared" si="78"/>
        <v>600</v>
      </c>
      <c r="H88" s="625"/>
      <c r="I88" s="186">
        <f t="shared" ref="I88:K88" si="84">AVERAGE(P88,U88,Z88,AE88,AJ88,AO88,AT88)</f>
        <v>6</v>
      </c>
      <c r="J88" s="186">
        <f t="shared" si="84"/>
        <v>3262.2071688179444</v>
      </c>
      <c r="K88" s="187">
        <f t="shared" si="84"/>
        <v>543.7011948029907</v>
      </c>
      <c r="L88" s="626"/>
      <c r="M88" s="186">
        <f>RANK(K88, K$87:$K$101)</f>
        <v>1</v>
      </c>
      <c r="N88" s="564"/>
      <c r="O88" s="564"/>
      <c r="P88" s="188">
        <v>6</v>
      </c>
      <c r="Q88" s="188">
        <v>3262.2930717351337</v>
      </c>
      <c r="R88" s="185">
        <f t="shared" ref="R88" si="85">IFERROR(Q88/P88,"")</f>
        <v>543.71551195585562</v>
      </c>
      <c r="S88" s="182">
        <f>RANK(R88, R$87:R$101)</f>
        <v>1</v>
      </c>
      <c r="T88" s="625"/>
      <c r="U88" s="188">
        <v>6</v>
      </c>
      <c r="V88" s="188">
        <v>3262.0135886349553</v>
      </c>
      <c r="W88" s="185">
        <f t="shared" si="79"/>
        <v>543.66893143915922</v>
      </c>
      <c r="X88" s="182">
        <f>RANK(W88, W$87:W$101)</f>
        <v>1</v>
      </c>
      <c r="Y88" s="625"/>
      <c r="Z88" s="188">
        <v>6</v>
      </c>
      <c r="AA88" s="188">
        <v>3262.4246483590155</v>
      </c>
      <c r="AB88" s="185">
        <f t="shared" si="80"/>
        <v>543.73744139316921</v>
      </c>
      <c r="AC88" s="182">
        <f>RANK(AB88, AB$87:AB$101)</f>
        <v>1</v>
      </c>
      <c r="AD88" s="625"/>
      <c r="AE88" s="188">
        <v>6</v>
      </c>
      <c r="AF88" s="188">
        <v>3262.5000000000036</v>
      </c>
      <c r="AG88" s="185">
        <f t="shared" ref="AG88" si="86">IFERROR(AF88/AE88,"")</f>
        <v>543.75000000000057</v>
      </c>
      <c r="AH88" s="182">
        <f>RANK(AG88, AG$87:AG$101)</f>
        <v>1</v>
      </c>
      <c r="AI88" s="625"/>
      <c r="AJ88" s="188">
        <v>6</v>
      </c>
      <c r="AK88" s="188">
        <v>3261.0759493670821</v>
      </c>
      <c r="AL88" s="185">
        <f t="shared" si="81"/>
        <v>543.51265822784706</v>
      </c>
      <c r="AM88" s="182">
        <f>RANK(AL88, AL$87:AL$101)</f>
        <v>1</v>
      </c>
      <c r="AN88" s="625"/>
      <c r="AO88" s="188">
        <v>6</v>
      </c>
      <c r="AP88" s="188">
        <v>3262.0775969962478</v>
      </c>
      <c r="AQ88" s="185">
        <f t="shared" si="82"/>
        <v>543.6795994993746</v>
      </c>
      <c r="AR88" s="182" t="e">
        <f t="shared" ref="AR88" si="87">RANK(AQ88, AQ$7:AQ$21)</f>
        <v>#N/A</v>
      </c>
      <c r="AS88" s="625"/>
      <c r="AT88" s="188">
        <v>6</v>
      </c>
      <c r="AU88" s="188">
        <v>3263.0653266331706</v>
      </c>
      <c r="AV88" s="185">
        <f t="shared" si="83"/>
        <v>543.84422110552839</v>
      </c>
      <c r="AW88" s="182">
        <f>RANK(AV88, AV$87:AV$101)</f>
        <v>1</v>
      </c>
      <c r="AX88" s="625"/>
    </row>
    <row r="89" spans="2:50" ht="14.25" customHeight="1">
      <c r="B89" s="564"/>
      <c r="C89" s="180">
        <v>3</v>
      </c>
      <c r="D89" s="183"/>
      <c r="E89" s="180"/>
      <c r="F89" s="180"/>
      <c r="G89" s="185"/>
      <c r="H89" s="625"/>
      <c r="I89" s="186"/>
      <c r="J89" s="186"/>
      <c r="K89" s="187"/>
      <c r="L89" s="626"/>
      <c r="M89" s="186"/>
      <c r="N89" s="564"/>
      <c r="O89" s="564"/>
      <c r="P89" s="188"/>
      <c r="Q89" s="188"/>
      <c r="R89" s="185"/>
      <c r="S89" s="182"/>
      <c r="T89" s="625"/>
      <c r="U89" s="188"/>
      <c r="V89" s="188"/>
      <c r="W89" s="185"/>
      <c r="X89" s="182"/>
      <c r="Y89" s="625"/>
      <c r="Z89" s="188"/>
      <c r="AA89" s="188"/>
      <c r="AB89" s="185"/>
      <c r="AC89" s="182"/>
      <c r="AD89" s="625"/>
      <c r="AE89" s="188"/>
      <c r="AF89" s="188"/>
      <c r="AG89" s="185"/>
      <c r="AH89" s="182"/>
      <c r="AI89" s="625"/>
      <c r="AJ89" s="188"/>
      <c r="AK89" s="188"/>
      <c r="AL89" s="185"/>
      <c r="AM89" s="182"/>
      <c r="AN89" s="625"/>
      <c r="AO89" s="188"/>
      <c r="AP89" s="188"/>
      <c r="AQ89" s="185"/>
      <c r="AR89" s="182"/>
      <c r="AS89" s="625"/>
      <c r="AT89" s="188"/>
      <c r="AU89" s="188"/>
      <c r="AV89" s="185"/>
      <c r="AW89" s="182"/>
      <c r="AX89" s="625"/>
    </row>
    <row r="90" spans="2:50" ht="14.25" customHeight="1">
      <c r="B90" s="564"/>
      <c r="C90" s="180">
        <v>4</v>
      </c>
      <c r="D90" s="183"/>
      <c r="E90" s="180"/>
      <c r="F90" s="180"/>
      <c r="G90" s="185"/>
      <c r="H90" s="625"/>
      <c r="I90" s="186"/>
      <c r="J90" s="186"/>
      <c r="K90" s="187"/>
      <c r="L90" s="626"/>
      <c r="M90" s="186"/>
      <c r="N90" s="564"/>
      <c r="O90" s="564"/>
      <c r="P90" s="188"/>
      <c r="Q90" s="188"/>
      <c r="R90" s="185"/>
      <c r="S90" s="182"/>
      <c r="T90" s="625"/>
      <c r="U90" s="188"/>
      <c r="V90" s="188"/>
      <c r="W90" s="185"/>
      <c r="X90" s="182"/>
      <c r="Y90" s="625"/>
      <c r="Z90" s="188"/>
      <c r="AA90" s="188"/>
      <c r="AB90" s="185"/>
      <c r="AC90" s="182"/>
      <c r="AD90" s="625"/>
      <c r="AE90" s="188"/>
      <c r="AF90" s="188"/>
      <c r="AG90" s="185"/>
      <c r="AH90" s="182"/>
      <c r="AI90" s="625"/>
      <c r="AJ90" s="188"/>
      <c r="AK90" s="188"/>
      <c r="AL90" s="185"/>
      <c r="AM90" s="182"/>
      <c r="AN90" s="625"/>
      <c r="AO90" s="188"/>
      <c r="AP90" s="188"/>
      <c r="AQ90" s="185"/>
      <c r="AR90" s="182"/>
      <c r="AS90" s="625"/>
      <c r="AT90" s="188"/>
      <c r="AU90" s="188"/>
      <c r="AV90" s="185"/>
      <c r="AW90" s="182"/>
      <c r="AX90" s="625"/>
    </row>
    <row r="91" spans="2:50" ht="14.25" customHeight="1">
      <c r="B91" s="564"/>
      <c r="C91" s="180">
        <v>5</v>
      </c>
      <c r="D91" s="183"/>
      <c r="E91" s="180"/>
      <c r="F91" s="180"/>
      <c r="G91" s="185"/>
      <c r="H91" s="625"/>
      <c r="I91" s="186"/>
      <c r="J91" s="186"/>
      <c r="K91" s="187"/>
      <c r="L91" s="626"/>
      <c r="M91" s="186"/>
      <c r="N91" s="564"/>
      <c r="O91" s="564"/>
      <c r="P91" s="188"/>
      <c r="Q91" s="188"/>
      <c r="R91" s="185"/>
      <c r="S91" s="182"/>
      <c r="T91" s="625"/>
      <c r="U91" s="188"/>
      <c r="V91" s="188"/>
      <c r="W91" s="185"/>
      <c r="X91" s="182"/>
      <c r="Y91" s="625"/>
      <c r="Z91" s="188"/>
      <c r="AA91" s="188"/>
      <c r="AB91" s="185"/>
      <c r="AC91" s="182"/>
      <c r="AD91" s="625"/>
      <c r="AE91" s="188"/>
      <c r="AF91" s="188"/>
      <c r="AG91" s="185"/>
      <c r="AH91" s="182"/>
      <c r="AI91" s="625"/>
      <c r="AJ91" s="188"/>
      <c r="AK91" s="188"/>
      <c r="AL91" s="185"/>
      <c r="AM91" s="182"/>
      <c r="AN91" s="625"/>
      <c r="AO91" s="188"/>
      <c r="AP91" s="188"/>
      <c r="AQ91" s="185"/>
      <c r="AR91" s="182"/>
      <c r="AS91" s="625"/>
      <c r="AT91" s="188"/>
      <c r="AU91" s="188"/>
      <c r="AV91" s="185"/>
      <c r="AW91" s="182"/>
      <c r="AX91" s="625"/>
    </row>
    <row r="92" spans="2:50" ht="14.25" customHeight="1">
      <c r="B92" s="564"/>
      <c r="C92" s="180">
        <v>6</v>
      </c>
      <c r="D92" s="183"/>
      <c r="E92" s="180"/>
      <c r="F92" s="180"/>
      <c r="G92" s="185"/>
      <c r="H92" s="625"/>
      <c r="I92" s="186"/>
      <c r="J92" s="186"/>
      <c r="K92" s="187"/>
      <c r="L92" s="626"/>
      <c r="M92" s="186"/>
      <c r="N92" s="564"/>
      <c r="O92" s="564"/>
      <c r="P92" s="188"/>
      <c r="Q92" s="188"/>
      <c r="R92" s="185"/>
      <c r="S92" s="182"/>
      <c r="T92" s="625"/>
      <c r="U92" s="188"/>
      <c r="V92" s="188"/>
      <c r="W92" s="185"/>
      <c r="X92" s="182"/>
      <c r="Y92" s="625"/>
      <c r="Z92" s="188"/>
      <c r="AA92" s="188"/>
      <c r="AB92" s="185"/>
      <c r="AC92" s="182"/>
      <c r="AD92" s="625"/>
      <c r="AE92" s="188"/>
      <c r="AF92" s="188"/>
      <c r="AG92" s="185"/>
      <c r="AH92" s="182"/>
      <c r="AI92" s="625"/>
      <c r="AJ92" s="188"/>
      <c r="AK92" s="188"/>
      <c r="AL92" s="185"/>
      <c r="AM92" s="182"/>
      <c r="AN92" s="625"/>
      <c r="AO92" s="188"/>
      <c r="AP92" s="188"/>
      <c r="AQ92" s="185"/>
      <c r="AR92" s="182"/>
      <c r="AS92" s="625"/>
      <c r="AT92" s="188"/>
      <c r="AU92" s="188"/>
      <c r="AV92" s="185"/>
      <c r="AW92" s="182"/>
      <c r="AX92" s="625"/>
    </row>
    <row r="93" spans="2:50" ht="14.25" customHeight="1">
      <c r="B93" s="564"/>
      <c r="C93" s="180">
        <v>7</v>
      </c>
      <c r="D93" s="183"/>
      <c r="E93" s="180"/>
      <c r="F93" s="180"/>
      <c r="G93" s="185"/>
      <c r="H93" s="625"/>
      <c r="I93" s="186"/>
      <c r="J93" s="186"/>
      <c r="K93" s="187"/>
      <c r="L93" s="626"/>
      <c r="M93" s="186"/>
      <c r="N93" s="564"/>
      <c r="O93" s="564"/>
      <c r="P93" s="188"/>
      <c r="Q93" s="188"/>
      <c r="R93" s="185"/>
      <c r="S93" s="182"/>
      <c r="T93" s="625"/>
      <c r="U93" s="188"/>
      <c r="V93" s="188"/>
      <c r="W93" s="185"/>
      <c r="X93" s="182"/>
      <c r="Y93" s="625"/>
      <c r="Z93" s="188"/>
      <c r="AA93" s="188"/>
      <c r="AB93" s="185"/>
      <c r="AC93" s="182"/>
      <c r="AD93" s="625"/>
      <c r="AE93" s="188"/>
      <c r="AF93" s="188"/>
      <c r="AG93" s="185"/>
      <c r="AH93" s="182"/>
      <c r="AI93" s="625"/>
      <c r="AJ93" s="188"/>
      <c r="AK93" s="188"/>
      <c r="AL93" s="185"/>
      <c r="AM93" s="182"/>
      <c r="AN93" s="625"/>
      <c r="AO93" s="188"/>
      <c r="AP93" s="188"/>
      <c r="AQ93" s="185"/>
      <c r="AR93" s="182"/>
      <c r="AS93" s="625"/>
      <c r="AT93" s="188"/>
      <c r="AU93" s="188"/>
      <c r="AV93" s="185"/>
      <c r="AW93" s="182"/>
      <c r="AX93" s="625"/>
    </row>
    <row r="94" spans="2:50" ht="14.25" customHeight="1">
      <c r="B94" s="564"/>
      <c r="C94" s="180">
        <v>8</v>
      </c>
      <c r="D94" s="183"/>
      <c r="E94" s="180"/>
      <c r="F94" s="180"/>
      <c r="G94" s="185"/>
      <c r="H94" s="625"/>
      <c r="I94" s="186"/>
      <c r="J94" s="186"/>
      <c r="K94" s="187"/>
      <c r="L94" s="626"/>
      <c r="M94" s="186"/>
      <c r="N94" s="564"/>
      <c r="O94" s="564"/>
      <c r="P94" s="188"/>
      <c r="Q94" s="188"/>
      <c r="R94" s="185"/>
      <c r="S94" s="182"/>
      <c r="T94" s="625"/>
      <c r="U94" s="188"/>
      <c r="V94" s="188"/>
      <c r="W94" s="185"/>
      <c r="X94" s="182"/>
      <c r="Y94" s="625"/>
      <c r="Z94" s="188"/>
      <c r="AA94" s="188"/>
      <c r="AB94" s="185"/>
      <c r="AC94" s="182"/>
      <c r="AD94" s="625"/>
      <c r="AE94" s="188"/>
      <c r="AF94" s="188"/>
      <c r="AG94" s="185"/>
      <c r="AH94" s="182"/>
      <c r="AI94" s="625"/>
      <c r="AJ94" s="188"/>
      <c r="AK94" s="188"/>
      <c r="AL94" s="185"/>
      <c r="AM94" s="182"/>
      <c r="AN94" s="625"/>
      <c r="AO94" s="188"/>
      <c r="AP94" s="188"/>
      <c r="AQ94" s="185"/>
      <c r="AR94" s="182"/>
      <c r="AS94" s="625"/>
      <c r="AT94" s="188"/>
      <c r="AU94" s="188"/>
      <c r="AV94" s="185"/>
      <c r="AW94" s="182"/>
      <c r="AX94" s="625"/>
    </row>
    <row r="95" spans="2:50" ht="14.25" customHeight="1">
      <c r="B95" s="564"/>
      <c r="C95" s="180">
        <v>9</v>
      </c>
      <c r="D95" s="183"/>
      <c r="E95" s="180"/>
      <c r="F95" s="180"/>
      <c r="G95" s="185"/>
      <c r="H95" s="625"/>
      <c r="I95" s="186"/>
      <c r="J95" s="186"/>
      <c r="K95" s="187"/>
      <c r="L95" s="626"/>
      <c r="M95" s="186"/>
      <c r="N95" s="564"/>
      <c r="O95" s="564"/>
      <c r="P95" s="188"/>
      <c r="Q95" s="188"/>
      <c r="R95" s="185"/>
      <c r="S95" s="182"/>
      <c r="T95" s="625"/>
      <c r="U95" s="188"/>
      <c r="V95" s="188"/>
      <c r="W95" s="185"/>
      <c r="X95" s="182"/>
      <c r="Y95" s="625"/>
      <c r="Z95" s="188"/>
      <c r="AA95" s="188"/>
      <c r="AB95" s="185"/>
      <c r="AC95" s="182"/>
      <c r="AD95" s="625"/>
      <c r="AE95" s="188"/>
      <c r="AF95" s="188"/>
      <c r="AG95" s="185"/>
      <c r="AH95" s="182"/>
      <c r="AI95" s="625"/>
      <c r="AJ95" s="188"/>
      <c r="AK95" s="188"/>
      <c r="AL95" s="185"/>
      <c r="AM95" s="182"/>
      <c r="AN95" s="625"/>
      <c r="AO95" s="188"/>
      <c r="AP95" s="188"/>
      <c r="AQ95" s="185"/>
      <c r="AR95" s="182"/>
      <c r="AS95" s="625"/>
      <c r="AT95" s="188"/>
      <c r="AU95" s="188"/>
      <c r="AV95" s="185"/>
      <c r="AW95" s="182"/>
      <c r="AX95" s="625"/>
    </row>
    <row r="96" spans="2:50" ht="14.25" customHeight="1">
      <c r="B96" s="564"/>
      <c r="C96" s="180">
        <v>10</v>
      </c>
      <c r="D96" s="183"/>
      <c r="E96" s="180"/>
      <c r="F96" s="180"/>
      <c r="G96" s="185"/>
      <c r="H96" s="625"/>
      <c r="I96" s="186"/>
      <c r="J96" s="186"/>
      <c r="K96" s="187"/>
      <c r="L96" s="626"/>
      <c r="M96" s="186"/>
      <c r="N96" s="564"/>
      <c r="O96" s="564"/>
      <c r="P96" s="188"/>
      <c r="Q96" s="188"/>
      <c r="R96" s="185"/>
      <c r="S96" s="182"/>
      <c r="T96" s="625"/>
      <c r="U96" s="188"/>
      <c r="V96" s="188"/>
      <c r="W96" s="185"/>
      <c r="X96" s="182"/>
      <c r="Y96" s="625"/>
      <c r="Z96" s="188"/>
      <c r="AA96" s="188"/>
      <c r="AB96" s="185"/>
      <c r="AC96" s="182"/>
      <c r="AD96" s="625"/>
      <c r="AE96" s="188"/>
      <c r="AF96" s="188"/>
      <c r="AG96" s="185"/>
      <c r="AH96" s="182"/>
      <c r="AI96" s="625"/>
      <c r="AJ96" s="188"/>
      <c r="AK96" s="188"/>
      <c r="AL96" s="185"/>
      <c r="AM96" s="182"/>
      <c r="AN96" s="625"/>
      <c r="AO96" s="188"/>
      <c r="AP96" s="188"/>
      <c r="AQ96" s="185"/>
      <c r="AR96" s="182"/>
      <c r="AS96" s="625"/>
      <c r="AT96" s="188"/>
      <c r="AU96" s="188"/>
      <c r="AV96" s="185"/>
      <c r="AW96" s="182"/>
      <c r="AX96" s="625"/>
    </row>
    <row r="97" spans="2:50" ht="14.25" customHeight="1">
      <c r="B97" s="564"/>
      <c r="C97" s="180">
        <v>11</v>
      </c>
      <c r="D97" s="183"/>
      <c r="E97" s="180"/>
      <c r="F97" s="180"/>
      <c r="G97" s="185"/>
      <c r="H97" s="625"/>
      <c r="I97" s="186"/>
      <c r="J97" s="186"/>
      <c r="K97" s="187"/>
      <c r="L97" s="626"/>
      <c r="M97" s="186"/>
      <c r="N97" s="564"/>
      <c r="O97" s="564"/>
      <c r="P97" s="188"/>
      <c r="Q97" s="188"/>
      <c r="R97" s="185"/>
      <c r="S97" s="182"/>
      <c r="T97" s="625"/>
      <c r="U97" s="188"/>
      <c r="V97" s="188"/>
      <c r="W97" s="185"/>
      <c r="X97" s="182"/>
      <c r="Y97" s="625"/>
      <c r="Z97" s="188"/>
      <c r="AA97" s="188"/>
      <c r="AB97" s="185"/>
      <c r="AC97" s="182"/>
      <c r="AD97" s="625"/>
      <c r="AE97" s="188"/>
      <c r="AF97" s="188"/>
      <c r="AG97" s="185"/>
      <c r="AH97" s="182"/>
      <c r="AI97" s="625"/>
      <c r="AJ97" s="188"/>
      <c r="AK97" s="188"/>
      <c r="AL97" s="185"/>
      <c r="AM97" s="182"/>
      <c r="AN97" s="625"/>
      <c r="AO97" s="188"/>
      <c r="AP97" s="188"/>
      <c r="AQ97" s="185"/>
      <c r="AR97" s="182"/>
      <c r="AS97" s="625"/>
      <c r="AT97" s="188"/>
      <c r="AU97" s="188"/>
      <c r="AV97" s="185"/>
      <c r="AW97" s="182"/>
      <c r="AX97" s="625"/>
    </row>
    <row r="98" spans="2:50" ht="14.25" customHeight="1">
      <c r="B98" s="564"/>
      <c r="C98" s="180">
        <v>12</v>
      </c>
      <c r="D98" s="183"/>
      <c r="E98" s="180"/>
      <c r="F98" s="180"/>
      <c r="G98" s="185"/>
      <c r="H98" s="625"/>
      <c r="I98" s="186"/>
      <c r="J98" s="186"/>
      <c r="K98" s="187"/>
      <c r="L98" s="626"/>
      <c r="M98" s="186"/>
      <c r="N98" s="564"/>
      <c r="O98" s="564"/>
      <c r="P98" s="188"/>
      <c r="Q98" s="188"/>
      <c r="R98" s="185"/>
      <c r="S98" s="182"/>
      <c r="T98" s="625"/>
      <c r="U98" s="188"/>
      <c r="V98" s="188"/>
      <c r="W98" s="185"/>
      <c r="X98" s="182"/>
      <c r="Y98" s="625"/>
      <c r="Z98" s="188"/>
      <c r="AA98" s="188"/>
      <c r="AB98" s="185"/>
      <c r="AC98" s="182"/>
      <c r="AD98" s="625"/>
      <c r="AE98" s="188"/>
      <c r="AF98" s="188"/>
      <c r="AG98" s="185"/>
      <c r="AH98" s="182"/>
      <c r="AI98" s="625"/>
      <c r="AJ98" s="188"/>
      <c r="AK98" s="188"/>
      <c r="AL98" s="185"/>
      <c r="AM98" s="182"/>
      <c r="AN98" s="625"/>
      <c r="AO98" s="188"/>
      <c r="AP98" s="188"/>
      <c r="AQ98" s="185"/>
      <c r="AR98" s="182"/>
      <c r="AS98" s="625"/>
      <c r="AT98" s="188"/>
      <c r="AU98" s="188"/>
      <c r="AV98" s="185"/>
      <c r="AW98" s="182"/>
      <c r="AX98" s="625"/>
    </row>
    <row r="99" spans="2:50" ht="14.25" customHeight="1">
      <c r="B99" s="564"/>
      <c r="C99" s="180">
        <v>13</v>
      </c>
      <c r="D99" s="183"/>
      <c r="E99" s="180"/>
      <c r="F99" s="180"/>
      <c r="G99" s="185"/>
      <c r="H99" s="625"/>
      <c r="I99" s="186"/>
      <c r="J99" s="186"/>
      <c r="K99" s="187"/>
      <c r="L99" s="626"/>
      <c r="M99" s="186"/>
      <c r="N99" s="564"/>
      <c r="O99" s="564"/>
      <c r="P99" s="188"/>
      <c r="Q99" s="188"/>
      <c r="R99" s="185"/>
      <c r="S99" s="182"/>
      <c r="T99" s="625"/>
      <c r="U99" s="188"/>
      <c r="V99" s="188"/>
      <c r="W99" s="185"/>
      <c r="X99" s="182"/>
      <c r="Y99" s="625"/>
      <c r="Z99" s="188"/>
      <c r="AA99" s="188"/>
      <c r="AB99" s="185"/>
      <c r="AC99" s="182"/>
      <c r="AD99" s="625"/>
      <c r="AE99" s="188"/>
      <c r="AF99" s="188"/>
      <c r="AG99" s="185"/>
      <c r="AH99" s="182"/>
      <c r="AI99" s="625"/>
      <c r="AJ99" s="188"/>
      <c r="AK99" s="188"/>
      <c r="AL99" s="185"/>
      <c r="AM99" s="182"/>
      <c r="AN99" s="625"/>
      <c r="AO99" s="188"/>
      <c r="AP99" s="188"/>
      <c r="AQ99" s="185"/>
      <c r="AR99" s="182"/>
      <c r="AS99" s="625"/>
      <c r="AT99" s="188"/>
      <c r="AU99" s="188"/>
      <c r="AV99" s="185"/>
      <c r="AW99" s="182"/>
      <c r="AX99" s="625"/>
    </row>
    <row r="100" spans="2:50" ht="14.25" customHeight="1">
      <c r="B100" s="564"/>
      <c r="C100" s="180">
        <v>14</v>
      </c>
      <c r="D100" s="183"/>
      <c r="E100" s="180"/>
      <c r="F100" s="180"/>
      <c r="G100" s="185"/>
      <c r="H100" s="625"/>
      <c r="I100" s="186"/>
      <c r="J100" s="186"/>
      <c r="K100" s="187"/>
      <c r="L100" s="626"/>
      <c r="M100" s="186"/>
      <c r="N100" s="564"/>
      <c r="O100" s="564"/>
      <c r="P100" s="188"/>
      <c r="Q100" s="188"/>
      <c r="R100" s="185"/>
      <c r="S100" s="182"/>
      <c r="T100" s="625"/>
      <c r="U100" s="188"/>
      <c r="V100" s="188"/>
      <c r="W100" s="185"/>
      <c r="X100" s="182"/>
      <c r="Y100" s="625"/>
      <c r="Z100" s="188"/>
      <c r="AA100" s="188"/>
      <c r="AB100" s="185"/>
      <c r="AC100" s="182"/>
      <c r="AD100" s="625"/>
      <c r="AE100" s="188"/>
      <c r="AF100" s="188"/>
      <c r="AG100" s="185"/>
      <c r="AH100" s="182"/>
      <c r="AI100" s="625"/>
      <c r="AJ100" s="188"/>
      <c r="AK100" s="188"/>
      <c r="AL100" s="185"/>
      <c r="AM100" s="182"/>
      <c r="AN100" s="625"/>
      <c r="AO100" s="188"/>
      <c r="AP100" s="188"/>
      <c r="AQ100" s="185"/>
      <c r="AR100" s="182"/>
      <c r="AS100" s="625"/>
      <c r="AT100" s="188"/>
      <c r="AU100" s="188"/>
      <c r="AV100" s="185"/>
      <c r="AW100" s="182"/>
      <c r="AX100" s="625"/>
    </row>
    <row r="101" spans="2:50" ht="14.25" customHeight="1">
      <c r="B101" s="564"/>
      <c r="C101" s="180">
        <v>15</v>
      </c>
      <c r="D101" s="183"/>
      <c r="E101" s="180"/>
      <c r="F101" s="180"/>
      <c r="G101" s="185"/>
      <c r="H101" s="625"/>
      <c r="I101" s="186"/>
      <c r="J101" s="186"/>
      <c r="K101" s="187"/>
      <c r="L101" s="626"/>
      <c r="M101" s="186"/>
      <c r="N101" s="564"/>
      <c r="O101" s="564"/>
      <c r="P101" s="188"/>
      <c r="Q101" s="188"/>
      <c r="R101" s="185"/>
      <c r="S101" s="182"/>
      <c r="T101" s="625"/>
      <c r="U101" s="188"/>
      <c r="V101" s="188"/>
      <c r="W101" s="185"/>
      <c r="X101" s="182"/>
      <c r="Y101" s="625"/>
      <c r="Z101" s="188"/>
      <c r="AA101" s="188"/>
      <c r="AB101" s="185"/>
      <c r="AC101" s="182"/>
      <c r="AD101" s="625"/>
      <c r="AE101" s="188"/>
      <c r="AF101" s="188"/>
      <c r="AG101" s="185"/>
      <c r="AH101" s="182"/>
      <c r="AI101" s="625"/>
      <c r="AJ101" s="188"/>
      <c r="AK101" s="188"/>
      <c r="AL101" s="185"/>
      <c r="AM101" s="182"/>
      <c r="AN101" s="625"/>
      <c r="AO101" s="188"/>
      <c r="AP101" s="188"/>
      <c r="AQ101" s="185"/>
      <c r="AR101" s="182"/>
      <c r="AS101" s="625"/>
      <c r="AT101" s="188"/>
      <c r="AU101" s="188"/>
      <c r="AV101" s="185"/>
      <c r="AW101" s="182"/>
      <c r="AX101" s="625"/>
    </row>
    <row r="102" spans="2:50" ht="14.25" customHeight="1" collapsed="1">
      <c r="B102" s="641" t="s">
        <v>646</v>
      </c>
      <c r="C102" s="641"/>
      <c r="D102" s="641"/>
      <c r="E102" s="641"/>
      <c r="F102" s="641"/>
      <c r="G102" s="641"/>
      <c r="H102" s="641"/>
      <c r="I102" s="641"/>
      <c r="J102" s="641"/>
      <c r="K102" s="641"/>
      <c r="L102" s="641"/>
      <c r="M102" s="659"/>
      <c r="N102" s="575" t="s">
        <v>377</v>
      </c>
      <c r="O102" s="575" t="s">
        <v>105</v>
      </c>
      <c r="P102" s="647">
        <f>AT82+1</f>
        <v>46112</v>
      </c>
      <c r="Q102" s="648"/>
      <c r="R102" s="648"/>
      <c r="S102" s="648"/>
      <c r="T102" s="649"/>
      <c r="U102" s="662">
        <f>P102+1</f>
        <v>46113</v>
      </c>
      <c r="V102" s="663"/>
      <c r="W102" s="663"/>
      <c r="X102" s="663"/>
      <c r="Y102" s="664"/>
      <c r="Z102" s="647">
        <f t="shared" ref="Z102" si="88">U102+1</f>
        <v>46114</v>
      </c>
      <c r="AA102" s="648"/>
      <c r="AB102" s="648"/>
      <c r="AC102" s="648"/>
      <c r="AD102" s="649"/>
      <c r="AE102" s="662">
        <f t="shared" ref="AE102" si="89">Z102+1</f>
        <v>46115</v>
      </c>
      <c r="AF102" s="663"/>
      <c r="AG102" s="663"/>
      <c r="AH102" s="663"/>
      <c r="AI102" s="664"/>
      <c r="AJ102" s="647">
        <f t="shared" ref="AJ102" si="90">AE102+1</f>
        <v>46116</v>
      </c>
      <c r="AK102" s="648"/>
      <c r="AL102" s="648"/>
      <c r="AM102" s="648"/>
      <c r="AN102" s="649"/>
      <c r="AO102" s="662">
        <f t="shared" ref="AO102" si="91">AJ102+1</f>
        <v>46117</v>
      </c>
      <c r="AP102" s="663"/>
      <c r="AQ102" s="663"/>
      <c r="AR102" s="663"/>
      <c r="AS102" s="664"/>
      <c r="AT102" s="647">
        <f t="shared" ref="AT102" si="92">AO102+1</f>
        <v>46118</v>
      </c>
      <c r="AU102" s="648"/>
      <c r="AV102" s="648"/>
      <c r="AW102" s="648"/>
      <c r="AX102" s="649"/>
    </row>
    <row r="103" spans="2:50" ht="14.25" customHeight="1">
      <c r="B103" s="660"/>
      <c r="C103" s="660"/>
      <c r="D103" s="660"/>
      <c r="E103" s="660"/>
      <c r="F103" s="660"/>
      <c r="G103" s="660"/>
      <c r="H103" s="660"/>
      <c r="I103" s="660"/>
      <c r="J103" s="660"/>
      <c r="K103" s="660"/>
      <c r="L103" s="660"/>
      <c r="M103" s="661"/>
      <c r="N103" s="577"/>
      <c r="O103" s="577"/>
      <c r="P103" s="652">
        <f>P102</f>
        <v>46112</v>
      </c>
      <c r="Q103" s="653"/>
      <c r="R103" s="653"/>
      <c r="S103" s="653"/>
      <c r="T103" s="654"/>
      <c r="U103" s="665">
        <f>U102</f>
        <v>46113</v>
      </c>
      <c r="V103" s="666"/>
      <c r="W103" s="666"/>
      <c r="X103" s="666"/>
      <c r="Y103" s="667"/>
      <c r="Z103" s="652">
        <f t="shared" ref="Z103" si="93">Z102</f>
        <v>46114</v>
      </c>
      <c r="AA103" s="653"/>
      <c r="AB103" s="653"/>
      <c r="AC103" s="653"/>
      <c r="AD103" s="654"/>
      <c r="AE103" s="665">
        <f t="shared" ref="AE103" si="94">AE102</f>
        <v>46115</v>
      </c>
      <c r="AF103" s="666"/>
      <c r="AG103" s="666"/>
      <c r="AH103" s="666"/>
      <c r="AI103" s="667"/>
      <c r="AJ103" s="652">
        <f t="shared" ref="AJ103" si="95">AJ102</f>
        <v>46116</v>
      </c>
      <c r="AK103" s="653"/>
      <c r="AL103" s="653"/>
      <c r="AM103" s="653"/>
      <c r="AN103" s="654"/>
      <c r="AO103" s="665">
        <f t="shared" ref="AO103" si="96">AO102</f>
        <v>46117</v>
      </c>
      <c r="AP103" s="666"/>
      <c r="AQ103" s="666"/>
      <c r="AR103" s="666"/>
      <c r="AS103" s="667"/>
      <c r="AT103" s="652">
        <f t="shared" ref="AT103" si="97">AT102</f>
        <v>46118</v>
      </c>
      <c r="AU103" s="653"/>
      <c r="AV103" s="653"/>
      <c r="AW103" s="653"/>
      <c r="AX103" s="654"/>
    </row>
    <row r="104" spans="2:50" ht="14.25" customHeight="1">
      <c r="B104" s="564" t="s">
        <v>164</v>
      </c>
      <c r="C104" s="564" t="s">
        <v>159</v>
      </c>
      <c r="D104" s="564"/>
      <c r="E104" s="590" t="s">
        <v>160</v>
      </c>
      <c r="F104" s="591"/>
      <c r="G104" s="592"/>
      <c r="H104" s="564" t="s">
        <v>165</v>
      </c>
      <c r="I104" s="593" t="s">
        <v>378</v>
      </c>
      <c r="J104" s="594"/>
      <c r="K104" s="595"/>
      <c r="L104" s="628" t="s">
        <v>165</v>
      </c>
      <c r="M104" s="628" t="s">
        <v>167</v>
      </c>
      <c r="N104" s="564"/>
      <c r="O104" s="564" t="s">
        <v>166</v>
      </c>
      <c r="P104" s="590" t="s">
        <v>162</v>
      </c>
      <c r="Q104" s="591"/>
      <c r="R104" s="591"/>
      <c r="S104" s="592"/>
      <c r="T104" s="564" t="s">
        <v>165</v>
      </c>
      <c r="U104" s="590" t="s">
        <v>162</v>
      </c>
      <c r="V104" s="591"/>
      <c r="W104" s="591"/>
      <c r="X104" s="592"/>
      <c r="Y104" s="564" t="s">
        <v>165</v>
      </c>
      <c r="Z104" s="590" t="s">
        <v>162</v>
      </c>
      <c r="AA104" s="591"/>
      <c r="AB104" s="591"/>
      <c r="AC104" s="592"/>
      <c r="AD104" s="564" t="s">
        <v>165</v>
      </c>
      <c r="AE104" s="590" t="s">
        <v>162</v>
      </c>
      <c r="AF104" s="591"/>
      <c r="AG104" s="591"/>
      <c r="AH104" s="592"/>
      <c r="AI104" s="564" t="s">
        <v>165</v>
      </c>
      <c r="AJ104" s="590" t="s">
        <v>162</v>
      </c>
      <c r="AK104" s="591"/>
      <c r="AL104" s="591"/>
      <c r="AM104" s="592"/>
      <c r="AN104" s="564" t="s">
        <v>165</v>
      </c>
      <c r="AO104" s="590" t="s">
        <v>162</v>
      </c>
      <c r="AP104" s="591"/>
      <c r="AQ104" s="591"/>
      <c r="AR104" s="592"/>
      <c r="AS104" s="564" t="s">
        <v>165</v>
      </c>
      <c r="AT104" s="590" t="s">
        <v>162</v>
      </c>
      <c r="AU104" s="591"/>
      <c r="AV104" s="591"/>
      <c r="AW104" s="592"/>
      <c r="AX104" s="564" t="s">
        <v>165</v>
      </c>
    </row>
    <row r="105" spans="2:50" ht="14.25" customHeight="1">
      <c r="B105" s="564"/>
      <c r="C105" s="564"/>
      <c r="D105" s="564"/>
      <c r="E105" s="564" t="s">
        <v>379</v>
      </c>
      <c r="F105" s="564"/>
      <c r="G105" s="564"/>
      <c r="H105" s="564"/>
      <c r="I105" s="628" t="s">
        <v>379</v>
      </c>
      <c r="J105" s="628"/>
      <c r="K105" s="628"/>
      <c r="L105" s="628"/>
      <c r="M105" s="628"/>
      <c r="N105" s="564"/>
      <c r="O105" s="564"/>
      <c r="P105" s="564" t="s">
        <v>380</v>
      </c>
      <c r="Q105" s="564"/>
      <c r="R105" s="564"/>
      <c r="S105" s="564"/>
      <c r="T105" s="564"/>
      <c r="U105" s="564" t="s">
        <v>380</v>
      </c>
      <c r="V105" s="564"/>
      <c r="W105" s="564"/>
      <c r="X105" s="564"/>
      <c r="Y105" s="564"/>
      <c r="Z105" s="564" t="s">
        <v>380</v>
      </c>
      <c r="AA105" s="564"/>
      <c r="AB105" s="564"/>
      <c r="AC105" s="564"/>
      <c r="AD105" s="564"/>
      <c r="AE105" s="564" t="s">
        <v>380</v>
      </c>
      <c r="AF105" s="564"/>
      <c r="AG105" s="564"/>
      <c r="AH105" s="564"/>
      <c r="AI105" s="564"/>
      <c r="AJ105" s="564" t="s">
        <v>380</v>
      </c>
      <c r="AK105" s="564"/>
      <c r="AL105" s="564"/>
      <c r="AM105" s="564"/>
      <c r="AN105" s="564"/>
      <c r="AO105" s="564" t="s">
        <v>380</v>
      </c>
      <c r="AP105" s="564"/>
      <c r="AQ105" s="564"/>
      <c r="AR105" s="564"/>
      <c r="AS105" s="564"/>
      <c r="AT105" s="564" t="s">
        <v>380</v>
      </c>
      <c r="AU105" s="564"/>
      <c r="AV105" s="564"/>
      <c r="AW105" s="564"/>
      <c r="AX105" s="564"/>
    </row>
    <row r="106" spans="2:50" ht="14.25" customHeight="1">
      <c r="B106" s="564"/>
      <c r="C106" s="564"/>
      <c r="D106" s="564"/>
      <c r="E106" s="180" t="s">
        <v>161</v>
      </c>
      <c r="F106" s="180" t="s">
        <v>381</v>
      </c>
      <c r="G106" s="180" t="s">
        <v>163</v>
      </c>
      <c r="H106" s="564"/>
      <c r="I106" s="181" t="s">
        <v>161</v>
      </c>
      <c r="J106" s="181" t="s">
        <v>381</v>
      </c>
      <c r="K106" s="181" t="s">
        <v>163</v>
      </c>
      <c r="L106" s="628"/>
      <c r="M106" s="628"/>
      <c r="N106" s="564"/>
      <c r="O106" s="564"/>
      <c r="P106" s="180" t="s">
        <v>161</v>
      </c>
      <c r="Q106" s="180" t="s">
        <v>381</v>
      </c>
      <c r="R106" s="180" t="s">
        <v>163</v>
      </c>
      <c r="S106" s="182" t="s">
        <v>167</v>
      </c>
      <c r="T106" s="564"/>
      <c r="U106" s="180" t="s">
        <v>161</v>
      </c>
      <c r="V106" s="180" t="s">
        <v>381</v>
      </c>
      <c r="W106" s="180" t="s">
        <v>163</v>
      </c>
      <c r="X106" s="182" t="s">
        <v>167</v>
      </c>
      <c r="Y106" s="564"/>
      <c r="Z106" s="180" t="s">
        <v>161</v>
      </c>
      <c r="AA106" s="180" t="s">
        <v>381</v>
      </c>
      <c r="AB106" s="180" t="s">
        <v>163</v>
      </c>
      <c r="AC106" s="182" t="s">
        <v>167</v>
      </c>
      <c r="AD106" s="564"/>
      <c r="AE106" s="180" t="s">
        <v>161</v>
      </c>
      <c r="AF106" s="180" t="s">
        <v>381</v>
      </c>
      <c r="AG106" s="180" t="s">
        <v>163</v>
      </c>
      <c r="AH106" s="182" t="s">
        <v>167</v>
      </c>
      <c r="AI106" s="564"/>
      <c r="AJ106" s="180" t="s">
        <v>161</v>
      </c>
      <c r="AK106" s="180" t="s">
        <v>381</v>
      </c>
      <c r="AL106" s="180" t="s">
        <v>163</v>
      </c>
      <c r="AM106" s="182" t="s">
        <v>167</v>
      </c>
      <c r="AN106" s="564"/>
      <c r="AO106" s="180" t="s">
        <v>161</v>
      </c>
      <c r="AP106" s="180" t="s">
        <v>381</v>
      </c>
      <c r="AQ106" s="180" t="s">
        <v>163</v>
      </c>
      <c r="AR106" s="182" t="s">
        <v>167</v>
      </c>
      <c r="AS106" s="564"/>
      <c r="AT106" s="180" t="s">
        <v>161</v>
      </c>
      <c r="AU106" s="180" t="s">
        <v>381</v>
      </c>
      <c r="AV106" s="180" t="s">
        <v>163</v>
      </c>
      <c r="AW106" s="182" t="s">
        <v>167</v>
      </c>
      <c r="AX106" s="564"/>
    </row>
    <row r="107" spans="2:50" ht="14.25" customHeight="1">
      <c r="B107" s="565" t="s">
        <v>456</v>
      </c>
      <c r="C107" s="180">
        <v>1</v>
      </c>
      <c r="D107" s="183" t="s">
        <v>356</v>
      </c>
      <c r="E107" s="180">
        <v>21</v>
      </c>
      <c r="F107" s="180">
        <v>2790</v>
      </c>
      <c r="G107" s="185">
        <f t="shared" ref="G107:G108" si="98">F107/E107</f>
        <v>132.85714285714286</v>
      </c>
      <c r="H107" s="625">
        <f>AVERAGE(G107:G121)</f>
        <v>366.42857142857144</v>
      </c>
      <c r="I107" s="186">
        <f>AVERAGE(P107,U107,Z107,AE107,AJ107,AO107,AT107)</f>
        <v>21</v>
      </c>
      <c r="J107" s="186">
        <f>AVERAGE(Q107,V107,AA107,AF107,AK107,AP107,AU107)</f>
        <v>2482.5941384975408</v>
      </c>
      <c r="K107" s="187">
        <f>AVERAGE(R107,W107,AB107,AG107,AL107,AQ107,AV107)</f>
        <v>118.21876849988291</v>
      </c>
      <c r="L107" s="626">
        <f>IFERROR(AVERAGE(K107:K121),"-")</f>
        <v>331.18525128733052</v>
      </c>
      <c r="M107" s="186">
        <f>RANK(K107, K$107:$K$121)</f>
        <v>2</v>
      </c>
      <c r="N107" s="564"/>
      <c r="O107" s="564"/>
      <c r="P107" s="188">
        <v>21</v>
      </c>
      <c r="Q107" s="188">
        <v>2482.1694915254257</v>
      </c>
      <c r="R107" s="185">
        <f>IFERROR(Q107/P107,"")</f>
        <v>118.19854721549646</v>
      </c>
      <c r="S107" s="182">
        <f>RANK(R107, R$107:R$121)</f>
        <v>2</v>
      </c>
      <c r="T107" s="625">
        <f>AVERAGE(R107:R121)</f>
        <v>331.00562812279838</v>
      </c>
      <c r="U107" s="188">
        <v>21</v>
      </c>
      <c r="V107" s="188">
        <v>2482.1052631578964</v>
      </c>
      <c r="W107" s="185">
        <f t="shared" ref="W107:W108" si="99">IFERROR(V107/U107,"")</f>
        <v>118.19548872180459</v>
      </c>
      <c r="X107" s="182">
        <f>RANK(W107, W$107:W$121)</f>
        <v>2</v>
      </c>
      <c r="Y107" s="625">
        <f>AVERAGE(W107:W121)</f>
        <v>331.08380707867224</v>
      </c>
      <c r="Z107" s="188">
        <v>21</v>
      </c>
      <c r="AA107" s="188">
        <v>2482.1206383554204</v>
      </c>
      <c r="AB107" s="185">
        <f t="shared" ref="AB107:AB108" si="100">IFERROR(AA107/Z107,"")</f>
        <v>118.19622087406763</v>
      </c>
      <c r="AC107" s="182">
        <f>RANK(AB107, AB$107:AB$121)</f>
        <v>2</v>
      </c>
      <c r="AD107" s="625">
        <f>AVERAGE(AB107:AB121)</f>
        <v>331.12781340733142</v>
      </c>
      <c r="AE107" s="188">
        <v>21</v>
      </c>
      <c r="AF107" s="188">
        <v>2482.6822516148891</v>
      </c>
      <c r="AG107" s="185">
        <f>IFERROR(AF107/AE107,"")</f>
        <v>118.22296436261377</v>
      </c>
      <c r="AH107" s="182">
        <f>RANK(AG107, AG$107:AG$121)</f>
        <v>2</v>
      </c>
      <c r="AI107" s="625">
        <f>AVERAGE(AG107:AG121)</f>
        <v>331.20450543712099</v>
      </c>
      <c r="AJ107" s="188">
        <v>21</v>
      </c>
      <c r="AK107" s="188">
        <v>2482.6786864133951</v>
      </c>
      <c r="AL107" s="185">
        <f t="shared" ref="AL107:AL108" si="101">IFERROR(AK107/AJ107,"")</f>
        <v>118.22279459111405</v>
      </c>
      <c r="AM107" s="182">
        <f>RANK(AL107, AL$107:AL$121)</f>
        <v>2</v>
      </c>
      <c r="AN107" s="625">
        <f>AVERAGE(AL107:AL121)</f>
        <v>331.31123613520236</v>
      </c>
      <c r="AO107" s="188">
        <v>21</v>
      </c>
      <c r="AP107" s="188">
        <v>2483.0258302583024</v>
      </c>
      <c r="AQ107" s="185">
        <f t="shared" ref="AQ107:AQ108" si="102">IFERROR(AP107/AO107,"")</f>
        <v>118.23932525039535</v>
      </c>
      <c r="AR107" s="182">
        <f>RANK(AQ107, AQ$107:AQ$121)</f>
        <v>2</v>
      </c>
      <c r="AS107" s="625">
        <f>AVERAGE(AQ107:AQ121)</f>
        <v>331.32245982799532</v>
      </c>
      <c r="AT107" s="188">
        <v>21</v>
      </c>
      <c r="AU107" s="188">
        <v>2483.3768081574576</v>
      </c>
      <c r="AV107" s="185">
        <f t="shared" ref="AV107:AV108" si="103">IFERROR(AU107/AT107,"")</f>
        <v>118.25603848368846</v>
      </c>
      <c r="AW107" s="182">
        <f>RANK(AV107, AV$107:AV$121)</f>
        <v>2</v>
      </c>
      <c r="AX107" s="625">
        <f>AVERAGE(AV107:AV121)</f>
        <v>331.24130900219296</v>
      </c>
    </row>
    <row r="108" spans="2:50" ht="14.25" customHeight="1">
      <c r="B108" s="564"/>
      <c r="C108" s="180">
        <v>2</v>
      </c>
      <c r="D108" s="183" t="s">
        <v>608</v>
      </c>
      <c r="E108" s="180">
        <v>6</v>
      </c>
      <c r="F108" s="180">
        <v>3600</v>
      </c>
      <c r="G108" s="185">
        <f t="shared" si="98"/>
        <v>600</v>
      </c>
      <c r="H108" s="625"/>
      <c r="I108" s="186">
        <f t="shared" ref="I108:K108" si="104">AVERAGE(P108,U108,Z108,AE108,AJ108,AO108,AT108)</f>
        <v>6</v>
      </c>
      <c r="J108" s="186">
        <f t="shared" si="104"/>
        <v>3264.9104044486689</v>
      </c>
      <c r="K108" s="187">
        <f t="shared" si="104"/>
        <v>544.15173407477812</v>
      </c>
      <c r="L108" s="626"/>
      <c r="M108" s="186">
        <f>RANK(K108, K$107:$K$121)</f>
        <v>1</v>
      </c>
      <c r="N108" s="564"/>
      <c r="O108" s="564"/>
      <c r="P108" s="188">
        <v>6</v>
      </c>
      <c r="Q108" s="188">
        <v>3262.8762541806018</v>
      </c>
      <c r="R108" s="185">
        <f t="shared" ref="R108" si="105">IFERROR(Q108/P108,"")</f>
        <v>543.81270903010034</v>
      </c>
      <c r="S108" s="182">
        <f>RANK(R108, R$107:R$121)</f>
        <v>1</v>
      </c>
      <c r="T108" s="625"/>
      <c r="U108" s="188">
        <v>6</v>
      </c>
      <c r="V108" s="188">
        <v>3263.8327526132393</v>
      </c>
      <c r="W108" s="185">
        <f t="shared" si="99"/>
        <v>543.97212543553985</v>
      </c>
      <c r="X108" s="182">
        <f>RANK(W108, W$107:W$121)</f>
        <v>1</v>
      </c>
      <c r="Y108" s="625"/>
      <c r="Z108" s="188">
        <v>6</v>
      </c>
      <c r="AA108" s="188">
        <v>3264.3564356435709</v>
      </c>
      <c r="AB108" s="185">
        <f t="shared" si="100"/>
        <v>544.05940594059518</v>
      </c>
      <c r="AC108" s="182">
        <f>RANK(AB108, AB$107:AB$121)</f>
        <v>1</v>
      </c>
      <c r="AD108" s="625"/>
      <c r="AE108" s="188">
        <v>6</v>
      </c>
      <c r="AF108" s="188">
        <v>3265.1162790697695</v>
      </c>
      <c r="AG108" s="185">
        <f t="shared" ref="AG108" si="106">IFERROR(AF108/AE108,"")</f>
        <v>544.18604651162821</v>
      </c>
      <c r="AH108" s="182">
        <f>RANK(AG108, AG$107:AG$121)</f>
        <v>1</v>
      </c>
      <c r="AI108" s="625"/>
      <c r="AJ108" s="188">
        <v>6</v>
      </c>
      <c r="AK108" s="188">
        <v>3266.3980660757438</v>
      </c>
      <c r="AL108" s="185">
        <f t="shared" si="101"/>
        <v>544.39967767929068</v>
      </c>
      <c r="AM108" s="182">
        <f>RANK(AL108, AL$107:AL$121)</f>
        <v>1</v>
      </c>
      <c r="AN108" s="625"/>
      <c r="AO108" s="188">
        <v>6</v>
      </c>
      <c r="AP108" s="188">
        <v>3266.4335664335717</v>
      </c>
      <c r="AQ108" s="185">
        <f t="shared" si="102"/>
        <v>544.40559440559525</v>
      </c>
      <c r="AR108" s="182">
        <f>RANK(AQ108, AQ$107:AQ$121)</f>
        <v>1</v>
      </c>
      <c r="AS108" s="625"/>
      <c r="AT108" s="188">
        <v>6</v>
      </c>
      <c r="AU108" s="188">
        <v>3265.3594771241847</v>
      </c>
      <c r="AV108" s="185">
        <f t="shared" si="103"/>
        <v>544.22657952069744</v>
      </c>
      <c r="AW108" s="182">
        <f>RANK(AV108, AV$107:AV$121)</f>
        <v>1</v>
      </c>
      <c r="AX108" s="625"/>
    </row>
    <row r="109" spans="2:50" ht="14.25" customHeight="1">
      <c r="B109" s="564"/>
      <c r="C109" s="180">
        <v>3</v>
      </c>
      <c r="D109" s="183"/>
      <c r="E109" s="180"/>
      <c r="F109" s="180"/>
      <c r="G109" s="185"/>
      <c r="H109" s="625"/>
      <c r="I109" s="186"/>
      <c r="J109" s="186"/>
      <c r="K109" s="187"/>
      <c r="L109" s="626"/>
      <c r="M109" s="186"/>
      <c r="N109" s="564"/>
      <c r="O109" s="564"/>
      <c r="P109" s="188"/>
      <c r="Q109" s="188"/>
      <c r="R109" s="185"/>
      <c r="S109" s="182"/>
      <c r="T109" s="625"/>
      <c r="U109" s="188"/>
      <c r="V109" s="188"/>
      <c r="W109" s="185"/>
      <c r="X109" s="182"/>
      <c r="Y109" s="625"/>
      <c r="Z109" s="188"/>
      <c r="AA109" s="188"/>
      <c r="AB109" s="185"/>
      <c r="AC109" s="182"/>
      <c r="AD109" s="625"/>
      <c r="AE109" s="188"/>
      <c r="AF109" s="188"/>
      <c r="AG109" s="185"/>
      <c r="AH109" s="182"/>
      <c r="AI109" s="625"/>
      <c r="AJ109" s="188"/>
      <c r="AK109" s="188"/>
      <c r="AL109" s="185"/>
      <c r="AM109" s="182"/>
      <c r="AN109" s="625"/>
      <c r="AO109" s="188"/>
      <c r="AP109" s="188"/>
      <c r="AQ109" s="185"/>
      <c r="AR109" s="182"/>
      <c r="AS109" s="625"/>
      <c r="AT109" s="188"/>
      <c r="AU109" s="188"/>
      <c r="AV109" s="185"/>
      <c r="AW109" s="182"/>
      <c r="AX109" s="625"/>
    </row>
    <row r="110" spans="2:50" ht="14.25" customHeight="1">
      <c r="B110" s="564"/>
      <c r="C110" s="180">
        <v>4</v>
      </c>
      <c r="D110" s="183"/>
      <c r="E110" s="180"/>
      <c r="F110" s="180"/>
      <c r="G110" s="185"/>
      <c r="H110" s="625"/>
      <c r="I110" s="186"/>
      <c r="J110" s="186"/>
      <c r="K110" s="187"/>
      <c r="L110" s="626"/>
      <c r="M110" s="186"/>
      <c r="N110" s="564"/>
      <c r="O110" s="564"/>
      <c r="P110" s="188"/>
      <c r="Q110" s="188"/>
      <c r="R110" s="185"/>
      <c r="S110" s="182"/>
      <c r="T110" s="625"/>
      <c r="U110" s="188"/>
      <c r="V110" s="188"/>
      <c r="W110" s="185"/>
      <c r="X110" s="182"/>
      <c r="Y110" s="625"/>
      <c r="Z110" s="188"/>
      <c r="AA110" s="188"/>
      <c r="AB110" s="185"/>
      <c r="AC110" s="182"/>
      <c r="AD110" s="625"/>
      <c r="AE110" s="188"/>
      <c r="AF110" s="188"/>
      <c r="AG110" s="185"/>
      <c r="AH110" s="182"/>
      <c r="AI110" s="625"/>
      <c r="AJ110" s="188"/>
      <c r="AK110" s="188"/>
      <c r="AL110" s="185"/>
      <c r="AM110" s="182"/>
      <c r="AN110" s="625"/>
      <c r="AO110" s="188"/>
      <c r="AP110" s="188"/>
      <c r="AQ110" s="185"/>
      <c r="AR110" s="182"/>
      <c r="AS110" s="625"/>
      <c r="AT110" s="188"/>
      <c r="AU110" s="188"/>
      <c r="AV110" s="185"/>
      <c r="AW110" s="182"/>
      <c r="AX110" s="625"/>
    </row>
    <row r="111" spans="2:50" ht="14.25" customHeight="1">
      <c r="B111" s="564"/>
      <c r="C111" s="180">
        <v>5</v>
      </c>
      <c r="D111" s="183"/>
      <c r="E111" s="180"/>
      <c r="F111" s="180"/>
      <c r="G111" s="185"/>
      <c r="H111" s="625"/>
      <c r="I111" s="186"/>
      <c r="J111" s="186"/>
      <c r="K111" s="187"/>
      <c r="L111" s="626"/>
      <c r="M111" s="186"/>
      <c r="N111" s="564"/>
      <c r="O111" s="564"/>
      <c r="P111" s="188"/>
      <c r="Q111" s="188"/>
      <c r="R111" s="185"/>
      <c r="S111" s="182"/>
      <c r="T111" s="625"/>
      <c r="U111" s="188"/>
      <c r="V111" s="188"/>
      <c r="W111" s="185"/>
      <c r="X111" s="182"/>
      <c r="Y111" s="625"/>
      <c r="Z111" s="188"/>
      <c r="AA111" s="188"/>
      <c r="AB111" s="185"/>
      <c r="AC111" s="182"/>
      <c r="AD111" s="625"/>
      <c r="AE111" s="188"/>
      <c r="AF111" s="188"/>
      <c r="AG111" s="185"/>
      <c r="AH111" s="182"/>
      <c r="AI111" s="625"/>
      <c r="AJ111" s="188"/>
      <c r="AK111" s="188"/>
      <c r="AL111" s="185"/>
      <c r="AM111" s="182"/>
      <c r="AN111" s="625"/>
      <c r="AO111" s="188"/>
      <c r="AP111" s="188"/>
      <c r="AQ111" s="185"/>
      <c r="AR111" s="182"/>
      <c r="AS111" s="625"/>
      <c r="AT111" s="188"/>
      <c r="AU111" s="188"/>
      <c r="AV111" s="185"/>
      <c r="AW111" s="182"/>
      <c r="AX111" s="625"/>
    </row>
    <row r="112" spans="2:50" ht="14.25" customHeight="1">
      <c r="B112" s="564"/>
      <c r="C112" s="180">
        <v>6</v>
      </c>
      <c r="D112" s="183"/>
      <c r="E112" s="180"/>
      <c r="F112" s="180"/>
      <c r="G112" s="185"/>
      <c r="H112" s="625"/>
      <c r="I112" s="186"/>
      <c r="J112" s="186"/>
      <c r="K112" s="187"/>
      <c r="L112" s="626"/>
      <c r="M112" s="186"/>
      <c r="N112" s="564"/>
      <c r="O112" s="564"/>
      <c r="P112" s="188"/>
      <c r="Q112" s="188"/>
      <c r="R112" s="185"/>
      <c r="S112" s="182"/>
      <c r="T112" s="625"/>
      <c r="U112" s="188"/>
      <c r="V112" s="188"/>
      <c r="W112" s="185"/>
      <c r="X112" s="182"/>
      <c r="Y112" s="625"/>
      <c r="Z112" s="188"/>
      <c r="AA112" s="188"/>
      <c r="AB112" s="185"/>
      <c r="AC112" s="182"/>
      <c r="AD112" s="625"/>
      <c r="AE112" s="188"/>
      <c r="AF112" s="188"/>
      <c r="AG112" s="185"/>
      <c r="AH112" s="182"/>
      <c r="AI112" s="625"/>
      <c r="AJ112" s="188"/>
      <c r="AK112" s="188"/>
      <c r="AL112" s="185"/>
      <c r="AM112" s="182"/>
      <c r="AN112" s="625"/>
      <c r="AO112" s="188"/>
      <c r="AP112" s="188"/>
      <c r="AQ112" s="185"/>
      <c r="AR112" s="182"/>
      <c r="AS112" s="625"/>
      <c r="AT112" s="188"/>
      <c r="AU112" s="188"/>
      <c r="AV112" s="185"/>
      <c r="AW112" s="182"/>
      <c r="AX112" s="625"/>
    </row>
    <row r="113" spans="2:50" ht="14.25" customHeight="1">
      <c r="B113" s="564"/>
      <c r="C113" s="180">
        <v>7</v>
      </c>
      <c r="D113" s="183"/>
      <c r="E113" s="180"/>
      <c r="F113" s="180"/>
      <c r="G113" s="185"/>
      <c r="H113" s="625"/>
      <c r="I113" s="186"/>
      <c r="J113" s="186"/>
      <c r="K113" s="187"/>
      <c r="L113" s="626"/>
      <c r="M113" s="186"/>
      <c r="N113" s="564"/>
      <c r="O113" s="564"/>
      <c r="P113" s="188"/>
      <c r="Q113" s="188"/>
      <c r="R113" s="185"/>
      <c r="S113" s="182"/>
      <c r="T113" s="625"/>
      <c r="U113" s="188"/>
      <c r="V113" s="188"/>
      <c r="W113" s="185"/>
      <c r="X113" s="182"/>
      <c r="Y113" s="625"/>
      <c r="Z113" s="188"/>
      <c r="AA113" s="188"/>
      <c r="AB113" s="185"/>
      <c r="AC113" s="182"/>
      <c r="AD113" s="625"/>
      <c r="AE113" s="188"/>
      <c r="AF113" s="188"/>
      <c r="AG113" s="185"/>
      <c r="AH113" s="182"/>
      <c r="AI113" s="625"/>
      <c r="AJ113" s="188"/>
      <c r="AK113" s="188"/>
      <c r="AL113" s="185"/>
      <c r="AM113" s="182"/>
      <c r="AN113" s="625"/>
      <c r="AO113" s="188"/>
      <c r="AP113" s="188"/>
      <c r="AQ113" s="185"/>
      <c r="AR113" s="182"/>
      <c r="AS113" s="625"/>
      <c r="AT113" s="188"/>
      <c r="AU113" s="188"/>
      <c r="AV113" s="185"/>
      <c r="AW113" s="182"/>
      <c r="AX113" s="625"/>
    </row>
    <row r="114" spans="2:50" ht="14.25" customHeight="1">
      <c r="B114" s="564"/>
      <c r="C114" s="180">
        <v>8</v>
      </c>
      <c r="D114" s="183"/>
      <c r="E114" s="180"/>
      <c r="F114" s="180"/>
      <c r="G114" s="185"/>
      <c r="H114" s="625"/>
      <c r="I114" s="186"/>
      <c r="J114" s="186"/>
      <c r="K114" s="187"/>
      <c r="L114" s="626"/>
      <c r="M114" s="186"/>
      <c r="N114" s="564"/>
      <c r="O114" s="564"/>
      <c r="P114" s="188"/>
      <c r="Q114" s="188"/>
      <c r="R114" s="185"/>
      <c r="S114" s="182"/>
      <c r="T114" s="625"/>
      <c r="U114" s="188"/>
      <c r="V114" s="188"/>
      <c r="W114" s="185"/>
      <c r="X114" s="182"/>
      <c r="Y114" s="625"/>
      <c r="Z114" s="188"/>
      <c r="AA114" s="188"/>
      <c r="AB114" s="185"/>
      <c r="AC114" s="182"/>
      <c r="AD114" s="625"/>
      <c r="AE114" s="188"/>
      <c r="AF114" s="188"/>
      <c r="AG114" s="185"/>
      <c r="AH114" s="182"/>
      <c r="AI114" s="625"/>
      <c r="AJ114" s="188"/>
      <c r="AK114" s="188"/>
      <c r="AL114" s="185"/>
      <c r="AM114" s="182"/>
      <c r="AN114" s="625"/>
      <c r="AO114" s="188"/>
      <c r="AP114" s="188"/>
      <c r="AQ114" s="185"/>
      <c r="AR114" s="182"/>
      <c r="AS114" s="625"/>
      <c r="AT114" s="188"/>
      <c r="AU114" s="188"/>
      <c r="AV114" s="185"/>
      <c r="AW114" s="182"/>
      <c r="AX114" s="625"/>
    </row>
    <row r="115" spans="2:50" ht="14.25" customHeight="1">
      <c r="B115" s="564"/>
      <c r="C115" s="180">
        <v>9</v>
      </c>
      <c r="D115" s="183"/>
      <c r="E115" s="180"/>
      <c r="F115" s="180"/>
      <c r="G115" s="185"/>
      <c r="H115" s="625"/>
      <c r="I115" s="186"/>
      <c r="J115" s="186"/>
      <c r="K115" s="187"/>
      <c r="L115" s="626"/>
      <c r="M115" s="186"/>
      <c r="N115" s="564"/>
      <c r="O115" s="564"/>
      <c r="P115" s="188"/>
      <c r="Q115" s="188"/>
      <c r="R115" s="185"/>
      <c r="S115" s="182"/>
      <c r="T115" s="625"/>
      <c r="U115" s="188"/>
      <c r="V115" s="188"/>
      <c r="W115" s="185"/>
      <c r="X115" s="182"/>
      <c r="Y115" s="625"/>
      <c r="Z115" s="188"/>
      <c r="AA115" s="188"/>
      <c r="AB115" s="185"/>
      <c r="AC115" s="182"/>
      <c r="AD115" s="625"/>
      <c r="AE115" s="188"/>
      <c r="AF115" s="188"/>
      <c r="AG115" s="185"/>
      <c r="AH115" s="182"/>
      <c r="AI115" s="625"/>
      <c r="AJ115" s="188"/>
      <c r="AK115" s="188"/>
      <c r="AL115" s="185"/>
      <c r="AM115" s="182"/>
      <c r="AN115" s="625"/>
      <c r="AO115" s="188"/>
      <c r="AP115" s="188"/>
      <c r="AQ115" s="185"/>
      <c r="AR115" s="182"/>
      <c r="AS115" s="625"/>
      <c r="AT115" s="188"/>
      <c r="AU115" s="188"/>
      <c r="AV115" s="185"/>
      <c r="AW115" s="182"/>
      <c r="AX115" s="625"/>
    </row>
    <row r="116" spans="2:50" ht="14.25" customHeight="1">
      <c r="B116" s="564"/>
      <c r="C116" s="180">
        <v>10</v>
      </c>
      <c r="D116" s="183"/>
      <c r="E116" s="180"/>
      <c r="F116" s="180"/>
      <c r="G116" s="185"/>
      <c r="H116" s="625"/>
      <c r="I116" s="186"/>
      <c r="J116" s="186"/>
      <c r="K116" s="187"/>
      <c r="L116" s="626"/>
      <c r="M116" s="186"/>
      <c r="N116" s="564"/>
      <c r="O116" s="564"/>
      <c r="P116" s="188"/>
      <c r="Q116" s="188"/>
      <c r="R116" s="185"/>
      <c r="S116" s="182"/>
      <c r="T116" s="625"/>
      <c r="U116" s="188"/>
      <c r="V116" s="188"/>
      <c r="W116" s="185"/>
      <c r="X116" s="182"/>
      <c r="Y116" s="625"/>
      <c r="Z116" s="188"/>
      <c r="AA116" s="188"/>
      <c r="AB116" s="185"/>
      <c r="AC116" s="182"/>
      <c r="AD116" s="625"/>
      <c r="AE116" s="188"/>
      <c r="AF116" s="188"/>
      <c r="AG116" s="185"/>
      <c r="AH116" s="182"/>
      <c r="AI116" s="625"/>
      <c r="AJ116" s="188"/>
      <c r="AK116" s="188"/>
      <c r="AL116" s="185"/>
      <c r="AM116" s="182"/>
      <c r="AN116" s="625"/>
      <c r="AO116" s="188"/>
      <c r="AP116" s="188"/>
      <c r="AQ116" s="185"/>
      <c r="AR116" s="182"/>
      <c r="AS116" s="625"/>
      <c r="AT116" s="188"/>
      <c r="AU116" s="188"/>
      <c r="AV116" s="185"/>
      <c r="AW116" s="182"/>
      <c r="AX116" s="625"/>
    </row>
    <row r="117" spans="2:50" ht="14.25" customHeight="1">
      <c r="B117" s="564"/>
      <c r="C117" s="180">
        <v>11</v>
      </c>
      <c r="D117" s="183"/>
      <c r="E117" s="180"/>
      <c r="F117" s="180"/>
      <c r="G117" s="185"/>
      <c r="H117" s="625"/>
      <c r="I117" s="186"/>
      <c r="J117" s="186"/>
      <c r="K117" s="187"/>
      <c r="L117" s="626"/>
      <c r="M117" s="186"/>
      <c r="N117" s="564"/>
      <c r="O117" s="564"/>
      <c r="P117" s="188"/>
      <c r="Q117" s="188"/>
      <c r="R117" s="185"/>
      <c r="S117" s="182"/>
      <c r="T117" s="625"/>
      <c r="U117" s="188"/>
      <c r="V117" s="188"/>
      <c r="W117" s="185"/>
      <c r="X117" s="182"/>
      <c r="Y117" s="625"/>
      <c r="Z117" s="188"/>
      <c r="AA117" s="188"/>
      <c r="AB117" s="185"/>
      <c r="AC117" s="182"/>
      <c r="AD117" s="625"/>
      <c r="AE117" s="188"/>
      <c r="AF117" s="188"/>
      <c r="AG117" s="185"/>
      <c r="AH117" s="182"/>
      <c r="AI117" s="625"/>
      <c r="AJ117" s="188"/>
      <c r="AK117" s="188"/>
      <c r="AL117" s="185"/>
      <c r="AM117" s="182"/>
      <c r="AN117" s="625"/>
      <c r="AO117" s="188"/>
      <c r="AP117" s="188"/>
      <c r="AQ117" s="185"/>
      <c r="AR117" s="182"/>
      <c r="AS117" s="625"/>
      <c r="AT117" s="188"/>
      <c r="AU117" s="188"/>
      <c r="AV117" s="185"/>
      <c r="AW117" s="182"/>
      <c r="AX117" s="625"/>
    </row>
    <row r="118" spans="2:50" ht="14.25" customHeight="1">
      <c r="B118" s="564"/>
      <c r="C118" s="180">
        <v>12</v>
      </c>
      <c r="D118" s="183"/>
      <c r="E118" s="180"/>
      <c r="F118" s="180"/>
      <c r="G118" s="185"/>
      <c r="H118" s="625"/>
      <c r="I118" s="186"/>
      <c r="J118" s="186"/>
      <c r="K118" s="187"/>
      <c r="L118" s="626"/>
      <c r="M118" s="186"/>
      <c r="N118" s="564"/>
      <c r="O118" s="564"/>
      <c r="P118" s="188"/>
      <c r="Q118" s="188"/>
      <c r="R118" s="185"/>
      <c r="S118" s="182"/>
      <c r="T118" s="625"/>
      <c r="U118" s="188"/>
      <c r="V118" s="188"/>
      <c r="W118" s="185"/>
      <c r="X118" s="182"/>
      <c r="Y118" s="625"/>
      <c r="Z118" s="188"/>
      <c r="AA118" s="188"/>
      <c r="AB118" s="185"/>
      <c r="AC118" s="182"/>
      <c r="AD118" s="625"/>
      <c r="AE118" s="188"/>
      <c r="AF118" s="188"/>
      <c r="AG118" s="185"/>
      <c r="AH118" s="182"/>
      <c r="AI118" s="625"/>
      <c r="AJ118" s="188"/>
      <c r="AK118" s="188"/>
      <c r="AL118" s="185"/>
      <c r="AM118" s="182"/>
      <c r="AN118" s="625"/>
      <c r="AO118" s="188"/>
      <c r="AP118" s="188"/>
      <c r="AQ118" s="185"/>
      <c r="AR118" s="182"/>
      <c r="AS118" s="625"/>
      <c r="AT118" s="188"/>
      <c r="AU118" s="188"/>
      <c r="AV118" s="185"/>
      <c r="AW118" s="182"/>
      <c r="AX118" s="625"/>
    </row>
    <row r="119" spans="2:50" ht="14.25" customHeight="1">
      <c r="B119" s="564"/>
      <c r="C119" s="180">
        <v>13</v>
      </c>
      <c r="D119" s="183"/>
      <c r="E119" s="180"/>
      <c r="F119" s="180"/>
      <c r="G119" s="185"/>
      <c r="H119" s="625"/>
      <c r="I119" s="186"/>
      <c r="J119" s="186"/>
      <c r="K119" s="187"/>
      <c r="L119" s="626"/>
      <c r="M119" s="186"/>
      <c r="N119" s="564"/>
      <c r="O119" s="564"/>
      <c r="P119" s="188"/>
      <c r="Q119" s="188"/>
      <c r="R119" s="185"/>
      <c r="S119" s="182"/>
      <c r="T119" s="625"/>
      <c r="U119" s="188"/>
      <c r="V119" s="188"/>
      <c r="W119" s="185"/>
      <c r="X119" s="182"/>
      <c r="Y119" s="625"/>
      <c r="Z119" s="188"/>
      <c r="AA119" s="188"/>
      <c r="AB119" s="185"/>
      <c r="AC119" s="182"/>
      <c r="AD119" s="625"/>
      <c r="AE119" s="188"/>
      <c r="AF119" s="188"/>
      <c r="AG119" s="185"/>
      <c r="AH119" s="182"/>
      <c r="AI119" s="625"/>
      <c r="AJ119" s="188"/>
      <c r="AK119" s="188"/>
      <c r="AL119" s="185"/>
      <c r="AM119" s="182"/>
      <c r="AN119" s="625"/>
      <c r="AO119" s="188"/>
      <c r="AP119" s="188"/>
      <c r="AQ119" s="185"/>
      <c r="AR119" s="182"/>
      <c r="AS119" s="625"/>
      <c r="AT119" s="188"/>
      <c r="AU119" s="188"/>
      <c r="AV119" s="185"/>
      <c r="AW119" s="182"/>
      <c r="AX119" s="625"/>
    </row>
    <row r="120" spans="2:50" ht="14.25" customHeight="1">
      <c r="B120" s="564"/>
      <c r="C120" s="180">
        <v>14</v>
      </c>
      <c r="D120" s="183"/>
      <c r="E120" s="180"/>
      <c r="F120" s="180"/>
      <c r="G120" s="185"/>
      <c r="H120" s="625"/>
      <c r="I120" s="186"/>
      <c r="J120" s="186"/>
      <c r="K120" s="187"/>
      <c r="L120" s="626"/>
      <c r="M120" s="186"/>
      <c r="N120" s="564"/>
      <c r="O120" s="564"/>
      <c r="P120" s="188"/>
      <c r="Q120" s="188"/>
      <c r="R120" s="185"/>
      <c r="S120" s="182"/>
      <c r="T120" s="625"/>
      <c r="U120" s="188"/>
      <c r="V120" s="188"/>
      <c r="W120" s="185"/>
      <c r="X120" s="182"/>
      <c r="Y120" s="625"/>
      <c r="Z120" s="188"/>
      <c r="AA120" s="188"/>
      <c r="AB120" s="185"/>
      <c r="AC120" s="182"/>
      <c r="AD120" s="625"/>
      <c r="AE120" s="188"/>
      <c r="AF120" s="188"/>
      <c r="AG120" s="185"/>
      <c r="AH120" s="182"/>
      <c r="AI120" s="625"/>
      <c r="AJ120" s="188"/>
      <c r="AK120" s="188"/>
      <c r="AL120" s="185"/>
      <c r="AM120" s="182"/>
      <c r="AN120" s="625"/>
      <c r="AO120" s="188"/>
      <c r="AP120" s="188"/>
      <c r="AQ120" s="185"/>
      <c r="AR120" s="182"/>
      <c r="AS120" s="625"/>
      <c r="AT120" s="188"/>
      <c r="AU120" s="188"/>
      <c r="AV120" s="185"/>
      <c r="AW120" s="182"/>
      <c r="AX120" s="625"/>
    </row>
    <row r="121" spans="2:50" ht="14.25" customHeight="1">
      <c r="B121" s="564"/>
      <c r="C121" s="180">
        <v>15</v>
      </c>
      <c r="D121" s="183"/>
      <c r="E121" s="180"/>
      <c r="F121" s="180"/>
      <c r="G121" s="185"/>
      <c r="H121" s="625"/>
      <c r="I121" s="186"/>
      <c r="J121" s="186"/>
      <c r="K121" s="187"/>
      <c r="L121" s="626"/>
      <c r="M121" s="186"/>
      <c r="N121" s="564"/>
      <c r="O121" s="564"/>
      <c r="P121" s="188"/>
      <c r="Q121" s="188"/>
      <c r="R121" s="185"/>
      <c r="S121" s="182"/>
      <c r="T121" s="625"/>
      <c r="U121" s="188"/>
      <c r="V121" s="188"/>
      <c r="W121" s="185"/>
      <c r="X121" s="182"/>
      <c r="Y121" s="625"/>
      <c r="Z121" s="188"/>
      <c r="AA121" s="188"/>
      <c r="AB121" s="185"/>
      <c r="AC121" s="182"/>
      <c r="AD121" s="625"/>
      <c r="AE121" s="188"/>
      <c r="AF121" s="188"/>
      <c r="AG121" s="185"/>
      <c r="AH121" s="182"/>
      <c r="AI121" s="625"/>
      <c r="AJ121" s="188"/>
      <c r="AK121" s="188"/>
      <c r="AL121" s="185"/>
      <c r="AM121" s="182"/>
      <c r="AN121" s="625"/>
      <c r="AO121" s="188"/>
      <c r="AP121" s="188"/>
      <c r="AQ121" s="185"/>
      <c r="AR121" s="182"/>
      <c r="AS121" s="625"/>
      <c r="AT121" s="188"/>
      <c r="AU121" s="188"/>
      <c r="AV121" s="185"/>
      <c r="AW121" s="182"/>
      <c r="AX121" s="625"/>
    </row>
  </sheetData>
  <mergeCells count="354"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J84:AM84"/>
    <mergeCell ref="AN84:AN86"/>
    <mergeCell ref="AO84:AR84"/>
    <mergeCell ref="AS84:AS86"/>
    <mergeCell ref="AT84:AW84"/>
    <mergeCell ref="AX84:AX86"/>
    <mergeCell ref="AI87:AI101"/>
    <mergeCell ref="AN87:AN101"/>
    <mergeCell ref="AS87:AS101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X87:AX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N67:AN81"/>
    <mergeCell ref="AS67:AS81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B67:B81"/>
    <mergeCell ref="H67:H81"/>
    <mergeCell ref="L67:L81"/>
    <mergeCell ref="T67:T81"/>
    <mergeCell ref="Y67:Y81"/>
    <mergeCell ref="AD67:AD81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AI67:AI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121"/>
  <sheetViews>
    <sheetView zoomScaleNormal="100" workbookViewId="0">
      <pane xSplit="13" ySplit="1" topLeftCell="W89" activePane="bottomRight" state="frozen"/>
      <selection activeCell="L95" sqref="L95"/>
      <selection pane="topRight" activeCell="L95" sqref="L95"/>
      <selection pane="bottomLeft" activeCell="L95" sqref="L95"/>
      <selection pane="bottomRight" activeCell="A107" sqref="A107:XFD12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67" t="s">
        <v>647</v>
      </c>
      <c r="C1" s="175">
        <f>AVERAGE(L27,L47,L67,L87)</f>
        <v>493.97618103140815</v>
      </c>
    </row>
    <row r="2" spans="1:50" ht="14.25" customHeight="1" collapsed="1">
      <c r="B2" s="641" t="s">
        <v>557</v>
      </c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3"/>
      <c r="N2" s="575" t="s">
        <v>377</v>
      </c>
      <c r="O2" s="575" t="s">
        <v>105</v>
      </c>
      <c r="P2" s="655">
        <v>46077</v>
      </c>
      <c r="Q2" s="656"/>
      <c r="R2" s="656"/>
      <c r="S2" s="656"/>
      <c r="T2" s="656"/>
      <c r="U2" s="657">
        <f>P2+1</f>
        <v>46078</v>
      </c>
      <c r="V2" s="658"/>
      <c r="W2" s="658"/>
      <c r="X2" s="658"/>
      <c r="Y2" s="658"/>
      <c r="Z2" s="655">
        <f t="shared" ref="Z2" si="0">U2+1</f>
        <v>46079</v>
      </c>
      <c r="AA2" s="656"/>
      <c r="AB2" s="656"/>
      <c r="AC2" s="656"/>
      <c r="AD2" s="656"/>
      <c r="AE2" s="657">
        <f t="shared" ref="AE2" si="1">Z2+1</f>
        <v>46080</v>
      </c>
      <c r="AF2" s="658"/>
      <c r="AG2" s="658"/>
      <c r="AH2" s="658"/>
      <c r="AI2" s="658"/>
      <c r="AJ2" s="647">
        <f t="shared" ref="AJ2" si="2">AE2+1</f>
        <v>46081</v>
      </c>
      <c r="AK2" s="648"/>
      <c r="AL2" s="648"/>
      <c r="AM2" s="648"/>
      <c r="AN2" s="649"/>
      <c r="AO2" s="657">
        <f t="shared" ref="AO2" si="3">AJ2+1</f>
        <v>46082</v>
      </c>
      <c r="AP2" s="658"/>
      <c r="AQ2" s="658"/>
      <c r="AR2" s="658"/>
      <c r="AS2" s="658"/>
      <c r="AT2" s="647">
        <f t="shared" ref="AT2" si="4">AO2+1</f>
        <v>46083</v>
      </c>
      <c r="AU2" s="648"/>
      <c r="AV2" s="648"/>
      <c r="AW2" s="648"/>
      <c r="AX2" s="649"/>
    </row>
    <row r="3" spans="1:50" ht="14.25" customHeight="1"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5"/>
      <c r="N3" s="577"/>
      <c r="O3" s="577"/>
      <c r="P3" s="650">
        <f>P2</f>
        <v>46077</v>
      </c>
      <c r="Q3" s="650"/>
      <c r="R3" s="650"/>
      <c r="S3" s="650"/>
      <c r="T3" s="650"/>
      <c r="U3" s="651">
        <f>U2</f>
        <v>46078</v>
      </c>
      <c r="V3" s="651"/>
      <c r="W3" s="651"/>
      <c r="X3" s="651"/>
      <c r="Y3" s="651"/>
      <c r="Z3" s="650">
        <f t="shared" ref="Z3" si="5">Z2</f>
        <v>46079</v>
      </c>
      <c r="AA3" s="650"/>
      <c r="AB3" s="650"/>
      <c r="AC3" s="650"/>
      <c r="AD3" s="650"/>
      <c r="AE3" s="651">
        <f t="shared" ref="AE3" si="6">AE2</f>
        <v>46080</v>
      </c>
      <c r="AF3" s="651"/>
      <c r="AG3" s="651"/>
      <c r="AH3" s="651"/>
      <c r="AI3" s="651"/>
      <c r="AJ3" s="652">
        <f t="shared" ref="AJ3" si="7">AJ2</f>
        <v>46081</v>
      </c>
      <c r="AK3" s="653"/>
      <c r="AL3" s="653"/>
      <c r="AM3" s="653"/>
      <c r="AN3" s="654"/>
      <c r="AO3" s="651">
        <f t="shared" ref="AO3" si="8">AO2</f>
        <v>46082</v>
      </c>
      <c r="AP3" s="651"/>
      <c r="AQ3" s="651"/>
      <c r="AR3" s="651"/>
      <c r="AS3" s="651"/>
      <c r="AT3" s="652">
        <f t="shared" ref="AT3" si="9">AT2</f>
        <v>46083</v>
      </c>
      <c r="AU3" s="653"/>
      <c r="AV3" s="653"/>
      <c r="AW3" s="653"/>
      <c r="AX3" s="654"/>
    </row>
    <row r="4" spans="1:50" ht="14.25" customHeight="1">
      <c r="B4" s="564" t="s">
        <v>164</v>
      </c>
      <c r="C4" s="564" t="s">
        <v>159</v>
      </c>
      <c r="D4" s="564"/>
      <c r="E4" s="564" t="s">
        <v>160</v>
      </c>
      <c r="F4" s="564"/>
      <c r="G4" s="564"/>
      <c r="H4" s="564" t="s">
        <v>165</v>
      </c>
      <c r="I4" s="628" t="s">
        <v>378</v>
      </c>
      <c r="J4" s="628"/>
      <c r="K4" s="628"/>
      <c r="L4" s="628" t="s">
        <v>165</v>
      </c>
      <c r="M4" s="628" t="s">
        <v>167</v>
      </c>
      <c r="N4" s="564"/>
      <c r="O4" s="564" t="s">
        <v>166</v>
      </c>
      <c r="P4" s="564" t="s">
        <v>162</v>
      </c>
      <c r="Q4" s="564"/>
      <c r="R4" s="564"/>
      <c r="S4" s="564"/>
      <c r="T4" s="564" t="s">
        <v>165</v>
      </c>
      <c r="U4" s="564" t="s">
        <v>162</v>
      </c>
      <c r="V4" s="564"/>
      <c r="W4" s="564"/>
      <c r="X4" s="564"/>
      <c r="Y4" s="564" t="s">
        <v>165</v>
      </c>
      <c r="Z4" s="564" t="s">
        <v>162</v>
      </c>
      <c r="AA4" s="564"/>
      <c r="AB4" s="564"/>
      <c r="AC4" s="564"/>
      <c r="AD4" s="564" t="s">
        <v>165</v>
      </c>
      <c r="AE4" s="564" t="s">
        <v>162</v>
      </c>
      <c r="AF4" s="564"/>
      <c r="AG4" s="564"/>
      <c r="AH4" s="564"/>
      <c r="AI4" s="564" t="s">
        <v>165</v>
      </c>
      <c r="AJ4" s="564" t="s">
        <v>162</v>
      </c>
      <c r="AK4" s="564"/>
      <c r="AL4" s="564"/>
      <c r="AM4" s="564"/>
      <c r="AN4" s="564" t="s">
        <v>165</v>
      </c>
      <c r="AO4" s="564" t="s">
        <v>162</v>
      </c>
      <c r="AP4" s="564"/>
      <c r="AQ4" s="564"/>
      <c r="AR4" s="564"/>
      <c r="AS4" s="564" t="s">
        <v>165</v>
      </c>
      <c r="AT4" s="564" t="s">
        <v>162</v>
      </c>
      <c r="AU4" s="564"/>
      <c r="AV4" s="564"/>
      <c r="AW4" s="564"/>
      <c r="AX4" s="564" t="s">
        <v>165</v>
      </c>
    </row>
    <row r="5" spans="1:50" ht="14.25" customHeight="1">
      <c r="B5" s="564"/>
      <c r="C5" s="564"/>
      <c r="D5" s="564"/>
      <c r="E5" s="564" t="s">
        <v>379</v>
      </c>
      <c r="F5" s="564"/>
      <c r="G5" s="564"/>
      <c r="H5" s="564"/>
      <c r="I5" s="628" t="s">
        <v>379</v>
      </c>
      <c r="J5" s="628"/>
      <c r="K5" s="628"/>
      <c r="L5" s="628"/>
      <c r="M5" s="628"/>
      <c r="N5" s="564"/>
      <c r="O5" s="564"/>
      <c r="P5" s="564" t="s">
        <v>380</v>
      </c>
      <c r="Q5" s="564"/>
      <c r="R5" s="564"/>
      <c r="S5" s="564"/>
      <c r="T5" s="564"/>
      <c r="U5" s="564" t="s">
        <v>380</v>
      </c>
      <c r="V5" s="564"/>
      <c r="W5" s="564"/>
      <c r="X5" s="564"/>
      <c r="Y5" s="564"/>
      <c r="Z5" s="564" t="s">
        <v>380</v>
      </c>
      <c r="AA5" s="564"/>
      <c r="AB5" s="564"/>
      <c r="AC5" s="564"/>
      <c r="AD5" s="564"/>
      <c r="AE5" s="564" t="s">
        <v>380</v>
      </c>
      <c r="AF5" s="564"/>
      <c r="AG5" s="564"/>
      <c r="AH5" s="564"/>
      <c r="AI5" s="564"/>
      <c r="AJ5" s="564" t="s">
        <v>380</v>
      </c>
      <c r="AK5" s="564"/>
      <c r="AL5" s="564"/>
      <c r="AM5" s="564"/>
      <c r="AN5" s="564"/>
      <c r="AO5" s="564" t="s">
        <v>380</v>
      </c>
      <c r="AP5" s="564"/>
      <c r="AQ5" s="564"/>
      <c r="AR5" s="564"/>
      <c r="AS5" s="564"/>
      <c r="AT5" s="564" t="s">
        <v>380</v>
      </c>
      <c r="AU5" s="564"/>
      <c r="AV5" s="564"/>
      <c r="AW5" s="564"/>
      <c r="AX5" s="564"/>
    </row>
    <row r="6" spans="1:50" ht="14.25" customHeight="1">
      <c r="B6" s="564"/>
      <c r="C6" s="564"/>
      <c r="D6" s="564"/>
      <c r="E6" s="180" t="s">
        <v>161</v>
      </c>
      <c r="F6" s="180" t="s">
        <v>381</v>
      </c>
      <c r="G6" s="180" t="s">
        <v>163</v>
      </c>
      <c r="H6" s="564"/>
      <c r="I6" s="181" t="s">
        <v>161</v>
      </c>
      <c r="J6" s="181" t="s">
        <v>381</v>
      </c>
      <c r="K6" s="181" t="s">
        <v>163</v>
      </c>
      <c r="L6" s="628"/>
      <c r="M6" s="628"/>
      <c r="N6" s="564"/>
      <c r="O6" s="564"/>
      <c r="P6" s="180" t="s">
        <v>161</v>
      </c>
      <c r="Q6" s="180" t="s">
        <v>381</v>
      </c>
      <c r="R6" s="180" t="s">
        <v>163</v>
      </c>
      <c r="S6" s="182" t="s">
        <v>167</v>
      </c>
      <c r="T6" s="564"/>
      <c r="U6" s="180" t="s">
        <v>161</v>
      </c>
      <c r="V6" s="180" t="s">
        <v>381</v>
      </c>
      <c r="W6" s="180" t="s">
        <v>163</v>
      </c>
      <c r="X6" s="182" t="s">
        <v>167</v>
      </c>
      <c r="Y6" s="564"/>
      <c r="Z6" s="180" t="s">
        <v>161</v>
      </c>
      <c r="AA6" s="180" t="s">
        <v>381</v>
      </c>
      <c r="AB6" s="180" t="s">
        <v>163</v>
      </c>
      <c r="AC6" s="182" t="s">
        <v>167</v>
      </c>
      <c r="AD6" s="564"/>
      <c r="AE6" s="180" t="s">
        <v>161</v>
      </c>
      <c r="AF6" s="180" t="s">
        <v>381</v>
      </c>
      <c r="AG6" s="180" t="s">
        <v>163</v>
      </c>
      <c r="AH6" s="182" t="s">
        <v>167</v>
      </c>
      <c r="AI6" s="564"/>
      <c r="AJ6" s="180" t="s">
        <v>161</v>
      </c>
      <c r="AK6" s="180" t="s">
        <v>381</v>
      </c>
      <c r="AL6" s="180" t="s">
        <v>163</v>
      </c>
      <c r="AM6" s="182" t="s">
        <v>167</v>
      </c>
      <c r="AN6" s="564"/>
      <c r="AO6" s="180" t="s">
        <v>161</v>
      </c>
      <c r="AP6" s="180" t="s">
        <v>381</v>
      </c>
      <c r="AQ6" s="180" t="s">
        <v>163</v>
      </c>
      <c r="AR6" s="182" t="s">
        <v>167</v>
      </c>
      <c r="AS6" s="564"/>
      <c r="AT6" s="180" t="s">
        <v>161</v>
      </c>
      <c r="AU6" s="180" t="s">
        <v>381</v>
      </c>
      <c r="AV6" s="180" t="s">
        <v>163</v>
      </c>
      <c r="AW6" s="182" t="s">
        <v>167</v>
      </c>
      <c r="AX6" s="564"/>
    </row>
    <row r="7" spans="1:50" ht="14.25" customHeight="1">
      <c r="B7" s="564" t="s">
        <v>384</v>
      </c>
      <c r="C7" s="180">
        <v>1</v>
      </c>
      <c r="D7" s="183" t="s">
        <v>537</v>
      </c>
      <c r="E7" s="180">
        <v>6</v>
      </c>
      <c r="F7" s="180">
        <v>3273</v>
      </c>
      <c r="G7" s="185">
        <f t="shared" ref="G7:G8" si="10">F7/E7</f>
        <v>545.5</v>
      </c>
      <c r="H7" s="625">
        <f>AVERAGE(G7:G21)</f>
        <v>545.5</v>
      </c>
      <c r="I7" s="186">
        <f>AVERAGE(P7,U7,Z7,AE7,AJ7,AO7,AT7)</f>
        <v>6</v>
      </c>
      <c r="J7" s="186">
        <f>AVERAGE(Q7,V7,AA7,AF7,AK7,AP7,AU7)</f>
        <v>2961.6510978447559</v>
      </c>
      <c r="K7" s="187">
        <f>AVERAGE(R7,W7,AB7,AG7,AL7,AQ7,AV7)</f>
        <v>493.60851630745941</v>
      </c>
      <c r="L7" s="626">
        <f>IFERROR(AVERAGE(K7:K21),"-")</f>
        <v>481.20056773217823</v>
      </c>
      <c r="M7" s="186" t="e">
        <f>RANK(K7, K$87:$K$101)</f>
        <v>#N/A</v>
      </c>
      <c r="N7" s="564"/>
      <c r="O7" s="564"/>
      <c r="P7" s="188">
        <v>6</v>
      </c>
      <c r="Q7" s="188">
        <v>2962.1878715814551</v>
      </c>
      <c r="R7" s="185">
        <f>IFERROR(Q7/P7,"")</f>
        <v>493.69797859690919</v>
      </c>
      <c r="S7" s="182" t="e">
        <f>RANK(R7, R$87:R$101)</f>
        <v>#N/A</v>
      </c>
      <c r="T7" s="625">
        <f>AVERAGE(R7:R21)</f>
        <v>469.98040201317662</v>
      </c>
      <c r="U7" s="188">
        <v>6</v>
      </c>
      <c r="V7" s="188">
        <v>2960.3305785123448</v>
      </c>
      <c r="W7" s="185">
        <f t="shared" ref="W7:W8" si="11">IFERROR(V7/U7,"")</f>
        <v>493.38842975205745</v>
      </c>
      <c r="X7" s="182" t="e">
        <f>RANK(W7, W$87:W$101)</f>
        <v>#N/A</v>
      </c>
      <c r="Y7" s="625">
        <f>AVERAGE(W7:W21)</f>
        <v>472.91793228561676</v>
      </c>
      <c r="Z7" s="188">
        <v>6</v>
      </c>
      <c r="AA7" s="188">
        <v>2961.9047619047496</v>
      </c>
      <c r="AB7" s="185">
        <f t="shared" ref="AB7:AB8" si="12">IFERROR(AA7/Z7,"")</f>
        <v>493.65079365079163</v>
      </c>
      <c r="AC7" s="182" t="e">
        <f>RANK(AB7, AB$87:AB$101)</f>
        <v>#N/A</v>
      </c>
      <c r="AD7" s="625">
        <f>AVERAGE(AB7:AB21)</f>
        <v>476.61745731688927</v>
      </c>
      <c r="AE7" s="188">
        <v>6</v>
      </c>
      <c r="AF7" s="188">
        <v>2961.1829944547144</v>
      </c>
      <c r="AG7" s="185">
        <f>IFERROR(AF7/AE7,"")</f>
        <v>493.53049907578571</v>
      </c>
      <c r="AH7" s="182" t="e">
        <f>RANK(AG7, AG$87:AG$101)</f>
        <v>#N/A</v>
      </c>
      <c r="AI7" s="625">
        <f>AVERAGE(AG7:AG21)</f>
        <v>480.70755723020045</v>
      </c>
      <c r="AJ7" s="188">
        <v>6</v>
      </c>
      <c r="AK7" s="188">
        <v>2962.4557260920906</v>
      </c>
      <c r="AL7" s="185">
        <f t="shared" ref="AL7:AL8" si="13">IFERROR(AK7/AJ7,"")</f>
        <v>493.74262101534845</v>
      </c>
      <c r="AM7" s="182" t="e">
        <f>RANK(AL7, AL$87:AL$101)</f>
        <v>#N/A</v>
      </c>
      <c r="AN7" s="625">
        <f>AVERAGE(AL7:AL21)</f>
        <v>484.88455554078689</v>
      </c>
      <c r="AO7" s="188">
        <v>6</v>
      </c>
      <c r="AP7" s="188">
        <v>2962.679425837322</v>
      </c>
      <c r="AQ7" s="185">
        <f t="shared" ref="AQ7:AQ8" si="14">IFERROR(AP7/AO7,"")</f>
        <v>493.77990430622032</v>
      </c>
      <c r="AR7" s="182" t="e">
        <f>RANK(AQ7, AQ$87:AQ$101)</f>
        <v>#N/A</v>
      </c>
      <c r="AS7" s="625">
        <f>AVERAGE(AQ7:AQ21)</f>
        <v>489.63505019232593</v>
      </c>
      <c r="AT7" s="188">
        <v>6</v>
      </c>
      <c r="AU7" s="188">
        <v>2960.816326530618</v>
      </c>
      <c r="AV7" s="185">
        <f t="shared" ref="AV7:AV8" si="15">IFERROR(AU7/AT7,"")</f>
        <v>493.46938775510301</v>
      </c>
      <c r="AW7" s="182" t="e">
        <f>RANK(AV7, AV$87:AV$101)</f>
        <v>#N/A</v>
      </c>
      <c r="AX7" s="625">
        <f>AVERAGE(AV7:AV21)</f>
        <v>493.66101954625151</v>
      </c>
    </row>
    <row r="8" spans="1:50" ht="14.25" customHeight="1">
      <c r="B8" s="564"/>
      <c r="C8" s="180">
        <v>2</v>
      </c>
      <c r="D8" s="183" t="s">
        <v>609</v>
      </c>
      <c r="E8" s="180">
        <v>6</v>
      </c>
      <c r="F8" s="180">
        <v>3273</v>
      </c>
      <c r="G8" s="185">
        <f t="shared" si="10"/>
        <v>545.5</v>
      </c>
      <c r="H8" s="625"/>
      <c r="I8" s="186">
        <f t="shared" ref="I8" si="16">AVERAGE(P8,U8,Z8,AE8,AJ8,AO8,AT8)</f>
        <v>6</v>
      </c>
      <c r="J8" s="186">
        <f t="shared" ref="J8" si="17">AVERAGE(Q8,V8,AA8,AF8,AK8,AP8,AU8)</f>
        <v>2812.7557149413815</v>
      </c>
      <c r="K8" s="187">
        <f t="shared" ref="K8" si="18">AVERAGE(R8,W8,AB8,AG8,AL8,AQ8,AV8)</f>
        <v>468.79261915689705</v>
      </c>
      <c r="L8" s="626"/>
      <c r="M8" s="186" t="e">
        <f>RANK(K8, K$87:$K$101)</f>
        <v>#N/A</v>
      </c>
      <c r="N8" s="564"/>
      <c r="O8" s="564"/>
      <c r="P8" s="188">
        <v>6</v>
      </c>
      <c r="Q8" s="188">
        <v>2677.5769525766641</v>
      </c>
      <c r="R8" s="185">
        <f t="shared" ref="R8" si="19">IFERROR(Q8/P8,"")</f>
        <v>446.26282542944404</v>
      </c>
      <c r="S8" s="182" t="e">
        <f>RANK(R8, R$87:R$101)</f>
        <v>#N/A</v>
      </c>
      <c r="T8" s="625"/>
      <c r="U8" s="188">
        <v>6</v>
      </c>
      <c r="V8" s="188">
        <v>2714.6846089150563</v>
      </c>
      <c r="W8" s="185">
        <f t="shared" si="11"/>
        <v>452.44743481917607</v>
      </c>
      <c r="X8" s="182" t="e">
        <f>RANK(W8, W$87:W$101)</f>
        <v>#N/A</v>
      </c>
      <c r="Y8" s="625"/>
      <c r="Z8" s="188">
        <v>6</v>
      </c>
      <c r="AA8" s="188">
        <v>2757.5047258979212</v>
      </c>
      <c r="AB8" s="185">
        <f t="shared" si="12"/>
        <v>459.58412098298686</v>
      </c>
      <c r="AC8" s="182" t="e">
        <f>RANK(AB8, AB$87:AB$101)</f>
        <v>#N/A</v>
      </c>
      <c r="AD8" s="625"/>
      <c r="AE8" s="188">
        <v>6</v>
      </c>
      <c r="AF8" s="188">
        <v>2807.3076923076915</v>
      </c>
      <c r="AG8" s="185">
        <f t="shared" ref="AG8" si="20">IFERROR(AF8/AE8,"")</f>
        <v>467.88461538461524</v>
      </c>
      <c r="AH8" s="182" t="e">
        <f>RANK(AG8, AG$87:AG$101)</f>
        <v>#N/A</v>
      </c>
      <c r="AI8" s="625"/>
      <c r="AJ8" s="188">
        <v>6</v>
      </c>
      <c r="AK8" s="188">
        <v>2856.1589403973521</v>
      </c>
      <c r="AL8" s="185">
        <f t="shared" si="13"/>
        <v>476.02649006622534</v>
      </c>
      <c r="AM8" s="182" t="e">
        <f>RANK(AL8, AL$87:AL$101)</f>
        <v>#N/A</v>
      </c>
      <c r="AN8" s="625"/>
      <c r="AO8" s="188">
        <v>6</v>
      </c>
      <c r="AP8" s="188">
        <v>2912.9411764705892</v>
      </c>
      <c r="AQ8" s="185">
        <f t="shared" si="14"/>
        <v>485.49019607843155</v>
      </c>
      <c r="AR8" s="182" t="e">
        <f>RANK(AQ8, AQ$87:AQ$101)</f>
        <v>#N/A</v>
      </c>
      <c r="AS8" s="625"/>
      <c r="AT8" s="188">
        <v>6</v>
      </c>
      <c r="AU8" s="188">
        <v>2963.1159080244001</v>
      </c>
      <c r="AV8" s="185">
        <f t="shared" si="15"/>
        <v>493.8526513374</v>
      </c>
      <c r="AW8" s="182" t="e">
        <f>RANK(AV8, AV$87:AV$101)</f>
        <v>#N/A</v>
      </c>
      <c r="AX8" s="625"/>
    </row>
    <row r="9" spans="1:50" ht="14.25" customHeight="1">
      <c r="B9" s="564"/>
      <c r="C9" s="180">
        <v>3</v>
      </c>
      <c r="D9" s="183"/>
      <c r="E9" s="180"/>
      <c r="F9" s="180"/>
      <c r="G9" s="185"/>
      <c r="H9" s="625"/>
      <c r="I9" s="186"/>
      <c r="J9" s="186"/>
      <c r="K9" s="187"/>
      <c r="L9" s="626"/>
      <c r="M9" s="186"/>
      <c r="N9" s="564"/>
      <c r="O9" s="564"/>
      <c r="P9" s="188"/>
      <c r="Q9" s="188"/>
      <c r="R9" s="185"/>
      <c r="S9" s="182"/>
      <c r="T9" s="625"/>
      <c r="U9" s="188"/>
      <c r="V9" s="188"/>
      <c r="W9" s="185"/>
      <c r="X9" s="182"/>
      <c r="Y9" s="625"/>
      <c r="Z9" s="188"/>
      <c r="AA9" s="188"/>
      <c r="AB9" s="185"/>
      <c r="AC9" s="182"/>
      <c r="AD9" s="625"/>
      <c r="AE9" s="188"/>
      <c r="AF9" s="188"/>
      <c r="AG9" s="185"/>
      <c r="AH9" s="182"/>
      <c r="AI9" s="625"/>
      <c r="AJ9" s="188"/>
      <c r="AK9" s="188"/>
      <c r="AL9" s="185"/>
      <c r="AM9" s="182"/>
      <c r="AN9" s="625"/>
      <c r="AO9" s="188"/>
      <c r="AP9" s="188"/>
      <c r="AQ9" s="185"/>
      <c r="AR9" s="182"/>
      <c r="AS9" s="625"/>
      <c r="AT9" s="188"/>
      <c r="AU9" s="188"/>
      <c r="AV9" s="185"/>
      <c r="AW9" s="182"/>
      <c r="AX9" s="625"/>
    </row>
    <row r="10" spans="1:50" ht="14.25" customHeight="1">
      <c r="B10" s="564"/>
      <c r="C10" s="180">
        <v>4</v>
      </c>
      <c r="D10" s="183"/>
      <c r="E10" s="180"/>
      <c r="F10" s="180"/>
      <c r="G10" s="185"/>
      <c r="H10" s="625"/>
      <c r="I10" s="186"/>
      <c r="J10" s="186"/>
      <c r="K10" s="187"/>
      <c r="L10" s="626"/>
      <c r="M10" s="186"/>
      <c r="N10" s="564"/>
      <c r="O10" s="564"/>
      <c r="P10" s="188"/>
      <c r="Q10" s="188"/>
      <c r="R10" s="185"/>
      <c r="S10" s="182"/>
      <c r="T10" s="625"/>
      <c r="U10" s="188"/>
      <c r="V10" s="188"/>
      <c r="W10" s="185"/>
      <c r="X10" s="182"/>
      <c r="Y10" s="625"/>
      <c r="Z10" s="188"/>
      <c r="AA10" s="188"/>
      <c r="AB10" s="185"/>
      <c r="AC10" s="182"/>
      <c r="AD10" s="625"/>
      <c r="AE10" s="188"/>
      <c r="AF10" s="188"/>
      <c r="AG10" s="185"/>
      <c r="AH10" s="182"/>
      <c r="AI10" s="625"/>
      <c r="AJ10" s="188"/>
      <c r="AK10" s="188"/>
      <c r="AL10" s="185"/>
      <c r="AM10" s="182"/>
      <c r="AN10" s="625"/>
      <c r="AO10" s="188"/>
      <c r="AP10" s="188"/>
      <c r="AQ10" s="185"/>
      <c r="AR10" s="182"/>
      <c r="AS10" s="625"/>
      <c r="AT10" s="188"/>
      <c r="AU10" s="188"/>
      <c r="AV10" s="185"/>
      <c r="AW10" s="182"/>
      <c r="AX10" s="625"/>
    </row>
    <row r="11" spans="1:50" ht="14.25" customHeight="1">
      <c r="B11" s="564"/>
      <c r="C11" s="180">
        <v>5</v>
      </c>
      <c r="D11" s="183"/>
      <c r="E11" s="180"/>
      <c r="F11" s="180"/>
      <c r="G11" s="185"/>
      <c r="H11" s="625"/>
      <c r="I11" s="186"/>
      <c r="J11" s="186"/>
      <c r="K11" s="187"/>
      <c r="L11" s="626"/>
      <c r="M11" s="186"/>
      <c r="N11" s="564"/>
      <c r="O11" s="564"/>
      <c r="P11" s="188"/>
      <c r="Q11" s="188"/>
      <c r="R11" s="185"/>
      <c r="S11" s="182"/>
      <c r="T11" s="625"/>
      <c r="U11" s="188"/>
      <c r="V11" s="188"/>
      <c r="W11" s="185"/>
      <c r="X11" s="182"/>
      <c r="Y11" s="625"/>
      <c r="Z11" s="188"/>
      <c r="AA11" s="188"/>
      <c r="AB11" s="185"/>
      <c r="AC11" s="182"/>
      <c r="AD11" s="625"/>
      <c r="AE11" s="188"/>
      <c r="AF11" s="188"/>
      <c r="AG11" s="185"/>
      <c r="AH11" s="182"/>
      <c r="AI11" s="625"/>
      <c r="AJ11" s="188"/>
      <c r="AK11" s="188"/>
      <c r="AL11" s="185"/>
      <c r="AM11" s="182"/>
      <c r="AN11" s="625"/>
      <c r="AO11" s="188"/>
      <c r="AP11" s="188"/>
      <c r="AQ11" s="185"/>
      <c r="AR11" s="182"/>
      <c r="AS11" s="625"/>
      <c r="AT11" s="188"/>
      <c r="AU11" s="188"/>
      <c r="AV11" s="185"/>
      <c r="AW11" s="182"/>
      <c r="AX11" s="625"/>
    </row>
    <row r="12" spans="1:50" ht="14.25" customHeight="1">
      <c r="B12" s="564"/>
      <c r="C12" s="180">
        <v>6</v>
      </c>
      <c r="D12" s="183"/>
      <c r="E12" s="180"/>
      <c r="F12" s="180"/>
      <c r="G12" s="185"/>
      <c r="H12" s="625"/>
      <c r="I12" s="186"/>
      <c r="J12" s="186"/>
      <c r="K12" s="187"/>
      <c r="L12" s="626"/>
      <c r="M12" s="186"/>
      <c r="N12" s="564"/>
      <c r="O12" s="564"/>
      <c r="P12" s="188"/>
      <c r="Q12" s="188"/>
      <c r="R12" s="185"/>
      <c r="S12" s="182"/>
      <c r="T12" s="625"/>
      <c r="U12" s="188"/>
      <c r="V12" s="188"/>
      <c r="W12" s="185"/>
      <c r="X12" s="182"/>
      <c r="Y12" s="625"/>
      <c r="Z12" s="188"/>
      <c r="AA12" s="188"/>
      <c r="AB12" s="185"/>
      <c r="AC12" s="182"/>
      <c r="AD12" s="625"/>
      <c r="AE12" s="188"/>
      <c r="AF12" s="188"/>
      <c r="AG12" s="185"/>
      <c r="AH12" s="182"/>
      <c r="AI12" s="625"/>
      <c r="AJ12" s="188"/>
      <c r="AK12" s="188"/>
      <c r="AL12" s="185"/>
      <c r="AM12" s="182"/>
      <c r="AN12" s="625"/>
      <c r="AO12" s="188"/>
      <c r="AP12" s="188"/>
      <c r="AQ12" s="185"/>
      <c r="AR12" s="182"/>
      <c r="AS12" s="625"/>
      <c r="AT12" s="188"/>
      <c r="AU12" s="188"/>
      <c r="AV12" s="185"/>
      <c r="AW12" s="182"/>
      <c r="AX12" s="625"/>
    </row>
    <row r="13" spans="1:50" ht="14.25" customHeight="1">
      <c r="B13" s="564"/>
      <c r="C13" s="180">
        <v>7</v>
      </c>
      <c r="D13" s="183"/>
      <c r="E13" s="180"/>
      <c r="F13" s="180"/>
      <c r="G13" s="185"/>
      <c r="H13" s="625"/>
      <c r="I13" s="186"/>
      <c r="J13" s="186"/>
      <c r="K13" s="187"/>
      <c r="L13" s="626"/>
      <c r="M13" s="186"/>
      <c r="N13" s="564"/>
      <c r="O13" s="564"/>
      <c r="P13" s="188"/>
      <c r="Q13" s="188"/>
      <c r="R13" s="185"/>
      <c r="S13" s="182"/>
      <c r="T13" s="625"/>
      <c r="U13" s="188"/>
      <c r="V13" s="188"/>
      <c r="W13" s="185"/>
      <c r="X13" s="182"/>
      <c r="Y13" s="625"/>
      <c r="Z13" s="188"/>
      <c r="AA13" s="188"/>
      <c r="AB13" s="185"/>
      <c r="AC13" s="182"/>
      <c r="AD13" s="625"/>
      <c r="AE13" s="188"/>
      <c r="AF13" s="188"/>
      <c r="AG13" s="185"/>
      <c r="AH13" s="182"/>
      <c r="AI13" s="625"/>
      <c r="AJ13" s="188"/>
      <c r="AK13" s="188"/>
      <c r="AL13" s="185"/>
      <c r="AM13" s="182"/>
      <c r="AN13" s="625"/>
      <c r="AO13" s="188"/>
      <c r="AP13" s="188"/>
      <c r="AQ13" s="185"/>
      <c r="AR13" s="182"/>
      <c r="AS13" s="625"/>
      <c r="AT13" s="188"/>
      <c r="AU13" s="188"/>
      <c r="AV13" s="185"/>
      <c r="AW13" s="182"/>
      <c r="AX13" s="625"/>
    </row>
    <row r="14" spans="1:50" ht="14.25" customHeight="1">
      <c r="B14" s="564"/>
      <c r="C14" s="180">
        <v>8</v>
      </c>
      <c r="D14" s="183"/>
      <c r="E14" s="180"/>
      <c r="F14" s="180"/>
      <c r="G14" s="185"/>
      <c r="H14" s="625"/>
      <c r="I14" s="186"/>
      <c r="J14" s="186"/>
      <c r="K14" s="187"/>
      <c r="L14" s="626"/>
      <c r="M14" s="186"/>
      <c r="N14" s="564"/>
      <c r="O14" s="564"/>
      <c r="P14" s="188"/>
      <c r="Q14" s="188"/>
      <c r="R14" s="185"/>
      <c r="S14" s="182"/>
      <c r="T14" s="625"/>
      <c r="U14" s="188"/>
      <c r="V14" s="188"/>
      <c r="W14" s="185"/>
      <c r="X14" s="182"/>
      <c r="Y14" s="625"/>
      <c r="Z14" s="188"/>
      <c r="AA14" s="188"/>
      <c r="AB14" s="185"/>
      <c r="AC14" s="182"/>
      <c r="AD14" s="625"/>
      <c r="AE14" s="188"/>
      <c r="AF14" s="188"/>
      <c r="AG14" s="185"/>
      <c r="AH14" s="182"/>
      <c r="AI14" s="625"/>
      <c r="AJ14" s="188"/>
      <c r="AK14" s="188"/>
      <c r="AL14" s="185"/>
      <c r="AM14" s="182"/>
      <c r="AN14" s="625"/>
      <c r="AO14" s="188"/>
      <c r="AP14" s="188"/>
      <c r="AQ14" s="185"/>
      <c r="AR14" s="182"/>
      <c r="AS14" s="625"/>
      <c r="AT14" s="188"/>
      <c r="AU14" s="188"/>
      <c r="AV14" s="185"/>
      <c r="AW14" s="182"/>
      <c r="AX14" s="625"/>
    </row>
    <row r="15" spans="1:50" ht="14.25" customHeight="1">
      <c r="B15" s="564"/>
      <c r="C15" s="180">
        <v>9</v>
      </c>
      <c r="D15" s="183"/>
      <c r="E15" s="180"/>
      <c r="F15" s="180"/>
      <c r="G15" s="185"/>
      <c r="H15" s="625"/>
      <c r="I15" s="186"/>
      <c r="J15" s="186"/>
      <c r="K15" s="187"/>
      <c r="L15" s="626"/>
      <c r="M15" s="186"/>
      <c r="N15" s="564"/>
      <c r="O15" s="564"/>
      <c r="P15" s="188"/>
      <c r="Q15" s="188"/>
      <c r="R15" s="185"/>
      <c r="S15" s="182"/>
      <c r="T15" s="625"/>
      <c r="U15" s="188"/>
      <c r="V15" s="188"/>
      <c r="W15" s="185"/>
      <c r="X15" s="182"/>
      <c r="Y15" s="625"/>
      <c r="Z15" s="188"/>
      <c r="AA15" s="188"/>
      <c r="AB15" s="185"/>
      <c r="AC15" s="182"/>
      <c r="AD15" s="625"/>
      <c r="AE15" s="188"/>
      <c r="AF15" s="188"/>
      <c r="AG15" s="185"/>
      <c r="AH15" s="182"/>
      <c r="AI15" s="625"/>
      <c r="AJ15" s="188"/>
      <c r="AK15" s="188"/>
      <c r="AL15" s="185"/>
      <c r="AM15" s="182"/>
      <c r="AN15" s="625"/>
      <c r="AO15" s="188"/>
      <c r="AP15" s="188"/>
      <c r="AQ15" s="185"/>
      <c r="AR15" s="182"/>
      <c r="AS15" s="625"/>
      <c r="AT15" s="188"/>
      <c r="AU15" s="188"/>
      <c r="AV15" s="185"/>
      <c r="AW15" s="182"/>
      <c r="AX15" s="625"/>
    </row>
    <row r="16" spans="1:50" ht="14.25" customHeight="1">
      <c r="B16" s="564"/>
      <c r="C16" s="180">
        <v>10</v>
      </c>
      <c r="D16" s="183"/>
      <c r="E16" s="180"/>
      <c r="F16" s="180"/>
      <c r="G16" s="185"/>
      <c r="H16" s="625"/>
      <c r="I16" s="186"/>
      <c r="J16" s="186"/>
      <c r="K16" s="187"/>
      <c r="L16" s="626"/>
      <c r="M16" s="186"/>
      <c r="N16" s="564"/>
      <c r="O16" s="564"/>
      <c r="P16" s="188"/>
      <c r="Q16" s="188"/>
      <c r="R16" s="185"/>
      <c r="S16" s="182"/>
      <c r="T16" s="625"/>
      <c r="U16" s="188"/>
      <c r="V16" s="188"/>
      <c r="W16" s="185"/>
      <c r="X16" s="182"/>
      <c r="Y16" s="625"/>
      <c r="Z16" s="188"/>
      <c r="AA16" s="188"/>
      <c r="AB16" s="185"/>
      <c r="AC16" s="182"/>
      <c r="AD16" s="625"/>
      <c r="AE16" s="188"/>
      <c r="AF16" s="188"/>
      <c r="AG16" s="185"/>
      <c r="AH16" s="182"/>
      <c r="AI16" s="625"/>
      <c r="AJ16" s="188"/>
      <c r="AK16" s="188"/>
      <c r="AL16" s="185"/>
      <c r="AM16" s="182"/>
      <c r="AN16" s="625"/>
      <c r="AO16" s="188"/>
      <c r="AP16" s="188"/>
      <c r="AQ16" s="185"/>
      <c r="AR16" s="182"/>
      <c r="AS16" s="625"/>
      <c r="AT16" s="188"/>
      <c r="AU16" s="188"/>
      <c r="AV16" s="185"/>
      <c r="AW16" s="182"/>
      <c r="AX16" s="625"/>
    </row>
    <row r="17" spans="2:50" ht="14.25" customHeight="1">
      <c r="B17" s="564"/>
      <c r="C17" s="180">
        <v>11</v>
      </c>
      <c r="D17" s="183"/>
      <c r="E17" s="180"/>
      <c r="F17" s="180"/>
      <c r="G17" s="185"/>
      <c r="H17" s="625"/>
      <c r="I17" s="186"/>
      <c r="J17" s="186"/>
      <c r="K17" s="187"/>
      <c r="L17" s="626"/>
      <c r="M17" s="186"/>
      <c r="N17" s="564"/>
      <c r="O17" s="564"/>
      <c r="P17" s="188"/>
      <c r="Q17" s="188"/>
      <c r="R17" s="185"/>
      <c r="S17" s="182"/>
      <c r="T17" s="625"/>
      <c r="U17" s="188"/>
      <c r="V17" s="188"/>
      <c r="W17" s="185"/>
      <c r="X17" s="182"/>
      <c r="Y17" s="625"/>
      <c r="Z17" s="188"/>
      <c r="AA17" s="188"/>
      <c r="AB17" s="185"/>
      <c r="AC17" s="182"/>
      <c r="AD17" s="625"/>
      <c r="AE17" s="188"/>
      <c r="AF17" s="188"/>
      <c r="AG17" s="185"/>
      <c r="AH17" s="182"/>
      <c r="AI17" s="625"/>
      <c r="AJ17" s="188"/>
      <c r="AK17" s="188"/>
      <c r="AL17" s="185"/>
      <c r="AM17" s="182"/>
      <c r="AN17" s="625"/>
      <c r="AO17" s="188"/>
      <c r="AP17" s="188"/>
      <c r="AQ17" s="185"/>
      <c r="AR17" s="182"/>
      <c r="AS17" s="625"/>
      <c r="AT17" s="188"/>
      <c r="AU17" s="188"/>
      <c r="AV17" s="185"/>
      <c r="AW17" s="182"/>
      <c r="AX17" s="625"/>
    </row>
    <row r="18" spans="2:50" ht="14.25" customHeight="1">
      <c r="B18" s="564"/>
      <c r="C18" s="180">
        <v>12</v>
      </c>
      <c r="D18" s="183"/>
      <c r="E18" s="180"/>
      <c r="F18" s="180"/>
      <c r="G18" s="185"/>
      <c r="H18" s="625"/>
      <c r="I18" s="186"/>
      <c r="J18" s="186"/>
      <c r="K18" s="187"/>
      <c r="L18" s="626"/>
      <c r="M18" s="186"/>
      <c r="N18" s="564"/>
      <c r="O18" s="564"/>
      <c r="P18" s="188"/>
      <c r="Q18" s="188"/>
      <c r="R18" s="185"/>
      <c r="S18" s="182"/>
      <c r="T18" s="625"/>
      <c r="U18" s="188"/>
      <c r="V18" s="188"/>
      <c r="W18" s="185"/>
      <c r="X18" s="182"/>
      <c r="Y18" s="625"/>
      <c r="Z18" s="188"/>
      <c r="AA18" s="188"/>
      <c r="AB18" s="185"/>
      <c r="AC18" s="182"/>
      <c r="AD18" s="625"/>
      <c r="AE18" s="188"/>
      <c r="AF18" s="188"/>
      <c r="AG18" s="185"/>
      <c r="AH18" s="182"/>
      <c r="AI18" s="625"/>
      <c r="AJ18" s="188"/>
      <c r="AK18" s="188"/>
      <c r="AL18" s="185"/>
      <c r="AM18" s="182"/>
      <c r="AN18" s="625"/>
      <c r="AO18" s="188"/>
      <c r="AP18" s="188"/>
      <c r="AQ18" s="185"/>
      <c r="AR18" s="182"/>
      <c r="AS18" s="625"/>
      <c r="AT18" s="188"/>
      <c r="AU18" s="188"/>
      <c r="AV18" s="185"/>
      <c r="AW18" s="182"/>
      <c r="AX18" s="625"/>
    </row>
    <row r="19" spans="2:50" ht="14.25" customHeight="1">
      <c r="B19" s="564"/>
      <c r="C19" s="180">
        <v>13</v>
      </c>
      <c r="D19" s="183"/>
      <c r="E19" s="180"/>
      <c r="F19" s="180"/>
      <c r="G19" s="185"/>
      <c r="H19" s="625"/>
      <c r="I19" s="186"/>
      <c r="J19" s="186"/>
      <c r="K19" s="187"/>
      <c r="L19" s="626"/>
      <c r="M19" s="186"/>
      <c r="N19" s="564"/>
      <c r="O19" s="564"/>
      <c r="P19" s="188"/>
      <c r="Q19" s="188"/>
      <c r="R19" s="185"/>
      <c r="S19" s="182"/>
      <c r="T19" s="625"/>
      <c r="U19" s="188"/>
      <c r="V19" s="188"/>
      <c r="W19" s="185"/>
      <c r="X19" s="182"/>
      <c r="Y19" s="625"/>
      <c r="Z19" s="188"/>
      <c r="AA19" s="188"/>
      <c r="AB19" s="185"/>
      <c r="AC19" s="182"/>
      <c r="AD19" s="625"/>
      <c r="AE19" s="188"/>
      <c r="AF19" s="188"/>
      <c r="AG19" s="185"/>
      <c r="AH19" s="182"/>
      <c r="AI19" s="625"/>
      <c r="AJ19" s="188"/>
      <c r="AK19" s="188"/>
      <c r="AL19" s="185"/>
      <c r="AM19" s="182"/>
      <c r="AN19" s="625"/>
      <c r="AO19" s="188"/>
      <c r="AP19" s="188"/>
      <c r="AQ19" s="185"/>
      <c r="AR19" s="182"/>
      <c r="AS19" s="625"/>
      <c r="AT19" s="188"/>
      <c r="AU19" s="188"/>
      <c r="AV19" s="185"/>
      <c r="AW19" s="182"/>
      <c r="AX19" s="625"/>
    </row>
    <row r="20" spans="2:50" ht="14.25" customHeight="1">
      <c r="B20" s="564"/>
      <c r="C20" s="180">
        <v>14</v>
      </c>
      <c r="D20" s="183"/>
      <c r="E20" s="180"/>
      <c r="F20" s="180"/>
      <c r="G20" s="185"/>
      <c r="H20" s="625"/>
      <c r="I20" s="186"/>
      <c r="J20" s="186"/>
      <c r="K20" s="187"/>
      <c r="L20" s="626"/>
      <c r="M20" s="186"/>
      <c r="N20" s="564"/>
      <c r="O20" s="564"/>
      <c r="P20" s="188"/>
      <c r="Q20" s="188"/>
      <c r="R20" s="185"/>
      <c r="S20" s="182"/>
      <c r="T20" s="625"/>
      <c r="U20" s="188"/>
      <c r="V20" s="188"/>
      <c r="W20" s="185"/>
      <c r="X20" s="182"/>
      <c r="Y20" s="625"/>
      <c r="Z20" s="188"/>
      <c r="AA20" s="188"/>
      <c r="AB20" s="185"/>
      <c r="AC20" s="182"/>
      <c r="AD20" s="625"/>
      <c r="AE20" s="188"/>
      <c r="AF20" s="188"/>
      <c r="AG20" s="185"/>
      <c r="AH20" s="182"/>
      <c r="AI20" s="625"/>
      <c r="AJ20" s="188"/>
      <c r="AK20" s="188"/>
      <c r="AL20" s="185"/>
      <c r="AM20" s="182"/>
      <c r="AN20" s="625"/>
      <c r="AO20" s="188"/>
      <c r="AP20" s="188"/>
      <c r="AQ20" s="185"/>
      <c r="AR20" s="182"/>
      <c r="AS20" s="625"/>
      <c r="AT20" s="188"/>
      <c r="AU20" s="188"/>
      <c r="AV20" s="185"/>
      <c r="AW20" s="182"/>
      <c r="AX20" s="625"/>
    </row>
    <row r="21" spans="2:50" ht="14.25" customHeight="1">
      <c r="B21" s="564"/>
      <c r="C21" s="180">
        <v>15</v>
      </c>
      <c r="D21" s="183"/>
      <c r="E21" s="180"/>
      <c r="F21" s="180"/>
      <c r="G21" s="185"/>
      <c r="H21" s="625"/>
      <c r="I21" s="186"/>
      <c r="J21" s="186"/>
      <c r="K21" s="187"/>
      <c r="L21" s="626"/>
      <c r="M21" s="186"/>
      <c r="N21" s="564"/>
      <c r="O21" s="564"/>
      <c r="P21" s="188"/>
      <c r="Q21" s="188"/>
      <c r="R21" s="185"/>
      <c r="S21" s="182"/>
      <c r="T21" s="625"/>
      <c r="U21" s="188"/>
      <c r="V21" s="188"/>
      <c r="W21" s="185"/>
      <c r="X21" s="182"/>
      <c r="Y21" s="625"/>
      <c r="Z21" s="188"/>
      <c r="AA21" s="188"/>
      <c r="AB21" s="185"/>
      <c r="AC21" s="182"/>
      <c r="AD21" s="625"/>
      <c r="AE21" s="188"/>
      <c r="AF21" s="188"/>
      <c r="AG21" s="185"/>
      <c r="AH21" s="182"/>
      <c r="AI21" s="625"/>
      <c r="AJ21" s="188"/>
      <c r="AK21" s="188"/>
      <c r="AL21" s="185"/>
      <c r="AM21" s="182"/>
      <c r="AN21" s="625"/>
      <c r="AO21" s="188"/>
      <c r="AP21" s="188"/>
      <c r="AQ21" s="185"/>
      <c r="AR21" s="182"/>
      <c r="AS21" s="625"/>
      <c r="AT21" s="188"/>
      <c r="AU21" s="188"/>
      <c r="AV21" s="185"/>
      <c r="AW21" s="182"/>
      <c r="AX21" s="625"/>
    </row>
    <row r="22" spans="2:50" ht="14.25" customHeight="1" collapsed="1">
      <c r="B22" s="646" t="s">
        <v>641</v>
      </c>
      <c r="C22" s="642"/>
      <c r="D22" s="642"/>
      <c r="E22" s="642"/>
      <c r="F22" s="642"/>
      <c r="G22" s="642"/>
      <c r="H22" s="642"/>
      <c r="I22" s="642"/>
      <c r="J22" s="642"/>
      <c r="K22" s="642"/>
      <c r="L22" s="642"/>
      <c r="M22" s="643"/>
      <c r="N22" s="575" t="s">
        <v>377</v>
      </c>
      <c r="O22" s="575" t="s">
        <v>105</v>
      </c>
      <c r="P22" s="655">
        <v>46084</v>
      </c>
      <c r="Q22" s="656"/>
      <c r="R22" s="656"/>
      <c r="S22" s="656"/>
      <c r="T22" s="656"/>
      <c r="U22" s="657">
        <v>46085</v>
      </c>
      <c r="V22" s="658"/>
      <c r="W22" s="658"/>
      <c r="X22" s="658"/>
      <c r="Y22" s="658"/>
      <c r="Z22" s="655">
        <v>46086</v>
      </c>
      <c r="AA22" s="656"/>
      <c r="AB22" s="656"/>
      <c r="AC22" s="656"/>
      <c r="AD22" s="656"/>
      <c r="AE22" s="657">
        <v>46087</v>
      </c>
      <c r="AF22" s="658"/>
      <c r="AG22" s="658"/>
      <c r="AH22" s="658"/>
      <c r="AI22" s="658"/>
      <c r="AJ22" s="647">
        <v>46088</v>
      </c>
      <c r="AK22" s="648"/>
      <c r="AL22" s="648"/>
      <c r="AM22" s="648"/>
      <c r="AN22" s="649"/>
      <c r="AO22" s="657">
        <v>46089</v>
      </c>
      <c r="AP22" s="658"/>
      <c r="AQ22" s="658"/>
      <c r="AR22" s="658"/>
      <c r="AS22" s="658"/>
      <c r="AT22" s="647">
        <v>46090</v>
      </c>
      <c r="AU22" s="648"/>
      <c r="AV22" s="648"/>
      <c r="AW22" s="648"/>
      <c r="AX22" s="649"/>
    </row>
    <row r="23" spans="2:50" ht="14.25" customHeight="1">
      <c r="B23" s="644"/>
      <c r="C23" s="644"/>
      <c r="D23" s="644"/>
      <c r="E23" s="644"/>
      <c r="F23" s="644"/>
      <c r="G23" s="644"/>
      <c r="H23" s="644"/>
      <c r="I23" s="644"/>
      <c r="J23" s="644"/>
      <c r="K23" s="644"/>
      <c r="L23" s="644"/>
      <c r="M23" s="645"/>
      <c r="N23" s="577"/>
      <c r="O23" s="577"/>
      <c r="P23" s="650">
        <v>46084</v>
      </c>
      <c r="Q23" s="650"/>
      <c r="R23" s="650"/>
      <c r="S23" s="650"/>
      <c r="T23" s="650"/>
      <c r="U23" s="651">
        <v>46085</v>
      </c>
      <c r="V23" s="651"/>
      <c r="W23" s="651"/>
      <c r="X23" s="651"/>
      <c r="Y23" s="651"/>
      <c r="Z23" s="650">
        <v>46086</v>
      </c>
      <c r="AA23" s="650"/>
      <c r="AB23" s="650"/>
      <c r="AC23" s="650"/>
      <c r="AD23" s="650"/>
      <c r="AE23" s="651">
        <v>46087</v>
      </c>
      <c r="AF23" s="651"/>
      <c r="AG23" s="651"/>
      <c r="AH23" s="651"/>
      <c r="AI23" s="651"/>
      <c r="AJ23" s="652">
        <v>46088</v>
      </c>
      <c r="AK23" s="653"/>
      <c r="AL23" s="653"/>
      <c r="AM23" s="653"/>
      <c r="AN23" s="654"/>
      <c r="AO23" s="651">
        <v>46089</v>
      </c>
      <c r="AP23" s="651"/>
      <c r="AQ23" s="651"/>
      <c r="AR23" s="651"/>
      <c r="AS23" s="651"/>
      <c r="AT23" s="652">
        <v>46090</v>
      </c>
      <c r="AU23" s="653"/>
      <c r="AV23" s="653"/>
      <c r="AW23" s="653"/>
      <c r="AX23" s="654"/>
    </row>
    <row r="24" spans="2:50" ht="14.25" customHeight="1">
      <c r="B24" s="564" t="s">
        <v>164</v>
      </c>
      <c r="C24" s="564" t="s">
        <v>159</v>
      </c>
      <c r="D24" s="564"/>
      <c r="E24" s="564" t="s">
        <v>160</v>
      </c>
      <c r="F24" s="564"/>
      <c r="G24" s="564"/>
      <c r="H24" s="564" t="s">
        <v>165</v>
      </c>
      <c r="I24" s="628" t="s">
        <v>378</v>
      </c>
      <c r="J24" s="628"/>
      <c r="K24" s="628"/>
      <c r="L24" s="628" t="s">
        <v>165</v>
      </c>
      <c r="M24" s="628" t="s">
        <v>167</v>
      </c>
      <c r="N24" s="564"/>
      <c r="O24" s="564" t="s">
        <v>166</v>
      </c>
      <c r="P24" s="564" t="s">
        <v>162</v>
      </c>
      <c r="Q24" s="564"/>
      <c r="R24" s="564"/>
      <c r="S24" s="564"/>
      <c r="T24" s="564" t="s">
        <v>165</v>
      </c>
      <c r="U24" s="564" t="s">
        <v>162</v>
      </c>
      <c r="V24" s="564"/>
      <c r="W24" s="564"/>
      <c r="X24" s="564"/>
      <c r="Y24" s="564" t="s">
        <v>165</v>
      </c>
      <c r="Z24" s="564" t="s">
        <v>162</v>
      </c>
      <c r="AA24" s="564"/>
      <c r="AB24" s="564"/>
      <c r="AC24" s="564"/>
      <c r="AD24" s="564" t="s">
        <v>165</v>
      </c>
      <c r="AE24" s="564" t="s">
        <v>162</v>
      </c>
      <c r="AF24" s="564"/>
      <c r="AG24" s="564"/>
      <c r="AH24" s="564"/>
      <c r="AI24" s="564" t="s">
        <v>165</v>
      </c>
      <c r="AJ24" s="564" t="s">
        <v>162</v>
      </c>
      <c r="AK24" s="564"/>
      <c r="AL24" s="564"/>
      <c r="AM24" s="564"/>
      <c r="AN24" s="564" t="s">
        <v>165</v>
      </c>
      <c r="AO24" s="564" t="s">
        <v>162</v>
      </c>
      <c r="AP24" s="564"/>
      <c r="AQ24" s="564"/>
      <c r="AR24" s="564"/>
      <c r="AS24" s="564" t="s">
        <v>165</v>
      </c>
      <c r="AT24" s="564" t="s">
        <v>162</v>
      </c>
      <c r="AU24" s="564"/>
      <c r="AV24" s="564"/>
      <c r="AW24" s="564"/>
      <c r="AX24" s="564" t="s">
        <v>165</v>
      </c>
    </row>
    <row r="25" spans="2:50" ht="14.25" customHeight="1">
      <c r="B25" s="564"/>
      <c r="C25" s="564"/>
      <c r="D25" s="564"/>
      <c r="E25" s="564" t="s">
        <v>379</v>
      </c>
      <c r="F25" s="564"/>
      <c r="G25" s="564"/>
      <c r="H25" s="564"/>
      <c r="I25" s="628" t="s">
        <v>379</v>
      </c>
      <c r="J25" s="628"/>
      <c r="K25" s="628"/>
      <c r="L25" s="628"/>
      <c r="M25" s="628"/>
      <c r="N25" s="564"/>
      <c r="O25" s="564"/>
      <c r="P25" s="564" t="s">
        <v>380</v>
      </c>
      <c r="Q25" s="564"/>
      <c r="R25" s="564"/>
      <c r="S25" s="564"/>
      <c r="T25" s="564"/>
      <c r="U25" s="564" t="s">
        <v>380</v>
      </c>
      <c r="V25" s="564"/>
      <c r="W25" s="564"/>
      <c r="X25" s="564"/>
      <c r="Y25" s="564"/>
      <c r="Z25" s="564" t="s">
        <v>380</v>
      </c>
      <c r="AA25" s="564"/>
      <c r="AB25" s="564"/>
      <c r="AC25" s="564"/>
      <c r="AD25" s="564"/>
      <c r="AE25" s="564" t="s">
        <v>380</v>
      </c>
      <c r="AF25" s="564"/>
      <c r="AG25" s="564"/>
      <c r="AH25" s="564"/>
      <c r="AI25" s="564"/>
      <c r="AJ25" s="564" t="s">
        <v>380</v>
      </c>
      <c r="AK25" s="564"/>
      <c r="AL25" s="564"/>
      <c r="AM25" s="564"/>
      <c r="AN25" s="564"/>
      <c r="AO25" s="564" t="s">
        <v>380</v>
      </c>
      <c r="AP25" s="564"/>
      <c r="AQ25" s="564"/>
      <c r="AR25" s="564"/>
      <c r="AS25" s="564"/>
      <c r="AT25" s="564" t="s">
        <v>380</v>
      </c>
      <c r="AU25" s="564"/>
      <c r="AV25" s="564"/>
      <c r="AW25" s="564"/>
      <c r="AX25" s="564"/>
    </row>
    <row r="26" spans="2:50" ht="14.25" customHeight="1">
      <c r="B26" s="564"/>
      <c r="C26" s="564"/>
      <c r="D26" s="564"/>
      <c r="E26" s="180" t="s">
        <v>161</v>
      </c>
      <c r="F26" s="180" t="s">
        <v>381</v>
      </c>
      <c r="G26" s="180" t="s">
        <v>163</v>
      </c>
      <c r="H26" s="564"/>
      <c r="I26" s="181" t="s">
        <v>161</v>
      </c>
      <c r="J26" s="181" t="s">
        <v>381</v>
      </c>
      <c r="K26" s="181" t="s">
        <v>163</v>
      </c>
      <c r="L26" s="628"/>
      <c r="M26" s="628"/>
      <c r="N26" s="564"/>
      <c r="O26" s="564"/>
      <c r="P26" s="180" t="s">
        <v>161</v>
      </c>
      <c r="Q26" s="180" t="s">
        <v>381</v>
      </c>
      <c r="R26" s="180" t="s">
        <v>163</v>
      </c>
      <c r="S26" s="182" t="s">
        <v>167</v>
      </c>
      <c r="T26" s="564"/>
      <c r="U26" s="180" t="s">
        <v>161</v>
      </c>
      <c r="V26" s="180" t="s">
        <v>381</v>
      </c>
      <c r="W26" s="180" t="s">
        <v>163</v>
      </c>
      <c r="X26" s="182" t="s">
        <v>167</v>
      </c>
      <c r="Y26" s="564"/>
      <c r="Z26" s="180" t="s">
        <v>161</v>
      </c>
      <c r="AA26" s="180" t="s">
        <v>381</v>
      </c>
      <c r="AB26" s="180" t="s">
        <v>163</v>
      </c>
      <c r="AC26" s="182" t="s">
        <v>167</v>
      </c>
      <c r="AD26" s="564"/>
      <c r="AE26" s="180" t="s">
        <v>161</v>
      </c>
      <c r="AF26" s="180" t="s">
        <v>381</v>
      </c>
      <c r="AG26" s="180" t="s">
        <v>163</v>
      </c>
      <c r="AH26" s="182" t="s">
        <v>167</v>
      </c>
      <c r="AI26" s="564"/>
      <c r="AJ26" s="180" t="s">
        <v>161</v>
      </c>
      <c r="AK26" s="180" t="s">
        <v>381</v>
      </c>
      <c r="AL26" s="180" t="s">
        <v>163</v>
      </c>
      <c r="AM26" s="182" t="s">
        <v>167</v>
      </c>
      <c r="AN26" s="564"/>
      <c r="AO26" s="180" t="s">
        <v>161</v>
      </c>
      <c r="AP26" s="180" t="s">
        <v>381</v>
      </c>
      <c r="AQ26" s="180" t="s">
        <v>163</v>
      </c>
      <c r="AR26" s="182" t="s">
        <v>167</v>
      </c>
      <c r="AS26" s="564"/>
      <c r="AT26" s="180" t="s">
        <v>161</v>
      </c>
      <c r="AU26" s="180" t="s">
        <v>381</v>
      </c>
      <c r="AV26" s="180" t="s">
        <v>163</v>
      </c>
      <c r="AW26" s="182" t="s">
        <v>167</v>
      </c>
      <c r="AX26" s="564"/>
    </row>
    <row r="27" spans="2:50" ht="14.25" customHeight="1">
      <c r="B27" s="564" t="s">
        <v>384</v>
      </c>
      <c r="C27" s="180">
        <v>1</v>
      </c>
      <c r="D27" s="183" t="s">
        <v>537</v>
      </c>
      <c r="E27" s="180">
        <v>6</v>
      </c>
      <c r="F27" s="180">
        <v>3273</v>
      </c>
      <c r="G27" s="185">
        <f t="shared" ref="G27:G28" si="21">F27/E27</f>
        <v>545.5</v>
      </c>
      <c r="H27" s="625">
        <f>AVERAGE(G27:G41)</f>
        <v>545.5</v>
      </c>
      <c r="I27" s="186">
        <f>AVERAGE(P27,U27,Z27,AE27,AJ27,AO27,AT27)</f>
        <v>6</v>
      </c>
      <c r="J27" s="186">
        <f>AVERAGE(Q27,V27,AA27,AF27,AK27,AP27,AU27)</f>
        <v>2961.9147244211053</v>
      </c>
      <c r="K27" s="187">
        <f>AVERAGE(R27,W27,AB27,AG27,AL27,AQ27,AV27)</f>
        <v>493.65245407018432</v>
      </c>
      <c r="L27" s="626">
        <f>IFERROR(AVERAGE(K27:K41),"-")</f>
        <v>493.70226196451773</v>
      </c>
      <c r="M27" s="186">
        <f>RANK(K27, K$27:$K$41)</f>
        <v>2</v>
      </c>
      <c r="N27" s="564"/>
      <c r="O27" s="564"/>
      <c r="P27" s="188">
        <v>6</v>
      </c>
      <c r="Q27" s="188">
        <v>2962.0253164556962</v>
      </c>
      <c r="R27" s="185">
        <f>IFERROR(Q27/P27,"")</f>
        <v>493.67088607594934</v>
      </c>
      <c r="S27" s="182">
        <f>RANK(R27, R$27:R$41)</f>
        <v>2</v>
      </c>
      <c r="T27" s="625">
        <f>AVERAGE(R27:R41)</f>
        <v>493.79252183361837</v>
      </c>
      <c r="U27" s="188">
        <v>6</v>
      </c>
      <c r="V27" s="188">
        <v>2963.5983263598355</v>
      </c>
      <c r="W27" s="185">
        <f t="shared" ref="W27:W28" si="22">IFERROR(V27/U27,"")</f>
        <v>493.93305439330589</v>
      </c>
      <c r="X27" s="182">
        <f>RANK(W27, W$27:W$41)</f>
        <v>1</v>
      </c>
      <c r="Y27" s="625">
        <f>AVERAGE(W27:W41)</f>
        <v>493.90903909705554</v>
      </c>
      <c r="Z27" s="188">
        <v>6</v>
      </c>
      <c r="AA27" s="188">
        <v>2962.1262458471692</v>
      </c>
      <c r="AB27" s="185">
        <f t="shared" ref="AB27:AB28" si="23">IFERROR(AA27/Z27,"")</f>
        <v>493.68770764119489</v>
      </c>
      <c r="AC27" s="182">
        <f>RANK(AB27, AB$27:AB$41)</f>
        <v>2</v>
      </c>
      <c r="AD27" s="625">
        <f>AVERAGE(AB27:AB41)</f>
        <v>493.79188311951611</v>
      </c>
      <c r="AE27" s="188">
        <v>6</v>
      </c>
      <c r="AF27" s="188">
        <v>2962.4427480916102</v>
      </c>
      <c r="AG27" s="185">
        <f>IFERROR(AF27/AE27,"")</f>
        <v>493.74045801526836</v>
      </c>
      <c r="AH27" s="182">
        <f>RANK(AG27, AG$27:AG$41)</f>
        <v>2</v>
      </c>
      <c r="AI27" s="625">
        <f>AVERAGE(AG27:AG41)</f>
        <v>493.78871807324083</v>
      </c>
      <c r="AJ27" s="188">
        <v>6</v>
      </c>
      <c r="AK27" s="188">
        <v>2962.3115577889575</v>
      </c>
      <c r="AL27" s="185">
        <f t="shared" ref="AL27:AL28" si="24">IFERROR(AK27/AJ27,"")</f>
        <v>493.71859296482626</v>
      </c>
      <c r="AM27" s="182">
        <f>RANK(AL27, AL$27:AL$41)</f>
        <v>2</v>
      </c>
      <c r="AN27" s="625">
        <f>AVERAGE(AL27:AL41)</f>
        <v>493.79070442465149</v>
      </c>
      <c r="AO27" s="188">
        <v>6</v>
      </c>
      <c r="AP27" s="188">
        <v>2959.9999999999714</v>
      </c>
      <c r="AQ27" s="185">
        <f t="shared" ref="AQ27:AQ28" si="25">IFERROR(AP27/AO27,"")</f>
        <v>493.33333333332854</v>
      </c>
      <c r="AR27" s="182">
        <f>RANK(AQ27, AQ$27:AQ$41)</f>
        <v>2</v>
      </c>
      <c r="AS27" s="625">
        <f>AVERAGE(AQ27:AQ41)</f>
        <v>493.33333333333104</v>
      </c>
      <c r="AT27" s="188">
        <v>6</v>
      </c>
      <c r="AU27" s="188">
        <v>2960.8988764044998</v>
      </c>
      <c r="AV27" s="185">
        <f t="shared" ref="AV27:AV28" si="26">IFERROR(AU27/AT27,"")</f>
        <v>493.48314606741661</v>
      </c>
      <c r="AW27" s="182">
        <f>RANK(AV27, AV$27:AV$41)</f>
        <v>2</v>
      </c>
      <c r="AX27" s="625">
        <f>AVERAGE(AV27:AV41)</f>
        <v>493.50963387021062</v>
      </c>
    </row>
    <row r="28" spans="2:50" ht="14.25" customHeight="1">
      <c r="B28" s="564"/>
      <c r="C28" s="180">
        <v>2</v>
      </c>
      <c r="D28" s="183" t="s">
        <v>609</v>
      </c>
      <c r="E28" s="180">
        <v>6</v>
      </c>
      <c r="F28" s="180">
        <v>3273</v>
      </c>
      <c r="G28" s="185">
        <f t="shared" si="21"/>
        <v>545.5</v>
      </c>
      <c r="H28" s="625"/>
      <c r="I28" s="186">
        <f t="shared" ref="I28:K28" si="27">AVERAGE(P28,U28,Z28,AE28,AJ28,AO28,AT28)</f>
        <v>6</v>
      </c>
      <c r="J28" s="186">
        <f t="shared" si="27"/>
        <v>2962.5124191531067</v>
      </c>
      <c r="K28" s="187">
        <f t="shared" si="27"/>
        <v>493.75206985885114</v>
      </c>
      <c r="L28" s="626"/>
      <c r="M28" s="186">
        <f>RANK(K28, K$27:$K$41)</f>
        <v>1</v>
      </c>
      <c r="N28" s="564"/>
      <c r="O28" s="564"/>
      <c r="P28" s="188">
        <v>6</v>
      </c>
      <c r="Q28" s="188">
        <v>2963.4849455477242</v>
      </c>
      <c r="R28" s="185">
        <f t="shared" ref="R28" si="28">IFERROR(Q28/P28,"")</f>
        <v>493.91415759128739</v>
      </c>
      <c r="S28" s="182">
        <f>RANK(R28, R$27:R$41)</f>
        <v>1</v>
      </c>
      <c r="T28" s="625"/>
      <c r="U28" s="188">
        <v>6</v>
      </c>
      <c r="V28" s="188">
        <v>2963.3101428048312</v>
      </c>
      <c r="W28" s="185">
        <f t="shared" si="22"/>
        <v>493.88502380080519</v>
      </c>
      <c r="X28" s="182">
        <f>RANK(W28, W$27:W$41)</f>
        <v>2</v>
      </c>
      <c r="Y28" s="625"/>
      <c r="Z28" s="188">
        <v>6</v>
      </c>
      <c r="AA28" s="188">
        <v>2963.3763515870241</v>
      </c>
      <c r="AB28" s="185">
        <f t="shared" si="23"/>
        <v>493.89605859783734</v>
      </c>
      <c r="AC28" s="182">
        <f>RANK(AB28, AB$27:AB$41)</f>
        <v>1</v>
      </c>
      <c r="AD28" s="625"/>
      <c r="AE28" s="188">
        <v>6</v>
      </c>
      <c r="AF28" s="188">
        <v>2963.0218687872793</v>
      </c>
      <c r="AG28" s="185">
        <f t="shared" ref="AG28" si="29">IFERROR(AF28/AE28,"")</f>
        <v>493.83697813121324</v>
      </c>
      <c r="AH28" s="182">
        <f>RANK(AG28, AG$27:AG$41)</f>
        <v>1</v>
      </c>
      <c r="AI28" s="625"/>
      <c r="AJ28" s="188">
        <v>6</v>
      </c>
      <c r="AK28" s="188">
        <v>2963.1768953068599</v>
      </c>
      <c r="AL28" s="185">
        <f t="shared" si="24"/>
        <v>493.86281588447667</v>
      </c>
      <c r="AM28" s="182">
        <f>RANK(AL28, AL$27:AL$41)</f>
        <v>1</v>
      </c>
      <c r="AN28" s="625"/>
      <c r="AO28" s="188">
        <v>6</v>
      </c>
      <c r="AP28" s="188">
        <v>2960.0000000000014</v>
      </c>
      <c r="AQ28" s="185">
        <f t="shared" si="25"/>
        <v>493.33333333333354</v>
      </c>
      <c r="AR28" s="182">
        <f>RANK(AQ28, AQ$27:AQ$41)</f>
        <v>1</v>
      </c>
      <c r="AS28" s="625"/>
      <c r="AT28" s="188">
        <v>6</v>
      </c>
      <c r="AU28" s="188">
        <v>2961.2167300380279</v>
      </c>
      <c r="AV28" s="185">
        <f t="shared" si="26"/>
        <v>493.53612167300463</v>
      </c>
      <c r="AW28" s="182">
        <f>RANK(AV28, AV$27:AV$41)</f>
        <v>1</v>
      </c>
      <c r="AX28" s="625"/>
    </row>
    <row r="29" spans="2:50" ht="14.25" customHeight="1">
      <c r="B29" s="564"/>
      <c r="C29" s="180">
        <v>3</v>
      </c>
      <c r="D29" s="183"/>
      <c r="E29" s="180"/>
      <c r="F29" s="180"/>
      <c r="G29" s="185"/>
      <c r="H29" s="625"/>
      <c r="I29" s="186"/>
      <c r="J29" s="186"/>
      <c r="K29" s="187"/>
      <c r="L29" s="626"/>
      <c r="M29" s="186"/>
      <c r="N29" s="564"/>
      <c r="O29" s="564"/>
      <c r="P29" s="188"/>
      <c r="Q29" s="188"/>
      <c r="R29" s="185"/>
      <c r="S29" s="182"/>
      <c r="T29" s="625"/>
      <c r="U29" s="188"/>
      <c r="V29" s="188"/>
      <c r="W29" s="185"/>
      <c r="X29" s="182"/>
      <c r="Y29" s="625"/>
      <c r="Z29" s="188"/>
      <c r="AA29" s="188"/>
      <c r="AB29" s="185"/>
      <c r="AC29" s="182"/>
      <c r="AD29" s="625"/>
      <c r="AE29" s="188"/>
      <c r="AF29" s="188"/>
      <c r="AG29" s="185"/>
      <c r="AH29" s="182"/>
      <c r="AI29" s="625"/>
      <c r="AJ29" s="188"/>
      <c r="AK29" s="188"/>
      <c r="AL29" s="185"/>
      <c r="AM29" s="182"/>
      <c r="AN29" s="625"/>
      <c r="AO29" s="188"/>
      <c r="AP29" s="188"/>
      <c r="AQ29" s="185"/>
      <c r="AR29" s="182"/>
      <c r="AS29" s="625"/>
      <c r="AT29" s="188"/>
      <c r="AU29" s="188"/>
      <c r="AV29" s="185"/>
      <c r="AW29" s="182"/>
      <c r="AX29" s="625"/>
    </row>
    <row r="30" spans="2:50" ht="14.25" customHeight="1">
      <c r="B30" s="564"/>
      <c r="C30" s="180">
        <v>4</v>
      </c>
      <c r="D30" s="183"/>
      <c r="E30" s="180"/>
      <c r="F30" s="180"/>
      <c r="G30" s="185"/>
      <c r="H30" s="625"/>
      <c r="I30" s="186"/>
      <c r="J30" s="186"/>
      <c r="K30" s="187"/>
      <c r="L30" s="626"/>
      <c r="M30" s="186"/>
      <c r="N30" s="564"/>
      <c r="O30" s="564"/>
      <c r="P30" s="188"/>
      <c r="Q30" s="188"/>
      <c r="R30" s="185"/>
      <c r="S30" s="182"/>
      <c r="T30" s="625"/>
      <c r="U30" s="188"/>
      <c r="V30" s="188"/>
      <c r="W30" s="185"/>
      <c r="X30" s="182"/>
      <c r="Y30" s="625"/>
      <c r="Z30" s="188"/>
      <c r="AA30" s="188"/>
      <c r="AB30" s="185"/>
      <c r="AC30" s="182"/>
      <c r="AD30" s="625"/>
      <c r="AE30" s="188"/>
      <c r="AF30" s="188"/>
      <c r="AG30" s="185"/>
      <c r="AH30" s="182"/>
      <c r="AI30" s="625"/>
      <c r="AJ30" s="188"/>
      <c r="AK30" s="188"/>
      <c r="AL30" s="185"/>
      <c r="AM30" s="182"/>
      <c r="AN30" s="625"/>
      <c r="AO30" s="188"/>
      <c r="AP30" s="188"/>
      <c r="AQ30" s="185"/>
      <c r="AR30" s="182"/>
      <c r="AS30" s="625"/>
      <c r="AT30" s="188"/>
      <c r="AU30" s="188"/>
      <c r="AV30" s="185"/>
      <c r="AW30" s="182"/>
      <c r="AX30" s="625"/>
    </row>
    <row r="31" spans="2:50" ht="14.25" customHeight="1">
      <c r="B31" s="564"/>
      <c r="C31" s="180">
        <v>5</v>
      </c>
      <c r="D31" s="183"/>
      <c r="E31" s="180"/>
      <c r="F31" s="180"/>
      <c r="G31" s="185"/>
      <c r="H31" s="625"/>
      <c r="I31" s="186"/>
      <c r="J31" s="186"/>
      <c r="K31" s="187"/>
      <c r="L31" s="626"/>
      <c r="M31" s="186"/>
      <c r="N31" s="564"/>
      <c r="O31" s="564"/>
      <c r="P31" s="188"/>
      <c r="Q31" s="188"/>
      <c r="R31" s="185"/>
      <c r="S31" s="182"/>
      <c r="T31" s="625"/>
      <c r="U31" s="188"/>
      <c r="V31" s="188"/>
      <c r="W31" s="185"/>
      <c r="X31" s="182"/>
      <c r="Y31" s="625"/>
      <c r="Z31" s="188"/>
      <c r="AA31" s="188"/>
      <c r="AB31" s="185"/>
      <c r="AC31" s="182"/>
      <c r="AD31" s="625"/>
      <c r="AE31" s="188"/>
      <c r="AF31" s="188"/>
      <c r="AG31" s="185"/>
      <c r="AH31" s="182"/>
      <c r="AI31" s="625"/>
      <c r="AJ31" s="188"/>
      <c r="AK31" s="188"/>
      <c r="AL31" s="185"/>
      <c r="AM31" s="182"/>
      <c r="AN31" s="625"/>
      <c r="AO31" s="188"/>
      <c r="AP31" s="188"/>
      <c r="AQ31" s="185"/>
      <c r="AR31" s="182"/>
      <c r="AS31" s="625"/>
      <c r="AT31" s="188"/>
      <c r="AU31" s="188"/>
      <c r="AV31" s="185"/>
      <c r="AW31" s="182"/>
      <c r="AX31" s="625"/>
    </row>
    <row r="32" spans="2:50" ht="14.25" customHeight="1">
      <c r="B32" s="564"/>
      <c r="C32" s="180">
        <v>6</v>
      </c>
      <c r="D32" s="183"/>
      <c r="E32" s="180"/>
      <c r="F32" s="180"/>
      <c r="G32" s="185"/>
      <c r="H32" s="625"/>
      <c r="I32" s="186"/>
      <c r="J32" s="186"/>
      <c r="K32" s="187"/>
      <c r="L32" s="626"/>
      <c r="M32" s="186"/>
      <c r="N32" s="564"/>
      <c r="O32" s="564"/>
      <c r="P32" s="188"/>
      <c r="Q32" s="188"/>
      <c r="R32" s="185"/>
      <c r="S32" s="182"/>
      <c r="T32" s="625"/>
      <c r="U32" s="188"/>
      <c r="V32" s="188"/>
      <c r="W32" s="185"/>
      <c r="X32" s="182"/>
      <c r="Y32" s="625"/>
      <c r="Z32" s="188"/>
      <c r="AA32" s="188"/>
      <c r="AB32" s="185"/>
      <c r="AC32" s="182"/>
      <c r="AD32" s="625"/>
      <c r="AE32" s="188"/>
      <c r="AF32" s="188"/>
      <c r="AG32" s="185"/>
      <c r="AH32" s="182"/>
      <c r="AI32" s="625"/>
      <c r="AJ32" s="188"/>
      <c r="AK32" s="188"/>
      <c r="AL32" s="185"/>
      <c r="AM32" s="182"/>
      <c r="AN32" s="625"/>
      <c r="AO32" s="188"/>
      <c r="AP32" s="188"/>
      <c r="AQ32" s="185"/>
      <c r="AR32" s="182"/>
      <c r="AS32" s="625"/>
      <c r="AT32" s="188"/>
      <c r="AU32" s="188"/>
      <c r="AV32" s="185"/>
      <c r="AW32" s="182"/>
      <c r="AX32" s="625"/>
    </row>
    <row r="33" spans="2:50" ht="14.25" customHeight="1">
      <c r="B33" s="564"/>
      <c r="C33" s="180">
        <v>7</v>
      </c>
      <c r="D33" s="183"/>
      <c r="E33" s="180"/>
      <c r="F33" s="180"/>
      <c r="G33" s="185"/>
      <c r="H33" s="625"/>
      <c r="I33" s="186"/>
      <c r="J33" s="186"/>
      <c r="K33" s="187"/>
      <c r="L33" s="626"/>
      <c r="M33" s="186"/>
      <c r="N33" s="564"/>
      <c r="O33" s="564"/>
      <c r="P33" s="188"/>
      <c r="Q33" s="188"/>
      <c r="R33" s="185"/>
      <c r="S33" s="182"/>
      <c r="T33" s="625"/>
      <c r="U33" s="188"/>
      <c r="V33" s="188"/>
      <c r="W33" s="185"/>
      <c r="X33" s="182"/>
      <c r="Y33" s="625"/>
      <c r="Z33" s="188"/>
      <c r="AA33" s="188"/>
      <c r="AB33" s="185"/>
      <c r="AC33" s="182"/>
      <c r="AD33" s="625"/>
      <c r="AE33" s="188"/>
      <c r="AF33" s="188"/>
      <c r="AG33" s="185"/>
      <c r="AH33" s="182"/>
      <c r="AI33" s="625"/>
      <c r="AJ33" s="188"/>
      <c r="AK33" s="188"/>
      <c r="AL33" s="185"/>
      <c r="AM33" s="182"/>
      <c r="AN33" s="625"/>
      <c r="AO33" s="188"/>
      <c r="AP33" s="188"/>
      <c r="AQ33" s="185"/>
      <c r="AR33" s="182"/>
      <c r="AS33" s="625"/>
      <c r="AT33" s="188"/>
      <c r="AU33" s="188"/>
      <c r="AV33" s="185"/>
      <c r="AW33" s="182"/>
      <c r="AX33" s="625"/>
    </row>
    <row r="34" spans="2:50" ht="14.25" customHeight="1">
      <c r="B34" s="564"/>
      <c r="C34" s="180">
        <v>8</v>
      </c>
      <c r="D34" s="183"/>
      <c r="E34" s="180"/>
      <c r="F34" s="180"/>
      <c r="G34" s="185"/>
      <c r="H34" s="625"/>
      <c r="I34" s="186"/>
      <c r="J34" s="186"/>
      <c r="K34" s="187"/>
      <c r="L34" s="626"/>
      <c r="M34" s="186"/>
      <c r="N34" s="564"/>
      <c r="O34" s="564"/>
      <c r="P34" s="188"/>
      <c r="Q34" s="188"/>
      <c r="R34" s="185"/>
      <c r="S34" s="182"/>
      <c r="T34" s="625"/>
      <c r="U34" s="188"/>
      <c r="V34" s="188"/>
      <c r="W34" s="185"/>
      <c r="X34" s="182"/>
      <c r="Y34" s="625"/>
      <c r="Z34" s="188"/>
      <c r="AA34" s="188"/>
      <c r="AB34" s="185"/>
      <c r="AC34" s="182"/>
      <c r="AD34" s="625"/>
      <c r="AE34" s="188"/>
      <c r="AF34" s="188"/>
      <c r="AG34" s="185"/>
      <c r="AH34" s="182"/>
      <c r="AI34" s="625"/>
      <c r="AJ34" s="188"/>
      <c r="AK34" s="188"/>
      <c r="AL34" s="185"/>
      <c r="AM34" s="182"/>
      <c r="AN34" s="625"/>
      <c r="AO34" s="188"/>
      <c r="AP34" s="188"/>
      <c r="AQ34" s="185"/>
      <c r="AR34" s="182"/>
      <c r="AS34" s="625"/>
      <c r="AT34" s="188"/>
      <c r="AU34" s="188"/>
      <c r="AV34" s="185"/>
      <c r="AW34" s="182"/>
      <c r="AX34" s="625"/>
    </row>
    <row r="35" spans="2:50" ht="14.25" customHeight="1">
      <c r="B35" s="564"/>
      <c r="C35" s="180">
        <v>9</v>
      </c>
      <c r="D35" s="183"/>
      <c r="E35" s="180"/>
      <c r="F35" s="180"/>
      <c r="G35" s="185"/>
      <c r="H35" s="625"/>
      <c r="I35" s="186"/>
      <c r="J35" s="186"/>
      <c r="K35" s="187"/>
      <c r="L35" s="626"/>
      <c r="M35" s="186"/>
      <c r="N35" s="564"/>
      <c r="O35" s="564"/>
      <c r="P35" s="188"/>
      <c r="Q35" s="188"/>
      <c r="R35" s="185"/>
      <c r="S35" s="182"/>
      <c r="T35" s="625"/>
      <c r="U35" s="188"/>
      <c r="V35" s="188"/>
      <c r="W35" s="185"/>
      <c r="X35" s="182"/>
      <c r="Y35" s="625"/>
      <c r="Z35" s="188"/>
      <c r="AA35" s="188"/>
      <c r="AB35" s="185"/>
      <c r="AC35" s="182"/>
      <c r="AD35" s="625"/>
      <c r="AE35" s="188"/>
      <c r="AF35" s="188"/>
      <c r="AG35" s="185"/>
      <c r="AH35" s="182"/>
      <c r="AI35" s="625"/>
      <c r="AJ35" s="188"/>
      <c r="AK35" s="188"/>
      <c r="AL35" s="185"/>
      <c r="AM35" s="182"/>
      <c r="AN35" s="625"/>
      <c r="AO35" s="188"/>
      <c r="AP35" s="188"/>
      <c r="AQ35" s="185"/>
      <c r="AR35" s="182"/>
      <c r="AS35" s="625"/>
      <c r="AT35" s="188"/>
      <c r="AU35" s="188"/>
      <c r="AV35" s="185"/>
      <c r="AW35" s="182"/>
      <c r="AX35" s="625"/>
    </row>
    <row r="36" spans="2:50" ht="14.25" customHeight="1">
      <c r="B36" s="564"/>
      <c r="C36" s="180">
        <v>10</v>
      </c>
      <c r="D36" s="183"/>
      <c r="E36" s="180"/>
      <c r="F36" s="180"/>
      <c r="G36" s="185"/>
      <c r="H36" s="625"/>
      <c r="I36" s="186"/>
      <c r="J36" s="186"/>
      <c r="K36" s="187"/>
      <c r="L36" s="626"/>
      <c r="M36" s="186"/>
      <c r="N36" s="564"/>
      <c r="O36" s="564"/>
      <c r="P36" s="188"/>
      <c r="Q36" s="188"/>
      <c r="R36" s="185"/>
      <c r="S36" s="182"/>
      <c r="T36" s="625"/>
      <c r="U36" s="188"/>
      <c r="V36" s="188"/>
      <c r="W36" s="185"/>
      <c r="X36" s="182"/>
      <c r="Y36" s="625"/>
      <c r="Z36" s="188"/>
      <c r="AA36" s="188"/>
      <c r="AB36" s="185"/>
      <c r="AC36" s="182"/>
      <c r="AD36" s="625"/>
      <c r="AE36" s="188"/>
      <c r="AF36" s="188"/>
      <c r="AG36" s="185"/>
      <c r="AH36" s="182"/>
      <c r="AI36" s="625"/>
      <c r="AJ36" s="188"/>
      <c r="AK36" s="188"/>
      <c r="AL36" s="185"/>
      <c r="AM36" s="182"/>
      <c r="AN36" s="625"/>
      <c r="AO36" s="188"/>
      <c r="AP36" s="188"/>
      <c r="AQ36" s="185"/>
      <c r="AR36" s="182"/>
      <c r="AS36" s="625"/>
      <c r="AT36" s="188"/>
      <c r="AU36" s="188"/>
      <c r="AV36" s="185"/>
      <c r="AW36" s="182"/>
      <c r="AX36" s="625"/>
    </row>
    <row r="37" spans="2:50" ht="14.25" customHeight="1">
      <c r="B37" s="564"/>
      <c r="C37" s="180">
        <v>11</v>
      </c>
      <c r="D37" s="183"/>
      <c r="E37" s="180"/>
      <c r="F37" s="180"/>
      <c r="G37" s="185"/>
      <c r="H37" s="625"/>
      <c r="I37" s="186"/>
      <c r="J37" s="186"/>
      <c r="K37" s="187"/>
      <c r="L37" s="626"/>
      <c r="M37" s="186"/>
      <c r="N37" s="564"/>
      <c r="O37" s="564"/>
      <c r="P37" s="188"/>
      <c r="Q37" s="188"/>
      <c r="R37" s="185"/>
      <c r="S37" s="182"/>
      <c r="T37" s="625"/>
      <c r="U37" s="188"/>
      <c r="V37" s="188"/>
      <c r="W37" s="185"/>
      <c r="X37" s="182"/>
      <c r="Y37" s="625"/>
      <c r="Z37" s="188"/>
      <c r="AA37" s="188"/>
      <c r="AB37" s="185"/>
      <c r="AC37" s="182"/>
      <c r="AD37" s="625"/>
      <c r="AE37" s="188"/>
      <c r="AF37" s="188"/>
      <c r="AG37" s="185"/>
      <c r="AH37" s="182"/>
      <c r="AI37" s="625"/>
      <c r="AJ37" s="188"/>
      <c r="AK37" s="188"/>
      <c r="AL37" s="185"/>
      <c r="AM37" s="182"/>
      <c r="AN37" s="625"/>
      <c r="AO37" s="188"/>
      <c r="AP37" s="188"/>
      <c r="AQ37" s="185"/>
      <c r="AR37" s="182"/>
      <c r="AS37" s="625"/>
      <c r="AT37" s="188"/>
      <c r="AU37" s="188"/>
      <c r="AV37" s="185"/>
      <c r="AW37" s="182"/>
      <c r="AX37" s="625"/>
    </row>
    <row r="38" spans="2:50" ht="14.25" customHeight="1">
      <c r="B38" s="564"/>
      <c r="C38" s="180">
        <v>12</v>
      </c>
      <c r="D38" s="183"/>
      <c r="E38" s="180"/>
      <c r="F38" s="180"/>
      <c r="G38" s="185"/>
      <c r="H38" s="625"/>
      <c r="I38" s="186"/>
      <c r="J38" s="186"/>
      <c r="K38" s="187"/>
      <c r="L38" s="626"/>
      <c r="M38" s="186"/>
      <c r="N38" s="564"/>
      <c r="O38" s="564"/>
      <c r="P38" s="188"/>
      <c r="Q38" s="188"/>
      <c r="R38" s="185"/>
      <c r="S38" s="182"/>
      <c r="T38" s="625"/>
      <c r="U38" s="188"/>
      <c r="V38" s="188"/>
      <c r="W38" s="185"/>
      <c r="X38" s="182"/>
      <c r="Y38" s="625"/>
      <c r="Z38" s="188"/>
      <c r="AA38" s="188"/>
      <c r="AB38" s="185"/>
      <c r="AC38" s="182"/>
      <c r="AD38" s="625"/>
      <c r="AE38" s="188"/>
      <c r="AF38" s="188"/>
      <c r="AG38" s="185"/>
      <c r="AH38" s="182"/>
      <c r="AI38" s="625"/>
      <c r="AJ38" s="188"/>
      <c r="AK38" s="188"/>
      <c r="AL38" s="185"/>
      <c r="AM38" s="182"/>
      <c r="AN38" s="625"/>
      <c r="AO38" s="188"/>
      <c r="AP38" s="188"/>
      <c r="AQ38" s="185"/>
      <c r="AR38" s="182"/>
      <c r="AS38" s="625"/>
      <c r="AT38" s="188"/>
      <c r="AU38" s="188"/>
      <c r="AV38" s="185"/>
      <c r="AW38" s="182"/>
      <c r="AX38" s="625"/>
    </row>
    <row r="39" spans="2:50" ht="14.25" customHeight="1">
      <c r="B39" s="564"/>
      <c r="C39" s="180">
        <v>13</v>
      </c>
      <c r="D39" s="183"/>
      <c r="E39" s="180"/>
      <c r="F39" s="180"/>
      <c r="G39" s="185"/>
      <c r="H39" s="625"/>
      <c r="I39" s="186"/>
      <c r="J39" s="186"/>
      <c r="K39" s="187"/>
      <c r="L39" s="626"/>
      <c r="M39" s="186"/>
      <c r="N39" s="564"/>
      <c r="O39" s="564"/>
      <c r="P39" s="188"/>
      <c r="Q39" s="188"/>
      <c r="R39" s="185"/>
      <c r="S39" s="182"/>
      <c r="T39" s="625"/>
      <c r="U39" s="188"/>
      <c r="V39" s="188"/>
      <c r="W39" s="185"/>
      <c r="X39" s="182"/>
      <c r="Y39" s="625"/>
      <c r="Z39" s="188"/>
      <c r="AA39" s="188"/>
      <c r="AB39" s="185"/>
      <c r="AC39" s="182"/>
      <c r="AD39" s="625"/>
      <c r="AE39" s="188"/>
      <c r="AF39" s="188"/>
      <c r="AG39" s="185"/>
      <c r="AH39" s="182"/>
      <c r="AI39" s="625"/>
      <c r="AJ39" s="188"/>
      <c r="AK39" s="188"/>
      <c r="AL39" s="185"/>
      <c r="AM39" s="182"/>
      <c r="AN39" s="625"/>
      <c r="AO39" s="188"/>
      <c r="AP39" s="188"/>
      <c r="AQ39" s="185"/>
      <c r="AR39" s="182"/>
      <c r="AS39" s="625"/>
      <c r="AT39" s="188"/>
      <c r="AU39" s="188"/>
      <c r="AV39" s="185"/>
      <c r="AW39" s="182"/>
      <c r="AX39" s="625"/>
    </row>
    <row r="40" spans="2:50" ht="14.25" customHeight="1">
      <c r="B40" s="564"/>
      <c r="C40" s="180">
        <v>14</v>
      </c>
      <c r="D40" s="183"/>
      <c r="E40" s="180"/>
      <c r="F40" s="180"/>
      <c r="G40" s="185"/>
      <c r="H40" s="625"/>
      <c r="I40" s="186"/>
      <c r="J40" s="186"/>
      <c r="K40" s="187"/>
      <c r="L40" s="626"/>
      <c r="M40" s="186"/>
      <c r="N40" s="564"/>
      <c r="O40" s="564"/>
      <c r="P40" s="188"/>
      <c r="Q40" s="188"/>
      <c r="R40" s="185"/>
      <c r="S40" s="182"/>
      <c r="T40" s="625"/>
      <c r="U40" s="188"/>
      <c r="V40" s="188"/>
      <c r="W40" s="185"/>
      <c r="X40" s="182"/>
      <c r="Y40" s="625"/>
      <c r="Z40" s="188"/>
      <c r="AA40" s="188"/>
      <c r="AB40" s="185"/>
      <c r="AC40" s="182"/>
      <c r="AD40" s="625"/>
      <c r="AE40" s="188"/>
      <c r="AF40" s="188"/>
      <c r="AG40" s="185"/>
      <c r="AH40" s="182"/>
      <c r="AI40" s="625"/>
      <c r="AJ40" s="188"/>
      <c r="AK40" s="188"/>
      <c r="AL40" s="185"/>
      <c r="AM40" s="182"/>
      <c r="AN40" s="625"/>
      <c r="AO40" s="188"/>
      <c r="AP40" s="188"/>
      <c r="AQ40" s="185"/>
      <c r="AR40" s="182"/>
      <c r="AS40" s="625"/>
      <c r="AT40" s="188"/>
      <c r="AU40" s="188"/>
      <c r="AV40" s="185"/>
      <c r="AW40" s="182"/>
      <c r="AX40" s="625"/>
    </row>
    <row r="41" spans="2:50" ht="14.25" customHeight="1">
      <c r="B41" s="564"/>
      <c r="C41" s="180">
        <v>15</v>
      </c>
      <c r="D41" s="183"/>
      <c r="E41" s="180"/>
      <c r="F41" s="180"/>
      <c r="G41" s="185"/>
      <c r="H41" s="625"/>
      <c r="I41" s="186"/>
      <c r="J41" s="186"/>
      <c r="K41" s="187"/>
      <c r="L41" s="626"/>
      <c r="M41" s="186"/>
      <c r="N41" s="564"/>
      <c r="O41" s="564"/>
      <c r="P41" s="188"/>
      <c r="Q41" s="188"/>
      <c r="R41" s="185"/>
      <c r="S41" s="182"/>
      <c r="T41" s="625"/>
      <c r="U41" s="188"/>
      <c r="V41" s="188"/>
      <c r="W41" s="185"/>
      <c r="X41" s="182"/>
      <c r="Y41" s="625"/>
      <c r="Z41" s="188"/>
      <c r="AA41" s="188"/>
      <c r="AB41" s="185"/>
      <c r="AC41" s="182"/>
      <c r="AD41" s="625"/>
      <c r="AE41" s="188"/>
      <c r="AF41" s="188"/>
      <c r="AG41" s="185"/>
      <c r="AH41" s="182"/>
      <c r="AI41" s="625"/>
      <c r="AJ41" s="188"/>
      <c r="AK41" s="188"/>
      <c r="AL41" s="185"/>
      <c r="AM41" s="182"/>
      <c r="AN41" s="625"/>
      <c r="AO41" s="188"/>
      <c r="AP41" s="188"/>
      <c r="AQ41" s="185"/>
      <c r="AR41" s="182"/>
      <c r="AS41" s="625"/>
      <c r="AT41" s="188"/>
      <c r="AU41" s="188"/>
      <c r="AV41" s="185"/>
      <c r="AW41" s="182"/>
      <c r="AX41" s="625"/>
    </row>
    <row r="42" spans="2:50" ht="14.25" customHeight="1" collapsed="1">
      <c r="B42" s="646" t="s">
        <v>642</v>
      </c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43"/>
      <c r="N42" s="575" t="s">
        <v>377</v>
      </c>
      <c r="O42" s="575" t="s">
        <v>105</v>
      </c>
      <c r="P42" s="655">
        <f>AT22+1</f>
        <v>46091</v>
      </c>
      <c r="Q42" s="656"/>
      <c r="R42" s="656"/>
      <c r="S42" s="656"/>
      <c r="T42" s="656"/>
      <c r="U42" s="657">
        <f>P42+1</f>
        <v>46092</v>
      </c>
      <c r="V42" s="658"/>
      <c r="W42" s="658"/>
      <c r="X42" s="658"/>
      <c r="Y42" s="658"/>
      <c r="Z42" s="655">
        <f t="shared" ref="Z42" si="30">U42+1</f>
        <v>46093</v>
      </c>
      <c r="AA42" s="656"/>
      <c r="AB42" s="656"/>
      <c r="AC42" s="656"/>
      <c r="AD42" s="656"/>
      <c r="AE42" s="657">
        <f t="shared" ref="AE42" si="31">Z42+1</f>
        <v>46094</v>
      </c>
      <c r="AF42" s="658"/>
      <c r="AG42" s="658"/>
      <c r="AH42" s="658"/>
      <c r="AI42" s="658"/>
      <c r="AJ42" s="647">
        <f t="shared" ref="AJ42" si="32">AE42+1</f>
        <v>46095</v>
      </c>
      <c r="AK42" s="648"/>
      <c r="AL42" s="648"/>
      <c r="AM42" s="648"/>
      <c r="AN42" s="649"/>
      <c r="AO42" s="657">
        <f t="shared" ref="AO42" si="33">AJ42+1</f>
        <v>46096</v>
      </c>
      <c r="AP42" s="658"/>
      <c r="AQ42" s="658"/>
      <c r="AR42" s="658"/>
      <c r="AS42" s="658"/>
      <c r="AT42" s="647">
        <f t="shared" ref="AT42" si="34">AO42+1</f>
        <v>46097</v>
      </c>
      <c r="AU42" s="648"/>
      <c r="AV42" s="648"/>
      <c r="AW42" s="648"/>
      <c r="AX42" s="649"/>
    </row>
    <row r="43" spans="2:50" ht="14.25" customHeight="1">
      <c r="B43" s="644"/>
      <c r="C43" s="644"/>
      <c r="D43" s="644"/>
      <c r="E43" s="644"/>
      <c r="F43" s="644"/>
      <c r="G43" s="644"/>
      <c r="H43" s="644"/>
      <c r="I43" s="644"/>
      <c r="J43" s="644"/>
      <c r="K43" s="644"/>
      <c r="L43" s="644"/>
      <c r="M43" s="645"/>
      <c r="N43" s="577"/>
      <c r="O43" s="577"/>
      <c r="P43" s="650">
        <f>P42</f>
        <v>46091</v>
      </c>
      <c r="Q43" s="650"/>
      <c r="R43" s="650"/>
      <c r="S43" s="650"/>
      <c r="T43" s="650"/>
      <c r="U43" s="651">
        <f>U42</f>
        <v>46092</v>
      </c>
      <c r="V43" s="651"/>
      <c r="W43" s="651"/>
      <c r="X43" s="651"/>
      <c r="Y43" s="651"/>
      <c r="Z43" s="650">
        <f t="shared" ref="Z43" si="35">Z42</f>
        <v>46093</v>
      </c>
      <c r="AA43" s="650"/>
      <c r="AB43" s="650"/>
      <c r="AC43" s="650"/>
      <c r="AD43" s="650"/>
      <c r="AE43" s="651">
        <f t="shared" ref="AE43" si="36">AE42</f>
        <v>46094</v>
      </c>
      <c r="AF43" s="651"/>
      <c r="AG43" s="651"/>
      <c r="AH43" s="651"/>
      <c r="AI43" s="651"/>
      <c r="AJ43" s="652">
        <f t="shared" ref="AJ43" si="37">AJ42</f>
        <v>46095</v>
      </c>
      <c r="AK43" s="653"/>
      <c r="AL43" s="653"/>
      <c r="AM43" s="653"/>
      <c r="AN43" s="654"/>
      <c r="AO43" s="651">
        <f t="shared" ref="AO43" si="38">AO42</f>
        <v>46096</v>
      </c>
      <c r="AP43" s="651"/>
      <c r="AQ43" s="651"/>
      <c r="AR43" s="651"/>
      <c r="AS43" s="651"/>
      <c r="AT43" s="652">
        <f t="shared" ref="AT43" si="39">AT42</f>
        <v>46097</v>
      </c>
      <c r="AU43" s="653"/>
      <c r="AV43" s="653"/>
      <c r="AW43" s="653"/>
      <c r="AX43" s="654"/>
    </row>
    <row r="44" spans="2:50" ht="14.25" customHeight="1">
      <c r="B44" s="564" t="s">
        <v>164</v>
      </c>
      <c r="C44" s="564" t="s">
        <v>159</v>
      </c>
      <c r="D44" s="564"/>
      <c r="E44" s="564" t="s">
        <v>160</v>
      </c>
      <c r="F44" s="564"/>
      <c r="G44" s="564"/>
      <c r="H44" s="564" t="s">
        <v>165</v>
      </c>
      <c r="I44" s="628" t="s">
        <v>378</v>
      </c>
      <c r="J44" s="628"/>
      <c r="K44" s="628"/>
      <c r="L44" s="628" t="s">
        <v>165</v>
      </c>
      <c r="M44" s="628" t="s">
        <v>167</v>
      </c>
      <c r="N44" s="564"/>
      <c r="O44" s="564" t="s">
        <v>166</v>
      </c>
      <c r="P44" s="564" t="s">
        <v>162</v>
      </c>
      <c r="Q44" s="564"/>
      <c r="R44" s="564"/>
      <c r="S44" s="564"/>
      <c r="T44" s="564" t="s">
        <v>165</v>
      </c>
      <c r="U44" s="564" t="s">
        <v>162</v>
      </c>
      <c r="V44" s="564"/>
      <c r="W44" s="564"/>
      <c r="X44" s="564"/>
      <c r="Y44" s="564" t="s">
        <v>165</v>
      </c>
      <c r="Z44" s="564" t="s">
        <v>162</v>
      </c>
      <c r="AA44" s="564"/>
      <c r="AB44" s="564"/>
      <c r="AC44" s="564"/>
      <c r="AD44" s="564" t="s">
        <v>165</v>
      </c>
      <c r="AE44" s="564" t="s">
        <v>162</v>
      </c>
      <c r="AF44" s="564"/>
      <c r="AG44" s="564"/>
      <c r="AH44" s="564"/>
      <c r="AI44" s="564" t="s">
        <v>165</v>
      </c>
      <c r="AJ44" s="564" t="s">
        <v>162</v>
      </c>
      <c r="AK44" s="564"/>
      <c r="AL44" s="564"/>
      <c r="AM44" s="564"/>
      <c r="AN44" s="564" t="s">
        <v>165</v>
      </c>
      <c r="AO44" s="564" t="s">
        <v>162</v>
      </c>
      <c r="AP44" s="564"/>
      <c r="AQ44" s="564"/>
      <c r="AR44" s="564"/>
      <c r="AS44" s="564" t="s">
        <v>165</v>
      </c>
      <c r="AT44" s="564" t="s">
        <v>162</v>
      </c>
      <c r="AU44" s="564"/>
      <c r="AV44" s="564"/>
      <c r="AW44" s="564"/>
      <c r="AX44" s="564" t="s">
        <v>165</v>
      </c>
    </row>
    <row r="45" spans="2:50" ht="14.25" customHeight="1">
      <c r="B45" s="564"/>
      <c r="C45" s="564"/>
      <c r="D45" s="564"/>
      <c r="E45" s="564" t="s">
        <v>379</v>
      </c>
      <c r="F45" s="564"/>
      <c r="G45" s="564"/>
      <c r="H45" s="564"/>
      <c r="I45" s="628" t="s">
        <v>379</v>
      </c>
      <c r="J45" s="628"/>
      <c r="K45" s="628"/>
      <c r="L45" s="628"/>
      <c r="M45" s="628"/>
      <c r="N45" s="564"/>
      <c r="O45" s="564"/>
      <c r="P45" s="564" t="s">
        <v>380</v>
      </c>
      <c r="Q45" s="564"/>
      <c r="R45" s="564"/>
      <c r="S45" s="564"/>
      <c r="T45" s="564"/>
      <c r="U45" s="564" t="s">
        <v>380</v>
      </c>
      <c r="V45" s="564"/>
      <c r="W45" s="564"/>
      <c r="X45" s="564"/>
      <c r="Y45" s="564"/>
      <c r="Z45" s="564" t="s">
        <v>380</v>
      </c>
      <c r="AA45" s="564"/>
      <c r="AB45" s="564"/>
      <c r="AC45" s="564"/>
      <c r="AD45" s="564"/>
      <c r="AE45" s="564" t="s">
        <v>380</v>
      </c>
      <c r="AF45" s="564"/>
      <c r="AG45" s="564"/>
      <c r="AH45" s="564"/>
      <c r="AI45" s="564"/>
      <c r="AJ45" s="564" t="s">
        <v>380</v>
      </c>
      <c r="AK45" s="564"/>
      <c r="AL45" s="564"/>
      <c r="AM45" s="564"/>
      <c r="AN45" s="564"/>
      <c r="AO45" s="564" t="s">
        <v>380</v>
      </c>
      <c r="AP45" s="564"/>
      <c r="AQ45" s="564"/>
      <c r="AR45" s="564"/>
      <c r="AS45" s="564"/>
      <c r="AT45" s="564" t="s">
        <v>380</v>
      </c>
      <c r="AU45" s="564"/>
      <c r="AV45" s="564"/>
      <c r="AW45" s="564"/>
      <c r="AX45" s="564"/>
    </row>
    <row r="46" spans="2:50" ht="14.25" customHeight="1">
      <c r="B46" s="564"/>
      <c r="C46" s="564"/>
      <c r="D46" s="564"/>
      <c r="E46" s="180" t="s">
        <v>161</v>
      </c>
      <c r="F46" s="180" t="s">
        <v>381</v>
      </c>
      <c r="G46" s="180" t="s">
        <v>163</v>
      </c>
      <c r="H46" s="564"/>
      <c r="I46" s="181" t="s">
        <v>161</v>
      </c>
      <c r="J46" s="181" t="s">
        <v>381</v>
      </c>
      <c r="K46" s="181" t="s">
        <v>163</v>
      </c>
      <c r="L46" s="628"/>
      <c r="M46" s="628"/>
      <c r="N46" s="564"/>
      <c r="O46" s="564"/>
      <c r="P46" s="180" t="s">
        <v>161</v>
      </c>
      <c r="Q46" s="180" t="s">
        <v>381</v>
      </c>
      <c r="R46" s="180" t="s">
        <v>163</v>
      </c>
      <c r="S46" s="182" t="s">
        <v>167</v>
      </c>
      <c r="T46" s="564"/>
      <c r="U46" s="180" t="s">
        <v>161</v>
      </c>
      <c r="V46" s="180" t="s">
        <v>381</v>
      </c>
      <c r="W46" s="180" t="s">
        <v>163</v>
      </c>
      <c r="X46" s="182" t="s">
        <v>167</v>
      </c>
      <c r="Y46" s="564"/>
      <c r="Z46" s="180" t="s">
        <v>161</v>
      </c>
      <c r="AA46" s="180" t="s">
        <v>381</v>
      </c>
      <c r="AB46" s="180" t="s">
        <v>163</v>
      </c>
      <c r="AC46" s="182" t="s">
        <v>167</v>
      </c>
      <c r="AD46" s="564"/>
      <c r="AE46" s="180" t="s">
        <v>161</v>
      </c>
      <c r="AF46" s="180" t="s">
        <v>381</v>
      </c>
      <c r="AG46" s="180" t="s">
        <v>163</v>
      </c>
      <c r="AH46" s="182" t="s">
        <v>167</v>
      </c>
      <c r="AI46" s="564"/>
      <c r="AJ46" s="180" t="s">
        <v>161</v>
      </c>
      <c r="AK46" s="180" t="s">
        <v>381</v>
      </c>
      <c r="AL46" s="180" t="s">
        <v>163</v>
      </c>
      <c r="AM46" s="182" t="s">
        <v>167</v>
      </c>
      <c r="AN46" s="564"/>
      <c r="AO46" s="180" t="s">
        <v>161</v>
      </c>
      <c r="AP46" s="180" t="s">
        <v>381</v>
      </c>
      <c r="AQ46" s="180" t="s">
        <v>163</v>
      </c>
      <c r="AR46" s="182" t="s">
        <v>167</v>
      </c>
      <c r="AS46" s="564"/>
      <c r="AT46" s="180" t="s">
        <v>161</v>
      </c>
      <c r="AU46" s="180" t="s">
        <v>381</v>
      </c>
      <c r="AV46" s="180" t="s">
        <v>163</v>
      </c>
      <c r="AW46" s="182" t="s">
        <v>167</v>
      </c>
      <c r="AX46" s="564"/>
    </row>
    <row r="47" spans="2:50" ht="14.25" customHeight="1">
      <c r="B47" s="564" t="s">
        <v>384</v>
      </c>
      <c r="C47" s="180">
        <v>1</v>
      </c>
      <c r="D47" s="183" t="s">
        <v>537</v>
      </c>
      <c r="E47" s="180">
        <v>6</v>
      </c>
      <c r="F47" s="180">
        <v>3273</v>
      </c>
      <c r="G47" s="185">
        <f t="shared" ref="G47:G48" si="40">F47/E47</f>
        <v>545.5</v>
      </c>
      <c r="H47" s="625">
        <f>AVERAGE(G47:G61)</f>
        <v>545.5</v>
      </c>
      <c r="I47" s="186">
        <f>AVERAGE(P47,U47,Z47,AE47,AJ47,AO47,AT47)</f>
        <v>6</v>
      </c>
      <c r="J47" s="186">
        <f>AVERAGE(Q47,V47,AA47,AF47,AK47,AP47,AU47)</f>
        <v>2964.6210004782311</v>
      </c>
      <c r="K47" s="187">
        <f>AVERAGE(R47,W47,AB47,AG47,AL47,AQ47,AV47)</f>
        <v>494.10350007970516</v>
      </c>
      <c r="L47" s="626">
        <f>IFERROR(AVERAGE(K47:K61),"-")</f>
        <v>494.06688802810328</v>
      </c>
      <c r="M47" s="186">
        <f>RANK(K47, K$47:$K$61)</f>
        <v>1</v>
      </c>
      <c r="N47" s="564"/>
      <c r="O47" s="564"/>
      <c r="P47" s="188">
        <v>6</v>
      </c>
      <c r="Q47" s="188">
        <v>2961.4395886889333</v>
      </c>
      <c r="R47" s="185">
        <f>IFERROR(Q47/P47,"")</f>
        <v>493.57326478148889</v>
      </c>
      <c r="S47" s="182">
        <f>RANK(R47, R$47:R$61)</f>
        <v>2</v>
      </c>
      <c r="T47" s="625">
        <f>AVERAGE(R47:R61)</f>
        <v>493.5794820227112</v>
      </c>
      <c r="U47" s="188">
        <v>6</v>
      </c>
      <c r="V47" s="188">
        <v>2963.3872976338757</v>
      </c>
      <c r="W47" s="185">
        <f t="shared" ref="W47:W48" si="41">IFERROR(V47/U47,"")</f>
        <v>493.89788293897931</v>
      </c>
      <c r="X47" s="182">
        <f>RANK(W47, W$47:W$61)</f>
        <v>1</v>
      </c>
      <c r="Y47" s="625">
        <f>AVERAGE(W47:W61)</f>
        <v>493.78089739235452</v>
      </c>
      <c r="Z47" s="188">
        <v>6</v>
      </c>
      <c r="AA47" s="188">
        <v>2964.4137931034425</v>
      </c>
      <c r="AB47" s="185">
        <f t="shared" ref="AB47:AB48" si="42">IFERROR(AA47/Z47,"")</f>
        <v>494.06896551724043</v>
      </c>
      <c r="AC47" s="182">
        <f>RANK(AB47, AB$47:AB$61)</f>
        <v>1</v>
      </c>
      <c r="AD47" s="625">
        <f>AVERAGE(AB47:AB61)</f>
        <v>494.01013083403234</v>
      </c>
      <c r="AE47" s="188">
        <v>6</v>
      </c>
      <c r="AF47" s="188">
        <v>2964.3659711075447</v>
      </c>
      <c r="AG47" s="185">
        <f>IFERROR(AF47/AE47,"")</f>
        <v>494.06099518459081</v>
      </c>
      <c r="AH47" s="182">
        <f>RANK(AG47, AG$47:AG$61)</f>
        <v>2</v>
      </c>
      <c r="AI47" s="625">
        <f>AVERAGE(AG47:AG61)</f>
        <v>494.14537318784846</v>
      </c>
      <c r="AJ47" s="188">
        <v>6</v>
      </c>
      <c r="AK47" s="188">
        <v>2966.7469879518121</v>
      </c>
      <c r="AL47" s="185">
        <f t="shared" ref="AL47:AL48" si="43">IFERROR(AK47/AJ47,"")</f>
        <v>494.45783132530204</v>
      </c>
      <c r="AM47" s="182">
        <f>RANK(AL47, AL$47:AL$61)</f>
        <v>1</v>
      </c>
      <c r="AN47" s="625">
        <f>AVERAGE(AL47:AL61)</f>
        <v>494.38610629810222</v>
      </c>
      <c r="AO47" s="188">
        <v>6</v>
      </c>
      <c r="AP47" s="188">
        <v>2966.1290322580599</v>
      </c>
      <c r="AQ47" s="185">
        <f t="shared" ref="AQ47:AQ48" si="44">IFERROR(AP47/AO47,"")</f>
        <v>494.35483870967664</v>
      </c>
      <c r="AR47" s="182">
        <f>RANK(AQ47, AQ$47:AQ$61)</f>
        <v>1</v>
      </c>
      <c r="AS47" s="625">
        <f>AVERAGE(AQ47:AQ61)</f>
        <v>494.32348677056859</v>
      </c>
      <c r="AT47" s="188">
        <v>6</v>
      </c>
      <c r="AU47" s="188">
        <v>2965.8643326039473</v>
      </c>
      <c r="AV47" s="185">
        <f t="shared" ref="AV47:AV48" si="45">IFERROR(AU47/AT47,"")</f>
        <v>494.31072210065787</v>
      </c>
      <c r="AW47" s="182">
        <f>RANK(AV47, AV$47:AV$61)</f>
        <v>1</v>
      </c>
      <c r="AX47" s="625">
        <f>AVERAGE(AV47:AV61)</f>
        <v>494.24273969110584</v>
      </c>
    </row>
    <row r="48" spans="2:50" ht="14.25" customHeight="1">
      <c r="B48" s="564"/>
      <c r="C48" s="180">
        <v>2</v>
      </c>
      <c r="D48" s="183" t="s">
        <v>609</v>
      </c>
      <c r="E48" s="180">
        <v>6</v>
      </c>
      <c r="F48" s="180">
        <v>3273</v>
      </c>
      <c r="G48" s="185">
        <f t="shared" si="40"/>
        <v>545.5</v>
      </c>
      <c r="H48" s="625"/>
      <c r="I48" s="186">
        <f t="shared" ref="I48:K48" si="46">AVERAGE(P48,U48,Z48,AE48,AJ48,AO48,AT48)</f>
        <v>6</v>
      </c>
      <c r="J48" s="186">
        <f t="shared" si="46"/>
        <v>2964.1816558590085</v>
      </c>
      <c r="K48" s="187">
        <f t="shared" si="46"/>
        <v>494.0302759765014</v>
      </c>
      <c r="L48" s="626"/>
      <c r="M48" s="186">
        <f>RANK(K48, K$47:$K$61)</f>
        <v>2</v>
      </c>
      <c r="N48" s="564"/>
      <c r="O48" s="564"/>
      <c r="P48" s="188">
        <v>6</v>
      </c>
      <c r="Q48" s="188">
        <v>2961.5141955836016</v>
      </c>
      <c r="R48" s="185">
        <f t="shared" ref="R48" si="47">IFERROR(Q48/P48,"")</f>
        <v>493.58569926393358</v>
      </c>
      <c r="S48" s="182">
        <f>RANK(R48, R$47:R$61)</f>
        <v>1</v>
      </c>
      <c r="T48" s="625"/>
      <c r="U48" s="188">
        <v>6</v>
      </c>
      <c r="V48" s="188">
        <v>2961.983471074378</v>
      </c>
      <c r="W48" s="185">
        <f t="shared" si="41"/>
        <v>493.66391184572967</v>
      </c>
      <c r="X48" s="182">
        <f>RANK(W48, W$47:W$61)</f>
        <v>2</v>
      </c>
      <c r="Y48" s="625"/>
      <c r="Z48" s="188">
        <v>6</v>
      </c>
      <c r="AA48" s="188">
        <v>2963.7077769049451</v>
      </c>
      <c r="AB48" s="185">
        <f t="shared" si="42"/>
        <v>493.95129615082419</v>
      </c>
      <c r="AC48" s="182">
        <f>RANK(AB48, AB$47:AB$61)</f>
        <v>2</v>
      </c>
      <c r="AD48" s="625"/>
      <c r="AE48" s="188">
        <v>6</v>
      </c>
      <c r="AF48" s="188">
        <v>2965.3785071466368</v>
      </c>
      <c r="AG48" s="185">
        <f t="shared" ref="AG48" si="48">IFERROR(AF48/AE48,"")</f>
        <v>494.22975119110612</v>
      </c>
      <c r="AH48" s="182">
        <f>RANK(AG48, AG$47:AG$61)</f>
        <v>1</v>
      </c>
      <c r="AI48" s="625"/>
      <c r="AJ48" s="188">
        <v>6</v>
      </c>
      <c r="AK48" s="188">
        <v>2965.8862876254143</v>
      </c>
      <c r="AL48" s="185">
        <f t="shared" si="43"/>
        <v>494.3143812709024</v>
      </c>
      <c r="AM48" s="182">
        <f>RANK(AL48, AL$47:AL$61)</f>
        <v>2</v>
      </c>
      <c r="AN48" s="625"/>
      <c r="AO48" s="188">
        <v>6</v>
      </c>
      <c r="AP48" s="188">
        <v>2965.7528089887628</v>
      </c>
      <c r="AQ48" s="185">
        <f t="shared" si="44"/>
        <v>494.29213483146049</v>
      </c>
      <c r="AR48" s="182">
        <f>RANK(AQ48, AQ$47:AQ$61)</f>
        <v>2</v>
      </c>
      <c r="AS48" s="625"/>
      <c r="AT48" s="188">
        <v>6</v>
      </c>
      <c r="AU48" s="188">
        <v>2965.0485436893227</v>
      </c>
      <c r="AV48" s="185">
        <f t="shared" si="45"/>
        <v>494.17475728155381</v>
      </c>
      <c r="AW48" s="182">
        <f>RANK(AV48, AV$47:AV$61)</f>
        <v>2</v>
      </c>
      <c r="AX48" s="625"/>
    </row>
    <row r="49" spans="2:50" ht="14.25" customHeight="1">
      <c r="B49" s="564"/>
      <c r="C49" s="180">
        <v>3</v>
      </c>
      <c r="D49" s="183"/>
      <c r="E49" s="180"/>
      <c r="F49" s="180"/>
      <c r="G49" s="185"/>
      <c r="H49" s="625"/>
      <c r="I49" s="186"/>
      <c r="J49" s="186"/>
      <c r="K49" s="187"/>
      <c r="L49" s="626"/>
      <c r="M49" s="186"/>
      <c r="N49" s="564"/>
      <c r="O49" s="564"/>
      <c r="P49" s="188"/>
      <c r="Q49" s="188"/>
      <c r="R49" s="185"/>
      <c r="S49" s="182"/>
      <c r="T49" s="625"/>
      <c r="U49" s="188"/>
      <c r="V49" s="188"/>
      <c r="W49" s="185"/>
      <c r="X49" s="182"/>
      <c r="Y49" s="625"/>
      <c r="Z49" s="188"/>
      <c r="AA49" s="188"/>
      <c r="AB49" s="185"/>
      <c r="AC49" s="182"/>
      <c r="AD49" s="625"/>
      <c r="AE49" s="188"/>
      <c r="AF49" s="188"/>
      <c r="AG49" s="185"/>
      <c r="AH49" s="182"/>
      <c r="AI49" s="625"/>
      <c r="AJ49" s="188"/>
      <c r="AK49" s="188"/>
      <c r="AL49" s="185"/>
      <c r="AM49" s="182"/>
      <c r="AN49" s="625"/>
      <c r="AO49" s="188"/>
      <c r="AP49" s="188"/>
      <c r="AQ49" s="185"/>
      <c r="AR49" s="182"/>
      <c r="AS49" s="625"/>
      <c r="AT49" s="188"/>
      <c r="AU49" s="188"/>
      <c r="AV49" s="185"/>
      <c r="AW49" s="182"/>
      <c r="AX49" s="625"/>
    </row>
    <row r="50" spans="2:50" ht="14.25" customHeight="1">
      <c r="B50" s="564"/>
      <c r="C50" s="180">
        <v>4</v>
      </c>
      <c r="D50" s="183"/>
      <c r="E50" s="180"/>
      <c r="F50" s="180"/>
      <c r="G50" s="185"/>
      <c r="H50" s="625"/>
      <c r="I50" s="186"/>
      <c r="J50" s="186"/>
      <c r="K50" s="187"/>
      <c r="L50" s="626"/>
      <c r="M50" s="186"/>
      <c r="N50" s="564"/>
      <c r="O50" s="564"/>
      <c r="P50" s="188"/>
      <c r="Q50" s="188"/>
      <c r="R50" s="185"/>
      <c r="S50" s="182"/>
      <c r="T50" s="625"/>
      <c r="U50" s="188"/>
      <c r="V50" s="188"/>
      <c r="W50" s="185"/>
      <c r="X50" s="182"/>
      <c r="Y50" s="625"/>
      <c r="Z50" s="188"/>
      <c r="AA50" s="188"/>
      <c r="AB50" s="185"/>
      <c r="AC50" s="182"/>
      <c r="AD50" s="625"/>
      <c r="AE50" s="188"/>
      <c r="AF50" s="188"/>
      <c r="AG50" s="185"/>
      <c r="AH50" s="182"/>
      <c r="AI50" s="625"/>
      <c r="AJ50" s="188"/>
      <c r="AK50" s="188"/>
      <c r="AL50" s="185"/>
      <c r="AM50" s="182"/>
      <c r="AN50" s="625"/>
      <c r="AO50" s="188"/>
      <c r="AP50" s="188"/>
      <c r="AQ50" s="185"/>
      <c r="AR50" s="182"/>
      <c r="AS50" s="625"/>
      <c r="AT50" s="188"/>
      <c r="AU50" s="188"/>
      <c r="AV50" s="185"/>
      <c r="AW50" s="182"/>
      <c r="AX50" s="625"/>
    </row>
    <row r="51" spans="2:50" ht="14.25" customHeight="1">
      <c r="B51" s="564"/>
      <c r="C51" s="180">
        <v>5</v>
      </c>
      <c r="D51" s="183"/>
      <c r="E51" s="180"/>
      <c r="F51" s="180"/>
      <c r="G51" s="185"/>
      <c r="H51" s="625"/>
      <c r="I51" s="186"/>
      <c r="J51" s="186"/>
      <c r="K51" s="187"/>
      <c r="L51" s="626"/>
      <c r="M51" s="186"/>
      <c r="N51" s="564"/>
      <c r="O51" s="564"/>
      <c r="P51" s="188"/>
      <c r="Q51" s="188"/>
      <c r="R51" s="185"/>
      <c r="S51" s="182"/>
      <c r="T51" s="625"/>
      <c r="U51" s="188"/>
      <c r="V51" s="188"/>
      <c r="W51" s="185"/>
      <c r="X51" s="182"/>
      <c r="Y51" s="625"/>
      <c r="Z51" s="188"/>
      <c r="AA51" s="188"/>
      <c r="AB51" s="185"/>
      <c r="AC51" s="182"/>
      <c r="AD51" s="625"/>
      <c r="AE51" s="188"/>
      <c r="AF51" s="188"/>
      <c r="AG51" s="185"/>
      <c r="AH51" s="182"/>
      <c r="AI51" s="625"/>
      <c r="AJ51" s="188"/>
      <c r="AK51" s="188"/>
      <c r="AL51" s="185"/>
      <c r="AM51" s="182"/>
      <c r="AN51" s="625"/>
      <c r="AO51" s="188"/>
      <c r="AP51" s="188"/>
      <c r="AQ51" s="185"/>
      <c r="AR51" s="182"/>
      <c r="AS51" s="625"/>
      <c r="AT51" s="188"/>
      <c r="AU51" s="188"/>
      <c r="AV51" s="185"/>
      <c r="AW51" s="182"/>
      <c r="AX51" s="625"/>
    </row>
    <row r="52" spans="2:50" ht="14.25" customHeight="1">
      <c r="B52" s="564"/>
      <c r="C52" s="180">
        <v>6</v>
      </c>
      <c r="D52" s="183"/>
      <c r="E52" s="180"/>
      <c r="F52" s="180"/>
      <c r="G52" s="185"/>
      <c r="H52" s="625"/>
      <c r="I52" s="186"/>
      <c r="J52" s="186"/>
      <c r="K52" s="187"/>
      <c r="L52" s="626"/>
      <c r="M52" s="186"/>
      <c r="N52" s="564"/>
      <c r="O52" s="564"/>
      <c r="P52" s="188"/>
      <c r="Q52" s="188"/>
      <c r="R52" s="185"/>
      <c r="S52" s="182"/>
      <c r="T52" s="625"/>
      <c r="U52" s="188"/>
      <c r="V52" s="188"/>
      <c r="W52" s="185"/>
      <c r="X52" s="182"/>
      <c r="Y52" s="625"/>
      <c r="Z52" s="188"/>
      <c r="AA52" s="188"/>
      <c r="AB52" s="185"/>
      <c r="AC52" s="182"/>
      <c r="AD52" s="625"/>
      <c r="AE52" s="188"/>
      <c r="AF52" s="188"/>
      <c r="AG52" s="185"/>
      <c r="AH52" s="182"/>
      <c r="AI52" s="625"/>
      <c r="AJ52" s="188"/>
      <c r="AK52" s="188"/>
      <c r="AL52" s="185"/>
      <c r="AM52" s="182"/>
      <c r="AN52" s="625"/>
      <c r="AO52" s="188"/>
      <c r="AP52" s="188"/>
      <c r="AQ52" s="185"/>
      <c r="AR52" s="182"/>
      <c r="AS52" s="625"/>
      <c r="AT52" s="188"/>
      <c r="AU52" s="188"/>
      <c r="AV52" s="185"/>
      <c r="AW52" s="182"/>
      <c r="AX52" s="625"/>
    </row>
    <row r="53" spans="2:50" ht="14.25" customHeight="1">
      <c r="B53" s="564"/>
      <c r="C53" s="180">
        <v>7</v>
      </c>
      <c r="D53" s="183"/>
      <c r="E53" s="180"/>
      <c r="F53" s="180"/>
      <c r="G53" s="185"/>
      <c r="H53" s="625"/>
      <c r="I53" s="186"/>
      <c r="J53" s="186"/>
      <c r="K53" s="187"/>
      <c r="L53" s="626"/>
      <c r="M53" s="186"/>
      <c r="N53" s="564"/>
      <c r="O53" s="564"/>
      <c r="P53" s="188"/>
      <c r="Q53" s="188"/>
      <c r="R53" s="185"/>
      <c r="S53" s="182"/>
      <c r="T53" s="625"/>
      <c r="U53" s="188"/>
      <c r="V53" s="188"/>
      <c r="W53" s="185"/>
      <c r="X53" s="182"/>
      <c r="Y53" s="625"/>
      <c r="Z53" s="188"/>
      <c r="AA53" s="188"/>
      <c r="AB53" s="185"/>
      <c r="AC53" s="182"/>
      <c r="AD53" s="625"/>
      <c r="AE53" s="188"/>
      <c r="AF53" s="188"/>
      <c r="AG53" s="185"/>
      <c r="AH53" s="182"/>
      <c r="AI53" s="625"/>
      <c r="AJ53" s="188"/>
      <c r="AK53" s="188"/>
      <c r="AL53" s="185"/>
      <c r="AM53" s="182"/>
      <c r="AN53" s="625"/>
      <c r="AO53" s="188"/>
      <c r="AP53" s="188"/>
      <c r="AQ53" s="185"/>
      <c r="AR53" s="182"/>
      <c r="AS53" s="625"/>
      <c r="AT53" s="188"/>
      <c r="AU53" s="188"/>
      <c r="AV53" s="185"/>
      <c r="AW53" s="182"/>
      <c r="AX53" s="625"/>
    </row>
    <row r="54" spans="2:50" ht="14.25" customHeight="1">
      <c r="B54" s="564"/>
      <c r="C54" s="180">
        <v>8</v>
      </c>
      <c r="D54" s="183"/>
      <c r="E54" s="180"/>
      <c r="F54" s="180"/>
      <c r="G54" s="185"/>
      <c r="H54" s="625"/>
      <c r="I54" s="186"/>
      <c r="J54" s="186"/>
      <c r="K54" s="187"/>
      <c r="L54" s="626"/>
      <c r="M54" s="186"/>
      <c r="N54" s="564"/>
      <c r="O54" s="564"/>
      <c r="P54" s="188"/>
      <c r="Q54" s="188"/>
      <c r="R54" s="185"/>
      <c r="S54" s="182"/>
      <c r="T54" s="625"/>
      <c r="U54" s="188"/>
      <c r="V54" s="188"/>
      <c r="W54" s="185"/>
      <c r="X54" s="182"/>
      <c r="Y54" s="625"/>
      <c r="Z54" s="188"/>
      <c r="AA54" s="188"/>
      <c r="AB54" s="185"/>
      <c r="AC54" s="182"/>
      <c r="AD54" s="625"/>
      <c r="AE54" s="188"/>
      <c r="AF54" s="188"/>
      <c r="AG54" s="185"/>
      <c r="AH54" s="182"/>
      <c r="AI54" s="625"/>
      <c r="AJ54" s="188"/>
      <c r="AK54" s="188"/>
      <c r="AL54" s="185"/>
      <c r="AM54" s="182"/>
      <c r="AN54" s="625"/>
      <c r="AO54" s="188"/>
      <c r="AP54" s="188"/>
      <c r="AQ54" s="185"/>
      <c r="AR54" s="182"/>
      <c r="AS54" s="625"/>
      <c r="AT54" s="188"/>
      <c r="AU54" s="188"/>
      <c r="AV54" s="185"/>
      <c r="AW54" s="182"/>
      <c r="AX54" s="625"/>
    </row>
    <row r="55" spans="2:50" ht="14.25" customHeight="1">
      <c r="B55" s="564"/>
      <c r="C55" s="180">
        <v>9</v>
      </c>
      <c r="D55" s="183"/>
      <c r="E55" s="180"/>
      <c r="F55" s="180"/>
      <c r="G55" s="185"/>
      <c r="H55" s="625"/>
      <c r="I55" s="186"/>
      <c r="J55" s="186"/>
      <c r="K55" s="187"/>
      <c r="L55" s="626"/>
      <c r="M55" s="186"/>
      <c r="N55" s="564"/>
      <c r="O55" s="564"/>
      <c r="P55" s="188"/>
      <c r="Q55" s="188"/>
      <c r="R55" s="185"/>
      <c r="S55" s="182"/>
      <c r="T55" s="625"/>
      <c r="U55" s="188"/>
      <c r="V55" s="188"/>
      <c r="W55" s="185"/>
      <c r="X55" s="182"/>
      <c r="Y55" s="625"/>
      <c r="Z55" s="188"/>
      <c r="AA55" s="188"/>
      <c r="AB55" s="185"/>
      <c r="AC55" s="182"/>
      <c r="AD55" s="625"/>
      <c r="AE55" s="188"/>
      <c r="AF55" s="188"/>
      <c r="AG55" s="185"/>
      <c r="AH55" s="182"/>
      <c r="AI55" s="625"/>
      <c r="AJ55" s="188"/>
      <c r="AK55" s="188"/>
      <c r="AL55" s="185"/>
      <c r="AM55" s="182"/>
      <c r="AN55" s="625"/>
      <c r="AO55" s="188"/>
      <c r="AP55" s="188"/>
      <c r="AQ55" s="185"/>
      <c r="AR55" s="182"/>
      <c r="AS55" s="625"/>
      <c r="AT55" s="188"/>
      <c r="AU55" s="188"/>
      <c r="AV55" s="185"/>
      <c r="AW55" s="182"/>
      <c r="AX55" s="625"/>
    </row>
    <row r="56" spans="2:50" ht="14.25" customHeight="1">
      <c r="B56" s="564"/>
      <c r="C56" s="180">
        <v>10</v>
      </c>
      <c r="D56" s="183"/>
      <c r="E56" s="180"/>
      <c r="F56" s="180"/>
      <c r="G56" s="185"/>
      <c r="H56" s="625"/>
      <c r="I56" s="186"/>
      <c r="J56" s="186"/>
      <c r="K56" s="187"/>
      <c r="L56" s="626"/>
      <c r="M56" s="186"/>
      <c r="N56" s="564"/>
      <c r="O56" s="564"/>
      <c r="P56" s="188"/>
      <c r="Q56" s="188"/>
      <c r="R56" s="185"/>
      <c r="S56" s="182"/>
      <c r="T56" s="625"/>
      <c r="U56" s="188"/>
      <c r="V56" s="188"/>
      <c r="W56" s="185"/>
      <c r="X56" s="182"/>
      <c r="Y56" s="625"/>
      <c r="Z56" s="188"/>
      <c r="AA56" s="188"/>
      <c r="AB56" s="185"/>
      <c r="AC56" s="182"/>
      <c r="AD56" s="625"/>
      <c r="AE56" s="188"/>
      <c r="AF56" s="188"/>
      <c r="AG56" s="185"/>
      <c r="AH56" s="182"/>
      <c r="AI56" s="625"/>
      <c r="AJ56" s="188"/>
      <c r="AK56" s="188"/>
      <c r="AL56" s="185"/>
      <c r="AM56" s="182"/>
      <c r="AN56" s="625"/>
      <c r="AO56" s="188"/>
      <c r="AP56" s="188"/>
      <c r="AQ56" s="185"/>
      <c r="AR56" s="182"/>
      <c r="AS56" s="625"/>
      <c r="AT56" s="188"/>
      <c r="AU56" s="188"/>
      <c r="AV56" s="185"/>
      <c r="AW56" s="182"/>
      <c r="AX56" s="625"/>
    </row>
    <row r="57" spans="2:50" ht="14.25" customHeight="1">
      <c r="B57" s="564"/>
      <c r="C57" s="180">
        <v>11</v>
      </c>
      <c r="D57" s="183"/>
      <c r="E57" s="180"/>
      <c r="F57" s="180"/>
      <c r="G57" s="185"/>
      <c r="H57" s="625"/>
      <c r="I57" s="186"/>
      <c r="J57" s="186"/>
      <c r="K57" s="187"/>
      <c r="L57" s="626"/>
      <c r="M57" s="186"/>
      <c r="N57" s="564"/>
      <c r="O57" s="564"/>
      <c r="P57" s="188"/>
      <c r="Q57" s="188"/>
      <c r="R57" s="185"/>
      <c r="S57" s="182"/>
      <c r="T57" s="625"/>
      <c r="U57" s="188"/>
      <c r="V57" s="188"/>
      <c r="W57" s="185"/>
      <c r="X57" s="182"/>
      <c r="Y57" s="625"/>
      <c r="Z57" s="188"/>
      <c r="AA57" s="188"/>
      <c r="AB57" s="185"/>
      <c r="AC57" s="182"/>
      <c r="AD57" s="625"/>
      <c r="AE57" s="188"/>
      <c r="AF57" s="188"/>
      <c r="AG57" s="185"/>
      <c r="AH57" s="182"/>
      <c r="AI57" s="625"/>
      <c r="AJ57" s="188"/>
      <c r="AK57" s="188"/>
      <c r="AL57" s="185"/>
      <c r="AM57" s="182"/>
      <c r="AN57" s="625"/>
      <c r="AO57" s="188"/>
      <c r="AP57" s="188"/>
      <c r="AQ57" s="185"/>
      <c r="AR57" s="182"/>
      <c r="AS57" s="625"/>
      <c r="AT57" s="188"/>
      <c r="AU57" s="188"/>
      <c r="AV57" s="185"/>
      <c r="AW57" s="182"/>
      <c r="AX57" s="625"/>
    </row>
    <row r="58" spans="2:50" ht="14.25" customHeight="1">
      <c r="B58" s="564"/>
      <c r="C58" s="180">
        <v>12</v>
      </c>
      <c r="D58" s="183"/>
      <c r="E58" s="180"/>
      <c r="F58" s="180"/>
      <c r="G58" s="185"/>
      <c r="H58" s="625"/>
      <c r="I58" s="186"/>
      <c r="J58" s="186"/>
      <c r="K58" s="187"/>
      <c r="L58" s="626"/>
      <c r="M58" s="186"/>
      <c r="N58" s="564"/>
      <c r="O58" s="564"/>
      <c r="P58" s="188"/>
      <c r="Q58" s="188"/>
      <c r="R58" s="185"/>
      <c r="S58" s="182"/>
      <c r="T58" s="625"/>
      <c r="U58" s="188"/>
      <c r="V58" s="188"/>
      <c r="W58" s="185"/>
      <c r="X58" s="182"/>
      <c r="Y58" s="625"/>
      <c r="Z58" s="188"/>
      <c r="AA58" s="188"/>
      <c r="AB58" s="185"/>
      <c r="AC58" s="182"/>
      <c r="AD58" s="625"/>
      <c r="AE58" s="188"/>
      <c r="AF58" s="188"/>
      <c r="AG58" s="185"/>
      <c r="AH58" s="182"/>
      <c r="AI58" s="625"/>
      <c r="AJ58" s="188"/>
      <c r="AK58" s="188"/>
      <c r="AL58" s="185"/>
      <c r="AM58" s="182"/>
      <c r="AN58" s="625"/>
      <c r="AO58" s="188"/>
      <c r="AP58" s="188"/>
      <c r="AQ58" s="185"/>
      <c r="AR58" s="182"/>
      <c r="AS58" s="625"/>
      <c r="AT58" s="188"/>
      <c r="AU58" s="188"/>
      <c r="AV58" s="185"/>
      <c r="AW58" s="182"/>
      <c r="AX58" s="625"/>
    </row>
    <row r="59" spans="2:50" ht="14.25" customHeight="1">
      <c r="B59" s="564"/>
      <c r="C59" s="180">
        <v>13</v>
      </c>
      <c r="D59" s="183"/>
      <c r="E59" s="180"/>
      <c r="F59" s="180"/>
      <c r="G59" s="185"/>
      <c r="H59" s="625"/>
      <c r="I59" s="186"/>
      <c r="J59" s="186"/>
      <c r="K59" s="187"/>
      <c r="L59" s="626"/>
      <c r="M59" s="186"/>
      <c r="N59" s="564"/>
      <c r="O59" s="564"/>
      <c r="P59" s="188"/>
      <c r="Q59" s="188"/>
      <c r="R59" s="185"/>
      <c r="S59" s="182"/>
      <c r="T59" s="625"/>
      <c r="U59" s="188"/>
      <c r="V59" s="188"/>
      <c r="W59" s="185"/>
      <c r="X59" s="182"/>
      <c r="Y59" s="625"/>
      <c r="Z59" s="188"/>
      <c r="AA59" s="188"/>
      <c r="AB59" s="185"/>
      <c r="AC59" s="182"/>
      <c r="AD59" s="625"/>
      <c r="AE59" s="188"/>
      <c r="AF59" s="188"/>
      <c r="AG59" s="185"/>
      <c r="AH59" s="182"/>
      <c r="AI59" s="625"/>
      <c r="AJ59" s="188"/>
      <c r="AK59" s="188"/>
      <c r="AL59" s="185"/>
      <c r="AM59" s="182"/>
      <c r="AN59" s="625"/>
      <c r="AO59" s="188"/>
      <c r="AP59" s="188"/>
      <c r="AQ59" s="185"/>
      <c r="AR59" s="182"/>
      <c r="AS59" s="625"/>
      <c r="AT59" s="188"/>
      <c r="AU59" s="188"/>
      <c r="AV59" s="185"/>
      <c r="AW59" s="182"/>
      <c r="AX59" s="625"/>
    </row>
    <row r="60" spans="2:50" ht="14.25" customHeight="1">
      <c r="B60" s="564"/>
      <c r="C60" s="180">
        <v>14</v>
      </c>
      <c r="D60" s="183"/>
      <c r="E60" s="180"/>
      <c r="F60" s="180"/>
      <c r="G60" s="185"/>
      <c r="H60" s="625"/>
      <c r="I60" s="186"/>
      <c r="J60" s="186"/>
      <c r="K60" s="187"/>
      <c r="L60" s="626"/>
      <c r="M60" s="186"/>
      <c r="N60" s="564"/>
      <c r="O60" s="564"/>
      <c r="P60" s="188"/>
      <c r="Q60" s="188"/>
      <c r="R60" s="185"/>
      <c r="S60" s="182"/>
      <c r="T60" s="625"/>
      <c r="U60" s="188"/>
      <c r="V60" s="188"/>
      <c r="W60" s="185"/>
      <c r="X60" s="182"/>
      <c r="Y60" s="625"/>
      <c r="Z60" s="188"/>
      <c r="AA60" s="188"/>
      <c r="AB60" s="185"/>
      <c r="AC60" s="182"/>
      <c r="AD60" s="625"/>
      <c r="AE60" s="188"/>
      <c r="AF60" s="188"/>
      <c r="AG60" s="185"/>
      <c r="AH60" s="182"/>
      <c r="AI60" s="625"/>
      <c r="AJ60" s="188"/>
      <c r="AK60" s="188"/>
      <c r="AL60" s="185"/>
      <c r="AM60" s="182"/>
      <c r="AN60" s="625"/>
      <c r="AO60" s="188"/>
      <c r="AP60" s="188"/>
      <c r="AQ60" s="185"/>
      <c r="AR60" s="182"/>
      <c r="AS60" s="625"/>
      <c r="AT60" s="188"/>
      <c r="AU60" s="188"/>
      <c r="AV60" s="185"/>
      <c r="AW60" s="182"/>
      <c r="AX60" s="625"/>
    </row>
    <row r="61" spans="2:50" ht="14.25" customHeight="1">
      <c r="B61" s="564"/>
      <c r="C61" s="180">
        <v>15</v>
      </c>
      <c r="D61" s="183"/>
      <c r="E61" s="180"/>
      <c r="F61" s="180"/>
      <c r="G61" s="185"/>
      <c r="H61" s="625"/>
      <c r="I61" s="186"/>
      <c r="J61" s="186"/>
      <c r="K61" s="187"/>
      <c r="L61" s="626"/>
      <c r="M61" s="186"/>
      <c r="N61" s="564"/>
      <c r="O61" s="564"/>
      <c r="P61" s="188"/>
      <c r="Q61" s="188"/>
      <c r="R61" s="185"/>
      <c r="S61" s="182"/>
      <c r="T61" s="625"/>
      <c r="U61" s="188"/>
      <c r="V61" s="188"/>
      <c r="W61" s="185"/>
      <c r="X61" s="182"/>
      <c r="Y61" s="625"/>
      <c r="Z61" s="188"/>
      <c r="AA61" s="188"/>
      <c r="AB61" s="185"/>
      <c r="AC61" s="182"/>
      <c r="AD61" s="625"/>
      <c r="AE61" s="188"/>
      <c r="AF61" s="188"/>
      <c r="AG61" s="185"/>
      <c r="AH61" s="182"/>
      <c r="AI61" s="625"/>
      <c r="AJ61" s="188"/>
      <c r="AK61" s="188"/>
      <c r="AL61" s="185"/>
      <c r="AM61" s="182"/>
      <c r="AN61" s="625"/>
      <c r="AO61" s="188"/>
      <c r="AP61" s="188"/>
      <c r="AQ61" s="185"/>
      <c r="AR61" s="182"/>
      <c r="AS61" s="625"/>
      <c r="AT61" s="188"/>
      <c r="AU61" s="188"/>
      <c r="AV61" s="185"/>
      <c r="AW61" s="182"/>
      <c r="AX61" s="625"/>
    </row>
    <row r="62" spans="2:50" ht="14.25" customHeight="1" collapsed="1">
      <c r="B62" s="641" t="s">
        <v>644</v>
      </c>
      <c r="C62" s="642"/>
      <c r="D62" s="642"/>
      <c r="E62" s="642"/>
      <c r="F62" s="642"/>
      <c r="G62" s="642"/>
      <c r="H62" s="642"/>
      <c r="I62" s="642"/>
      <c r="J62" s="642"/>
      <c r="K62" s="642"/>
      <c r="L62" s="642"/>
      <c r="M62" s="643"/>
      <c r="N62" s="575" t="s">
        <v>377</v>
      </c>
      <c r="O62" s="575" t="s">
        <v>105</v>
      </c>
      <c r="P62" s="655">
        <f>AT42+1</f>
        <v>46098</v>
      </c>
      <c r="Q62" s="656"/>
      <c r="R62" s="656"/>
      <c r="S62" s="656"/>
      <c r="T62" s="656"/>
      <c r="U62" s="657">
        <f>P62+1</f>
        <v>46099</v>
      </c>
      <c r="V62" s="658"/>
      <c r="W62" s="658"/>
      <c r="X62" s="658"/>
      <c r="Y62" s="658"/>
      <c r="Z62" s="655">
        <f t="shared" ref="Z62" si="49">U62+1</f>
        <v>46100</v>
      </c>
      <c r="AA62" s="656"/>
      <c r="AB62" s="656"/>
      <c r="AC62" s="656"/>
      <c r="AD62" s="656"/>
      <c r="AE62" s="657">
        <f t="shared" ref="AE62" si="50">Z62+1</f>
        <v>46101</v>
      </c>
      <c r="AF62" s="658"/>
      <c r="AG62" s="658"/>
      <c r="AH62" s="658"/>
      <c r="AI62" s="658"/>
      <c r="AJ62" s="647">
        <f t="shared" ref="AJ62" si="51">AE62+1</f>
        <v>46102</v>
      </c>
      <c r="AK62" s="648"/>
      <c r="AL62" s="648"/>
      <c r="AM62" s="648"/>
      <c r="AN62" s="649"/>
      <c r="AO62" s="657">
        <f t="shared" ref="AO62" si="52">AJ62+1</f>
        <v>46103</v>
      </c>
      <c r="AP62" s="658"/>
      <c r="AQ62" s="658"/>
      <c r="AR62" s="658"/>
      <c r="AS62" s="658"/>
      <c r="AT62" s="647">
        <f t="shared" ref="AT62" si="53">AO62+1</f>
        <v>46104</v>
      </c>
      <c r="AU62" s="648"/>
      <c r="AV62" s="648"/>
      <c r="AW62" s="648"/>
      <c r="AX62" s="649"/>
    </row>
    <row r="63" spans="2:50" ht="14.25" customHeight="1">
      <c r="B63" s="644"/>
      <c r="C63" s="644"/>
      <c r="D63" s="644"/>
      <c r="E63" s="644"/>
      <c r="F63" s="644"/>
      <c r="G63" s="644"/>
      <c r="H63" s="644"/>
      <c r="I63" s="644"/>
      <c r="J63" s="644"/>
      <c r="K63" s="644"/>
      <c r="L63" s="644"/>
      <c r="M63" s="645"/>
      <c r="N63" s="577"/>
      <c r="O63" s="577"/>
      <c r="P63" s="650">
        <f>P62</f>
        <v>46098</v>
      </c>
      <c r="Q63" s="650"/>
      <c r="R63" s="650"/>
      <c r="S63" s="650"/>
      <c r="T63" s="650"/>
      <c r="U63" s="651">
        <f>U62</f>
        <v>46099</v>
      </c>
      <c r="V63" s="651"/>
      <c r="W63" s="651"/>
      <c r="X63" s="651"/>
      <c r="Y63" s="651"/>
      <c r="Z63" s="650">
        <f t="shared" ref="Z63" si="54">Z62</f>
        <v>46100</v>
      </c>
      <c r="AA63" s="650"/>
      <c r="AB63" s="650"/>
      <c r="AC63" s="650"/>
      <c r="AD63" s="650"/>
      <c r="AE63" s="651">
        <f t="shared" ref="AE63" si="55">AE62</f>
        <v>46101</v>
      </c>
      <c r="AF63" s="651"/>
      <c r="AG63" s="651"/>
      <c r="AH63" s="651"/>
      <c r="AI63" s="651"/>
      <c r="AJ63" s="652">
        <f t="shared" ref="AJ63" si="56">AJ62</f>
        <v>46102</v>
      </c>
      <c r="AK63" s="653"/>
      <c r="AL63" s="653"/>
      <c r="AM63" s="653"/>
      <c r="AN63" s="654"/>
      <c r="AO63" s="651">
        <f t="shared" ref="AO63" si="57">AO62</f>
        <v>46103</v>
      </c>
      <c r="AP63" s="651"/>
      <c r="AQ63" s="651"/>
      <c r="AR63" s="651"/>
      <c r="AS63" s="651"/>
      <c r="AT63" s="652">
        <f t="shared" ref="AT63" si="58">AT62</f>
        <v>46104</v>
      </c>
      <c r="AU63" s="653"/>
      <c r="AV63" s="653"/>
      <c r="AW63" s="653"/>
      <c r="AX63" s="654"/>
    </row>
    <row r="64" spans="2:50" ht="14.25" customHeight="1">
      <c r="B64" s="564" t="s">
        <v>164</v>
      </c>
      <c r="C64" s="564" t="s">
        <v>159</v>
      </c>
      <c r="D64" s="564"/>
      <c r="E64" s="564" t="s">
        <v>160</v>
      </c>
      <c r="F64" s="564"/>
      <c r="G64" s="564"/>
      <c r="H64" s="564" t="s">
        <v>165</v>
      </c>
      <c r="I64" s="628" t="s">
        <v>378</v>
      </c>
      <c r="J64" s="628"/>
      <c r="K64" s="628"/>
      <c r="L64" s="628" t="s">
        <v>165</v>
      </c>
      <c r="M64" s="628" t="s">
        <v>167</v>
      </c>
      <c r="N64" s="564"/>
      <c r="O64" s="564" t="s">
        <v>166</v>
      </c>
      <c r="P64" s="564" t="s">
        <v>162</v>
      </c>
      <c r="Q64" s="564"/>
      <c r="R64" s="564"/>
      <c r="S64" s="564"/>
      <c r="T64" s="564" t="s">
        <v>165</v>
      </c>
      <c r="U64" s="564" t="s">
        <v>162</v>
      </c>
      <c r="V64" s="564"/>
      <c r="W64" s="564"/>
      <c r="X64" s="564"/>
      <c r="Y64" s="564" t="s">
        <v>165</v>
      </c>
      <c r="Z64" s="564" t="s">
        <v>162</v>
      </c>
      <c r="AA64" s="564"/>
      <c r="AB64" s="564"/>
      <c r="AC64" s="564"/>
      <c r="AD64" s="564" t="s">
        <v>165</v>
      </c>
      <c r="AE64" s="564" t="s">
        <v>162</v>
      </c>
      <c r="AF64" s="564"/>
      <c r="AG64" s="564"/>
      <c r="AH64" s="564"/>
      <c r="AI64" s="564" t="s">
        <v>165</v>
      </c>
      <c r="AJ64" s="564" t="s">
        <v>162</v>
      </c>
      <c r="AK64" s="564"/>
      <c r="AL64" s="564"/>
      <c r="AM64" s="564"/>
      <c r="AN64" s="564" t="s">
        <v>165</v>
      </c>
      <c r="AO64" s="564" t="s">
        <v>162</v>
      </c>
      <c r="AP64" s="564"/>
      <c r="AQ64" s="564"/>
      <c r="AR64" s="564"/>
      <c r="AS64" s="564" t="s">
        <v>165</v>
      </c>
      <c r="AT64" s="564" t="s">
        <v>162</v>
      </c>
      <c r="AU64" s="564"/>
      <c r="AV64" s="564"/>
      <c r="AW64" s="564"/>
      <c r="AX64" s="564" t="s">
        <v>165</v>
      </c>
    </row>
    <row r="65" spans="2:50" ht="14.25" customHeight="1">
      <c r="B65" s="564"/>
      <c r="C65" s="564"/>
      <c r="D65" s="564"/>
      <c r="E65" s="564" t="s">
        <v>379</v>
      </c>
      <c r="F65" s="564"/>
      <c r="G65" s="564"/>
      <c r="H65" s="564"/>
      <c r="I65" s="628" t="s">
        <v>379</v>
      </c>
      <c r="J65" s="628"/>
      <c r="K65" s="628"/>
      <c r="L65" s="628"/>
      <c r="M65" s="628"/>
      <c r="N65" s="564"/>
      <c r="O65" s="564"/>
      <c r="P65" s="564" t="s">
        <v>380</v>
      </c>
      <c r="Q65" s="564"/>
      <c r="R65" s="564"/>
      <c r="S65" s="564"/>
      <c r="T65" s="564"/>
      <c r="U65" s="564" t="s">
        <v>380</v>
      </c>
      <c r="V65" s="564"/>
      <c r="W65" s="564"/>
      <c r="X65" s="564"/>
      <c r="Y65" s="564"/>
      <c r="Z65" s="564" t="s">
        <v>380</v>
      </c>
      <c r="AA65" s="564"/>
      <c r="AB65" s="564"/>
      <c r="AC65" s="564"/>
      <c r="AD65" s="564"/>
      <c r="AE65" s="564" t="s">
        <v>380</v>
      </c>
      <c r="AF65" s="564"/>
      <c r="AG65" s="564"/>
      <c r="AH65" s="564"/>
      <c r="AI65" s="564"/>
      <c r="AJ65" s="564" t="s">
        <v>380</v>
      </c>
      <c r="AK65" s="564"/>
      <c r="AL65" s="564"/>
      <c r="AM65" s="564"/>
      <c r="AN65" s="564"/>
      <c r="AO65" s="564" t="s">
        <v>380</v>
      </c>
      <c r="AP65" s="564"/>
      <c r="AQ65" s="564"/>
      <c r="AR65" s="564"/>
      <c r="AS65" s="564"/>
      <c r="AT65" s="564" t="s">
        <v>380</v>
      </c>
      <c r="AU65" s="564"/>
      <c r="AV65" s="564"/>
      <c r="AW65" s="564"/>
      <c r="AX65" s="564"/>
    </row>
    <row r="66" spans="2:50" ht="14.25" customHeight="1">
      <c r="B66" s="564"/>
      <c r="C66" s="564"/>
      <c r="D66" s="564"/>
      <c r="E66" s="180" t="s">
        <v>161</v>
      </c>
      <c r="F66" s="180" t="s">
        <v>381</v>
      </c>
      <c r="G66" s="180" t="s">
        <v>163</v>
      </c>
      <c r="H66" s="564"/>
      <c r="I66" s="181" t="s">
        <v>161</v>
      </c>
      <c r="J66" s="181" t="s">
        <v>381</v>
      </c>
      <c r="K66" s="181" t="s">
        <v>163</v>
      </c>
      <c r="L66" s="628"/>
      <c r="M66" s="628"/>
      <c r="N66" s="564"/>
      <c r="O66" s="564"/>
      <c r="P66" s="180" t="s">
        <v>161</v>
      </c>
      <c r="Q66" s="180" t="s">
        <v>381</v>
      </c>
      <c r="R66" s="180" t="s">
        <v>163</v>
      </c>
      <c r="S66" s="182" t="s">
        <v>167</v>
      </c>
      <c r="T66" s="564"/>
      <c r="U66" s="180" t="s">
        <v>161</v>
      </c>
      <c r="V66" s="180" t="s">
        <v>381</v>
      </c>
      <c r="W66" s="180" t="s">
        <v>163</v>
      </c>
      <c r="X66" s="182" t="s">
        <v>167</v>
      </c>
      <c r="Y66" s="564"/>
      <c r="Z66" s="180" t="s">
        <v>161</v>
      </c>
      <c r="AA66" s="180" t="s">
        <v>381</v>
      </c>
      <c r="AB66" s="180" t="s">
        <v>163</v>
      </c>
      <c r="AC66" s="182" t="s">
        <v>167</v>
      </c>
      <c r="AD66" s="564"/>
      <c r="AE66" s="180" t="s">
        <v>161</v>
      </c>
      <c r="AF66" s="180" t="s">
        <v>381</v>
      </c>
      <c r="AG66" s="180" t="s">
        <v>163</v>
      </c>
      <c r="AH66" s="182" t="s">
        <v>167</v>
      </c>
      <c r="AI66" s="564"/>
      <c r="AJ66" s="180" t="s">
        <v>161</v>
      </c>
      <c r="AK66" s="180" t="s">
        <v>381</v>
      </c>
      <c r="AL66" s="180" t="s">
        <v>163</v>
      </c>
      <c r="AM66" s="182" t="s">
        <v>167</v>
      </c>
      <c r="AN66" s="564"/>
      <c r="AO66" s="180" t="s">
        <v>161</v>
      </c>
      <c r="AP66" s="180" t="s">
        <v>381</v>
      </c>
      <c r="AQ66" s="180" t="s">
        <v>163</v>
      </c>
      <c r="AR66" s="182" t="s">
        <v>167</v>
      </c>
      <c r="AS66" s="564"/>
      <c r="AT66" s="180" t="s">
        <v>161</v>
      </c>
      <c r="AU66" s="180" t="s">
        <v>381</v>
      </c>
      <c r="AV66" s="180" t="s">
        <v>163</v>
      </c>
      <c r="AW66" s="182" t="s">
        <v>167</v>
      </c>
      <c r="AX66" s="564"/>
    </row>
    <row r="67" spans="2:50" ht="14.25" customHeight="1">
      <c r="B67" s="564" t="s">
        <v>384</v>
      </c>
      <c r="C67" s="180">
        <v>1</v>
      </c>
      <c r="D67" s="183" t="s">
        <v>537</v>
      </c>
      <c r="E67" s="180">
        <v>6</v>
      </c>
      <c r="F67" s="180">
        <v>3273</v>
      </c>
      <c r="G67" s="185">
        <f t="shared" ref="G67:G68" si="59">F67/E67</f>
        <v>545.5</v>
      </c>
      <c r="H67" s="625">
        <f>AVERAGE(G67:G81)</f>
        <v>545.5</v>
      </c>
      <c r="I67" s="186">
        <f>AVERAGE(P67,U67,Z67,AE67,AJ67,AO67,AT67)</f>
        <v>6</v>
      </c>
      <c r="J67" s="186">
        <f>AVERAGE(Q67,V67,AA67,AF67,AK67,AP67,AU67)</f>
        <v>2965.1164494319478</v>
      </c>
      <c r="K67" s="187">
        <f>AVERAGE(R67,W67,AB67,AG67,AL67,AQ67,AV67)</f>
        <v>494.18607490532474</v>
      </c>
      <c r="L67" s="626">
        <f>IFERROR(AVERAGE(K67:K81),"-")</f>
        <v>494.22807073873304</v>
      </c>
      <c r="M67" s="186">
        <f>RANK(K67, K$67:$K$81)</f>
        <v>2</v>
      </c>
      <c r="N67" s="564"/>
      <c r="O67" s="564"/>
      <c r="P67" s="188">
        <v>6</v>
      </c>
      <c r="Q67" s="188">
        <v>2964.7058823529383</v>
      </c>
      <c r="R67" s="185">
        <f>IFERROR(Q67/P67,"")</f>
        <v>494.11764705882302</v>
      </c>
      <c r="S67" s="182">
        <f>RANK(R67, R$67:R$81)</f>
        <v>2</v>
      </c>
      <c r="T67" s="625">
        <f>AVERAGE(R67:R81)</f>
        <v>494.15400276303319</v>
      </c>
      <c r="U67" s="188">
        <v>6</v>
      </c>
      <c r="V67" s="188">
        <v>2963.8356164383736</v>
      </c>
      <c r="W67" s="185">
        <f t="shared" ref="W67:W68" si="60">IFERROR(V67/U67,"")</f>
        <v>493.97260273972893</v>
      </c>
      <c r="X67" s="182">
        <f>RANK(W67, W$67:W$81)</f>
        <v>2</v>
      </c>
      <c r="Y67" s="625">
        <f>AVERAGE(W67:W81)</f>
        <v>494.06644635576879</v>
      </c>
      <c r="Z67" s="188">
        <v>6</v>
      </c>
      <c r="AA67" s="188">
        <v>2966.0972404730719</v>
      </c>
      <c r="AB67" s="185">
        <f t="shared" ref="AB67:AB68" si="61">IFERROR(AA67/Z67,"")</f>
        <v>494.34954007884534</v>
      </c>
      <c r="AC67" s="182">
        <f>RANK(AB67, AB$67:AB$81)</f>
        <v>1</v>
      </c>
      <c r="AD67" s="625">
        <f>AVERAGE(AB67:AB81)</f>
        <v>494.25536214468588</v>
      </c>
      <c r="AE67" s="188">
        <v>6</v>
      </c>
      <c r="AF67" s="188">
        <v>2964.3243243243219</v>
      </c>
      <c r="AG67" s="185">
        <f>IFERROR(AF67/AE67,"")</f>
        <v>494.05405405405367</v>
      </c>
      <c r="AH67" s="182">
        <f>RANK(AG67, AG$67:AG$81)</f>
        <v>2</v>
      </c>
      <c r="AI67" s="625">
        <f>AVERAGE(AG67:AG81)</f>
        <v>494.16276799838448</v>
      </c>
      <c r="AJ67" s="188">
        <v>6</v>
      </c>
      <c r="AK67" s="188">
        <v>2965.3032440056327</v>
      </c>
      <c r="AL67" s="185">
        <f t="shared" ref="AL67:AL68" si="62">IFERROR(AK67/AJ67,"")</f>
        <v>494.21720733427213</v>
      </c>
      <c r="AM67" s="182">
        <f>RANK(AL67, AL$67:AL$81)</f>
        <v>2</v>
      </c>
      <c r="AN67" s="625">
        <f>AVERAGE(AL67:AL81)</f>
        <v>494.2749656415416</v>
      </c>
      <c r="AO67" s="188">
        <v>6</v>
      </c>
      <c r="AP67" s="188">
        <v>2965.6160458452841</v>
      </c>
      <c r="AQ67" s="185">
        <f t="shared" ref="AQ67:AQ68" si="63">IFERROR(AP67/AO67,"")</f>
        <v>494.269340974214</v>
      </c>
      <c r="AR67" s="182">
        <f>RANK(AQ67, AQ$67:AQ$81)</f>
        <v>2</v>
      </c>
      <c r="AS67" s="625">
        <f>AVERAGE(AQ67:AQ81)</f>
        <v>494.29836578694471</v>
      </c>
      <c r="AT67" s="188">
        <v>6</v>
      </c>
      <c r="AU67" s="188">
        <v>2965.932792584013</v>
      </c>
      <c r="AV67" s="185">
        <f t="shared" ref="AV67:AV68" si="64">IFERROR(AU67/AT67,"")</f>
        <v>494.3221320973355</v>
      </c>
      <c r="AW67" s="182">
        <f>RANK(AV67, AV$67:AV$81)</f>
        <v>2</v>
      </c>
      <c r="AX67" s="625">
        <f>AVERAGE(AV67:AV81)</f>
        <v>494.38458448077211</v>
      </c>
    </row>
    <row r="68" spans="2:50" ht="14.25" customHeight="1">
      <c r="B68" s="564"/>
      <c r="C68" s="180">
        <v>2</v>
      </c>
      <c r="D68" s="183" t="s">
        <v>609</v>
      </c>
      <c r="E68" s="180">
        <v>6</v>
      </c>
      <c r="F68" s="180">
        <v>3273</v>
      </c>
      <c r="G68" s="185">
        <f t="shared" si="59"/>
        <v>545.5</v>
      </c>
      <c r="H68" s="625"/>
      <c r="I68" s="186">
        <f t="shared" ref="I68:K68" si="65">AVERAGE(P68,U68,Z68,AE68,AJ68,AO68,AT68)</f>
        <v>6</v>
      </c>
      <c r="J68" s="186">
        <f t="shared" si="65"/>
        <v>2965.6203994328475</v>
      </c>
      <c r="K68" s="187">
        <f t="shared" si="65"/>
        <v>494.27006657214133</v>
      </c>
      <c r="L68" s="626"/>
      <c r="M68" s="186">
        <f>RANK(K68, K$67:$K$81)</f>
        <v>1</v>
      </c>
      <c r="N68" s="564"/>
      <c r="O68" s="564"/>
      <c r="P68" s="188">
        <v>6</v>
      </c>
      <c r="Q68" s="188">
        <v>2965.1421508034605</v>
      </c>
      <c r="R68" s="185">
        <f t="shared" ref="R68" si="66">IFERROR(Q68/P68,"")</f>
        <v>494.19035846724341</v>
      </c>
      <c r="S68" s="182">
        <f>RANK(R68, R$67:R$81)</f>
        <v>1</v>
      </c>
      <c r="T68" s="625"/>
      <c r="U68" s="188">
        <v>6</v>
      </c>
      <c r="V68" s="188">
        <v>2964.9617398308524</v>
      </c>
      <c r="W68" s="185">
        <f t="shared" si="60"/>
        <v>494.16028997180871</v>
      </c>
      <c r="X68" s="182">
        <f>RANK(W68, W$67:W$81)</f>
        <v>1</v>
      </c>
      <c r="Y68" s="625"/>
      <c r="Z68" s="188">
        <v>6</v>
      </c>
      <c r="AA68" s="188">
        <v>2964.9671052631584</v>
      </c>
      <c r="AB68" s="185">
        <f t="shared" si="61"/>
        <v>494.16118421052641</v>
      </c>
      <c r="AC68" s="182">
        <f>RANK(AB68, AB$67:AB$81)</f>
        <v>2</v>
      </c>
      <c r="AD68" s="625"/>
      <c r="AE68" s="188">
        <v>6</v>
      </c>
      <c r="AF68" s="188">
        <v>2965.6288916562917</v>
      </c>
      <c r="AG68" s="185">
        <f t="shared" ref="AG68" si="67">IFERROR(AF68/AE68,"")</f>
        <v>494.2714819427153</v>
      </c>
      <c r="AH68" s="182">
        <f>RANK(AG68, AG$67:AG$81)</f>
        <v>1</v>
      </c>
      <c r="AI68" s="625"/>
      <c r="AJ68" s="188">
        <v>6</v>
      </c>
      <c r="AK68" s="188">
        <v>2965.996343692866</v>
      </c>
      <c r="AL68" s="185">
        <f t="shared" si="62"/>
        <v>494.33272394881101</v>
      </c>
      <c r="AM68" s="182">
        <f>RANK(AL68, AL$67:AL$81)</f>
        <v>1</v>
      </c>
      <c r="AN68" s="625"/>
      <c r="AO68" s="188">
        <v>6</v>
      </c>
      <c r="AP68" s="188">
        <v>2965.9643435980529</v>
      </c>
      <c r="AQ68" s="185">
        <f t="shared" si="63"/>
        <v>494.32739059967548</v>
      </c>
      <c r="AR68" s="182">
        <f>RANK(AQ68, AQ$67:AQ$81)</f>
        <v>1</v>
      </c>
      <c r="AS68" s="625"/>
      <c r="AT68" s="188">
        <v>6</v>
      </c>
      <c r="AU68" s="188">
        <v>2966.6822211852527</v>
      </c>
      <c r="AV68" s="185">
        <f t="shared" si="64"/>
        <v>494.44703686420877</v>
      </c>
      <c r="AW68" s="182">
        <f>RANK(AV68, AV$67:AV$81)</f>
        <v>1</v>
      </c>
      <c r="AX68" s="625"/>
    </row>
    <row r="69" spans="2:50" ht="14.25" customHeight="1">
      <c r="B69" s="564"/>
      <c r="C69" s="180">
        <v>3</v>
      </c>
      <c r="D69" s="183"/>
      <c r="E69" s="180"/>
      <c r="F69" s="180"/>
      <c r="G69" s="185"/>
      <c r="H69" s="625"/>
      <c r="I69" s="186"/>
      <c r="J69" s="186"/>
      <c r="K69" s="187"/>
      <c r="L69" s="626"/>
      <c r="M69" s="186"/>
      <c r="N69" s="564"/>
      <c r="O69" s="564"/>
      <c r="P69" s="188"/>
      <c r="Q69" s="188"/>
      <c r="R69" s="185"/>
      <c r="S69" s="182"/>
      <c r="T69" s="625"/>
      <c r="U69" s="188"/>
      <c r="V69" s="188"/>
      <c r="W69" s="185"/>
      <c r="X69" s="182"/>
      <c r="Y69" s="625"/>
      <c r="Z69" s="188"/>
      <c r="AA69" s="188"/>
      <c r="AB69" s="185"/>
      <c r="AC69" s="182"/>
      <c r="AD69" s="625"/>
      <c r="AE69" s="188"/>
      <c r="AF69" s="188"/>
      <c r="AG69" s="185"/>
      <c r="AH69" s="182"/>
      <c r="AI69" s="625"/>
      <c r="AJ69" s="188"/>
      <c r="AK69" s="188"/>
      <c r="AL69" s="185"/>
      <c r="AM69" s="182"/>
      <c r="AN69" s="625"/>
      <c r="AO69" s="188"/>
      <c r="AP69" s="188"/>
      <c r="AQ69" s="185"/>
      <c r="AR69" s="182"/>
      <c r="AS69" s="625"/>
      <c r="AT69" s="188"/>
      <c r="AU69" s="188"/>
      <c r="AV69" s="185"/>
      <c r="AW69" s="182"/>
      <c r="AX69" s="625"/>
    </row>
    <row r="70" spans="2:50" ht="14.25" customHeight="1">
      <c r="B70" s="564"/>
      <c r="C70" s="180">
        <v>4</v>
      </c>
      <c r="D70" s="183"/>
      <c r="E70" s="180"/>
      <c r="F70" s="180"/>
      <c r="G70" s="185"/>
      <c r="H70" s="625"/>
      <c r="I70" s="186"/>
      <c r="J70" s="186"/>
      <c r="K70" s="187"/>
      <c r="L70" s="626"/>
      <c r="M70" s="186"/>
      <c r="N70" s="564"/>
      <c r="O70" s="564"/>
      <c r="P70" s="188"/>
      <c r="Q70" s="188"/>
      <c r="R70" s="185"/>
      <c r="S70" s="182"/>
      <c r="T70" s="625"/>
      <c r="U70" s="188"/>
      <c r="V70" s="188"/>
      <c r="W70" s="185"/>
      <c r="X70" s="182"/>
      <c r="Y70" s="625"/>
      <c r="Z70" s="188"/>
      <c r="AA70" s="188"/>
      <c r="AB70" s="185"/>
      <c r="AC70" s="182"/>
      <c r="AD70" s="625"/>
      <c r="AE70" s="188"/>
      <c r="AF70" s="188"/>
      <c r="AG70" s="185"/>
      <c r="AH70" s="182"/>
      <c r="AI70" s="625"/>
      <c r="AJ70" s="188"/>
      <c r="AK70" s="188"/>
      <c r="AL70" s="185"/>
      <c r="AM70" s="182"/>
      <c r="AN70" s="625"/>
      <c r="AO70" s="188"/>
      <c r="AP70" s="188"/>
      <c r="AQ70" s="185"/>
      <c r="AR70" s="182"/>
      <c r="AS70" s="625"/>
      <c r="AT70" s="188"/>
      <c r="AU70" s="188"/>
      <c r="AV70" s="185"/>
      <c r="AW70" s="182"/>
      <c r="AX70" s="625"/>
    </row>
    <row r="71" spans="2:50" ht="14.25" customHeight="1">
      <c r="B71" s="564"/>
      <c r="C71" s="180">
        <v>5</v>
      </c>
      <c r="D71" s="183"/>
      <c r="E71" s="180"/>
      <c r="F71" s="180"/>
      <c r="G71" s="185"/>
      <c r="H71" s="625"/>
      <c r="I71" s="186"/>
      <c r="J71" s="186"/>
      <c r="K71" s="187"/>
      <c r="L71" s="626"/>
      <c r="M71" s="186"/>
      <c r="N71" s="564"/>
      <c r="O71" s="564"/>
      <c r="P71" s="188"/>
      <c r="Q71" s="188"/>
      <c r="R71" s="185"/>
      <c r="S71" s="182"/>
      <c r="T71" s="625"/>
      <c r="U71" s="188"/>
      <c r="V71" s="188"/>
      <c r="W71" s="185"/>
      <c r="X71" s="182"/>
      <c r="Y71" s="625"/>
      <c r="Z71" s="188"/>
      <c r="AA71" s="188"/>
      <c r="AB71" s="185"/>
      <c r="AC71" s="182"/>
      <c r="AD71" s="625"/>
      <c r="AE71" s="188"/>
      <c r="AF71" s="188"/>
      <c r="AG71" s="185"/>
      <c r="AH71" s="182"/>
      <c r="AI71" s="625"/>
      <c r="AJ71" s="188"/>
      <c r="AK71" s="188"/>
      <c r="AL71" s="185"/>
      <c r="AM71" s="182"/>
      <c r="AN71" s="625"/>
      <c r="AO71" s="188"/>
      <c r="AP71" s="188"/>
      <c r="AQ71" s="185"/>
      <c r="AR71" s="182"/>
      <c r="AS71" s="625"/>
      <c r="AT71" s="188"/>
      <c r="AU71" s="188"/>
      <c r="AV71" s="185"/>
      <c r="AW71" s="182"/>
      <c r="AX71" s="625"/>
    </row>
    <row r="72" spans="2:50" ht="14.25" customHeight="1">
      <c r="B72" s="564"/>
      <c r="C72" s="180">
        <v>6</v>
      </c>
      <c r="D72" s="183"/>
      <c r="E72" s="180"/>
      <c r="F72" s="180"/>
      <c r="G72" s="185"/>
      <c r="H72" s="625"/>
      <c r="I72" s="186"/>
      <c r="J72" s="186"/>
      <c r="K72" s="187"/>
      <c r="L72" s="626"/>
      <c r="M72" s="186"/>
      <c r="N72" s="564"/>
      <c r="O72" s="564"/>
      <c r="P72" s="188"/>
      <c r="Q72" s="188"/>
      <c r="R72" s="185"/>
      <c r="S72" s="182"/>
      <c r="T72" s="625"/>
      <c r="U72" s="188"/>
      <c r="V72" s="188"/>
      <c r="W72" s="185"/>
      <c r="X72" s="182"/>
      <c r="Y72" s="625"/>
      <c r="Z72" s="188"/>
      <c r="AA72" s="188"/>
      <c r="AB72" s="185"/>
      <c r="AC72" s="182"/>
      <c r="AD72" s="625"/>
      <c r="AE72" s="188"/>
      <c r="AF72" s="188"/>
      <c r="AG72" s="185"/>
      <c r="AH72" s="182"/>
      <c r="AI72" s="625"/>
      <c r="AJ72" s="188"/>
      <c r="AK72" s="188"/>
      <c r="AL72" s="185"/>
      <c r="AM72" s="182"/>
      <c r="AN72" s="625"/>
      <c r="AO72" s="188"/>
      <c r="AP72" s="188"/>
      <c r="AQ72" s="185"/>
      <c r="AR72" s="182"/>
      <c r="AS72" s="625"/>
      <c r="AT72" s="188"/>
      <c r="AU72" s="188"/>
      <c r="AV72" s="185"/>
      <c r="AW72" s="182"/>
      <c r="AX72" s="625"/>
    </row>
    <row r="73" spans="2:50" ht="14.25" customHeight="1">
      <c r="B73" s="564"/>
      <c r="C73" s="180">
        <v>7</v>
      </c>
      <c r="D73" s="183"/>
      <c r="E73" s="180"/>
      <c r="F73" s="180"/>
      <c r="G73" s="185"/>
      <c r="H73" s="625"/>
      <c r="I73" s="186"/>
      <c r="J73" s="186"/>
      <c r="K73" s="187"/>
      <c r="L73" s="626"/>
      <c r="M73" s="186"/>
      <c r="N73" s="564"/>
      <c r="O73" s="564"/>
      <c r="P73" s="188"/>
      <c r="Q73" s="188"/>
      <c r="R73" s="185"/>
      <c r="S73" s="182"/>
      <c r="T73" s="625"/>
      <c r="U73" s="188"/>
      <c r="V73" s="188"/>
      <c r="W73" s="185"/>
      <c r="X73" s="182"/>
      <c r="Y73" s="625"/>
      <c r="Z73" s="188"/>
      <c r="AA73" s="188"/>
      <c r="AB73" s="185"/>
      <c r="AC73" s="182"/>
      <c r="AD73" s="625"/>
      <c r="AE73" s="188"/>
      <c r="AF73" s="188"/>
      <c r="AG73" s="185"/>
      <c r="AH73" s="182"/>
      <c r="AI73" s="625"/>
      <c r="AJ73" s="188"/>
      <c r="AK73" s="188"/>
      <c r="AL73" s="185"/>
      <c r="AM73" s="182"/>
      <c r="AN73" s="625"/>
      <c r="AO73" s="188"/>
      <c r="AP73" s="188"/>
      <c r="AQ73" s="185"/>
      <c r="AR73" s="182"/>
      <c r="AS73" s="625"/>
      <c r="AT73" s="188"/>
      <c r="AU73" s="188"/>
      <c r="AV73" s="185"/>
      <c r="AW73" s="182"/>
      <c r="AX73" s="625"/>
    </row>
    <row r="74" spans="2:50" ht="14.25" customHeight="1">
      <c r="B74" s="564"/>
      <c r="C74" s="180">
        <v>8</v>
      </c>
      <c r="D74" s="183"/>
      <c r="E74" s="180"/>
      <c r="F74" s="180"/>
      <c r="G74" s="185"/>
      <c r="H74" s="625"/>
      <c r="I74" s="186"/>
      <c r="J74" s="186"/>
      <c r="K74" s="187"/>
      <c r="L74" s="626"/>
      <c r="M74" s="186"/>
      <c r="N74" s="564"/>
      <c r="O74" s="564"/>
      <c r="P74" s="188"/>
      <c r="Q74" s="188"/>
      <c r="R74" s="185"/>
      <c r="S74" s="182"/>
      <c r="T74" s="625"/>
      <c r="U74" s="188"/>
      <c r="V74" s="188"/>
      <c r="W74" s="185"/>
      <c r="X74" s="182"/>
      <c r="Y74" s="625"/>
      <c r="Z74" s="188"/>
      <c r="AA74" s="188"/>
      <c r="AB74" s="185"/>
      <c r="AC74" s="182"/>
      <c r="AD74" s="625"/>
      <c r="AE74" s="188"/>
      <c r="AF74" s="188"/>
      <c r="AG74" s="185"/>
      <c r="AH74" s="182"/>
      <c r="AI74" s="625"/>
      <c r="AJ74" s="188"/>
      <c r="AK74" s="188"/>
      <c r="AL74" s="185"/>
      <c r="AM74" s="182"/>
      <c r="AN74" s="625"/>
      <c r="AO74" s="188"/>
      <c r="AP74" s="188"/>
      <c r="AQ74" s="185"/>
      <c r="AR74" s="182"/>
      <c r="AS74" s="625"/>
      <c r="AT74" s="188"/>
      <c r="AU74" s="188"/>
      <c r="AV74" s="185"/>
      <c r="AW74" s="182"/>
      <c r="AX74" s="625"/>
    </row>
    <row r="75" spans="2:50" ht="14.25" customHeight="1">
      <c r="B75" s="564"/>
      <c r="C75" s="180">
        <v>9</v>
      </c>
      <c r="D75" s="183"/>
      <c r="E75" s="180"/>
      <c r="F75" s="180"/>
      <c r="G75" s="185"/>
      <c r="H75" s="625"/>
      <c r="I75" s="186"/>
      <c r="J75" s="186"/>
      <c r="K75" s="187"/>
      <c r="L75" s="626"/>
      <c r="M75" s="186"/>
      <c r="N75" s="564"/>
      <c r="O75" s="564"/>
      <c r="P75" s="188"/>
      <c r="Q75" s="188"/>
      <c r="R75" s="185"/>
      <c r="S75" s="182"/>
      <c r="T75" s="625"/>
      <c r="U75" s="188"/>
      <c r="V75" s="188"/>
      <c r="W75" s="185"/>
      <c r="X75" s="182"/>
      <c r="Y75" s="625"/>
      <c r="Z75" s="188"/>
      <c r="AA75" s="188"/>
      <c r="AB75" s="185"/>
      <c r="AC75" s="182"/>
      <c r="AD75" s="625"/>
      <c r="AE75" s="188"/>
      <c r="AF75" s="188"/>
      <c r="AG75" s="185"/>
      <c r="AH75" s="182"/>
      <c r="AI75" s="625"/>
      <c r="AJ75" s="188"/>
      <c r="AK75" s="188"/>
      <c r="AL75" s="185"/>
      <c r="AM75" s="182"/>
      <c r="AN75" s="625"/>
      <c r="AO75" s="188"/>
      <c r="AP75" s="188"/>
      <c r="AQ75" s="185"/>
      <c r="AR75" s="182"/>
      <c r="AS75" s="625"/>
      <c r="AT75" s="188"/>
      <c r="AU75" s="188"/>
      <c r="AV75" s="185"/>
      <c r="AW75" s="182"/>
      <c r="AX75" s="625"/>
    </row>
    <row r="76" spans="2:50" ht="14.25" customHeight="1">
      <c r="B76" s="564"/>
      <c r="C76" s="180">
        <v>10</v>
      </c>
      <c r="D76" s="183"/>
      <c r="E76" s="180"/>
      <c r="F76" s="180"/>
      <c r="G76" s="185"/>
      <c r="H76" s="625"/>
      <c r="I76" s="186"/>
      <c r="J76" s="186"/>
      <c r="K76" s="187"/>
      <c r="L76" s="626"/>
      <c r="M76" s="186"/>
      <c r="N76" s="564"/>
      <c r="O76" s="564"/>
      <c r="P76" s="188"/>
      <c r="Q76" s="188"/>
      <c r="R76" s="185"/>
      <c r="S76" s="182"/>
      <c r="T76" s="625"/>
      <c r="U76" s="188"/>
      <c r="V76" s="188"/>
      <c r="W76" s="185"/>
      <c r="X76" s="182"/>
      <c r="Y76" s="625"/>
      <c r="Z76" s="188"/>
      <c r="AA76" s="188"/>
      <c r="AB76" s="185"/>
      <c r="AC76" s="182"/>
      <c r="AD76" s="625"/>
      <c r="AE76" s="188"/>
      <c r="AF76" s="188"/>
      <c r="AG76" s="185"/>
      <c r="AH76" s="182"/>
      <c r="AI76" s="625"/>
      <c r="AJ76" s="188"/>
      <c r="AK76" s="188"/>
      <c r="AL76" s="185"/>
      <c r="AM76" s="182"/>
      <c r="AN76" s="625"/>
      <c r="AO76" s="188"/>
      <c r="AP76" s="188"/>
      <c r="AQ76" s="185"/>
      <c r="AR76" s="182"/>
      <c r="AS76" s="625"/>
      <c r="AT76" s="188"/>
      <c r="AU76" s="188"/>
      <c r="AV76" s="185"/>
      <c r="AW76" s="182"/>
      <c r="AX76" s="625"/>
    </row>
    <row r="77" spans="2:50" ht="14.25" customHeight="1">
      <c r="B77" s="564"/>
      <c r="C77" s="180">
        <v>11</v>
      </c>
      <c r="D77" s="183"/>
      <c r="E77" s="180"/>
      <c r="F77" s="180"/>
      <c r="G77" s="185"/>
      <c r="H77" s="625"/>
      <c r="I77" s="186"/>
      <c r="J77" s="186"/>
      <c r="K77" s="187"/>
      <c r="L77" s="626"/>
      <c r="M77" s="186"/>
      <c r="N77" s="564"/>
      <c r="O77" s="564"/>
      <c r="P77" s="188"/>
      <c r="Q77" s="188"/>
      <c r="R77" s="185"/>
      <c r="S77" s="182"/>
      <c r="T77" s="625"/>
      <c r="U77" s="188"/>
      <c r="V77" s="188"/>
      <c r="W77" s="185"/>
      <c r="X77" s="182"/>
      <c r="Y77" s="625"/>
      <c r="Z77" s="188"/>
      <c r="AA77" s="188"/>
      <c r="AB77" s="185"/>
      <c r="AC77" s="182"/>
      <c r="AD77" s="625"/>
      <c r="AE77" s="188"/>
      <c r="AF77" s="188"/>
      <c r="AG77" s="185"/>
      <c r="AH77" s="182"/>
      <c r="AI77" s="625"/>
      <c r="AJ77" s="188"/>
      <c r="AK77" s="188"/>
      <c r="AL77" s="185"/>
      <c r="AM77" s="182"/>
      <c r="AN77" s="625"/>
      <c r="AO77" s="188"/>
      <c r="AP77" s="188"/>
      <c r="AQ77" s="185"/>
      <c r="AR77" s="182"/>
      <c r="AS77" s="625"/>
      <c r="AT77" s="188"/>
      <c r="AU77" s="188"/>
      <c r="AV77" s="185"/>
      <c r="AW77" s="182"/>
      <c r="AX77" s="625"/>
    </row>
    <row r="78" spans="2:50" ht="14.25" customHeight="1">
      <c r="B78" s="564"/>
      <c r="C78" s="180">
        <v>12</v>
      </c>
      <c r="D78" s="183"/>
      <c r="E78" s="180"/>
      <c r="F78" s="180"/>
      <c r="G78" s="185"/>
      <c r="H78" s="625"/>
      <c r="I78" s="186"/>
      <c r="J78" s="186"/>
      <c r="K78" s="187"/>
      <c r="L78" s="626"/>
      <c r="M78" s="186"/>
      <c r="N78" s="564"/>
      <c r="O78" s="564"/>
      <c r="P78" s="188"/>
      <c r="Q78" s="188"/>
      <c r="R78" s="185"/>
      <c r="S78" s="182"/>
      <c r="T78" s="625"/>
      <c r="U78" s="188"/>
      <c r="V78" s="188"/>
      <c r="W78" s="185"/>
      <c r="X78" s="182"/>
      <c r="Y78" s="625"/>
      <c r="Z78" s="188"/>
      <c r="AA78" s="188"/>
      <c r="AB78" s="185"/>
      <c r="AC78" s="182"/>
      <c r="AD78" s="625"/>
      <c r="AE78" s="188"/>
      <c r="AF78" s="188"/>
      <c r="AG78" s="185"/>
      <c r="AH78" s="182"/>
      <c r="AI78" s="625"/>
      <c r="AJ78" s="188"/>
      <c r="AK78" s="188"/>
      <c r="AL78" s="185"/>
      <c r="AM78" s="182"/>
      <c r="AN78" s="625"/>
      <c r="AO78" s="188"/>
      <c r="AP78" s="188"/>
      <c r="AQ78" s="185"/>
      <c r="AR78" s="182"/>
      <c r="AS78" s="625"/>
      <c r="AT78" s="188"/>
      <c r="AU78" s="188"/>
      <c r="AV78" s="185"/>
      <c r="AW78" s="182"/>
      <c r="AX78" s="625"/>
    </row>
    <row r="79" spans="2:50" ht="14.25" customHeight="1">
      <c r="B79" s="564"/>
      <c r="C79" s="180">
        <v>13</v>
      </c>
      <c r="D79" s="183"/>
      <c r="E79" s="180"/>
      <c r="F79" s="180"/>
      <c r="G79" s="185"/>
      <c r="H79" s="625"/>
      <c r="I79" s="186"/>
      <c r="J79" s="186"/>
      <c r="K79" s="187"/>
      <c r="L79" s="626"/>
      <c r="M79" s="186"/>
      <c r="N79" s="564"/>
      <c r="O79" s="564"/>
      <c r="P79" s="188"/>
      <c r="Q79" s="188"/>
      <c r="R79" s="185"/>
      <c r="S79" s="182"/>
      <c r="T79" s="625"/>
      <c r="U79" s="188"/>
      <c r="V79" s="188"/>
      <c r="W79" s="185"/>
      <c r="X79" s="182"/>
      <c r="Y79" s="625"/>
      <c r="Z79" s="188"/>
      <c r="AA79" s="188"/>
      <c r="AB79" s="185"/>
      <c r="AC79" s="182"/>
      <c r="AD79" s="625"/>
      <c r="AE79" s="188"/>
      <c r="AF79" s="188"/>
      <c r="AG79" s="185"/>
      <c r="AH79" s="182"/>
      <c r="AI79" s="625"/>
      <c r="AJ79" s="188"/>
      <c r="AK79" s="188"/>
      <c r="AL79" s="185"/>
      <c r="AM79" s="182"/>
      <c r="AN79" s="625"/>
      <c r="AO79" s="188"/>
      <c r="AP79" s="188"/>
      <c r="AQ79" s="185"/>
      <c r="AR79" s="182"/>
      <c r="AS79" s="625"/>
      <c r="AT79" s="188"/>
      <c r="AU79" s="188"/>
      <c r="AV79" s="185"/>
      <c r="AW79" s="182"/>
      <c r="AX79" s="625"/>
    </row>
    <row r="80" spans="2:50" ht="14.25" customHeight="1">
      <c r="B80" s="564"/>
      <c r="C80" s="180">
        <v>14</v>
      </c>
      <c r="D80" s="183"/>
      <c r="E80" s="180"/>
      <c r="F80" s="180"/>
      <c r="G80" s="185"/>
      <c r="H80" s="625"/>
      <c r="I80" s="186"/>
      <c r="J80" s="186"/>
      <c r="K80" s="187"/>
      <c r="L80" s="626"/>
      <c r="M80" s="186"/>
      <c r="N80" s="564"/>
      <c r="O80" s="564"/>
      <c r="P80" s="188"/>
      <c r="Q80" s="188"/>
      <c r="R80" s="185"/>
      <c r="S80" s="182"/>
      <c r="T80" s="625"/>
      <c r="U80" s="188"/>
      <c r="V80" s="188"/>
      <c r="W80" s="185"/>
      <c r="X80" s="182"/>
      <c r="Y80" s="625"/>
      <c r="Z80" s="188"/>
      <c r="AA80" s="188"/>
      <c r="AB80" s="185"/>
      <c r="AC80" s="182"/>
      <c r="AD80" s="625"/>
      <c r="AE80" s="188"/>
      <c r="AF80" s="188"/>
      <c r="AG80" s="185"/>
      <c r="AH80" s="182"/>
      <c r="AI80" s="625"/>
      <c r="AJ80" s="188"/>
      <c r="AK80" s="188"/>
      <c r="AL80" s="185"/>
      <c r="AM80" s="182"/>
      <c r="AN80" s="625"/>
      <c r="AO80" s="188"/>
      <c r="AP80" s="188"/>
      <c r="AQ80" s="185"/>
      <c r="AR80" s="182"/>
      <c r="AS80" s="625"/>
      <c r="AT80" s="188"/>
      <c r="AU80" s="188"/>
      <c r="AV80" s="185"/>
      <c r="AW80" s="182"/>
      <c r="AX80" s="625"/>
    </row>
    <row r="81" spans="2:50" ht="14.25" customHeight="1">
      <c r="B81" s="564"/>
      <c r="C81" s="180">
        <v>15</v>
      </c>
      <c r="D81" s="183"/>
      <c r="E81" s="180"/>
      <c r="F81" s="180"/>
      <c r="G81" s="185"/>
      <c r="H81" s="625"/>
      <c r="I81" s="186"/>
      <c r="J81" s="186"/>
      <c r="K81" s="187"/>
      <c r="L81" s="626"/>
      <c r="M81" s="186"/>
      <c r="N81" s="564"/>
      <c r="O81" s="564"/>
      <c r="P81" s="188"/>
      <c r="Q81" s="188"/>
      <c r="R81" s="185"/>
      <c r="S81" s="182"/>
      <c r="T81" s="625"/>
      <c r="U81" s="188"/>
      <c r="V81" s="188"/>
      <c r="W81" s="185"/>
      <c r="X81" s="182"/>
      <c r="Y81" s="625"/>
      <c r="Z81" s="188"/>
      <c r="AA81" s="188"/>
      <c r="AB81" s="185"/>
      <c r="AC81" s="182"/>
      <c r="AD81" s="625"/>
      <c r="AE81" s="188"/>
      <c r="AF81" s="188"/>
      <c r="AG81" s="185"/>
      <c r="AH81" s="182"/>
      <c r="AI81" s="625"/>
      <c r="AJ81" s="188"/>
      <c r="AK81" s="188"/>
      <c r="AL81" s="185"/>
      <c r="AM81" s="182"/>
      <c r="AN81" s="625"/>
      <c r="AO81" s="188"/>
      <c r="AP81" s="188"/>
      <c r="AQ81" s="185"/>
      <c r="AR81" s="182"/>
      <c r="AS81" s="625"/>
      <c r="AT81" s="188"/>
      <c r="AU81" s="188"/>
      <c r="AV81" s="185"/>
      <c r="AW81" s="182"/>
      <c r="AX81" s="625"/>
    </row>
    <row r="82" spans="2:50" ht="14.25" customHeight="1" collapsed="1">
      <c r="B82" s="641" t="s">
        <v>645</v>
      </c>
      <c r="C82" s="642"/>
      <c r="D82" s="642"/>
      <c r="E82" s="642"/>
      <c r="F82" s="642"/>
      <c r="G82" s="642"/>
      <c r="H82" s="642"/>
      <c r="I82" s="642"/>
      <c r="J82" s="642"/>
      <c r="K82" s="642"/>
      <c r="L82" s="642"/>
      <c r="M82" s="643"/>
      <c r="N82" s="575" t="s">
        <v>377</v>
      </c>
      <c r="O82" s="575" t="s">
        <v>105</v>
      </c>
      <c r="P82" s="655">
        <f>AT62+1</f>
        <v>46105</v>
      </c>
      <c r="Q82" s="656"/>
      <c r="R82" s="656"/>
      <c r="S82" s="656"/>
      <c r="T82" s="656"/>
      <c r="U82" s="657">
        <f>P82+1</f>
        <v>46106</v>
      </c>
      <c r="V82" s="658"/>
      <c r="W82" s="658"/>
      <c r="X82" s="658"/>
      <c r="Y82" s="658"/>
      <c r="Z82" s="655">
        <f t="shared" ref="Z82" si="68">U82+1</f>
        <v>46107</v>
      </c>
      <c r="AA82" s="656"/>
      <c r="AB82" s="656"/>
      <c r="AC82" s="656"/>
      <c r="AD82" s="656"/>
      <c r="AE82" s="657">
        <f t="shared" ref="AE82" si="69">Z82+1</f>
        <v>46108</v>
      </c>
      <c r="AF82" s="658"/>
      <c r="AG82" s="658"/>
      <c r="AH82" s="658"/>
      <c r="AI82" s="658"/>
      <c r="AJ82" s="647">
        <f t="shared" ref="AJ82" si="70">AE82+1</f>
        <v>46109</v>
      </c>
      <c r="AK82" s="648"/>
      <c r="AL82" s="648"/>
      <c r="AM82" s="648"/>
      <c r="AN82" s="649"/>
      <c r="AO82" s="657">
        <f t="shared" ref="AO82" si="71">AJ82+1</f>
        <v>46110</v>
      </c>
      <c r="AP82" s="658"/>
      <c r="AQ82" s="658"/>
      <c r="AR82" s="658"/>
      <c r="AS82" s="658"/>
      <c r="AT82" s="647">
        <f t="shared" ref="AT82" si="72">AO82+1</f>
        <v>46111</v>
      </c>
      <c r="AU82" s="648"/>
      <c r="AV82" s="648"/>
      <c r="AW82" s="648"/>
      <c r="AX82" s="649"/>
    </row>
    <row r="83" spans="2:50" ht="14.25" customHeight="1">
      <c r="B83" s="644"/>
      <c r="C83" s="644"/>
      <c r="D83" s="644"/>
      <c r="E83" s="644"/>
      <c r="F83" s="644"/>
      <c r="G83" s="644"/>
      <c r="H83" s="644"/>
      <c r="I83" s="644"/>
      <c r="J83" s="644"/>
      <c r="K83" s="644"/>
      <c r="L83" s="644"/>
      <c r="M83" s="645"/>
      <c r="N83" s="577"/>
      <c r="O83" s="577"/>
      <c r="P83" s="650">
        <f>P82</f>
        <v>46105</v>
      </c>
      <c r="Q83" s="650"/>
      <c r="R83" s="650"/>
      <c r="S83" s="650"/>
      <c r="T83" s="650"/>
      <c r="U83" s="651">
        <f>U82</f>
        <v>46106</v>
      </c>
      <c r="V83" s="651"/>
      <c r="W83" s="651"/>
      <c r="X83" s="651"/>
      <c r="Y83" s="651"/>
      <c r="Z83" s="650">
        <f t="shared" ref="Z83" si="73">Z82</f>
        <v>46107</v>
      </c>
      <c r="AA83" s="650"/>
      <c r="AB83" s="650"/>
      <c r="AC83" s="650"/>
      <c r="AD83" s="650"/>
      <c r="AE83" s="651">
        <f t="shared" ref="AE83" si="74">AE82</f>
        <v>46108</v>
      </c>
      <c r="AF83" s="651"/>
      <c r="AG83" s="651"/>
      <c r="AH83" s="651"/>
      <c r="AI83" s="651"/>
      <c r="AJ83" s="652">
        <f t="shared" ref="AJ83" si="75">AJ82</f>
        <v>46109</v>
      </c>
      <c r="AK83" s="653"/>
      <c r="AL83" s="653"/>
      <c r="AM83" s="653"/>
      <c r="AN83" s="654"/>
      <c r="AO83" s="651">
        <f t="shared" ref="AO83" si="76">AO82</f>
        <v>46110</v>
      </c>
      <c r="AP83" s="651"/>
      <c r="AQ83" s="651"/>
      <c r="AR83" s="651"/>
      <c r="AS83" s="651"/>
      <c r="AT83" s="652">
        <f t="shared" ref="AT83" si="77">AT82</f>
        <v>46111</v>
      </c>
      <c r="AU83" s="653"/>
      <c r="AV83" s="653"/>
      <c r="AW83" s="653"/>
      <c r="AX83" s="654"/>
    </row>
    <row r="84" spans="2:50" ht="14.25" customHeight="1">
      <c r="B84" s="564" t="s">
        <v>164</v>
      </c>
      <c r="C84" s="564" t="s">
        <v>159</v>
      </c>
      <c r="D84" s="564"/>
      <c r="E84" s="564" t="s">
        <v>160</v>
      </c>
      <c r="F84" s="564"/>
      <c r="G84" s="564"/>
      <c r="H84" s="564" t="s">
        <v>165</v>
      </c>
      <c r="I84" s="628" t="s">
        <v>378</v>
      </c>
      <c r="J84" s="628"/>
      <c r="K84" s="628"/>
      <c r="L84" s="628" t="s">
        <v>165</v>
      </c>
      <c r="M84" s="628" t="s">
        <v>167</v>
      </c>
      <c r="N84" s="564"/>
      <c r="O84" s="564" t="s">
        <v>166</v>
      </c>
      <c r="P84" s="564" t="s">
        <v>162</v>
      </c>
      <c r="Q84" s="564"/>
      <c r="R84" s="564"/>
      <c r="S84" s="564"/>
      <c r="T84" s="564" t="s">
        <v>165</v>
      </c>
      <c r="U84" s="564" t="s">
        <v>162</v>
      </c>
      <c r="V84" s="564"/>
      <c r="W84" s="564"/>
      <c r="X84" s="564"/>
      <c r="Y84" s="564" t="s">
        <v>165</v>
      </c>
      <c r="Z84" s="564" t="s">
        <v>162</v>
      </c>
      <c r="AA84" s="564"/>
      <c r="AB84" s="564"/>
      <c r="AC84" s="564"/>
      <c r="AD84" s="564" t="s">
        <v>165</v>
      </c>
      <c r="AE84" s="564" t="s">
        <v>162</v>
      </c>
      <c r="AF84" s="564"/>
      <c r="AG84" s="564"/>
      <c r="AH84" s="564"/>
      <c r="AI84" s="564" t="s">
        <v>165</v>
      </c>
      <c r="AJ84" s="564" t="s">
        <v>162</v>
      </c>
      <c r="AK84" s="564"/>
      <c r="AL84" s="564"/>
      <c r="AM84" s="564"/>
      <c r="AN84" s="564" t="s">
        <v>165</v>
      </c>
      <c r="AO84" s="564" t="s">
        <v>162</v>
      </c>
      <c r="AP84" s="564"/>
      <c r="AQ84" s="564"/>
      <c r="AR84" s="564"/>
      <c r="AS84" s="564" t="s">
        <v>165</v>
      </c>
      <c r="AT84" s="564" t="s">
        <v>162</v>
      </c>
      <c r="AU84" s="564"/>
      <c r="AV84" s="564"/>
      <c r="AW84" s="564"/>
      <c r="AX84" s="564" t="s">
        <v>165</v>
      </c>
    </row>
    <row r="85" spans="2:50" ht="14.25" customHeight="1">
      <c r="B85" s="564"/>
      <c r="C85" s="564"/>
      <c r="D85" s="564"/>
      <c r="E85" s="564" t="s">
        <v>379</v>
      </c>
      <c r="F85" s="564"/>
      <c r="G85" s="564"/>
      <c r="H85" s="564"/>
      <c r="I85" s="628" t="s">
        <v>379</v>
      </c>
      <c r="J85" s="628"/>
      <c r="K85" s="628"/>
      <c r="L85" s="628"/>
      <c r="M85" s="628"/>
      <c r="N85" s="564"/>
      <c r="O85" s="564"/>
      <c r="P85" s="564" t="s">
        <v>380</v>
      </c>
      <c r="Q85" s="564"/>
      <c r="R85" s="564"/>
      <c r="S85" s="564"/>
      <c r="T85" s="564"/>
      <c r="U85" s="564" t="s">
        <v>380</v>
      </c>
      <c r="V85" s="564"/>
      <c r="W85" s="564"/>
      <c r="X85" s="564"/>
      <c r="Y85" s="564"/>
      <c r="Z85" s="564" t="s">
        <v>380</v>
      </c>
      <c r="AA85" s="564"/>
      <c r="AB85" s="564"/>
      <c r="AC85" s="564"/>
      <c r="AD85" s="564"/>
      <c r="AE85" s="564" t="s">
        <v>380</v>
      </c>
      <c r="AF85" s="564"/>
      <c r="AG85" s="564"/>
      <c r="AH85" s="564"/>
      <c r="AI85" s="564"/>
      <c r="AJ85" s="564" t="s">
        <v>380</v>
      </c>
      <c r="AK85" s="564"/>
      <c r="AL85" s="564"/>
      <c r="AM85" s="564"/>
      <c r="AN85" s="564"/>
      <c r="AO85" s="564" t="s">
        <v>380</v>
      </c>
      <c r="AP85" s="564"/>
      <c r="AQ85" s="564"/>
      <c r="AR85" s="564"/>
      <c r="AS85" s="564"/>
      <c r="AT85" s="564" t="s">
        <v>380</v>
      </c>
      <c r="AU85" s="564"/>
      <c r="AV85" s="564"/>
      <c r="AW85" s="564"/>
      <c r="AX85" s="564"/>
    </row>
    <row r="86" spans="2:50" ht="14.25" customHeight="1">
      <c r="B86" s="564"/>
      <c r="C86" s="564"/>
      <c r="D86" s="564"/>
      <c r="E86" s="180" t="s">
        <v>161</v>
      </c>
      <c r="F86" s="180" t="s">
        <v>381</v>
      </c>
      <c r="G86" s="180" t="s">
        <v>163</v>
      </c>
      <c r="H86" s="564"/>
      <c r="I86" s="181" t="s">
        <v>161</v>
      </c>
      <c r="J86" s="181" t="s">
        <v>381</v>
      </c>
      <c r="K86" s="181" t="s">
        <v>163</v>
      </c>
      <c r="L86" s="628"/>
      <c r="M86" s="628"/>
      <c r="N86" s="564"/>
      <c r="O86" s="564"/>
      <c r="P86" s="180" t="s">
        <v>161</v>
      </c>
      <c r="Q86" s="180" t="s">
        <v>381</v>
      </c>
      <c r="R86" s="180" t="s">
        <v>163</v>
      </c>
      <c r="S86" s="182" t="s">
        <v>167</v>
      </c>
      <c r="T86" s="564"/>
      <c r="U86" s="180" t="s">
        <v>161</v>
      </c>
      <c r="V86" s="180" t="s">
        <v>381</v>
      </c>
      <c r="W86" s="180" t="s">
        <v>163</v>
      </c>
      <c r="X86" s="182" t="s">
        <v>167</v>
      </c>
      <c r="Y86" s="564"/>
      <c r="Z86" s="180" t="s">
        <v>161</v>
      </c>
      <c r="AA86" s="180" t="s">
        <v>381</v>
      </c>
      <c r="AB86" s="180" t="s">
        <v>163</v>
      </c>
      <c r="AC86" s="182" t="s">
        <v>167</v>
      </c>
      <c r="AD86" s="564"/>
      <c r="AE86" s="180" t="s">
        <v>161</v>
      </c>
      <c r="AF86" s="180" t="s">
        <v>381</v>
      </c>
      <c r="AG86" s="180" t="s">
        <v>163</v>
      </c>
      <c r="AH86" s="182" t="s">
        <v>167</v>
      </c>
      <c r="AI86" s="564"/>
      <c r="AJ86" s="180" t="s">
        <v>161</v>
      </c>
      <c r="AK86" s="180" t="s">
        <v>381</v>
      </c>
      <c r="AL86" s="180" t="s">
        <v>163</v>
      </c>
      <c r="AM86" s="182" t="s">
        <v>167</v>
      </c>
      <c r="AN86" s="564"/>
      <c r="AO86" s="180" t="s">
        <v>161</v>
      </c>
      <c r="AP86" s="180" t="s">
        <v>381</v>
      </c>
      <c r="AQ86" s="180" t="s">
        <v>163</v>
      </c>
      <c r="AR86" s="182" t="s">
        <v>167</v>
      </c>
      <c r="AS86" s="564"/>
      <c r="AT86" s="180" t="s">
        <v>161</v>
      </c>
      <c r="AU86" s="180" t="s">
        <v>381</v>
      </c>
      <c r="AV86" s="180" t="s">
        <v>163</v>
      </c>
      <c r="AW86" s="182" t="s">
        <v>167</v>
      </c>
      <c r="AX86" s="564"/>
    </row>
    <row r="87" spans="2:50" ht="14.25" customHeight="1">
      <c r="B87" s="564" t="s">
        <v>384</v>
      </c>
      <c r="C87" s="180">
        <v>1</v>
      </c>
      <c r="D87" s="183" t="s">
        <v>537</v>
      </c>
      <c r="E87" s="180">
        <v>6</v>
      </c>
      <c r="F87" s="180">
        <v>3273</v>
      </c>
      <c r="G87" s="185">
        <f t="shared" ref="G87:G88" si="78">F87/E87</f>
        <v>545.5</v>
      </c>
      <c r="H87" s="625">
        <f>AVERAGE(G87:G101)</f>
        <v>545.5</v>
      </c>
      <c r="I87" s="186">
        <f>AVERAGE(P87,U87,Z87,AE87,AJ87,AO87,AT87)</f>
        <v>6</v>
      </c>
      <c r="J87" s="186">
        <f>AVERAGE(Q87,V87,AA87,AF87,AK87,AP87,AU87)</f>
        <v>2963.5360653500061</v>
      </c>
      <c r="K87" s="187">
        <f>AVERAGE(R87,W87,AB87,AG87,AL87,AQ87,AV87)</f>
        <v>493.92267755833439</v>
      </c>
      <c r="L87" s="626">
        <f>IFERROR(AVERAGE(K87:K101),"-")</f>
        <v>493.90750339427871</v>
      </c>
      <c r="M87" s="186">
        <f>RANK(K87, K$87:$K$101)</f>
        <v>1</v>
      </c>
      <c r="N87" s="564"/>
      <c r="O87" s="564"/>
      <c r="P87" s="188">
        <v>6</v>
      </c>
      <c r="Q87" s="188">
        <v>2966.9291338582711</v>
      </c>
      <c r="R87" s="185">
        <f>IFERROR(Q87/P87,"")</f>
        <v>494.48818897637852</v>
      </c>
      <c r="S87" s="182">
        <f>RANK(R87, R$87:R$101)</f>
        <v>1</v>
      </c>
      <c r="T87" s="625">
        <f>AVERAGE(R87:R101)</f>
        <v>494.47048129478583</v>
      </c>
      <c r="U87" s="188">
        <v>6</v>
      </c>
      <c r="V87" s="188">
        <v>2962.87769784172</v>
      </c>
      <c r="W87" s="185">
        <f t="shared" ref="W87:W88" si="79">IFERROR(V87/U87,"")</f>
        <v>493.81294964028666</v>
      </c>
      <c r="X87" s="182">
        <f>RANK(W87, W$87:W$101)</f>
        <v>2</v>
      </c>
      <c r="Y87" s="625">
        <f>AVERAGE(W87:W101)</f>
        <v>493.84720139758144</v>
      </c>
      <c r="Z87" s="188">
        <v>6</v>
      </c>
      <c r="AA87" s="188">
        <v>2964.4067796610157</v>
      </c>
      <c r="AB87" s="185">
        <f t="shared" ref="AB87:AB88" si="80">IFERROR(AA87/Z87,"")</f>
        <v>494.0677966101693</v>
      </c>
      <c r="AC87" s="182" t="e">
        <f>RANK(AB87, AB$7:AB$21)</f>
        <v>#N/A</v>
      </c>
      <c r="AD87" s="625">
        <f>AVERAGE(AB87:AB101)</f>
        <v>493.96043503671933</v>
      </c>
      <c r="AE87" s="188">
        <v>6</v>
      </c>
      <c r="AF87" s="188">
        <v>2965.4676258992945</v>
      </c>
      <c r="AG87" s="185">
        <f>IFERROR(AF87/AE87,"")</f>
        <v>494.2446043165491</v>
      </c>
      <c r="AH87" s="182" t="e">
        <f>RANK(AG87, AG$7:AG$21)</f>
        <v>#N/A</v>
      </c>
      <c r="AI87" s="625">
        <f>AVERAGE(AG87:AG101)</f>
        <v>494.02689065062759</v>
      </c>
      <c r="AJ87" s="188">
        <v>6</v>
      </c>
      <c r="AK87" s="188">
        <v>2963.6129032257954</v>
      </c>
      <c r="AL87" s="185">
        <f t="shared" ref="AL87:AL88" si="81">IFERROR(AK87/AJ87,"")</f>
        <v>493.93548387096592</v>
      </c>
      <c r="AM87" s="182" t="e">
        <f>RANK(AL87, AL$7:AL$21)</f>
        <v>#N/A</v>
      </c>
      <c r="AN87" s="625">
        <f>AVERAGE(AL87:AL101)</f>
        <v>493.91783435692486</v>
      </c>
      <c r="AO87" s="188">
        <v>6</v>
      </c>
      <c r="AP87" s="188">
        <v>2960.5594405594475</v>
      </c>
      <c r="AQ87" s="185">
        <f t="shared" ref="AQ87:AQ88" si="82">IFERROR(AP87/AO87,"")</f>
        <v>493.42657342657458</v>
      </c>
      <c r="AR87" s="182" t="e">
        <f>RANK(AQ87, AQ$7:AQ$21)</f>
        <v>#N/A</v>
      </c>
      <c r="AS87" s="625">
        <f>AVERAGE(AQ87:AQ101)</f>
        <v>493.54872975126193</v>
      </c>
      <c r="AT87" s="188">
        <v>6</v>
      </c>
      <c r="AU87" s="188">
        <v>2960.8988764044998</v>
      </c>
      <c r="AV87" s="185">
        <f t="shared" ref="AV87:AV88" si="83">IFERROR(AU87/AT87,"")</f>
        <v>493.48314606741661</v>
      </c>
      <c r="AW87" s="182" t="e">
        <f>RANK(AV87, AV$7:AV$21)</f>
        <v>#N/A</v>
      </c>
      <c r="AX87" s="625">
        <f>AVERAGE(AV87:AV101)</f>
        <v>493.58095127205013</v>
      </c>
    </row>
    <row r="88" spans="2:50" ht="14.25" customHeight="1">
      <c r="B88" s="564"/>
      <c r="C88" s="180">
        <v>2</v>
      </c>
      <c r="D88" s="183" t="s">
        <v>609</v>
      </c>
      <c r="E88" s="180">
        <v>6</v>
      </c>
      <c r="F88" s="180">
        <v>3273</v>
      </c>
      <c r="G88" s="185">
        <f t="shared" si="78"/>
        <v>545.5</v>
      </c>
      <c r="H88" s="625"/>
      <c r="I88" s="186">
        <f t="shared" ref="I88:K88" si="84">AVERAGE(P88,U88,Z88,AE88,AJ88,AO88,AT88)</f>
        <v>6</v>
      </c>
      <c r="J88" s="186">
        <f t="shared" si="84"/>
        <v>2963.3539753813384</v>
      </c>
      <c r="K88" s="187">
        <f t="shared" si="84"/>
        <v>493.89232923022308</v>
      </c>
      <c r="L88" s="626"/>
      <c r="M88" s="186">
        <f>RANK(K88, K$87:$K$101)</f>
        <v>2</v>
      </c>
      <c r="N88" s="564"/>
      <c r="O88" s="564"/>
      <c r="P88" s="188">
        <v>6</v>
      </c>
      <c r="Q88" s="188">
        <v>2966.7166416791592</v>
      </c>
      <c r="R88" s="185">
        <f t="shared" ref="R88" si="85">IFERROR(Q88/P88,"")</f>
        <v>494.45277361319319</v>
      </c>
      <c r="S88" s="182">
        <f>RANK(R88, R$87:R$101)</f>
        <v>2</v>
      </c>
      <c r="T88" s="625"/>
      <c r="U88" s="188">
        <v>6</v>
      </c>
      <c r="V88" s="188">
        <v>2963.2887189292574</v>
      </c>
      <c r="W88" s="185">
        <f t="shared" si="79"/>
        <v>493.88145315487623</v>
      </c>
      <c r="X88" s="182">
        <f>RANK(W88, W$87:W$101)</f>
        <v>1</v>
      </c>
      <c r="Y88" s="625"/>
      <c r="Z88" s="188">
        <v>6</v>
      </c>
      <c r="AA88" s="188">
        <v>2963.1184407796159</v>
      </c>
      <c r="AB88" s="185">
        <f t="shared" si="80"/>
        <v>493.85307346326931</v>
      </c>
      <c r="AC88" s="182" t="e">
        <f t="shared" ref="AC88" si="86">RANK(AB88, AB$7:AB$21)</f>
        <v>#N/A</v>
      </c>
      <c r="AD88" s="625"/>
      <c r="AE88" s="188">
        <v>6</v>
      </c>
      <c r="AF88" s="188">
        <v>2962.8550619082362</v>
      </c>
      <c r="AG88" s="185">
        <f t="shared" ref="AG88" si="87">IFERROR(AF88/AE88,"")</f>
        <v>493.80917698470603</v>
      </c>
      <c r="AH88" s="182" t="e">
        <f t="shared" ref="AH88" si="88">RANK(AG88, AG$7:AG$21)</f>
        <v>#N/A</v>
      </c>
      <c r="AI88" s="625"/>
      <c r="AJ88" s="188">
        <v>6</v>
      </c>
      <c r="AK88" s="188">
        <v>2963.4011090573026</v>
      </c>
      <c r="AL88" s="185">
        <f t="shared" si="81"/>
        <v>493.90018484288379</v>
      </c>
      <c r="AM88" s="182" t="e">
        <f t="shared" ref="AM88" si="89">RANK(AL88, AL$7:AL$21)</f>
        <v>#N/A</v>
      </c>
      <c r="AN88" s="625"/>
      <c r="AO88" s="188">
        <v>6</v>
      </c>
      <c r="AP88" s="188">
        <v>2962.0253164556957</v>
      </c>
      <c r="AQ88" s="185">
        <f t="shared" si="82"/>
        <v>493.67088607594928</v>
      </c>
      <c r="AR88" s="182" t="e">
        <f t="shared" ref="AR88" si="90">RANK(AQ88, AQ$7:AQ$21)</f>
        <v>#N/A</v>
      </c>
      <c r="AS88" s="625"/>
      <c r="AT88" s="188">
        <v>6</v>
      </c>
      <c r="AU88" s="188">
        <v>2962.0725388601018</v>
      </c>
      <c r="AV88" s="185">
        <f t="shared" si="83"/>
        <v>493.67875647668365</v>
      </c>
      <c r="AW88" s="182" t="e">
        <f t="shared" ref="AW88" si="91">RANK(AV88, AV$7:AV$21)</f>
        <v>#N/A</v>
      </c>
      <c r="AX88" s="625"/>
    </row>
    <row r="89" spans="2:50" ht="14.25" customHeight="1">
      <c r="B89" s="564"/>
      <c r="C89" s="180">
        <v>3</v>
      </c>
      <c r="D89" s="183"/>
      <c r="E89" s="180"/>
      <c r="F89" s="180"/>
      <c r="G89" s="185"/>
      <c r="H89" s="625"/>
      <c r="I89" s="186"/>
      <c r="J89" s="186"/>
      <c r="K89" s="187"/>
      <c r="L89" s="626"/>
      <c r="M89" s="186"/>
      <c r="N89" s="564"/>
      <c r="O89" s="564"/>
      <c r="P89" s="188"/>
      <c r="Q89" s="188"/>
      <c r="R89" s="185"/>
      <c r="S89" s="182"/>
      <c r="T89" s="625"/>
      <c r="U89" s="188"/>
      <c r="V89" s="188"/>
      <c r="W89" s="185"/>
      <c r="X89" s="182"/>
      <c r="Y89" s="625"/>
      <c r="Z89" s="188"/>
      <c r="AA89" s="188"/>
      <c r="AB89" s="185"/>
      <c r="AC89" s="182"/>
      <c r="AD89" s="625"/>
      <c r="AE89" s="188"/>
      <c r="AF89" s="188"/>
      <c r="AG89" s="185"/>
      <c r="AH89" s="182"/>
      <c r="AI89" s="625"/>
      <c r="AJ89" s="188"/>
      <c r="AK89" s="188"/>
      <c r="AL89" s="185"/>
      <c r="AM89" s="182"/>
      <c r="AN89" s="625"/>
      <c r="AO89" s="188"/>
      <c r="AP89" s="188"/>
      <c r="AQ89" s="185"/>
      <c r="AR89" s="182"/>
      <c r="AS89" s="625"/>
      <c r="AT89" s="188"/>
      <c r="AU89" s="188"/>
      <c r="AV89" s="185"/>
      <c r="AW89" s="182"/>
      <c r="AX89" s="625"/>
    </row>
    <row r="90" spans="2:50" ht="14.25" customHeight="1">
      <c r="B90" s="564"/>
      <c r="C90" s="180">
        <v>4</v>
      </c>
      <c r="D90" s="183"/>
      <c r="E90" s="180"/>
      <c r="F90" s="180"/>
      <c r="G90" s="185"/>
      <c r="H90" s="625"/>
      <c r="I90" s="186"/>
      <c r="J90" s="186"/>
      <c r="K90" s="187"/>
      <c r="L90" s="626"/>
      <c r="M90" s="186"/>
      <c r="N90" s="564"/>
      <c r="O90" s="564"/>
      <c r="P90" s="188"/>
      <c r="Q90" s="188"/>
      <c r="R90" s="185"/>
      <c r="S90" s="182"/>
      <c r="T90" s="625"/>
      <c r="U90" s="188"/>
      <c r="V90" s="188"/>
      <c r="W90" s="185"/>
      <c r="X90" s="182"/>
      <c r="Y90" s="625"/>
      <c r="Z90" s="188"/>
      <c r="AA90" s="188"/>
      <c r="AB90" s="185"/>
      <c r="AC90" s="182"/>
      <c r="AD90" s="625"/>
      <c r="AE90" s="188"/>
      <c r="AF90" s="188"/>
      <c r="AG90" s="185"/>
      <c r="AH90" s="182"/>
      <c r="AI90" s="625"/>
      <c r="AJ90" s="188"/>
      <c r="AK90" s="188"/>
      <c r="AL90" s="185"/>
      <c r="AM90" s="182"/>
      <c r="AN90" s="625"/>
      <c r="AO90" s="188"/>
      <c r="AP90" s="188"/>
      <c r="AQ90" s="185"/>
      <c r="AR90" s="182"/>
      <c r="AS90" s="625"/>
      <c r="AT90" s="188"/>
      <c r="AU90" s="188"/>
      <c r="AV90" s="185"/>
      <c r="AW90" s="182"/>
      <c r="AX90" s="625"/>
    </row>
    <row r="91" spans="2:50" ht="14.25" customHeight="1">
      <c r="B91" s="564"/>
      <c r="C91" s="180">
        <v>5</v>
      </c>
      <c r="D91" s="183"/>
      <c r="E91" s="180"/>
      <c r="F91" s="180"/>
      <c r="G91" s="185"/>
      <c r="H91" s="625"/>
      <c r="I91" s="186"/>
      <c r="J91" s="186"/>
      <c r="K91" s="187"/>
      <c r="L91" s="626"/>
      <c r="M91" s="186"/>
      <c r="N91" s="564"/>
      <c r="O91" s="564"/>
      <c r="P91" s="188"/>
      <c r="Q91" s="188"/>
      <c r="R91" s="185"/>
      <c r="S91" s="182"/>
      <c r="T91" s="625"/>
      <c r="U91" s="188"/>
      <c r="V91" s="188"/>
      <c r="W91" s="185"/>
      <c r="X91" s="182"/>
      <c r="Y91" s="625"/>
      <c r="Z91" s="188"/>
      <c r="AA91" s="188"/>
      <c r="AB91" s="185"/>
      <c r="AC91" s="182"/>
      <c r="AD91" s="625"/>
      <c r="AE91" s="188"/>
      <c r="AF91" s="188"/>
      <c r="AG91" s="185"/>
      <c r="AH91" s="182"/>
      <c r="AI91" s="625"/>
      <c r="AJ91" s="188"/>
      <c r="AK91" s="188"/>
      <c r="AL91" s="185"/>
      <c r="AM91" s="182"/>
      <c r="AN91" s="625"/>
      <c r="AO91" s="188"/>
      <c r="AP91" s="188"/>
      <c r="AQ91" s="185"/>
      <c r="AR91" s="182"/>
      <c r="AS91" s="625"/>
      <c r="AT91" s="188"/>
      <c r="AU91" s="188"/>
      <c r="AV91" s="185"/>
      <c r="AW91" s="182"/>
      <c r="AX91" s="625"/>
    </row>
    <row r="92" spans="2:50" ht="14.25" customHeight="1">
      <c r="B92" s="564"/>
      <c r="C92" s="180">
        <v>6</v>
      </c>
      <c r="D92" s="183"/>
      <c r="E92" s="180"/>
      <c r="F92" s="180"/>
      <c r="G92" s="185"/>
      <c r="H92" s="625"/>
      <c r="I92" s="186"/>
      <c r="J92" s="186"/>
      <c r="K92" s="187"/>
      <c r="L92" s="626"/>
      <c r="M92" s="186"/>
      <c r="N92" s="564"/>
      <c r="O92" s="564"/>
      <c r="P92" s="188"/>
      <c r="Q92" s="188"/>
      <c r="R92" s="185"/>
      <c r="S92" s="182"/>
      <c r="T92" s="625"/>
      <c r="U92" s="188"/>
      <c r="V92" s="188"/>
      <c r="W92" s="185"/>
      <c r="X92" s="182"/>
      <c r="Y92" s="625"/>
      <c r="Z92" s="188"/>
      <c r="AA92" s="188"/>
      <c r="AB92" s="185"/>
      <c r="AC92" s="182"/>
      <c r="AD92" s="625"/>
      <c r="AE92" s="188"/>
      <c r="AF92" s="188"/>
      <c r="AG92" s="185"/>
      <c r="AH92" s="182"/>
      <c r="AI92" s="625"/>
      <c r="AJ92" s="188"/>
      <c r="AK92" s="188"/>
      <c r="AL92" s="185"/>
      <c r="AM92" s="182"/>
      <c r="AN92" s="625"/>
      <c r="AO92" s="188"/>
      <c r="AP92" s="188"/>
      <c r="AQ92" s="185"/>
      <c r="AR92" s="182"/>
      <c r="AS92" s="625"/>
      <c r="AT92" s="188"/>
      <c r="AU92" s="188"/>
      <c r="AV92" s="185"/>
      <c r="AW92" s="182"/>
      <c r="AX92" s="625"/>
    </row>
    <row r="93" spans="2:50" ht="14.25" customHeight="1">
      <c r="B93" s="564"/>
      <c r="C93" s="180">
        <v>7</v>
      </c>
      <c r="D93" s="183"/>
      <c r="E93" s="180"/>
      <c r="F93" s="180"/>
      <c r="G93" s="185"/>
      <c r="H93" s="625"/>
      <c r="I93" s="186"/>
      <c r="J93" s="186"/>
      <c r="K93" s="187"/>
      <c r="L93" s="626"/>
      <c r="M93" s="186"/>
      <c r="N93" s="564"/>
      <c r="O93" s="564"/>
      <c r="P93" s="188"/>
      <c r="Q93" s="188"/>
      <c r="R93" s="185"/>
      <c r="S93" s="182"/>
      <c r="T93" s="625"/>
      <c r="U93" s="188"/>
      <c r="V93" s="188"/>
      <c r="W93" s="185"/>
      <c r="X93" s="182"/>
      <c r="Y93" s="625"/>
      <c r="Z93" s="188"/>
      <c r="AA93" s="188"/>
      <c r="AB93" s="185"/>
      <c r="AC93" s="182"/>
      <c r="AD93" s="625"/>
      <c r="AE93" s="188"/>
      <c r="AF93" s="188"/>
      <c r="AG93" s="185"/>
      <c r="AH93" s="182"/>
      <c r="AI93" s="625"/>
      <c r="AJ93" s="188"/>
      <c r="AK93" s="188"/>
      <c r="AL93" s="185"/>
      <c r="AM93" s="182"/>
      <c r="AN93" s="625"/>
      <c r="AO93" s="188"/>
      <c r="AP93" s="188"/>
      <c r="AQ93" s="185"/>
      <c r="AR93" s="182"/>
      <c r="AS93" s="625"/>
      <c r="AT93" s="188"/>
      <c r="AU93" s="188"/>
      <c r="AV93" s="185"/>
      <c r="AW93" s="182"/>
      <c r="AX93" s="625"/>
    </row>
    <row r="94" spans="2:50" ht="14.25" customHeight="1">
      <c r="B94" s="564"/>
      <c r="C94" s="180">
        <v>8</v>
      </c>
      <c r="D94" s="183"/>
      <c r="E94" s="180"/>
      <c r="F94" s="180"/>
      <c r="G94" s="185"/>
      <c r="H94" s="625"/>
      <c r="I94" s="186"/>
      <c r="J94" s="186"/>
      <c r="K94" s="187"/>
      <c r="L94" s="626"/>
      <c r="M94" s="186"/>
      <c r="N94" s="564"/>
      <c r="O94" s="564"/>
      <c r="P94" s="188"/>
      <c r="Q94" s="188"/>
      <c r="R94" s="185"/>
      <c r="S94" s="182"/>
      <c r="T94" s="625"/>
      <c r="U94" s="188"/>
      <c r="V94" s="188"/>
      <c r="W94" s="185"/>
      <c r="X94" s="182"/>
      <c r="Y94" s="625"/>
      <c r="Z94" s="188"/>
      <c r="AA94" s="188"/>
      <c r="AB94" s="185"/>
      <c r="AC94" s="182"/>
      <c r="AD94" s="625"/>
      <c r="AE94" s="188"/>
      <c r="AF94" s="188"/>
      <c r="AG94" s="185"/>
      <c r="AH94" s="182"/>
      <c r="AI94" s="625"/>
      <c r="AJ94" s="188"/>
      <c r="AK94" s="188"/>
      <c r="AL94" s="185"/>
      <c r="AM94" s="182"/>
      <c r="AN94" s="625"/>
      <c r="AO94" s="188"/>
      <c r="AP94" s="188"/>
      <c r="AQ94" s="185"/>
      <c r="AR94" s="182"/>
      <c r="AS94" s="625"/>
      <c r="AT94" s="188"/>
      <c r="AU94" s="188"/>
      <c r="AV94" s="185"/>
      <c r="AW94" s="182"/>
      <c r="AX94" s="625"/>
    </row>
    <row r="95" spans="2:50" ht="14.25" customHeight="1">
      <c r="B95" s="564"/>
      <c r="C95" s="180">
        <v>9</v>
      </c>
      <c r="D95" s="183"/>
      <c r="E95" s="180"/>
      <c r="F95" s="180"/>
      <c r="G95" s="185"/>
      <c r="H95" s="625"/>
      <c r="I95" s="186"/>
      <c r="J95" s="186"/>
      <c r="K95" s="187"/>
      <c r="L95" s="626"/>
      <c r="M95" s="186"/>
      <c r="N95" s="564"/>
      <c r="O95" s="564"/>
      <c r="P95" s="188"/>
      <c r="Q95" s="188"/>
      <c r="R95" s="185"/>
      <c r="S95" s="182"/>
      <c r="T95" s="625"/>
      <c r="U95" s="188"/>
      <c r="V95" s="188"/>
      <c r="W95" s="185"/>
      <c r="X95" s="182"/>
      <c r="Y95" s="625"/>
      <c r="Z95" s="188"/>
      <c r="AA95" s="188"/>
      <c r="AB95" s="185"/>
      <c r="AC95" s="182"/>
      <c r="AD95" s="625"/>
      <c r="AE95" s="188"/>
      <c r="AF95" s="188"/>
      <c r="AG95" s="185"/>
      <c r="AH95" s="182"/>
      <c r="AI95" s="625"/>
      <c r="AJ95" s="188"/>
      <c r="AK95" s="188"/>
      <c r="AL95" s="185"/>
      <c r="AM95" s="182"/>
      <c r="AN95" s="625"/>
      <c r="AO95" s="188"/>
      <c r="AP95" s="188"/>
      <c r="AQ95" s="185"/>
      <c r="AR95" s="182"/>
      <c r="AS95" s="625"/>
      <c r="AT95" s="188"/>
      <c r="AU95" s="188"/>
      <c r="AV95" s="185"/>
      <c r="AW95" s="182"/>
      <c r="AX95" s="625"/>
    </row>
    <row r="96" spans="2:50" ht="14.25" customHeight="1">
      <c r="B96" s="564"/>
      <c r="C96" s="180">
        <v>10</v>
      </c>
      <c r="D96" s="183"/>
      <c r="E96" s="180"/>
      <c r="F96" s="180"/>
      <c r="G96" s="185"/>
      <c r="H96" s="625"/>
      <c r="I96" s="186"/>
      <c r="J96" s="186"/>
      <c r="K96" s="187"/>
      <c r="L96" s="626"/>
      <c r="M96" s="186"/>
      <c r="N96" s="564"/>
      <c r="O96" s="564"/>
      <c r="P96" s="188"/>
      <c r="Q96" s="188"/>
      <c r="R96" s="185"/>
      <c r="S96" s="182"/>
      <c r="T96" s="625"/>
      <c r="U96" s="188"/>
      <c r="V96" s="188"/>
      <c r="W96" s="185"/>
      <c r="X96" s="182"/>
      <c r="Y96" s="625"/>
      <c r="Z96" s="188"/>
      <c r="AA96" s="188"/>
      <c r="AB96" s="185"/>
      <c r="AC96" s="182"/>
      <c r="AD96" s="625"/>
      <c r="AE96" s="188"/>
      <c r="AF96" s="188"/>
      <c r="AG96" s="185"/>
      <c r="AH96" s="182"/>
      <c r="AI96" s="625"/>
      <c r="AJ96" s="188"/>
      <c r="AK96" s="188"/>
      <c r="AL96" s="185"/>
      <c r="AM96" s="182"/>
      <c r="AN96" s="625"/>
      <c r="AO96" s="188"/>
      <c r="AP96" s="188"/>
      <c r="AQ96" s="185"/>
      <c r="AR96" s="182"/>
      <c r="AS96" s="625"/>
      <c r="AT96" s="188"/>
      <c r="AU96" s="188"/>
      <c r="AV96" s="185"/>
      <c r="AW96" s="182"/>
      <c r="AX96" s="625"/>
    </row>
    <row r="97" spans="2:50" ht="14.25" customHeight="1">
      <c r="B97" s="564"/>
      <c r="C97" s="180">
        <v>11</v>
      </c>
      <c r="D97" s="183"/>
      <c r="E97" s="180"/>
      <c r="F97" s="180"/>
      <c r="G97" s="185"/>
      <c r="H97" s="625"/>
      <c r="I97" s="186"/>
      <c r="J97" s="186"/>
      <c r="K97" s="187"/>
      <c r="L97" s="626"/>
      <c r="M97" s="186"/>
      <c r="N97" s="564"/>
      <c r="O97" s="564"/>
      <c r="P97" s="188"/>
      <c r="Q97" s="188"/>
      <c r="R97" s="185"/>
      <c r="S97" s="182"/>
      <c r="T97" s="625"/>
      <c r="U97" s="188"/>
      <c r="V97" s="188"/>
      <c r="W97" s="185"/>
      <c r="X97" s="182"/>
      <c r="Y97" s="625"/>
      <c r="Z97" s="188"/>
      <c r="AA97" s="188"/>
      <c r="AB97" s="185"/>
      <c r="AC97" s="182"/>
      <c r="AD97" s="625"/>
      <c r="AE97" s="188"/>
      <c r="AF97" s="188"/>
      <c r="AG97" s="185"/>
      <c r="AH97" s="182"/>
      <c r="AI97" s="625"/>
      <c r="AJ97" s="188"/>
      <c r="AK97" s="188"/>
      <c r="AL97" s="185"/>
      <c r="AM97" s="182"/>
      <c r="AN97" s="625"/>
      <c r="AO97" s="188"/>
      <c r="AP97" s="188"/>
      <c r="AQ97" s="185"/>
      <c r="AR97" s="182"/>
      <c r="AS97" s="625"/>
      <c r="AT97" s="188"/>
      <c r="AU97" s="188"/>
      <c r="AV97" s="185"/>
      <c r="AW97" s="182"/>
      <c r="AX97" s="625"/>
    </row>
    <row r="98" spans="2:50" ht="14.25" customHeight="1">
      <c r="B98" s="564"/>
      <c r="C98" s="180">
        <v>12</v>
      </c>
      <c r="D98" s="183"/>
      <c r="E98" s="180"/>
      <c r="F98" s="180"/>
      <c r="G98" s="185"/>
      <c r="H98" s="625"/>
      <c r="I98" s="186"/>
      <c r="J98" s="186"/>
      <c r="K98" s="187"/>
      <c r="L98" s="626"/>
      <c r="M98" s="186"/>
      <c r="N98" s="564"/>
      <c r="O98" s="564"/>
      <c r="P98" s="188"/>
      <c r="Q98" s="188"/>
      <c r="R98" s="185"/>
      <c r="S98" s="182"/>
      <c r="T98" s="625"/>
      <c r="U98" s="188"/>
      <c r="V98" s="188"/>
      <c r="W98" s="185"/>
      <c r="X98" s="182"/>
      <c r="Y98" s="625"/>
      <c r="Z98" s="188"/>
      <c r="AA98" s="188"/>
      <c r="AB98" s="185"/>
      <c r="AC98" s="182"/>
      <c r="AD98" s="625"/>
      <c r="AE98" s="188"/>
      <c r="AF98" s="188"/>
      <c r="AG98" s="185"/>
      <c r="AH98" s="182"/>
      <c r="AI98" s="625"/>
      <c r="AJ98" s="188"/>
      <c r="AK98" s="188"/>
      <c r="AL98" s="185"/>
      <c r="AM98" s="182"/>
      <c r="AN98" s="625"/>
      <c r="AO98" s="188"/>
      <c r="AP98" s="188"/>
      <c r="AQ98" s="185"/>
      <c r="AR98" s="182"/>
      <c r="AS98" s="625"/>
      <c r="AT98" s="188"/>
      <c r="AU98" s="188"/>
      <c r="AV98" s="185"/>
      <c r="AW98" s="182"/>
      <c r="AX98" s="625"/>
    </row>
    <row r="99" spans="2:50" ht="14.25" customHeight="1">
      <c r="B99" s="564"/>
      <c r="C99" s="180">
        <v>13</v>
      </c>
      <c r="D99" s="183"/>
      <c r="E99" s="180"/>
      <c r="F99" s="180"/>
      <c r="G99" s="185"/>
      <c r="H99" s="625"/>
      <c r="I99" s="186"/>
      <c r="J99" s="186"/>
      <c r="K99" s="187"/>
      <c r="L99" s="626"/>
      <c r="M99" s="186"/>
      <c r="N99" s="564"/>
      <c r="O99" s="564"/>
      <c r="P99" s="188"/>
      <c r="Q99" s="188"/>
      <c r="R99" s="185"/>
      <c r="S99" s="182"/>
      <c r="T99" s="625"/>
      <c r="U99" s="188"/>
      <c r="V99" s="188"/>
      <c r="W99" s="185"/>
      <c r="X99" s="182"/>
      <c r="Y99" s="625"/>
      <c r="Z99" s="188"/>
      <c r="AA99" s="188"/>
      <c r="AB99" s="185"/>
      <c r="AC99" s="182"/>
      <c r="AD99" s="625"/>
      <c r="AE99" s="188"/>
      <c r="AF99" s="188"/>
      <c r="AG99" s="185"/>
      <c r="AH99" s="182"/>
      <c r="AI99" s="625"/>
      <c r="AJ99" s="188"/>
      <c r="AK99" s="188"/>
      <c r="AL99" s="185"/>
      <c r="AM99" s="182"/>
      <c r="AN99" s="625"/>
      <c r="AO99" s="188"/>
      <c r="AP99" s="188"/>
      <c r="AQ99" s="185"/>
      <c r="AR99" s="182"/>
      <c r="AS99" s="625"/>
      <c r="AT99" s="188"/>
      <c r="AU99" s="188"/>
      <c r="AV99" s="185"/>
      <c r="AW99" s="182"/>
      <c r="AX99" s="625"/>
    </row>
    <row r="100" spans="2:50" ht="14.25" customHeight="1">
      <c r="B100" s="564"/>
      <c r="C100" s="180">
        <v>14</v>
      </c>
      <c r="D100" s="183"/>
      <c r="E100" s="180"/>
      <c r="F100" s="180"/>
      <c r="G100" s="185"/>
      <c r="H100" s="625"/>
      <c r="I100" s="186"/>
      <c r="J100" s="186"/>
      <c r="K100" s="187"/>
      <c r="L100" s="626"/>
      <c r="M100" s="186"/>
      <c r="N100" s="564"/>
      <c r="O100" s="564"/>
      <c r="P100" s="188"/>
      <c r="Q100" s="188"/>
      <c r="R100" s="185"/>
      <c r="S100" s="182"/>
      <c r="T100" s="625"/>
      <c r="U100" s="188"/>
      <c r="V100" s="188"/>
      <c r="W100" s="185"/>
      <c r="X100" s="182"/>
      <c r="Y100" s="625"/>
      <c r="Z100" s="188"/>
      <c r="AA100" s="188"/>
      <c r="AB100" s="185"/>
      <c r="AC100" s="182"/>
      <c r="AD100" s="625"/>
      <c r="AE100" s="188"/>
      <c r="AF100" s="188"/>
      <c r="AG100" s="185"/>
      <c r="AH100" s="182"/>
      <c r="AI100" s="625"/>
      <c r="AJ100" s="188"/>
      <c r="AK100" s="188"/>
      <c r="AL100" s="185"/>
      <c r="AM100" s="182"/>
      <c r="AN100" s="625"/>
      <c r="AO100" s="188"/>
      <c r="AP100" s="188"/>
      <c r="AQ100" s="185"/>
      <c r="AR100" s="182"/>
      <c r="AS100" s="625"/>
      <c r="AT100" s="188"/>
      <c r="AU100" s="188"/>
      <c r="AV100" s="185"/>
      <c r="AW100" s="182"/>
      <c r="AX100" s="625"/>
    </row>
    <row r="101" spans="2:50" ht="14.25" customHeight="1">
      <c r="B101" s="564"/>
      <c r="C101" s="180">
        <v>15</v>
      </c>
      <c r="D101" s="183"/>
      <c r="E101" s="180"/>
      <c r="F101" s="180"/>
      <c r="G101" s="185"/>
      <c r="H101" s="625"/>
      <c r="I101" s="186"/>
      <c r="J101" s="186"/>
      <c r="K101" s="187"/>
      <c r="L101" s="626"/>
      <c r="M101" s="186"/>
      <c r="N101" s="564"/>
      <c r="O101" s="564"/>
      <c r="P101" s="188"/>
      <c r="Q101" s="188"/>
      <c r="R101" s="185"/>
      <c r="S101" s="182"/>
      <c r="T101" s="625"/>
      <c r="U101" s="188"/>
      <c r="V101" s="188"/>
      <c r="W101" s="185"/>
      <c r="X101" s="182"/>
      <c r="Y101" s="625"/>
      <c r="Z101" s="188"/>
      <c r="AA101" s="188"/>
      <c r="AB101" s="185"/>
      <c r="AC101" s="182"/>
      <c r="AD101" s="625"/>
      <c r="AE101" s="188"/>
      <c r="AF101" s="188"/>
      <c r="AG101" s="185"/>
      <c r="AH101" s="182"/>
      <c r="AI101" s="625"/>
      <c r="AJ101" s="188"/>
      <c r="AK101" s="188"/>
      <c r="AL101" s="185"/>
      <c r="AM101" s="182"/>
      <c r="AN101" s="625"/>
      <c r="AO101" s="188"/>
      <c r="AP101" s="188"/>
      <c r="AQ101" s="185"/>
      <c r="AR101" s="182"/>
      <c r="AS101" s="625"/>
      <c r="AT101" s="188"/>
      <c r="AU101" s="188"/>
      <c r="AV101" s="185"/>
      <c r="AW101" s="182"/>
      <c r="AX101" s="625"/>
    </row>
    <row r="102" spans="2:50" ht="14.25" customHeight="1" collapsed="1">
      <c r="B102" s="641" t="s">
        <v>646</v>
      </c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3"/>
      <c r="N102" s="575" t="s">
        <v>377</v>
      </c>
      <c r="O102" s="575" t="s">
        <v>105</v>
      </c>
      <c r="P102" s="655">
        <f>AT82+1</f>
        <v>46112</v>
      </c>
      <c r="Q102" s="656"/>
      <c r="R102" s="656"/>
      <c r="S102" s="656"/>
      <c r="T102" s="656"/>
      <c r="U102" s="657">
        <f>P102+1</f>
        <v>46113</v>
      </c>
      <c r="V102" s="658"/>
      <c r="W102" s="658"/>
      <c r="X102" s="658"/>
      <c r="Y102" s="658"/>
      <c r="Z102" s="655">
        <f t="shared" ref="Z102" si="92">U102+1</f>
        <v>46114</v>
      </c>
      <c r="AA102" s="656"/>
      <c r="AB102" s="656"/>
      <c r="AC102" s="656"/>
      <c r="AD102" s="656"/>
      <c r="AE102" s="657">
        <f t="shared" ref="AE102" si="93">Z102+1</f>
        <v>46115</v>
      </c>
      <c r="AF102" s="658"/>
      <c r="AG102" s="658"/>
      <c r="AH102" s="658"/>
      <c r="AI102" s="658"/>
      <c r="AJ102" s="647">
        <f t="shared" ref="AJ102" si="94">AE102+1</f>
        <v>46116</v>
      </c>
      <c r="AK102" s="648"/>
      <c r="AL102" s="648"/>
      <c r="AM102" s="648"/>
      <c r="AN102" s="649"/>
      <c r="AO102" s="657">
        <f t="shared" ref="AO102" si="95">AJ102+1</f>
        <v>46117</v>
      </c>
      <c r="AP102" s="658"/>
      <c r="AQ102" s="658"/>
      <c r="AR102" s="658"/>
      <c r="AS102" s="658"/>
      <c r="AT102" s="647">
        <f t="shared" ref="AT102" si="96">AO102+1</f>
        <v>46118</v>
      </c>
      <c r="AU102" s="648"/>
      <c r="AV102" s="648"/>
      <c r="AW102" s="648"/>
      <c r="AX102" s="649"/>
    </row>
    <row r="103" spans="2:50" ht="14.25" customHeight="1">
      <c r="B103" s="644"/>
      <c r="C103" s="644"/>
      <c r="D103" s="644"/>
      <c r="E103" s="644"/>
      <c r="F103" s="644"/>
      <c r="G103" s="644"/>
      <c r="H103" s="644"/>
      <c r="I103" s="644"/>
      <c r="J103" s="644"/>
      <c r="K103" s="644"/>
      <c r="L103" s="644"/>
      <c r="M103" s="645"/>
      <c r="N103" s="577"/>
      <c r="O103" s="577"/>
      <c r="P103" s="650">
        <f>P102</f>
        <v>46112</v>
      </c>
      <c r="Q103" s="650"/>
      <c r="R103" s="650"/>
      <c r="S103" s="650"/>
      <c r="T103" s="650"/>
      <c r="U103" s="651">
        <f>U102</f>
        <v>46113</v>
      </c>
      <c r="V103" s="651"/>
      <c r="W103" s="651"/>
      <c r="X103" s="651"/>
      <c r="Y103" s="651"/>
      <c r="Z103" s="650">
        <f t="shared" ref="Z103" si="97">Z102</f>
        <v>46114</v>
      </c>
      <c r="AA103" s="650"/>
      <c r="AB103" s="650"/>
      <c r="AC103" s="650"/>
      <c r="AD103" s="650"/>
      <c r="AE103" s="651">
        <f t="shared" ref="AE103" si="98">AE102</f>
        <v>46115</v>
      </c>
      <c r="AF103" s="651"/>
      <c r="AG103" s="651"/>
      <c r="AH103" s="651"/>
      <c r="AI103" s="651"/>
      <c r="AJ103" s="652">
        <f t="shared" ref="AJ103" si="99">AJ102</f>
        <v>46116</v>
      </c>
      <c r="AK103" s="653"/>
      <c r="AL103" s="653"/>
      <c r="AM103" s="653"/>
      <c r="AN103" s="654"/>
      <c r="AO103" s="651">
        <f t="shared" ref="AO103" si="100">AO102</f>
        <v>46117</v>
      </c>
      <c r="AP103" s="651"/>
      <c r="AQ103" s="651"/>
      <c r="AR103" s="651"/>
      <c r="AS103" s="651"/>
      <c r="AT103" s="652">
        <f t="shared" ref="AT103" si="101">AT102</f>
        <v>46118</v>
      </c>
      <c r="AU103" s="653"/>
      <c r="AV103" s="653"/>
      <c r="AW103" s="653"/>
      <c r="AX103" s="654"/>
    </row>
    <row r="104" spans="2:50" ht="14.25" customHeight="1">
      <c r="B104" s="575" t="s">
        <v>164</v>
      </c>
      <c r="C104" s="605" t="s">
        <v>159</v>
      </c>
      <c r="D104" s="606"/>
      <c r="E104" s="590" t="s">
        <v>160</v>
      </c>
      <c r="F104" s="591"/>
      <c r="G104" s="592"/>
      <c r="H104" s="575" t="s">
        <v>165</v>
      </c>
      <c r="I104" s="593" t="s">
        <v>378</v>
      </c>
      <c r="J104" s="594"/>
      <c r="K104" s="595"/>
      <c r="L104" s="611" t="s">
        <v>165</v>
      </c>
      <c r="M104" s="611" t="s">
        <v>167</v>
      </c>
      <c r="N104" s="575"/>
      <c r="O104" s="575" t="s">
        <v>166</v>
      </c>
      <c r="P104" s="590" t="s">
        <v>162</v>
      </c>
      <c r="Q104" s="591"/>
      <c r="R104" s="591"/>
      <c r="S104" s="592"/>
      <c r="T104" s="575" t="s">
        <v>165</v>
      </c>
      <c r="U104" s="590" t="s">
        <v>162</v>
      </c>
      <c r="V104" s="591"/>
      <c r="W104" s="591"/>
      <c r="X104" s="592"/>
      <c r="Y104" s="575" t="s">
        <v>165</v>
      </c>
      <c r="Z104" s="590" t="s">
        <v>162</v>
      </c>
      <c r="AA104" s="591"/>
      <c r="AB104" s="591"/>
      <c r="AC104" s="592"/>
      <c r="AD104" s="575" t="s">
        <v>165</v>
      </c>
      <c r="AE104" s="590" t="s">
        <v>162</v>
      </c>
      <c r="AF104" s="591"/>
      <c r="AG104" s="591"/>
      <c r="AH104" s="592"/>
      <c r="AI104" s="575" t="s">
        <v>165</v>
      </c>
      <c r="AJ104" s="590" t="s">
        <v>162</v>
      </c>
      <c r="AK104" s="591"/>
      <c r="AL104" s="591"/>
      <c r="AM104" s="592"/>
      <c r="AN104" s="575" t="s">
        <v>165</v>
      </c>
      <c r="AO104" s="590" t="s">
        <v>162</v>
      </c>
      <c r="AP104" s="591"/>
      <c r="AQ104" s="591"/>
      <c r="AR104" s="592"/>
      <c r="AS104" s="575" t="s">
        <v>165</v>
      </c>
      <c r="AT104" s="590" t="s">
        <v>162</v>
      </c>
      <c r="AU104" s="591"/>
      <c r="AV104" s="591"/>
      <c r="AW104" s="592"/>
      <c r="AX104" s="575" t="s">
        <v>165</v>
      </c>
    </row>
    <row r="105" spans="2:50" ht="14.25" customHeight="1">
      <c r="B105" s="576"/>
      <c r="C105" s="607"/>
      <c r="D105" s="608"/>
      <c r="E105" s="590" t="s">
        <v>379</v>
      </c>
      <c r="F105" s="591"/>
      <c r="G105" s="592"/>
      <c r="H105" s="576"/>
      <c r="I105" s="593" t="s">
        <v>379</v>
      </c>
      <c r="J105" s="594"/>
      <c r="K105" s="595"/>
      <c r="L105" s="612"/>
      <c r="M105" s="612"/>
      <c r="N105" s="576"/>
      <c r="O105" s="576"/>
      <c r="P105" s="590" t="s">
        <v>380</v>
      </c>
      <c r="Q105" s="591"/>
      <c r="R105" s="591"/>
      <c r="S105" s="592"/>
      <c r="T105" s="576"/>
      <c r="U105" s="590" t="s">
        <v>380</v>
      </c>
      <c r="V105" s="591"/>
      <c r="W105" s="591"/>
      <c r="X105" s="592"/>
      <c r="Y105" s="576"/>
      <c r="Z105" s="590" t="s">
        <v>380</v>
      </c>
      <c r="AA105" s="591"/>
      <c r="AB105" s="591"/>
      <c r="AC105" s="592"/>
      <c r="AD105" s="576"/>
      <c r="AE105" s="590" t="s">
        <v>380</v>
      </c>
      <c r="AF105" s="591"/>
      <c r="AG105" s="591"/>
      <c r="AH105" s="592"/>
      <c r="AI105" s="576"/>
      <c r="AJ105" s="590" t="s">
        <v>380</v>
      </c>
      <c r="AK105" s="591"/>
      <c r="AL105" s="591"/>
      <c r="AM105" s="592"/>
      <c r="AN105" s="576"/>
      <c r="AO105" s="590" t="s">
        <v>380</v>
      </c>
      <c r="AP105" s="591"/>
      <c r="AQ105" s="591"/>
      <c r="AR105" s="592"/>
      <c r="AS105" s="576"/>
      <c r="AT105" s="590" t="s">
        <v>380</v>
      </c>
      <c r="AU105" s="591"/>
      <c r="AV105" s="591"/>
      <c r="AW105" s="592"/>
      <c r="AX105" s="576"/>
    </row>
    <row r="106" spans="2:50" ht="14.25" customHeight="1">
      <c r="B106" s="577"/>
      <c r="C106" s="609"/>
      <c r="D106" s="610"/>
      <c r="E106" s="180" t="s">
        <v>161</v>
      </c>
      <c r="F106" s="180" t="s">
        <v>381</v>
      </c>
      <c r="G106" s="180" t="s">
        <v>163</v>
      </c>
      <c r="H106" s="577"/>
      <c r="I106" s="181" t="s">
        <v>161</v>
      </c>
      <c r="J106" s="181" t="s">
        <v>381</v>
      </c>
      <c r="K106" s="181" t="s">
        <v>163</v>
      </c>
      <c r="L106" s="613"/>
      <c r="M106" s="613"/>
      <c r="N106" s="576"/>
      <c r="O106" s="576"/>
      <c r="P106" s="180" t="s">
        <v>161</v>
      </c>
      <c r="Q106" s="180" t="s">
        <v>381</v>
      </c>
      <c r="R106" s="180" t="s">
        <v>163</v>
      </c>
      <c r="S106" s="182" t="s">
        <v>167</v>
      </c>
      <c r="T106" s="577"/>
      <c r="U106" s="180" t="s">
        <v>161</v>
      </c>
      <c r="V106" s="180" t="s">
        <v>381</v>
      </c>
      <c r="W106" s="180" t="s">
        <v>163</v>
      </c>
      <c r="X106" s="182" t="s">
        <v>167</v>
      </c>
      <c r="Y106" s="577"/>
      <c r="Z106" s="180" t="s">
        <v>161</v>
      </c>
      <c r="AA106" s="180" t="s">
        <v>381</v>
      </c>
      <c r="AB106" s="180" t="s">
        <v>163</v>
      </c>
      <c r="AC106" s="182" t="s">
        <v>167</v>
      </c>
      <c r="AD106" s="577"/>
      <c r="AE106" s="180" t="s">
        <v>161</v>
      </c>
      <c r="AF106" s="180" t="s">
        <v>381</v>
      </c>
      <c r="AG106" s="180" t="s">
        <v>163</v>
      </c>
      <c r="AH106" s="182" t="s">
        <v>167</v>
      </c>
      <c r="AI106" s="577"/>
      <c r="AJ106" s="180" t="s">
        <v>161</v>
      </c>
      <c r="AK106" s="180" t="s">
        <v>381</v>
      </c>
      <c r="AL106" s="180" t="s">
        <v>163</v>
      </c>
      <c r="AM106" s="182" t="s">
        <v>167</v>
      </c>
      <c r="AN106" s="577"/>
      <c r="AO106" s="180" t="s">
        <v>161</v>
      </c>
      <c r="AP106" s="180" t="s">
        <v>381</v>
      </c>
      <c r="AQ106" s="180" t="s">
        <v>163</v>
      </c>
      <c r="AR106" s="182" t="s">
        <v>167</v>
      </c>
      <c r="AS106" s="577"/>
      <c r="AT106" s="180" t="s">
        <v>161</v>
      </c>
      <c r="AU106" s="180" t="s">
        <v>381</v>
      </c>
      <c r="AV106" s="180" t="s">
        <v>163</v>
      </c>
      <c r="AW106" s="182" t="s">
        <v>167</v>
      </c>
      <c r="AX106" s="577"/>
    </row>
    <row r="107" spans="2:50" ht="14.25" customHeight="1">
      <c r="B107" s="564" t="s">
        <v>384</v>
      </c>
      <c r="C107" s="180">
        <v>1</v>
      </c>
      <c r="D107" s="183" t="s">
        <v>537</v>
      </c>
      <c r="E107" s="180">
        <v>6</v>
      </c>
      <c r="F107" s="180">
        <v>3273</v>
      </c>
      <c r="G107" s="185">
        <f t="shared" ref="G107:G108" si="102">F107/E107</f>
        <v>545.5</v>
      </c>
      <c r="H107" s="625">
        <f>AVERAGE(G107:G121)</f>
        <v>545.5</v>
      </c>
      <c r="I107" s="186">
        <f>AVERAGE(P107,U107,Z107,AE107,AJ107,AO107,AT107)</f>
        <v>6</v>
      </c>
      <c r="J107" s="186">
        <f>AVERAGE(Q107,V107,AA107,AF107,AK107,AP107,AU107)</f>
        <v>2964.1246242900002</v>
      </c>
      <c r="K107" s="187">
        <f>AVERAGE(R107,W107,AB107,AG107,AL107,AQ107,AV107)</f>
        <v>494.02077071499991</v>
      </c>
      <c r="L107" s="626">
        <f>IFERROR(AVERAGE(K107:K121),"-")</f>
        <v>493.97915432640377</v>
      </c>
      <c r="M107" s="186">
        <f>RANK(K107, K$107:$K$121)</f>
        <v>1</v>
      </c>
      <c r="N107" s="576"/>
      <c r="O107" s="576"/>
      <c r="P107" s="188">
        <v>6</v>
      </c>
      <c r="Q107" s="188">
        <v>2960.8355091383755</v>
      </c>
      <c r="R107" s="185">
        <f>IFERROR(Q107/P107,"")</f>
        <v>493.47258485639594</v>
      </c>
      <c r="S107" s="182">
        <f>RANK(R107, R$107:R$121)</f>
        <v>2</v>
      </c>
      <c r="T107" s="625">
        <f>AVERAGE(R107:R121)</f>
        <v>493.51860916015107</v>
      </c>
      <c r="U107" s="188">
        <v>6</v>
      </c>
      <c r="V107" s="188">
        <v>2963.7209302325577</v>
      </c>
      <c r="W107" s="185">
        <f t="shared" ref="W107:W108" si="103">IFERROR(V107/U107,"")</f>
        <v>493.95348837209298</v>
      </c>
      <c r="X107" s="182">
        <f>RANK(W107, W$107:W$121)</f>
        <v>1</v>
      </c>
      <c r="Y107" s="625">
        <f>AVERAGE(W107:W121)</f>
        <v>493.80387766525882</v>
      </c>
      <c r="Z107" s="188">
        <v>6</v>
      </c>
      <c r="AA107" s="188">
        <v>2963.6942675159057</v>
      </c>
      <c r="AB107" s="185">
        <f t="shared" ref="AB107:AB108" si="104">IFERROR(AA107/Z107,"")</f>
        <v>493.94904458598427</v>
      </c>
      <c r="AC107" s="182">
        <f>RANK(AB107, AB$107:AB$121)</f>
        <v>1</v>
      </c>
      <c r="AD107" s="625">
        <f>AVERAGE(AB107:AB121)</f>
        <v>493.86227739503278</v>
      </c>
      <c r="AE107" s="188">
        <v>6</v>
      </c>
      <c r="AF107" s="188">
        <v>2965.0582362728569</v>
      </c>
      <c r="AG107" s="185">
        <f>IFERROR(AF107/AE107,"")</f>
        <v>494.17637271214284</v>
      </c>
      <c r="AH107" s="182">
        <f>RANK(AG107, AG$107:AG$121)</f>
        <v>1</v>
      </c>
      <c r="AI107" s="625">
        <f>AVERAGE(AG107:AG121)</f>
        <v>494.11704883484799</v>
      </c>
      <c r="AJ107" s="188">
        <v>6</v>
      </c>
      <c r="AK107" s="188">
        <v>2964.7058823529328</v>
      </c>
      <c r="AL107" s="185">
        <f t="shared" ref="AL107:AL108" si="105">IFERROR(AK107/AJ107,"")</f>
        <v>494.11764705882212</v>
      </c>
      <c r="AM107" s="182">
        <f>RANK(AL107, AL$107:AL$121)</f>
        <v>1</v>
      </c>
      <c r="AN107" s="625">
        <f>AVERAGE(AL107:AL121)</f>
        <v>494.04087899433767</v>
      </c>
      <c r="AO107" s="188">
        <v>6</v>
      </c>
      <c r="AP107" s="188">
        <v>2965.9090909091119</v>
      </c>
      <c r="AQ107" s="185">
        <f t="shared" ref="AQ107:AQ108" si="106">IFERROR(AP107/AO107,"")</f>
        <v>494.31818181818534</v>
      </c>
      <c r="AR107" s="182">
        <f>RANK(AQ107, AQ$107:AQ$121)</f>
        <v>1</v>
      </c>
      <c r="AS107" s="625">
        <f>AVERAGE(AQ107:AQ121)</f>
        <v>494.2763871317573</v>
      </c>
      <c r="AT107" s="188">
        <v>6</v>
      </c>
      <c r="AU107" s="188">
        <v>2964.9484536082564</v>
      </c>
      <c r="AV107" s="185">
        <f t="shared" ref="AV107:AV108" si="107">IFERROR(AU107/AT107,"")</f>
        <v>494.15807560137608</v>
      </c>
      <c r="AW107" s="182">
        <f>RANK(AV107, AV$107:AV$121)</f>
        <v>2</v>
      </c>
      <c r="AX107" s="625">
        <f>AVERAGE(AV107:AV121)</f>
        <v>494.23500110344088</v>
      </c>
    </row>
    <row r="108" spans="2:50" ht="14.25" customHeight="1">
      <c r="B108" s="564"/>
      <c r="C108" s="180">
        <v>2</v>
      </c>
      <c r="D108" s="183" t="s">
        <v>609</v>
      </c>
      <c r="E108" s="180">
        <v>6</v>
      </c>
      <c r="F108" s="180">
        <v>3273</v>
      </c>
      <c r="G108" s="185">
        <f t="shared" si="102"/>
        <v>545.5</v>
      </c>
      <c r="H108" s="625"/>
      <c r="I108" s="186">
        <f t="shared" ref="I108:K108" si="108">AVERAGE(P108,U108,Z108,AE108,AJ108,AO108,AT108)</f>
        <v>6</v>
      </c>
      <c r="J108" s="186">
        <f t="shared" si="108"/>
        <v>2963.6252276268456</v>
      </c>
      <c r="K108" s="187">
        <f t="shared" si="108"/>
        <v>493.93753793780758</v>
      </c>
      <c r="L108" s="626"/>
      <c r="M108" s="186">
        <f>RANK(K108, K$107:$K$121)</f>
        <v>2</v>
      </c>
      <c r="N108" s="576"/>
      <c r="O108" s="576"/>
      <c r="P108" s="188">
        <v>6</v>
      </c>
      <c r="Q108" s="188">
        <v>2961.3878007834369</v>
      </c>
      <c r="R108" s="185">
        <f t="shared" ref="R108" si="109">IFERROR(Q108/P108,"")</f>
        <v>493.56463346390615</v>
      </c>
      <c r="S108" s="182">
        <f>RANK(R108, R$107:R$121)</f>
        <v>1</v>
      </c>
      <c r="T108" s="625"/>
      <c r="U108" s="188">
        <v>6</v>
      </c>
      <c r="V108" s="188">
        <v>2961.9256017505477</v>
      </c>
      <c r="W108" s="185">
        <f t="shared" si="103"/>
        <v>493.65426695842461</v>
      </c>
      <c r="X108" s="182">
        <f>RANK(W108, W$107:W$121)</f>
        <v>2</v>
      </c>
      <c r="Y108" s="625"/>
      <c r="Z108" s="188">
        <v>6</v>
      </c>
      <c r="AA108" s="188">
        <v>2962.6530612244878</v>
      </c>
      <c r="AB108" s="185">
        <f t="shared" si="104"/>
        <v>493.77551020408129</v>
      </c>
      <c r="AC108" s="182">
        <f>RANK(AB108, AB$107:AB$121)</f>
        <v>2</v>
      </c>
      <c r="AD108" s="625"/>
      <c r="AE108" s="188">
        <v>6</v>
      </c>
      <c r="AF108" s="188">
        <v>2964.3463497453185</v>
      </c>
      <c r="AG108" s="185">
        <f t="shared" ref="AG108" si="110">IFERROR(AF108/AE108,"")</f>
        <v>494.05772495755309</v>
      </c>
      <c r="AH108" s="182">
        <f>RANK(AG108, AG$107:AG$121)</f>
        <v>2</v>
      </c>
      <c r="AI108" s="625"/>
      <c r="AJ108" s="188">
        <v>6</v>
      </c>
      <c r="AK108" s="188">
        <v>2963.7846655791195</v>
      </c>
      <c r="AL108" s="185">
        <f t="shared" si="105"/>
        <v>493.96411092985323</v>
      </c>
      <c r="AM108" s="182">
        <f>RANK(AL108, AL$107:AL$121)</f>
        <v>2</v>
      </c>
      <c r="AN108" s="625"/>
      <c r="AO108" s="188">
        <v>6</v>
      </c>
      <c r="AP108" s="188">
        <v>2965.4075546719755</v>
      </c>
      <c r="AQ108" s="185">
        <f t="shared" si="106"/>
        <v>494.23459244532927</v>
      </c>
      <c r="AR108" s="182">
        <f>RANK(AQ108, AQ$107:AQ$121)</f>
        <v>2</v>
      </c>
      <c r="AS108" s="625"/>
      <c r="AT108" s="188">
        <v>6</v>
      </c>
      <c r="AU108" s="188">
        <v>2965.8715596330339</v>
      </c>
      <c r="AV108" s="185">
        <f t="shared" si="107"/>
        <v>494.31192660550568</v>
      </c>
      <c r="AW108" s="182">
        <f>RANK(AV108, AV$107:AV$121)</f>
        <v>1</v>
      </c>
      <c r="AX108" s="625"/>
    </row>
    <row r="109" spans="2:50" ht="14.25" customHeight="1">
      <c r="B109" s="564"/>
      <c r="C109" s="180">
        <v>3</v>
      </c>
      <c r="D109" s="183"/>
      <c r="E109" s="180"/>
      <c r="F109" s="180"/>
      <c r="G109" s="185"/>
      <c r="H109" s="625"/>
      <c r="I109" s="186"/>
      <c r="J109" s="186"/>
      <c r="K109" s="187"/>
      <c r="L109" s="626"/>
      <c r="M109" s="186"/>
      <c r="N109" s="576"/>
      <c r="O109" s="576"/>
      <c r="P109" s="188"/>
      <c r="Q109" s="188"/>
      <c r="R109" s="185"/>
      <c r="S109" s="182"/>
      <c r="T109" s="625"/>
      <c r="U109" s="188"/>
      <c r="V109" s="188"/>
      <c r="W109" s="185"/>
      <c r="X109" s="182"/>
      <c r="Y109" s="625"/>
      <c r="Z109" s="188"/>
      <c r="AA109" s="188"/>
      <c r="AB109" s="185"/>
      <c r="AC109" s="182"/>
      <c r="AD109" s="625"/>
      <c r="AE109" s="188"/>
      <c r="AF109" s="188"/>
      <c r="AG109" s="185"/>
      <c r="AH109" s="182"/>
      <c r="AI109" s="625"/>
      <c r="AJ109" s="188"/>
      <c r="AK109" s="188"/>
      <c r="AL109" s="185"/>
      <c r="AM109" s="182"/>
      <c r="AN109" s="625"/>
      <c r="AO109" s="188"/>
      <c r="AP109" s="188"/>
      <c r="AQ109" s="185"/>
      <c r="AR109" s="182"/>
      <c r="AS109" s="625"/>
      <c r="AT109" s="188"/>
      <c r="AU109" s="188"/>
      <c r="AV109" s="185"/>
      <c r="AW109" s="182"/>
      <c r="AX109" s="625"/>
    </row>
    <row r="110" spans="2:50" ht="14.25" customHeight="1">
      <c r="B110" s="564"/>
      <c r="C110" s="180">
        <v>4</v>
      </c>
      <c r="D110" s="183"/>
      <c r="E110" s="180"/>
      <c r="F110" s="180"/>
      <c r="G110" s="185"/>
      <c r="H110" s="625"/>
      <c r="I110" s="186"/>
      <c r="J110" s="186"/>
      <c r="K110" s="187"/>
      <c r="L110" s="626"/>
      <c r="M110" s="186"/>
      <c r="N110" s="576"/>
      <c r="O110" s="576"/>
      <c r="P110" s="188"/>
      <c r="Q110" s="188"/>
      <c r="R110" s="185"/>
      <c r="S110" s="182"/>
      <c r="T110" s="625"/>
      <c r="U110" s="188"/>
      <c r="V110" s="188"/>
      <c r="W110" s="185"/>
      <c r="X110" s="182"/>
      <c r="Y110" s="625"/>
      <c r="Z110" s="188"/>
      <c r="AA110" s="188"/>
      <c r="AB110" s="185"/>
      <c r="AC110" s="182"/>
      <c r="AD110" s="625"/>
      <c r="AE110" s="188"/>
      <c r="AF110" s="188"/>
      <c r="AG110" s="185"/>
      <c r="AH110" s="182"/>
      <c r="AI110" s="625"/>
      <c r="AJ110" s="188"/>
      <c r="AK110" s="188"/>
      <c r="AL110" s="185"/>
      <c r="AM110" s="182"/>
      <c r="AN110" s="625"/>
      <c r="AO110" s="188"/>
      <c r="AP110" s="188"/>
      <c r="AQ110" s="185"/>
      <c r="AR110" s="182"/>
      <c r="AS110" s="625"/>
      <c r="AT110" s="188"/>
      <c r="AU110" s="188"/>
      <c r="AV110" s="185"/>
      <c r="AW110" s="182"/>
      <c r="AX110" s="625"/>
    </row>
    <row r="111" spans="2:50" ht="14.25" customHeight="1">
      <c r="B111" s="564"/>
      <c r="C111" s="180">
        <v>5</v>
      </c>
      <c r="D111" s="183"/>
      <c r="E111" s="180"/>
      <c r="F111" s="180"/>
      <c r="G111" s="185"/>
      <c r="H111" s="625"/>
      <c r="I111" s="186"/>
      <c r="J111" s="186"/>
      <c r="K111" s="187"/>
      <c r="L111" s="626"/>
      <c r="M111" s="186"/>
      <c r="N111" s="576"/>
      <c r="O111" s="576"/>
      <c r="P111" s="188"/>
      <c r="Q111" s="188"/>
      <c r="R111" s="185"/>
      <c r="S111" s="182"/>
      <c r="T111" s="625"/>
      <c r="U111" s="188"/>
      <c r="V111" s="188"/>
      <c r="W111" s="185"/>
      <c r="X111" s="182"/>
      <c r="Y111" s="625"/>
      <c r="Z111" s="188"/>
      <c r="AA111" s="188"/>
      <c r="AB111" s="185"/>
      <c r="AC111" s="182"/>
      <c r="AD111" s="625"/>
      <c r="AE111" s="188"/>
      <c r="AF111" s="188"/>
      <c r="AG111" s="185"/>
      <c r="AH111" s="182"/>
      <c r="AI111" s="625"/>
      <c r="AJ111" s="188"/>
      <c r="AK111" s="188"/>
      <c r="AL111" s="185"/>
      <c r="AM111" s="182"/>
      <c r="AN111" s="625"/>
      <c r="AO111" s="188"/>
      <c r="AP111" s="188"/>
      <c r="AQ111" s="185"/>
      <c r="AR111" s="182"/>
      <c r="AS111" s="625"/>
      <c r="AT111" s="188"/>
      <c r="AU111" s="188"/>
      <c r="AV111" s="185"/>
      <c r="AW111" s="182"/>
      <c r="AX111" s="625"/>
    </row>
    <row r="112" spans="2:50" ht="14.25" customHeight="1">
      <c r="B112" s="564"/>
      <c r="C112" s="180">
        <v>6</v>
      </c>
      <c r="D112" s="183"/>
      <c r="E112" s="180"/>
      <c r="F112" s="180"/>
      <c r="G112" s="185"/>
      <c r="H112" s="625"/>
      <c r="I112" s="186"/>
      <c r="J112" s="186"/>
      <c r="K112" s="187"/>
      <c r="L112" s="626"/>
      <c r="M112" s="186"/>
      <c r="N112" s="576"/>
      <c r="O112" s="576"/>
      <c r="P112" s="188"/>
      <c r="Q112" s="188"/>
      <c r="R112" s="185"/>
      <c r="S112" s="182"/>
      <c r="T112" s="625"/>
      <c r="U112" s="188"/>
      <c r="V112" s="188"/>
      <c r="W112" s="185"/>
      <c r="X112" s="182"/>
      <c r="Y112" s="625"/>
      <c r="Z112" s="188"/>
      <c r="AA112" s="188"/>
      <c r="AB112" s="185"/>
      <c r="AC112" s="182"/>
      <c r="AD112" s="625"/>
      <c r="AE112" s="188"/>
      <c r="AF112" s="188"/>
      <c r="AG112" s="185"/>
      <c r="AH112" s="182"/>
      <c r="AI112" s="625"/>
      <c r="AJ112" s="188"/>
      <c r="AK112" s="188"/>
      <c r="AL112" s="185"/>
      <c r="AM112" s="182"/>
      <c r="AN112" s="625"/>
      <c r="AO112" s="188"/>
      <c r="AP112" s="188"/>
      <c r="AQ112" s="185"/>
      <c r="AR112" s="182"/>
      <c r="AS112" s="625"/>
      <c r="AT112" s="188"/>
      <c r="AU112" s="188"/>
      <c r="AV112" s="185"/>
      <c r="AW112" s="182"/>
      <c r="AX112" s="625"/>
    </row>
    <row r="113" spans="2:50" ht="14.25" customHeight="1">
      <c r="B113" s="564"/>
      <c r="C113" s="180">
        <v>7</v>
      </c>
      <c r="D113" s="183"/>
      <c r="E113" s="180"/>
      <c r="F113" s="180"/>
      <c r="G113" s="185"/>
      <c r="H113" s="625"/>
      <c r="I113" s="186"/>
      <c r="J113" s="186"/>
      <c r="K113" s="187"/>
      <c r="L113" s="626"/>
      <c r="M113" s="186"/>
      <c r="N113" s="576"/>
      <c r="O113" s="576"/>
      <c r="P113" s="188"/>
      <c r="Q113" s="188"/>
      <c r="R113" s="185"/>
      <c r="S113" s="182"/>
      <c r="T113" s="625"/>
      <c r="U113" s="188"/>
      <c r="V113" s="188"/>
      <c r="W113" s="185"/>
      <c r="X113" s="182"/>
      <c r="Y113" s="625"/>
      <c r="Z113" s="188"/>
      <c r="AA113" s="188"/>
      <c r="AB113" s="185"/>
      <c r="AC113" s="182"/>
      <c r="AD113" s="625"/>
      <c r="AE113" s="188"/>
      <c r="AF113" s="188"/>
      <c r="AG113" s="185"/>
      <c r="AH113" s="182"/>
      <c r="AI113" s="625"/>
      <c r="AJ113" s="188"/>
      <c r="AK113" s="188"/>
      <c r="AL113" s="185"/>
      <c r="AM113" s="182"/>
      <c r="AN113" s="625"/>
      <c r="AO113" s="188"/>
      <c r="AP113" s="188"/>
      <c r="AQ113" s="185"/>
      <c r="AR113" s="182"/>
      <c r="AS113" s="625"/>
      <c r="AT113" s="188"/>
      <c r="AU113" s="188"/>
      <c r="AV113" s="185"/>
      <c r="AW113" s="182"/>
      <c r="AX113" s="625"/>
    </row>
    <row r="114" spans="2:50" ht="14.25" customHeight="1">
      <c r="B114" s="564"/>
      <c r="C114" s="180">
        <v>8</v>
      </c>
      <c r="D114" s="183"/>
      <c r="E114" s="180"/>
      <c r="F114" s="180"/>
      <c r="G114" s="185"/>
      <c r="H114" s="625"/>
      <c r="I114" s="186"/>
      <c r="J114" s="186"/>
      <c r="K114" s="187"/>
      <c r="L114" s="626"/>
      <c r="M114" s="186"/>
      <c r="N114" s="576"/>
      <c r="O114" s="576"/>
      <c r="P114" s="188"/>
      <c r="Q114" s="188"/>
      <c r="R114" s="185"/>
      <c r="S114" s="182"/>
      <c r="T114" s="625"/>
      <c r="U114" s="188"/>
      <c r="V114" s="188"/>
      <c r="W114" s="185"/>
      <c r="X114" s="182"/>
      <c r="Y114" s="625"/>
      <c r="Z114" s="188"/>
      <c r="AA114" s="188"/>
      <c r="AB114" s="185"/>
      <c r="AC114" s="182"/>
      <c r="AD114" s="625"/>
      <c r="AE114" s="188"/>
      <c r="AF114" s="188"/>
      <c r="AG114" s="185"/>
      <c r="AH114" s="182"/>
      <c r="AI114" s="625"/>
      <c r="AJ114" s="188"/>
      <c r="AK114" s="188"/>
      <c r="AL114" s="185"/>
      <c r="AM114" s="182"/>
      <c r="AN114" s="625"/>
      <c r="AO114" s="188"/>
      <c r="AP114" s="188"/>
      <c r="AQ114" s="185"/>
      <c r="AR114" s="182"/>
      <c r="AS114" s="625"/>
      <c r="AT114" s="188"/>
      <c r="AU114" s="188"/>
      <c r="AV114" s="185"/>
      <c r="AW114" s="182"/>
      <c r="AX114" s="625"/>
    </row>
    <row r="115" spans="2:50" ht="14.25" customHeight="1">
      <c r="B115" s="564"/>
      <c r="C115" s="180">
        <v>9</v>
      </c>
      <c r="D115" s="183"/>
      <c r="E115" s="180"/>
      <c r="F115" s="180"/>
      <c r="G115" s="185"/>
      <c r="H115" s="625"/>
      <c r="I115" s="186"/>
      <c r="J115" s="186"/>
      <c r="K115" s="187"/>
      <c r="L115" s="626"/>
      <c r="M115" s="186"/>
      <c r="N115" s="576"/>
      <c r="O115" s="576"/>
      <c r="P115" s="188"/>
      <c r="Q115" s="188"/>
      <c r="R115" s="185"/>
      <c r="S115" s="182"/>
      <c r="T115" s="625"/>
      <c r="U115" s="188"/>
      <c r="V115" s="188"/>
      <c r="W115" s="185"/>
      <c r="X115" s="182"/>
      <c r="Y115" s="625"/>
      <c r="Z115" s="188"/>
      <c r="AA115" s="188"/>
      <c r="AB115" s="185"/>
      <c r="AC115" s="182"/>
      <c r="AD115" s="625"/>
      <c r="AE115" s="188"/>
      <c r="AF115" s="188"/>
      <c r="AG115" s="185"/>
      <c r="AH115" s="182"/>
      <c r="AI115" s="625"/>
      <c r="AJ115" s="188"/>
      <c r="AK115" s="188"/>
      <c r="AL115" s="185"/>
      <c r="AM115" s="182"/>
      <c r="AN115" s="625"/>
      <c r="AO115" s="188"/>
      <c r="AP115" s="188"/>
      <c r="AQ115" s="185"/>
      <c r="AR115" s="182"/>
      <c r="AS115" s="625"/>
      <c r="AT115" s="188"/>
      <c r="AU115" s="188"/>
      <c r="AV115" s="185"/>
      <c r="AW115" s="182"/>
      <c r="AX115" s="625"/>
    </row>
    <row r="116" spans="2:50" ht="14.25" customHeight="1">
      <c r="B116" s="564"/>
      <c r="C116" s="180">
        <v>10</v>
      </c>
      <c r="D116" s="183"/>
      <c r="E116" s="180"/>
      <c r="F116" s="180"/>
      <c r="G116" s="185"/>
      <c r="H116" s="625"/>
      <c r="I116" s="186"/>
      <c r="J116" s="186"/>
      <c r="K116" s="187"/>
      <c r="L116" s="626"/>
      <c r="M116" s="186"/>
      <c r="N116" s="576"/>
      <c r="O116" s="576"/>
      <c r="P116" s="188"/>
      <c r="Q116" s="188"/>
      <c r="R116" s="185"/>
      <c r="S116" s="182"/>
      <c r="T116" s="625"/>
      <c r="U116" s="188"/>
      <c r="V116" s="188"/>
      <c r="W116" s="185"/>
      <c r="X116" s="182"/>
      <c r="Y116" s="625"/>
      <c r="Z116" s="188"/>
      <c r="AA116" s="188"/>
      <c r="AB116" s="185"/>
      <c r="AC116" s="182"/>
      <c r="AD116" s="625"/>
      <c r="AE116" s="188"/>
      <c r="AF116" s="188"/>
      <c r="AG116" s="185"/>
      <c r="AH116" s="182"/>
      <c r="AI116" s="625"/>
      <c r="AJ116" s="188"/>
      <c r="AK116" s="188"/>
      <c r="AL116" s="185"/>
      <c r="AM116" s="182"/>
      <c r="AN116" s="625"/>
      <c r="AO116" s="188"/>
      <c r="AP116" s="188"/>
      <c r="AQ116" s="185"/>
      <c r="AR116" s="182"/>
      <c r="AS116" s="625"/>
      <c r="AT116" s="188"/>
      <c r="AU116" s="188"/>
      <c r="AV116" s="185"/>
      <c r="AW116" s="182"/>
      <c r="AX116" s="625"/>
    </row>
    <row r="117" spans="2:50" ht="14.25" customHeight="1">
      <c r="B117" s="564"/>
      <c r="C117" s="180">
        <v>11</v>
      </c>
      <c r="D117" s="183"/>
      <c r="E117" s="180"/>
      <c r="F117" s="180"/>
      <c r="G117" s="185"/>
      <c r="H117" s="625"/>
      <c r="I117" s="186"/>
      <c r="J117" s="186"/>
      <c r="K117" s="187"/>
      <c r="L117" s="626"/>
      <c r="M117" s="186"/>
      <c r="N117" s="576"/>
      <c r="O117" s="576"/>
      <c r="P117" s="188"/>
      <c r="Q117" s="188"/>
      <c r="R117" s="185"/>
      <c r="S117" s="182"/>
      <c r="T117" s="625"/>
      <c r="U117" s="188"/>
      <c r="V117" s="188"/>
      <c r="W117" s="185"/>
      <c r="X117" s="182"/>
      <c r="Y117" s="625"/>
      <c r="Z117" s="188"/>
      <c r="AA117" s="188"/>
      <c r="AB117" s="185"/>
      <c r="AC117" s="182"/>
      <c r="AD117" s="625"/>
      <c r="AE117" s="188"/>
      <c r="AF117" s="188"/>
      <c r="AG117" s="185"/>
      <c r="AH117" s="182"/>
      <c r="AI117" s="625"/>
      <c r="AJ117" s="188"/>
      <c r="AK117" s="188"/>
      <c r="AL117" s="185"/>
      <c r="AM117" s="182"/>
      <c r="AN117" s="625"/>
      <c r="AO117" s="188"/>
      <c r="AP117" s="188"/>
      <c r="AQ117" s="185"/>
      <c r="AR117" s="182"/>
      <c r="AS117" s="625"/>
      <c r="AT117" s="188"/>
      <c r="AU117" s="188"/>
      <c r="AV117" s="185"/>
      <c r="AW117" s="182"/>
      <c r="AX117" s="625"/>
    </row>
    <row r="118" spans="2:50" ht="14.25" customHeight="1">
      <c r="B118" s="564"/>
      <c r="C118" s="180">
        <v>12</v>
      </c>
      <c r="D118" s="183"/>
      <c r="E118" s="180"/>
      <c r="F118" s="180"/>
      <c r="G118" s="185"/>
      <c r="H118" s="625"/>
      <c r="I118" s="186"/>
      <c r="J118" s="186"/>
      <c r="K118" s="187"/>
      <c r="L118" s="626"/>
      <c r="M118" s="186"/>
      <c r="N118" s="576"/>
      <c r="O118" s="576"/>
      <c r="P118" s="188"/>
      <c r="Q118" s="188"/>
      <c r="R118" s="185"/>
      <c r="S118" s="182"/>
      <c r="T118" s="625"/>
      <c r="U118" s="188"/>
      <c r="V118" s="188"/>
      <c r="W118" s="185"/>
      <c r="X118" s="182"/>
      <c r="Y118" s="625"/>
      <c r="Z118" s="188"/>
      <c r="AA118" s="188"/>
      <c r="AB118" s="185"/>
      <c r="AC118" s="182"/>
      <c r="AD118" s="625"/>
      <c r="AE118" s="188"/>
      <c r="AF118" s="188"/>
      <c r="AG118" s="185"/>
      <c r="AH118" s="182"/>
      <c r="AI118" s="625"/>
      <c r="AJ118" s="188"/>
      <c r="AK118" s="188"/>
      <c r="AL118" s="185"/>
      <c r="AM118" s="182"/>
      <c r="AN118" s="625"/>
      <c r="AO118" s="188"/>
      <c r="AP118" s="188"/>
      <c r="AQ118" s="185"/>
      <c r="AR118" s="182"/>
      <c r="AS118" s="625"/>
      <c r="AT118" s="188"/>
      <c r="AU118" s="188"/>
      <c r="AV118" s="185"/>
      <c r="AW118" s="182"/>
      <c r="AX118" s="625"/>
    </row>
    <row r="119" spans="2:50" ht="14.25" customHeight="1">
      <c r="B119" s="564"/>
      <c r="C119" s="180">
        <v>13</v>
      </c>
      <c r="D119" s="183"/>
      <c r="E119" s="180"/>
      <c r="F119" s="180"/>
      <c r="G119" s="185"/>
      <c r="H119" s="625"/>
      <c r="I119" s="186"/>
      <c r="J119" s="186"/>
      <c r="K119" s="187"/>
      <c r="L119" s="626"/>
      <c r="M119" s="186"/>
      <c r="N119" s="576"/>
      <c r="O119" s="576"/>
      <c r="P119" s="188"/>
      <c r="Q119" s="188"/>
      <c r="R119" s="185"/>
      <c r="S119" s="182"/>
      <c r="T119" s="625"/>
      <c r="U119" s="188"/>
      <c r="V119" s="188"/>
      <c r="W119" s="185"/>
      <c r="X119" s="182"/>
      <c r="Y119" s="625"/>
      <c r="Z119" s="188"/>
      <c r="AA119" s="188"/>
      <c r="AB119" s="185"/>
      <c r="AC119" s="182"/>
      <c r="AD119" s="625"/>
      <c r="AE119" s="188"/>
      <c r="AF119" s="188"/>
      <c r="AG119" s="185"/>
      <c r="AH119" s="182"/>
      <c r="AI119" s="625"/>
      <c r="AJ119" s="188"/>
      <c r="AK119" s="188"/>
      <c r="AL119" s="185"/>
      <c r="AM119" s="182"/>
      <c r="AN119" s="625"/>
      <c r="AO119" s="188"/>
      <c r="AP119" s="188"/>
      <c r="AQ119" s="185"/>
      <c r="AR119" s="182"/>
      <c r="AS119" s="625"/>
      <c r="AT119" s="188"/>
      <c r="AU119" s="188"/>
      <c r="AV119" s="185"/>
      <c r="AW119" s="182"/>
      <c r="AX119" s="625"/>
    </row>
    <row r="120" spans="2:50" ht="14.25" customHeight="1">
      <c r="B120" s="564"/>
      <c r="C120" s="180">
        <v>14</v>
      </c>
      <c r="D120" s="183"/>
      <c r="E120" s="180"/>
      <c r="F120" s="180"/>
      <c r="G120" s="185"/>
      <c r="H120" s="625"/>
      <c r="I120" s="186"/>
      <c r="J120" s="186"/>
      <c r="K120" s="187"/>
      <c r="L120" s="626"/>
      <c r="M120" s="186"/>
      <c r="N120" s="576"/>
      <c r="O120" s="576"/>
      <c r="P120" s="188"/>
      <c r="Q120" s="188"/>
      <c r="R120" s="185"/>
      <c r="S120" s="182"/>
      <c r="T120" s="625"/>
      <c r="U120" s="188"/>
      <c r="V120" s="188"/>
      <c r="W120" s="185"/>
      <c r="X120" s="182"/>
      <c r="Y120" s="625"/>
      <c r="Z120" s="188"/>
      <c r="AA120" s="188"/>
      <c r="AB120" s="185"/>
      <c r="AC120" s="182"/>
      <c r="AD120" s="625"/>
      <c r="AE120" s="188"/>
      <c r="AF120" s="188"/>
      <c r="AG120" s="185"/>
      <c r="AH120" s="182"/>
      <c r="AI120" s="625"/>
      <c r="AJ120" s="188"/>
      <c r="AK120" s="188"/>
      <c r="AL120" s="185"/>
      <c r="AM120" s="182"/>
      <c r="AN120" s="625"/>
      <c r="AO120" s="188"/>
      <c r="AP120" s="188"/>
      <c r="AQ120" s="185"/>
      <c r="AR120" s="182"/>
      <c r="AS120" s="625"/>
      <c r="AT120" s="188"/>
      <c r="AU120" s="188"/>
      <c r="AV120" s="185"/>
      <c r="AW120" s="182"/>
      <c r="AX120" s="625"/>
    </row>
    <row r="121" spans="2:50" ht="14.25" customHeight="1">
      <c r="B121" s="564"/>
      <c r="C121" s="180">
        <v>15</v>
      </c>
      <c r="D121" s="183"/>
      <c r="E121" s="180"/>
      <c r="F121" s="180"/>
      <c r="G121" s="185"/>
      <c r="H121" s="625"/>
      <c r="I121" s="186"/>
      <c r="J121" s="186"/>
      <c r="K121" s="187"/>
      <c r="L121" s="626"/>
      <c r="M121" s="186"/>
      <c r="N121" s="577"/>
      <c r="O121" s="577"/>
      <c r="P121" s="188"/>
      <c r="Q121" s="188"/>
      <c r="R121" s="185"/>
      <c r="S121" s="182"/>
      <c r="T121" s="625"/>
      <c r="U121" s="188"/>
      <c r="V121" s="188"/>
      <c r="W121" s="185"/>
      <c r="X121" s="182"/>
      <c r="Y121" s="625"/>
      <c r="Z121" s="188"/>
      <c r="AA121" s="188"/>
      <c r="AB121" s="185"/>
      <c r="AC121" s="182"/>
      <c r="AD121" s="625"/>
      <c r="AE121" s="188"/>
      <c r="AF121" s="188"/>
      <c r="AG121" s="185"/>
      <c r="AH121" s="182"/>
      <c r="AI121" s="625"/>
      <c r="AJ121" s="188"/>
      <c r="AK121" s="188"/>
      <c r="AL121" s="185"/>
      <c r="AM121" s="182"/>
      <c r="AN121" s="625"/>
      <c r="AO121" s="188"/>
      <c r="AP121" s="188"/>
      <c r="AQ121" s="185"/>
      <c r="AR121" s="182"/>
      <c r="AS121" s="625"/>
      <c r="AT121" s="188"/>
      <c r="AU121" s="188"/>
      <c r="AV121" s="185"/>
      <c r="AW121" s="182"/>
      <c r="AX121" s="625"/>
    </row>
  </sheetData>
  <mergeCells count="354"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N87:AN101"/>
    <mergeCell ref="AS87:AS101"/>
    <mergeCell ref="AJ84:AM84"/>
    <mergeCell ref="AN84:AN86"/>
    <mergeCell ref="AO84:AR84"/>
    <mergeCell ref="AS84:AS86"/>
    <mergeCell ref="AT84:AW84"/>
    <mergeCell ref="AX84:AX86"/>
    <mergeCell ref="AX87:AX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B87:B101"/>
    <mergeCell ref="H87:H101"/>
    <mergeCell ref="L87:L101"/>
    <mergeCell ref="T87:T101"/>
    <mergeCell ref="Y87:Y101"/>
    <mergeCell ref="AD87:AD101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AI87:AI10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P83:T83"/>
    <mergeCell ref="U83:Y83"/>
    <mergeCell ref="Z83:AD83"/>
    <mergeCell ref="AE83:AI83"/>
    <mergeCell ref="AJ83:AN83"/>
    <mergeCell ref="AO83:AS83"/>
    <mergeCell ref="AT83:AX83"/>
    <mergeCell ref="AJ64:AM64"/>
    <mergeCell ref="AN64:AN66"/>
    <mergeCell ref="AO64:AR64"/>
    <mergeCell ref="AS64:AS66"/>
    <mergeCell ref="AT64:AW64"/>
    <mergeCell ref="AX64:AX66"/>
    <mergeCell ref="AX67:AX81"/>
    <mergeCell ref="P64:S64"/>
    <mergeCell ref="AT65:AW65"/>
    <mergeCell ref="T64:T66"/>
    <mergeCell ref="U64:X64"/>
    <mergeCell ref="Y64:Y66"/>
    <mergeCell ref="Z64:AC64"/>
    <mergeCell ref="AD64:AD66"/>
    <mergeCell ref="AE64:AH64"/>
    <mergeCell ref="AI64:AI66"/>
    <mergeCell ref="AT82:AX82"/>
    <mergeCell ref="T67:T81"/>
    <mergeCell ref="Y67:Y81"/>
    <mergeCell ref="AD67:AD81"/>
    <mergeCell ref="AI67:AI81"/>
    <mergeCell ref="AN67:AN81"/>
    <mergeCell ref="AS67:AS81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J4:AM4"/>
    <mergeCell ref="AN4:AN6"/>
    <mergeCell ref="AO4:AR4"/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AT22:AX22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T2:AX2"/>
    <mergeCell ref="P3:T3"/>
    <mergeCell ref="U3:Y3"/>
    <mergeCell ref="Z3:AD3"/>
    <mergeCell ref="AE3:AI3"/>
    <mergeCell ref="AJ3:AN3"/>
    <mergeCell ref="AO3:AS3"/>
    <mergeCell ref="AT3:AX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121"/>
  <sheetViews>
    <sheetView zoomScaleNormal="100" workbookViewId="0">
      <pane xSplit="13" ySplit="1" topLeftCell="AI91" activePane="bottomRight" state="frozen"/>
      <selection activeCell="L95" sqref="L95"/>
      <selection pane="topRight" activeCell="L95" sqref="L95"/>
      <selection pane="bottomLeft" activeCell="L95" sqref="L95"/>
      <selection pane="bottomRight" activeCell="AW107" sqref="AW107:AW114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67" t="s">
        <v>647</v>
      </c>
      <c r="C1" s="175">
        <f>AVERAGE(L27,L47,L67,L87)</f>
        <v>79.94999927589204</v>
      </c>
    </row>
    <row r="2" spans="1:50" ht="14.25" customHeight="1" collapsed="1">
      <c r="B2" s="641" t="s">
        <v>557</v>
      </c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3"/>
      <c r="N2" s="575" t="s">
        <v>377</v>
      </c>
      <c r="O2" s="575" t="s">
        <v>105</v>
      </c>
      <c r="P2" s="655">
        <v>46077</v>
      </c>
      <c r="Q2" s="656"/>
      <c r="R2" s="656"/>
      <c r="S2" s="656"/>
      <c r="T2" s="656"/>
      <c r="U2" s="657">
        <f>P2+1</f>
        <v>46078</v>
      </c>
      <c r="V2" s="658"/>
      <c r="W2" s="658"/>
      <c r="X2" s="658"/>
      <c r="Y2" s="658"/>
      <c r="Z2" s="655">
        <f t="shared" ref="Z2" si="0">U2+1</f>
        <v>46079</v>
      </c>
      <c r="AA2" s="656"/>
      <c r="AB2" s="656"/>
      <c r="AC2" s="656"/>
      <c r="AD2" s="656"/>
      <c r="AE2" s="657">
        <f t="shared" ref="AE2" si="1">Z2+1</f>
        <v>46080</v>
      </c>
      <c r="AF2" s="658"/>
      <c r="AG2" s="658"/>
      <c r="AH2" s="658"/>
      <c r="AI2" s="658"/>
      <c r="AJ2" s="647">
        <f t="shared" ref="AJ2" si="2">AE2+1</f>
        <v>46081</v>
      </c>
      <c r="AK2" s="648"/>
      <c r="AL2" s="648"/>
      <c r="AM2" s="648"/>
      <c r="AN2" s="649"/>
      <c r="AO2" s="657">
        <f t="shared" ref="AO2" si="3">AJ2+1</f>
        <v>46082</v>
      </c>
      <c r="AP2" s="658"/>
      <c r="AQ2" s="658"/>
      <c r="AR2" s="658"/>
      <c r="AS2" s="658"/>
      <c r="AT2" s="647">
        <f t="shared" ref="AT2" si="4">AO2+1</f>
        <v>46083</v>
      </c>
      <c r="AU2" s="648"/>
      <c r="AV2" s="648"/>
      <c r="AW2" s="648"/>
      <c r="AX2" s="649"/>
    </row>
    <row r="3" spans="1:50" ht="14.25" customHeight="1"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5"/>
      <c r="N3" s="577"/>
      <c r="O3" s="577"/>
      <c r="P3" s="650">
        <f>P2</f>
        <v>46077</v>
      </c>
      <c r="Q3" s="650"/>
      <c r="R3" s="650"/>
      <c r="S3" s="650"/>
      <c r="T3" s="650"/>
      <c r="U3" s="651">
        <f>U2</f>
        <v>46078</v>
      </c>
      <c r="V3" s="651"/>
      <c r="W3" s="651"/>
      <c r="X3" s="651"/>
      <c r="Y3" s="651"/>
      <c r="Z3" s="650">
        <f t="shared" ref="Z3" si="5">Z2</f>
        <v>46079</v>
      </c>
      <c r="AA3" s="650"/>
      <c r="AB3" s="650"/>
      <c r="AC3" s="650"/>
      <c r="AD3" s="650"/>
      <c r="AE3" s="651">
        <f t="shared" ref="AE3" si="6">AE2</f>
        <v>46080</v>
      </c>
      <c r="AF3" s="651"/>
      <c r="AG3" s="651"/>
      <c r="AH3" s="651"/>
      <c r="AI3" s="651"/>
      <c r="AJ3" s="652">
        <f t="shared" ref="AJ3" si="7">AJ2</f>
        <v>46081</v>
      </c>
      <c r="AK3" s="653"/>
      <c r="AL3" s="653"/>
      <c r="AM3" s="653"/>
      <c r="AN3" s="654"/>
      <c r="AO3" s="651">
        <f t="shared" ref="AO3" si="8">AO2</f>
        <v>46082</v>
      </c>
      <c r="AP3" s="651"/>
      <c r="AQ3" s="651"/>
      <c r="AR3" s="651"/>
      <c r="AS3" s="651"/>
      <c r="AT3" s="652">
        <f t="shared" ref="AT3" si="9">AT2</f>
        <v>46083</v>
      </c>
      <c r="AU3" s="653"/>
      <c r="AV3" s="653"/>
      <c r="AW3" s="653"/>
      <c r="AX3" s="654"/>
    </row>
    <row r="4" spans="1:50" ht="14.25" customHeight="1">
      <c r="B4" s="564" t="s">
        <v>164</v>
      </c>
      <c r="C4" s="564" t="s">
        <v>159</v>
      </c>
      <c r="D4" s="564"/>
      <c r="E4" s="564" t="s">
        <v>160</v>
      </c>
      <c r="F4" s="564"/>
      <c r="G4" s="564"/>
      <c r="H4" s="564" t="s">
        <v>165</v>
      </c>
      <c r="I4" s="628" t="s">
        <v>378</v>
      </c>
      <c r="J4" s="628"/>
      <c r="K4" s="628"/>
      <c r="L4" s="628" t="s">
        <v>165</v>
      </c>
      <c r="M4" s="628" t="s">
        <v>167</v>
      </c>
      <c r="N4" s="564"/>
      <c r="O4" s="564" t="s">
        <v>166</v>
      </c>
      <c r="P4" s="564" t="s">
        <v>162</v>
      </c>
      <c r="Q4" s="564"/>
      <c r="R4" s="564"/>
      <c r="S4" s="564"/>
      <c r="T4" s="564" t="s">
        <v>165</v>
      </c>
      <c r="U4" s="564" t="s">
        <v>162</v>
      </c>
      <c r="V4" s="564"/>
      <c r="W4" s="564"/>
      <c r="X4" s="564"/>
      <c r="Y4" s="564" t="s">
        <v>165</v>
      </c>
      <c r="Z4" s="564" t="s">
        <v>162</v>
      </c>
      <c r="AA4" s="564"/>
      <c r="AB4" s="564"/>
      <c r="AC4" s="564"/>
      <c r="AD4" s="564" t="s">
        <v>165</v>
      </c>
      <c r="AE4" s="564" t="s">
        <v>162</v>
      </c>
      <c r="AF4" s="564"/>
      <c r="AG4" s="564"/>
      <c r="AH4" s="564"/>
      <c r="AI4" s="564" t="s">
        <v>165</v>
      </c>
      <c r="AJ4" s="564" t="s">
        <v>162</v>
      </c>
      <c r="AK4" s="564"/>
      <c r="AL4" s="564"/>
      <c r="AM4" s="564"/>
      <c r="AN4" s="564" t="s">
        <v>165</v>
      </c>
      <c r="AO4" s="564" t="s">
        <v>162</v>
      </c>
      <c r="AP4" s="564"/>
      <c r="AQ4" s="564"/>
      <c r="AR4" s="564"/>
      <c r="AS4" s="564" t="s">
        <v>165</v>
      </c>
      <c r="AT4" s="564" t="s">
        <v>162</v>
      </c>
      <c r="AU4" s="564"/>
      <c r="AV4" s="564"/>
      <c r="AW4" s="564"/>
      <c r="AX4" s="564" t="s">
        <v>165</v>
      </c>
    </row>
    <row r="5" spans="1:50" ht="14.25" customHeight="1">
      <c r="B5" s="564"/>
      <c r="C5" s="564"/>
      <c r="D5" s="564"/>
      <c r="E5" s="564" t="s">
        <v>379</v>
      </c>
      <c r="F5" s="564"/>
      <c r="G5" s="564"/>
      <c r="H5" s="564"/>
      <c r="I5" s="628" t="s">
        <v>379</v>
      </c>
      <c r="J5" s="628"/>
      <c r="K5" s="628"/>
      <c r="L5" s="628"/>
      <c r="M5" s="628"/>
      <c r="N5" s="564"/>
      <c r="O5" s="564"/>
      <c r="P5" s="564" t="s">
        <v>380</v>
      </c>
      <c r="Q5" s="564"/>
      <c r="R5" s="564"/>
      <c r="S5" s="564"/>
      <c r="T5" s="564"/>
      <c r="U5" s="564" t="s">
        <v>380</v>
      </c>
      <c r="V5" s="564"/>
      <c r="W5" s="564"/>
      <c r="X5" s="564"/>
      <c r="Y5" s="564"/>
      <c r="Z5" s="564" t="s">
        <v>380</v>
      </c>
      <c r="AA5" s="564"/>
      <c r="AB5" s="564"/>
      <c r="AC5" s="564"/>
      <c r="AD5" s="564"/>
      <c r="AE5" s="564" t="s">
        <v>380</v>
      </c>
      <c r="AF5" s="564"/>
      <c r="AG5" s="564"/>
      <c r="AH5" s="564"/>
      <c r="AI5" s="564"/>
      <c r="AJ5" s="564" t="s">
        <v>380</v>
      </c>
      <c r="AK5" s="564"/>
      <c r="AL5" s="564"/>
      <c r="AM5" s="564"/>
      <c r="AN5" s="564"/>
      <c r="AO5" s="564" t="s">
        <v>380</v>
      </c>
      <c r="AP5" s="564"/>
      <c r="AQ5" s="564"/>
      <c r="AR5" s="564"/>
      <c r="AS5" s="564"/>
      <c r="AT5" s="564" t="s">
        <v>380</v>
      </c>
      <c r="AU5" s="564"/>
      <c r="AV5" s="564"/>
      <c r="AW5" s="564"/>
      <c r="AX5" s="564"/>
    </row>
    <row r="6" spans="1:50" ht="14.25" customHeight="1">
      <c r="B6" s="564"/>
      <c r="C6" s="564"/>
      <c r="D6" s="564"/>
      <c r="E6" s="180" t="s">
        <v>161</v>
      </c>
      <c r="F6" s="180" t="s">
        <v>381</v>
      </c>
      <c r="G6" s="180" t="s">
        <v>163</v>
      </c>
      <c r="H6" s="564"/>
      <c r="I6" s="181" t="s">
        <v>161</v>
      </c>
      <c r="J6" s="181" t="s">
        <v>381</v>
      </c>
      <c r="K6" s="181" t="s">
        <v>163</v>
      </c>
      <c r="L6" s="628"/>
      <c r="M6" s="628"/>
      <c r="N6" s="564"/>
      <c r="O6" s="564"/>
      <c r="P6" s="180" t="s">
        <v>161</v>
      </c>
      <c r="Q6" s="180" t="s">
        <v>381</v>
      </c>
      <c r="R6" s="180" t="s">
        <v>163</v>
      </c>
      <c r="S6" s="182" t="s">
        <v>167</v>
      </c>
      <c r="T6" s="564"/>
      <c r="U6" s="180" t="s">
        <v>161</v>
      </c>
      <c r="V6" s="180" t="s">
        <v>381</v>
      </c>
      <c r="W6" s="180" t="s">
        <v>163</v>
      </c>
      <c r="X6" s="182" t="s">
        <v>167</v>
      </c>
      <c r="Y6" s="564"/>
      <c r="Z6" s="180" t="s">
        <v>161</v>
      </c>
      <c r="AA6" s="180" t="s">
        <v>381</v>
      </c>
      <c r="AB6" s="180" t="s">
        <v>163</v>
      </c>
      <c r="AC6" s="182" t="s">
        <v>167</v>
      </c>
      <c r="AD6" s="564"/>
      <c r="AE6" s="180" t="s">
        <v>161</v>
      </c>
      <c r="AF6" s="180" t="s">
        <v>381</v>
      </c>
      <c r="AG6" s="180" t="s">
        <v>163</v>
      </c>
      <c r="AH6" s="182" t="s">
        <v>167</v>
      </c>
      <c r="AI6" s="564"/>
      <c r="AJ6" s="180" t="s">
        <v>161</v>
      </c>
      <c r="AK6" s="180" t="s">
        <v>381</v>
      </c>
      <c r="AL6" s="180" t="s">
        <v>163</v>
      </c>
      <c r="AM6" s="182" t="s">
        <v>167</v>
      </c>
      <c r="AN6" s="564"/>
      <c r="AO6" s="180" t="s">
        <v>161</v>
      </c>
      <c r="AP6" s="180" t="s">
        <v>381</v>
      </c>
      <c r="AQ6" s="180" t="s">
        <v>163</v>
      </c>
      <c r="AR6" s="182" t="s">
        <v>167</v>
      </c>
      <c r="AS6" s="564"/>
      <c r="AT6" s="180" t="s">
        <v>161</v>
      </c>
      <c r="AU6" s="180" t="s">
        <v>381</v>
      </c>
      <c r="AV6" s="180" t="s">
        <v>163</v>
      </c>
      <c r="AW6" s="182" t="s">
        <v>167</v>
      </c>
      <c r="AX6" s="564"/>
    </row>
    <row r="7" spans="1:50" ht="14.25" customHeight="1">
      <c r="B7" s="564" t="s">
        <v>357</v>
      </c>
      <c r="C7" s="180">
        <v>1</v>
      </c>
      <c r="D7" s="183" t="s">
        <v>346</v>
      </c>
      <c r="E7" s="180">
        <v>25</v>
      </c>
      <c r="F7" s="180">
        <v>2000</v>
      </c>
      <c r="G7" s="185">
        <f t="shared" ref="G7:G16" si="10">F7/E7</f>
        <v>80</v>
      </c>
      <c r="H7" s="625">
        <f>AVERAGE(G7:G21)</f>
        <v>91.706004140786746</v>
      </c>
      <c r="I7" s="186">
        <f>AVERAGE(P7,U7,Z7,AE7,AJ7,AO7,AT7)</f>
        <v>25</v>
      </c>
      <c r="J7" s="186">
        <f>AVERAGE(Q7,V7,AA7,AF7,AK7,AP7,AU7)</f>
        <v>1782.7376248896433</v>
      </c>
      <c r="K7" s="187">
        <f>AVERAGE(R7,W7,AB7,AG7,AL7,AQ7,AV7)</f>
        <v>71.309504995585712</v>
      </c>
      <c r="L7" s="626">
        <f>IFERROR(AVERAGE(K7:K21),"-")</f>
        <v>79.96347046137852</v>
      </c>
      <c r="M7" s="186">
        <f>RANK(K7, K$7:$K$21)</f>
        <v>9</v>
      </c>
      <c r="N7" s="564"/>
      <c r="O7" s="564"/>
      <c r="P7" s="188">
        <v>25</v>
      </c>
      <c r="Q7" s="188">
        <v>1782.813002896685</v>
      </c>
      <c r="R7" s="185">
        <f>IFERROR(Q7/P7,"")</f>
        <v>71.3125201158674</v>
      </c>
      <c r="S7" s="182">
        <f>RANK(R7, R$7:R$21)</f>
        <v>8</v>
      </c>
      <c r="T7" s="625">
        <f>AVERAGE(R7:R21)</f>
        <v>82.034058268429931</v>
      </c>
      <c r="U7" s="188">
        <v>25</v>
      </c>
      <c r="V7" s="188">
        <v>1782.7397260273976</v>
      </c>
      <c r="W7" s="185">
        <f t="shared" ref="W7:W14" si="11">IFERROR(V7/U7,"")</f>
        <v>71.309589041095904</v>
      </c>
      <c r="X7" s="182">
        <f>RANK(W7, W$7:W$21)</f>
        <v>8</v>
      </c>
      <c r="Y7" s="625">
        <f>AVERAGE(W7:W21)</f>
        <v>82.035390737517702</v>
      </c>
      <c r="Z7" s="188">
        <v>25</v>
      </c>
      <c r="AA7" s="188">
        <v>1782.6965738230217</v>
      </c>
      <c r="AB7" s="185">
        <f t="shared" ref="AB7:AB14" si="12">IFERROR(AA7/Z7,"")</f>
        <v>71.307862952920871</v>
      </c>
      <c r="AC7" s="182">
        <f>RANK(AB7, AB$7:AB$21)</f>
        <v>8</v>
      </c>
      <c r="AD7" s="625">
        <f>AVERAGE(AB7:AB21)</f>
        <v>82.041487516453543</v>
      </c>
      <c r="AE7" s="188">
        <v>25</v>
      </c>
      <c r="AF7" s="188">
        <v>1782.6780313445149</v>
      </c>
      <c r="AG7" s="185">
        <f>IFERROR(AF7/AE7,"")</f>
        <v>71.307121253780593</v>
      </c>
      <c r="AH7" s="182">
        <f>RANK(AG7, AG$7:AG$21)</f>
        <v>7</v>
      </c>
      <c r="AI7" s="625">
        <f>AVERAGE(AG7:AG21)</f>
        <v>81.014667568589743</v>
      </c>
      <c r="AJ7" s="188">
        <v>25</v>
      </c>
      <c r="AK7" s="188">
        <v>1782.6791592808308</v>
      </c>
      <c r="AL7" s="185">
        <f t="shared" ref="AL7:AL14" si="13">IFERROR(AK7/AJ7,"")</f>
        <v>71.307166371233237</v>
      </c>
      <c r="AM7" s="182">
        <f>RANK(AL7, AL$7:AL$21)</f>
        <v>7</v>
      </c>
      <c r="AN7" s="625">
        <f>AVERAGE(AL7:AL21)</f>
        <v>81.023618447988852</v>
      </c>
      <c r="AO7" s="188">
        <v>25</v>
      </c>
      <c r="AP7" s="188">
        <v>1782.7530594820232</v>
      </c>
      <c r="AQ7" s="185">
        <f t="shared" ref="AQ7:AQ14" si="14">IFERROR(AP7/AO7,"")</f>
        <v>71.310122379280926</v>
      </c>
      <c r="AR7" s="182" t="e">
        <f xml:space="preserve"> RANK(AQ7,#REF!)</f>
        <v>#REF!</v>
      </c>
      <c r="AS7" s="625">
        <f>AVERAGE(AQ7:AQ21)</f>
        <v>81.023294081340325</v>
      </c>
      <c r="AT7" s="188">
        <v>25</v>
      </c>
      <c r="AU7" s="188">
        <v>1782.8038213730283</v>
      </c>
      <c r="AV7" s="185">
        <f t="shared" ref="AV7:AV16" si="15">IFERROR(AU7/AT7,"")</f>
        <v>71.312152854921138</v>
      </c>
      <c r="AW7" s="182">
        <f>RANK(AV7, AV$7:AV$21)</f>
        <v>8</v>
      </c>
      <c r="AX7" s="625">
        <f>AVERAGE(AV7:AV21)</f>
        <v>76.801377319573447</v>
      </c>
    </row>
    <row r="8" spans="1:50" ht="14.25" customHeight="1">
      <c r="B8" s="564"/>
      <c r="C8" s="180">
        <v>2</v>
      </c>
      <c r="D8" s="183" t="s">
        <v>345</v>
      </c>
      <c r="E8" s="180">
        <v>23</v>
      </c>
      <c r="F8" s="180">
        <v>2000</v>
      </c>
      <c r="G8" s="185">
        <f t="shared" si="10"/>
        <v>86.956521739130437</v>
      </c>
      <c r="H8" s="625"/>
      <c r="I8" s="186">
        <f t="shared" ref="I8:K16" si="16">AVERAGE(P8,U8,Z8,AE8,AJ8,AO8,AT8)</f>
        <v>23.142857142857142</v>
      </c>
      <c r="J8" s="186">
        <f t="shared" si="16"/>
        <v>1783.5847059920795</v>
      </c>
      <c r="K8" s="187">
        <f t="shared" si="16"/>
        <v>77.085560479850727</v>
      </c>
      <c r="L8" s="626"/>
      <c r="M8" s="186">
        <f>RANK(K8, K$7:$K$21)</f>
        <v>6</v>
      </c>
      <c r="N8" s="564"/>
      <c r="O8" s="564"/>
      <c r="P8" s="188">
        <v>23</v>
      </c>
      <c r="Q8" s="188">
        <v>1783.4160170092132</v>
      </c>
      <c r="R8" s="185">
        <f t="shared" ref="R8:R14" si="17">IFERROR(Q8/P8,"")</f>
        <v>77.539826826487527</v>
      </c>
      <c r="S8" s="182">
        <f t="shared" ref="S8:S14" si="18">RANK(R8, R$7:R$21)</f>
        <v>5</v>
      </c>
      <c r="T8" s="625"/>
      <c r="U8" s="188">
        <v>23</v>
      </c>
      <c r="V8" s="188">
        <v>1783.6106750392505</v>
      </c>
      <c r="W8" s="185">
        <f t="shared" si="11"/>
        <v>77.548290219097851</v>
      </c>
      <c r="X8" s="182">
        <f t="shared" ref="X8:X14" si="19">RANK(W8, W$7:W$21)</f>
        <v>5</v>
      </c>
      <c r="Y8" s="625"/>
      <c r="Z8" s="188">
        <v>23</v>
      </c>
      <c r="AA8" s="188">
        <v>1783.6748404433984</v>
      </c>
      <c r="AB8" s="185">
        <f t="shared" si="12"/>
        <v>77.551080019278189</v>
      </c>
      <c r="AC8" s="182">
        <f t="shared" ref="AC8:AC14" si="20">RANK(AB8, AB$7:AB$21)</f>
        <v>5</v>
      </c>
      <c r="AD8" s="625"/>
      <c r="AE8" s="188">
        <v>23</v>
      </c>
      <c r="AF8" s="188">
        <v>1783.5164835164815</v>
      </c>
      <c r="AG8" s="185">
        <f t="shared" ref="AG8:AG14" si="21">IFERROR(AF8/AE8,"")</f>
        <v>77.544194935499192</v>
      </c>
      <c r="AH8" s="182">
        <f t="shared" ref="AH8:AH14" si="22">RANK(AG8, AG$7:AG$21)</f>
        <v>4</v>
      </c>
      <c r="AI8" s="625"/>
      <c r="AJ8" s="188">
        <v>23</v>
      </c>
      <c r="AK8" s="188">
        <v>1783.5783071464775</v>
      </c>
      <c r="AL8" s="185">
        <f t="shared" si="13"/>
        <v>77.54688291941207</v>
      </c>
      <c r="AM8" s="182">
        <f t="shared" ref="AM8:AM14" si="23">RANK(AL8, AL$7:AL$21)</f>
        <v>4</v>
      </c>
      <c r="AN8" s="625"/>
      <c r="AO8" s="188">
        <v>23</v>
      </c>
      <c r="AP8" s="188">
        <v>1783.6717062634984</v>
      </c>
      <c r="AQ8" s="185">
        <f t="shared" si="14"/>
        <v>77.550943750586882</v>
      </c>
      <c r="AR8" s="182" t="e">
        <f xml:space="preserve"> RANK(AQ8,#REF!)</f>
        <v>#REF!</v>
      </c>
      <c r="AS8" s="625"/>
      <c r="AT8" s="188">
        <v>24</v>
      </c>
      <c r="AU8" s="188">
        <v>1783.6249125262389</v>
      </c>
      <c r="AV8" s="185">
        <f t="shared" si="15"/>
        <v>74.317704688593281</v>
      </c>
      <c r="AW8" s="182">
        <f t="shared" ref="AW8:AW16" si="24">RANK(AV8, AV$7:AV$21)</f>
        <v>5</v>
      </c>
      <c r="AX8" s="625"/>
    </row>
    <row r="9" spans="1:50" ht="14.25" customHeight="1">
      <c r="B9" s="564"/>
      <c r="C9" s="180">
        <v>3</v>
      </c>
      <c r="D9" s="183" t="s">
        <v>358</v>
      </c>
      <c r="E9" s="180">
        <v>23</v>
      </c>
      <c r="F9" s="180">
        <v>2000</v>
      </c>
      <c r="G9" s="185">
        <f t="shared" si="10"/>
        <v>86.956521739130437</v>
      </c>
      <c r="H9" s="625"/>
      <c r="I9" s="186">
        <f t="shared" si="16"/>
        <v>23.142857142857142</v>
      </c>
      <c r="J9" s="186">
        <f t="shared" si="16"/>
        <v>1782.6195886982309</v>
      </c>
      <c r="K9" s="187">
        <f t="shared" si="16"/>
        <v>77.043873083483774</v>
      </c>
      <c r="L9" s="626"/>
      <c r="M9" s="186">
        <f>RANK(K9, K$7:$K$21)</f>
        <v>7</v>
      </c>
      <c r="N9" s="564"/>
      <c r="O9" s="564"/>
      <c r="P9" s="188">
        <v>23</v>
      </c>
      <c r="Q9" s="188">
        <v>1782.6191913095936</v>
      </c>
      <c r="R9" s="185">
        <f t="shared" si="17"/>
        <v>77.505182230851901</v>
      </c>
      <c r="S9" s="182">
        <f t="shared" si="18"/>
        <v>6</v>
      </c>
      <c r="T9" s="625"/>
      <c r="U9" s="188">
        <v>23</v>
      </c>
      <c r="V9" s="188">
        <v>1782.738780207138</v>
      </c>
      <c r="W9" s="185">
        <f t="shared" si="11"/>
        <v>77.510381748136439</v>
      </c>
      <c r="X9" s="182">
        <f t="shared" si="19"/>
        <v>6</v>
      </c>
      <c r="Y9" s="625"/>
      <c r="Z9" s="188">
        <v>23</v>
      </c>
      <c r="AA9" s="188">
        <v>1782.6415094339634</v>
      </c>
      <c r="AB9" s="185">
        <f t="shared" si="12"/>
        <v>77.50615258408537</v>
      </c>
      <c r="AC9" s="182">
        <f t="shared" si="20"/>
        <v>6</v>
      </c>
      <c r="AD9" s="625"/>
      <c r="AE9" s="188">
        <v>23</v>
      </c>
      <c r="AF9" s="188">
        <v>1782.6366559485557</v>
      </c>
      <c r="AG9" s="185">
        <f t="shared" si="21"/>
        <v>77.505941562980681</v>
      </c>
      <c r="AH9" s="182">
        <f t="shared" si="22"/>
        <v>5</v>
      </c>
      <c r="AI9" s="625"/>
      <c r="AJ9" s="188">
        <v>23</v>
      </c>
      <c r="AK9" s="188">
        <v>1782.6114054222467</v>
      </c>
      <c r="AL9" s="185">
        <f t="shared" si="13"/>
        <v>77.504843714010718</v>
      </c>
      <c r="AM9" s="182">
        <f t="shared" si="23"/>
        <v>5</v>
      </c>
      <c r="AN9" s="625"/>
      <c r="AO9" s="188">
        <v>23</v>
      </c>
      <c r="AP9" s="188">
        <v>1782.5242718446611</v>
      </c>
      <c r="AQ9" s="185">
        <f t="shared" si="14"/>
        <v>77.501055297593965</v>
      </c>
      <c r="AR9" s="182" t="e">
        <f xml:space="preserve"> RANK(AQ9,#REF!)</f>
        <v>#REF!</v>
      </c>
      <c r="AS9" s="625"/>
      <c r="AT9" s="188">
        <v>24</v>
      </c>
      <c r="AU9" s="188">
        <v>1782.5653067214564</v>
      </c>
      <c r="AV9" s="185">
        <f t="shared" si="15"/>
        <v>74.273554446727346</v>
      </c>
      <c r="AW9" s="182">
        <f t="shared" si="24"/>
        <v>6</v>
      </c>
      <c r="AX9" s="625"/>
    </row>
    <row r="10" spans="1:50" ht="14.25" customHeight="1">
      <c r="B10" s="564"/>
      <c r="C10" s="180">
        <v>4</v>
      </c>
      <c r="D10" s="183" t="s">
        <v>347</v>
      </c>
      <c r="E10" s="180">
        <v>23</v>
      </c>
      <c r="F10" s="180">
        <v>2000</v>
      </c>
      <c r="G10" s="185">
        <f t="shared" si="10"/>
        <v>86.956521739130437</v>
      </c>
      <c r="H10" s="625"/>
      <c r="I10" s="186">
        <f t="shared" si="16"/>
        <v>23.142857142857142</v>
      </c>
      <c r="J10" s="186">
        <f t="shared" si="16"/>
        <v>1781.5903238994902</v>
      </c>
      <c r="K10" s="187">
        <f t="shared" si="16"/>
        <v>76.999289798463252</v>
      </c>
      <c r="L10" s="626"/>
      <c r="M10" s="186">
        <f>RANK(K10, K$7:$K$21)</f>
        <v>8</v>
      </c>
      <c r="N10" s="564"/>
      <c r="O10" s="564"/>
      <c r="P10" s="188">
        <v>23</v>
      </c>
      <c r="Q10" s="188">
        <v>1781.4334832055044</v>
      </c>
      <c r="R10" s="185">
        <f t="shared" si="17"/>
        <v>77.453629704587144</v>
      </c>
      <c r="S10" s="182">
        <f t="shared" si="18"/>
        <v>7</v>
      </c>
      <c r="T10" s="625"/>
      <c r="U10" s="188">
        <v>23</v>
      </c>
      <c r="V10" s="188">
        <v>1781.5170586286856</v>
      </c>
      <c r="W10" s="185">
        <f t="shared" si="11"/>
        <v>77.457263418638505</v>
      </c>
      <c r="X10" s="182">
        <f t="shared" si="19"/>
        <v>7</v>
      </c>
      <c r="Y10" s="625"/>
      <c r="Z10" s="188">
        <v>23</v>
      </c>
      <c r="AA10" s="188">
        <v>1781.3504823151152</v>
      </c>
      <c r="AB10" s="185">
        <f t="shared" si="12"/>
        <v>77.450020970222397</v>
      </c>
      <c r="AC10" s="182">
        <f t="shared" si="20"/>
        <v>7</v>
      </c>
      <c r="AD10" s="625"/>
      <c r="AE10" s="188">
        <v>23</v>
      </c>
      <c r="AF10" s="188">
        <v>1781.3229571984421</v>
      </c>
      <c r="AG10" s="185">
        <f t="shared" si="21"/>
        <v>77.448824226019227</v>
      </c>
      <c r="AH10" s="182">
        <f t="shared" si="22"/>
        <v>6</v>
      </c>
      <c r="AI10" s="625"/>
      <c r="AJ10" s="188">
        <v>23</v>
      </c>
      <c r="AK10" s="188">
        <v>1781.6949152542388</v>
      </c>
      <c r="AL10" s="185">
        <f t="shared" si="13"/>
        <v>77.464996315401692</v>
      </c>
      <c r="AM10" s="182">
        <f t="shared" si="23"/>
        <v>6</v>
      </c>
      <c r="AN10" s="625"/>
      <c r="AO10" s="188">
        <v>23</v>
      </c>
      <c r="AP10" s="188">
        <v>1781.8947368421068</v>
      </c>
      <c r="AQ10" s="185">
        <f t="shared" si="14"/>
        <v>77.473684210526386</v>
      </c>
      <c r="AR10" s="182" t="e">
        <f xml:space="preserve"> RANK(AQ10,#REF!)</f>
        <v>#REF!</v>
      </c>
      <c r="AS10" s="625"/>
      <c r="AT10" s="188">
        <v>24</v>
      </c>
      <c r="AU10" s="188">
        <v>1781.9186338523377</v>
      </c>
      <c r="AV10" s="185">
        <f t="shared" si="15"/>
        <v>74.246609743847401</v>
      </c>
      <c r="AW10" s="182">
        <f t="shared" si="24"/>
        <v>7</v>
      </c>
      <c r="AX10" s="625"/>
    </row>
    <row r="11" spans="1:50" ht="14.25" customHeight="1">
      <c r="B11" s="564"/>
      <c r="C11" s="180">
        <v>5</v>
      </c>
      <c r="D11" s="183" t="s">
        <v>454</v>
      </c>
      <c r="E11" s="180">
        <v>20</v>
      </c>
      <c r="F11" s="180">
        <v>2000</v>
      </c>
      <c r="G11" s="185">
        <f t="shared" si="10"/>
        <v>100</v>
      </c>
      <c r="H11" s="625"/>
      <c r="I11" s="186">
        <f t="shared" si="16"/>
        <v>20</v>
      </c>
      <c r="J11" s="186">
        <f t="shared" si="16"/>
        <v>1784.4743599668157</v>
      </c>
      <c r="K11" s="187">
        <f t="shared" si="16"/>
        <v>89.223717998340774</v>
      </c>
      <c r="L11" s="626"/>
      <c r="M11" s="186">
        <f>RANK(K11, K$7:$K$21)</f>
        <v>2</v>
      </c>
      <c r="N11" s="564"/>
      <c r="O11" s="564"/>
      <c r="P11" s="188">
        <v>20</v>
      </c>
      <c r="Q11" s="188">
        <v>1784.2565597667635</v>
      </c>
      <c r="R11" s="185">
        <f t="shared" si="17"/>
        <v>89.212827988338177</v>
      </c>
      <c r="S11" s="182">
        <f t="shared" si="18"/>
        <v>2</v>
      </c>
      <c r="T11" s="625"/>
      <c r="U11" s="188">
        <v>20</v>
      </c>
      <c r="V11" s="188">
        <v>1784.0425531914836</v>
      </c>
      <c r="W11" s="185">
        <f t="shared" si="11"/>
        <v>89.202127659574188</v>
      </c>
      <c r="X11" s="182">
        <f t="shared" si="19"/>
        <v>2</v>
      </c>
      <c r="Y11" s="625"/>
      <c r="Z11" s="188">
        <v>20</v>
      </c>
      <c r="AA11" s="188">
        <v>1785.1239669422</v>
      </c>
      <c r="AB11" s="185">
        <f t="shared" si="12"/>
        <v>89.256198347110001</v>
      </c>
      <c r="AC11" s="182">
        <f t="shared" si="20"/>
        <v>2</v>
      </c>
      <c r="AD11" s="625"/>
      <c r="AE11" s="188"/>
      <c r="AF11" s="188"/>
      <c r="AG11" s="185"/>
      <c r="AH11" s="182"/>
      <c r="AI11" s="625"/>
      <c r="AJ11" s="188"/>
      <c r="AK11" s="188"/>
      <c r="AL11" s="185"/>
      <c r="AM11" s="182"/>
      <c r="AN11" s="625"/>
      <c r="AO11" s="188"/>
      <c r="AP11" s="188"/>
      <c r="AQ11" s="185"/>
      <c r="AR11" s="182"/>
      <c r="AS11" s="625"/>
      <c r="AT11" s="188"/>
      <c r="AU11" s="188"/>
      <c r="AV11" s="185"/>
      <c r="AW11" s="182"/>
      <c r="AX11" s="625"/>
    </row>
    <row r="12" spans="1:50" ht="14.25" customHeight="1">
      <c r="B12" s="564"/>
      <c r="C12" s="180">
        <v>6</v>
      </c>
      <c r="D12" s="183" t="s">
        <v>474</v>
      </c>
      <c r="E12" s="180">
        <v>21</v>
      </c>
      <c r="F12" s="180">
        <v>2000</v>
      </c>
      <c r="G12" s="185">
        <f t="shared" si="10"/>
        <v>95.238095238095241</v>
      </c>
      <c r="H12" s="625"/>
      <c r="I12" s="186">
        <f t="shared" si="16"/>
        <v>21.142857142857142</v>
      </c>
      <c r="J12" s="186">
        <f t="shared" si="16"/>
        <v>1784.3491569571138</v>
      </c>
      <c r="K12" s="187">
        <f t="shared" si="16"/>
        <v>84.417141369531024</v>
      </c>
      <c r="L12" s="626"/>
      <c r="M12" s="186">
        <f>RANK(K12, K$7:$K$21)</f>
        <v>3</v>
      </c>
      <c r="N12" s="564"/>
      <c r="O12" s="564"/>
      <c r="P12" s="188">
        <v>21</v>
      </c>
      <c r="Q12" s="188">
        <v>1784.1971112999174</v>
      </c>
      <c r="R12" s="185">
        <f t="shared" si="17"/>
        <v>84.961767204757976</v>
      </c>
      <c r="S12" s="182">
        <f t="shared" si="18"/>
        <v>3</v>
      </c>
      <c r="T12" s="625"/>
      <c r="U12" s="188">
        <v>21</v>
      </c>
      <c r="V12" s="188">
        <v>1783.8180856689628</v>
      </c>
      <c r="W12" s="185">
        <f t="shared" si="11"/>
        <v>84.943718365188701</v>
      </c>
      <c r="X12" s="182">
        <f t="shared" si="19"/>
        <v>3</v>
      </c>
      <c r="Y12" s="625"/>
      <c r="Z12" s="188">
        <v>21</v>
      </c>
      <c r="AA12" s="188">
        <v>1783.9381320642469</v>
      </c>
      <c r="AB12" s="185">
        <f t="shared" si="12"/>
        <v>84.949434860202231</v>
      </c>
      <c r="AC12" s="182">
        <f t="shared" si="20"/>
        <v>3</v>
      </c>
      <c r="AD12" s="625"/>
      <c r="AE12" s="188">
        <v>21</v>
      </c>
      <c r="AF12" s="188">
        <v>1784.1549295774598</v>
      </c>
      <c r="AG12" s="185">
        <f t="shared" si="21"/>
        <v>84.959758551307615</v>
      </c>
      <c r="AH12" s="182">
        <f t="shared" si="22"/>
        <v>2</v>
      </c>
      <c r="AI12" s="625"/>
      <c r="AJ12" s="188">
        <v>21</v>
      </c>
      <c r="AK12" s="188">
        <v>1784.8550950451875</v>
      </c>
      <c r="AL12" s="185">
        <f t="shared" si="13"/>
        <v>84.993099764056552</v>
      </c>
      <c r="AM12" s="182">
        <f t="shared" si="23"/>
        <v>2</v>
      </c>
      <c r="AN12" s="625"/>
      <c r="AO12" s="188">
        <v>21</v>
      </c>
      <c r="AP12" s="188">
        <v>1784.7457627118633</v>
      </c>
      <c r="AQ12" s="185">
        <f t="shared" si="14"/>
        <v>84.987893462469685</v>
      </c>
      <c r="AR12" s="182" t="e">
        <f xml:space="preserve"> RANK(AQ12,#REF!)</f>
        <v>#REF!</v>
      </c>
      <c r="AS12" s="625"/>
      <c r="AT12" s="188">
        <v>22</v>
      </c>
      <c r="AU12" s="188">
        <v>1784.734982332157</v>
      </c>
      <c r="AV12" s="185">
        <f t="shared" si="15"/>
        <v>81.124317378734403</v>
      </c>
      <c r="AW12" s="182">
        <f t="shared" si="24"/>
        <v>2</v>
      </c>
      <c r="AX12" s="625"/>
    </row>
    <row r="13" spans="1:50" ht="14.25" customHeight="1">
      <c r="B13" s="564"/>
      <c r="C13" s="180">
        <v>7</v>
      </c>
      <c r="D13" s="183" t="s">
        <v>511</v>
      </c>
      <c r="E13" s="180">
        <v>19</v>
      </c>
      <c r="F13" s="180">
        <v>1800</v>
      </c>
      <c r="G13" s="185">
        <f t="shared" si="10"/>
        <v>94.736842105263165</v>
      </c>
      <c r="H13" s="625"/>
      <c r="I13" s="186">
        <f t="shared" si="16"/>
        <v>19.142857142857142</v>
      </c>
      <c r="J13" s="186">
        <f t="shared" si="16"/>
        <v>1604.4334908856597</v>
      </c>
      <c r="K13" s="187">
        <f t="shared" si="16"/>
        <v>83.84071128628544</v>
      </c>
      <c r="L13" s="626"/>
      <c r="M13" s="186">
        <f>RANK(K13, K$7:$K$21)</f>
        <v>4</v>
      </c>
      <c r="N13" s="564"/>
      <c r="O13" s="564"/>
      <c r="P13" s="188">
        <v>19</v>
      </c>
      <c r="Q13" s="188">
        <v>1604.2811967891039</v>
      </c>
      <c r="R13" s="185">
        <f t="shared" si="17"/>
        <v>84.435852462584421</v>
      </c>
      <c r="S13" s="182">
        <f t="shared" si="18"/>
        <v>4</v>
      </c>
      <c r="T13" s="625"/>
      <c r="U13" s="188">
        <v>19</v>
      </c>
      <c r="V13" s="188">
        <v>1604.5480386583299</v>
      </c>
      <c r="W13" s="185">
        <f t="shared" si="11"/>
        <v>84.449896771491055</v>
      </c>
      <c r="X13" s="182">
        <f t="shared" si="19"/>
        <v>4</v>
      </c>
      <c r="Y13" s="625"/>
      <c r="Z13" s="188">
        <v>19</v>
      </c>
      <c r="AA13" s="188">
        <v>1604.4711951848674</v>
      </c>
      <c r="AB13" s="185">
        <f t="shared" si="12"/>
        <v>84.445852378150917</v>
      </c>
      <c r="AC13" s="182">
        <f t="shared" si="20"/>
        <v>4</v>
      </c>
      <c r="AD13" s="625"/>
      <c r="AE13" s="188">
        <v>19</v>
      </c>
      <c r="AF13" s="188">
        <v>1604.423555432682</v>
      </c>
      <c r="AG13" s="185">
        <f t="shared" si="21"/>
        <v>84.443345022772732</v>
      </c>
      <c r="AH13" s="182">
        <f t="shared" si="22"/>
        <v>3</v>
      </c>
      <c r="AI13" s="625"/>
      <c r="AJ13" s="188">
        <v>19</v>
      </c>
      <c r="AK13" s="188">
        <v>1604.5929018789138</v>
      </c>
      <c r="AL13" s="185">
        <f t="shared" si="13"/>
        <v>84.452257993627043</v>
      </c>
      <c r="AM13" s="182">
        <f t="shared" si="23"/>
        <v>3</v>
      </c>
      <c r="AN13" s="625"/>
      <c r="AO13" s="188">
        <v>19</v>
      </c>
      <c r="AP13" s="188">
        <v>1604.3208457825765</v>
      </c>
      <c r="AQ13" s="185">
        <f t="shared" si="14"/>
        <v>84.437939251714553</v>
      </c>
      <c r="AR13" s="182" t="e">
        <f xml:space="preserve"> RANK(AQ13,#REF!)</f>
        <v>#REF!</v>
      </c>
      <c r="AS13" s="625"/>
      <c r="AT13" s="188">
        <v>20</v>
      </c>
      <c r="AU13" s="188">
        <v>1604.3967024731455</v>
      </c>
      <c r="AV13" s="185">
        <f t="shared" si="15"/>
        <v>80.219835123657276</v>
      </c>
      <c r="AW13" s="182">
        <f t="shared" si="24"/>
        <v>3</v>
      </c>
      <c r="AX13" s="625"/>
    </row>
    <row r="14" spans="1:50" ht="14.25" customHeight="1">
      <c r="B14" s="564"/>
      <c r="C14" s="180">
        <v>8</v>
      </c>
      <c r="D14" s="183" t="s">
        <v>486</v>
      </c>
      <c r="E14" s="180">
        <v>19</v>
      </c>
      <c r="F14" s="180">
        <v>2000</v>
      </c>
      <c r="G14" s="185">
        <f t="shared" si="10"/>
        <v>105.26315789473684</v>
      </c>
      <c r="H14" s="625"/>
      <c r="I14" s="186">
        <f t="shared" si="16"/>
        <v>19.142857142857142</v>
      </c>
      <c r="J14" s="186">
        <f t="shared" si="16"/>
        <v>1783.774072644688</v>
      </c>
      <c r="K14" s="187">
        <f t="shared" si="16"/>
        <v>93.212053675189409</v>
      </c>
      <c r="L14" s="626"/>
      <c r="M14" s="186">
        <f>RANK(K14, K$7:$K$21)</f>
        <v>1</v>
      </c>
      <c r="N14" s="564"/>
      <c r="O14" s="564"/>
      <c r="P14" s="188">
        <v>19</v>
      </c>
      <c r="Q14" s="188">
        <v>1783.166332665332</v>
      </c>
      <c r="R14" s="185">
        <f t="shared" si="17"/>
        <v>93.850859613964843</v>
      </c>
      <c r="S14" s="182">
        <f t="shared" si="18"/>
        <v>1</v>
      </c>
      <c r="T14" s="625"/>
      <c r="U14" s="188">
        <v>19</v>
      </c>
      <c r="V14" s="188">
        <v>1783.3753148614621</v>
      </c>
      <c r="W14" s="185">
        <f t="shared" si="11"/>
        <v>93.861858676919056</v>
      </c>
      <c r="X14" s="182">
        <f t="shared" si="19"/>
        <v>1</v>
      </c>
      <c r="Y14" s="625"/>
      <c r="Z14" s="188">
        <v>19</v>
      </c>
      <c r="AA14" s="188">
        <v>1783.4406623735072</v>
      </c>
      <c r="AB14" s="185">
        <f t="shared" si="12"/>
        <v>93.865298019658269</v>
      </c>
      <c r="AC14" s="182">
        <f t="shared" si="20"/>
        <v>1</v>
      </c>
      <c r="AD14" s="625"/>
      <c r="AE14" s="188">
        <v>19</v>
      </c>
      <c r="AF14" s="188">
        <v>1783.9762611275955</v>
      </c>
      <c r="AG14" s="185">
        <f t="shared" si="21"/>
        <v>93.893487427768193</v>
      </c>
      <c r="AH14" s="182">
        <f t="shared" si="22"/>
        <v>1</v>
      </c>
      <c r="AI14" s="625"/>
      <c r="AJ14" s="188">
        <v>19</v>
      </c>
      <c r="AK14" s="188">
        <v>1784.0255591054317</v>
      </c>
      <c r="AL14" s="185">
        <f t="shared" si="13"/>
        <v>93.896082058180625</v>
      </c>
      <c r="AM14" s="182">
        <f t="shared" si="23"/>
        <v>1</v>
      </c>
      <c r="AN14" s="625"/>
      <c r="AO14" s="188">
        <v>19</v>
      </c>
      <c r="AP14" s="188">
        <v>1784.1269841269871</v>
      </c>
      <c r="AQ14" s="185">
        <f t="shared" si="14"/>
        <v>93.901420217209846</v>
      </c>
      <c r="AR14" s="182" t="e">
        <f xml:space="preserve"> RANK(AQ14,#REF!)</f>
        <v>#REF!</v>
      </c>
      <c r="AS14" s="625"/>
      <c r="AT14" s="188">
        <v>20</v>
      </c>
      <c r="AU14" s="188">
        <v>1784.3073942525016</v>
      </c>
      <c r="AV14" s="185">
        <f t="shared" si="15"/>
        <v>89.215369712625076</v>
      </c>
      <c r="AW14" s="182">
        <f t="shared" si="24"/>
        <v>1</v>
      </c>
      <c r="AX14" s="625"/>
    </row>
    <row r="15" spans="1:50" ht="14.25" customHeight="1">
      <c r="B15" s="564"/>
      <c r="C15" s="180">
        <v>9</v>
      </c>
      <c r="D15" s="183" t="s">
        <v>610</v>
      </c>
      <c r="E15" s="180">
        <v>21</v>
      </c>
      <c r="F15" s="180">
        <v>1800</v>
      </c>
      <c r="G15" s="185">
        <f t="shared" si="10"/>
        <v>85.714285714285708</v>
      </c>
      <c r="H15" s="625"/>
      <c r="I15" s="186">
        <f t="shared" si="16"/>
        <v>21</v>
      </c>
      <c r="J15" s="186">
        <f t="shared" si="16"/>
        <v>1457.1676300578042</v>
      </c>
      <c r="K15" s="187">
        <f t="shared" si="16"/>
        <v>69.38893476465735</v>
      </c>
      <c r="L15" s="626"/>
      <c r="M15" s="186">
        <f>RANK(K15, K$7:$K$21)</f>
        <v>10</v>
      </c>
      <c r="N15" s="564"/>
      <c r="O15" s="564"/>
      <c r="P15" s="188"/>
      <c r="Q15" s="188"/>
      <c r="R15" s="185"/>
      <c r="S15" s="182"/>
      <c r="T15" s="625"/>
      <c r="U15" s="188"/>
      <c r="V15" s="188"/>
      <c r="W15" s="185"/>
      <c r="X15" s="182"/>
      <c r="Y15" s="625"/>
      <c r="Z15" s="188"/>
      <c r="AA15" s="188"/>
      <c r="AB15" s="185"/>
      <c r="AC15" s="182"/>
      <c r="AD15" s="625"/>
      <c r="AE15" s="188"/>
      <c r="AF15" s="188"/>
      <c r="AG15" s="185"/>
      <c r="AH15" s="182"/>
      <c r="AI15" s="625"/>
      <c r="AJ15" s="188"/>
      <c r="AK15" s="188"/>
      <c r="AL15" s="185"/>
      <c r="AM15" s="182"/>
      <c r="AN15" s="625"/>
      <c r="AO15" s="188"/>
      <c r="AP15" s="188"/>
      <c r="AQ15" s="185"/>
      <c r="AR15" s="182"/>
      <c r="AS15" s="625"/>
      <c r="AT15" s="188">
        <v>21</v>
      </c>
      <c r="AU15" s="188">
        <v>1457.1676300578042</v>
      </c>
      <c r="AV15" s="185">
        <f t="shared" si="15"/>
        <v>69.38893476465735</v>
      </c>
      <c r="AW15" s="182">
        <f t="shared" si="24"/>
        <v>9</v>
      </c>
      <c r="AX15" s="625"/>
    </row>
    <row r="16" spans="1:50" ht="14.25" customHeight="1">
      <c r="B16" s="564"/>
      <c r="C16" s="180">
        <v>10</v>
      </c>
      <c r="D16" s="183" t="s">
        <v>611</v>
      </c>
      <c r="E16" s="180">
        <v>21</v>
      </c>
      <c r="F16" s="180">
        <v>2000</v>
      </c>
      <c r="G16" s="185">
        <f t="shared" si="10"/>
        <v>95.238095238095241</v>
      </c>
      <c r="H16" s="625"/>
      <c r="I16" s="186">
        <f t="shared" si="16"/>
        <v>21</v>
      </c>
      <c r="J16" s="186">
        <f t="shared" si="16"/>
        <v>1619.3922604103543</v>
      </c>
      <c r="K16" s="187">
        <f t="shared" si="16"/>
        <v>77.113917162397826</v>
      </c>
      <c r="L16" s="626"/>
      <c r="M16" s="186">
        <f>RANK(K16, K$7:$K$21)</f>
        <v>5</v>
      </c>
      <c r="N16" s="564"/>
      <c r="O16" s="564"/>
      <c r="P16" s="188"/>
      <c r="Q16" s="188"/>
      <c r="R16" s="185"/>
      <c r="S16" s="182"/>
      <c r="T16" s="625"/>
      <c r="U16" s="188"/>
      <c r="V16" s="188"/>
      <c r="W16" s="185"/>
      <c r="X16" s="182"/>
      <c r="Y16" s="625"/>
      <c r="Z16" s="188"/>
      <c r="AA16" s="188"/>
      <c r="AB16" s="185"/>
      <c r="AC16" s="182"/>
      <c r="AD16" s="625"/>
      <c r="AE16" s="188"/>
      <c r="AF16" s="188"/>
      <c r="AG16" s="185"/>
      <c r="AH16" s="182"/>
      <c r="AI16" s="625"/>
      <c r="AJ16" s="188"/>
      <c r="AK16" s="188"/>
      <c r="AL16" s="185"/>
      <c r="AM16" s="182"/>
      <c r="AN16" s="625"/>
      <c r="AO16" s="188"/>
      <c r="AP16" s="188"/>
      <c r="AQ16" s="185"/>
      <c r="AR16" s="182"/>
      <c r="AS16" s="625"/>
      <c r="AT16" s="188">
        <v>21</v>
      </c>
      <c r="AU16" s="188">
        <v>1619.3922604103543</v>
      </c>
      <c r="AV16" s="185">
        <f t="shared" si="15"/>
        <v>77.113917162397826</v>
      </c>
      <c r="AW16" s="182">
        <f t="shared" si="24"/>
        <v>4</v>
      </c>
      <c r="AX16" s="625"/>
    </row>
    <row r="17" spans="2:50" ht="14.25" customHeight="1">
      <c r="B17" s="564"/>
      <c r="C17" s="180">
        <v>11</v>
      </c>
      <c r="D17" s="183"/>
      <c r="E17" s="180"/>
      <c r="F17" s="180"/>
      <c r="G17" s="185"/>
      <c r="H17" s="625"/>
      <c r="I17" s="186"/>
      <c r="J17" s="186"/>
      <c r="K17" s="187"/>
      <c r="L17" s="626"/>
      <c r="M17" s="186"/>
      <c r="N17" s="564"/>
      <c r="O17" s="564"/>
      <c r="P17" s="188"/>
      <c r="Q17" s="188"/>
      <c r="R17" s="185"/>
      <c r="S17" s="182"/>
      <c r="T17" s="625"/>
      <c r="U17" s="188"/>
      <c r="V17" s="188"/>
      <c r="W17" s="185"/>
      <c r="X17" s="182"/>
      <c r="Y17" s="625"/>
      <c r="Z17" s="188"/>
      <c r="AA17" s="188"/>
      <c r="AB17" s="185"/>
      <c r="AC17" s="182"/>
      <c r="AD17" s="625"/>
      <c r="AE17" s="188"/>
      <c r="AF17" s="188"/>
      <c r="AG17" s="185"/>
      <c r="AH17" s="182"/>
      <c r="AI17" s="625"/>
      <c r="AJ17" s="188"/>
      <c r="AK17" s="188"/>
      <c r="AL17" s="185"/>
      <c r="AM17" s="182"/>
      <c r="AN17" s="625"/>
      <c r="AO17" s="188"/>
      <c r="AP17" s="188"/>
      <c r="AQ17" s="185"/>
      <c r="AR17" s="182"/>
      <c r="AS17" s="625"/>
      <c r="AT17" s="188"/>
      <c r="AU17" s="188"/>
      <c r="AV17" s="185"/>
      <c r="AW17" s="182"/>
      <c r="AX17" s="625"/>
    </row>
    <row r="18" spans="2:50" ht="14.25" customHeight="1">
      <c r="B18" s="564"/>
      <c r="C18" s="180">
        <v>12</v>
      </c>
      <c r="D18" s="183"/>
      <c r="E18" s="180"/>
      <c r="F18" s="180"/>
      <c r="G18" s="185"/>
      <c r="H18" s="625"/>
      <c r="I18" s="186"/>
      <c r="J18" s="186"/>
      <c r="K18" s="187"/>
      <c r="L18" s="626"/>
      <c r="M18" s="186"/>
      <c r="N18" s="564"/>
      <c r="O18" s="564"/>
      <c r="P18" s="188"/>
      <c r="Q18" s="188"/>
      <c r="R18" s="185"/>
      <c r="S18" s="182"/>
      <c r="T18" s="625"/>
      <c r="U18" s="188"/>
      <c r="V18" s="188"/>
      <c r="W18" s="185"/>
      <c r="X18" s="182"/>
      <c r="Y18" s="625"/>
      <c r="Z18" s="188"/>
      <c r="AA18" s="188"/>
      <c r="AB18" s="185"/>
      <c r="AC18" s="182"/>
      <c r="AD18" s="625"/>
      <c r="AE18" s="188"/>
      <c r="AF18" s="188"/>
      <c r="AG18" s="185"/>
      <c r="AH18" s="182"/>
      <c r="AI18" s="625"/>
      <c r="AJ18" s="188"/>
      <c r="AK18" s="188"/>
      <c r="AL18" s="185"/>
      <c r="AM18" s="182"/>
      <c r="AN18" s="625"/>
      <c r="AO18" s="188"/>
      <c r="AP18" s="188"/>
      <c r="AQ18" s="185"/>
      <c r="AR18" s="182"/>
      <c r="AS18" s="625"/>
      <c r="AT18" s="188"/>
      <c r="AU18" s="188"/>
      <c r="AV18" s="185"/>
      <c r="AW18" s="182"/>
      <c r="AX18" s="625"/>
    </row>
    <row r="19" spans="2:50" ht="14.25" customHeight="1">
      <c r="B19" s="564"/>
      <c r="C19" s="180">
        <v>13</v>
      </c>
      <c r="D19" s="183"/>
      <c r="E19" s="180"/>
      <c r="F19" s="180"/>
      <c r="G19" s="185"/>
      <c r="H19" s="625"/>
      <c r="I19" s="186"/>
      <c r="J19" s="186"/>
      <c r="K19" s="187"/>
      <c r="L19" s="626"/>
      <c r="M19" s="186"/>
      <c r="N19" s="564"/>
      <c r="O19" s="564"/>
      <c r="P19" s="188"/>
      <c r="Q19" s="188"/>
      <c r="R19" s="185"/>
      <c r="S19" s="182"/>
      <c r="T19" s="625"/>
      <c r="U19" s="188"/>
      <c r="V19" s="188"/>
      <c r="W19" s="185"/>
      <c r="X19" s="182"/>
      <c r="Y19" s="625"/>
      <c r="Z19" s="188"/>
      <c r="AA19" s="188"/>
      <c r="AB19" s="185"/>
      <c r="AC19" s="182"/>
      <c r="AD19" s="625"/>
      <c r="AE19" s="188"/>
      <c r="AF19" s="188"/>
      <c r="AG19" s="185"/>
      <c r="AH19" s="182"/>
      <c r="AI19" s="625"/>
      <c r="AJ19" s="188"/>
      <c r="AK19" s="188"/>
      <c r="AL19" s="185"/>
      <c r="AM19" s="182"/>
      <c r="AN19" s="625"/>
      <c r="AO19" s="188"/>
      <c r="AP19" s="188"/>
      <c r="AQ19" s="185"/>
      <c r="AR19" s="182"/>
      <c r="AS19" s="625"/>
      <c r="AT19" s="188"/>
      <c r="AU19" s="188"/>
      <c r="AV19" s="185"/>
      <c r="AW19" s="182"/>
      <c r="AX19" s="625"/>
    </row>
    <row r="20" spans="2:50" ht="14.25" customHeight="1">
      <c r="B20" s="564"/>
      <c r="C20" s="180">
        <v>14</v>
      </c>
      <c r="D20" s="183"/>
      <c r="E20" s="180"/>
      <c r="F20" s="180"/>
      <c r="G20" s="185"/>
      <c r="H20" s="625"/>
      <c r="I20" s="186"/>
      <c r="J20" s="186"/>
      <c r="K20" s="187"/>
      <c r="L20" s="626"/>
      <c r="M20" s="186"/>
      <c r="N20" s="564"/>
      <c r="O20" s="564"/>
      <c r="P20" s="188"/>
      <c r="Q20" s="188"/>
      <c r="R20" s="185"/>
      <c r="S20" s="182"/>
      <c r="T20" s="625"/>
      <c r="U20" s="188"/>
      <c r="V20" s="188"/>
      <c r="W20" s="185"/>
      <c r="X20" s="182"/>
      <c r="Y20" s="625"/>
      <c r="Z20" s="188"/>
      <c r="AA20" s="188"/>
      <c r="AB20" s="185"/>
      <c r="AC20" s="182"/>
      <c r="AD20" s="625"/>
      <c r="AE20" s="188"/>
      <c r="AF20" s="188"/>
      <c r="AG20" s="185"/>
      <c r="AH20" s="182"/>
      <c r="AI20" s="625"/>
      <c r="AJ20" s="188"/>
      <c r="AK20" s="188"/>
      <c r="AL20" s="185"/>
      <c r="AM20" s="182"/>
      <c r="AN20" s="625"/>
      <c r="AO20" s="188"/>
      <c r="AP20" s="188"/>
      <c r="AQ20" s="185"/>
      <c r="AR20" s="182"/>
      <c r="AS20" s="625"/>
      <c r="AT20" s="188"/>
      <c r="AU20" s="188"/>
      <c r="AV20" s="185"/>
      <c r="AW20" s="182"/>
      <c r="AX20" s="625"/>
    </row>
    <row r="21" spans="2:50" ht="14.25" customHeight="1">
      <c r="B21" s="564"/>
      <c r="C21" s="180">
        <v>15</v>
      </c>
      <c r="D21" s="183"/>
      <c r="E21" s="180"/>
      <c r="F21" s="180"/>
      <c r="G21" s="185"/>
      <c r="H21" s="625"/>
      <c r="I21" s="186"/>
      <c r="J21" s="186"/>
      <c r="K21" s="187"/>
      <c r="L21" s="626"/>
      <c r="M21" s="186"/>
      <c r="N21" s="564"/>
      <c r="O21" s="564"/>
      <c r="P21" s="188"/>
      <c r="Q21" s="188"/>
      <c r="R21" s="185"/>
      <c r="S21" s="182"/>
      <c r="T21" s="625"/>
      <c r="U21" s="188"/>
      <c r="V21" s="188"/>
      <c r="W21" s="185"/>
      <c r="X21" s="182"/>
      <c r="Y21" s="625"/>
      <c r="Z21" s="188"/>
      <c r="AA21" s="188"/>
      <c r="AB21" s="185"/>
      <c r="AC21" s="182"/>
      <c r="AD21" s="625"/>
      <c r="AE21" s="188"/>
      <c r="AF21" s="188"/>
      <c r="AG21" s="185"/>
      <c r="AH21" s="182"/>
      <c r="AI21" s="625"/>
      <c r="AJ21" s="188"/>
      <c r="AK21" s="188"/>
      <c r="AL21" s="185"/>
      <c r="AM21" s="182"/>
      <c r="AN21" s="625"/>
      <c r="AO21" s="188"/>
      <c r="AP21" s="188"/>
      <c r="AQ21" s="185"/>
      <c r="AR21" s="182"/>
      <c r="AS21" s="625"/>
      <c r="AT21" s="188"/>
      <c r="AU21" s="188"/>
      <c r="AV21" s="185"/>
      <c r="AW21" s="182"/>
      <c r="AX21" s="625"/>
    </row>
    <row r="22" spans="2:50" ht="14.25" customHeight="1">
      <c r="B22" s="646" t="s">
        <v>641</v>
      </c>
      <c r="C22" s="642"/>
      <c r="D22" s="642"/>
      <c r="E22" s="642"/>
      <c r="F22" s="642"/>
      <c r="G22" s="642"/>
      <c r="H22" s="642"/>
      <c r="I22" s="642"/>
      <c r="J22" s="642"/>
      <c r="K22" s="642"/>
      <c r="L22" s="642"/>
      <c r="M22" s="643"/>
      <c r="N22" s="575" t="s">
        <v>377</v>
      </c>
      <c r="O22" s="575" t="s">
        <v>105</v>
      </c>
      <c r="P22" s="655">
        <v>46084</v>
      </c>
      <c r="Q22" s="656"/>
      <c r="R22" s="656"/>
      <c r="S22" s="656"/>
      <c r="T22" s="656"/>
      <c r="U22" s="657">
        <v>46085</v>
      </c>
      <c r="V22" s="658"/>
      <c r="W22" s="658"/>
      <c r="X22" s="658"/>
      <c r="Y22" s="658"/>
      <c r="Z22" s="655">
        <v>46086</v>
      </c>
      <c r="AA22" s="656"/>
      <c r="AB22" s="656"/>
      <c r="AC22" s="656"/>
      <c r="AD22" s="656"/>
      <c r="AE22" s="657">
        <v>46087</v>
      </c>
      <c r="AF22" s="658"/>
      <c r="AG22" s="658"/>
      <c r="AH22" s="658"/>
      <c r="AI22" s="658"/>
      <c r="AJ22" s="647">
        <v>46088</v>
      </c>
      <c r="AK22" s="648"/>
      <c r="AL22" s="648"/>
      <c r="AM22" s="648"/>
      <c r="AN22" s="649"/>
      <c r="AO22" s="657">
        <v>46089</v>
      </c>
      <c r="AP22" s="658"/>
      <c r="AQ22" s="658"/>
      <c r="AR22" s="658"/>
      <c r="AS22" s="658"/>
      <c r="AT22" s="647">
        <v>46090</v>
      </c>
      <c r="AU22" s="648"/>
      <c r="AV22" s="648"/>
      <c r="AW22" s="648"/>
      <c r="AX22" s="649"/>
    </row>
    <row r="23" spans="2:50" ht="14.25" customHeight="1">
      <c r="B23" s="644"/>
      <c r="C23" s="644"/>
      <c r="D23" s="644"/>
      <c r="E23" s="644"/>
      <c r="F23" s="644"/>
      <c r="G23" s="644"/>
      <c r="H23" s="644"/>
      <c r="I23" s="644"/>
      <c r="J23" s="644"/>
      <c r="K23" s="644"/>
      <c r="L23" s="644"/>
      <c r="M23" s="645"/>
      <c r="N23" s="577"/>
      <c r="O23" s="577"/>
      <c r="P23" s="650">
        <v>46084</v>
      </c>
      <c r="Q23" s="650"/>
      <c r="R23" s="650"/>
      <c r="S23" s="650"/>
      <c r="T23" s="650"/>
      <c r="U23" s="651">
        <v>46085</v>
      </c>
      <c r="V23" s="651"/>
      <c r="W23" s="651"/>
      <c r="X23" s="651"/>
      <c r="Y23" s="651"/>
      <c r="Z23" s="650">
        <v>46086</v>
      </c>
      <c r="AA23" s="650"/>
      <c r="AB23" s="650"/>
      <c r="AC23" s="650"/>
      <c r="AD23" s="650"/>
      <c r="AE23" s="651">
        <v>46087</v>
      </c>
      <c r="AF23" s="651"/>
      <c r="AG23" s="651"/>
      <c r="AH23" s="651"/>
      <c r="AI23" s="651"/>
      <c r="AJ23" s="652">
        <v>46088</v>
      </c>
      <c r="AK23" s="653"/>
      <c r="AL23" s="653"/>
      <c r="AM23" s="653"/>
      <c r="AN23" s="654"/>
      <c r="AO23" s="651">
        <v>46089</v>
      </c>
      <c r="AP23" s="651"/>
      <c r="AQ23" s="651"/>
      <c r="AR23" s="651"/>
      <c r="AS23" s="651"/>
      <c r="AT23" s="652">
        <v>46090</v>
      </c>
      <c r="AU23" s="653"/>
      <c r="AV23" s="653"/>
      <c r="AW23" s="653"/>
      <c r="AX23" s="654"/>
    </row>
    <row r="24" spans="2:50" ht="14.25" customHeight="1">
      <c r="B24" s="564" t="s">
        <v>164</v>
      </c>
      <c r="C24" s="564" t="s">
        <v>159</v>
      </c>
      <c r="D24" s="564"/>
      <c r="E24" s="564" t="s">
        <v>160</v>
      </c>
      <c r="F24" s="564"/>
      <c r="G24" s="564"/>
      <c r="H24" s="564" t="s">
        <v>165</v>
      </c>
      <c r="I24" s="628" t="s">
        <v>378</v>
      </c>
      <c r="J24" s="628"/>
      <c r="K24" s="628"/>
      <c r="L24" s="628" t="s">
        <v>165</v>
      </c>
      <c r="M24" s="628" t="s">
        <v>167</v>
      </c>
      <c r="N24" s="564"/>
      <c r="O24" s="564" t="s">
        <v>166</v>
      </c>
      <c r="P24" s="564" t="s">
        <v>162</v>
      </c>
      <c r="Q24" s="564"/>
      <c r="R24" s="564"/>
      <c r="S24" s="564"/>
      <c r="T24" s="564" t="s">
        <v>165</v>
      </c>
      <c r="U24" s="564" t="s">
        <v>162</v>
      </c>
      <c r="V24" s="564"/>
      <c r="W24" s="564"/>
      <c r="X24" s="564"/>
      <c r="Y24" s="564" t="s">
        <v>165</v>
      </c>
      <c r="Z24" s="564" t="s">
        <v>162</v>
      </c>
      <c r="AA24" s="564"/>
      <c r="AB24" s="564"/>
      <c r="AC24" s="564"/>
      <c r="AD24" s="564" t="s">
        <v>165</v>
      </c>
      <c r="AE24" s="564" t="s">
        <v>162</v>
      </c>
      <c r="AF24" s="564"/>
      <c r="AG24" s="564"/>
      <c r="AH24" s="564"/>
      <c r="AI24" s="564" t="s">
        <v>165</v>
      </c>
      <c r="AJ24" s="564" t="s">
        <v>162</v>
      </c>
      <c r="AK24" s="564"/>
      <c r="AL24" s="564"/>
      <c r="AM24" s="564"/>
      <c r="AN24" s="564" t="s">
        <v>165</v>
      </c>
      <c r="AO24" s="564" t="s">
        <v>162</v>
      </c>
      <c r="AP24" s="564"/>
      <c r="AQ24" s="564"/>
      <c r="AR24" s="564"/>
      <c r="AS24" s="564" t="s">
        <v>165</v>
      </c>
      <c r="AT24" s="564" t="s">
        <v>162</v>
      </c>
      <c r="AU24" s="564"/>
      <c r="AV24" s="564"/>
      <c r="AW24" s="564"/>
      <c r="AX24" s="564" t="s">
        <v>165</v>
      </c>
    </row>
    <row r="25" spans="2:50" ht="14.25" customHeight="1">
      <c r="B25" s="564"/>
      <c r="C25" s="564"/>
      <c r="D25" s="564"/>
      <c r="E25" s="564" t="s">
        <v>379</v>
      </c>
      <c r="F25" s="564"/>
      <c r="G25" s="564"/>
      <c r="H25" s="564"/>
      <c r="I25" s="628" t="s">
        <v>379</v>
      </c>
      <c r="J25" s="628"/>
      <c r="K25" s="628"/>
      <c r="L25" s="628"/>
      <c r="M25" s="628"/>
      <c r="N25" s="564"/>
      <c r="O25" s="564"/>
      <c r="P25" s="564" t="s">
        <v>380</v>
      </c>
      <c r="Q25" s="564"/>
      <c r="R25" s="564"/>
      <c r="S25" s="564"/>
      <c r="T25" s="564"/>
      <c r="U25" s="564" t="s">
        <v>380</v>
      </c>
      <c r="V25" s="564"/>
      <c r="W25" s="564"/>
      <c r="X25" s="564"/>
      <c r="Y25" s="564"/>
      <c r="Z25" s="564" t="s">
        <v>380</v>
      </c>
      <c r="AA25" s="564"/>
      <c r="AB25" s="564"/>
      <c r="AC25" s="564"/>
      <c r="AD25" s="564"/>
      <c r="AE25" s="564" t="s">
        <v>380</v>
      </c>
      <c r="AF25" s="564"/>
      <c r="AG25" s="564"/>
      <c r="AH25" s="564"/>
      <c r="AI25" s="564"/>
      <c r="AJ25" s="564" t="s">
        <v>380</v>
      </c>
      <c r="AK25" s="564"/>
      <c r="AL25" s="564"/>
      <c r="AM25" s="564"/>
      <c r="AN25" s="564"/>
      <c r="AO25" s="564" t="s">
        <v>380</v>
      </c>
      <c r="AP25" s="564"/>
      <c r="AQ25" s="564"/>
      <c r="AR25" s="564"/>
      <c r="AS25" s="564"/>
      <c r="AT25" s="564" t="s">
        <v>380</v>
      </c>
      <c r="AU25" s="564"/>
      <c r="AV25" s="564"/>
      <c r="AW25" s="564"/>
      <c r="AX25" s="564"/>
    </row>
    <row r="26" spans="2:50" ht="14.25" customHeight="1">
      <c r="B26" s="564"/>
      <c r="C26" s="564"/>
      <c r="D26" s="564"/>
      <c r="E26" s="180" t="s">
        <v>161</v>
      </c>
      <c r="F26" s="180" t="s">
        <v>381</v>
      </c>
      <c r="G26" s="180" t="s">
        <v>163</v>
      </c>
      <c r="H26" s="564"/>
      <c r="I26" s="181" t="s">
        <v>161</v>
      </c>
      <c r="J26" s="181" t="s">
        <v>381</v>
      </c>
      <c r="K26" s="181" t="s">
        <v>163</v>
      </c>
      <c r="L26" s="628"/>
      <c r="M26" s="628"/>
      <c r="N26" s="564"/>
      <c r="O26" s="564"/>
      <c r="P26" s="180" t="s">
        <v>161</v>
      </c>
      <c r="Q26" s="180" t="s">
        <v>381</v>
      </c>
      <c r="R26" s="180" t="s">
        <v>163</v>
      </c>
      <c r="S26" s="182" t="s">
        <v>167</v>
      </c>
      <c r="T26" s="564"/>
      <c r="U26" s="180" t="s">
        <v>161</v>
      </c>
      <c r="V26" s="180" t="s">
        <v>381</v>
      </c>
      <c r="W26" s="180" t="s">
        <v>163</v>
      </c>
      <c r="X26" s="182" t="s">
        <v>167</v>
      </c>
      <c r="Y26" s="564"/>
      <c r="Z26" s="180" t="s">
        <v>161</v>
      </c>
      <c r="AA26" s="180" t="s">
        <v>381</v>
      </c>
      <c r="AB26" s="180" t="s">
        <v>163</v>
      </c>
      <c r="AC26" s="182" t="s">
        <v>167</v>
      </c>
      <c r="AD26" s="564"/>
      <c r="AE26" s="180" t="s">
        <v>161</v>
      </c>
      <c r="AF26" s="180" t="s">
        <v>381</v>
      </c>
      <c r="AG26" s="180" t="s">
        <v>163</v>
      </c>
      <c r="AH26" s="182" t="s">
        <v>167</v>
      </c>
      <c r="AI26" s="564"/>
      <c r="AJ26" s="180" t="s">
        <v>161</v>
      </c>
      <c r="AK26" s="180" t="s">
        <v>381</v>
      </c>
      <c r="AL26" s="180" t="s">
        <v>163</v>
      </c>
      <c r="AM26" s="182" t="s">
        <v>167</v>
      </c>
      <c r="AN26" s="564"/>
      <c r="AO26" s="180" t="s">
        <v>161</v>
      </c>
      <c r="AP26" s="180" t="s">
        <v>381</v>
      </c>
      <c r="AQ26" s="180" t="s">
        <v>163</v>
      </c>
      <c r="AR26" s="182" t="s">
        <v>167</v>
      </c>
      <c r="AS26" s="564"/>
      <c r="AT26" s="180" t="s">
        <v>161</v>
      </c>
      <c r="AU26" s="180" t="s">
        <v>381</v>
      </c>
      <c r="AV26" s="180" t="s">
        <v>163</v>
      </c>
      <c r="AW26" s="182" t="s">
        <v>167</v>
      </c>
      <c r="AX26" s="564"/>
    </row>
    <row r="27" spans="2:50" ht="14.25" customHeight="1">
      <c r="B27" s="564" t="s">
        <v>357</v>
      </c>
      <c r="C27" s="180">
        <v>1</v>
      </c>
      <c r="D27" s="183" t="s">
        <v>346</v>
      </c>
      <c r="E27" s="180">
        <v>25</v>
      </c>
      <c r="F27" s="180">
        <v>2000</v>
      </c>
      <c r="G27" s="185">
        <f t="shared" ref="G27:G35" si="25">F27/E27</f>
        <v>80</v>
      </c>
      <c r="H27" s="625">
        <f>AVERAGE(G27:G41)</f>
        <v>90.784449045318595</v>
      </c>
      <c r="I27" s="186">
        <f>AVERAGE(P27,U27,Z27,AE27,AJ27,AO27,AT27)</f>
        <v>26</v>
      </c>
      <c r="J27" s="186">
        <f>AVERAGE(Q27,V27,AA27,AF27,AK27,AP27,AU27)</f>
        <v>1782.9212825084401</v>
      </c>
      <c r="K27" s="187">
        <f>AVERAGE(R27,W27,AB27,AG27,AL27,AQ27,AV27)</f>
        <v>68.573895481093857</v>
      </c>
      <c r="L27" s="626">
        <f>IFERROR(AVERAGE(K27:K41),"-")</f>
        <v>78.207319083847608</v>
      </c>
      <c r="M27" s="186">
        <f>RANK(K27, K$27:$K$41)</f>
        <v>9</v>
      </c>
      <c r="N27" s="564"/>
      <c r="O27" s="564"/>
      <c r="P27" s="188">
        <v>26</v>
      </c>
      <c r="Q27" s="188">
        <v>1782.7332128458222</v>
      </c>
      <c r="R27" s="185">
        <f>IFERROR(Q27/P27,"")</f>
        <v>68.566662032531625</v>
      </c>
      <c r="S27" s="182">
        <f>RANK(R27, R$27:R$41)</f>
        <v>9</v>
      </c>
      <c r="T27" s="625">
        <f>AVERAGE(R27:R41)</f>
        <v>76.821742077234219</v>
      </c>
      <c r="U27" s="188">
        <v>26</v>
      </c>
      <c r="V27" s="188">
        <v>1782.8418230563004</v>
      </c>
      <c r="W27" s="185">
        <f t="shared" ref="W27:W35" si="26">IFERROR(V27/U27,"")</f>
        <v>68.570839348319254</v>
      </c>
      <c r="X27" s="182">
        <f>RANK(W27, W$27:W$41)</f>
        <v>9</v>
      </c>
      <c r="Y27" s="625">
        <f>AVERAGE(W27:W41)</f>
        <v>77.166744339551528</v>
      </c>
      <c r="Z27" s="188">
        <v>26</v>
      </c>
      <c r="AA27" s="188">
        <v>1783.044667274384</v>
      </c>
      <c r="AB27" s="185">
        <f t="shared" ref="AB27:AB35" si="27">IFERROR(AA27/Z27,"")</f>
        <v>68.578641049014763</v>
      </c>
      <c r="AC27" s="182">
        <f>RANK(AB27, AB$27:AB$41)</f>
        <v>9</v>
      </c>
      <c r="AD27" s="625">
        <f>AVERAGE(AB27:AB41)</f>
        <v>77.985602644956828</v>
      </c>
      <c r="AE27" s="188">
        <v>26</v>
      </c>
      <c r="AF27" s="188">
        <v>1782.9604130808962</v>
      </c>
      <c r="AG27" s="185">
        <f>IFERROR(AF27/AE27,"")</f>
        <v>68.575400503111396</v>
      </c>
      <c r="AH27" s="182">
        <f>RANK(AG27, AG$27:AG$41)</f>
        <v>9</v>
      </c>
      <c r="AI27" s="625">
        <f>AVERAGE(AG27:AG41)</f>
        <v>78.328820667136995</v>
      </c>
      <c r="AJ27" s="188">
        <v>26</v>
      </c>
      <c r="AK27" s="188">
        <v>1782.9284136676631</v>
      </c>
      <c r="AL27" s="185">
        <f t="shared" ref="AL27:AL35" si="28">IFERROR(AK27/AJ27,"")</f>
        <v>68.574169756448583</v>
      </c>
      <c r="AM27" s="182">
        <f>RANK(AL27, AL$27:AL$41)</f>
        <v>9</v>
      </c>
      <c r="AN27" s="625">
        <f>AVERAGE(AL27:AL41)</f>
        <v>78.646771373663555</v>
      </c>
      <c r="AO27" s="188">
        <v>26</v>
      </c>
      <c r="AP27" s="188">
        <v>1782.9276654096684</v>
      </c>
      <c r="AQ27" s="185">
        <f t="shared" ref="AQ27:AQ35" si="29">IFERROR(AP27/AO27,"")</f>
        <v>68.574140977294945</v>
      </c>
      <c r="AR27" s="182">
        <f>RANK(AQ27, AQ$27:AQ$41)</f>
        <v>9</v>
      </c>
      <c r="AS27" s="625">
        <f>AVERAGE(AQ27:AQ41)</f>
        <v>79.012204009252102</v>
      </c>
      <c r="AT27" s="188">
        <v>26</v>
      </c>
      <c r="AU27" s="188">
        <v>1783.0127822243458</v>
      </c>
      <c r="AV27" s="185">
        <f t="shared" ref="AV27:AV35" si="30">IFERROR(AU27/AT27,"")</f>
        <v>68.577414700936373</v>
      </c>
      <c r="AW27" s="182">
        <f>RANK(AV27, AV$27:AV$41)</f>
        <v>9</v>
      </c>
      <c r="AX27" s="625">
        <f>AVERAGE(AV27:AV41)</f>
        <v>79.489348475138229</v>
      </c>
    </row>
    <row r="28" spans="2:50" ht="14.25" customHeight="1">
      <c r="B28" s="564"/>
      <c r="C28" s="180">
        <v>2</v>
      </c>
      <c r="D28" s="183" t="s">
        <v>345</v>
      </c>
      <c r="E28" s="180">
        <v>23</v>
      </c>
      <c r="F28" s="180">
        <v>2000</v>
      </c>
      <c r="G28" s="185">
        <f t="shared" si="25"/>
        <v>86.956521739130437</v>
      </c>
      <c r="H28" s="625"/>
      <c r="I28" s="186">
        <f t="shared" ref="I28:K35" si="31">AVERAGE(P28,U28,Z28,AE28,AJ28,AO28,AT28)</f>
        <v>23.714285714285715</v>
      </c>
      <c r="J28" s="186">
        <f t="shared" si="31"/>
        <v>1784.2539568060572</v>
      </c>
      <c r="K28" s="187">
        <f t="shared" si="31"/>
        <v>75.26787979455068</v>
      </c>
      <c r="L28" s="626"/>
      <c r="M28" s="186">
        <f>RANK(K28, K$27:$K$41)</f>
        <v>5</v>
      </c>
      <c r="N28" s="564"/>
      <c r="O28" s="564"/>
      <c r="P28" s="188">
        <v>24</v>
      </c>
      <c r="Q28" s="188">
        <v>1783.7442030754207</v>
      </c>
      <c r="R28" s="185">
        <f t="shared" ref="R28:R35" si="32">IFERROR(Q28/P28,"")</f>
        <v>74.322675128142535</v>
      </c>
      <c r="S28" s="182">
        <f t="shared" ref="S28:S35" si="33">RANK(R28, R$27:R$41)</f>
        <v>5</v>
      </c>
      <c r="T28" s="625"/>
      <c r="U28" s="188">
        <v>24</v>
      </c>
      <c r="V28" s="188">
        <v>1783.7104072398199</v>
      </c>
      <c r="W28" s="185">
        <f t="shared" si="26"/>
        <v>74.32126696832583</v>
      </c>
      <c r="X28" s="182">
        <f t="shared" ref="X28:X35" si="34">RANK(W28, W$27:W$41)</f>
        <v>5</v>
      </c>
      <c r="Y28" s="625"/>
      <c r="Z28" s="188">
        <v>24</v>
      </c>
      <c r="AA28" s="188">
        <v>1784.0289188301003</v>
      </c>
      <c r="AB28" s="185">
        <f t="shared" si="27"/>
        <v>74.334538284587509</v>
      </c>
      <c r="AC28" s="182">
        <f t="shared" ref="AC28:AC35" si="35">RANK(AB28, AB$27:AB$41)</f>
        <v>5</v>
      </c>
      <c r="AD28" s="625"/>
      <c r="AE28" s="188">
        <v>24</v>
      </c>
      <c r="AF28" s="188">
        <v>1784.0405319822685</v>
      </c>
      <c r="AG28" s="185">
        <f t="shared" ref="AG28:AG35" si="36">IFERROR(AF28/AE28,"")</f>
        <v>74.335022165927853</v>
      </c>
      <c r="AH28" s="182">
        <f t="shared" ref="AH28:AH35" si="37">RANK(AG28, AG$27:AG$41)</f>
        <v>6</v>
      </c>
      <c r="AI28" s="625"/>
      <c r="AJ28" s="188">
        <v>24</v>
      </c>
      <c r="AK28" s="188">
        <v>1784.0531561461803</v>
      </c>
      <c r="AL28" s="185">
        <f t="shared" si="28"/>
        <v>74.335548172757512</v>
      </c>
      <c r="AM28" s="182">
        <f t="shared" ref="AM28:AM35" si="38">RANK(AL28, AL$27:AL$41)</f>
        <v>6</v>
      </c>
      <c r="AN28" s="625"/>
      <c r="AO28" s="188">
        <v>23</v>
      </c>
      <c r="AP28" s="188">
        <v>1784.9830890642618</v>
      </c>
      <c r="AQ28" s="185">
        <f t="shared" si="29"/>
        <v>77.607960394098342</v>
      </c>
      <c r="AR28" s="182">
        <f t="shared" ref="AR28:AR35" si="39">RANK(AQ28, AQ$27:AQ$41)</f>
        <v>5</v>
      </c>
      <c r="AS28" s="625"/>
      <c r="AT28" s="188">
        <v>23</v>
      </c>
      <c r="AU28" s="188">
        <v>1785.21739130435</v>
      </c>
      <c r="AV28" s="185">
        <f t="shared" si="30"/>
        <v>77.618147448015222</v>
      </c>
      <c r="AW28" s="182">
        <f t="shared" ref="AW28:AW35" si="40">RANK(AV28, AV$27:AV$41)</f>
        <v>5</v>
      </c>
      <c r="AX28" s="625"/>
    </row>
    <row r="29" spans="2:50" ht="14.25" customHeight="1">
      <c r="B29" s="564"/>
      <c r="C29" s="180">
        <v>3</v>
      </c>
      <c r="D29" s="183" t="s">
        <v>358</v>
      </c>
      <c r="E29" s="180">
        <v>23</v>
      </c>
      <c r="F29" s="180">
        <v>2000</v>
      </c>
      <c r="G29" s="185">
        <f t="shared" si="25"/>
        <v>86.956521739130437</v>
      </c>
      <c r="H29" s="625"/>
      <c r="I29" s="186">
        <f t="shared" si="31"/>
        <v>24</v>
      </c>
      <c r="J29" s="186">
        <f t="shared" si="31"/>
        <v>1782.9901372658494</v>
      </c>
      <c r="K29" s="187">
        <f t="shared" si="31"/>
        <v>74.291255719410387</v>
      </c>
      <c r="L29" s="626"/>
      <c r="M29" s="186">
        <f>RANK(K29, K$27:$K$41)</f>
        <v>7</v>
      </c>
      <c r="N29" s="564"/>
      <c r="O29" s="564"/>
      <c r="P29" s="188">
        <v>24</v>
      </c>
      <c r="Q29" s="188">
        <v>1782.7751196172258</v>
      </c>
      <c r="R29" s="185">
        <f t="shared" si="32"/>
        <v>74.28229665071774</v>
      </c>
      <c r="S29" s="182">
        <f t="shared" si="33"/>
        <v>6</v>
      </c>
      <c r="T29" s="625"/>
      <c r="U29" s="188">
        <v>24</v>
      </c>
      <c r="V29" s="188">
        <v>1782.9514207149386</v>
      </c>
      <c r="W29" s="185">
        <f t="shared" si="26"/>
        <v>74.289642529789106</v>
      </c>
      <c r="X29" s="182">
        <f t="shared" si="34"/>
        <v>6</v>
      </c>
      <c r="Y29" s="625"/>
      <c r="Z29" s="188">
        <v>24</v>
      </c>
      <c r="AA29" s="188">
        <v>1782.986767485826</v>
      </c>
      <c r="AB29" s="185">
        <f t="shared" si="27"/>
        <v>74.291115311909422</v>
      </c>
      <c r="AC29" s="182">
        <f t="shared" si="35"/>
        <v>6</v>
      </c>
      <c r="AD29" s="625"/>
      <c r="AE29" s="188">
        <v>24</v>
      </c>
      <c r="AF29" s="188">
        <v>1782.7050997782699</v>
      </c>
      <c r="AG29" s="185">
        <f t="shared" si="36"/>
        <v>74.279379157427911</v>
      </c>
      <c r="AH29" s="182">
        <f t="shared" si="37"/>
        <v>8</v>
      </c>
      <c r="AI29" s="625"/>
      <c r="AJ29" s="188">
        <v>24</v>
      </c>
      <c r="AK29" s="188">
        <v>1783.1542461005181</v>
      </c>
      <c r="AL29" s="185">
        <f t="shared" si="28"/>
        <v>74.298093587521592</v>
      </c>
      <c r="AM29" s="182">
        <f t="shared" si="38"/>
        <v>7</v>
      </c>
      <c r="AN29" s="625"/>
      <c r="AO29" s="188">
        <v>24</v>
      </c>
      <c r="AP29" s="188">
        <v>1783.2669322709148</v>
      </c>
      <c r="AQ29" s="185">
        <f t="shared" si="29"/>
        <v>74.302788844621446</v>
      </c>
      <c r="AR29" s="182">
        <f t="shared" si="39"/>
        <v>7</v>
      </c>
      <c r="AS29" s="625"/>
      <c r="AT29" s="188">
        <v>24</v>
      </c>
      <c r="AU29" s="188">
        <v>1783.0913748932524</v>
      </c>
      <c r="AV29" s="185">
        <f t="shared" si="30"/>
        <v>74.295473953885519</v>
      </c>
      <c r="AW29" s="182">
        <f t="shared" si="40"/>
        <v>8</v>
      </c>
      <c r="AX29" s="625"/>
    </row>
    <row r="30" spans="2:50" ht="14.25" customHeight="1">
      <c r="B30" s="564"/>
      <c r="C30" s="180">
        <v>4</v>
      </c>
      <c r="D30" s="183" t="s">
        <v>347</v>
      </c>
      <c r="E30" s="180">
        <v>23</v>
      </c>
      <c r="F30" s="180">
        <v>2000</v>
      </c>
      <c r="G30" s="185">
        <f t="shared" si="25"/>
        <v>86.956521739130437</v>
      </c>
      <c r="H30" s="625"/>
      <c r="I30" s="186">
        <f t="shared" si="31"/>
        <v>24</v>
      </c>
      <c r="J30" s="186">
        <f t="shared" si="31"/>
        <v>1782.8561176929773</v>
      </c>
      <c r="K30" s="187">
        <f t="shared" si="31"/>
        <v>74.2856715705407</v>
      </c>
      <c r="L30" s="626"/>
      <c r="M30" s="186">
        <f>RANK(K30, K$27:$K$41)</f>
        <v>8</v>
      </c>
      <c r="N30" s="564"/>
      <c r="O30" s="564"/>
      <c r="P30" s="188">
        <v>24</v>
      </c>
      <c r="Q30" s="188">
        <v>1782.2825219473252</v>
      </c>
      <c r="R30" s="185">
        <f t="shared" si="32"/>
        <v>74.261771747805213</v>
      </c>
      <c r="S30" s="182">
        <f t="shared" si="33"/>
        <v>7</v>
      </c>
      <c r="T30" s="625"/>
      <c r="U30" s="188">
        <v>24</v>
      </c>
      <c r="V30" s="188">
        <v>1782.4675324675313</v>
      </c>
      <c r="W30" s="185">
        <f t="shared" si="26"/>
        <v>74.269480519480467</v>
      </c>
      <c r="X30" s="182">
        <f t="shared" si="34"/>
        <v>7</v>
      </c>
      <c r="Y30" s="625"/>
      <c r="Z30" s="188">
        <v>24</v>
      </c>
      <c r="AA30" s="188">
        <v>1782.6865671641783</v>
      </c>
      <c r="AB30" s="185">
        <f t="shared" si="27"/>
        <v>74.278606965174092</v>
      </c>
      <c r="AC30" s="182">
        <f t="shared" si="35"/>
        <v>7</v>
      </c>
      <c r="AD30" s="625"/>
      <c r="AE30" s="188">
        <v>24</v>
      </c>
      <c r="AF30" s="188">
        <v>1782.7806122448992</v>
      </c>
      <c r="AG30" s="185">
        <f t="shared" si="36"/>
        <v>74.282525510204138</v>
      </c>
      <c r="AH30" s="182">
        <f t="shared" si="37"/>
        <v>7</v>
      </c>
      <c r="AI30" s="625"/>
      <c r="AJ30" s="188">
        <v>24</v>
      </c>
      <c r="AK30" s="188">
        <v>1782.940996637114</v>
      </c>
      <c r="AL30" s="185">
        <f t="shared" si="28"/>
        <v>74.289208193213085</v>
      </c>
      <c r="AM30" s="182">
        <f t="shared" si="38"/>
        <v>8</v>
      </c>
      <c r="AN30" s="625"/>
      <c r="AO30" s="188">
        <v>24</v>
      </c>
      <c r="AP30" s="188">
        <v>1783.1178707224324</v>
      </c>
      <c r="AQ30" s="185">
        <f t="shared" si="29"/>
        <v>74.296577946768011</v>
      </c>
      <c r="AR30" s="182">
        <f t="shared" si="39"/>
        <v>8</v>
      </c>
      <c r="AS30" s="625"/>
      <c r="AT30" s="188">
        <v>24</v>
      </c>
      <c r="AU30" s="188">
        <v>1783.7167226673587</v>
      </c>
      <c r="AV30" s="185">
        <f t="shared" si="30"/>
        <v>74.32153011113995</v>
      </c>
      <c r="AW30" s="182">
        <f t="shared" si="40"/>
        <v>7</v>
      </c>
      <c r="AX30" s="625"/>
    </row>
    <row r="31" spans="2:50" ht="14.25" customHeight="1">
      <c r="B31" s="564"/>
      <c r="C31" s="180">
        <v>5</v>
      </c>
      <c r="D31" s="183" t="s">
        <v>474</v>
      </c>
      <c r="E31" s="180">
        <v>21</v>
      </c>
      <c r="F31" s="180">
        <v>2000</v>
      </c>
      <c r="G31" s="185">
        <f t="shared" si="25"/>
        <v>95.238095238095241</v>
      </c>
      <c r="H31" s="625"/>
      <c r="I31" s="186">
        <f t="shared" si="31"/>
        <v>22</v>
      </c>
      <c r="J31" s="186">
        <f t="shared" si="31"/>
        <v>1785.0701032199675</v>
      </c>
      <c r="K31" s="187">
        <f t="shared" si="31"/>
        <v>81.139550146362154</v>
      </c>
      <c r="L31" s="626"/>
      <c r="M31" s="186">
        <f>RANK(K31, K$27:$K$41)</f>
        <v>4</v>
      </c>
      <c r="N31" s="564"/>
      <c r="O31" s="564"/>
      <c r="P31" s="188">
        <v>22</v>
      </c>
      <c r="Q31" s="188">
        <v>1785.144429160935</v>
      </c>
      <c r="R31" s="185">
        <f t="shared" si="32"/>
        <v>81.142928598224316</v>
      </c>
      <c r="S31" s="182">
        <f t="shared" si="33"/>
        <v>2</v>
      </c>
      <c r="T31" s="625"/>
      <c r="U31" s="188">
        <v>22</v>
      </c>
      <c r="V31" s="188">
        <v>1785.2975495915994</v>
      </c>
      <c r="W31" s="185">
        <f t="shared" si="26"/>
        <v>81.149888617799974</v>
      </c>
      <c r="X31" s="182">
        <f t="shared" si="34"/>
        <v>2</v>
      </c>
      <c r="Y31" s="625"/>
      <c r="Z31" s="188">
        <v>22</v>
      </c>
      <c r="AA31" s="188">
        <v>1785.2286049238069</v>
      </c>
      <c r="AB31" s="185">
        <f t="shared" si="27"/>
        <v>81.14675476926395</v>
      </c>
      <c r="AC31" s="182">
        <f t="shared" si="35"/>
        <v>4</v>
      </c>
      <c r="AD31" s="625"/>
      <c r="AE31" s="188">
        <v>22</v>
      </c>
      <c r="AF31" s="188">
        <v>1784.8739495798377</v>
      </c>
      <c r="AG31" s="185">
        <f t="shared" si="36"/>
        <v>81.130634071810803</v>
      </c>
      <c r="AH31" s="182">
        <f t="shared" si="37"/>
        <v>4</v>
      </c>
      <c r="AI31" s="625"/>
      <c r="AJ31" s="188">
        <v>22</v>
      </c>
      <c r="AK31" s="188">
        <v>1785.0415512465429</v>
      </c>
      <c r="AL31" s="185">
        <f t="shared" si="28"/>
        <v>81.138252329388308</v>
      </c>
      <c r="AM31" s="182">
        <f t="shared" si="38"/>
        <v>4</v>
      </c>
      <c r="AN31" s="625"/>
      <c r="AO31" s="188">
        <v>22</v>
      </c>
      <c r="AP31" s="188">
        <v>1785.0519031141882</v>
      </c>
      <c r="AQ31" s="185">
        <f t="shared" si="29"/>
        <v>81.138722868826733</v>
      </c>
      <c r="AR31" s="182">
        <f t="shared" si="39"/>
        <v>4</v>
      </c>
      <c r="AS31" s="625"/>
      <c r="AT31" s="188">
        <v>22</v>
      </c>
      <c r="AU31" s="188">
        <v>1784.8527349228623</v>
      </c>
      <c r="AV31" s="185">
        <f t="shared" si="30"/>
        <v>81.12966976922101</v>
      </c>
      <c r="AW31" s="182">
        <f t="shared" si="40"/>
        <v>4</v>
      </c>
      <c r="AX31" s="625"/>
    </row>
    <row r="32" spans="2:50" ht="14.25" customHeight="1">
      <c r="B32" s="564"/>
      <c r="C32" s="180">
        <v>6</v>
      </c>
      <c r="D32" s="183" t="s">
        <v>511</v>
      </c>
      <c r="E32" s="180">
        <v>19</v>
      </c>
      <c r="F32" s="180">
        <v>1800</v>
      </c>
      <c r="G32" s="185">
        <f t="shared" si="25"/>
        <v>94.736842105263165</v>
      </c>
      <c r="H32" s="625"/>
      <c r="I32" s="186">
        <f t="shared" si="31"/>
        <v>19.285714285714285</v>
      </c>
      <c r="J32" s="186">
        <f t="shared" si="31"/>
        <v>1605.3008399026182</v>
      </c>
      <c r="K32" s="187">
        <f t="shared" si="31"/>
        <v>83.282780703940801</v>
      </c>
      <c r="L32" s="626"/>
      <c r="M32" s="186">
        <f>RANK(K32, K$27:$K$41)</f>
        <v>3</v>
      </c>
      <c r="N32" s="564"/>
      <c r="O32" s="564"/>
      <c r="P32" s="188">
        <v>20</v>
      </c>
      <c r="Q32" s="188">
        <v>1605.0000000000018</v>
      </c>
      <c r="R32" s="185">
        <f t="shared" si="32"/>
        <v>80.250000000000085</v>
      </c>
      <c r="S32" s="182">
        <f t="shared" si="33"/>
        <v>3</v>
      </c>
      <c r="T32" s="625"/>
      <c r="U32" s="188">
        <v>20</v>
      </c>
      <c r="V32" s="188">
        <v>1604.9209138840085</v>
      </c>
      <c r="W32" s="185">
        <f t="shared" si="26"/>
        <v>80.246045694200433</v>
      </c>
      <c r="X32" s="182">
        <f t="shared" si="34"/>
        <v>4</v>
      </c>
      <c r="Y32" s="625"/>
      <c r="Z32" s="188">
        <v>19</v>
      </c>
      <c r="AA32" s="188">
        <v>1605.0436469447118</v>
      </c>
      <c r="AB32" s="185">
        <f t="shared" si="27"/>
        <v>84.475981418142723</v>
      </c>
      <c r="AC32" s="182">
        <f t="shared" si="35"/>
        <v>2</v>
      </c>
      <c r="AD32" s="625"/>
      <c r="AE32" s="188">
        <v>19</v>
      </c>
      <c r="AF32" s="188">
        <v>1605.3435114503854</v>
      </c>
      <c r="AG32" s="185">
        <f t="shared" si="36"/>
        <v>84.491763760546604</v>
      </c>
      <c r="AH32" s="182">
        <f t="shared" si="37"/>
        <v>2</v>
      </c>
      <c r="AI32" s="625"/>
      <c r="AJ32" s="188">
        <v>19</v>
      </c>
      <c r="AK32" s="188">
        <v>1605.4631828978656</v>
      </c>
      <c r="AL32" s="185">
        <f t="shared" si="28"/>
        <v>84.498062257782408</v>
      </c>
      <c r="AM32" s="182">
        <f t="shared" si="38"/>
        <v>3</v>
      </c>
      <c r="AN32" s="625"/>
      <c r="AO32" s="188">
        <v>19</v>
      </c>
      <c r="AP32" s="188">
        <v>1605.5653933721233</v>
      </c>
      <c r="AQ32" s="185">
        <f t="shared" si="29"/>
        <v>84.503441756427534</v>
      </c>
      <c r="AR32" s="182">
        <f t="shared" si="39"/>
        <v>3</v>
      </c>
      <c r="AS32" s="625"/>
      <c r="AT32" s="188">
        <v>19</v>
      </c>
      <c r="AU32" s="188">
        <v>1605.7692307692307</v>
      </c>
      <c r="AV32" s="185">
        <f t="shared" si="30"/>
        <v>84.514170040485823</v>
      </c>
      <c r="AW32" s="182">
        <f t="shared" si="40"/>
        <v>3</v>
      </c>
      <c r="AX32" s="625"/>
    </row>
    <row r="33" spans="2:50" ht="14.25" customHeight="1">
      <c r="B33" s="564"/>
      <c r="C33" s="180">
        <v>7</v>
      </c>
      <c r="D33" s="183" t="s">
        <v>486</v>
      </c>
      <c r="E33" s="180">
        <v>19</v>
      </c>
      <c r="F33" s="180">
        <v>2000</v>
      </c>
      <c r="G33" s="185">
        <f t="shared" si="25"/>
        <v>105.26315789473684</v>
      </c>
      <c r="H33" s="625"/>
      <c r="I33" s="186">
        <f t="shared" si="31"/>
        <v>20</v>
      </c>
      <c r="J33" s="186">
        <f t="shared" si="31"/>
        <v>1784.8428011894191</v>
      </c>
      <c r="K33" s="187">
        <f t="shared" si="31"/>
        <v>89.242140059470941</v>
      </c>
      <c r="L33" s="626"/>
      <c r="M33" s="186">
        <f>RANK(K33, K$27:$K$41)</f>
        <v>1</v>
      </c>
      <c r="N33" s="564"/>
      <c r="O33" s="564"/>
      <c r="P33" s="188">
        <v>20</v>
      </c>
      <c r="Q33" s="188">
        <v>1784.3369300382867</v>
      </c>
      <c r="R33" s="185">
        <f t="shared" si="32"/>
        <v>89.216846501914333</v>
      </c>
      <c r="S33" s="182">
        <f t="shared" si="33"/>
        <v>1</v>
      </c>
      <c r="T33" s="625"/>
      <c r="U33" s="188">
        <v>20</v>
      </c>
      <c r="V33" s="188">
        <v>1784.2450765864289</v>
      </c>
      <c r="W33" s="185">
        <f t="shared" si="26"/>
        <v>89.21225382932144</v>
      </c>
      <c r="X33" s="182">
        <f t="shared" si="34"/>
        <v>1</v>
      </c>
      <c r="Y33" s="625"/>
      <c r="Z33" s="188">
        <v>20</v>
      </c>
      <c r="AA33" s="188">
        <v>1784.6567967698572</v>
      </c>
      <c r="AB33" s="185">
        <f t="shared" si="27"/>
        <v>89.232839838492865</v>
      </c>
      <c r="AC33" s="182">
        <f t="shared" si="35"/>
        <v>1</v>
      </c>
      <c r="AD33" s="625"/>
      <c r="AE33" s="188">
        <v>20</v>
      </c>
      <c r="AF33" s="188">
        <v>1785.0249584026635</v>
      </c>
      <c r="AG33" s="185">
        <f t="shared" si="36"/>
        <v>89.251247920133181</v>
      </c>
      <c r="AH33" s="182">
        <f t="shared" si="37"/>
        <v>1</v>
      </c>
      <c r="AI33" s="625"/>
      <c r="AJ33" s="188">
        <v>20</v>
      </c>
      <c r="AK33" s="188">
        <v>1785.1973684210527</v>
      </c>
      <c r="AL33" s="185">
        <f t="shared" si="28"/>
        <v>89.25986842105263</v>
      </c>
      <c r="AM33" s="182">
        <f t="shared" si="38"/>
        <v>1</v>
      </c>
      <c r="AN33" s="625"/>
      <c r="AO33" s="188">
        <v>20</v>
      </c>
      <c r="AP33" s="188">
        <v>1785.1141250413521</v>
      </c>
      <c r="AQ33" s="185">
        <f t="shared" si="29"/>
        <v>89.255706252067597</v>
      </c>
      <c r="AR33" s="182">
        <f t="shared" si="39"/>
        <v>1</v>
      </c>
      <c r="AS33" s="625"/>
      <c r="AT33" s="188">
        <v>20</v>
      </c>
      <c r="AU33" s="188">
        <v>1785.3243530662908</v>
      </c>
      <c r="AV33" s="185">
        <f t="shared" si="30"/>
        <v>89.266217653314541</v>
      </c>
      <c r="AW33" s="182">
        <f t="shared" si="40"/>
        <v>1</v>
      </c>
      <c r="AX33" s="625"/>
    </row>
    <row r="34" spans="2:50" ht="14.25" customHeight="1">
      <c r="B34" s="564"/>
      <c r="C34" s="180">
        <v>8</v>
      </c>
      <c r="D34" s="183" t="s">
        <v>610</v>
      </c>
      <c r="E34" s="180">
        <v>21</v>
      </c>
      <c r="F34" s="180">
        <v>1800</v>
      </c>
      <c r="G34" s="185">
        <f t="shared" si="25"/>
        <v>85.714285714285708</v>
      </c>
      <c r="H34" s="625"/>
      <c r="I34" s="186">
        <f t="shared" si="31"/>
        <v>21</v>
      </c>
      <c r="J34" s="186">
        <f t="shared" si="31"/>
        <v>1562.5789285299418</v>
      </c>
      <c r="K34" s="187">
        <f t="shared" si="31"/>
        <v>74.408520406187691</v>
      </c>
      <c r="L34" s="626"/>
      <c r="M34" s="186">
        <f>RANK(K34, K$27:$K$41)</f>
        <v>6</v>
      </c>
      <c r="N34" s="564"/>
      <c r="O34" s="564"/>
      <c r="P34" s="188">
        <v>21</v>
      </c>
      <c r="Q34" s="188">
        <v>1485.2406417112302</v>
      </c>
      <c r="R34" s="185">
        <f t="shared" si="32"/>
        <v>70.725744843391908</v>
      </c>
      <c r="S34" s="182">
        <f t="shared" si="33"/>
        <v>8</v>
      </c>
      <c r="T34" s="625"/>
      <c r="U34" s="188">
        <v>21</v>
      </c>
      <c r="V34" s="188">
        <v>1515.9763313609465</v>
      </c>
      <c r="W34" s="185">
        <f t="shared" si="26"/>
        <v>72.189349112426015</v>
      </c>
      <c r="X34" s="182">
        <f t="shared" si="34"/>
        <v>8</v>
      </c>
      <c r="Y34" s="625"/>
      <c r="Z34" s="188">
        <v>21</v>
      </c>
      <c r="AA34" s="188">
        <v>1545.2694610778437</v>
      </c>
      <c r="AB34" s="185">
        <f t="shared" si="27"/>
        <v>73.584260051325899</v>
      </c>
      <c r="AC34" s="182">
        <f t="shared" si="35"/>
        <v>8</v>
      </c>
      <c r="AD34" s="625"/>
      <c r="AE34" s="188">
        <v>21</v>
      </c>
      <c r="AF34" s="188">
        <v>1575.5655119659059</v>
      </c>
      <c r="AG34" s="185">
        <f t="shared" si="36"/>
        <v>75.026929141233609</v>
      </c>
      <c r="AH34" s="182">
        <f t="shared" si="37"/>
        <v>5</v>
      </c>
      <c r="AI34" s="625"/>
      <c r="AJ34" s="188">
        <v>21</v>
      </c>
      <c r="AK34" s="188">
        <v>1605.353319057816</v>
      </c>
      <c r="AL34" s="185">
        <f t="shared" si="28"/>
        <v>76.445396145610289</v>
      </c>
      <c r="AM34" s="182">
        <f t="shared" si="38"/>
        <v>5</v>
      </c>
      <c r="AN34" s="625"/>
      <c r="AO34" s="188">
        <v>21</v>
      </c>
      <c r="AP34" s="188">
        <v>1605.3378883313756</v>
      </c>
      <c r="AQ34" s="185">
        <f t="shared" si="29"/>
        <v>76.444661349113119</v>
      </c>
      <c r="AR34" s="182">
        <f t="shared" si="39"/>
        <v>6</v>
      </c>
      <c r="AS34" s="625"/>
      <c r="AT34" s="188">
        <v>21</v>
      </c>
      <c r="AU34" s="188">
        <v>1605.3093462044742</v>
      </c>
      <c r="AV34" s="185">
        <f t="shared" si="30"/>
        <v>76.443302200213054</v>
      </c>
      <c r="AW34" s="182">
        <f t="shared" si="40"/>
        <v>6</v>
      </c>
      <c r="AX34" s="625"/>
    </row>
    <row r="35" spans="2:50" ht="14.25" customHeight="1">
      <c r="B35" s="564"/>
      <c r="C35" s="180">
        <v>9</v>
      </c>
      <c r="D35" s="183" t="s">
        <v>611</v>
      </c>
      <c r="E35" s="180">
        <v>21</v>
      </c>
      <c r="F35" s="180">
        <v>2000</v>
      </c>
      <c r="G35" s="185">
        <f t="shared" si="25"/>
        <v>95.238095238095241</v>
      </c>
      <c r="H35" s="625"/>
      <c r="I35" s="186">
        <f t="shared" si="31"/>
        <v>20.857142857142858</v>
      </c>
      <c r="J35" s="186">
        <f t="shared" si="31"/>
        <v>1738.1094195632093</v>
      </c>
      <c r="K35" s="187">
        <f t="shared" si="31"/>
        <v>83.374177873071417</v>
      </c>
      <c r="L35" s="626"/>
      <c r="M35" s="186">
        <f>RANK(K35, K$27:$K$41)</f>
        <v>2</v>
      </c>
      <c r="N35" s="564"/>
      <c r="O35" s="564"/>
      <c r="P35" s="188">
        <v>21</v>
      </c>
      <c r="Q35" s="188">
        <v>1651.1618170399831</v>
      </c>
      <c r="R35" s="185">
        <f t="shared" si="32"/>
        <v>78.62675319238015</v>
      </c>
      <c r="S35" s="182">
        <f t="shared" si="33"/>
        <v>4</v>
      </c>
      <c r="T35" s="625"/>
      <c r="U35" s="188">
        <v>21</v>
      </c>
      <c r="V35" s="188">
        <v>1685.2905811623245</v>
      </c>
      <c r="W35" s="185">
        <f t="shared" si="26"/>
        <v>80.251932436301175</v>
      </c>
      <c r="X35" s="182">
        <f t="shared" si="34"/>
        <v>3</v>
      </c>
      <c r="Y35" s="625"/>
      <c r="Z35" s="188">
        <v>21</v>
      </c>
      <c r="AA35" s="188">
        <v>1720.9014084507019</v>
      </c>
      <c r="AB35" s="185">
        <f t="shared" si="27"/>
        <v>81.947686116700083</v>
      </c>
      <c r="AC35" s="182">
        <f t="shared" si="35"/>
        <v>3</v>
      </c>
      <c r="AD35" s="625"/>
      <c r="AE35" s="188">
        <v>21</v>
      </c>
      <c r="AF35" s="188">
        <v>1755.3161592505844</v>
      </c>
      <c r="AG35" s="185">
        <f t="shared" si="36"/>
        <v>83.586483773837358</v>
      </c>
      <c r="AH35" s="182">
        <f t="shared" si="37"/>
        <v>3</v>
      </c>
      <c r="AI35" s="625"/>
      <c r="AJ35" s="188">
        <v>21</v>
      </c>
      <c r="AK35" s="188">
        <v>1784.629213483149</v>
      </c>
      <c r="AL35" s="185">
        <f t="shared" si="28"/>
        <v>84.982343499197569</v>
      </c>
      <c r="AM35" s="182">
        <f t="shared" si="38"/>
        <v>2</v>
      </c>
      <c r="AN35" s="625"/>
      <c r="AO35" s="188">
        <v>21</v>
      </c>
      <c r="AP35" s="188">
        <v>1784.702549575072</v>
      </c>
      <c r="AQ35" s="185">
        <f t="shared" si="29"/>
        <v>84.985835694051048</v>
      </c>
      <c r="AR35" s="182">
        <f t="shared" si="39"/>
        <v>2</v>
      </c>
      <c r="AS35" s="625"/>
      <c r="AT35" s="188">
        <v>20</v>
      </c>
      <c r="AU35" s="188">
        <v>1784.7642079806519</v>
      </c>
      <c r="AV35" s="185">
        <f t="shared" si="30"/>
        <v>89.238210399032596</v>
      </c>
      <c r="AW35" s="182">
        <f t="shared" si="40"/>
        <v>2</v>
      </c>
      <c r="AX35" s="625"/>
    </row>
    <row r="36" spans="2:50" ht="14.25" customHeight="1">
      <c r="B36" s="564"/>
      <c r="C36" s="180">
        <v>10</v>
      </c>
      <c r="D36" s="183"/>
      <c r="E36" s="180"/>
      <c r="F36" s="180"/>
      <c r="G36" s="185"/>
      <c r="H36" s="625"/>
      <c r="I36" s="186"/>
      <c r="J36" s="186"/>
      <c r="K36" s="187"/>
      <c r="L36" s="626"/>
      <c r="M36" s="186"/>
      <c r="N36" s="564"/>
      <c r="O36" s="564"/>
      <c r="P36" s="188"/>
      <c r="Q36" s="188"/>
      <c r="R36" s="185"/>
      <c r="S36" s="182"/>
      <c r="T36" s="625"/>
      <c r="U36" s="188"/>
      <c r="V36" s="188"/>
      <c r="W36" s="185"/>
      <c r="X36" s="182"/>
      <c r="Y36" s="625"/>
      <c r="Z36" s="188"/>
      <c r="AA36" s="188"/>
      <c r="AB36" s="185"/>
      <c r="AC36" s="182"/>
      <c r="AD36" s="625"/>
      <c r="AE36" s="188"/>
      <c r="AF36" s="188"/>
      <c r="AG36" s="185"/>
      <c r="AH36" s="182"/>
      <c r="AI36" s="625"/>
      <c r="AJ36" s="188"/>
      <c r="AK36" s="188"/>
      <c r="AL36" s="185"/>
      <c r="AM36" s="182"/>
      <c r="AN36" s="625"/>
      <c r="AO36" s="188"/>
      <c r="AP36" s="188"/>
      <c r="AQ36" s="185"/>
      <c r="AR36" s="182"/>
      <c r="AS36" s="625"/>
      <c r="AT36" s="188"/>
      <c r="AU36" s="188"/>
      <c r="AV36" s="185"/>
      <c r="AW36" s="182"/>
      <c r="AX36" s="625"/>
    </row>
    <row r="37" spans="2:50" ht="14.25" customHeight="1">
      <c r="B37" s="564"/>
      <c r="C37" s="180">
        <v>11</v>
      </c>
      <c r="D37" s="183"/>
      <c r="E37" s="180"/>
      <c r="F37" s="180"/>
      <c r="G37" s="185"/>
      <c r="H37" s="625"/>
      <c r="I37" s="186"/>
      <c r="J37" s="186"/>
      <c r="K37" s="187"/>
      <c r="L37" s="626"/>
      <c r="M37" s="186"/>
      <c r="N37" s="564"/>
      <c r="O37" s="564"/>
      <c r="P37" s="188"/>
      <c r="Q37" s="188"/>
      <c r="R37" s="185"/>
      <c r="S37" s="182"/>
      <c r="T37" s="625"/>
      <c r="U37" s="188"/>
      <c r="V37" s="188"/>
      <c r="W37" s="185"/>
      <c r="X37" s="182"/>
      <c r="Y37" s="625"/>
      <c r="Z37" s="188"/>
      <c r="AA37" s="188"/>
      <c r="AB37" s="185"/>
      <c r="AC37" s="182"/>
      <c r="AD37" s="625"/>
      <c r="AE37" s="188"/>
      <c r="AF37" s="188"/>
      <c r="AG37" s="185"/>
      <c r="AH37" s="182"/>
      <c r="AI37" s="625"/>
      <c r="AJ37" s="188"/>
      <c r="AK37" s="188"/>
      <c r="AL37" s="185"/>
      <c r="AM37" s="182"/>
      <c r="AN37" s="625"/>
      <c r="AO37" s="188"/>
      <c r="AP37" s="188"/>
      <c r="AQ37" s="185"/>
      <c r="AR37" s="182"/>
      <c r="AS37" s="625"/>
      <c r="AT37" s="188"/>
      <c r="AU37" s="188"/>
      <c r="AV37" s="185"/>
      <c r="AW37" s="182"/>
      <c r="AX37" s="625"/>
    </row>
    <row r="38" spans="2:50" ht="14.25" customHeight="1">
      <c r="B38" s="564"/>
      <c r="C38" s="180">
        <v>12</v>
      </c>
      <c r="D38" s="183"/>
      <c r="E38" s="180"/>
      <c r="F38" s="180"/>
      <c r="G38" s="185"/>
      <c r="H38" s="625"/>
      <c r="I38" s="186"/>
      <c r="J38" s="186"/>
      <c r="K38" s="187"/>
      <c r="L38" s="626"/>
      <c r="M38" s="186"/>
      <c r="N38" s="564"/>
      <c r="O38" s="564"/>
      <c r="P38" s="188"/>
      <c r="Q38" s="188"/>
      <c r="R38" s="185"/>
      <c r="S38" s="182"/>
      <c r="T38" s="625"/>
      <c r="U38" s="188"/>
      <c r="V38" s="188"/>
      <c r="W38" s="185"/>
      <c r="X38" s="182"/>
      <c r="Y38" s="625"/>
      <c r="Z38" s="188"/>
      <c r="AA38" s="188"/>
      <c r="AB38" s="185"/>
      <c r="AC38" s="182"/>
      <c r="AD38" s="625"/>
      <c r="AE38" s="188"/>
      <c r="AF38" s="188"/>
      <c r="AG38" s="185"/>
      <c r="AH38" s="182"/>
      <c r="AI38" s="625"/>
      <c r="AJ38" s="188"/>
      <c r="AK38" s="188"/>
      <c r="AL38" s="185"/>
      <c r="AM38" s="182"/>
      <c r="AN38" s="625"/>
      <c r="AO38" s="188"/>
      <c r="AP38" s="188"/>
      <c r="AQ38" s="185"/>
      <c r="AR38" s="182"/>
      <c r="AS38" s="625"/>
      <c r="AT38" s="188"/>
      <c r="AU38" s="188"/>
      <c r="AV38" s="185"/>
      <c r="AW38" s="182"/>
      <c r="AX38" s="625"/>
    </row>
    <row r="39" spans="2:50" ht="14.25" customHeight="1">
      <c r="B39" s="564"/>
      <c r="C39" s="180">
        <v>13</v>
      </c>
      <c r="D39" s="183"/>
      <c r="E39" s="180"/>
      <c r="F39" s="180"/>
      <c r="G39" s="185"/>
      <c r="H39" s="625"/>
      <c r="I39" s="186"/>
      <c r="J39" s="186"/>
      <c r="K39" s="187"/>
      <c r="L39" s="626"/>
      <c r="M39" s="186"/>
      <c r="N39" s="564"/>
      <c r="O39" s="564"/>
      <c r="P39" s="188"/>
      <c r="Q39" s="188"/>
      <c r="R39" s="185"/>
      <c r="S39" s="182"/>
      <c r="T39" s="625"/>
      <c r="U39" s="188"/>
      <c r="V39" s="188"/>
      <c r="W39" s="185"/>
      <c r="X39" s="182"/>
      <c r="Y39" s="625"/>
      <c r="Z39" s="188"/>
      <c r="AA39" s="188"/>
      <c r="AB39" s="185"/>
      <c r="AC39" s="182"/>
      <c r="AD39" s="625"/>
      <c r="AE39" s="188"/>
      <c r="AF39" s="188"/>
      <c r="AG39" s="185"/>
      <c r="AH39" s="182"/>
      <c r="AI39" s="625"/>
      <c r="AJ39" s="188"/>
      <c r="AK39" s="188"/>
      <c r="AL39" s="185"/>
      <c r="AM39" s="182"/>
      <c r="AN39" s="625"/>
      <c r="AO39" s="188"/>
      <c r="AP39" s="188"/>
      <c r="AQ39" s="185"/>
      <c r="AR39" s="182"/>
      <c r="AS39" s="625"/>
      <c r="AT39" s="188"/>
      <c r="AU39" s="188"/>
      <c r="AV39" s="185"/>
      <c r="AW39" s="182"/>
      <c r="AX39" s="625"/>
    </row>
    <row r="40" spans="2:50" ht="14.25" customHeight="1">
      <c r="B40" s="564"/>
      <c r="C40" s="180">
        <v>14</v>
      </c>
      <c r="D40" s="183"/>
      <c r="E40" s="180"/>
      <c r="F40" s="180"/>
      <c r="G40" s="185"/>
      <c r="H40" s="625"/>
      <c r="I40" s="186"/>
      <c r="J40" s="186"/>
      <c r="K40" s="187"/>
      <c r="L40" s="626"/>
      <c r="M40" s="186"/>
      <c r="N40" s="564"/>
      <c r="O40" s="564"/>
      <c r="P40" s="188"/>
      <c r="Q40" s="188"/>
      <c r="R40" s="185"/>
      <c r="S40" s="182"/>
      <c r="T40" s="625"/>
      <c r="U40" s="188"/>
      <c r="V40" s="188"/>
      <c r="W40" s="185"/>
      <c r="X40" s="182"/>
      <c r="Y40" s="625"/>
      <c r="Z40" s="188"/>
      <c r="AA40" s="188"/>
      <c r="AB40" s="185"/>
      <c r="AC40" s="182"/>
      <c r="AD40" s="625"/>
      <c r="AE40" s="188"/>
      <c r="AF40" s="188"/>
      <c r="AG40" s="185"/>
      <c r="AH40" s="182"/>
      <c r="AI40" s="625"/>
      <c r="AJ40" s="188"/>
      <c r="AK40" s="188"/>
      <c r="AL40" s="185"/>
      <c r="AM40" s="182"/>
      <c r="AN40" s="625"/>
      <c r="AO40" s="188"/>
      <c r="AP40" s="188"/>
      <c r="AQ40" s="185"/>
      <c r="AR40" s="182"/>
      <c r="AS40" s="625"/>
      <c r="AT40" s="188"/>
      <c r="AU40" s="188"/>
      <c r="AV40" s="185"/>
      <c r="AW40" s="182"/>
      <c r="AX40" s="625"/>
    </row>
    <row r="41" spans="2:50" ht="14.25" customHeight="1">
      <c r="B41" s="564"/>
      <c r="C41" s="180">
        <v>15</v>
      </c>
      <c r="D41" s="183"/>
      <c r="E41" s="180"/>
      <c r="F41" s="180"/>
      <c r="G41" s="185"/>
      <c r="H41" s="625"/>
      <c r="I41" s="186"/>
      <c r="J41" s="186"/>
      <c r="K41" s="187"/>
      <c r="L41" s="626"/>
      <c r="M41" s="186"/>
      <c r="N41" s="564"/>
      <c r="O41" s="564"/>
      <c r="P41" s="188"/>
      <c r="Q41" s="188"/>
      <c r="R41" s="185"/>
      <c r="S41" s="182"/>
      <c r="T41" s="625"/>
      <c r="U41" s="188"/>
      <c r="V41" s="188"/>
      <c r="W41" s="185"/>
      <c r="X41" s="182"/>
      <c r="Y41" s="625"/>
      <c r="Z41" s="188"/>
      <c r="AA41" s="188"/>
      <c r="AB41" s="185"/>
      <c r="AC41" s="182"/>
      <c r="AD41" s="625"/>
      <c r="AE41" s="188"/>
      <c r="AF41" s="188"/>
      <c r="AG41" s="185"/>
      <c r="AH41" s="182"/>
      <c r="AI41" s="625"/>
      <c r="AJ41" s="188"/>
      <c r="AK41" s="188"/>
      <c r="AL41" s="185"/>
      <c r="AM41" s="182"/>
      <c r="AN41" s="625"/>
      <c r="AO41" s="188"/>
      <c r="AP41" s="188"/>
      <c r="AQ41" s="185"/>
      <c r="AR41" s="182"/>
      <c r="AS41" s="625"/>
      <c r="AT41" s="188"/>
      <c r="AU41" s="188"/>
      <c r="AV41" s="185"/>
      <c r="AW41" s="182"/>
      <c r="AX41" s="625"/>
    </row>
    <row r="42" spans="2:50" ht="14.25" customHeight="1" collapsed="1">
      <c r="B42" s="646" t="s">
        <v>642</v>
      </c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43"/>
      <c r="N42" s="575" t="s">
        <v>377</v>
      </c>
      <c r="O42" s="575" t="s">
        <v>105</v>
      </c>
      <c r="P42" s="655">
        <f>AT22+1</f>
        <v>46091</v>
      </c>
      <c r="Q42" s="656"/>
      <c r="R42" s="656"/>
      <c r="S42" s="656"/>
      <c r="T42" s="656"/>
      <c r="U42" s="657">
        <f>P42+1</f>
        <v>46092</v>
      </c>
      <c r="V42" s="658"/>
      <c r="W42" s="658"/>
      <c r="X42" s="658"/>
      <c r="Y42" s="658"/>
      <c r="Z42" s="655">
        <f t="shared" ref="Z42" si="41">U42+1</f>
        <v>46093</v>
      </c>
      <c r="AA42" s="656"/>
      <c r="AB42" s="656"/>
      <c r="AC42" s="656"/>
      <c r="AD42" s="656"/>
      <c r="AE42" s="657">
        <f t="shared" ref="AE42" si="42">Z42+1</f>
        <v>46094</v>
      </c>
      <c r="AF42" s="658"/>
      <c r="AG42" s="658"/>
      <c r="AH42" s="658"/>
      <c r="AI42" s="658"/>
      <c r="AJ42" s="647">
        <f t="shared" ref="AJ42" si="43">AE42+1</f>
        <v>46095</v>
      </c>
      <c r="AK42" s="648"/>
      <c r="AL42" s="648"/>
      <c r="AM42" s="648"/>
      <c r="AN42" s="649"/>
      <c r="AO42" s="657">
        <f t="shared" ref="AO42" si="44">AJ42+1</f>
        <v>46096</v>
      </c>
      <c r="AP42" s="658"/>
      <c r="AQ42" s="658"/>
      <c r="AR42" s="658"/>
      <c r="AS42" s="658"/>
      <c r="AT42" s="647">
        <f t="shared" ref="AT42" si="45">AO42+1</f>
        <v>46097</v>
      </c>
      <c r="AU42" s="648"/>
      <c r="AV42" s="648"/>
      <c r="AW42" s="648"/>
      <c r="AX42" s="649"/>
    </row>
    <row r="43" spans="2:50" ht="14.25" customHeight="1">
      <c r="B43" s="644"/>
      <c r="C43" s="644"/>
      <c r="D43" s="644"/>
      <c r="E43" s="644"/>
      <c r="F43" s="644"/>
      <c r="G43" s="644"/>
      <c r="H43" s="644"/>
      <c r="I43" s="644"/>
      <c r="J43" s="644"/>
      <c r="K43" s="644"/>
      <c r="L43" s="644"/>
      <c r="M43" s="645"/>
      <c r="N43" s="577"/>
      <c r="O43" s="577"/>
      <c r="P43" s="650">
        <f>P42</f>
        <v>46091</v>
      </c>
      <c r="Q43" s="650"/>
      <c r="R43" s="650"/>
      <c r="S43" s="650"/>
      <c r="T43" s="650"/>
      <c r="U43" s="651">
        <f>U42</f>
        <v>46092</v>
      </c>
      <c r="V43" s="651"/>
      <c r="W43" s="651"/>
      <c r="X43" s="651"/>
      <c r="Y43" s="651"/>
      <c r="Z43" s="650">
        <f t="shared" ref="Z43" si="46">Z42</f>
        <v>46093</v>
      </c>
      <c r="AA43" s="650"/>
      <c r="AB43" s="650"/>
      <c r="AC43" s="650"/>
      <c r="AD43" s="650"/>
      <c r="AE43" s="651">
        <f t="shared" ref="AE43" si="47">AE42</f>
        <v>46094</v>
      </c>
      <c r="AF43" s="651"/>
      <c r="AG43" s="651"/>
      <c r="AH43" s="651"/>
      <c r="AI43" s="651"/>
      <c r="AJ43" s="652">
        <f t="shared" ref="AJ43" si="48">AJ42</f>
        <v>46095</v>
      </c>
      <c r="AK43" s="653"/>
      <c r="AL43" s="653"/>
      <c r="AM43" s="653"/>
      <c r="AN43" s="654"/>
      <c r="AO43" s="651">
        <f t="shared" ref="AO43" si="49">AO42</f>
        <v>46096</v>
      </c>
      <c r="AP43" s="651"/>
      <c r="AQ43" s="651"/>
      <c r="AR43" s="651"/>
      <c r="AS43" s="651"/>
      <c r="AT43" s="652">
        <f t="shared" ref="AT43" si="50">AT42</f>
        <v>46097</v>
      </c>
      <c r="AU43" s="653"/>
      <c r="AV43" s="653"/>
      <c r="AW43" s="653"/>
      <c r="AX43" s="654"/>
    </row>
    <row r="44" spans="2:50" ht="14.25" customHeight="1">
      <c r="B44" s="564" t="s">
        <v>164</v>
      </c>
      <c r="C44" s="564" t="s">
        <v>159</v>
      </c>
      <c r="D44" s="564"/>
      <c r="E44" s="564" t="s">
        <v>160</v>
      </c>
      <c r="F44" s="564"/>
      <c r="G44" s="564"/>
      <c r="H44" s="564" t="s">
        <v>165</v>
      </c>
      <c r="I44" s="628" t="s">
        <v>378</v>
      </c>
      <c r="J44" s="628"/>
      <c r="K44" s="628"/>
      <c r="L44" s="628" t="s">
        <v>165</v>
      </c>
      <c r="M44" s="628" t="s">
        <v>167</v>
      </c>
      <c r="N44" s="564"/>
      <c r="O44" s="564" t="s">
        <v>166</v>
      </c>
      <c r="P44" s="564" t="s">
        <v>162</v>
      </c>
      <c r="Q44" s="564"/>
      <c r="R44" s="564"/>
      <c r="S44" s="564"/>
      <c r="T44" s="564" t="s">
        <v>165</v>
      </c>
      <c r="U44" s="564" t="s">
        <v>162</v>
      </c>
      <c r="V44" s="564"/>
      <c r="W44" s="564"/>
      <c r="X44" s="564"/>
      <c r="Y44" s="564" t="s">
        <v>165</v>
      </c>
      <c r="Z44" s="564" t="s">
        <v>162</v>
      </c>
      <c r="AA44" s="564"/>
      <c r="AB44" s="564"/>
      <c r="AC44" s="564"/>
      <c r="AD44" s="564" t="s">
        <v>165</v>
      </c>
      <c r="AE44" s="564" t="s">
        <v>162</v>
      </c>
      <c r="AF44" s="564"/>
      <c r="AG44" s="564"/>
      <c r="AH44" s="564"/>
      <c r="AI44" s="564" t="s">
        <v>165</v>
      </c>
      <c r="AJ44" s="564" t="s">
        <v>162</v>
      </c>
      <c r="AK44" s="564"/>
      <c r="AL44" s="564"/>
      <c r="AM44" s="564"/>
      <c r="AN44" s="564" t="s">
        <v>165</v>
      </c>
      <c r="AO44" s="564" t="s">
        <v>162</v>
      </c>
      <c r="AP44" s="564"/>
      <c r="AQ44" s="564"/>
      <c r="AR44" s="564"/>
      <c r="AS44" s="564" t="s">
        <v>165</v>
      </c>
      <c r="AT44" s="564" t="s">
        <v>162</v>
      </c>
      <c r="AU44" s="564"/>
      <c r="AV44" s="564"/>
      <c r="AW44" s="564"/>
      <c r="AX44" s="564" t="s">
        <v>165</v>
      </c>
    </row>
    <row r="45" spans="2:50" ht="14.25" customHeight="1">
      <c r="B45" s="564"/>
      <c r="C45" s="564"/>
      <c r="D45" s="564"/>
      <c r="E45" s="564" t="s">
        <v>379</v>
      </c>
      <c r="F45" s="564"/>
      <c r="G45" s="564"/>
      <c r="H45" s="564"/>
      <c r="I45" s="628" t="s">
        <v>379</v>
      </c>
      <c r="J45" s="628"/>
      <c r="K45" s="628"/>
      <c r="L45" s="628"/>
      <c r="M45" s="628"/>
      <c r="N45" s="564"/>
      <c r="O45" s="564"/>
      <c r="P45" s="564" t="s">
        <v>380</v>
      </c>
      <c r="Q45" s="564"/>
      <c r="R45" s="564"/>
      <c r="S45" s="564"/>
      <c r="T45" s="564"/>
      <c r="U45" s="564" t="s">
        <v>380</v>
      </c>
      <c r="V45" s="564"/>
      <c r="W45" s="564"/>
      <c r="X45" s="564"/>
      <c r="Y45" s="564"/>
      <c r="Z45" s="564" t="s">
        <v>380</v>
      </c>
      <c r="AA45" s="564"/>
      <c r="AB45" s="564"/>
      <c r="AC45" s="564"/>
      <c r="AD45" s="564"/>
      <c r="AE45" s="564" t="s">
        <v>380</v>
      </c>
      <c r="AF45" s="564"/>
      <c r="AG45" s="564"/>
      <c r="AH45" s="564"/>
      <c r="AI45" s="564"/>
      <c r="AJ45" s="564" t="s">
        <v>380</v>
      </c>
      <c r="AK45" s="564"/>
      <c r="AL45" s="564"/>
      <c r="AM45" s="564"/>
      <c r="AN45" s="564"/>
      <c r="AO45" s="564" t="s">
        <v>380</v>
      </c>
      <c r="AP45" s="564"/>
      <c r="AQ45" s="564"/>
      <c r="AR45" s="564"/>
      <c r="AS45" s="564"/>
      <c r="AT45" s="564" t="s">
        <v>380</v>
      </c>
      <c r="AU45" s="564"/>
      <c r="AV45" s="564"/>
      <c r="AW45" s="564"/>
      <c r="AX45" s="564"/>
    </row>
    <row r="46" spans="2:50" ht="14.25" customHeight="1">
      <c r="B46" s="564"/>
      <c r="C46" s="564"/>
      <c r="D46" s="564"/>
      <c r="E46" s="180" t="s">
        <v>161</v>
      </c>
      <c r="F46" s="180" t="s">
        <v>381</v>
      </c>
      <c r="G46" s="180" t="s">
        <v>163</v>
      </c>
      <c r="H46" s="564"/>
      <c r="I46" s="181" t="s">
        <v>161</v>
      </c>
      <c r="J46" s="181" t="s">
        <v>381</v>
      </c>
      <c r="K46" s="181" t="s">
        <v>163</v>
      </c>
      <c r="L46" s="628"/>
      <c r="M46" s="628"/>
      <c r="N46" s="564"/>
      <c r="O46" s="564"/>
      <c r="P46" s="180" t="s">
        <v>161</v>
      </c>
      <c r="Q46" s="180" t="s">
        <v>381</v>
      </c>
      <c r="R46" s="180" t="s">
        <v>163</v>
      </c>
      <c r="S46" s="182" t="s">
        <v>167</v>
      </c>
      <c r="T46" s="564"/>
      <c r="U46" s="180" t="s">
        <v>161</v>
      </c>
      <c r="V46" s="180" t="s">
        <v>381</v>
      </c>
      <c r="W46" s="180" t="s">
        <v>163</v>
      </c>
      <c r="X46" s="182" t="s">
        <v>167</v>
      </c>
      <c r="Y46" s="564"/>
      <c r="Z46" s="180" t="s">
        <v>161</v>
      </c>
      <c r="AA46" s="180" t="s">
        <v>381</v>
      </c>
      <c r="AB46" s="180" t="s">
        <v>163</v>
      </c>
      <c r="AC46" s="182" t="s">
        <v>167</v>
      </c>
      <c r="AD46" s="564"/>
      <c r="AE46" s="180" t="s">
        <v>161</v>
      </c>
      <c r="AF46" s="180" t="s">
        <v>381</v>
      </c>
      <c r="AG46" s="180" t="s">
        <v>163</v>
      </c>
      <c r="AH46" s="182" t="s">
        <v>167</v>
      </c>
      <c r="AI46" s="564"/>
      <c r="AJ46" s="180" t="s">
        <v>161</v>
      </c>
      <c r="AK46" s="180" t="s">
        <v>381</v>
      </c>
      <c r="AL46" s="180" t="s">
        <v>163</v>
      </c>
      <c r="AM46" s="182" t="s">
        <v>167</v>
      </c>
      <c r="AN46" s="564"/>
      <c r="AO46" s="180" t="s">
        <v>161</v>
      </c>
      <c r="AP46" s="180" t="s">
        <v>381</v>
      </c>
      <c r="AQ46" s="180" t="s">
        <v>163</v>
      </c>
      <c r="AR46" s="182" t="s">
        <v>167</v>
      </c>
      <c r="AS46" s="564"/>
      <c r="AT46" s="180" t="s">
        <v>161</v>
      </c>
      <c r="AU46" s="180" t="s">
        <v>381</v>
      </c>
      <c r="AV46" s="180" t="s">
        <v>163</v>
      </c>
      <c r="AW46" s="182" t="s">
        <v>167</v>
      </c>
      <c r="AX46" s="564"/>
    </row>
    <row r="47" spans="2:50" ht="14.25" customHeight="1">
      <c r="B47" s="564" t="s">
        <v>357</v>
      </c>
      <c r="C47" s="180">
        <v>1</v>
      </c>
      <c r="D47" s="183" t="s">
        <v>511</v>
      </c>
      <c r="E47" s="180">
        <v>19</v>
      </c>
      <c r="F47" s="180">
        <v>1800</v>
      </c>
      <c r="G47" s="185">
        <f t="shared" ref="G47:G55" si="51">F47/E47</f>
        <v>94.736842105263165</v>
      </c>
      <c r="H47" s="625">
        <f>AVERAGE(G47:G61)</f>
        <v>91.683919944789537</v>
      </c>
      <c r="I47" s="186">
        <f>AVERAGE(P47,U47,Z47,AE47,AJ47,AO47,AT47)</f>
        <v>19</v>
      </c>
      <c r="J47" s="186">
        <f>AVERAGE(Q47,V47,AA47,AF47,AK47,AP47,AU47)</f>
        <v>1605.8929870111315</v>
      </c>
      <c r="K47" s="187">
        <f>AVERAGE(R47,W47,AB47,AG47,AL47,AQ47,AV47)</f>
        <v>84.520683526901649</v>
      </c>
      <c r="L47" s="626">
        <f>IFERROR(AVERAGE(K47:K61),"-")</f>
        <v>80.138170436854892</v>
      </c>
      <c r="M47" s="186">
        <f>RANK(K47, K$47:$K$61)</f>
        <v>3</v>
      </c>
      <c r="N47" s="564"/>
      <c r="O47" s="564"/>
      <c r="P47" s="188">
        <v>19</v>
      </c>
      <c r="Q47" s="188">
        <v>1605.8873478630062</v>
      </c>
      <c r="R47" s="185">
        <f>IFERROR(Q47/P47,"")</f>
        <v>84.520386729631909</v>
      </c>
      <c r="S47" s="182">
        <f>RANK(R47, R$47:R$61)</f>
        <v>3</v>
      </c>
      <c r="T47" s="625">
        <f>AVERAGE(R47:R61)</f>
        <v>79.808198502998195</v>
      </c>
      <c r="U47" s="188">
        <v>19</v>
      </c>
      <c r="V47" s="188">
        <v>1605.786618444846</v>
      </c>
      <c r="W47" s="185">
        <f t="shared" ref="W47:W55" si="52">IFERROR(V47/U47,"")</f>
        <v>84.515085181307683</v>
      </c>
      <c r="X47" s="182">
        <f>RANK(W47, W$47:W$61)</f>
        <v>3</v>
      </c>
      <c r="Y47" s="625">
        <f>AVERAGE(W47:W61)</f>
        <v>80.179076227990208</v>
      </c>
      <c r="Z47" s="188">
        <v>19</v>
      </c>
      <c r="AA47" s="188">
        <v>1605.6213017751497</v>
      </c>
      <c r="AB47" s="185">
        <f t="shared" ref="AB47:AB55" si="53">IFERROR(AA47/Z47,"")</f>
        <v>84.506384303955244</v>
      </c>
      <c r="AC47" s="182">
        <f>RANK(AB47, AB$47:AB$61)</f>
        <v>3</v>
      </c>
      <c r="AD47" s="625">
        <f>AVERAGE(AB47:AB61)</f>
        <v>80.187272098044176</v>
      </c>
      <c r="AE47" s="188">
        <v>19</v>
      </c>
      <c r="AF47" s="188">
        <v>1605.8500914076762</v>
      </c>
      <c r="AG47" s="185">
        <f>IFERROR(AF47/AE47,"")</f>
        <v>84.518425863561902</v>
      </c>
      <c r="AH47" s="182">
        <f>RANK(AG47, AG$47:AG$61)</f>
        <v>3</v>
      </c>
      <c r="AI47" s="625">
        <f>AVERAGE(AG47:AG61)</f>
        <v>80.190328430392412</v>
      </c>
      <c r="AJ47" s="188">
        <v>19</v>
      </c>
      <c r="AK47" s="188">
        <v>1606.0012247397449</v>
      </c>
      <c r="AL47" s="185">
        <f t="shared" ref="AL47:AL55" si="54">IFERROR(AK47/AJ47,"")</f>
        <v>84.52638024946026</v>
      </c>
      <c r="AM47" s="182">
        <f>RANK(AL47, AL$47:AL$61)</f>
        <v>3</v>
      </c>
      <c r="AN47" s="625">
        <f>AVERAGE(AL47:AL61)</f>
        <v>80.195249593524608</v>
      </c>
      <c r="AO47" s="188">
        <v>19</v>
      </c>
      <c r="AP47" s="188">
        <v>1605.9824651882434</v>
      </c>
      <c r="AQ47" s="185">
        <f t="shared" ref="AQ47:AQ55" si="55">IFERROR(AP47/AO47,"")</f>
        <v>84.525392904644391</v>
      </c>
      <c r="AR47" s="182">
        <f>RANK(AQ47, AQ$47:AQ$61)</f>
        <v>3</v>
      </c>
      <c r="AS47" s="625">
        <f>AVERAGE(AQ47:AQ61)</f>
        <v>80.200407135322649</v>
      </c>
      <c r="AT47" s="188">
        <v>19</v>
      </c>
      <c r="AU47" s="188">
        <v>1606.1218596592546</v>
      </c>
      <c r="AV47" s="185">
        <f t="shared" ref="AV47:AV55" si="56">IFERROR(AU47/AT47,"")</f>
        <v>84.532729455750243</v>
      </c>
      <c r="AW47" s="182">
        <f>RANK(AV47, AV$47:AV$61)</f>
        <v>3</v>
      </c>
      <c r="AX47" s="625">
        <f>AVERAGE(AV47:AV61)</f>
        <v>80.206661069712069</v>
      </c>
    </row>
    <row r="48" spans="2:50" ht="14.25" customHeight="1">
      <c r="B48" s="564"/>
      <c r="C48" s="180">
        <v>2</v>
      </c>
      <c r="D48" s="183" t="s">
        <v>486</v>
      </c>
      <c r="E48" s="180">
        <v>19</v>
      </c>
      <c r="F48" s="180">
        <v>2000</v>
      </c>
      <c r="G48" s="185">
        <f t="shared" si="51"/>
        <v>105.26315789473684</v>
      </c>
      <c r="H48" s="625"/>
      <c r="I48" s="186">
        <f t="shared" ref="I48:K55" si="57">AVERAGE(P48,U48,Z48,AE48,AJ48,AO48,AT48)</f>
        <v>20</v>
      </c>
      <c r="J48" s="186">
        <f t="shared" si="57"/>
        <v>1785.9519704370837</v>
      </c>
      <c r="K48" s="187">
        <f t="shared" si="57"/>
        <v>89.297598521854169</v>
      </c>
      <c r="L48" s="626"/>
      <c r="M48" s="186">
        <f>RANK(K48, K$47:$K$61)</f>
        <v>1</v>
      </c>
      <c r="N48" s="564"/>
      <c r="O48" s="564"/>
      <c r="P48" s="188">
        <v>20</v>
      </c>
      <c r="Q48" s="188">
        <v>1785.0162866449512</v>
      </c>
      <c r="R48" s="185">
        <f t="shared" ref="R48:R55" si="58">IFERROR(Q48/P48,"")</f>
        <v>89.250814332247558</v>
      </c>
      <c r="S48" s="182">
        <f t="shared" ref="S48:S55" si="59">RANK(R48, R$47:R$61)</f>
        <v>1</v>
      </c>
      <c r="T48" s="625"/>
      <c r="U48" s="188">
        <v>20</v>
      </c>
      <c r="V48" s="188">
        <v>1785.3545137543606</v>
      </c>
      <c r="W48" s="185">
        <f t="shared" si="52"/>
        <v>89.267725687718027</v>
      </c>
      <c r="X48" s="182">
        <f t="shared" ref="X48:X55" si="60">RANK(W48, W$47:W$61)</f>
        <v>1</v>
      </c>
      <c r="Y48" s="625"/>
      <c r="Z48" s="188">
        <v>20</v>
      </c>
      <c r="AA48" s="188">
        <v>1786.073500967123</v>
      </c>
      <c r="AB48" s="185">
        <f t="shared" si="53"/>
        <v>89.303675048356155</v>
      </c>
      <c r="AC48" s="182">
        <f t="shared" ref="AC48:AC55" si="61">RANK(AB48, AB$47:AB$61)</f>
        <v>1</v>
      </c>
      <c r="AD48" s="625"/>
      <c r="AE48" s="188">
        <v>20</v>
      </c>
      <c r="AF48" s="188">
        <v>1785.966352072217</v>
      </c>
      <c r="AG48" s="185">
        <f t="shared" ref="AG48:AG55" si="62">IFERROR(AF48/AE48,"")</f>
        <v>89.298317603610855</v>
      </c>
      <c r="AH48" s="182">
        <f t="shared" ref="AH48:AH55" si="63">RANK(AG48, AG$47:AG$61)</f>
        <v>1</v>
      </c>
      <c r="AI48" s="625"/>
      <c r="AJ48" s="188">
        <v>20</v>
      </c>
      <c r="AK48" s="188">
        <v>1785.9484777517514</v>
      </c>
      <c r="AL48" s="185">
        <f t="shared" si="54"/>
        <v>89.29742388758757</v>
      </c>
      <c r="AM48" s="182">
        <f t="shared" ref="AM48:AM55" si="64">RANK(AL48, AL$47:AL$61)</f>
        <v>1</v>
      </c>
      <c r="AN48" s="625"/>
      <c r="AO48" s="188">
        <v>20</v>
      </c>
      <c r="AP48" s="188">
        <v>1786.3860572180211</v>
      </c>
      <c r="AQ48" s="185">
        <f t="shared" si="55"/>
        <v>89.319302860901047</v>
      </c>
      <c r="AR48" s="182">
        <f t="shared" ref="AR48:AR55" si="65">RANK(AQ48, AQ$47:AQ$61)</f>
        <v>1</v>
      </c>
      <c r="AS48" s="625"/>
      <c r="AT48" s="188">
        <v>20</v>
      </c>
      <c r="AU48" s="188">
        <v>1786.9186046511597</v>
      </c>
      <c r="AV48" s="185">
        <f t="shared" si="56"/>
        <v>89.34593023255799</v>
      </c>
      <c r="AW48" s="182">
        <f t="shared" ref="AW48:AW55" si="66">RANK(AV48, AV$47:AV$61)</f>
        <v>1</v>
      </c>
      <c r="AX48" s="625"/>
    </row>
    <row r="49" spans="2:50" ht="14.25" customHeight="1">
      <c r="B49" s="564"/>
      <c r="C49" s="180">
        <v>3</v>
      </c>
      <c r="D49" s="183" t="s">
        <v>611</v>
      </c>
      <c r="E49" s="180">
        <v>20</v>
      </c>
      <c r="F49" s="180">
        <v>2000</v>
      </c>
      <c r="G49" s="185">
        <f t="shared" si="51"/>
        <v>100</v>
      </c>
      <c r="H49" s="625"/>
      <c r="I49" s="186">
        <f t="shared" si="57"/>
        <v>20</v>
      </c>
      <c r="J49" s="186">
        <f t="shared" si="57"/>
        <v>1784.8616066545812</v>
      </c>
      <c r="K49" s="187">
        <f t="shared" si="57"/>
        <v>89.243080332729079</v>
      </c>
      <c r="L49" s="626"/>
      <c r="M49" s="186">
        <f>RANK(K49, K$47:$K$61)</f>
        <v>2</v>
      </c>
      <c r="N49" s="564"/>
      <c r="O49" s="564"/>
      <c r="P49" s="188">
        <v>20</v>
      </c>
      <c r="Q49" s="188">
        <v>1784.7902097902102</v>
      </c>
      <c r="R49" s="185">
        <f t="shared" si="58"/>
        <v>89.239510489510508</v>
      </c>
      <c r="S49" s="182">
        <f t="shared" si="59"/>
        <v>2</v>
      </c>
      <c r="T49" s="625"/>
      <c r="U49" s="188">
        <v>20</v>
      </c>
      <c r="V49" s="188">
        <v>1784.8042977743648</v>
      </c>
      <c r="W49" s="185">
        <f t="shared" si="52"/>
        <v>89.240214888718242</v>
      </c>
      <c r="X49" s="182">
        <f t="shared" si="60"/>
        <v>2</v>
      </c>
      <c r="Y49" s="625"/>
      <c r="Z49" s="188">
        <v>20</v>
      </c>
      <c r="AA49" s="188">
        <v>1784.9089332176909</v>
      </c>
      <c r="AB49" s="185">
        <f t="shared" si="53"/>
        <v>89.245446660884539</v>
      </c>
      <c r="AC49" s="182">
        <f t="shared" si="61"/>
        <v>2</v>
      </c>
      <c r="AD49" s="625"/>
      <c r="AE49" s="188">
        <v>20</v>
      </c>
      <c r="AF49" s="188">
        <v>1784.7295864262985</v>
      </c>
      <c r="AG49" s="185">
        <f t="shared" si="62"/>
        <v>89.236479321314931</v>
      </c>
      <c r="AH49" s="182">
        <f t="shared" si="63"/>
        <v>2</v>
      </c>
      <c r="AI49" s="625"/>
      <c r="AJ49" s="188">
        <v>20</v>
      </c>
      <c r="AK49" s="188">
        <v>1784.9190094954379</v>
      </c>
      <c r="AL49" s="185">
        <f t="shared" si="54"/>
        <v>89.245950474771888</v>
      </c>
      <c r="AM49" s="182">
        <f t="shared" si="64"/>
        <v>2</v>
      </c>
      <c r="AN49" s="625"/>
      <c r="AO49" s="188">
        <v>20</v>
      </c>
      <c r="AP49" s="188">
        <v>1784.8931116389549</v>
      </c>
      <c r="AQ49" s="185">
        <f t="shared" si="55"/>
        <v>89.24465558194774</v>
      </c>
      <c r="AR49" s="182">
        <f t="shared" si="65"/>
        <v>2</v>
      </c>
      <c r="AS49" s="625"/>
      <c r="AT49" s="188">
        <v>20</v>
      </c>
      <c r="AU49" s="188">
        <v>1784.9860982391115</v>
      </c>
      <c r="AV49" s="185">
        <f t="shared" si="56"/>
        <v>89.249304911955576</v>
      </c>
      <c r="AW49" s="182">
        <f t="shared" si="66"/>
        <v>2</v>
      </c>
      <c r="AX49" s="625"/>
    </row>
    <row r="50" spans="2:50" ht="14.25" customHeight="1">
      <c r="B50" s="564"/>
      <c r="C50" s="180">
        <v>4</v>
      </c>
      <c r="D50" s="183" t="s">
        <v>474</v>
      </c>
      <c r="E50" s="180">
        <v>21</v>
      </c>
      <c r="F50" s="180">
        <v>2000</v>
      </c>
      <c r="G50" s="185">
        <f t="shared" si="51"/>
        <v>95.238095238095241</v>
      </c>
      <c r="H50" s="625"/>
      <c r="I50" s="186">
        <f t="shared" si="57"/>
        <v>22</v>
      </c>
      <c r="J50" s="186">
        <f t="shared" si="57"/>
        <v>1784.6492554381962</v>
      </c>
      <c r="K50" s="187">
        <f t="shared" si="57"/>
        <v>81.12042070173618</v>
      </c>
      <c r="L50" s="626"/>
      <c r="M50" s="186">
        <f>RANK(K50, K$47:$K$61)</f>
        <v>4</v>
      </c>
      <c r="N50" s="564"/>
      <c r="O50" s="564"/>
      <c r="P50" s="188">
        <v>22</v>
      </c>
      <c r="Q50" s="188">
        <v>1784.9399781738848</v>
      </c>
      <c r="R50" s="185">
        <f t="shared" si="58"/>
        <v>81.133635371540223</v>
      </c>
      <c r="S50" s="182">
        <f t="shared" si="59"/>
        <v>4</v>
      </c>
      <c r="T50" s="625"/>
      <c r="U50" s="188">
        <v>22</v>
      </c>
      <c r="V50" s="188">
        <v>1784.6938775510255</v>
      </c>
      <c r="W50" s="185">
        <f t="shared" si="52"/>
        <v>81.122448979592065</v>
      </c>
      <c r="X50" s="182">
        <f t="shared" si="60"/>
        <v>4</v>
      </c>
      <c r="Y50" s="625"/>
      <c r="Z50" s="188">
        <v>22</v>
      </c>
      <c r="AA50" s="188">
        <v>1784.5659163987102</v>
      </c>
      <c r="AB50" s="185">
        <f t="shared" si="53"/>
        <v>81.116632563577738</v>
      </c>
      <c r="AC50" s="182">
        <f t="shared" si="61"/>
        <v>4</v>
      </c>
      <c r="AD50" s="625"/>
      <c r="AE50" s="188">
        <v>22</v>
      </c>
      <c r="AF50" s="188">
        <v>1784.4827586206843</v>
      </c>
      <c r="AG50" s="185">
        <f t="shared" si="62"/>
        <v>81.112852664576565</v>
      </c>
      <c r="AH50" s="182">
        <f t="shared" si="63"/>
        <v>4</v>
      </c>
      <c r="AI50" s="625"/>
      <c r="AJ50" s="188">
        <v>22</v>
      </c>
      <c r="AK50" s="188">
        <v>1784.5327604726131</v>
      </c>
      <c r="AL50" s="185">
        <f t="shared" si="54"/>
        <v>81.11512547602787</v>
      </c>
      <c r="AM50" s="182">
        <f t="shared" si="64"/>
        <v>4</v>
      </c>
      <c r="AN50" s="625"/>
      <c r="AO50" s="188">
        <v>22</v>
      </c>
      <c r="AP50" s="188">
        <v>1784.7272727272702</v>
      </c>
      <c r="AQ50" s="185">
        <f t="shared" si="55"/>
        <v>81.123966942148641</v>
      </c>
      <c r="AR50" s="182">
        <f t="shared" si="65"/>
        <v>4</v>
      </c>
      <c r="AS50" s="625"/>
      <c r="AT50" s="188">
        <v>22</v>
      </c>
      <c r="AU50" s="188">
        <v>1784.602224123184</v>
      </c>
      <c r="AV50" s="185">
        <f t="shared" si="56"/>
        <v>81.118282914690184</v>
      </c>
      <c r="AW50" s="182">
        <f t="shared" si="66"/>
        <v>4</v>
      </c>
      <c r="AX50" s="625"/>
    </row>
    <row r="51" spans="2:50" ht="14.25" customHeight="1">
      <c r="B51" s="564"/>
      <c r="C51" s="180">
        <v>5</v>
      </c>
      <c r="D51" s="183" t="s">
        <v>610</v>
      </c>
      <c r="E51" s="180">
        <v>21</v>
      </c>
      <c r="F51" s="180">
        <v>1800</v>
      </c>
      <c r="G51" s="185">
        <f t="shared" si="51"/>
        <v>85.714285714285708</v>
      </c>
      <c r="H51" s="625"/>
      <c r="I51" s="186">
        <f t="shared" si="57"/>
        <v>21</v>
      </c>
      <c r="J51" s="186">
        <f t="shared" si="57"/>
        <v>1605.696529937338</v>
      </c>
      <c r="K51" s="187">
        <f t="shared" si="57"/>
        <v>76.461739520825631</v>
      </c>
      <c r="L51" s="626"/>
      <c r="M51" s="186">
        <f>RANK(K51, K$47:$K$61)</f>
        <v>7</v>
      </c>
      <c r="N51" s="564"/>
      <c r="O51" s="564"/>
      <c r="P51" s="188">
        <v>21</v>
      </c>
      <c r="Q51" s="188">
        <v>1605.4585152838429</v>
      </c>
      <c r="R51" s="185">
        <f t="shared" si="58"/>
        <v>76.45040548970681</v>
      </c>
      <c r="S51" s="182">
        <f t="shared" si="59"/>
        <v>6</v>
      </c>
      <c r="T51" s="625"/>
      <c r="U51" s="188">
        <v>21</v>
      </c>
      <c r="V51" s="188">
        <v>1605.4794520547948</v>
      </c>
      <c r="W51" s="185">
        <f t="shared" si="52"/>
        <v>76.45140247879975</v>
      </c>
      <c r="X51" s="182">
        <f t="shared" si="60"/>
        <v>7</v>
      </c>
      <c r="Y51" s="625"/>
      <c r="Z51" s="188">
        <v>21</v>
      </c>
      <c r="AA51" s="188">
        <v>1605.5470808487037</v>
      </c>
      <c r="AB51" s="185">
        <f t="shared" si="53"/>
        <v>76.454622897557314</v>
      </c>
      <c r="AC51" s="182">
        <f t="shared" si="61"/>
        <v>7</v>
      </c>
      <c r="AD51" s="625"/>
      <c r="AE51" s="188">
        <v>21</v>
      </c>
      <c r="AF51" s="188">
        <v>1605.6039173014144</v>
      </c>
      <c r="AG51" s="185">
        <f t="shared" si="62"/>
        <v>76.45732939530545</v>
      </c>
      <c r="AH51" s="182">
        <f t="shared" si="63"/>
        <v>7</v>
      </c>
      <c r="AI51" s="625"/>
      <c r="AJ51" s="188">
        <v>21</v>
      </c>
      <c r="AK51" s="188">
        <v>1605.8534123880411</v>
      </c>
      <c r="AL51" s="185">
        <f t="shared" si="54"/>
        <v>76.469210113716244</v>
      </c>
      <c r="AM51" s="182">
        <f t="shared" si="64"/>
        <v>7</v>
      </c>
      <c r="AN51" s="625"/>
      <c r="AO51" s="188">
        <v>21</v>
      </c>
      <c r="AP51" s="188">
        <v>1605.9714599341369</v>
      </c>
      <c r="AQ51" s="185">
        <f t="shared" si="55"/>
        <v>76.474831425435084</v>
      </c>
      <c r="AR51" s="182">
        <f t="shared" si="65"/>
        <v>7</v>
      </c>
      <c r="AS51" s="625"/>
      <c r="AT51" s="188">
        <v>21</v>
      </c>
      <c r="AU51" s="188">
        <v>1605.9618717504331</v>
      </c>
      <c r="AV51" s="185">
        <f t="shared" si="56"/>
        <v>76.474374845258723</v>
      </c>
      <c r="AW51" s="182">
        <f t="shared" si="66"/>
        <v>7</v>
      </c>
      <c r="AX51" s="625"/>
    </row>
    <row r="52" spans="2:50" ht="14.25" customHeight="1">
      <c r="B52" s="564"/>
      <c r="C52" s="180">
        <v>6</v>
      </c>
      <c r="D52" s="183" t="s">
        <v>345</v>
      </c>
      <c r="E52" s="180">
        <v>23</v>
      </c>
      <c r="F52" s="180">
        <v>2000</v>
      </c>
      <c r="G52" s="185">
        <f t="shared" si="51"/>
        <v>86.956521739130437</v>
      </c>
      <c r="H52" s="625"/>
      <c r="I52" s="186">
        <f t="shared" si="57"/>
        <v>23</v>
      </c>
      <c r="J52" s="186">
        <f t="shared" si="57"/>
        <v>1785.5257880881147</v>
      </c>
      <c r="K52" s="187">
        <f t="shared" si="57"/>
        <v>77.631556003831093</v>
      </c>
      <c r="L52" s="626"/>
      <c r="M52" s="186">
        <f>RANK(K52, K$47:$K$61)</f>
        <v>5</v>
      </c>
      <c r="N52" s="564"/>
      <c r="O52" s="564"/>
      <c r="P52" s="188">
        <v>23</v>
      </c>
      <c r="Q52" s="188">
        <v>1785.1887705711517</v>
      </c>
      <c r="R52" s="185">
        <f t="shared" si="58"/>
        <v>77.616903068310947</v>
      </c>
      <c r="S52" s="182">
        <f t="shared" si="59"/>
        <v>5</v>
      </c>
      <c r="T52" s="625"/>
      <c r="U52" s="188">
        <v>23</v>
      </c>
      <c r="V52" s="188">
        <v>1785.2156057494874</v>
      </c>
      <c r="W52" s="185">
        <f t="shared" si="52"/>
        <v>77.618069815195099</v>
      </c>
      <c r="X52" s="182">
        <f t="shared" si="60"/>
        <v>6</v>
      </c>
      <c r="Y52" s="625"/>
      <c r="Z52" s="188">
        <v>23</v>
      </c>
      <c r="AA52" s="188">
        <v>1785.5072463768138</v>
      </c>
      <c r="AB52" s="185">
        <f t="shared" si="53"/>
        <v>77.630749842470166</v>
      </c>
      <c r="AC52" s="182">
        <f t="shared" si="61"/>
        <v>6</v>
      </c>
      <c r="AD52" s="625"/>
      <c r="AE52" s="188">
        <v>23</v>
      </c>
      <c r="AF52" s="188">
        <v>1785.5172413793118</v>
      </c>
      <c r="AG52" s="185">
        <f t="shared" si="62"/>
        <v>77.631184407796169</v>
      </c>
      <c r="AH52" s="182">
        <f t="shared" si="63"/>
        <v>6</v>
      </c>
      <c r="AI52" s="625"/>
      <c r="AJ52" s="188">
        <v>23</v>
      </c>
      <c r="AK52" s="188">
        <v>1785.6444558785665</v>
      </c>
      <c r="AL52" s="185">
        <f t="shared" si="54"/>
        <v>77.636715472981152</v>
      </c>
      <c r="AM52" s="182">
        <f t="shared" si="64"/>
        <v>6</v>
      </c>
      <c r="AN52" s="625"/>
      <c r="AO52" s="188">
        <v>23</v>
      </c>
      <c r="AP52" s="188">
        <v>1785.7295907435171</v>
      </c>
      <c r="AQ52" s="185">
        <f t="shared" si="55"/>
        <v>77.640416988848571</v>
      </c>
      <c r="AR52" s="182">
        <f t="shared" si="65"/>
        <v>6</v>
      </c>
      <c r="AS52" s="625"/>
      <c r="AT52" s="188">
        <v>23</v>
      </c>
      <c r="AU52" s="188">
        <v>1785.8776059179568</v>
      </c>
      <c r="AV52" s="185">
        <f t="shared" si="56"/>
        <v>77.646852431215507</v>
      </c>
      <c r="AW52" s="182">
        <f t="shared" si="66"/>
        <v>6</v>
      </c>
      <c r="AX52" s="625"/>
    </row>
    <row r="53" spans="2:50" ht="14.25" customHeight="1">
      <c r="B53" s="564"/>
      <c r="C53" s="180">
        <v>7</v>
      </c>
      <c r="D53" s="183" t="s">
        <v>358</v>
      </c>
      <c r="E53" s="180">
        <v>23</v>
      </c>
      <c r="F53" s="180">
        <v>2000</v>
      </c>
      <c r="G53" s="185">
        <f t="shared" si="51"/>
        <v>86.956521739130437</v>
      </c>
      <c r="H53" s="625"/>
      <c r="I53" s="186">
        <f t="shared" si="57"/>
        <v>24</v>
      </c>
      <c r="J53" s="186">
        <f t="shared" si="57"/>
        <v>1783.9364929373555</v>
      </c>
      <c r="K53" s="187">
        <f t="shared" si="57"/>
        <v>74.330687205723166</v>
      </c>
      <c r="L53" s="626"/>
      <c r="M53" s="186">
        <f>RANK(K53, K$47:$K$61)</f>
        <v>8</v>
      </c>
      <c r="N53" s="564"/>
      <c r="O53" s="564"/>
      <c r="P53" s="188">
        <v>24</v>
      </c>
      <c r="Q53" s="188">
        <v>1783.1062670299739</v>
      </c>
      <c r="R53" s="185">
        <f t="shared" si="58"/>
        <v>74.29609445958225</v>
      </c>
      <c r="S53" s="182">
        <f t="shared" si="59"/>
        <v>8</v>
      </c>
      <c r="T53" s="625"/>
      <c r="U53" s="188">
        <v>24</v>
      </c>
      <c r="V53" s="188">
        <v>1783.3066837224196</v>
      </c>
      <c r="W53" s="185">
        <f t="shared" si="52"/>
        <v>74.304445155100822</v>
      </c>
      <c r="X53" s="182">
        <f t="shared" si="60"/>
        <v>8</v>
      </c>
      <c r="Y53" s="625"/>
      <c r="Z53" s="188">
        <v>24</v>
      </c>
      <c r="AA53" s="188">
        <v>1783.6943678613623</v>
      </c>
      <c r="AB53" s="185">
        <f t="shared" si="53"/>
        <v>74.320598660890099</v>
      </c>
      <c r="AC53" s="182">
        <f t="shared" si="61"/>
        <v>8</v>
      </c>
      <c r="AD53" s="625"/>
      <c r="AE53" s="188">
        <v>24</v>
      </c>
      <c r="AF53" s="188">
        <v>1784.0163934426246</v>
      </c>
      <c r="AG53" s="185">
        <f t="shared" si="62"/>
        <v>74.334016393442695</v>
      </c>
      <c r="AH53" s="182">
        <f t="shared" si="63"/>
        <v>8</v>
      </c>
      <c r="AI53" s="625"/>
      <c r="AJ53" s="188">
        <v>24</v>
      </c>
      <c r="AK53" s="188">
        <v>1784.327636246373</v>
      </c>
      <c r="AL53" s="185">
        <f t="shared" si="54"/>
        <v>74.346984843598875</v>
      </c>
      <c r="AM53" s="182">
        <f t="shared" si="64"/>
        <v>8</v>
      </c>
      <c r="AN53" s="625"/>
      <c r="AO53" s="188">
        <v>24</v>
      </c>
      <c r="AP53" s="188">
        <v>1784.4624640334819</v>
      </c>
      <c r="AQ53" s="185">
        <f t="shared" si="55"/>
        <v>74.352602668061749</v>
      </c>
      <c r="AR53" s="182">
        <f t="shared" si="65"/>
        <v>8</v>
      </c>
      <c r="AS53" s="625"/>
      <c r="AT53" s="188">
        <v>24</v>
      </c>
      <c r="AU53" s="188">
        <v>1784.6416382252544</v>
      </c>
      <c r="AV53" s="185">
        <f t="shared" si="56"/>
        <v>74.360068259385599</v>
      </c>
      <c r="AW53" s="182">
        <f t="shared" si="66"/>
        <v>8</v>
      </c>
      <c r="AX53" s="625"/>
    </row>
    <row r="54" spans="2:50" ht="14.25" customHeight="1">
      <c r="B54" s="564"/>
      <c r="C54" s="180">
        <v>8</v>
      </c>
      <c r="D54" s="183" t="s">
        <v>347</v>
      </c>
      <c r="E54" s="180">
        <v>23</v>
      </c>
      <c r="F54" s="180">
        <v>2000</v>
      </c>
      <c r="G54" s="185">
        <f t="shared" si="51"/>
        <v>86.956521739130437</v>
      </c>
      <c r="H54" s="625"/>
      <c r="I54" s="186">
        <f t="shared" si="57"/>
        <v>23.142857142857142</v>
      </c>
      <c r="J54" s="186">
        <f t="shared" si="57"/>
        <v>1786.2362638537072</v>
      </c>
      <c r="K54" s="187">
        <f t="shared" si="57"/>
        <v>77.20076920323659</v>
      </c>
      <c r="L54" s="626"/>
      <c r="M54" s="186">
        <f>RANK(K54, K$47:$K$61)</f>
        <v>6</v>
      </c>
      <c r="N54" s="564"/>
      <c r="O54" s="564"/>
      <c r="P54" s="188">
        <v>24</v>
      </c>
      <c r="Q54" s="188">
        <v>1783.9201261166609</v>
      </c>
      <c r="R54" s="185">
        <f t="shared" si="58"/>
        <v>74.330005254860865</v>
      </c>
      <c r="S54" s="182">
        <f t="shared" si="59"/>
        <v>7</v>
      </c>
      <c r="T54" s="625"/>
      <c r="U54" s="188">
        <v>23</v>
      </c>
      <c r="V54" s="188">
        <v>1786.1656703672063</v>
      </c>
      <c r="W54" s="185">
        <f t="shared" si="52"/>
        <v>77.659376972487237</v>
      </c>
      <c r="X54" s="182">
        <f t="shared" si="60"/>
        <v>5</v>
      </c>
      <c r="Y54" s="625"/>
      <c r="Z54" s="188">
        <v>23</v>
      </c>
      <c r="AA54" s="188">
        <v>1786.4175350341377</v>
      </c>
      <c r="AB54" s="185">
        <f t="shared" si="53"/>
        <v>77.670327610179896</v>
      </c>
      <c r="AC54" s="182">
        <f t="shared" si="61"/>
        <v>5</v>
      </c>
      <c r="AD54" s="625"/>
      <c r="AE54" s="188">
        <v>23</v>
      </c>
      <c r="AF54" s="188">
        <v>1786.7728107777118</v>
      </c>
      <c r="AG54" s="185">
        <f t="shared" si="62"/>
        <v>77.685774381639646</v>
      </c>
      <c r="AH54" s="182">
        <f t="shared" si="63"/>
        <v>5</v>
      </c>
      <c r="AI54" s="625"/>
      <c r="AJ54" s="188">
        <v>23</v>
      </c>
      <c r="AK54" s="188">
        <v>1786.6969869243903</v>
      </c>
      <c r="AL54" s="185">
        <f t="shared" si="54"/>
        <v>77.682477692364799</v>
      </c>
      <c r="AM54" s="182">
        <f t="shared" si="64"/>
        <v>5</v>
      </c>
      <c r="AN54" s="625"/>
      <c r="AO54" s="188">
        <v>23</v>
      </c>
      <c r="AP54" s="188">
        <v>1786.7174482266123</v>
      </c>
      <c r="AQ54" s="185">
        <f t="shared" si="55"/>
        <v>77.683367314200538</v>
      </c>
      <c r="AR54" s="182">
        <f t="shared" si="65"/>
        <v>5</v>
      </c>
      <c r="AS54" s="625"/>
      <c r="AT54" s="188">
        <v>23</v>
      </c>
      <c r="AU54" s="188">
        <v>1786.9632695292321</v>
      </c>
      <c r="AV54" s="185">
        <f t="shared" si="56"/>
        <v>77.694055196923131</v>
      </c>
      <c r="AW54" s="182">
        <f t="shared" si="66"/>
        <v>5</v>
      </c>
      <c r="AX54" s="625"/>
    </row>
    <row r="55" spans="2:50" ht="14.25" customHeight="1">
      <c r="B55" s="564"/>
      <c r="C55" s="180">
        <v>9</v>
      </c>
      <c r="D55" s="183" t="s">
        <v>346</v>
      </c>
      <c r="E55" s="180">
        <v>24</v>
      </c>
      <c r="F55" s="180">
        <v>2000</v>
      </c>
      <c r="G55" s="185">
        <f t="shared" si="51"/>
        <v>83.333333333333329</v>
      </c>
      <c r="H55" s="625"/>
      <c r="I55" s="186">
        <f t="shared" si="57"/>
        <v>25</v>
      </c>
      <c r="J55" s="186">
        <f t="shared" si="57"/>
        <v>1785.9249728714137</v>
      </c>
      <c r="K55" s="187">
        <f t="shared" si="57"/>
        <v>71.436998914856545</v>
      </c>
      <c r="L55" s="626"/>
      <c r="M55" s="186">
        <f>RANK(K55, K$47:$K$61)</f>
        <v>9</v>
      </c>
      <c r="N55" s="564"/>
      <c r="O55" s="564"/>
      <c r="P55" s="188">
        <v>25</v>
      </c>
      <c r="Q55" s="188">
        <v>1785.9007832898171</v>
      </c>
      <c r="R55" s="185">
        <f t="shared" si="58"/>
        <v>71.436031331592687</v>
      </c>
      <c r="S55" s="182">
        <f t="shared" si="59"/>
        <v>9</v>
      </c>
      <c r="T55" s="625"/>
      <c r="U55" s="188">
        <v>25</v>
      </c>
      <c r="V55" s="188">
        <v>1785.8229223248238</v>
      </c>
      <c r="W55" s="185">
        <f t="shared" si="52"/>
        <v>71.432916892992949</v>
      </c>
      <c r="X55" s="182">
        <f t="shared" si="60"/>
        <v>9</v>
      </c>
      <c r="Y55" s="625"/>
      <c r="Z55" s="188">
        <v>25</v>
      </c>
      <c r="AA55" s="188">
        <v>1785.9252823631623</v>
      </c>
      <c r="AB55" s="185">
        <f t="shared" si="53"/>
        <v>71.437011294526485</v>
      </c>
      <c r="AC55" s="182">
        <f t="shared" si="61"/>
        <v>9</v>
      </c>
      <c r="AD55" s="625"/>
      <c r="AE55" s="188">
        <v>25</v>
      </c>
      <c r="AF55" s="188">
        <v>1785.9643960570838</v>
      </c>
      <c r="AG55" s="185">
        <f t="shared" si="62"/>
        <v>71.438575842283356</v>
      </c>
      <c r="AH55" s="182">
        <f t="shared" si="63"/>
        <v>9</v>
      </c>
      <c r="AI55" s="625"/>
      <c r="AJ55" s="188">
        <v>25</v>
      </c>
      <c r="AK55" s="188">
        <v>1785.9244532803179</v>
      </c>
      <c r="AL55" s="185">
        <f t="shared" si="54"/>
        <v>71.436978131212712</v>
      </c>
      <c r="AM55" s="182">
        <f t="shared" si="64"/>
        <v>9</v>
      </c>
      <c r="AN55" s="625"/>
      <c r="AO55" s="188">
        <v>25</v>
      </c>
      <c r="AP55" s="188">
        <v>1785.9781882928999</v>
      </c>
      <c r="AQ55" s="185">
        <f t="shared" si="55"/>
        <v>71.439127531715997</v>
      </c>
      <c r="AR55" s="182">
        <f t="shared" si="65"/>
        <v>9</v>
      </c>
      <c r="AS55" s="625"/>
      <c r="AT55" s="188">
        <v>25</v>
      </c>
      <c r="AU55" s="188">
        <v>1785.9587844917917</v>
      </c>
      <c r="AV55" s="185">
        <f t="shared" si="56"/>
        <v>71.438351379671673</v>
      </c>
      <c r="AW55" s="182">
        <f t="shared" si="66"/>
        <v>9</v>
      </c>
      <c r="AX55" s="625"/>
    </row>
    <row r="56" spans="2:50" ht="14.25" customHeight="1">
      <c r="B56" s="564"/>
      <c r="C56" s="180">
        <v>10</v>
      </c>
      <c r="D56" s="183"/>
      <c r="E56" s="180"/>
      <c r="F56" s="180"/>
      <c r="G56" s="185"/>
      <c r="H56" s="625"/>
      <c r="I56" s="186"/>
      <c r="J56" s="186"/>
      <c r="K56" s="187"/>
      <c r="L56" s="626"/>
      <c r="M56" s="186"/>
      <c r="N56" s="564"/>
      <c r="O56" s="564"/>
      <c r="P56" s="188"/>
      <c r="Q56" s="188"/>
      <c r="R56" s="185"/>
      <c r="S56" s="182"/>
      <c r="T56" s="625"/>
      <c r="U56" s="188"/>
      <c r="V56" s="188"/>
      <c r="W56" s="185"/>
      <c r="X56" s="182"/>
      <c r="Y56" s="625"/>
      <c r="Z56" s="188"/>
      <c r="AA56" s="188"/>
      <c r="AB56" s="185"/>
      <c r="AC56" s="182"/>
      <c r="AD56" s="625"/>
      <c r="AE56" s="188"/>
      <c r="AF56" s="188"/>
      <c r="AG56" s="185"/>
      <c r="AH56" s="182"/>
      <c r="AI56" s="625"/>
      <c r="AJ56" s="188"/>
      <c r="AK56" s="188"/>
      <c r="AL56" s="185"/>
      <c r="AM56" s="182"/>
      <c r="AN56" s="625"/>
      <c r="AO56" s="188"/>
      <c r="AP56" s="188"/>
      <c r="AQ56" s="185"/>
      <c r="AR56" s="182"/>
      <c r="AS56" s="625"/>
      <c r="AT56" s="188"/>
      <c r="AU56" s="188"/>
      <c r="AV56" s="185"/>
      <c r="AW56" s="182"/>
      <c r="AX56" s="625"/>
    </row>
    <row r="57" spans="2:50" ht="14.25" customHeight="1">
      <c r="B57" s="564"/>
      <c r="C57" s="180">
        <v>11</v>
      </c>
      <c r="D57" s="183"/>
      <c r="E57" s="180"/>
      <c r="F57" s="180"/>
      <c r="G57" s="185"/>
      <c r="H57" s="625"/>
      <c r="I57" s="186"/>
      <c r="J57" s="186"/>
      <c r="K57" s="187"/>
      <c r="L57" s="626"/>
      <c r="M57" s="186"/>
      <c r="N57" s="564"/>
      <c r="O57" s="564"/>
      <c r="P57" s="188"/>
      <c r="Q57" s="188"/>
      <c r="R57" s="185"/>
      <c r="S57" s="182"/>
      <c r="T57" s="625"/>
      <c r="U57" s="188"/>
      <c r="V57" s="188"/>
      <c r="W57" s="185"/>
      <c r="X57" s="182"/>
      <c r="Y57" s="625"/>
      <c r="Z57" s="188"/>
      <c r="AA57" s="188"/>
      <c r="AB57" s="185"/>
      <c r="AC57" s="182"/>
      <c r="AD57" s="625"/>
      <c r="AE57" s="188"/>
      <c r="AF57" s="188"/>
      <c r="AG57" s="185"/>
      <c r="AH57" s="182"/>
      <c r="AI57" s="625"/>
      <c r="AJ57" s="188"/>
      <c r="AK57" s="188"/>
      <c r="AL57" s="185"/>
      <c r="AM57" s="182"/>
      <c r="AN57" s="625"/>
      <c r="AO57" s="188"/>
      <c r="AP57" s="188"/>
      <c r="AQ57" s="185"/>
      <c r="AR57" s="182"/>
      <c r="AS57" s="625"/>
      <c r="AT57" s="188"/>
      <c r="AU57" s="188"/>
      <c r="AV57" s="185"/>
      <c r="AW57" s="182"/>
      <c r="AX57" s="625"/>
    </row>
    <row r="58" spans="2:50" ht="14.25" customHeight="1">
      <c r="B58" s="564"/>
      <c r="C58" s="180">
        <v>12</v>
      </c>
      <c r="D58" s="183"/>
      <c r="E58" s="180"/>
      <c r="F58" s="180"/>
      <c r="G58" s="185"/>
      <c r="H58" s="625"/>
      <c r="I58" s="186"/>
      <c r="J58" s="186"/>
      <c r="K58" s="187"/>
      <c r="L58" s="626"/>
      <c r="M58" s="186"/>
      <c r="N58" s="564"/>
      <c r="O58" s="564"/>
      <c r="P58" s="188"/>
      <c r="Q58" s="188"/>
      <c r="R58" s="185"/>
      <c r="S58" s="182"/>
      <c r="T58" s="625"/>
      <c r="U58" s="188"/>
      <c r="V58" s="188"/>
      <c r="W58" s="185"/>
      <c r="X58" s="182"/>
      <c r="Y58" s="625"/>
      <c r="Z58" s="188"/>
      <c r="AA58" s="188"/>
      <c r="AB58" s="185"/>
      <c r="AC58" s="182"/>
      <c r="AD58" s="625"/>
      <c r="AE58" s="188"/>
      <c r="AF58" s="188"/>
      <c r="AG58" s="185"/>
      <c r="AH58" s="182"/>
      <c r="AI58" s="625"/>
      <c r="AJ58" s="188"/>
      <c r="AK58" s="188"/>
      <c r="AL58" s="185"/>
      <c r="AM58" s="182"/>
      <c r="AN58" s="625"/>
      <c r="AO58" s="188"/>
      <c r="AP58" s="188"/>
      <c r="AQ58" s="185"/>
      <c r="AR58" s="182"/>
      <c r="AS58" s="625"/>
      <c r="AT58" s="188"/>
      <c r="AU58" s="188"/>
      <c r="AV58" s="185"/>
      <c r="AW58" s="182"/>
      <c r="AX58" s="625"/>
    </row>
    <row r="59" spans="2:50" ht="14.25" customHeight="1">
      <c r="B59" s="564"/>
      <c r="C59" s="180">
        <v>13</v>
      </c>
      <c r="D59" s="183"/>
      <c r="E59" s="180"/>
      <c r="F59" s="180"/>
      <c r="G59" s="185"/>
      <c r="H59" s="625"/>
      <c r="I59" s="186"/>
      <c r="J59" s="186"/>
      <c r="K59" s="187"/>
      <c r="L59" s="626"/>
      <c r="M59" s="186"/>
      <c r="N59" s="564"/>
      <c r="O59" s="564"/>
      <c r="P59" s="188"/>
      <c r="Q59" s="188"/>
      <c r="R59" s="185"/>
      <c r="S59" s="182"/>
      <c r="T59" s="625"/>
      <c r="U59" s="188"/>
      <c r="V59" s="188"/>
      <c r="W59" s="185"/>
      <c r="X59" s="182"/>
      <c r="Y59" s="625"/>
      <c r="Z59" s="188"/>
      <c r="AA59" s="188"/>
      <c r="AB59" s="185"/>
      <c r="AC59" s="182"/>
      <c r="AD59" s="625"/>
      <c r="AE59" s="188"/>
      <c r="AF59" s="188"/>
      <c r="AG59" s="185"/>
      <c r="AH59" s="182"/>
      <c r="AI59" s="625"/>
      <c r="AJ59" s="188"/>
      <c r="AK59" s="188"/>
      <c r="AL59" s="185"/>
      <c r="AM59" s="182"/>
      <c r="AN59" s="625"/>
      <c r="AO59" s="188"/>
      <c r="AP59" s="188"/>
      <c r="AQ59" s="185"/>
      <c r="AR59" s="182"/>
      <c r="AS59" s="625"/>
      <c r="AT59" s="188"/>
      <c r="AU59" s="188"/>
      <c r="AV59" s="185"/>
      <c r="AW59" s="182"/>
      <c r="AX59" s="625"/>
    </row>
    <row r="60" spans="2:50" ht="14.25" customHeight="1">
      <c r="B60" s="564"/>
      <c r="C60" s="180">
        <v>14</v>
      </c>
      <c r="D60" s="183"/>
      <c r="E60" s="180"/>
      <c r="F60" s="180"/>
      <c r="G60" s="185"/>
      <c r="H60" s="625"/>
      <c r="I60" s="186"/>
      <c r="J60" s="186"/>
      <c r="K60" s="187"/>
      <c r="L60" s="626"/>
      <c r="M60" s="186"/>
      <c r="N60" s="564"/>
      <c r="O60" s="564"/>
      <c r="P60" s="188"/>
      <c r="Q60" s="188"/>
      <c r="R60" s="185"/>
      <c r="S60" s="182"/>
      <c r="T60" s="625"/>
      <c r="U60" s="188"/>
      <c r="V60" s="188"/>
      <c r="W60" s="185"/>
      <c r="X60" s="182"/>
      <c r="Y60" s="625"/>
      <c r="Z60" s="188"/>
      <c r="AA60" s="188"/>
      <c r="AB60" s="185"/>
      <c r="AC60" s="182"/>
      <c r="AD60" s="625"/>
      <c r="AE60" s="188"/>
      <c r="AF60" s="188"/>
      <c r="AG60" s="185"/>
      <c r="AH60" s="182"/>
      <c r="AI60" s="625"/>
      <c r="AJ60" s="188"/>
      <c r="AK60" s="188"/>
      <c r="AL60" s="185"/>
      <c r="AM60" s="182"/>
      <c r="AN60" s="625"/>
      <c r="AO60" s="188"/>
      <c r="AP60" s="188"/>
      <c r="AQ60" s="185"/>
      <c r="AR60" s="182"/>
      <c r="AS60" s="625"/>
      <c r="AT60" s="188"/>
      <c r="AU60" s="188"/>
      <c r="AV60" s="185"/>
      <c r="AW60" s="182"/>
      <c r="AX60" s="625"/>
    </row>
    <row r="61" spans="2:50" ht="14.25" customHeight="1">
      <c r="B61" s="564"/>
      <c r="C61" s="180">
        <v>15</v>
      </c>
      <c r="D61" s="183"/>
      <c r="E61" s="180"/>
      <c r="F61" s="180"/>
      <c r="G61" s="185"/>
      <c r="H61" s="625"/>
      <c r="I61" s="186"/>
      <c r="J61" s="186"/>
      <c r="K61" s="187"/>
      <c r="L61" s="626"/>
      <c r="M61" s="186"/>
      <c r="N61" s="564"/>
      <c r="O61" s="564"/>
      <c r="P61" s="188"/>
      <c r="Q61" s="188"/>
      <c r="R61" s="185"/>
      <c r="S61" s="182"/>
      <c r="T61" s="625"/>
      <c r="U61" s="188"/>
      <c r="V61" s="188"/>
      <c r="W61" s="185"/>
      <c r="X61" s="182"/>
      <c r="Y61" s="625"/>
      <c r="Z61" s="188"/>
      <c r="AA61" s="188"/>
      <c r="AB61" s="185"/>
      <c r="AC61" s="182"/>
      <c r="AD61" s="625"/>
      <c r="AE61" s="188"/>
      <c r="AF61" s="188"/>
      <c r="AG61" s="185"/>
      <c r="AH61" s="182"/>
      <c r="AI61" s="625"/>
      <c r="AJ61" s="188"/>
      <c r="AK61" s="188"/>
      <c r="AL61" s="185"/>
      <c r="AM61" s="182"/>
      <c r="AN61" s="625"/>
      <c r="AO61" s="188"/>
      <c r="AP61" s="188"/>
      <c r="AQ61" s="185"/>
      <c r="AR61" s="182"/>
      <c r="AS61" s="625"/>
      <c r="AT61" s="188"/>
      <c r="AU61" s="188"/>
      <c r="AV61" s="185"/>
      <c r="AW61" s="182"/>
      <c r="AX61" s="625"/>
    </row>
    <row r="62" spans="2:50" ht="14.25" customHeight="1" collapsed="1">
      <c r="B62" s="641" t="s">
        <v>644</v>
      </c>
      <c r="C62" s="642"/>
      <c r="D62" s="642"/>
      <c r="E62" s="642"/>
      <c r="F62" s="642"/>
      <c r="G62" s="642"/>
      <c r="H62" s="642"/>
      <c r="I62" s="642"/>
      <c r="J62" s="642"/>
      <c r="K62" s="642"/>
      <c r="L62" s="642"/>
      <c r="M62" s="643"/>
      <c r="N62" s="575" t="s">
        <v>377</v>
      </c>
      <c r="O62" s="575" t="s">
        <v>105</v>
      </c>
      <c r="P62" s="655">
        <f>AT42+1</f>
        <v>46098</v>
      </c>
      <c r="Q62" s="656"/>
      <c r="R62" s="656"/>
      <c r="S62" s="656"/>
      <c r="T62" s="656"/>
      <c r="U62" s="657">
        <f>P62+1</f>
        <v>46099</v>
      </c>
      <c r="V62" s="658"/>
      <c r="W62" s="658"/>
      <c r="X62" s="658"/>
      <c r="Y62" s="658"/>
      <c r="Z62" s="655">
        <f t="shared" ref="Z62" si="67">U62+1</f>
        <v>46100</v>
      </c>
      <c r="AA62" s="656"/>
      <c r="AB62" s="656"/>
      <c r="AC62" s="656"/>
      <c r="AD62" s="656"/>
      <c r="AE62" s="657">
        <f t="shared" ref="AE62" si="68">Z62+1</f>
        <v>46101</v>
      </c>
      <c r="AF62" s="658"/>
      <c r="AG62" s="658"/>
      <c r="AH62" s="658"/>
      <c r="AI62" s="658"/>
      <c r="AJ62" s="647">
        <f t="shared" ref="AJ62" si="69">AE62+1</f>
        <v>46102</v>
      </c>
      <c r="AK62" s="648"/>
      <c r="AL62" s="648"/>
      <c r="AM62" s="648"/>
      <c r="AN62" s="649"/>
      <c r="AO62" s="657">
        <f t="shared" ref="AO62" si="70">AJ62+1</f>
        <v>46103</v>
      </c>
      <c r="AP62" s="658"/>
      <c r="AQ62" s="658"/>
      <c r="AR62" s="658"/>
      <c r="AS62" s="658"/>
      <c r="AT62" s="647">
        <f t="shared" ref="AT62" si="71">AO62+1</f>
        <v>46104</v>
      </c>
      <c r="AU62" s="648"/>
      <c r="AV62" s="648"/>
      <c r="AW62" s="648"/>
      <c r="AX62" s="649"/>
    </row>
    <row r="63" spans="2:50" ht="14.25" customHeight="1">
      <c r="B63" s="644"/>
      <c r="C63" s="644"/>
      <c r="D63" s="644"/>
      <c r="E63" s="644"/>
      <c r="F63" s="644"/>
      <c r="G63" s="644"/>
      <c r="H63" s="644"/>
      <c r="I63" s="644"/>
      <c r="J63" s="644"/>
      <c r="K63" s="644"/>
      <c r="L63" s="644"/>
      <c r="M63" s="645"/>
      <c r="N63" s="577"/>
      <c r="O63" s="577"/>
      <c r="P63" s="650">
        <f>P62</f>
        <v>46098</v>
      </c>
      <c r="Q63" s="650"/>
      <c r="R63" s="650"/>
      <c r="S63" s="650"/>
      <c r="T63" s="650"/>
      <c r="U63" s="651">
        <f>U62</f>
        <v>46099</v>
      </c>
      <c r="V63" s="651"/>
      <c r="W63" s="651"/>
      <c r="X63" s="651"/>
      <c r="Y63" s="651"/>
      <c r="Z63" s="650">
        <f t="shared" ref="Z63" si="72">Z62</f>
        <v>46100</v>
      </c>
      <c r="AA63" s="650"/>
      <c r="AB63" s="650"/>
      <c r="AC63" s="650"/>
      <c r="AD63" s="650"/>
      <c r="AE63" s="651">
        <f t="shared" ref="AE63" si="73">AE62</f>
        <v>46101</v>
      </c>
      <c r="AF63" s="651"/>
      <c r="AG63" s="651"/>
      <c r="AH63" s="651"/>
      <c r="AI63" s="651"/>
      <c r="AJ63" s="652">
        <f t="shared" ref="AJ63" si="74">AJ62</f>
        <v>46102</v>
      </c>
      <c r="AK63" s="653"/>
      <c r="AL63" s="653"/>
      <c r="AM63" s="653"/>
      <c r="AN63" s="654"/>
      <c r="AO63" s="651">
        <f t="shared" ref="AO63" si="75">AO62</f>
        <v>46103</v>
      </c>
      <c r="AP63" s="651"/>
      <c r="AQ63" s="651"/>
      <c r="AR63" s="651"/>
      <c r="AS63" s="651"/>
      <c r="AT63" s="652">
        <f t="shared" ref="AT63" si="76">AT62</f>
        <v>46104</v>
      </c>
      <c r="AU63" s="653"/>
      <c r="AV63" s="653"/>
      <c r="AW63" s="653"/>
      <c r="AX63" s="654"/>
    </row>
    <row r="64" spans="2:50" ht="14.25" customHeight="1">
      <c r="B64" s="564" t="s">
        <v>164</v>
      </c>
      <c r="C64" s="564" t="s">
        <v>159</v>
      </c>
      <c r="D64" s="564"/>
      <c r="E64" s="564" t="s">
        <v>160</v>
      </c>
      <c r="F64" s="564"/>
      <c r="G64" s="564"/>
      <c r="H64" s="564" t="s">
        <v>165</v>
      </c>
      <c r="I64" s="628" t="s">
        <v>378</v>
      </c>
      <c r="J64" s="628"/>
      <c r="K64" s="628"/>
      <c r="L64" s="628" t="s">
        <v>165</v>
      </c>
      <c r="M64" s="628" t="s">
        <v>167</v>
      </c>
      <c r="N64" s="564"/>
      <c r="O64" s="564" t="s">
        <v>166</v>
      </c>
      <c r="P64" s="564" t="s">
        <v>162</v>
      </c>
      <c r="Q64" s="564"/>
      <c r="R64" s="564"/>
      <c r="S64" s="564"/>
      <c r="T64" s="564" t="s">
        <v>165</v>
      </c>
      <c r="U64" s="564" t="s">
        <v>162</v>
      </c>
      <c r="V64" s="564"/>
      <c r="W64" s="564"/>
      <c r="X64" s="564"/>
      <c r="Y64" s="564" t="s">
        <v>165</v>
      </c>
      <c r="Z64" s="564" t="s">
        <v>162</v>
      </c>
      <c r="AA64" s="564"/>
      <c r="AB64" s="564"/>
      <c r="AC64" s="564"/>
      <c r="AD64" s="564" t="s">
        <v>165</v>
      </c>
      <c r="AE64" s="564" t="s">
        <v>162</v>
      </c>
      <c r="AF64" s="564"/>
      <c r="AG64" s="564"/>
      <c r="AH64" s="564"/>
      <c r="AI64" s="564" t="s">
        <v>165</v>
      </c>
      <c r="AJ64" s="564" t="s">
        <v>162</v>
      </c>
      <c r="AK64" s="564"/>
      <c r="AL64" s="564"/>
      <c r="AM64" s="564"/>
      <c r="AN64" s="564" t="s">
        <v>165</v>
      </c>
      <c r="AO64" s="564" t="s">
        <v>162</v>
      </c>
      <c r="AP64" s="564"/>
      <c r="AQ64" s="564"/>
      <c r="AR64" s="564"/>
      <c r="AS64" s="564" t="s">
        <v>165</v>
      </c>
      <c r="AT64" s="564" t="s">
        <v>162</v>
      </c>
      <c r="AU64" s="564"/>
      <c r="AV64" s="564"/>
      <c r="AW64" s="564"/>
      <c r="AX64" s="564" t="s">
        <v>165</v>
      </c>
    </row>
    <row r="65" spans="2:50" ht="14.25" customHeight="1">
      <c r="B65" s="564"/>
      <c r="C65" s="564"/>
      <c r="D65" s="564"/>
      <c r="E65" s="564" t="s">
        <v>379</v>
      </c>
      <c r="F65" s="564"/>
      <c r="G65" s="564"/>
      <c r="H65" s="564"/>
      <c r="I65" s="628" t="s">
        <v>379</v>
      </c>
      <c r="J65" s="628"/>
      <c r="K65" s="628"/>
      <c r="L65" s="628"/>
      <c r="M65" s="628"/>
      <c r="N65" s="564"/>
      <c r="O65" s="564"/>
      <c r="P65" s="564" t="s">
        <v>380</v>
      </c>
      <c r="Q65" s="564"/>
      <c r="R65" s="564"/>
      <c r="S65" s="564"/>
      <c r="T65" s="564"/>
      <c r="U65" s="564" t="s">
        <v>380</v>
      </c>
      <c r="V65" s="564"/>
      <c r="W65" s="564"/>
      <c r="X65" s="564"/>
      <c r="Y65" s="564"/>
      <c r="Z65" s="564" t="s">
        <v>380</v>
      </c>
      <c r="AA65" s="564"/>
      <c r="AB65" s="564"/>
      <c r="AC65" s="564"/>
      <c r="AD65" s="564"/>
      <c r="AE65" s="564" t="s">
        <v>380</v>
      </c>
      <c r="AF65" s="564"/>
      <c r="AG65" s="564"/>
      <c r="AH65" s="564"/>
      <c r="AI65" s="564"/>
      <c r="AJ65" s="564" t="s">
        <v>380</v>
      </c>
      <c r="AK65" s="564"/>
      <c r="AL65" s="564"/>
      <c r="AM65" s="564"/>
      <c r="AN65" s="564"/>
      <c r="AO65" s="564" t="s">
        <v>380</v>
      </c>
      <c r="AP65" s="564"/>
      <c r="AQ65" s="564"/>
      <c r="AR65" s="564"/>
      <c r="AS65" s="564"/>
      <c r="AT65" s="564" t="s">
        <v>380</v>
      </c>
      <c r="AU65" s="564"/>
      <c r="AV65" s="564"/>
      <c r="AW65" s="564"/>
      <c r="AX65" s="564"/>
    </row>
    <row r="66" spans="2:50" ht="14.25" customHeight="1">
      <c r="B66" s="564"/>
      <c r="C66" s="564"/>
      <c r="D66" s="564"/>
      <c r="E66" s="180" t="s">
        <v>161</v>
      </c>
      <c r="F66" s="180" t="s">
        <v>381</v>
      </c>
      <c r="G66" s="180" t="s">
        <v>163</v>
      </c>
      <c r="H66" s="564"/>
      <c r="I66" s="181" t="s">
        <v>161</v>
      </c>
      <c r="J66" s="181" t="s">
        <v>381</v>
      </c>
      <c r="K66" s="181" t="s">
        <v>163</v>
      </c>
      <c r="L66" s="628"/>
      <c r="M66" s="628"/>
      <c r="N66" s="564"/>
      <c r="O66" s="564"/>
      <c r="P66" s="180" t="s">
        <v>161</v>
      </c>
      <c r="Q66" s="180" t="s">
        <v>381</v>
      </c>
      <c r="R66" s="180" t="s">
        <v>163</v>
      </c>
      <c r="S66" s="182" t="s">
        <v>167</v>
      </c>
      <c r="T66" s="564"/>
      <c r="U66" s="180" t="s">
        <v>161</v>
      </c>
      <c r="V66" s="180" t="s">
        <v>381</v>
      </c>
      <c r="W66" s="180" t="s">
        <v>163</v>
      </c>
      <c r="X66" s="182" t="s">
        <v>167</v>
      </c>
      <c r="Y66" s="564"/>
      <c r="Z66" s="180" t="s">
        <v>161</v>
      </c>
      <c r="AA66" s="180" t="s">
        <v>381</v>
      </c>
      <c r="AB66" s="180" t="s">
        <v>163</v>
      </c>
      <c r="AC66" s="182" t="s">
        <v>167</v>
      </c>
      <c r="AD66" s="564"/>
      <c r="AE66" s="180" t="s">
        <v>161</v>
      </c>
      <c r="AF66" s="180" t="s">
        <v>381</v>
      </c>
      <c r="AG66" s="180" t="s">
        <v>163</v>
      </c>
      <c r="AH66" s="182" t="s">
        <v>167</v>
      </c>
      <c r="AI66" s="564"/>
      <c r="AJ66" s="180" t="s">
        <v>161</v>
      </c>
      <c r="AK66" s="180" t="s">
        <v>381</v>
      </c>
      <c r="AL66" s="180" t="s">
        <v>163</v>
      </c>
      <c r="AM66" s="182" t="s">
        <v>167</v>
      </c>
      <c r="AN66" s="564"/>
      <c r="AO66" s="180" t="s">
        <v>161</v>
      </c>
      <c r="AP66" s="180" t="s">
        <v>381</v>
      </c>
      <c r="AQ66" s="180" t="s">
        <v>163</v>
      </c>
      <c r="AR66" s="182" t="s">
        <v>167</v>
      </c>
      <c r="AS66" s="564"/>
      <c r="AT66" s="180" t="s">
        <v>161</v>
      </c>
      <c r="AU66" s="180" t="s">
        <v>381</v>
      </c>
      <c r="AV66" s="180" t="s">
        <v>163</v>
      </c>
      <c r="AW66" s="182" t="s">
        <v>167</v>
      </c>
      <c r="AX66" s="564"/>
    </row>
    <row r="67" spans="2:50" ht="14.25" customHeight="1">
      <c r="B67" s="564" t="s">
        <v>357</v>
      </c>
      <c r="C67" s="180">
        <v>1</v>
      </c>
      <c r="D67" s="183" t="s">
        <v>346</v>
      </c>
      <c r="E67" s="180">
        <v>24</v>
      </c>
      <c r="F67" s="180">
        <v>2000</v>
      </c>
      <c r="G67" s="185">
        <f t="shared" ref="G67:G75" si="77">F67/E67</f>
        <v>83.333333333333329</v>
      </c>
      <c r="H67" s="625">
        <f>AVERAGE(G67:G81)</f>
        <v>91.683919944789508</v>
      </c>
      <c r="I67" s="186">
        <f>AVERAGE(P67,U67,Z67,AE67,AJ67,AO67,AT67)</f>
        <v>24.285714285714285</v>
      </c>
      <c r="J67" s="186">
        <f>AVERAGE(Q67,V67,AA67,AF67,AK67,AP67,AU67)</f>
        <v>1785.4765410468553</v>
      </c>
      <c r="K67" s="187">
        <f>AVERAGE(R67,W67,AB67,AG67,AL67,AQ67,AV67)</f>
        <v>73.544392377938522</v>
      </c>
      <c r="L67" s="626">
        <f>IFERROR(AVERAGE(K67:K81),"-")</f>
        <v>80.557348724726069</v>
      </c>
      <c r="M67" s="186">
        <f>RANK(K67, K$67:$K$81)</f>
        <v>9</v>
      </c>
      <c r="N67" s="564"/>
      <c r="O67" s="564"/>
      <c r="P67" s="188">
        <v>25</v>
      </c>
      <c r="Q67" s="188">
        <v>1785.8621119561151</v>
      </c>
      <c r="R67" s="185">
        <f>IFERROR(Q67/P67,"")</f>
        <v>71.434484478244599</v>
      </c>
      <c r="S67" s="182">
        <f>RANK(R67, R$67:R$81)</f>
        <v>9</v>
      </c>
      <c r="T67" s="625">
        <f>AVERAGE(R67:R81)</f>
        <v>80.214093519594968</v>
      </c>
      <c r="U67" s="188">
        <v>25</v>
      </c>
      <c r="V67" s="188">
        <v>1786.0845839017734</v>
      </c>
      <c r="W67" s="185">
        <f t="shared" ref="W67:W75" si="78">IFERROR(V67/U67,"")</f>
        <v>71.443383356070939</v>
      </c>
      <c r="X67" s="182">
        <f>RANK(W67, W$67:W$81)</f>
        <v>9</v>
      </c>
      <c r="Y67" s="625">
        <f>AVERAGE(W67:W81)</f>
        <v>80.221528038477643</v>
      </c>
      <c r="Z67" s="188">
        <v>24</v>
      </c>
      <c r="AA67" s="188">
        <v>1785.3937947494037</v>
      </c>
      <c r="AB67" s="185">
        <f t="shared" ref="AB67:AB75" si="79">IFERROR(AA67/Z67,"")</f>
        <v>74.391408114558487</v>
      </c>
      <c r="AC67" s="182" t="e">
        <f>RANK(AB67, AB$7:AB$21)</f>
        <v>#N/A</v>
      </c>
      <c r="AD67" s="625">
        <f>AVERAGE(AB67:AB81)</f>
        <v>80.5499794698908</v>
      </c>
      <c r="AE67" s="188">
        <v>24</v>
      </c>
      <c r="AF67" s="188">
        <v>1785.3291536050162</v>
      </c>
      <c r="AG67" s="185">
        <f>IFERROR(AF67/AE67,"")</f>
        <v>74.388714733542344</v>
      </c>
      <c r="AH67" s="182" t="e">
        <f>RANK(AG67, AG$7:AG$21)</f>
        <v>#N/A</v>
      </c>
      <c r="AI67" s="625">
        <f>AVERAGE(AG67:AG81)</f>
        <v>80.545375923925263</v>
      </c>
      <c r="AJ67" s="188">
        <v>24</v>
      </c>
      <c r="AK67" s="188">
        <v>1785.1998865891687</v>
      </c>
      <c r="AL67" s="185">
        <f t="shared" ref="AL67:AL75" si="80">IFERROR(AK67/AJ67,"")</f>
        <v>74.383328607882035</v>
      </c>
      <c r="AM67" s="182">
        <f>RANK(AL67, AL$67:AL$81)</f>
        <v>9</v>
      </c>
      <c r="AN67" s="625">
        <f>AVERAGE(AL67:AL81)</f>
        <v>80.54429496137044</v>
      </c>
      <c r="AO67" s="188">
        <v>24</v>
      </c>
      <c r="AP67" s="188">
        <v>1785.2765230130631</v>
      </c>
      <c r="AQ67" s="185">
        <f t="shared" ref="AQ67:AQ75" si="81">IFERROR(AP67/AO67,"")</f>
        <v>74.386521792210957</v>
      </c>
      <c r="AR67" s="182">
        <f>RANK(AQ67, AQ$67:AQ$81)</f>
        <v>9</v>
      </c>
      <c r="AS67" s="625">
        <f>AVERAGE(AQ67:AQ81)</f>
        <v>80.910794505901393</v>
      </c>
      <c r="AT67" s="188">
        <v>24</v>
      </c>
      <c r="AU67" s="188">
        <v>1785.1897335134474</v>
      </c>
      <c r="AV67" s="185">
        <f t="shared" ref="AV67:AV75" si="82">IFERROR(AU67/AT67,"")</f>
        <v>74.382905563060305</v>
      </c>
      <c r="AW67" s="182">
        <f>RANK(AV67, AV$67:AV$81)</f>
        <v>9</v>
      </c>
      <c r="AX67" s="625">
        <f>AVERAGE(AV67:AV81)</f>
        <v>80.915374653922086</v>
      </c>
    </row>
    <row r="68" spans="2:50" ht="14.25" customHeight="1">
      <c r="B68" s="564"/>
      <c r="C68" s="180">
        <v>2</v>
      </c>
      <c r="D68" s="183" t="s">
        <v>345</v>
      </c>
      <c r="E68" s="180">
        <v>23</v>
      </c>
      <c r="F68" s="180">
        <v>2000</v>
      </c>
      <c r="G68" s="185">
        <f t="shared" si="77"/>
        <v>86.956521739130437</v>
      </c>
      <c r="H68" s="625"/>
      <c r="I68" s="186">
        <f t="shared" ref="I68:K75" si="83">AVERAGE(P68,U68,Z68,AE68,AJ68,AO68,AT68)</f>
        <v>23</v>
      </c>
      <c r="J68" s="186">
        <f t="shared" si="83"/>
        <v>1786.345041254631</v>
      </c>
      <c r="K68" s="187">
        <f t="shared" si="83"/>
        <v>77.667175706723057</v>
      </c>
      <c r="L68" s="626"/>
      <c r="M68" s="186">
        <f>RANK(K68, K$67:$K$81)</f>
        <v>6</v>
      </c>
      <c r="N68" s="564"/>
      <c r="O68" s="564"/>
      <c r="P68" s="188">
        <v>23</v>
      </c>
      <c r="Q68" s="188">
        <v>1785.9872611464966</v>
      </c>
      <c r="R68" s="185">
        <f t="shared" ref="R68:R75" si="84">IFERROR(Q68/P68,"")</f>
        <v>77.651620049847679</v>
      </c>
      <c r="S68" s="182">
        <f t="shared" ref="S68:S75" si="85">RANK(R68, R$67:R$81)</f>
        <v>6</v>
      </c>
      <c r="T68" s="625"/>
      <c r="U68" s="188">
        <v>23</v>
      </c>
      <c r="V68" s="188">
        <v>1786.2445414847145</v>
      </c>
      <c r="W68" s="185">
        <f t="shared" si="78"/>
        <v>77.662806151509329</v>
      </c>
      <c r="X68" s="182">
        <f t="shared" ref="X68:X75" si="86">RANK(W68, W$67:W$81)</f>
        <v>6</v>
      </c>
      <c r="Y68" s="625"/>
      <c r="Z68" s="188">
        <v>23</v>
      </c>
      <c r="AA68" s="188">
        <v>1786.2068965517242</v>
      </c>
      <c r="AB68" s="185">
        <f t="shared" si="79"/>
        <v>77.661169415292349</v>
      </c>
      <c r="AC68" s="182" t="e">
        <f t="shared" ref="AC68:AC75" si="87">RANK(AB68, AB$7:AB$21)</f>
        <v>#N/A</v>
      </c>
      <c r="AD68" s="625"/>
      <c r="AE68" s="188">
        <v>23</v>
      </c>
      <c r="AF68" s="188">
        <v>1786.2917398945538</v>
      </c>
      <c r="AG68" s="185">
        <f t="shared" ref="AG68:AG75" si="88">IFERROR(AF68/AE68,"")</f>
        <v>77.664858256284944</v>
      </c>
      <c r="AH68" s="182" t="e">
        <f t="shared" ref="AH68:AH75" si="89">RANK(AG68, AG$7:AG$21)</f>
        <v>#N/A</v>
      </c>
      <c r="AI68" s="625"/>
      <c r="AJ68" s="188">
        <v>23</v>
      </c>
      <c r="AK68" s="188">
        <v>1786.2160021124882</v>
      </c>
      <c r="AL68" s="185">
        <f t="shared" si="80"/>
        <v>77.661565309238625</v>
      </c>
      <c r="AM68" s="182">
        <f t="shared" ref="AM68:AM75" si="90">RANK(AL68, AL$67:AL$81)</f>
        <v>6</v>
      </c>
      <c r="AN68" s="625"/>
      <c r="AO68" s="188">
        <v>23</v>
      </c>
      <c r="AP68" s="188">
        <v>1786.4788732394388</v>
      </c>
      <c r="AQ68" s="185">
        <f t="shared" si="81"/>
        <v>77.67299448867125</v>
      </c>
      <c r="AR68" s="182">
        <f t="shared" ref="AR68:AR75" si="91">RANK(AQ68, AQ$67:AQ$81)</f>
        <v>6</v>
      </c>
      <c r="AS68" s="625"/>
      <c r="AT68" s="188">
        <v>23</v>
      </c>
      <c r="AU68" s="188">
        <v>1786.9899743529993</v>
      </c>
      <c r="AV68" s="185">
        <f t="shared" si="82"/>
        <v>77.695216276217366</v>
      </c>
      <c r="AW68" s="182">
        <f t="shared" ref="AW68:AW75" si="92">RANK(AV68, AV$67:AV$81)</f>
        <v>6</v>
      </c>
      <c r="AX68" s="625"/>
    </row>
    <row r="69" spans="2:50" ht="14.25" customHeight="1">
      <c r="B69" s="564"/>
      <c r="C69" s="180">
        <v>3</v>
      </c>
      <c r="D69" s="183" t="s">
        <v>358</v>
      </c>
      <c r="E69" s="180">
        <v>23</v>
      </c>
      <c r="F69" s="180">
        <v>2000</v>
      </c>
      <c r="G69" s="185">
        <f t="shared" si="77"/>
        <v>86.956521739130437</v>
      </c>
      <c r="H69" s="625"/>
      <c r="I69" s="186">
        <f t="shared" si="83"/>
        <v>23.714285714285715</v>
      </c>
      <c r="J69" s="186">
        <f t="shared" si="83"/>
        <v>1785.2948171201369</v>
      </c>
      <c r="K69" s="187">
        <f t="shared" si="83"/>
        <v>75.311720775634399</v>
      </c>
      <c r="L69" s="626"/>
      <c r="M69" s="186">
        <f>RANK(K69, K$67:$K$81)</f>
        <v>8</v>
      </c>
      <c r="N69" s="564"/>
      <c r="O69" s="564"/>
      <c r="P69" s="188">
        <v>24</v>
      </c>
      <c r="Q69" s="188">
        <v>1784.9089332176909</v>
      </c>
      <c r="R69" s="185">
        <f t="shared" si="84"/>
        <v>74.371205550737116</v>
      </c>
      <c r="S69" s="182">
        <f t="shared" si="85"/>
        <v>8</v>
      </c>
      <c r="T69" s="625"/>
      <c r="U69" s="188">
        <v>24</v>
      </c>
      <c r="V69" s="188">
        <v>1784.8739495798332</v>
      </c>
      <c r="W69" s="185">
        <f t="shared" si="78"/>
        <v>74.369747899159719</v>
      </c>
      <c r="X69" s="182">
        <f t="shared" si="86"/>
        <v>8</v>
      </c>
      <c r="Y69" s="625"/>
      <c r="Z69" s="188">
        <v>24</v>
      </c>
      <c r="AA69" s="188">
        <v>1784.9222177901863</v>
      </c>
      <c r="AB69" s="185">
        <f t="shared" si="79"/>
        <v>74.371759074591097</v>
      </c>
      <c r="AC69" s="182" t="e">
        <f t="shared" si="87"/>
        <v>#N/A</v>
      </c>
      <c r="AD69" s="625"/>
      <c r="AE69" s="188">
        <v>24</v>
      </c>
      <c r="AF69" s="188">
        <v>1785.0791258477798</v>
      </c>
      <c r="AG69" s="185">
        <f t="shared" si="88"/>
        <v>74.378296910324153</v>
      </c>
      <c r="AH69" s="182" t="e">
        <f t="shared" si="89"/>
        <v>#N/A</v>
      </c>
      <c r="AI69" s="625"/>
      <c r="AJ69" s="188">
        <v>24</v>
      </c>
      <c r="AK69" s="188">
        <v>1785.2559726962454</v>
      </c>
      <c r="AL69" s="185">
        <f t="shared" si="80"/>
        <v>74.385665529010225</v>
      </c>
      <c r="AM69" s="182">
        <f t="shared" si="90"/>
        <v>8</v>
      </c>
      <c r="AN69" s="625"/>
      <c r="AO69" s="188">
        <v>23</v>
      </c>
      <c r="AP69" s="188">
        <v>1785.9610027855113</v>
      </c>
      <c r="AQ69" s="185">
        <f t="shared" si="81"/>
        <v>77.650478381978743</v>
      </c>
      <c r="AR69" s="182">
        <f t="shared" si="91"/>
        <v>7</v>
      </c>
      <c r="AS69" s="625"/>
      <c r="AT69" s="188">
        <v>23</v>
      </c>
      <c r="AU69" s="188">
        <v>1786.0625179237143</v>
      </c>
      <c r="AV69" s="185">
        <f t="shared" si="82"/>
        <v>77.654892083639751</v>
      </c>
      <c r="AW69" s="182">
        <f t="shared" si="92"/>
        <v>7</v>
      </c>
      <c r="AX69" s="625"/>
    </row>
    <row r="70" spans="2:50" ht="14.25" customHeight="1">
      <c r="B70" s="564"/>
      <c r="C70" s="180">
        <v>4</v>
      </c>
      <c r="D70" s="183" t="s">
        <v>347</v>
      </c>
      <c r="E70" s="180">
        <v>23</v>
      </c>
      <c r="F70" s="180">
        <v>2000</v>
      </c>
      <c r="G70" s="185">
        <f t="shared" si="77"/>
        <v>86.956521739130437</v>
      </c>
      <c r="H70" s="625"/>
      <c r="I70" s="186">
        <f t="shared" si="83"/>
        <v>23</v>
      </c>
      <c r="J70" s="186">
        <f t="shared" si="83"/>
        <v>1787.5759756124924</v>
      </c>
      <c r="K70" s="187">
        <f t="shared" si="83"/>
        <v>77.720694591847504</v>
      </c>
      <c r="L70" s="626"/>
      <c r="M70" s="186">
        <f>RANK(K70, K$67:$K$81)</f>
        <v>5</v>
      </c>
      <c r="N70" s="564"/>
      <c r="O70" s="564"/>
      <c r="P70" s="188">
        <v>23</v>
      </c>
      <c r="Q70" s="188">
        <v>1787.2662961091453</v>
      </c>
      <c r="R70" s="185">
        <f t="shared" si="84"/>
        <v>77.70723026561501</v>
      </c>
      <c r="S70" s="182">
        <f t="shared" si="85"/>
        <v>5</v>
      </c>
      <c r="T70" s="625"/>
      <c r="U70" s="188">
        <v>23</v>
      </c>
      <c r="V70" s="188">
        <v>1787.3132224415026</v>
      </c>
      <c r="W70" s="185">
        <f t="shared" si="78"/>
        <v>77.709270540934895</v>
      </c>
      <c r="X70" s="182">
        <f t="shared" si="86"/>
        <v>5</v>
      </c>
      <c r="Y70" s="625"/>
      <c r="Z70" s="188">
        <v>23</v>
      </c>
      <c r="AA70" s="188">
        <v>1787.3861247372099</v>
      </c>
      <c r="AB70" s="185">
        <f t="shared" si="79"/>
        <v>77.712440205965649</v>
      </c>
      <c r="AC70" s="182" t="e">
        <f t="shared" si="87"/>
        <v>#N/A</v>
      </c>
      <c r="AD70" s="625"/>
      <c r="AE70" s="188">
        <v>23</v>
      </c>
      <c r="AF70" s="188">
        <v>1787.3804971319303</v>
      </c>
      <c r="AG70" s="185">
        <f t="shared" si="88"/>
        <v>77.712195527475231</v>
      </c>
      <c r="AH70" s="182" t="e">
        <f t="shared" si="89"/>
        <v>#N/A</v>
      </c>
      <c r="AI70" s="625"/>
      <c r="AJ70" s="188">
        <v>23</v>
      </c>
      <c r="AK70" s="188">
        <v>1787.7412031782078</v>
      </c>
      <c r="AL70" s="185">
        <f t="shared" si="80"/>
        <v>77.727878399052514</v>
      </c>
      <c r="AM70" s="182">
        <f t="shared" si="90"/>
        <v>5</v>
      </c>
      <c r="AN70" s="625"/>
      <c r="AO70" s="188">
        <v>23</v>
      </c>
      <c r="AP70" s="188">
        <v>1787.9691516709524</v>
      </c>
      <c r="AQ70" s="185">
        <f t="shared" si="81"/>
        <v>77.737789203084887</v>
      </c>
      <c r="AR70" s="182">
        <f t="shared" si="91"/>
        <v>5</v>
      </c>
      <c r="AS70" s="625"/>
      <c r="AT70" s="188">
        <v>23</v>
      </c>
      <c r="AU70" s="188">
        <v>1787.9753340184993</v>
      </c>
      <c r="AV70" s="185">
        <f t="shared" si="82"/>
        <v>77.738058000804315</v>
      </c>
      <c r="AW70" s="182">
        <f t="shared" si="92"/>
        <v>5</v>
      </c>
      <c r="AX70" s="625"/>
    </row>
    <row r="71" spans="2:50" ht="14.25" customHeight="1">
      <c r="B71" s="564"/>
      <c r="C71" s="180">
        <v>5</v>
      </c>
      <c r="D71" s="183" t="s">
        <v>474</v>
      </c>
      <c r="E71" s="180">
        <v>21</v>
      </c>
      <c r="F71" s="180">
        <v>2000</v>
      </c>
      <c r="G71" s="185">
        <f t="shared" si="77"/>
        <v>95.238095238095241</v>
      </c>
      <c r="H71" s="625"/>
      <c r="I71" s="186">
        <f t="shared" si="83"/>
        <v>22</v>
      </c>
      <c r="J71" s="186">
        <f t="shared" si="83"/>
        <v>1785.5162478871996</v>
      </c>
      <c r="K71" s="187">
        <f t="shared" si="83"/>
        <v>81.159829449418183</v>
      </c>
      <c r="L71" s="626"/>
      <c r="M71" s="186">
        <f>RANK(K71, K$67:$K$81)</f>
        <v>4</v>
      </c>
      <c r="N71" s="564"/>
      <c r="O71" s="564"/>
      <c r="P71" s="188">
        <v>22</v>
      </c>
      <c r="Q71" s="188">
        <v>1785.0178359096305</v>
      </c>
      <c r="R71" s="185">
        <f t="shared" si="84"/>
        <v>81.137174359528657</v>
      </c>
      <c r="S71" s="182">
        <f t="shared" si="85"/>
        <v>4</v>
      </c>
      <c r="T71" s="625"/>
      <c r="U71" s="188">
        <v>22</v>
      </c>
      <c r="V71" s="188">
        <v>1785.6270549553781</v>
      </c>
      <c r="W71" s="185">
        <f t="shared" si="78"/>
        <v>81.164866134335369</v>
      </c>
      <c r="X71" s="182">
        <f t="shared" si="86"/>
        <v>4</v>
      </c>
      <c r="Y71" s="625"/>
      <c r="Z71" s="188">
        <v>22</v>
      </c>
      <c r="AA71" s="188">
        <v>1785.7230018303806</v>
      </c>
      <c r="AB71" s="185">
        <f t="shared" si="79"/>
        <v>81.169227355926395</v>
      </c>
      <c r="AC71" s="182" t="e">
        <f t="shared" si="87"/>
        <v>#N/A</v>
      </c>
      <c r="AD71" s="625"/>
      <c r="AE71" s="188">
        <v>22</v>
      </c>
      <c r="AF71" s="188">
        <v>1785.2922690132036</v>
      </c>
      <c r="AG71" s="185">
        <f t="shared" si="88"/>
        <v>81.149648591509262</v>
      </c>
      <c r="AH71" s="182" t="e">
        <f t="shared" si="89"/>
        <v>#N/A</v>
      </c>
      <c r="AI71" s="625"/>
      <c r="AJ71" s="188">
        <v>22</v>
      </c>
      <c r="AK71" s="188">
        <v>1785.5504587155956</v>
      </c>
      <c r="AL71" s="185">
        <f t="shared" si="80"/>
        <v>81.161384487072525</v>
      </c>
      <c r="AM71" s="182">
        <f t="shared" si="90"/>
        <v>4</v>
      </c>
      <c r="AN71" s="625"/>
      <c r="AO71" s="188">
        <v>22</v>
      </c>
      <c r="AP71" s="188">
        <v>1785.502331496396</v>
      </c>
      <c r="AQ71" s="185">
        <f t="shared" si="81"/>
        <v>81.159196886199823</v>
      </c>
      <c r="AR71" s="182">
        <f t="shared" si="91"/>
        <v>4</v>
      </c>
      <c r="AS71" s="625"/>
      <c r="AT71" s="188">
        <v>22</v>
      </c>
      <c r="AU71" s="188">
        <v>1785.9007832898139</v>
      </c>
      <c r="AV71" s="185">
        <f t="shared" si="82"/>
        <v>81.177308331355178</v>
      </c>
      <c r="AW71" s="182">
        <f t="shared" si="92"/>
        <v>4</v>
      </c>
      <c r="AX71" s="625"/>
    </row>
    <row r="72" spans="2:50" ht="14.25" customHeight="1">
      <c r="B72" s="564"/>
      <c r="C72" s="180">
        <v>6</v>
      </c>
      <c r="D72" s="183" t="s">
        <v>511</v>
      </c>
      <c r="E72" s="180">
        <v>19</v>
      </c>
      <c r="F72" s="180">
        <v>1800</v>
      </c>
      <c r="G72" s="185">
        <f t="shared" si="77"/>
        <v>94.736842105263165</v>
      </c>
      <c r="H72" s="625"/>
      <c r="I72" s="186">
        <f t="shared" si="83"/>
        <v>19</v>
      </c>
      <c r="J72" s="186">
        <f t="shared" si="83"/>
        <v>1605.9778411614377</v>
      </c>
      <c r="K72" s="187">
        <f t="shared" si="83"/>
        <v>84.525149534812513</v>
      </c>
      <c r="L72" s="626"/>
      <c r="M72" s="186">
        <f>RANK(K72, K$67:$K$81)</f>
        <v>3</v>
      </c>
      <c r="N72" s="564"/>
      <c r="O72" s="564"/>
      <c r="P72" s="188">
        <v>19</v>
      </c>
      <c r="Q72" s="188">
        <v>1606.2006764374289</v>
      </c>
      <c r="R72" s="185">
        <f t="shared" si="84"/>
        <v>84.536877707233103</v>
      </c>
      <c r="S72" s="182">
        <f t="shared" si="85"/>
        <v>3</v>
      </c>
      <c r="T72" s="625"/>
      <c r="U72" s="188">
        <v>19</v>
      </c>
      <c r="V72" s="188">
        <v>1606.1538461538439</v>
      </c>
      <c r="W72" s="185">
        <f t="shared" si="78"/>
        <v>84.53441295546547</v>
      </c>
      <c r="X72" s="182">
        <f t="shared" si="86"/>
        <v>3</v>
      </c>
      <c r="Y72" s="625"/>
      <c r="Z72" s="188">
        <v>19</v>
      </c>
      <c r="AA72" s="188">
        <v>1606.1538461538505</v>
      </c>
      <c r="AB72" s="185">
        <f t="shared" si="79"/>
        <v>84.534412955465811</v>
      </c>
      <c r="AC72" s="182" t="e">
        <f t="shared" si="87"/>
        <v>#N/A</v>
      </c>
      <c r="AD72" s="625"/>
      <c r="AE72" s="188">
        <v>19</v>
      </c>
      <c r="AF72" s="188">
        <v>1605.8823529411736</v>
      </c>
      <c r="AG72" s="185">
        <f t="shared" si="88"/>
        <v>84.520123839009145</v>
      </c>
      <c r="AH72" s="182" t="e">
        <f t="shared" si="89"/>
        <v>#N/A</v>
      </c>
      <c r="AI72" s="625"/>
      <c r="AJ72" s="188">
        <v>19</v>
      </c>
      <c r="AK72" s="188">
        <v>1605.7990559676348</v>
      </c>
      <c r="AL72" s="185">
        <f t="shared" si="80"/>
        <v>84.515739787770258</v>
      </c>
      <c r="AM72" s="182">
        <f t="shared" si="90"/>
        <v>3</v>
      </c>
      <c r="AN72" s="625"/>
      <c r="AO72" s="188">
        <v>19</v>
      </c>
      <c r="AP72" s="188">
        <v>1605.8671268334786</v>
      </c>
      <c r="AQ72" s="185">
        <f t="shared" si="81"/>
        <v>84.519322464919924</v>
      </c>
      <c r="AR72" s="182">
        <f t="shared" si="91"/>
        <v>3</v>
      </c>
      <c r="AS72" s="625"/>
      <c r="AT72" s="188">
        <v>19</v>
      </c>
      <c r="AU72" s="188">
        <v>1605.7879836426541</v>
      </c>
      <c r="AV72" s="185">
        <f t="shared" si="82"/>
        <v>84.515157033823897</v>
      </c>
      <c r="AW72" s="182">
        <f t="shared" si="92"/>
        <v>3</v>
      </c>
      <c r="AX72" s="625"/>
    </row>
    <row r="73" spans="2:50" ht="14.25" customHeight="1">
      <c r="B73" s="564"/>
      <c r="C73" s="180">
        <v>7</v>
      </c>
      <c r="D73" s="183" t="s">
        <v>486</v>
      </c>
      <c r="E73" s="180">
        <v>19</v>
      </c>
      <c r="F73" s="180">
        <v>2000</v>
      </c>
      <c r="G73" s="185">
        <f t="shared" si="77"/>
        <v>105.26315789473684</v>
      </c>
      <c r="H73" s="625"/>
      <c r="I73" s="186">
        <f t="shared" si="83"/>
        <v>20</v>
      </c>
      <c r="J73" s="186">
        <f t="shared" si="83"/>
        <v>1786.7056875436519</v>
      </c>
      <c r="K73" s="187">
        <f t="shared" si="83"/>
        <v>89.335284377182589</v>
      </c>
      <c r="L73" s="626"/>
      <c r="M73" s="186">
        <f>RANK(K73, K$67:$K$81)</f>
        <v>1</v>
      </c>
      <c r="N73" s="564"/>
      <c r="O73" s="564"/>
      <c r="P73" s="188">
        <v>20</v>
      </c>
      <c r="Q73" s="188">
        <v>1787.1573413443502</v>
      </c>
      <c r="R73" s="185">
        <f t="shared" si="84"/>
        <v>89.357867067217512</v>
      </c>
      <c r="S73" s="182">
        <f t="shared" si="85"/>
        <v>1</v>
      </c>
      <c r="T73" s="625"/>
      <c r="U73" s="188">
        <v>20</v>
      </c>
      <c r="V73" s="188">
        <v>1787.2976338729818</v>
      </c>
      <c r="W73" s="185">
        <f t="shared" si="78"/>
        <v>89.364881693649096</v>
      </c>
      <c r="X73" s="182">
        <f t="shared" si="86"/>
        <v>1</v>
      </c>
      <c r="Y73" s="625"/>
      <c r="Z73" s="188">
        <v>20</v>
      </c>
      <c r="AA73" s="188">
        <v>1787.116564417179</v>
      </c>
      <c r="AB73" s="185">
        <f t="shared" si="79"/>
        <v>89.355828220858953</v>
      </c>
      <c r="AC73" s="182" t="e">
        <f t="shared" si="87"/>
        <v>#N/A</v>
      </c>
      <c r="AD73" s="625"/>
      <c r="AE73" s="188">
        <v>20</v>
      </c>
      <c r="AF73" s="188">
        <v>1786.6666666666731</v>
      </c>
      <c r="AG73" s="185">
        <f t="shared" si="88"/>
        <v>89.333333333333655</v>
      </c>
      <c r="AH73" s="182" t="e">
        <f t="shared" si="89"/>
        <v>#N/A</v>
      </c>
      <c r="AI73" s="625"/>
      <c r="AJ73" s="188">
        <v>20</v>
      </c>
      <c r="AK73" s="188">
        <v>1786.2828111769677</v>
      </c>
      <c r="AL73" s="185">
        <f t="shared" si="80"/>
        <v>89.314140558848379</v>
      </c>
      <c r="AM73" s="182">
        <f t="shared" si="90"/>
        <v>1</v>
      </c>
      <c r="AN73" s="625"/>
      <c r="AO73" s="188">
        <v>20</v>
      </c>
      <c r="AP73" s="188">
        <v>1786.1487724441197</v>
      </c>
      <c r="AQ73" s="185">
        <f t="shared" si="81"/>
        <v>89.307438622205979</v>
      </c>
      <c r="AR73" s="182">
        <f t="shared" si="91"/>
        <v>1</v>
      </c>
      <c r="AS73" s="625"/>
      <c r="AT73" s="188">
        <v>20</v>
      </c>
      <c r="AU73" s="188">
        <v>1786.2700228832905</v>
      </c>
      <c r="AV73" s="185">
        <f t="shared" si="82"/>
        <v>89.313501144164519</v>
      </c>
      <c r="AW73" s="182">
        <f t="shared" si="92"/>
        <v>1</v>
      </c>
      <c r="AX73" s="625"/>
    </row>
    <row r="74" spans="2:50" ht="14.25" customHeight="1">
      <c r="B74" s="564"/>
      <c r="C74" s="180">
        <v>8</v>
      </c>
      <c r="D74" s="183" t="s">
        <v>610</v>
      </c>
      <c r="E74" s="180">
        <v>21</v>
      </c>
      <c r="F74" s="180">
        <v>1800</v>
      </c>
      <c r="G74" s="185">
        <f t="shared" si="77"/>
        <v>85.714285714285708</v>
      </c>
      <c r="H74" s="625"/>
      <c r="I74" s="186">
        <f t="shared" si="83"/>
        <v>21</v>
      </c>
      <c r="J74" s="186">
        <f t="shared" si="83"/>
        <v>1606.0197989621574</v>
      </c>
      <c r="K74" s="187">
        <f t="shared" si="83"/>
        <v>76.477133283912266</v>
      </c>
      <c r="L74" s="626"/>
      <c r="M74" s="186">
        <f>RANK(K74, K$67:$K$81)</f>
        <v>7</v>
      </c>
      <c r="N74" s="564"/>
      <c r="O74" s="564"/>
      <c r="P74" s="188">
        <v>21</v>
      </c>
      <c r="Q74" s="188">
        <v>1605.9981255857542</v>
      </c>
      <c r="R74" s="185">
        <f t="shared" si="84"/>
        <v>76.476101218369251</v>
      </c>
      <c r="S74" s="182">
        <f t="shared" si="85"/>
        <v>7</v>
      </c>
      <c r="T74" s="625"/>
      <c r="U74" s="188">
        <v>21</v>
      </c>
      <c r="V74" s="188">
        <v>1606.0510917653762</v>
      </c>
      <c r="W74" s="185">
        <f t="shared" si="78"/>
        <v>76.478623417398865</v>
      </c>
      <c r="X74" s="182">
        <f t="shared" si="86"/>
        <v>7</v>
      </c>
      <c r="Y74" s="625"/>
      <c r="Z74" s="188">
        <v>21</v>
      </c>
      <c r="AA74" s="188">
        <v>1605.9899007487368</v>
      </c>
      <c r="AB74" s="185">
        <f t="shared" si="79"/>
        <v>76.475709559463652</v>
      </c>
      <c r="AC74" s="182" t="e">
        <f t="shared" si="87"/>
        <v>#N/A</v>
      </c>
      <c r="AD74" s="625"/>
      <c r="AE74" s="188">
        <v>21</v>
      </c>
      <c r="AF74" s="188">
        <v>1606.0764798323721</v>
      </c>
      <c r="AG74" s="185">
        <f t="shared" si="88"/>
        <v>76.479832372970094</v>
      </c>
      <c r="AH74" s="182" t="e">
        <f>RANK(AG74, AG$7:AG$21)</f>
        <v>#N/A</v>
      </c>
      <c r="AI74" s="625"/>
      <c r="AJ74" s="188">
        <v>21</v>
      </c>
      <c r="AK74" s="188">
        <v>1605.9945504087202</v>
      </c>
      <c r="AL74" s="185">
        <f t="shared" si="80"/>
        <v>76.475930971843823</v>
      </c>
      <c r="AM74" s="182">
        <f t="shared" si="90"/>
        <v>7</v>
      </c>
      <c r="AN74" s="625"/>
      <c r="AO74" s="188">
        <v>21</v>
      </c>
      <c r="AP74" s="188">
        <v>1606.0375377346099</v>
      </c>
      <c r="AQ74" s="185">
        <f t="shared" si="81"/>
        <v>76.47797798736238</v>
      </c>
      <c r="AR74" s="182">
        <f t="shared" si="91"/>
        <v>8</v>
      </c>
      <c r="AS74" s="625"/>
      <c r="AT74" s="188">
        <v>21</v>
      </c>
      <c r="AU74" s="188">
        <v>1605.9909066595342</v>
      </c>
      <c r="AV74" s="185">
        <f t="shared" si="82"/>
        <v>76.475757459977814</v>
      </c>
      <c r="AW74" s="182">
        <f t="shared" si="92"/>
        <v>8</v>
      </c>
      <c r="AX74" s="625"/>
    </row>
    <row r="75" spans="2:50" ht="14.25" customHeight="1">
      <c r="B75" s="564"/>
      <c r="C75" s="180">
        <v>9</v>
      </c>
      <c r="D75" s="183" t="s">
        <v>611</v>
      </c>
      <c r="E75" s="180">
        <v>20</v>
      </c>
      <c r="F75" s="180">
        <v>2000</v>
      </c>
      <c r="G75" s="185">
        <f t="shared" si="77"/>
        <v>100</v>
      </c>
      <c r="H75" s="625"/>
      <c r="I75" s="186">
        <f t="shared" si="83"/>
        <v>20</v>
      </c>
      <c r="J75" s="186">
        <f t="shared" si="83"/>
        <v>1785.4951685013143</v>
      </c>
      <c r="K75" s="187">
        <f t="shared" si="83"/>
        <v>89.274758425065713</v>
      </c>
      <c r="L75" s="626"/>
      <c r="M75" s="186">
        <f>RANK(K75, K$67:$K$81)</f>
        <v>2</v>
      </c>
      <c r="N75" s="564"/>
      <c r="O75" s="564"/>
      <c r="P75" s="188">
        <v>20</v>
      </c>
      <c r="Q75" s="188">
        <v>1785.0856195912349</v>
      </c>
      <c r="R75" s="185">
        <f t="shared" si="84"/>
        <v>89.254280979561742</v>
      </c>
      <c r="S75" s="182">
        <f t="shared" si="85"/>
        <v>2</v>
      </c>
      <c r="T75" s="625"/>
      <c r="U75" s="188">
        <v>20</v>
      </c>
      <c r="V75" s="188">
        <v>1785.3152039555023</v>
      </c>
      <c r="W75" s="185">
        <f t="shared" si="78"/>
        <v>89.265760197775109</v>
      </c>
      <c r="X75" s="182">
        <f t="shared" si="86"/>
        <v>2</v>
      </c>
      <c r="Y75" s="625"/>
      <c r="Z75" s="188">
        <v>20</v>
      </c>
      <c r="AA75" s="188">
        <v>1785.5572065378944</v>
      </c>
      <c r="AB75" s="185">
        <f t="shared" si="79"/>
        <v>89.277860326894725</v>
      </c>
      <c r="AC75" s="182" t="e">
        <f t="shared" si="87"/>
        <v>#N/A</v>
      </c>
      <c r="AD75" s="625"/>
      <c r="AE75" s="188">
        <v>20</v>
      </c>
      <c r="AF75" s="188">
        <v>1785.6275950175698</v>
      </c>
      <c r="AG75" s="185">
        <f t="shared" si="88"/>
        <v>89.281379750878486</v>
      </c>
      <c r="AH75" s="182" t="e">
        <f t="shared" si="89"/>
        <v>#N/A</v>
      </c>
      <c r="AI75" s="625"/>
      <c r="AJ75" s="188">
        <v>20</v>
      </c>
      <c r="AK75" s="188">
        <v>1785.4604200323129</v>
      </c>
      <c r="AL75" s="185">
        <f t="shared" si="80"/>
        <v>89.273021001615646</v>
      </c>
      <c r="AM75" s="182">
        <f t="shared" si="90"/>
        <v>2</v>
      </c>
      <c r="AN75" s="625"/>
      <c r="AO75" s="188">
        <v>20</v>
      </c>
      <c r="AP75" s="188">
        <v>1785.7086145295727</v>
      </c>
      <c r="AQ75" s="185">
        <f t="shared" si="81"/>
        <v>89.285430726478637</v>
      </c>
      <c r="AR75" s="182">
        <f t="shared" si="91"/>
        <v>2</v>
      </c>
      <c r="AS75" s="625"/>
      <c r="AT75" s="188">
        <v>20</v>
      </c>
      <c r="AU75" s="188">
        <v>1785.7115198451129</v>
      </c>
      <c r="AV75" s="185">
        <f t="shared" si="82"/>
        <v>89.285575992255644</v>
      </c>
      <c r="AW75" s="182">
        <f t="shared" si="92"/>
        <v>2</v>
      </c>
      <c r="AX75" s="625"/>
    </row>
    <row r="76" spans="2:50" ht="14.25" customHeight="1">
      <c r="B76" s="564"/>
      <c r="C76" s="180">
        <v>10</v>
      </c>
      <c r="D76" s="183"/>
      <c r="E76" s="180"/>
      <c r="F76" s="180"/>
      <c r="G76" s="185"/>
      <c r="H76" s="625"/>
      <c r="I76" s="186"/>
      <c r="J76" s="186"/>
      <c r="K76" s="187"/>
      <c r="L76" s="626"/>
      <c r="M76" s="186"/>
      <c r="N76" s="564"/>
      <c r="O76" s="564"/>
      <c r="P76" s="188"/>
      <c r="Q76" s="188"/>
      <c r="R76" s="185"/>
      <c r="S76" s="182"/>
      <c r="T76" s="625"/>
      <c r="U76" s="188"/>
      <c r="V76" s="188"/>
      <c r="W76" s="185"/>
      <c r="X76" s="182"/>
      <c r="Y76" s="625"/>
      <c r="Z76" s="188"/>
      <c r="AA76" s="188"/>
      <c r="AB76" s="185"/>
      <c r="AC76" s="182"/>
      <c r="AD76" s="625"/>
      <c r="AE76" s="188"/>
      <c r="AF76" s="188"/>
      <c r="AG76" s="185"/>
      <c r="AH76" s="182"/>
      <c r="AI76" s="625"/>
      <c r="AJ76" s="188"/>
      <c r="AK76" s="188"/>
      <c r="AL76" s="185"/>
      <c r="AM76" s="182"/>
      <c r="AN76" s="625"/>
      <c r="AO76" s="188"/>
      <c r="AP76" s="188"/>
      <c r="AQ76" s="185"/>
      <c r="AR76" s="182"/>
      <c r="AS76" s="625"/>
      <c r="AT76" s="188"/>
      <c r="AU76" s="188"/>
      <c r="AV76" s="185"/>
      <c r="AW76" s="182"/>
      <c r="AX76" s="625"/>
    </row>
    <row r="77" spans="2:50" ht="14.25" customHeight="1">
      <c r="B77" s="564"/>
      <c r="C77" s="180">
        <v>11</v>
      </c>
      <c r="D77" s="183"/>
      <c r="E77" s="180"/>
      <c r="F77" s="180"/>
      <c r="G77" s="185"/>
      <c r="H77" s="625"/>
      <c r="I77" s="186"/>
      <c r="J77" s="186"/>
      <c r="K77" s="187"/>
      <c r="L77" s="626"/>
      <c r="M77" s="186"/>
      <c r="N77" s="564"/>
      <c r="O77" s="564"/>
      <c r="P77" s="188"/>
      <c r="Q77" s="188"/>
      <c r="R77" s="185"/>
      <c r="S77" s="182"/>
      <c r="T77" s="625"/>
      <c r="U77" s="188"/>
      <c r="V77" s="188"/>
      <c r="W77" s="185"/>
      <c r="X77" s="182"/>
      <c r="Y77" s="625"/>
      <c r="Z77" s="188"/>
      <c r="AA77" s="188"/>
      <c r="AB77" s="185"/>
      <c r="AC77" s="182"/>
      <c r="AD77" s="625"/>
      <c r="AE77" s="188"/>
      <c r="AF77" s="188"/>
      <c r="AG77" s="185"/>
      <c r="AH77" s="182"/>
      <c r="AI77" s="625"/>
      <c r="AJ77" s="188"/>
      <c r="AK77" s="188"/>
      <c r="AL77" s="185"/>
      <c r="AM77" s="182"/>
      <c r="AN77" s="625"/>
      <c r="AO77" s="188"/>
      <c r="AP77" s="188"/>
      <c r="AQ77" s="185"/>
      <c r="AR77" s="182"/>
      <c r="AS77" s="625"/>
      <c r="AT77" s="188"/>
      <c r="AU77" s="188"/>
      <c r="AV77" s="185"/>
      <c r="AW77" s="182"/>
      <c r="AX77" s="625"/>
    </row>
    <row r="78" spans="2:50" ht="14.25" customHeight="1">
      <c r="B78" s="564"/>
      <c r="C78" s="180">
        <v>12</v>
      </c>
      <c r="D78" s="183"/>
      <c r="E78" s="180"/>
      <c r="F78" s="180"/>
      <c r="G78" s="185"/>
      <c r="H78" s="625"/>
      <c r="I78" s="186"/>
      <c r="J78" s="186"/>
      <c r="K78" s="187"/>
      <c r="L78" s="626"/>
      <c r="M78" s="186"/>
      <c r="N78" s="564"/>
      <c r="O78" s="564"/>
      <c r="P78" s="188"/>
      <c r="Q78" s="188"/>
      <c r="R78" s="185"/>
      <c r="S78" s="182"/>
      <c r="T78" s="625"/>
      <c r="U78" s="188"/>
      <c r="V78" s="188"/>
      <c r="W78" s="185"/>
      <c r="X78" s="182"/>
      <c r="Y78" s="625"/>
      <c r="Z78" s="188"/>
      <c r="AA78" s="188"/>
      <c r="AB78" s="185"/>
      <c r="AC78" s="182"/>
      <c r="AD78" s="625"/>
      <c r="AE78" s="188"/>
      <c r="AF78" s="188"/>
      <c r="AG78" s="185"/>
      <c r="AH78" s="182"/>
      <c r="AI78" s="625"/>
      <c r="AJ78" s="188"/>
      <c r="AK78" s="188"/>
      <c r="AL78" s="185"/>
      <c r="AM78" s="182"/>
      <c r="AN78" s="625"/>
      <c r="AO78" s="188"/>
      <c r="AP78" s="188"/>
      <c r="AQ78" s="185"/>
      <c r="AR78" s="182"/>
      <c r="AS78" s="625"/>
      <c r="AT78" s="188"/>
      <c r="AU78" s="188"/>
      <c r="AV78" s="185"/>
      <c r="AW78" s="182"/>
      <c r="AX78" s="625"/>
    </row>
    <row r="79" spans="2:50" ht="14.25" customHeight="1">
      <c r="B79" s="564"/>
      <c r="C79" s="180">
        <v>13</v>
      </c>
      <c r="D79" s="183"/>
      <c r="E79" s="180"/>
      <c r="F79" s="180"/>
      <c r="G79" s="185"/>
      <c r="H79" s="625"/>
      <c r="I79" s="186"/>
      <c r="J79" s="186"/>
      <c r="K79" s="187"/>
      <c r="L79" s="626"/>
      <c r="M79" s="186"/>
      <c r="N79" s="564"/>
      <c r="O79" s="564"/>
      <c r="P79" s="188"/>
      <c r="Q79" s="188"/>
      <c r="R79" s="185"/>
      <c r="S79" s="182"/>
      <c r="T79" s="625"/>
      <c r="U79" s="188"/>
      <c r="V79" s="188"/>
      <c r="W79" s="185"/>
      <c r="X79" s="182"/>
      <c r="Y79" s="625"/>
      <c r="Z79" s="188"/>
      <c r="AA79" s="188"/>
      <c r="AB79" s="185"/>
      <c r="AC79" s="182"/>
      <c r="AD79" s="625"/>
      <c r="AE79" s="188"/>
      <c r="AF79" s="188"/>
      <c r="AG79" s="185"/>
      <c r="AH79" s="182"/>
      <c r="AI79" s="625"/>
      <c r="AJ79" s="188"/>
      <c r="AK79" s="188"/>
      <c r="AL79" s="185"/>
      <c r="AM79" s="182"/>
      <c r="AN79" s="625"/>
      <c r="AO79" s="188"/>
      <c r="AP79" s="188"/>
      <c r="AQ79" s="185"/>
      <c r="AR79" s="182"/>
      <c r="AS79" s="625"/>
      <c r="AT79" s="188"/>
      <c r="AU79" s="188"/>
      <c r="AV79" s="185"/>
      <c r="AW79" s="182"/>
      <c r="AX79" s="625"/>
    </row>
    <row r="80" spans="2:50" ht="14.25" customHeight="1">
      <c r="B80" s="564"/>
      <c r="C80" s="180">
        <v>14</v>
      </c>
      <c r="D80" s="183"/>
      <c r="E80" s="180"/>
      <c r="F80" s="180"/>
      <c r="G80" s="185"/>
      <c r="H80" s="625"/>
      <c r="I80" s="186"/>
      <c r="J80" s="186"/>
      <c r="K80" s="187"/>
      <c r="L80" s="626"/>
      <c r="M80" s="186"/>
      <c r="N80" s="564"/>
      <c r="O80" s="564"/>
      <c r="P80" s="188"/>
      <c r="Q80" s="188"/>
      <c r="R80" s="185"/>
      <c r="S80" s="182"/>
      <c r="T80" s="625"/>
      <c r="U80" s="188"/>
      <c r="V80" s="188"/>
      <c r="W80" s="185"/>
      <c r="X80" s="182"/>
      <c r="Y80" s="625"/>
      <c r="Z80" s="188"/>
      <c r="AA80" s="188"/>
      <c r="AB80" s="185"/>
      <c r="AC80" s="182"/>
      <c r="AD80" s="625"/>
      <c r="AE80" s="188"/>
      <c r="AF80" s="188"/>
      <c r="AG80" s="185"/>
      <c r="AH80" s="182"/>
      <c r="AI80" s="625"/>
      <c r="AJ80" s="188"/>
      <c r="AK80" s="188"/>
      <c r="AL80" s="185"/>
      <c r="AM80" s="182"/>
      <c r="AN80" s="625"/>
      <c r="AO80" s="188"/>
      <c r="AP80" s="188"/>
      <c r="AQ80" s="185"/>
      <c r="AR80" s="182"/>
      <c r="AS80" s="625"/>
      <c r="AT80" s="188"/>
      <c r="AU80" s="188"/>
      <c r="AV80" s="185"/>
      <c r="AW80" s="182"/>
      <c r="AX80" s="625"/>
    </row>
    <row r="81" spans="2:50" ht="14.25" customHeight="1">
      <c r="B81" s="564"/>
      <c r="C81" s="180">
        <v>15</v>
      </c>
      <c r="D81" s="183"/>
      <c r="E81" s="180"/>
      <c r="F81" s="180"/>
      <c r="G81" s="185"/>
      <c r="H81" s="625"/>
      <c r="I81" s="186"/>
      <c r="J81" s="186"/>
      <c r="K81" s="187"/>
      <c r="L81" s="626"/>
      <c r="M81" s="186"/>
      <c r="N81" s="564"/>
      <c r="O81" s="564"/>
      <c r="P81" s="188"/>
      <c r="Q81" s="188"/>
      <c r="R81" s="185"/>
      <c r="S81" s="182"/>
      <c r="T81" s="625"/>
      <c r="U81" s="188"/>
      <c r="V81" s="188"/>
      <c r="W81" s="185"/>
      <c r="X81" s="182"/>
      <c r="Y81" s="625"/>
      <c r="Z81" s="188"/>
      <c r="AA81" s="188"/>
      <c r="AB81" s="185"/>
      <c r="AC81" s="182"/>
      <c r="AD81" s="625"/>
      <c r="AE81" s="188"/>
      <c r="AF81" s="188"/>
      <c r="AG81" s="185"/>
      <c r="AH81" s="182"/>
      <c r="AI81" s="625"/>
      <c r="AJ81" s="188"/>
      <c r="AK81" s="188"/>
      <c r="AL81" s="185"/>
      <c r="AM81" s="182"/>
      <c r="AN81" s="625"/>
      <c r="AO81" s="188"/>
      <c r="AP81" s="188"/>
      <c r="AQ81" s="185"/>
      <c r="AR81" s="182"/>
      <c r="AS81" s="625"/>
      <c r="AT81" s="188"/>
      <c r="AU81" s="188"/>
      <c r="AV81" s="185"/>
      <c r="AW81" s="182"/>
      <c r="AX81" s="625"/>
    </row>
    <row r="82" spans="2:50" ht="14.25" customHeight="1" collapsed="1">
      <c r="B82" s="641">
        <v>1</v>
      </c>
      <c r="C82" s="642"/>
      <c r="D82" s="642"/>
      <c r="E82" s="642"/>
      <c r="F82" s="642"/>
      <c r="G82" s="642"/>
      <c r="H82" s="642"/>
      <c r="I82" s="642"/>
      <c r="J82" s="642"/>
      <c r="K82" s="642"/>
      <c r="L82" s="642"/>
      <c r="M82" s="643"/>
      <c r="N82" s="575" t="s">
        <v>377</v>
      </c>
      <c r="O82" s="575" t="s">
        <v>105</v>
      </c>
      <c r="P82" s="655">
        <f>AT62+1</f>
        <v>46105</v>
      </c>
      <c r="Q82" s="656"/>
      <c r="R82" s="656"/>
      <c r="S82" s="656"/>
      <c r="T82" s="656"/>
      <c r="U82" s="657">
        <f>P82+1</f>
        <v>46106</v>
      </c>
      <c r="V82" s="658"/>
      <c r="W82" s="658"/>
      <c r="X82" s="658"/>
      <c r="Y82" s="658"/>
      <c r="Z82" s="655">
        <f t="shared" ref="Z82" si="93">U82+1</f>
        <v>46107</v>
      </c>
      <c r="AA82" s="656"/>
      <c r="AB82" s="656"/>
      <c r="AC82" s="656"/>
      <c r="AD82" s="656"/>
      <c r="AE82" s="657">
        <f t="shared" ref="AE82" si="94">Z82+1</f>
        <v>46108</v>
      </c>
      <c r="AF82" s="658"/>
      <c r="AG82" s="658"/>
      <c r="AH82" s="658"/>
      <c r="AI82" s="658"/>
      <c r="AJ82" s="647">
        <f t="shared" ref="AJ82" si="95">AE82+1</f>
        <v>46109</v>
      </c>
      <c r="AK82" s="648"/>
      <c r="AL82" s="648"/>
      <c r="AM82" s="648"/>
      <c r="AN82" s="649"/>
      <c r="AO82" s="657">
        <f t="shared" ref="AO82" si="96">AJ82+1</f>
        <v>46110</v>
      </c>
      <c r="AP82" s="658"/>
      <c r="AQ82" s="658"/>
      <c r="AR82" s="658"/>
      <c r="AS82" s="658"/>
      <c r="AT82" s="647">
        <f t="shared" ref="AT82" si="97">AO82+1</f>
        <v>46111</v>
      </c>
      <c r="AU82" s="648"/>
      <c r="AV82" s="648"/>
      <c r="AW82" s="648"/>
      <c r="AX82" s="649"/>
    </row>
    <row r="83" spans="2:50" ht="14.25" customHeight="1">
      <c r="B83" s="644"/>
      <c r="C83" s="644"/>
      <c r="D83" s="644"/>
      <c r="E83" s="644"/>
      <c r="F83" s="644"/>
      <c r="G83" s="644"/>
      <c r="H83" s="644"/>
      <c r="I83" s="644"/>
      <c r="J83" s="644"/>
      <c r="K83" s="644"/>
      <c r="L83" s="644"/>
      <c r="M83" s="645"/>
      <c r="N83" s="577"/>
      <c r="O83" s="577"/>
      <c r="P83" s="650">
        <f>P82</f>
        <v>46105</v>
      </c>
      <c r="Q83" s="650"/>
      <c r="R83" s="650"/>
      <c r="S83" s="650"/>
      <c r="T83" s="650"/>
      <c r="U83" s="651">
        <f>U82</f>
        <v>46106</v>
      </c>
      <c r="V83" s="651"/>
      <c r="W83" s="651"/>
      <c r="X83" s="651"/>
      <c r="Y83" s="651"/>
      <c r="Z83" s="650">
        <f t="shared" ref="Z83" si="98">Z82</f>
        <v>46107</v>
      </c>
      <c r="AA83" s="650"/>
      <c r="AB83" s="650"/>
      <c r="AC83" s="650"/>
      <c r="AD83" s="650"/>
      <c r="AE83" s="651">
        <f t="shared" ref="AE83" si="99">AE82</f>
        <v>46108</v>
      </c>
      <c r="AF83" s="651"/>
      <c r="AG83" s="651"/>
      <c r="AH83" s="651"/>
      <c r="AI83" s="651"/>
      <c r="AJ83" s="652">
        <f t="shared" ref="AJ83" si="100">AJ82</f>
        <v>46109</v>
      </c>
      <c r="AK83" s="653"/>
      <c r="AL83" s="653"/>
      <c r="AM83" s="653"/>
      <c r="AN83" s="654"/>
      <c r="AO83" s="651">
        <f t="shared" ref="AO83" si="101">AO82</f>
        <v>46110</v>
      </c>
      <c r="AP83" s="651"/>
      <c r="AQ83" s="651"/>
      <c r="AR83" s="651"/>
      <c r="AS83" s="651"/>
      <c r="AT83" s="652">
        <f t="shared" ref="AT83" si="102">AT82</f>
        <v>46111</v>
      </c>
      <c r="AU83" s="653"/>
      <c r="AV83" s="653"/>
      <c r="AW83" s="653"/>
      <c r="AX83" s="654"/>
    </row>
    <row r="84" spans="2:50" ht="14.25" customHeight="1">
      <c r="B84" s="564" t="s">
        <v>164</v>
      </c>
      <c r="C84" s="564" t="s">
        <v>159</v>
      </c>
      <c r="D84" s="564"/>
      <c r="E84" s="564" t="s">
        <v>160</v>
      </c>
      <c r="F84" s="564"/>
      <c r="G84" s="564"/>
      <c r="H84" s="564" t="s">
        <v>165</v>
      </c>
      <c r="I84" s="628" t="s">
        <v>378</v>
      </c>
      <c r="J84" s="628"/>
      <c r="K84" s="628"/>
      <c r="L84" s="628" t="s">
        <v>165</v>
      </c>
      <c r="M84" s="628" t="s">
        <v>167</v>
      </c>
      <c r="N84" s="564"/>
      <c r="O84" s="564" t="s">
        <v>166</v>
      </c>
      <c r="P84" s="564" t="s">
        <v>162</v>
      </c>
      <c r="Q84" s="564"/>
      <c r="R84" s="564"/>
      <c r="S84" s="564"/>
      <c r="T84" s="564" t="s">
        <v>165</v>
      </c>
      <c r="U84" s="564" t="s">
        <v>162</v>
      </c>
      <c r="V84" s="564"/>
      <c r="W84" s="564"/>
      <c r="X84" s="564"/>
      <c r="Y84" s="564" t="s">
        <v>165</v>
      </c>
      <c r="Z84" s="564" t="s">
        <v>162</v>
      </c>
      <c r="AA84" s="564"/>
      <c r="AB84" s="564"/>
      <c r="AC84" s="564"/>
      <c r="AD84" s="564" t="s">
        <v>165</v>
      </c>
      <c r="AE84" s="564" t="s">
        <v>162</v>
      </c>
      <c r="AF84" s="564"/>
      <c r="AG84" s="564"/>
      <c r="AH84" s="564"/>
      <c r="AI84" s="564" t="s">
        <v>165</v>
      </c>
      <c r="AJ84" s="564" t="s">
        <v>162</v>
      </c>
      <c r="AK84" s="564"/>
      <c r="AL84" s="564"/>
      <c r="AM84" s="564"/>
      <c r="AN84" s="564" t="s">
        <v>165</v>
      </c>
      <c r="AO84" s="564" t="s">
        <v>162</v>
      </c>
      <c r="AP84" s="564"/>
      <c r="AQ84" s="564"/>
      <c r="AR84" s="564"/>
      <c r="AS84" s="564" t="s">
        <v>165</v>
      </c>
      <c r="AT84" s="564" t="s">
        <v>162</v>
      </c>
      <c r="AU84" s="564"/>
      <c r="AV84" s="564"/>
      <c r="AW84" s="564"/>
      <c r="AX84" s="564" t="s">
        <v>165</v>
      </c>
    </row>
    <row r="85" spans="2:50" ht="14.25" customHeight="1">
      <c r="B85" s="564"/>
      <c r="C85" s="564"/>
      <c r="D85" s="564"/>
      <c r="E85" s="564" t="s">
        <v>379</v>
      </c>
      <c r="F85" s="564"/>
      <c r="G85" s="564"/>
      <c r="H85" s="564"/>
      <c r="I85" s="628" t="s">
        <v>379</v>
      </c>
      <c r="J85" s="628"/>
      <c r="K85" s="628"/>
      <c r="L85" s="628"/>
      <c r="M85" s="628"/>
      <c r="N85" s="564"/>
      <c r="O85" s="564"/>
      <c r="P85" s="564" t="s">
        <v>380</v>
      </c>
      <c r="Q85" s="564"/>
      <c r="R85" s="564"/>
      <c r="S85" s="564"/>
      <c r="T85" s="564"/>
      <c r="U85" s="564" t="s">
        <v>380</v>
      </c>
      <c r="V85" s="564"/>
      <c r="W85" s="564"/>
      <c r="X85" s="564"/>
      <c r="Y85" s="564"/>
      <c r="Z85" s="564" t="s">
        <v>380</v>
      </c>
      <c r="AA85" s="564"/>
      <c r="AB85" s="564"/>
      <c r="AC85" s="564"/>
      <c r="AD85" s="564"/>
      <c r="AE85" s="564" t="s">
        <v>380</v>
      </c>
      <c r="AF85" s="564"/>
      <c r="AG85" s="564"/>
      <c r="AH85" s="564"/>
      <c r="AI85" s="564"/>
      <c r="AJ85" s="564" t="s">
        <v>380</v>
      </c>
      <c r="AK85" s="564"/>
      <c r="AL85" s="564"/>
      <c r="AM85" s="564"/>
      <c r="AN85" s="564"/>
      <c r="AO85" s="564" t="s">
        <v>380</v>
      </c>
      <c r="AP85" s="564"/>
      <c r="AQ85" s="564"/>
      <c r="AR85" s="564"/>
      <c r="AS85" s="564"/>
      <c r="AT85" s="564" t="s">
        <v>380</v>
      </c>
      <c r="AU85" s="564"/>
      <c r="AV85" s="564"/>
      <c r="AW85" s="564"/>
      <c r="AX85" s="564"/>
    </row>
    <row r="86" spans="2:50" ht="14.25" customHeight="1">
      <c r="B86" s="564"/>
      <c r="C86" s="564"/>
      <c r="D86" s="564"/>
      <c r="E86" s="180" t="s">
        <v>161</v>
      </c>
      <c r="F86" s="180" t="s">
        <v>381</v>
      </c>
      <c r="G86" s="180" t="s">
        <v>163</v>
      </c>
      <c r="H86" s="564"/>
      <c r="I86" s="181" t="s">
        <v>161</v>
      </c>
      <c r="J86" s="181" t="s">
        <v>381</v>
      </c>
      <c r="K86" s="181" t="s">
        <v>163</v>
      </c>
      <c r="L86" s="628"/>
      <c r="M86" s="628"/>
      <c r="N86" s="564"/>
      <c r="O86" s="564"/>
      <c r="P86" s="180" t="s">
        <v>161</v>
      </c>
      <c r="Q86" s="180" t="s">
        <v>381</v>
      </c>
      <c r="R86" s="180" t="s">
        <v>163</v>
      </c>
      <c r="S86" s="182" t="s">
        <v>167</v>
      </c>
      <c r="T86" s="564"/>
      <c r="U86" s="180" t="s">
        <v>161</v>
      </c>
      <c r="V86" s="180" t="s">
        <v>381</v>
      </c>
      <c r="W86" s="180" t="s">
        <v>163</v>
      </c>
      <c r="X86" s="182" t="s">
        <v>167</v>
      </c>
      <c r="Y86" s="564"/>
      <c r="Z86" s="180" t="s">
        <v>161</v>
      </c>
      <c r="AA86" s="180" t="s">
        <v>381</v>
      </c>
      <c r="AB86" s="180" t="s">
        <v>163</v>
      </c>
      <c r="AC86" s="182" t="s">
        <v>167</v>
      </c>
      <c r="AD86" s="564"/>
      <c r="AE86" s="180" t="s">
        <v>161</v>
      </c>
      <c r="AF86" s="180" t="s">
        <v>381</v>
      </c>
      <c r="AG86" s="180" t="s">
        <v>163</v>
      </c>
      <c r="AH86" s="182" t="s">
        <v>167</v>
      </c>
      <c r="AI86" s="564"/>
      <c r="AJ86" s="180" t="s">
        <v>161</v>
      </c>
      <c r="AK86" s="180" t="s">
        <v>381</v>
      </c>
      <c r="AL86" s="180" t="s">
        <v>163</v>
      </c>
      <c r="AM86" s="182" t="s">
        <v>167</v>
      </c>
      <c r="AN86" s="564"/>
      <c r="AO86" s="180" t="s">
        <v>161</v>
      </c>
      <c r="AP86" s="180" t="s">
        <v>381</v>
      </c>
      <c r="AQ86" s="180" t="s">
        <v>163</v>
      </c>
      <c r="AR86" s="182" t="s">
        <v>167</v>
      </c>
      <c r="AS86" s="564"/>
      <c r="AT86" s="180" t="s">
        <v>161</v>
      </c>
      <c r="AU86" s="180" t="s">
        <v>381</v>
      </c>
      <c r="AV86" s="180" t="s">
        <v>163</v>
      </c>
      <c r="AW86" s="182" t="s">
        <v>167</v>
      </c>
      <c r="AX86" s="564"/>
    </row>
    <row r="87" spans="2:50" ht="14.25" customHeight="1">
      <c r="B87" s="564" t="s">
        <v>357</v>
      </c>
      <c r="C87" s="180">
        <v>1</v>
      </c>
      <c r="D87" s="183" t="s">
        <v>346</v>
      </c>
      <c r="E87" s="180">
        <v>24</v>
      </c>
      <c r="F87" s="180">
        <v>2000</v>
      </c>
      <c r="G87" s="185">
        <f t="shared" ref="G87:G94" si="103">F87/E87</f>
        <v>83.333333333333329</v>
      </c>
      <c r="H87" s="625">
        <f>AVERAGE(G87:G101)</f>
        <v>91.239648033126286</v>
      </c>
      <c r="I87" s="186">
        <f>AVERAGE(P87,U87,Z87,AE87,AJ87,AO87,AT87)</f>
        <v>24</v>
      </c>
      <c r="J87" s="186">
        <f>AVERAGE(Q87,V87,AA87,AF87,AK87,AP87,AU87)</f>
        <v>1785.1785885441459</v>
      </c>
      <c r="K87" s="187">
        <f>AVERAGE(R87,W87,AB87,AG87,AL87,AQ87,AV87)</f>
        <v>74.382441189339389</v>
      </c>
      <c r="L87" s="626">
        <f>IFERROR(AVERAGE(K87:K101),"-")</f>
        <v>80.897158858139605</v>
      </c>
      <c r="M87" s="186">
        <f>RANK(K87, K$87:$K$101)</f>
        <v>8</v>
      </c>
      <c r="N87" s="564"/>
      <c r="O87" s="564"/>
      <c r="P87" s="188">
        <v>24</v>
      </c>
      <c r="Q87" s="188">
        <v>1785.1124321530106</v>
      </c>
      <c r="R87" s="185">
        <f>IFERROR(Q87/P87,"")</f>
        <v>74.379684673042107</v>
      </c>
      <c r="S87" s="182">
        <f>RANK(R87, R$87:R$101)</f>
        <v>8</v>
      </c>
      <c r="T87" s="625">
        <f>AVERAGE(R87:R101)</f>
        <v>80.884841882727514</v>
      </c>
      <c r="U87" s="188">
        <v>24</v>
      </c>
      <c r="V87" s="188">
        <v>1785.0546249089584</v>
      </c>
      <c r="W87" s="185">
        <f t="shared" ref="W87:W94" si="104">IFERROR(V87/U87,"")</f>
        <v>74.377276037873273</v>
      </c>
      <c r="X87" s="182">
        <f>RANK(W87, W$87:W$101)</f>
        <v>8</v>
      </c>
      <c r="Y87" s="625">
        <f>AVERAGE(W87:W101)</f>
        <v>80.889467853292956</v>
      </c>
      <c r="Z87" s="188">
        <v>24</v>
      </c>
      <c r="AA87" s="188">
        <v>1785.072758566735</v>
      </c>
      <c r="AB87" s="185">
        <f t="shared" ref="AB87:AB94" si="105">IFERROR(AA87/Z87,"")</f>
        <v>74.378031606947289</v>
      </c>
      <c r="AC87" s="182">
        <f>RANK(AB87, AB$87:AB$101)</f>
        <v>8</v>
      </c>
      <c r="AD87" s="625">
        <f>AVERAGE(AB87:AB101)</f>
        <v>80.894135488636238</v>
      </c>
      <c r="AE87" s="188">
        <v>24</v>
      </c>
      <c r="AF87" s="188">
        <v>1785.1898734177221</v>
      </c>
      <c r="AG87" s="185">
        <f>IFERROR(AF87/AE87,"")</f>
        <v>74.382911392405092</v>
      </c>
      <c r="AH87" s="182">
        <f>RANK(AG87, AG$87:AG$101)</f>
        <v>8</v>
      </c>
      <c r="AI87" s="625">
        <f>AVERAGE(AG87:AG101)</f>
        <v>80.898722843498589</v>
      </c>
      <c r="AJ87" s="188">
        <v>24</v>
      </c>
      <c r="AK87" s="188">
        <v>1785.2725003466931</v>
      </c>
      <c r="AL87" s="185">
        <f t="shared" ref="AL87:AL94" si="106">IFERROR(AK87/AJ87,"")</f>
        <v>74.38635418111221</v>
      </c>
      <c r="AM87" s="182">
        <f>RANK(AL87, AL$87:AL$101)</f>
        <v>8</v>
      </c>
      <c r="AN87" s="625">
        <f>AVERAGE(AL87:AL101)</f>
        <v>80.900521472589162</v>
      </c>
      <c r="AO87" s="188">
        <v>24</v>
      </c>
      <c r="AP87" s="188">
        <v>1785.2187768108843</v>
      </c>
      <c r="AQ87" s="185">
        <f t="shared" ref="AQ87:AQ94" si="107">IFERROR(AP87/AO87,"")</f>
        <v>74.384115700453506</v>
      </c>
      <c r="AR87" s="182">
        <f>RANK(AQ87, AQ$87:AQ$101)</f>
        <v>8</v>
      </c>
      <c r="AS87" s="625">
        <f>AVERAGE(AQ87:AQ101)</f>
        <v>80.903255873181379</v>
      </c>
      <c r="AT87" s="188">
        <v>24</v>
      </c>
      <c r="AU87" s="188">
        <v>1785.3291536050156</v>
      </c>
      <c r="AV87" s="185">
        <f t="shared" ref="AV87:AV94" si="108">IFERROR(AU87/AT87,"")</f>
        <v>74.388714733542315</v>
      </c>
      <c r="AW87" s="182">
        <f>RANK(AV87, AV$87:AV$101)</f>
        <v>8</v>
      </c>
      <c r="AX87" s="625">
        <f>AVERAGE(AV87:AV101)</f>
        <v>80.90916659305141</v>
      </c>
    </row>
    <row r="88" spans="2:50" ht="14.25" customHeight="1">
      <c r="B88" s="564"/>
      <c r="C88" s="180">
        <v>2</v>
      </c>
      <c r="D88" s="183" t="s">
        <v>345</v>
      </c>
      <c r="E88" s="180">
        <v>23</v>
      </c>
      <c r="F88" s="180">
        <v>2000</v>
      </c>
      <c r="G88" s="185">
        <f t="shared" si="103"/>
        <v>86.956521739130437</v>
      </c>
      <c r="H88" s="625"/>
      <c r="I88" s="186">
        <f t="shared" ref="I88:K94" si="109">AVERAGE(P88,U88,Z88,AE88,AJ88,AO88,AT88)</f>
        <v>23</v>
      </c>
      <c r="J88" s="186">
        <f t="shared" si="109"/>
        <v>1787.212879341183</v>
      </c>
      <c r="K88" s="187">
        <f t="shared" si="109"/>
        <v>77.704907797442743</v>
      </c>
      <c r="L88" s="626"/>
      <c r="M88" s="186">
        <f>RANK(K88, K$87:$K$101)</f>
        <v>5</v>
      </c>
      <c r="N88" s="564"/>
      <c r="O88" s="564"/>
      <c r="P88" s="188">
        <v>23</v>
      </c>
      <c r="Q88" s="188">
        <v>1787.203791469198</v>
      </c>
      <c r="R88" s="185">
        <f t="shared" ref="R88:R94" si="110">IFERROR(Q88/P88,"")</f>
        <v>77.704512672573827</v>
      </c>
      <c r="S88" s="182">
        <f t="shared" ref="S88:S94" si="111">RANK(R88, R$87:R$101)</f>
        <v>5</v>
      </c>
      <c r="T88" s="625"/>
      <c r="U88" s="188">
        <v>23</v>
      </c>
      <c r="V88" s="188">
        <v>1787.2756933115827</v>
      </c>
      <c r="W88" s="185">
        <f t="shared" si="104"/>
        <v>77.707638839634029</v>
      </c>
      <c r="X88" s="182">
        <f t="shared" ref="X88:X94" si="112">RANK(W88, W$87:W$101)</f>
        <v>5</v>
      </c>
      <c r="Y88" s="625"/>
      <c r="Z88" s="188">
        <v>23</v>
      </c>
      <c r="AA88" s="188">
        <v>1787.3200612557437</v>
      </c>
      <c r="AB88" s="185">
        <f t="shared" si="105"/>
        <v>77.709567880684503</v>
      </c>
      <c r="AC88" s="182">
        <f t="shared" ref="AC88:AC94" si="113">RANK(AB88, AB$87:AB$101)</f>
        <v>5</v>
      </c>
      <c r="AD88" s="625"/>
      <c r="AE88" s="188">
        <v>23</v>
      </c>
      <c r="AF88" s="188">
        <v>1787.3165002936037</v>
      </c>
      <c r="AG88" s="185">
        <f t="shared" ref="AG88:AG94" si="114">IFERROR(AF88/AE88,"")</f>
        <v>77.709413056243633</v>
      </c>
      <c r="AH88" s="182">
        <f t="shared" ref="AH88:AH94" si="115">RANK(AG88, AG$87:AG$101)</f>
        <v>5</v>
      </c>
      <c r="AI88" s="625"/>
      <c r="AJ88" s="188">
        <v>23</v>
      </c>
      <c r="AK88" s="188">
        <v>1787.1231476750124</v>
      </c>
      <c r="AL88" s="185">
        <f t="shared" si="106"/>
        <v>77.701006420652718</v>
      </c>
      <c r="AM88" s="182">
        <f t="shared" ref="AM88:AM94" si="116">RANK(AL88, AL$87:AL$101)</f>
        <v>5</v>
      </c>
      <c r="AN88" s="625"/>
      <c r="AO88" s="188">
        <v>23</v>
      </c>
      <c r="AP88" s="188">
        <v>1787.0897630949783</v>
      </c>
      <c r="AQ88" s="185">
        <f t="shared" si="107"/>
        <v>77.699554917172961</v>
      </c>
      <c r="AR88" s="182">
        <f t="shared" ref="AR88:AR94" si="117">RANK(AQ88, AQ$87:AQ$101)</f>
        <v>5</v>
      </c>
      <c r="AS88" s="625"/>
      <c r="AT88" s="188">
        <v>23</v>
      </c>
      <c r="AU88" s="188">
        <v>1787.1611982881616</v>
      </c>
      <c r="AV88" s="185">
        <f t="shared" si="108"/>
        <v>77.702660795137461</v>
      </c>
      <c r="AW88" s="182">
        <f t="shared" ref="AW88:AW94" si="118">RANK(AV88, AV$87:AV$101)</f>
        <v>5</v>
      </c>
      <c r="AX88" s="625"/>
    </row>
    <row r="89" spans="2:50" ht="14.25" customHeight="1">
      <c r="B89" s="564"/>
      <c r="C89" s="180">
        <v>3</v>
      </c>
      <c r="D89" s="183" t="s">
        <v>358</v>
      </c>
      <c r="E89" s="180">
        <v>23</v>
      </c>
      <c r="F89" s="180">
        <v>2000</v>
      </c>
      <c r="G89" s="185">
        <f t="shared" si="103"/>
        <v>86.956521739130437</v>
      </c>
      <c r="H89" s="625"/>
      <c r="I89" s="186">
        <f t="shared" si="109"/>
        <v>23</v>
      </c>
      <c r="J89" s="186">
        <f t="shared" si="109"/>
        <v>1786.493874040043</v>
      </c>
      <c r="K89" s="187">
        <f t="shared" si="109"/>
        <v>77.673646697393153</v>
      </c>
      <c r="L89" s="626"/>
      <c r="M89" s="186">
        <f>RANK(K89, K$87:$K$101)</f>
        <v>6</v>
      </c>
      <c r="N89" s="564"/>
      <c r="O89" s="564"/>
      <c r="P89" s="188">
        <v>23</v>
      </c>
      <c r="Q89" s="188">
        <v>1786.0548271752084</v>
      </c>
      <c r="R89" s="185">
        <f t="shared" si="110"/>
        <v>77.65455770326993</v>
      </c>
      <c r="S89" s="182">
        <f t="shared" si="111"/>
        <v>6</v>
      </c>
      <c r="T89" s="625"/>
      <c r="U89" s="188">
        <v>23</v>
      </c>
      <c r="V89" s="188">
        <v>1786.1677246909449</v>
      </c>
      <c r="W89" s="185">
        <f t="shared" si="104"/>
        <v>77.659466290910643</v>
      </c>
      <c r="X89" s="182">
        <f t="shared" si="112"/>
        <v>6</v>
      </c>
      <c r="Y89" s="625"/>
      <c r="Z89" s="188">
        <v>23</v>
      </c>
      <c r="AA89" s="188">
        <v>1786.3221884498444</v>
      </c>
      <c r="AB89" s="185">
        <f t="shared" si="105"/>
        <v>77.666182106514967</v>
      </c>
      <c r="AC89" s="182">
        <f t="shared" si="113"/>
        <v>6</v>
      </c>
      <c r="AD89" s="625"/>
      <c r="AE89" s="188">
        <v>23</v>
      </c>
      <c r="AF89" s="188">
        <v>1786.6383881230108</v>
      </c>
      <c r="AG89" s="185">
        <f t="shared" si="114"/>
        <v>77.679929918391778</v>
      </c>
      <c r="AH89" s="182">
        <f t="shared" si="115"/>
        <v>6</v>
      </c>
      <c r="AI89" s="625"/>
      <c r="AJ89" s="188">
        <v>23</v>
      </c>
      <c r="AK89" s="188">
        <v>1786.5365853658532</v>
      </c>
      <c r="AL89" s="185">
        <f t="shared" si="106"/>
        <v>77.675503711558832</v>
      </c>
      <c r="AM89" s="182">
        <f t="shared" si="116"/>
        <v>6</v>
      </c>
      <c r="AN89" s="625"/>
      <c r="AO89" s="188">
        <v>23</v>
      </c>
      <c r="AP89" s="188">
        <v>1786.7394270122825</v>
      </c>
      <c r="AQ89" s="185">
        <f t="shared" si="107"/>
        <v>77.684322913577503</v>
      </c>
      <c r="AR89" s="182">
        <f t="shared" si="117"/>
        <v>6</v>
      </c>
      <c r="AS89" s="625"/>
      <c r="AT89" s="188">
        <v>23</v>
      </c>
      <c r="AU89" s="188">
        <v>1786.9979774631572</v>
      </c>
      <c r="AV89" s="185">
        <f t="shared" si="108"/>
        <v>77.695564237528572</v>
      </c>
      <c r="AW89" s="182">
        <f t="shared" si="118"/>
        <v>6</v>
      </c>
      <c r="AX89" s="625"/>
    </row>
    <row r="90" spans="2:50" ht="14.25" customHeight="1">
      <c r="B90" s="564"/>
      <c r="C90" s="180">
        <v>4</v>
      </c>
      <c r="D90" s="183" t="s">
        <v>347</v>
      </c>
      <c r="E90" s="180">
        <v>23</v>
      </c>
      <c r="F90" s="180">
        <v>2000</v>
      </c>
      <c r="G90" s="185">
        <f t="shared" si="103"/>
        <v>86.956521739130437</v>
      </c>
      <c r="H90" s="625"/>
      <c r="I90" s="186">
        <f t="shared" si="109"/>
        <v>23</v>
      </c>
      <c r="J90" s="186">
        <f t="shared" si="109"/>
        <v>1788.50830055453</v>
      </c>
      <c r="K90" s="187">
        <f t="shared" si="109"/>
        <v>77.761230458892598</v>
      </c>
      <c r="L90" s="626"/>
      <c r="M90" s="186">
        <f>RANK(K90, K$87:$K$101)</f>
        <v>4</v>
      </c>
      <c r="N90" s="564"/>
      <c r="O90" s="564"/>
      <c r="P90" s="188">
        <v>23</v>
      </c>
      <c r="Q90" s="188">
        <v>1788.0612244897995</v>
      </c>
      <c r="R90" s="185">
        <f t="shared" si="110"/>
        <v>77.741792369121725</v>
      </c>
      <c r="S90" s="182">
        <f t="shared" si="111"/>
        <v>4</v>
      </c>
      <c r="T90" s="625"/>
      <c r="U90" s="188">
        <v>23</v>
      </c>
      <c r="V90" s="188">
        <v>1788.0104257167668</v>
      </c>
      <c r="W90" s="185">
        <f t="shared" si="104"/>
        <v>77.739583726815951</v>
      </c>
      <c r="X90" s="182">
        <f t="shared" si="112"/>
        <v>4</v>
      </c>
      <c r="Y90" s="625"/>
      <c r="Z90" s="188">
        <v>23</v>
      </c>
      <c r="AA90" s="188">
        <v>1788.5431400282921</v>
      </c>
      <c r="AB90" s="185">
        <f t="shared" si="105"/>
        <v>77.76274521862139</v>
      </c>
      <c r="AC90" s="182">
        <f t="shared" si="113"/>
        <v>4</v>
      </c>
      <c r="AD90" s="625"/>
      <c r="AE90" s="188">
        <v>23</v>
      </c>
      <c r="AF90" s="188">
        <v>1788.7147335423215</v>
      </c>
      <c r="AG90" s="185">
        <f t="shared" si="114"/>
        <v>77.770205806187889</v>
      </c>
      <c r="AH90" s="182">
        <f t="shared" si="115"/>
        <v>4</v>
      </c>
      <c r="AI90" s="625"/>
      <c r="AJ90" s="188">
        <v>23</v>
      </c>
      <c r="AK90" s="188">
        <v>1788.6792452830168</v>
      </c>
      <c r="AL90" s="185">
        <f t="shared" si="106"/>
        <v>77.768662838392032</v>
      </c>
      <c r="AM90" s="182">
        <f t="shared" si="116"/>
        <v>4</v>
      </c>
      <c r="AN90" s="625"/>
      <c r="AO90" s="188">
        <v>23</v>
      </c>
      <c r="AP90" s="188">
        <v>1788.6262578984349</v>
      </c>
      <c r="AQ90" s="185">
        <f t="shared" si="107"/>
        <v>77.766359039062394</v>
      </c>
      <c r="AR90" s="182">
        <f t="shared" si="117"/>
        <v>4</v>
      </c>
      <c r="AS90" s="625"/>
      <c r="AT90" s="188">
        <v>23</v>
      </c>
      <c r="AU90" s="188">
        <v>1788.923076923079</v>
      </c>
      <c r="AV90" s="185">
        <f t="shared" si="108"/>
        <v>77.779264214046904</v>
      </c>
      <c r="AW90" s="182">
        <f t="shared" si="118"/>
        <v>4</v>
      </c>
      <c r="AX90" s="625"/>
    </row>
    <row r="91" spans="2:50" ht="14.25" customHeight="1">
      <c r="B91" s="564"/>
      <c r="C91" s="180">
        <v>5</v>
      </c>
      <c r="D91" s="183" t="s">
        <v>511</v>
      </c>
      <c r="E91" s="180">
        <v>19</v>
      </c>
      <c r="F91" s="180">
        <v>1800</v>
      </c>
      <c r="G91" s="185">
        <f t="shared" si="103"/>
        <v>94.736842105263165</v>
      </c>
      <c r="H91" s="625"/>
      <c r="I91" s="186">
        <f t="shared" si="109"/>
        <v>19</v>
      </c>
      <c r="J91" s="186">
        <f t="shared" si="109"/>
        <v>1605.9489386682333</v>
      </c>
      <c r="K91" s="187">
        <f t="shared" si="109"/>
        <v>84.52362835095964</v>
      </c>
      <c r="L91" s="626"/>
      <c r="M91" s="186">
        <f>RANK(K91, K$87:$K$101)</f>
        <v>3</v>
      </c>
      <c r="N91" s="564"/>
      <c r="O91" s="564"/>
      <c r="P91" s="188">
        <v>19</v>
      </c>
      <c r="Q91" s="188">
        <v>1605.8276503409782</v>
      </c>
      <c r="R91" s="185">
        <f t="shared" si="110"/>
        <v>84.517244754788322</v>
      </c>
      <c r="S91" s="182">
        <f t="shared" si="111"/>
        <v>3</v>
      </c>
      <c r="T91" s="625"/>
      <c r="U91" s="188">
        <v>19</v>
      </c>
      <c r="V91" s="188">
        <v>1605.9433310297195</v>
      </c>
      <c r="W91" s="185">
        <f t="shared" si="104"/>
        <v>84.523333212090506</v>
      </c>
      <c r="X91" s="182">
        <f t="shared" si="112"/>
        <v>3</v>
      </c>
      <c r="Y91" s="625"/>
      <c r="Z91" s="188">
        <v>19</v>
      </c>
      <c r="AA91" s="188">
        <v>1605.8823529411709</v>
      </c>
      <c r="AB91" s="185">
        <f t="shared" si="105"/>
        <v>84.520123839008988</v>
      </c>
      <c r="AC91" s="182">
        <f t="shared" si="113"/>
        <v>3</v>
      </c>
      <c r="AD91" s="625"/>
      <c r="AE91" s="188">
        <v>19</v>
      </c>
      <c r="AF91" s="188">
        <v>1605.8823529411736</v>
      </c>
      <c r="AG91" s="185">
        <f t="shared" si="114"/>
        <v>84.520123839009145</v>
      </c>
      <c r="AH91" s="182">
        <f t="shared" si="115"/>
        <v>3</v>
      </c>
      <c r="AI91" s="625"/>
      <c r="AJ91" s="188">
        <v>19</v>
      </c>
      <c r="AK91" s="188">
        <v>1605.9065934065945</v>
      </c>
      <c r="AL91" s="185">
        <f t="shared" si="106"/>
        <v>84.521399652978658</v>
      </c>
      <c r="AM91" s="182">
        <f t="shared" si="116"/>
        <v>3</v>
      </c>
      <c r="AN91" s="625"/>
      <c r="AO91" s="188">
        <v>19</v>
      </c>
      <c r="AP91" s="188">
        <v>1606.0278646573786</v>
      </c>
      <c r="AQ91" s="185">
        <f t="shared" si="107"/>
        <v>84.52778235038835</v>
      </c>
      <c r="AR91" s="182">
        <f t="shared" si="117"/>
        <v>3</v>
      </c>
      <c r="AS91" s="625"/>
      <c r="AT91" s="188">
        <v>19</v>
      </c>
      <c r="AU91" s="188">
        <v>1606.1724253606176</v>
      </c>
      <c r="AV91" s="185">
        <f t="shared" si="108"/>
        <v>84.535390808453556</v>
      </c>
      <c r="AW91" s="182">
        <f t="shared" si="118"/>
        <v>3</v>
      </c>
      <c r="AX91" s="625"/>
    </row>
    <row r="92" spans="2:50" ht="14.25" customHeight="1">
      <c r="B92" s="564"/>
      <c r="C92" s="180">
        <v>6</v>
      </c>
      <c r="D92" s="183" t="s">
        <v>486</v>
      </c>
      <c r="E92" s="180">
        <v>19</v>
      </c>
      <c r="F92" s="180">
        <v>2000</v>
      </c>
      <c r="G92" s="185">
        <f t="shared" si="103"/>
        <v>105.26315789473684</v>
      </c>
      <c r="H92" s="625"/>
      <c r="I92" s="186">
        <f t="shared" si="109"/>
        <v>20</v>
      </c>
      <c r="J92" s="186">
        <f t="shared" si="109"/>
        <v>1786.9420824357496</v>
      </c>
      <c r="K92" s="187">
        <f t="shared" si="109"/>
        <v>89.347104121787467</v>
      </c>
      <c r="L92" s="626"/>
      <c r="M92" s="186">
        <f>RANK(K92, K$87:$K$101)</f>
        <v>1</v>
      </c>
      <c r="N92" s="564"/>
      <c r="O92" s="564"/>
      <c r="P92" s="188">
        <v>20</v>
      </c>
      <c r="Q92" s="188">
        <v>1786.444708680142</v>
      </c>
      <c r="R92" s="185">
        <f t="shared" si="110"/>
        <v>89.322235434007098</v>
      </c>
      <c r="S92" s="182">
        <f t="shared" si="111"/>
        <v>1</v>
      </c>
      <c r="T92" s="625"/>
      <c r="U92" s="188">
        <v>20</v>
      </c>
      <c r="V92" s="188">
        <v>1786.6200262352429</v>
      </c>
      <c r="W92" s="185">
        <f t="shared" si="104"/>
        <v>89.331001311762151</v>
      </c>
      <c r="X92" s="182">
        <f t="shared" si="112"/>
        <v>1</v>
      </c>
      <c r="Y92" s="625"/>
      <c r="Z92" s="188">
        <v>20</v>
      </c>
      <c r="AA92" s="188">
        <v>1786.8338557993802</v>
      </c>
      <c r="AB92" s="185">
        <f t="shared" si="105"/>
        <v>89.341692789969017</v>
      </c>
      <c r="AC92" s="182">
        <f t="shared" si="113"/>
        <v>1</v>
      </c>
      <c r="AD92" s="625"/>
      <c r="AE92" s="188">
        <v>20</v>
      </c>
      <c r="AF92" s="188">
        <v>1786.8732907930764</v>
      </c>
      <c r="AG92" s="185">
        <f t="shared" si="114"/>
        <v>89.343664539653815</v>
      </c>
      <c r="AH92" s="182">
        <f t="shared" si="115"/>
        <v>1</v>
      </c>
      <c r="AI92" s="625"/>
      <c r="AJ92" s="188">
        <v>20</v>
      </c>
      <c r="AK92" s="188">
        <v>1787.1428571428582</v>
      </c>
      <c r="AL92" s="185">
        <f t="shared" si="106"/>
        <v>89.357142857142918</v>
      </c>
      <c r="AM92" s="182">
        <f t="shared" si="116"/>
        <v>1</v>
      </c>
      <c r="AN92" s="625"/>
      <c r="AO92" s="188">
        <v>20</v>
      </c>
      <c r="AP92" s="188">
        <v>1787.3192436040049</v>
      </c>
      <c r="AQ92" s="185">
        <f t="shared" si="107"/>
        <v>89.365962180200242</v>
      </c>
      <c r="AR92" s="182">
        <f t="shared" si="117"/>
        <v>1</v>
      </c>
      <c r="AS92" s="625"/>
      <c r="AT92" s="188">
        <v>20</v>
      </c>
      <c r="AU92" s="188">
        <v>1787.360594795543</v>
      </c>
      <c r="AV92" s="185">
        <f t="shared" si="108"/>
        <v>89.368029739777143</v>
      </c>
      <c r="AW92" s="182">
        <f t="shared" si="118"/>
        <v>1</v>
      </c>
      <c r="AX92" s="625"/>
    </row>
    <row r="93" spans="2:50" ht="14.25" customHeight="1">
      <c r="B93" s="564"/>
      <c r="C93" s="180">
        <v>7</v>
      </c>
      <c r="D93" s="183" t="s">
        <v>610</v>
      </c>
      <c r="E93" s="180">
        <v>21</v>
      </c>
      <c r="F93" s="180">
        <v>1800</v>
      </c>
      <c r="G93" s="185">
        <f t="shared" si="103"/>
        <v>85.714285714285708</v>
      </c>
      <c r="H93" s="625"/>
      <c r="I93" s="186">
        <f t="shared" si="109"/>
        <v>21</v>
      </c>
      <c r="J93" s="186">
        <f t="shared" si="109"/>
        <v>1606.1197055526507</v>
      </c>
      <c r="K93" s="187">
        <f t="shared" si="109"/>
        <v>76.481890740602424</v>
      </c>
      <c r="L93" s="626"/>
      <c r="M93" s="186">
        <f>RANK(K93, K$87:$K$101)</f>
        <v>7</v>
      </c>
      <c r="N93" s="564"/>
      <c r="O93" s="564"/>
      <c r="P93" s="188">
        <v>21</v>
      </c>
      <c r="Q93" s="188">
        <v>1605.9442030001389</v>
      </c>
      <c r="R93" s="185">
        <f t="shared" si="110"/>
        <v>76.47353347619709</v>
      </c>
      <c r="S93" s="182">
        <f t="shared" si="111"/>
        <v>7</v>
      </c>
      <c r="T93" s="625"/>
      <c r="U93" s="188">
        <v>21</v>
      </c>
      <c r="V93" s="188">
        <v>1606.0344827586216</v>
      </c>
      <c r="W93" s="185">
        <f t="shared" si="104"/>
        <v>76.477832512315317</v>
      </c>
      <c r="X93" s="182">
        <f t="shared" si="112"/>
        <v>7</v>
      </c>
      <c r="Y93" s="625"/>
      <c r="Z93" s="188">
        <v>21</v>
      </c>
      <c r="AA93" s="188">
        <v>1606.0582822085878</v>
      </c>
      <c r="AB93" s="185">
        <f t="shared" si="105"/>
        <v>76.478965819456562</v>
      </c>
      <c r="AC93" s="182">
        <f t="shared" si="113"/>
        <v>7</v>
      </c>
      <c r="AD93" s="625"/>
      <c r="AE93" s="188">
        <v>21</v>
      </c>
      <c r="AF93" s="188">
        <v>1606.0649304316812</v>
      </c>
      <c r="AG93" s="185">
        <f t="shared" si="114"/>
        <v>76.479282401508627</v>
      </c>
      <c r="AH93" s="182">
        <f t="shared" si="115"/>
        <v>7</v>
      </c>
      <c r="AI93" s="625"/>
      <c r="AJ93" s="188">
        <v>21</v>
      </c>
      <c r="AK93" s="188">
        <v>1606.2241981581471</v>
      </c>
      <c r="AL93" s="185">
        <f t="shared" si="106"/>
        <v>76.486866578959393</v>
      </c>
      <c r="AM93" s="182">
        <f t="shared" si="116"/>
        <v>7</v>
      </c>
      <c r="AN93" s="625"/>
      <c r="AO93" s="188">
        <v>21</v>
      </c>
      <c r="AP93" s="188">
        <v>1606.1844284925448</v>
      </c>
      <c r="AQ93" s="185">
        <f t="shared" si="107"/>
        <v>76.484972785359275</v>
      </c>
      <c r="AR93" s="182">
        <f t="shared" si="117"/>
        <v>7</v>
      </c>
      <c r="AS93" s="625"/>
      <c r="AT93" s="188">
        <v>21</v>
      </c>
      <c r="AU93" s="188">
        <v>1606.3274138188342</v>
      </c>
      <c r="AV93" s="185">
        <f t="shared" si="108"/>
        <v>76.491781610420674</v>
      </c>
      <c r="AW93" s="182">
        <f t="shared" si="118"/>
        <v>7</v>
      </c>
      <c r="AX93" s="625"/>
    </row>
    <row r="94" spans="2:50" ht="14.25" customHeight="1">
      <c r="B94" s="564"/>
      <c r="C94" s="180">
        <v>8</v>
      </c>
      <c r="D94" s="183" t="s">
        <v>611</v>
      </c>
      <c r="E94" s="180">
        <v>20</v>
      </c>
      <c r="F94" s="180">
        <v>2000</v>
      </c>
      <c r="G94" s="185">
        <f t="shared" si="103"/>
        <v>100</v>
      </c>
      <c r="H94" s="625"/>
      <c r="I94" s="186">
        <f t="shared" si="109"/>
        <v>20</v>
      </c>
      <c r="J94" s="186">
        <f t="shared" si="109"/>
        <v>1786.0484301739875</v>
      </c>
      <c r="K94" s="187">
        <f t="shared" si="109"/>
        <v>89.302421508699382</v>
      </c>
      <c r="L94" s="626"/>
      <c r="M94" s="186">
        <f>RANK(K94, K$87:$K$101)</f>
        <v>2</v>
      </c>
      <c r="N94" s="564"/>
      <c r="O94" s="564"/>
      <c r="P94" s="188">
        <v>20</v>
      </c>
      <c r="Q94" s="188">
        <v>1785.7034795764012</v>
      </c>
      <c r="R94" s="185">
        <f t="shared" si="110"/>
        <v>89.285173978820055</v>
      </c>
      <c r="S94" s="182">
        <f t="shared" si="111"/>
        <v>2</v>
      </c>
      <c r="T94" s="625"/>
      <c r="U94" s="188">
        <v>20</v>
      </c>
      <c r="V94" s="188">
        <v>1785.992217898835</v>
      </c>
      <c r="W94" s="185">
        <f t="shared" si="104"/>
        <v>89.29961089494175</v>
      </c>
      <c r="X94" s="182">
        <f t="shared" si="112"/>
        <v>2</v>
      </c>
      <c r="Y94" s="625"/>
      <c r="Z94" s="188">
        <v>20</v>
      </c>
      <c r="AA94" s="188">
        <v>1785.9154929577444</v>
      </c>
      <c r="AB94" s="185">
        <f t="shared" si="105"/>
        <v>89.295774647887214</v>
      </c>
      <c r="AC94" s="182">
        <f t="shared" si="113"/>
        <v>2</v>
      </c>
      <c r="AD94" s="625"/>
      <c r="AE94" s="188">
        <v>20</v>
      </c>
      <c r="AF94" s="188">
        <v>1786.0850358917739</v>
      </c>
      <c r="AG94" s="185">
        <f t="shared" si="114"/>
        <v>89.304251794588694</v>
      </c>
      <c r="AH94" s="182">
        <f t="shared" si="115"/>
        <v>2</v>
      </c>
      <c r="AI94" s="625"/>
      <c r="AJ94" s="188">
        <v>20</v>
      </c>
      <c r="AK94" s="188">
        <v>1786.1447107983306</v>
      </c>
      <c r="AL94" s="185">
        <f t="shared" si="106"/>
        <v>89.307235539916533</v>
      </c>
      <c r="AM94" s="182">
        <f t="shared" si="116"/>
        <v>2</v>
      </c>
      <c r="AN94" s="625"/>
      <c r="AO94" s="188">
        <v>20</v>
      </c>
      <c r="AP94" s="188">
        <v>1786.2595419847339</v>
      </c>
      <c r="AQ94" s="185">
        <f t="shared" si="107"/>
        <v>89.31297709923669</v>
      </c>
      <c r="AR94" s="182">
        <f t="shared" si="117"/>
        <v>2</v>
      </c>
      <c r="AS94" s="625"/>
      <c r="AT94" s="188">
        <v>20</v>
      </c>
      <c r="AU94" s="188">
        <v>1786.2385321100944</v>
      </c>
      <c r="AV94" s="185">
        <f t="shared" si="108"/>
        <v>89.311926605504723</v>
      </c>
      <c r="AW94" s="182">
        <f t="shared" si="118"/>
        <v>2</v>
      </c>
      <c r="AX94" s="625"/>
    </row>
    <row r="95" spans="2:50" ht="14.25" customHeight="1">
      <c r="B95" s="564"/>
      <c r="C95" s="180">
        <v>9</v>
      </c>
      <c r="D95" s="183"/>
      <c r="E95" s="180"/>
      <c r="F95" s="180"/>
      <c r="G95" s="185"/>
      <c r="H95" s="625"/>
      <c r="I95" s="186"/>
      <c r="J95" s="186"/>
      <c r="K95" s="187"/>
      <c r="L95" s="626"/>
      <c r="M95" s="186"/>
      <c r="N95" s="564"/>
      <c r="O95" s="564"/>
      <c r="P95" s="188"/>
      <c r="Q95" s="188"/>
      <c r="R95" s="185"/>
      <c r="S95" s="182"/>
      <c r="T95" s="625"/>
      <c r="U95" s="188"/>
      <c r="V95" s="188"/>
      <c r="W95" s="185"/>
      <c r="X95" s="182"/>
      <c r="Y95" s="625"/>
      <c r="Z95" s="188"/>
      <c r="AA95" s="188"/>
      <c r="AB95" s="185"/>
      <c r="AC95" s="182"/>
      <c r="AD95" s="625"/>
      <c r="AE95" s="188"/>
      <c r="AF95" s="188"/>
      <c r="AG95" s="185"/>
      <c r="AH95" s="182"/>
      <c r="AI95" s="625"/>
      <c r="AJ95" s="188"/>
      <c r="AK95" s="188"/>
      <c r="AL95" s="185"/>
      <c r="AM95" s="182"/>
      <c r="AN95" s="625"/>
      <c r="AO95" s="188"/>
      <c r="AP95" s="188"/>
      <c r="AQ95" s="185"/>
      <c r="AR95" s="182"/>
      <c r="AS95" s="625"/>
      <c r="AT95" s="188"/>
      <c r="AU95" s="188"/>
      <c r="AV95" s="185"/>
      <c r="AW95" s="182"/>
      <c r="AX95" s="625"/>
    </row>
    <row r="96" spans="2:50" ht="14.25" customHeight="1">
      <c r="B96" s="564"/>
      <c r="C96" s="180">
        <v>10</v>
      </c>
      <c r="D96" s="183"/>
      <c r="E96" s="180"/>
      <c r="F96" s="180"/>
      <c r="G96" s="185"/>
      <c r="H96" s="625"/>
      <c r="I96" s="186"/>
      <c r="J96" s="186"/>
      <c r="K96" s="187"/>
      <c r="L96" s="626"/>
      <c r="M96" s="186"/>
      <c r="N96" s="564"/>
      <c r="O96" s="564"/>
      <c r="P96" s="188"/>
      <c r="Q96" s="188"/>
      <c r="R96" s="185"/>
      <c r="S96" s="182"/>
      <c r="T96" s="625"/>
      <c r="U96" s="188"/>
      <c r="V96" s="188"/>
      <c r="W96" s="185"/>
      <c r="X96" s="182"/>
      <c r="Y96" s="625"/>
      <c r="Z96" s="188"/>
      <c r="AA96" s="188"/>
      <c r="AB96" s="185"/>
      <c r="AC96" s="182"/>
      <c r="AD96" s="625"/>
      <c r="AE96" s="188"/>
      <c r="AF96" s="188"/>
      <c r="AG96" s="185"/>
      <c r="AH96" s="182"/>
      <c r="AI96" s="625"/>
      <c r="AJ96" s="188"/>
      <c r="AK96" s="188"/>
      <c r="AL96" s="185"/>
      <c r="AM96" s="182"/>
      <c r="AN96" s="625"/>
      <c r="AO96" s="188"/>
      <c r="AP96" s="188"/>
      <c r="AQ96" s="185"/>
      <c r="AR96" s="182"/>
      <c r="AS96" s="625"/>
      <c r="AT96" s="188"/>
      <c r="AU96" s="188"/>
      <c r="AV96" s="185"/>
      <c r="AW96" s="182"/>
      <c r="AX96" s="625"/>
    </row>
    <row r="97" spans="2:50" ht="14.25" customHeight="1">
      <c r="B97" s="564"/>
      <c r="C97" s="180">
        <v>11</v>
      </c>
      <c r="D97" s="183"/>
      <c r="E97" s="180"/>
      <c r="F97" s="180"/>
      <c r="G97" s="185"/>
      <c r="H97" s="625"/>
      <c r="I97" s="186"/>
      <c r="J97" s="186"/>
      <c r="K97" s="187"/>
      <c r="L97" s="626"/>
      <c r="M97" s="186"/>
      <c r="N97" s="564"/>
      <c r="O97" s="564"/>
      <c r="P97" s="188"/>
      <c r="Q97" s="188"/>
      <c r="R97" s="185"/>
      <c r="S97" s="182"/>
      <c r="T97" s="625"/>
      <c r="U97" s="188"/>
      <c r="V97" s="188"/>
      <c r="W97" s="185"/>
      <c r="X97" s="182"/>
      <c r="Y97" s="625"/>
      <c r="Z97" s="188"/>
      <c r="AA97" s="188"/>
      <c r="AB97" s="185"/>
      <c r="AC97" s="182"/>
      <c r="AD97" s="625"/>
      <c r="AE97" s="188"/>
      <c r="AF97" s="188"/>
      <c r="AG97" s="185"/>
      <c r="AH97" s="182"/>
      <c r="AI97" s="625"/>
      <c r="AJ97" s="188"/>
      <c r="AK97" s="188"/>
      <c r="AL97" s="185"/>
      <c r="AM97" s="182"/>
      <c r="AN97" s="625"/>
      <c r="AO97" s="188"/>
      <c r="AP97" s="188"/>
      <c r="AQ97" s="185"/>
      <c r="AR97" s="182"/>
      <c r="AS97" s="625"/>
      <c r="AT97" s="188"/>
      <c r="AU97" s="188"/>
      <c r="AV97" s="185"/>
      <c r="AW97" s="182"/>
      <c r="AX97" s="625"/>
    </row>
    <row r="98" spans="2:50" ht="14.25" customHeight="1">
      <c r="B98" s="564"/>
      <c r="C98" s="180">
        <v>12</v>
      </c>
      <c r="D98" s="183"/>
      <c r="E98" s="180"/>
      <c r="F98" s="180"/>
      <c r="G98" s="185"/>
      <c r="H98" s="625"/>
      <c r="I98" s="186"/>
      <c r="J98" s="186"/>
      <c r="K98" s="187"/>
      <c r="L98" s="626"/>
      <c r="M98" s="186"/>
      <c r="N98" s="564"/>
      <c r="O98" s="564"/>
      <c r="P98" s="188"/>
      <c r="Q98" s="188"/>
      <c r="R98" s="185"/>
      <c r="S98" s="182"/>
      <c r="T98" s="625"/>
      <c r="U98" s="188"/>
      <c r="V98" s="188"/>
      <c r="W98" s="185"/>
      <c r="X98" s="182"/>
      <c r="Y98" s="625"/>
      <c r="Z98" s="188"/>
      <c r="AA98" s="188"/>
      <c r="AB98" s="185"/>
      <c r="AC98" s="182"/>
      <c r="AD98" s="625"/>
      <c r="AE98" s="188"/>
      <c r="AF98" s="188"/>
      <c r="AG98" s="185"/>
      <c r="AH98" s="182"/>
      <c r="AI98" s="625"/>
      <c r="AJ98" s="188"/>
      <c r="AK98" s="188"/>
      <c r="AL98" s="185"/>
      <c r="AM98" s="182"/>
      <c r="AN98" s="625"/>
      <c r="AO98" s="188"/>
      <c r="AP98" s="188"/>
      <c r="AQ98" s="185"/>
      <c r="AR98" s="182"/>
      <c r="AS98" s="625"/>
      <c r="AT98" s="188"/>
      <c r="AU98" s="188"/>
      <c r="AV98" s="185"/>
      <c r="AW98" s="182"/>
      <c r="AX98" s="625"/>
    </row>
    <row r="99" spans="2:50" ht="14.25" customHeight="1">
      <c r="B99" s="564"/>
      <c r="C99" s="180">
        <v>13</v>
      </c>
      <c r="D99" s="183"/>
      <c r="E99" s="180"/>
      <c r="F99" s="180"/>
      <c r="G99" s="185"/>
      <c r="H99" s="625"/>
      <c r="I99" s="186"/>
      <c r="J99" s="186"/>
      <c r="K99" s="187"/>
      <c r="L99" s="626"/>
      <c r="M99" s="186"/>
      <c r="N99" s="564"/>
      <c r="O99" s="564"/>
      <c r="P99" s="188"/>
      <c r="Q99" s="188"/>
      <c r="R99" s="185"/>
      <c r="S99" s="182"/>
      <c r="T99" s="625"/>
      <c r="U99" s="188"/>
      <c r="V99" s="188"/>
      <c r="W99" s="185"/>
      <c r="X99" s="182"/>
      <c r="Y99" s="625"/>
      <c r="Z99" s="188"/>
      <c r="AA99" s="188"/>
      <c r="AB99" s="185"/>
      <c r="AC99" s="182"/>
      <c r="AD99" s="625"/>
      <c r="AE99" s="188"/>
      <c r="AF99" s="188"/>
      <c r="AG99" s="185"/>
      <c r="AH99" s="182"/>
      <c r="AI99" s="625"/>
      <c r="AJ99" s="188"/>
      <c r="AK99" s="188"/>
      <c r="AL99" s="185"/>
      <c r="AM99" s="182"/>
      <c r="AN99" s="625"/>
      <c r="AO99" s="188"/>
      <c r="AP99" s="188"/>
      <c r="AQ99" s="185"/>
      <c r="AR99" s="182"/>
      <c r="AS99" s="625"/>
      <c r="AT99" s="188"/>
      <c r="AU99" s="188"/>
      <c r="AV99" s="185"/>
      <c r="AW99" s="182"/>
      <c r="AX99" s="625"/>
    </row>
    <row r="100" spans="2:50" ht="14.25" customHeight="1">
      <c r="B100" s="564"/>
      <c r="C100" s="180">
        <v>14</v>
      </c>
      <c r="D100" s="183"/>
      <c r="E100" s="180"/>
      <c r="F100" s="180"/>
      <c r="G100" s="185"/>
      <c r="H100" s="625"/>
      <c r="I100" s="186"/>
      <c r="J100" s="186"/>
      <c r="K100" s="187"/>
      <c r="L100" s="626"/>
      <c r="M100" s="186"/>
      <c r="N100" s="564"/>
      <c r="O100" s="564"/>
      <c r="P100" s="188"/>
      <c r="Q100" s="188"/>
      <c r="R100" s="185"/>
      <c r="S100" s="182"/>
      <c r="T100" s="625"/>
      <c r="U100" s="188"/>
      <c r="V100" s="188"/>
      <c r="W100" s="185"/>
      <c r="X100" s="182"/>
      <c r="Y100" s="625"/>
      <c r="Z100" s="188"/>
      <c r="AA100" s="188"/>
      <c r="AB100" s="185"/>
      <c r="AC100" s="182"/>
      <c r="AD100" s="625"/>
      <c r="AE100" s="188"/>
      <c r="AF100" s="188"/>
      <c r="AG100" s="185"/>
      <c r="AH100" s="182"/>
      <c r="AI100" s="625"/>
      <c r="AJ100" s="188"/>
      <c r="AK100" s="188"/>
      <c r="AL100" s="185"/>
      <c r="AM100" s="182"/>
      <c r="AN100" s="625"/>
      <c r="AO100" s="188"/>
      <c r="AP100" s="188"/>
      <c r="AQ100" s="185"/>
      <c r="AR100" s="182"/>
      <c r="AS100" s="625"/>
      <c r="AT100" s="188"/>
      <c r="AU100" s="188"/>
      <c r="AV100" s="185"/>
      <c r="AW100" s="182"/>
      <c r="AX100" s="625"/>
    </row>
    <row r="101" spans="2:50" ht="14.25" customHeight="1">
      <c r="B101" s="564"/>
      <c r="C101" s="180">
        <v>15</v>
      </c>
      <c r="D101" s="183"/>
      <c r="E101" s="180"/>
      <c r="F101" s="180"/>
      <c r="G101" s="185"/>
      <c r="H101" s="625"/>
      <c r="I101" s="186"/>
      <c r="J101" s="186"/>
      <c r="K101" s="187"/>
      <c r="L101" s="626"/>
      <c r="M101" s="186"/>
      <c r="N101" s="564"/>
      <c r="O101" s="564"/>
      <c r="P101" s="188"/>
      <c r="Q101" s="188"/>
      <c r="R101" s="185"/>
      <c r="S101" s="182"/>
      <c r="T101" s="625"/>
      <c r="U101" s="188"/>
      <c r="V101" s="188"/>
      <c r="W101" s="185"/>
      <c r="X101" s="182"/>
      <c r="Y101" s="625"/>
      <c r="Z101" s="188"/>
      <c r="AA101" s="188"/>
      <c r="AB101" s="185"/>
      <c r="AC101" s="182"/>
      <c r="AD101" s="625"/>
      <c r="AE101" s="188"/>
      <c r="AF101" s="188"/>
      <c r="AG101" s="185"/>
      <c r="AH101" s="182"/>
      <c r="AI101" s="625"/>
      <c r="AJ101" s="188"/>
      <c r="AK101" s="188"/>
      <c r="AL101" s="185"/>
      <c r="AM101" s="182"/>
      <c r="AN101" s="625"/>
      <c r="AO101" s="188"/>
      <c r="AP101" s="188"/>
      <c r="AQ101" s="185"/>
      <c r="AR101" s="182"/>
      <c r="AS101" s="625"/>
      <c r="AT101" s="188"/>
      <c r="AU101" s="188"/>
      <c r="AV101" s="185"/>
      <c r="AW101" s="182"/>
      <c r="AX101" s="625"/>
    </row>
    <row r="102" spans="2:50" ht="14.25" customHeight="1" collapsed="1">
      <c r="B102" s="641" t="s">
        <v>646</v>
      </c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3"/>
      <c r="N102" s="575" t="s">
        <v>377</v>
      </c>
      <c r="O102" s="575" t="s">
        <v>105</v>
      </c>
      <c r="P102" s="655">
        <f>AT82+1</f>
        <v>46112</v>
      </c>
      <c r="Q102" s="656"/>
      <c r="R102" s="656"/>
      <c r="S102" s="656"/>
      <c r="T102" s="656"/>
      <c r="U102" s="657">
        <f>P102+1</f>
        <v>46113</v>
      </c>
      <c r="V102" s="658"/>
      <c r="W102" s="658"/>
      <c r="X102" s="658"/>
      <c r="Y102" s="658"/>
      <c r="Z102" s="655">
        <f t="shared" ref="Z102" si="119">U102+1</f>
        <v>46114</v>
      </c>
      <c r="AA102" s="656"/>
      <c r="AB102" s="656"/>
      <c r="AC102" s="656"/>
      <c r="AD102" s="656"/>
      <c r="AE102" s="657">
        <f t="shared" ref="AE102" si="120">Z102+1</f>
        <v>46115</v>
      </c>
      <c r="AF102" s="658"/>
      <c r="AG102" s="658"/>
      <c r="AH102" s="658"/>
      <c r="AI102" s="658"/>
      <c r="AJ102" s="647">
        <f t="shared" ref="AJ102" si="121">AE102+1</f>
        <v>46116</v>
      </c>
      <c r="AK102" s="648"/>
      <c r="AL102" s="648"/>
      <c r="AM102" s="648"/>
      <c r="AN102" s="649"/>
      <c r="AO102" s="657">
        <f t="shared" ref="AO102" si="122">AJ102+1</f>
        <v>46117</v>
      </c>
      <c r="AP102" s="658"/>
      <c r="AQ102" s="658"/>
      <c r="AR102" s="658"/>
      <c r="AS102" s="658"/>
      <c r="AT102" s="647">
        <f t="shared" ref="AT102" si="123">AO102+1</f>
        <v>46118</v>
      </c>
      <c r="AU102" s="648"/>
      <c r="AV102" s="648"/>
      <c r="AW102" s="648"/>
      <c r="AX102" s="649"/>
    </row>
    <row r="103" spans="2:50" ht="14.25" customHeight="1">
      <c r="B103" s="644"/>
      <c r="C103" s="644"/>
      <c r="D103" s="644"/>
      <c r="E103" s="644"/>
      <c r="F103" s="644"/>
      <c r="G103" s="644"/>
      <c r="H103" s="644"/>
      <c r="I103" s="644"/>
      <c r="J103" s="644"/>
      <c r="K103" s="644"/>
      <c r="L103" s="644"/>
      <c r="M103" s="645"/>
      <c r="N103" s="577"/>
      <c r="O103" s="577"/>
      <c r="P103" s="650">
        <f>P102</f>
        <v>46112</v>
      </c>
      <c r="Q103" s="650"/>
      <c r="R103" s="650"/>
      <c r="S103" s="650"/>
      <c r="T103" s="650"/>
      <c r="U103" s="651">
        <f>U102</f>
        <v>46113</v>
      </c>
      <c r="V103" s="651"/>
      <c r="W103" s="651"/>
      <c r="X103" s="651"/>
      <c r="Y103" s="651"/>
      <c r="Z103" s="650">
        <f t="shared" ref="Z103" si="124">Z102</f>
        <v>46114</v>
      </c>
      <c r="AA103" s="650"/>
      <c r="AB103" s="650"/>
      <c r="AC103" s="650"/>
      <c r="AD103" s="650"/>
      <c r="AE103" s="651">
        <f t="shared" ref="AE103" si="125">AE102</f>
        <v>46115</v>
      </c>
      <c r="AF103" s="651"/>
      <c r="AG103" s="651"/>
      <c r="AH103" s="651"/>
      <c r="AI103" s="651"/>
      <c r="AJ103" s="652">
        <f t="shared" ref="AJ103" si="126">AJ102</f>
        <v>46116</v>
      </c>
      <c r="AK103" s="653"/>
      <c r="AL103" s="653"/>
      <c r="AM103" s="653"/>
      <c r="AN103" s="654"/>
      <c r="AO103" s="651">
        <f t="shared" ref="AO103" si="127">AO102</f>
        <v>46117</v>
      </c>
      <c r="AP103" s="651"/>
      <c r="AQ103" s="651"/>
      <c r="AR103" s="651"/>
      <c r="AS103" s="651"/>
      <c r="AT103" s="652">
        <f t="shared" ref="AT103" si="128">AT102</f>
        <v>46118</v>
      </c>
      <c r="AU103" s="653"/>
      <c r="AV103" s="653"/>
      <c r="AW103" s="653"/>
      <c r="AX103" s="654"/>
    </row>
    <row r="104" spans="2:50" ht="14.25" customHeight="1">
      <c r="B104" s="564" t="s">
        <v>164</v>
      </c>
      <c r="C104" s="564" t="s">
        <v>159</v>
      </c>
      <c r="D104" s="564"/>
      <c r="E104" s="564" t="s">
        <v>160</v>
      </c>
      <c r="F104" s="564"/>
      <c r="G104" s="564"/>
      <c r="H104" s="564" t="s">
        <v>165</v>
      </c>
      <c r="I104" s="628" t="s">
        <v>378</v>
      </c>
      <c r="J104" s="628"/>
      <c r="K104" s="628"/>
      <c r="L104" s="628" t="s">
        <v>165</v>
      </c>
      <c r="M104" s="628" t="s">
        <v>167</v>
      </c>
      <c r="N104" s="564"/>
      <c r="O104" s="564" t="s">
        <v>166</v>
      </c>
      <c r="P104" s="564" t="s">
        <v>162</v>
      </c>
      <c r="Q104" s="564"/>
      <c r="R104" s="564"/>
      <c r="S104" s="564"/>
      <c r="T104" s="564" t="s">
        <v>165</v>
      </c>
      <c r="U104" s="564" t="s">
        <v>162</v>
      </c>
      <c r="V104" s="564"/>
      <c r="W104" s="564"/>
      <c r="X104" s="564"/>
      <c r="Y104" s="564" t="s">
        <v>165</v>
      </c>
      <c r="Z104" s="564" t="s">
        <v>162</v>
      </c>
      <c r="AA104" s="564"/>
      <c r="AB104" s="564"/>
      <c r="AC104" s="564"/>
      <c r="AD104" s="564" t="s">
        <v>165</v>
      </c>
      <c r="AE104" s="564" t="s">
        <v>162</v>
      </c>
      <c r="AF104" s="564"/>
      <c r="AG104" s="564"/>
      <c r="AH104" s="564"/>
      <c r="AI104" s="564" t="s">
        <v>165</v>
      </c>
      <c r="AJ104" s="564" t="s">
        <v>162</v>
      </c>
      <c r="AK104" s="564"/>
      <c r="AL104" s="564"/>
      <c r="AM104" s="564"/>
      <c r="AN104" s="564" t="s">
        <v>165</v>
      </c>
      <c r="AO104" s="564" t="s">
        <v>162</v>
      </c>
      <c r="AP104" s="564"/>
      <c r="AQ104" s="564"/>
      <c r="AR104" s="564"/>
      <c r="AS104" s="564" t="s">
        <v>165</v>
      </c>
      <c r="AT104" s="564" t="s">
        <v>162</v>
      </c>
      <c r="AU104" s="564"/>
      <c r="AV104" s="564"/>
      <c r="AW104" s="564"/>
      <c r="AX104" s="564" t="s">
        <v>165</v>
      </c>
    </row>
    <row r="105" spans="2:50" ht="14.25" customHeight="1">
      <c r="B105" s="564"/>
      <c r="C105" s="564"/>
      <c r="D105" s="564"/>
      <c r="E105" s="564" t="s">
        <v>379</v>
      </c>
      <c r="F105" s="564"/>
      <c r="G105" s="564"/>
      <c r="H105" s="564"/>
      <c r="I105" s="628" t="s">
        <v>379</v>
      </c>
      <c r="J105" s="628"/>
      <c r="K105" s="628"/>
      <c r="L105" s="628"/>
      <c r="M105" s="628"/>
      <c r="N105" s="564"/>
      <c r="O105" s="564"/>
      <c r="P105" s="564" t="s">
        <v>380</v>
      </c>
      <c r="Q105" s="564"/>
      <c r="R105" s="564"/>
      <c r="S105" s="564"/>
      <c r="T105" s="564"/>
      <c r="U105" s="564" t="s">
        <v>380</v>
      </c>
      <c r="V105" s="564"/>
      <c r="W105" s="564"/>
      <c r="X105" s="564"/>
      <c r="Y105" s="564"/>
      <c r="Z105" s="564" t="s">
        <v>380</v>
      </c>
      <c r="AA105" s="564"/>
      <c r="AB105" s="564"/>
      <c r="AC105" s="564"/>
      <c r="AD105" s="564"/>
      <c r="AE105" s="564" t="s">
        <v>380</v>
      </c>
      <c r="AF105" s="564"/>
      <c r="AG105" s="564"/>
      <c r="AH105" s="564"/>
      <c r="AI105" s="564"/>
      <c r="AJ105" s="564" t="s">
        <v>380</v>
      </c>
      <c r="AK105" s="564"/>
      <c r="AL105" s="564"/>
      <c r="AM105" s="564"/>
      <c r="AN105" s="564"/>
      <c r="AO105" s="564" t="s">
        <v>380</v>
      </c>
      <c r="AP105" s="564"/>
      <c r="AQ105" s="564"/>
      <c r="AR105" s="564"/>
      <c r="AS105" s="564"/>
      <c r="AT105" s="564" t="s">
        <v>380</v>
      </c>
      <c r="AU105" s="564"/>
      <c r="AV105" s="564"/>
      <c r="AW105" s="564"/>
      <c r="AX105" s="564"/>
    </row>
    <row r="106" spans="2:50" ht="14.25" customHeight="1">
      <c r="B106" s="564"/>
      <c r="C106" s="564"/>
      <c r="D106" s="564"/>
      <c r="E106" s="180" t="s">
        <v>161</v>
      </c>
      <c r="F106" s="180" t="s">
        <v>381</v>
      </c>
      <c r="G106" s="180" t="s">
        <v>163</v>
      </c>
      <c r="H106" s="564"/>
      <c r="I106" s="181" t="s">
        <v>161</v>
      </c>
      <c r="J106" s="181" t="s">
        <v>381</v>
      </c>
      <c r="K106" s="181" t="s">
        <v>163</v>
      </c>
      <c r="L106" s="628"/>
      <c r="M106" s="628"/>
      <c r="N106" s="564"/>
      <c r="O106" s="564"/>
      <c r="P106" s="180" t="s">
        <v>161</v>
      </c>
      <c r="Q106" s="180" t="s">
        <v>381</v>
      </c>
      <c r="R106" s="180" t="s">
        <v>163</v>
      </c>
      <c r="S106" s="182" t="s">
        <v>167</v>
      </c>
      <c r="T106" s="564"/>
      <c r="U106" s="180" t="s">
        <v>161</v>
      </c>
      <c r="V106" s="180" t="s">
        <v>381</v>
      </c>
      <c r="W106" s="180" t="s">
        <v>163</v>
      </c>
      <c r="X106" s="182" t="s">
        <v>167</v>
      </c>
      <c r="Y106" s="564"/>
      <c r="Z106" s="180" t="s">
        <v>161</v>
      </c>
      <c r="AA106" s="180" t="s">
        <v>381</v>
      </c>
      <c r="AB106" s="180" t="s">
        <v>163</v>
      </c>
      <c r="AC106" s="182" t="s">
        <v>167</v>
      </c>
      <c r="AD106" s="564"/>
      <c r="AE106" s="180" t="s">
        <v>161</v>
      </c>
      <c r="AF106" s="180" t="s">
        <v>381</v>
      </c>
      <c r="AG106" s="180" t="s">
        <v>163</v>
      </c>
      <c r="AH106" s="182" t="s">
        <v>167</v>
      </c>
      <c r="AI106" s="564"/>
      <c r="AJ106" s="180" t="s">
        <v>161</v>
      </c>
      <c r="AK106" s="180" t="s">
        <v>381</v>
      </c>
      <c r="AL106" s="180" t="s">
        <v>163</v>
      </c>
      <c r="AM106" s="182" t="s">
        <v>167</v>
      </c>
      <c r="AN106" s="564"/>
      <c r="AO106" s="180" t="s">
        <v>161</v>
      </c>
      <c r="AP106" s="180" t="s">
        <v>381</v>
      </c>
      <c r="AQ106" s="180" t="s">
        <v>163</v>
      </c>
      <c r="AR106" s="182" t="s">
        <v>167</v>
      </c>
      <c r="AS106" s="564"/>
      <c r="AT106" s="180" t="s">
        <v>161</v>
      </c>
      <c r="AU106" s="180" t="s">
        <v>381</v>
      </c>
      <c r="AV106" s="180" t="s">
        <v>163</v>
      </c>
      <c r="AW106" s="182" t="s">
        <v>167</v>
      </c>
      <c r="AX106" s="564"/>
    </row>
    <row r="107" spans="2:50" ht="14.25" customHeight="1">
      <c r="B107" s="564" t="s">
        <v>357</v>
      </c>
      <c r="C107" s="180">
        <v>1</v>
      </c>
      <c r="D107" s="183" t="s">
        <v>346</v>
      </c>
      <c r="E107" s="180">
        <v>24</v>
      </c>
      <c r="F107" s="180">
        <v>2000</v>
      </c>
      <c r="G107" s="185">
        <f t="shared" ref="G107:G114" si="129">F107/E107</f>
        <v>83.333333333333329</v>
      </c>
      <c r="H107" s="625">
        <f>AVERAGE(G107:G121)</f>
        <v>91.239648033126286</v>
      </c>
      <c r="I107" s="186">
        <f>AVERAGE(P107,U107,Z107,AE107,AJ107,AO107,AT107)</f>
        <v>24</v>
      </c>
      <c r="J107" s="186">
        <f>AVERAGE(Q107,V107,AA107,AF107,AK107,AP107,AU107)</f>
        <v>1785.5616371524959</v>
      </c>
      <c r="K107" s="187">
        <f>AVERAGE(R107,W107,AB107,AG107,AL107,AQ107,AV107)</f>
        <v>74.398401548020658</v>
      </c>
      <c r="L107" s="626">
        <f>IFERROR(AVERAGE(K107:K121),"-")</f>
        <v>80.926905816289917</v>
      </c>
      <c r="M107" s="186">
        <f>RANK(K107, K$107:$K$121)</f>
        <v>8</v>
      </c>
      <c r="N107" s="564"/>
      <c r="O107" s="564"/>
      <c r="P107" s="188">
        <v>24</v>
      </c>
      <c r="Q107" s="188">
        <v>1785.2952993169945</v>
      </c>
      <c r="R107" s="185">
        <f>IFERROR(Q107/P107,"")</f>
        <v>74.387304138208108</v>
      </c>
      <c r="S107" s="182">
        <f>RANK(R107, R$107:R$121)</f>
        <v>8</v>
      </c>
      <c r="T107" s="625">
        <f>AVERAGE(R107:R121)</f>
        <v>80.910463248378548</v>
      </c>
      <c r="U107" s="188">
        <v>24</v>
      </c>
      <c r="V107" s="188">
        <v>1785.4522847373339</v>
      </c>
      <c r="W107" s="185">
        <f t="shared" ref="W107:W114" si="130">IFERROR(V107/U107,"")</f>
        <v>74.393845197388913</v>
      </c>
      <c r="X107" s="182">
        <f>RANK(W107, W$107:W$121)</f>
        <v>8</v>
      </c>
      <c r="Y107" s="625">
        <f>AVERAGE(W107:W121)</f>
        <v>80.912277897667664</v>
      </c>
      <c r="Z107" s="188">
        <v>24</v>
      </c>
      <c r="AA107" s="188">
        <v>1785.6349757113126</v>
      </c>
      <c r="AB107" s="185">
        <f t="shared" ref="AB107:AB114" si="131">IFERROR(AA107/Z107,"")</f>
        <v>74.40145732130469</v>
      </c>
      <c r="AC107" s="182">
        <f>RANK(AB107, AB$107:AB$121)</f>
        <v>8</v>
      </c>
      <c r="AD107" s="625">
        <f>AVERAGE(AB107:AB121)</f>
        <v>80.920721067550318</v>
      </c>
      <c r="AE107" s="188">
        <v>24</v>
      </c>
      <c r="AF107" s="188">
        <v>1785.5852785823827</v>
      </c>
      <c r="AG107" s="185">
        <f>IFERROR(AF107/AE107,"")</f>
        <v>74.399386607599283</v>
      </c>
      <c r="AH107" s="182">
        <f>RANK(AG107, AG$107:AG$121)</f>
        <v>8</v>
      </c>
      <c r="AI107" s="625">
        <f>AVERAGE(AG107:AG121)</f>
        <v>80.92790132274061</v>
      </c>
      <c r="AJ107" s="188">
        <v>24</v>
      </c>
      <c r="AK107" s="188">
        <v>1785.5819067064554</v>
      </c>
      <c r="AL107" s="185">
        <f t="shared" ref="AL107:AL114" si="132">IFERROR(AK107/AJ107,"")</f>
        <v>74.399246112768978</v>
      </c>
      <c r="AM107" s="182">
        <f>RANK(AL107, AL$107:AL$121)</f>
        <v>8</v>
      </c>
      <c r="AN107" s="625">
        <f>AVERAGE(AL107:AL121)</f>
        <v>80.934874402526887</v>
      </c>
      <c r="AO107" s="188">
        <v>24</v>
      </c>
      <c r="AP107" s="188">
        <v>1785.6880733944952</v>
      </c>
      <c r="AQ107" s="185">
        <f t="shared" ref="AQ107:AQ114" si="133">IFERROR(AP107/AO107,"")</f>
        <v>74.403669724770637</v>
      </c>
      <c r="AR107" s="182">
        <f>RANK(AQ107, AQ$107:AQ$121)</f>
        <v>8</v>
      </c>
      <c r="AS107" s="625">
        <f>AVERAGE(AQ107:AQ121)</f>
        <v>80.937870915160943</v>
      </c>
      <c r="AT107" s="188">
        <v>24</v>
      </c>
      <c r="AU107" s="188">
        <v>1785.6936416184974</v>
      </c>
      <c r="AV107" s="185">
        <f t="shared" ref="AV107:AV114" si="134">IFERROR(AU107/AT107,"")</f>
        <v>74.403901734104053</v>
      </c>
      <c r="AW107" s="182">
        <f>RANK(AV107, AV$107:AV$121)</f>
        <v>8</v>
      </c>
      <c r="AX107" s="625">
        <f>AVERAGE(AV107:AV121)</f>
        <v>80.944231860004493</v>
      </c>
    </row>
    <row r="108" spans="2:50" ht="14.25" customHeight="1">
      <c r="B108" s="564"/>
      <c r="C108" s="180">
        <v>2</v>
      </c>
      <c r="D108" s="183" t="s">
        <v>345</v>
      </c>
      <c r="E108" s="180">
        <v>23</v>
      </c>
      <c r="F108" s="180">
        <v>2000</v>
      </c>
      <c r="G108" s="185">
        <f t="shared" si="129"/>
        <v>86.956521739130437</v>
      </c>
      <c r="H108" s="625"/>
      <c r="I108" s="186">
        <f t="shared" ref="I108:K114" si="135">AVERAGE(P108,U108,Z108,AE108,AJ108,AO108,AT108)</f>
        <v>23</v>
      </c>
      <c r="J108" s="186">
        <f t="shared" si="135"/>
        <v>1787.7124237029086</v>
      </c>
      <c r="K108" s="187">
        <f t="shared" si="135"/>
        <v>77.726627117517751</v>
      </c>
      <c r="L108" s="626"/>
      <c r="M108" s="186">
        <f>RANK(K108, K$107:$K$121)</f>
        <v>5</v>
      </c>
      <c r="N108" s="564"/>
      <c r="O108" s="564"/>
      <c r="P108" s="188">
        <v>23</v>
      </c>
      <c r="Q108" s="188">
        <v>1787.2899926953985</v>
      </c>
      <c r="R108" s="185">
        <f t="shared" ref="R108:R114" si="136">IFERROR(Q108/P108,"")</f>
        <v>77.708260551973851</v>
      </c>
      <c r="S108" s="182">
        <f t="shared" ref="S108:S114" si="137">RANK(R108, R$107:R$121)</f>
        <v>5</v>
      </c>
      <c r="T108" s="625"/>
      <c r="U108" s="188">
        <v>23</v>
      </c>
      <c r="V108" s="188">
        <v>1787.2967167842908</v>
      </c>
      <c r="W108" s="185">
        <f t="shared" si="130"/>
        <v>77.70855290366481</v>
      </c>
      <c r="X108" s="182">
        <f t="shared" ref="X108:X114" si="138">RANK(W108, W$107:W$121)</f>
        <v>5</v>
      </c>
      <c r="Y108" s="625"/>
      <c r="Z108" s="188">
        <v>23</v>
      </c>
      <c r="AA108" s="188">
        <v>1787.6712328767107</v>
      </c>
      <c r="AB108" s="185">
        <f t="shared" si="131"/>
        <v>77.724836212030908</v>
      </c>
      <c r="AC108" s="182">
        <f t="shared" ref="AC108:AC114" si="139">RANK(AB108, AB$107:AB$121)</f>
        <v>5</v>
      </c>
      <c r="AD108" s="625"/>
      <c r="AE108" s="188">
        <v>23</v>
      </c>
      <c r="AF108" s="188">
        <v>1787.8414096916326</v>
      </c>
      <c r="AG108" s="185">
        <f t="shared" ref="AG108:AG114" si="140">IFERROR(AF108/AE108,"")</f>
        <v>77.732235203984033</v>
      </c>
      <c r="AH108" s="182">
        <f t="shared" ref="AH108:AH114" si="141">RANK(AG108, AG$107:AG$121)</f>
        <v>6</v>
      </c>
      <c r="AI108" s="625"/>
      <c r="AJ108" s="188">
        <v>23</v>
      </c>
      <c r="AK108" s="188">
        <v>1787.7171215880901</v>
      </c>
      <c r="AL108" s="185">
        <f t="shared" si="132"/>
        <v>77.726831373395228</v>
      </c>
      <c r="AM108" s="182">
        <f t="shared" ref="AM108:AM114" si="142">RANK(AL108, AL$107:AL$121)</f>
        <v>6</v>
      </c>
      <c r="AN108" s="625"/>
      <c r="AO108" s="188">
        <v>23</v>
      </c>
      <c r="AP108" s="188">
        <v>1787.9970363052594</v>
      </c>
      <c r="AQ108" s="185">
        <f t="shared" si="133"/>
        <v>77.739001578489535</v>
      </c>
      <c r="AR108" s="182">
        <f t="shared" ref="AR108:AR114" si="143">RANK(AQ108, AQ$107:AQ$121)</f>
        <v>5</v>
      </c>
      <c r="AS108" s="625"/>
      <c r="AT108" s="188">
        <v>23</v>
      </c>
      <c r="AU108" s="188">
        <v>1788.1734559789772</v>
      </c>
      <c r="AV108" s="185">
        <f t="shared" si="134"/>
        <v>77.746671999085962</v>
      </c>
      <c r="AW108" s="182">
        <f t="shared" ref="AW108:AW114" si="144">RANK(AV108, AV$107:AV$121)</f>
        <v>5</v>
      </c>
      <c r="AX108" s="625"/>
    </row>
    <row r="109" spans="2:50" ht="14.25" customHeight="1">
      <c r="B109" s="564"/>
      <c r="C109" s="180">
        <v>3</v>
      </c>
      <c r="D109" s="183" t="s">
        <v>358</v>
      </c>
      <c r="E109" s="180">
        <v>23</v>
      </c>
      <c r="F109" s="180">
        <v>2000</v>
      </c>
      <c r="G109" s="185">
        <f t="shared" si="129"/>
        <v>86.956521739130437</v>
      </c>
      <c r="H109" s="625"/>
      <c r="I109" s="186">
        <f t="shared" si="135"/>
        <v>23</v>
      </c>
      <c r="J109" s="186">
        <f t="shared" si="135"/>
        <v>1787.6415234531344</v>
      </c>
      <c r="K109" s="187">
        <f t="shared" si="135"/>
        <v>77.723544497962379</v>
      </c>
      <c r="L109" s="626"/>
      <c r="M109" s="186">
        <f>RANK(K109, K$107:$K$121)</f>
        <v>6</v>
      </c>
      <c r="N109" s="564"/>
      <c r="O109" s="564"/>
      <c r="P109" s="188">
        <v>23</v>
      </c>
      <c r="Q109" s="188">
        <v>1787.0658682634776</v>
      </c>
      <c r="R109" s="185">
        <f t="shared" si="136"/>
        <v>77.698516011455553</v>
      </c>
      <c r="S109" s="182">
        <f t="shared" si="137"/>
        <v>6</v>
      </c>
      <c r="T109" s="625"/>
      <c r="U109" s="188">
        <v>23</v>
      </c>
      <c r="V109" s="188">
        <v>1787.2138910812969</v>
      </c>
      <c r="W109" s="185">
        <f t="shared" si="130"/>
        <v>77.70495178614334</v>
      </c>
      <c r="X109" s="182">
        <f t="shared" si="138"/>
        <v>6</v>
      </c>
      <c r="Y109" s="625"/>
      <c r="Z109" s="188">
        <v>23</v>
      </c>
      <c r="AA109" s="188">
        <v>1787.517337031906</v>
      </c>
      <c r="AB109" s="185">
        <f t="shared" si="131"/>
        <v>77.718145088343732</v>
      </c>
      <c r="AC109" s="182">
        <f t="shared" si="139"/>
        <v>6</v>
      </c>
      <c r="AD109" s="625"/>
      <c r="AE109" s="188">
        <v>23</v>
      </c>
      <c r="AF109" s="188">
        <v>1788.0294014700721</v>
      </c>
      <c r="AG109" s="185">
        <f t="shared" si="140"/>
        <v>77.740408759568354</v>
      </c>
      <c r="AH109" s="182">
        <f t="shared" si="141"/>
        <v>5</v>
      </c>
      <c r="AI109" s="625"/>
      <c r="AJ109" s="188">
        <v>23</v>
      </c>
      <c r="AK109" s="188">
        <v>1787.9194630872503</v>
      </c>
      <c r="AL109" s="185">
        <f t="shared" si="132"/>
        <v>77.73562882988044</v>
      </c>
      <c r="AM109" s="182">
        <f t="shared" si="142"/>
        <v>5</v>
      </c>
      <c r="AN109" s="625"/>
      <c r="AO109" s="188">
        <v>23</v>
      </c>
      <c r="AP109" s="188">
        <v>1787.724736515813</v>
      </c>
      <c r="AQ109" s="185">
        <f t="shared" si="133"/>
        <v>77.727162457209261</v>
      </c>
      <c r="AR109" s="182">
        <f t="shared" si="143"/>
        <v>6</v>
      </c>
      <c r="AS109" s="625"/>
      <c r="AT109" s="188">
        <v>23</v>
      </c>
      <c r="AU109" s="188">
        <v>1788.0199667221261</v>
      </c>
      <c r="AV109" s="185">
        <f t="shared" si="134"/>
        <v>77.739998553135919</v>
      </c>
      <c r="AW109" s="182">
        <f t="shared" si="144"/>
        <v>6</v>
      </c>
      <c r="AX109" s="625"/>
    </row>
    <row r="110" spans="2:50" ht="14.25" customHeight="1">
      <c r="B110" s="564"/>
      <c r="C110" s="180">
        <v>4</v>
      </c>
      <c r="D110" s="183" t="s">
        <v>347</v>
      </c>
      <c r="E110" s="180">
        <v>23</v>
      </c>
      <c r="F110" s="180">
        <v>2000</v>
      </c>
      <c r="G110" s="185">
        <f t="shared" si="129"/>
        <v>86.956521739130437</v>
      </c>
      <c r="H110" s="625"/>
      <c r="I110" s="186">
        <f t="shared" si="135"/>
        <v>23</v>
      </c>
      <c r="J110" s="186">
        <f t="shared" si="135"/>
        <v>1789.618373605475</v>
      </c>
      <c r="K110" s="187">
        <f t="shared" si="135"/>
        <v>77.809494504585857</v>
      </c>
      <c r="L110" s="626"/>
      <c r="M110" s="186">
        <f>RANK(K110, K$107:$K$121)</f>
        <v>4</v>
      </c>
      <c r="N110" s="564"/>
      <c r="O110" s="564"/>
      <c r="P110" s="188">
        <v>23</v>
      </c>
      <c r="Q110" s="188">
        <v>1789.0851568679168</v>
      </c>
      <c r="R110" s="185">
        <f t="shared" si="136"/>
        <v>77.7863111681703</v>
      </c>
      <c r="S110" s="182">
        <f t="shared" si="137"/>
        <v>4</v>
      </c>
      <c r="T110" s="625"/>
      <c r="U110" s="188">
        <v>23</v>
      </c>
      <c r="V110" s="188">
        <v>1789.3491124260347</v>
      </c>
      <c r="W110" s="185">
        <f t="shared" si="130"/>
        <v>77.797787496784125</v>
      </c>
      <c r="X110" s="182">
        <f t="shared" si="138"/>
        <v>4</v>
      </c>
      <c r="Y110" s="625"/>
      <c r="Z110" s="188">
        <v>23</v>
      </c>
      <c r="AA110" s="188">
        <v>1789.2899642998827</v>
      </c>
      <c r="AB110" s="185">
        <f t="shared" si="131"/>
        <v>77.795215839125333</v>
      </c>
      <c r="AC110" s="182">
        <f t="shared" si="139"/>
        <v>4</v>
      </c>
      <c r="AD110" s="625"/>
      <c r="AE110" s="188">
        <v>23</v>
      </c>
      <c r="AF110" s="188">
        <v>1789.7761443367851</v>
      </c>
      <c r="AG110" s="185">
        <f t="shared" si="140"/>
        <v>77.816354101599359</v>
      </c>
      <c r="AH110" s="182">
        <f t="shared" si="141"/>
        <v>4</v>
      </c>
      <c r="AI110" s="625"/>
      <c r="AJ110" s="188">
        <v>23</v>
      </c>
      <c r="AK110" s="188">
        <v>1789.9441340782123</v>
      </c>
      <c r="AL110" s="185">
        <f t="shared" si="132"/>
        <v>77.823658003400539</v>
      </c>
      <c r="AM110" s="182">
        <f t="shared" si="142"/>
        <v>4</v>
      </c>
      <c r="AN110" s="625"/>
      <c r="AO110" s="188">
        <v>23</v>
      </c>
      <c r="AP110" s="188">
        <v>1789.9497487437168</v>
      </c>
      <c r="AQ110" s="185">
        <f t="shared" si="133"/>
        <v>77.823902119292029</v>
      </c>
      <c r="AR110" s="182">
        <f t="shared" si="143"/>
        <v>4</v>
      </c>
      <c r="AS110" s="625"/>
      <c r="AT110" s="188">
        <v>23</v>
      </c>
      <c r="AU110" s="188">
        <v>1789.9343544857766</v>
      </c>
      <c r="AV110" s="185">
        <f t="shared" si="134"/>
        <v>77.823232803729411</v>
      </c>
      <c r="AW110" s="182">
        <f t="shared" si="144"/>
        <v>4</v>
      </c>
      <c r="AX110" s="625"/>
    </row>
    <row r="111" spans="2:50" ht="14.25" customHeight="1">
      <c r="B111" s="564"/>
      <c r="C111" s="180">
        <v>5</v>
      </c>
      <c r="D111" s="183" t="s">
        <v>511</v>
      </c>
      <c r="E111" s="180">
        <v>19</v>
      </c>
      <c r="F111" s="180">
        <v>1800</v>
      </c>
      <c r="G111" s="185">
        <f t="shared" si="129"/>
        <v>94.736842105263165</v>
      </c>
      <c r="H111" s="625"/>
      <c r="I111" s="186">
        <f t="shared" si="135"/>
        <v>19</v>
      </c>
      <c r="J111" s="186">
        <f t="shared" si="135"/>
        <v>1606.138385538095</v>
      </c>
      <c r="K111" s="187">
        <f t="shared" si="135"/>
        <v>84.533599238847117</v>
      </c>
      <c r="L111" s="626"/>
      <c r="M111" s="186">
        <f>RANK(K111, K$107:$K$121)</f>
        <v>3</v>
      </c>
      <c r="N111" s="564"/>
      <c r="O111" s="564"/>
      <c r="P111" s="188">
        <v>19</v>
      </c>
      <c r="Q111" s="188">
        <v>1605.9843590615458</v>
      </c>
      <c r="R111" s="185">
        <f t="shared" si="136"/>
        <v>84.525492582186615</v>
      </c>
      <c r="S111" s="182">
        <f t="shared" si="137"/>
        <v>3</v>
      </c>
      <c r="T111" s="625"/>
      <c r="U111" s="188">
        <v>19</v>
      </c>
      <c r="V111" s="188">
        <v>1605.8950395398992</v>
      </c>
      <c r="W111" s="185">
        <f t="shared" si="130"/>
        <v>84.520791554731545</v>
      </c>
      <c r="X111" s="182">
        <f t="shared" si="138"/>
        <v>3</v>
      </c>
      <c r="Y111" s="625"/>
      <c r="Z111" s="188">
        <v>19</v>
      </c>
      <c r="AA111" s="188">
        <v>1605.8893752487047</v>
      </c>
      <c r="AB111" s="185">
        <f t="shared" si="131"/>
        <v>84.520493434142352</v>
      </c>
      <c r="AC111" s="182">
        <f t="shared" si="139"/>
        <v>3</v>
      </c>
      <c r="AD111" s="625"/>
      <c r="AE111" s="188">
        <v>19</v>
      </c>
      <c r="AF111" s="188">
        <v>1606.2500000000005</v>
      </c>
      <c r="AG111" s="185">
        <f t="shared" si="140"/>
        <v>84.539473684210549</v>
      </c>
      <c r="AH111" s="182">
        <f t="shared" si="141"/>
        <v>3</v>
      </c>
      <c r="AI111" s="625"/>
      <c r="AJ111" s="188">
        <v>19</v>
      </c>
      <c r="AK111" s="188">
        <v>1606.1331338818236</v>
      </c>
      <c r="AL111" s="185">
        <f t="shared" si="132"/>
        <v>84.533322835885457</v>
      </c>
      <c r="AM111" s="182">
        <f t="shared" si="142"/>
        <v>3</v>
      </c>
      <c r="AN111" s="625"/>
      <c r="AO111" s="188">
        <v>19</v>
      </c>
      <c r="AP111" s="188">
        <v>1606.0240963855385</v>
      </c>
      <c r="AQ111" s="185">
        <f t="shared" si="133"/>
        <v>84.527584020291499</v>
      </c>
      <c r="AR111" s="182">
        <f t="shared" si="143"/>
        <v>3</v>
      </c>
      <c r="AS111" s="625"/>
      <c r="AT111" s="188">
        <v>19</v>
      </c>
      <c r="AU111" s="188">
        <v>1606.7926946491532</v>
      </c>
      <c r="AV111" s="185">
        <f t="shared" si="134"/>
        <v>84.568036560481744</v>
      </c>
      <c r="AW111" s="182">
        <f t="shared" si="144"/>
        <v>3</v>
      </c>
      <c r="AX111" s="625"/>
    </row>
    <row r="112" spans="2:50" ht="14.25" customHeight="1">
      <c r="B112" s="564"/>
      <c r="C112" s="180">
        <v>6</v>
      </c>
      <c r="D112" s="183" t="s">
        <v>486</v>
      </c>
      <c r="E112" s="180">
        <v>19</v>
      </c>
      <c r="F112" s="180">
        <v>2000</v>
      </c>
      <c r="G112" s="185">
        <f t="shared" si="129"/>
        <v>105.26315789473684</v>
      </c>
      <c r="H112" s="625"/>
      <c r="I112" s="186">
        <f t="shared" si="135"/>
        <v>20</v>
      </c>
      <c r="J112" s="186">
        <f t="shared" si="135"/>
        <v>1787.6833225479334</v>
      </c>
      <c r="K112" s="187">
        <f t="shared" si="135"/>
        <v>89.384166127396682</v>
      </c>
      <c r="L112" s="626"/>
      <c r="M112" s="186">
        <f>RANK(K112, K$107:$K$121)</f>
        <v>1</v>
      </c>
      <c r="N112" s="564"/>
      <c r="O112" s="564"/>
      <c r="P112" s="188">
        <v>20</v>
      </c>
      <c r="Q112" s="188">
        <v>1787.3684210526301</v>
      </c>
      <c r="R112" s="185">
        <f t="shared" si="136"/>
        <v>89.368421052631504</v>
      </c>
      <c r="S112" s="182">
        <f t="shared" si="137"/>
        <v>1</v>
      </c>
      <c r="T112" s="625"/>
      <c r="U112" s="188">
        <v>20</v>
      </c>
      <c r="V112" s="188">
        <v>1787.0216306156465</v>
      </c>
      <c r="W112" s="185">
        <f t="shared" si="130"/>
        <v>89.351081530782324</v>
      </c>
      <c r="X112" s="182">
        <f t="shared" si="138"/>
        <v>1</v>
      </c>
      <c r="Y112" s="625"/>
      <c r="Z112" s="188">
        <v>20</v>
      </c>
      <c r="AA112" s="188">
        <v>1787.8706199460971</v>
      </c>
      <c r="AB112" s="185">
        <f t="shared" si="131"/>
        <v>89.39353099730485</v>
      </c>
      <c r="AC112" s="182">
        <f t="shared" si="139"/>
        <v>1</v>
      </c>
      <c r="AD112" s="625"/>
      <c r="AE112" s="188">
        <v>20</v>
      </c>
      <c r="AF112" s="188">
        <v>1787.5200000000041</v>
      </c>
      <c r="AG112" s="185">
        <f t="shared" si="140"/>
        <v>89.376000000000204</v>
      </c>
      <c r="AH112" s="182">
        <f t="shared" si="141"/>
        <v>1</v>
      </c>
      <c r="AI112" s="625"/>
      <c r="AJ112" s="188">
        <v>20</v>
      </c>
      <c r="AK112" s="188">
        <v>1787.9194630872548</v>
      </c>
      <c r="AL112" s="185">
        <f t="shared" si="132"/>
        <v>89.395973154362736</v>
      </c>
      <c r="AM112" s="182">
        <f t="shared" si="142"/>
        <v>1</v>
      </c>
      <c r="AN112" s="625"/>
      <c r="AO112" s="188">
        <v>20</v>
      </c>
      <c r="AP112" s="188">
        <v>1788.1941407958027</v>
      </c>
      <c r="AQ112" s="185">
        <f t="shared" si="133"/>
        <v>89.409707039790135</v>
      </c>
      <c r="AR112" s="182">
        <f t="shared" si="143"/>
        <v>1</v>
      </c>
      <c r="AS112" s="625"/>
      <c r="AT112" s="188">
        <v>20</v>
      </c>
      <c r="AU112" s="188">
        <v>1787.8889823380987</v>
      </c>
      <c r="AV112" s="185">
        <f t="shared" si="134"/>
        <v>89.394449116904937</v>
      </c>
      <c r="AW112" s="182">
        <f t="shared" si="144"/>
        <v>1</v>
      </c>
      <c r="AX112" s="625"/>
    </row>
    <row r="113" spans="2:50" ht="14.25" customHeight="1">
      <c r="B113" s="564"/>
      <c r="C113" s="180">
        <v>7</v>
      </c>
      <c r="D113" s="183" t="s">
        <v>610</v>
      </c>
      <c r="E113" s="180">
        <v>21</v>
      </c>
      <c r="F113" s="180">
        <v>1800</v>
      </c>
      <c r="G113" s="185">
        <f t="shared" si="129"/>
        <v>85.714285714285708</v>
      </c>
      <c r="H113" s="625"/>
      <c r="I113" s="186">
        <f t="shared" si="135"/>
        <v>21</v>
      </c>
      <c r="J113" s="186">
        <f t="shared" si="135"/>
        <v>1606.6644565081072</v>
      </c>
      <c r="K113" s="187">
        <f t="shared" si="135"/>
        <v>76.507831262290807</v>
      </c>
      <c r="L113" s="626"/>
      <c r="M113" s="186">
        <f>RANK(K113, K$107:$K$121)</f>
        <v>7</v>
      </c>
      <c r="N113" s="564"/>
      <c r="O113" s="564"/>
      <c r="P113" s="188">
        <v>21</v>
      </c>
      <c r="Q113" s="188">
        <v>1606.4361956348575</v>
      </c>
      <c r="R113" s="185">
        <f t="shared" si="136"/>
        <v>76.496961696897984</v>
      </c>
      <c r="S113" s="182">
        <f t="shared" si="137"/>
        <v>7</v>
      </c>
      <c r="T113" s="625"/>
      <c r="U113" s="188">
        <v>21</v>
      </c>
      <c r="V113" s="188">
        <v>1606.5173116089611</v>
      </c>
      <c r="W113" s="185">
        <f t="shared" si="130"/>
        <v>76.500824362331485</v>
      </c>
      <c r="X113" s="182">
        <f t="shared" si="138"/>
        <v>7</v>
      </c>
      <c r="Y113" s="625"/>
      <c r="Z113" s="188">
        <v>21</v>
      </c>
      <c r="AA113" s="188">
        <v>1606.6336633663359</v>
      </c>
      <c r="AB113" s="185">
        <f t="shared" si="131"/>
        <v>76.506364922206473</v>
      </c>
      <c r="AC113" s="182">
        <f t="shared" si="139"/>
        <v>7</v>
      </c>
      <c r="AD113" s="625"/>
      <c r="AE113" s="188">
        <v>21</v>
      </c>
      <c r="AF113" s="188">
        <v>1606.7929457870644</v>
      </c>
      <c r="AG113" s="185">
        <f t="shared" si="140"/>
        <v>76.513949799384022</v>
      </c>
      <c r="AH113" s="182">
        <f t="shared" si="141"/>
        <v>7</v>
      </c>
      <c r="AI113" s="625"/>
      <c r="AJ113" s="188">
        <v>21</v>
      </c>
      <c r="AK113" s="188">
        <v>1606.7383803531563</v>
      </c>
      <c r="AL113" s="185">
        <f t="shared" si="132"/>
        <v>76.511351445388399</v>
      </c>
      <c r="AM113" s="182">
        <f t="shared" si="142"/>
        <v>7</v>
      </c>
      <c r="AN113" s="625"/>
      <c r="AO113" s="188">
        <v>21</v>
      </c>
      <c r="AP113" s="188">
        <v>1606.7047338368029</v>
      </c>
      <c r="AQ113" s="185">
        <f t="shared" si="133"/>
        <v>76.509749230323948</v>
      </c>
      <c r="AR113" s="182">
        <f t="shared" si="143"/>
        <v>7</v>
      </c>
      <c r="AS113" s="625"/>
      <c r="AT113" s="188">
        <v>21</v>
      </c>
      <c r="AU113" s="188">
        <v>1606.8279649695705</v>
      </c>
      <c r="AV113" s="185">
        <f t="shared" si="134"/>
        <v>76.515617379503354</v>
      </c>
      <c r="AW113" s="182">
        <f t="shared" si="144"/>
        <v>7</v>
      </c>
      <c r="AX113" s="625"/>
    </row>
    <row r="114" spans="2:50" ht="14.25" customHeight="1">
      <c r="B114" s="564"/>
      <c r="C114" s="180">
        <v>8</v>
      </c>
      <c r="D114" s="183" t="s">
        <v>611</v>
      </c>
      <c r="E114" s="180">
        <v>20</v>
      </c>
      <c r="F114" s="180">
        <v>2000</v>
      </c>
      <c r="G114" s="185">
        <f t="shared" si="129"/>
        <v>100</v>
      </c>
      <c r="H114" s="625"/>
      <c r="I114" s="186">
        <f t="shared" si="135"/>
        <v>20</v>
      </c>
      <c r="J114" s="186">
        <f t="shared" si="135"/>
        <v>1786.6316446739627</v>
      </c>
      <c r="K114" s="187">
        <f t="shared" si="135"/>
        <v>89.331582233698143</v>
      </c>
      <c r="L114" s="626"/>
      <c r="M114" s="186">
        <f>RANK(K114, K$107:$K$121)</f>
        <v>2</v>
      </c>
      <c r="N114" s="564"/>
      <c r="O114" s="564"/>
      <c r="P114" s="188">
        <v>20</v>
      </c>
      <c r="Q114" s="188">
        <v>1786.2487757100898</v>
      </c>
      <c r="R114" s="185">
        <f t="shared" si="136"/>
        <v>89.312438785504497</v>
      </c>
      <c r="S114" s="182">
        <f t="shared" si="137"/>
        <v>2</v>
      </c>
      <c r="T114" s="625"/>
      <c r="U114" s="188">
        <v>20</v>
      </c>
      <c r="V114" s="188">
        <v>1786.4077669902954</v>
      </c>
      <c r="W114" s="185">
        <f t="shared" si="130"/>
        <v>89.320388349514772</v>
      </c>
      <c r="X114" s="182">
        <f t="shared" si="138"/>
        <v>2</v>
      </c>
      <c r="Y114" s="625"/>
      <c r="Z114" s="188">
        <v>20</v>
      </c>
      <c r="AA114" s="188">
        <v>1786.1144945188855</v>
      </c>
      <c r="AB114" s="185">
        <f t="shared" si="131"/>
        <v>89.305724725944273</v>
      </c>
      <c r="AC114" s="182">
        <f t="shared" si="139"/>
        <v>2</v>
      </c>
      <c r="AD114" s="625"/>
      <c r="AE114" s="188">
        <v>20</v>
      </c>
      <c r="AF114" s="188">
        <v>1786.1080485115808</v>
      </c>
      <c r="AG114" s="185">
        <f t="shared" si="140"/>
        <v>89.305402425579047</v>
      </c>
      <c r="AH114" s="182">
        <f t="shared" si="141"/>
        <v>2</v>
      </c>
      <c r="AI114" s="625"/>
      <c r="AJ114" s="188">
        <v>20</v>
      </c>
      <c r="AK114" s="188">
        <v>1787.0596693026664</v>
      </c>
      <c r="AL114" s="185">
        <f t="shared" si="132"/>
        <v>89.35298346513332</v>
      </c>
      <c r="AM114" s="182">
        <f t="shared" si="142"/>
        <v>2</v>
      </c>
      <c r="AN114" s="625"/>
      <c r="AO114" s="188">
        <v>20</v>
      </c>
      <c r="AP114" s="188">
        <v>1787.2438230224104</v>
      </c>
      <c r="AQ114" s="185">
        <f t="shared" si="133"/>
        <v>89.362191151120527</v>
      </c>
      <c r="AR114" s="182">
        <f t="shared" si="143"/>
        <v>2</v>
      </c>
      <c r="AS114" s="625"/>
      <c r="AT114" s="188">
        <v>20</v>
      </c>
      <c r="AU114" s="188">
        <v>1787.2389346618115</v>
      </c>
      <c r="AV114" s="185">
        <f t="shared" si="134"/>
        <v>89.361946733090576</v>
      </c>
      <c r="AW114" s="182">
        <f t="shared" si="144"/>
        <v>2</v>
      </c>
      <c r="AX114" s="625"/>
    </row>
    <row r="115" spans="2:50" ht="14.25" customHeight="1">
      <c r="B115" s="564"/>
      <c r="C115" s="180">
        <v>9</v>
      </c>
      <c r="D115" s="183"/>
      <c r="E115" s="180"/>
      <c r="F115" s="180"/>
      <c r="G115" s="185"/>
      <c r="H115" s="625"/>
      <c r="I115" s="186"/>
      <c r="J115" s="186"/>
      <c r="K115" s="187"/>
      <c r="L115" s="626"/>
      <c r="M115" s="186"/>
      <c r="N115" s="564"/>
      <c r="O115" s="564"/>
      <c r="P115" s="188"/>
      <c r="Q115" s="188"/>
      <c r="R115" s="185"/>
      <c r="S115" s="182"/>
      <c r="T115" s="625"/>
      <c r="U115" s="188"/>
      <c r="V115" s="188"/>
      <c r="W115" s="185"/>
      <c r="X115" s="182"/>
      <c r="Y115" s="625"/>
      <c r="Z115" s="188"/>
      <c r="AA115" s="188"/>
      <c r="AB115" s="185"/>
      <c r="AC115" s="182"/>
      <c r="AD115" s="625"/>
      <c r="AE115" s="188"/>
      <c r="AF115" s="188"/>
      <c r="AG115" s="185"/>
      <c r="AH115" s="182"/>
      <c r="AI115" s="625"/>
      <c r="AJ115" s="188"/>
      <c r="AK115" s="188"/>
      <c r="AL115" s="185"/>
      <c r="AM115" s="182"/>
      <c r="AN115" s="625"/>
      <c r="AO115" s="188"/>
      <c r="AP115" s="188"/>
      <c r="AQ115" s="185"/>
      <c r="AR115" s="182"/>
      <c r="AS115" s="625"/>
      <c r="AT115" s="188"/>
      <c r="AU115" s="188"/>
      <c r="AV115" s="185"/>
      <c r="AW115" s="182"/>
      <c r="AX115" s="625"/>
    </row>
    <row r="116" spans="2:50" ht="14.25" customHeight="1">
      <c r="B116" s="564"/>
      <c r="C116" s="180">
        <v>10</v>
      </c>
      <c r="D116" s="183"/>
      <c r="E116" s="180"/>
      <c r="F116" s="180"/>
      <c r="G116" s="185"/>
      <c r="H116" s="625"/>
      <c r="I116" s="186"/>
      <c r="J116" s="186"/>
      <c r="K116" s="187"/>
      <c r="L116" s="626"/>
      <c r="M116" s="186"/>
      <c r="N116" s="564"/>
      <c r="O116" s="564"/>
      <c r="P116" s="188"/>
      <c r="Q116" s="188"/>
      <c r="R116" s="185"/>
      <c r="S116" s="182"/>
      <c r="T116" s="625"/>
      <c r="U116" s="188"/>
      <c r="V116" s="188"/>
      <c r="W116" s="185"/>
      <c r="X116" s="182"/>
      <c r="Y116" s="625"/>
      <c r="Z116" s="188"/>
      <c r="AA116" s="188"/>
      <c r="AB116" s="185"/>
      <c r="AC116" s="182"/>
      <c r="AD116" s="625"/>
      <c r="AE116" s="188"/>
      <c r="AF116" s="188"/>
      <c r="AG116" s="185"/>
      <c r="AH116" s="182"/>
      <c r="AI116" s="625"/>
      <c r="AJ116" s="188"/>
      <c r="AK116" s="188"/>
      <c r="AL116" s="185"/>
      <c r="AM116" s="182"/>
      <c r="AN116" s="625"/>
      <c r="AO116" s="188"/>
      <c r="AP116" s="188"/>
      <c r="AQ116" s="185"/>
      <c r="AR116" s="182"/>
      <c r="AS116" s="625"/>
      <c r="AT116" s="188"/>
      <c r="AU116" s="188"/>
      <c r="AV116" s="185"/>
      <c r="AW116" s="182"/>
      <c r="AX116" s="625"/>
    </row>
    <row r="117" spans="2:50" ht="14.25" customHeight="1">
      <c r="B117" s="564"/>
      <c r="C117" s="180">
        <v>11</v>
      </c>
      <c r="D117" s="183"/>
      <c r="E117" s="180"/>
      <c r="F117" s="180"/>
      <c r="G117" s="185"/>
      <c r="H117" s="625"/>
      <c r="I117" s="186"/>
      <c r="J117" s="186"/>
      <c r="K117" s="187"/>
      <c r="L117" s="626"/>
      <c r="M117" s="186"/>
      <c r="N117" s="564"/>
      <c r="O117" s="564"/>
      <c r="P117" s="188"/>
      <c r="Q117" s="188"/>
      <c r="R117" s="185"/>
      <c r="S117" s="182"/>
      <c r="T117" s="625"/>
      <c r="U117" s="188"/>
      <c r="V117" s="188"/>
      <c r="W117" s="185"/>
      <c r="X117" s="182"/>
      <c r="Y117" s="625"/>
      <c r="Z117" s="188"/>
      <c r="AA117" s="188"/>
      <c r="AB117" s="185"/>
      <c r="AC117" s="182"/>
      <c r="AD117" s="625"/>
      <c r="AE117" s="188"/>
      <c r="AF117" s="188"/>
      <c r="AG117" s="185"/>
      <c r="AH117" s="182"/>
      <c r="AI117" s="625"/>
      <c r="AJ117" s="188"/>
      <c r="AK117" s="188"/>
      <c r="AL117" s="185"/>
      <c r="AM117" s="182"/>
      <c r="AN117" s="625"/>
      <c r="AO117" s="188"/>
      <c r="AP117" s="188"/>
      <c r="AQ117" s="185"/>
      <c r="AR117" s="182"/>
      <c r="AS117" s="625"/>
      <c r="AT117" s="188"/>
      <c r="AU117" s="188"/>
      <c r="AV117" s="185"/>
      <c r="AW117" s="182"/>
      <c r="AX117" s="625"/>
    </row>
    <row r="118" spans="2:50" ht="14.25" customHeight="1">
      <c r="B118" s="564"/>
      <c r="C118" s="180">
        <v>12</v>
      </c>
      <c r="D118" s="183"/>
      <c r="E118" s="180"/>
      <c r="F118" s="180"/>
      <c r="G118" s="185"/>
      <c r="H118" s="625"/>
      <c r="I118" s="186"/>
      <c r="J118" s="186"/>
      <c r="K118" s="187"/>
      <c r="L118" s="626"/>
      <c r="M118" s="186"/>
      <c r="N118" s="564"/>
      <c r="O118" s="564"/>
      <c r="P118" s="188"/>
      <c r="Q118" s="188"/>
      <c r="R118" s="185"/>
      <c r="S118" s="182"/>
      <c r="T118" s="625"/>
      <c r="U118" s="188"/>
      <c r="V118" s="188"/>
      <c r="W118" s="185"/>
      <c r="X118" s="182"/>
      <c r="Y118" s="625"/>
      <c r="Z118" s="188"/>
      <c r="AA118" s="188"/>
      <c r="AB118" s="185"/>
      <c r="AC118" s="182"/>
      <c r="AD118" s="625"/>
      <c r="AE118" s="188"/>
      <c r="AF118" s="188"/>
      <c r="AG118" s="185"/>
      <c r="AH118" s="182"/>
      <c r="AI118" s="625"/>
      <c r="AJ118" s="188"/>
      <c r="AK118" s="188"/>
      <c r="AL118" s="185"/>
      <c r="AM118" s="182"/>
      <c r="AN118" s="625"/>
      <c r="AO118" s="188"/>
      <c r="AP118" s="188"/>
      <c r="AQ118" s="185"/>
      <c r="AR118" s="182"/>
      <c r="AS118" s="625"/>
      <c r="AT118" s="188"/>
      <c r="AU118" s="188"/>
      <c r="AV118" s="185"/>
      <c r="AW118" s="182"/>
      <c r="AX118" s="625"/>
    </row>
    <row r="119" spans="2:50" ht="14.25" customHeight="1">
      <c r="B119" s="564"/>
      <c r="C119" s="180">
        <v>13</v>
      </c>
      <c r="D119" s="183"/>
      <c r="E119" s="180"/>
      <c r="F119" s="180"/>
      <c r="G119" s="185"/>
      <c r="H119" s="625"/>
      <c r="I119" s="186"/>
      <c r="J119" s="186"/>
      <c r="K119" s="187"/>
      <c r="L119" s="626"/>
      <c r="M119" s="186"/>
      <c r="N119" s="564"/>
      <c r="O119" s="564"/>
      <c r="P119" s="188"/>
      <c r="Q119" s="188"/>
      <c r="R119" s="185"/>
      <c r="S119" s="182"/>
      <c r="T119" s="625"/>
      <c r="U119" s="188"/>
      <c r="V119" s="188"/>
      <c r="W119" s="185"/>
      <c r="X119" s="182"/>
      <c r="Y119" s="625"/>
      <c r="Z119" s="188"/>
      <c r="AA119" s="188"/>
      <c r="AB119" s="185"/>
      <c r="AC119" s="182"/>
      <c r="AD119" s="625"/>
      <c r="AE119" s="188"/>
      <c r="AF119" s="188"/>
      <c r="AG119" s="185"/>
      <c r="AH119" s="182"/>
      <c r="AI119" s="625"/>
      <c r="AJ119" s="188"/>
      <c r="AK119" s="188"/>
      <c r="AL119" s="185"/>
      <c r="AM119" s="182"/>
      <c r="AN119" s="625"/>
      <c r="AO119" s="188"/>
      <c r="AP119" s="188"/>
      <c r="AQ119" s="185"/>
      <c r="AR119" s="182"/>
      <c r="AS119" s="625"/>
      <c r="AT119" s="188"/>
      <c r="AU119" s="188"/>
      <c r="AV119" s="185"/>
      <c r="AW119" s="182"/>
      <c r="AX119" s="625"/>
    </row>
    <row r="120" spans="2:50" ht="14.25" customHeight="1">
      <c r="B120" s="564"/>
      <c r="C120" s="180">
        <v>14</v>
      </c>
      <c r="D120" s="183"/>
      <c r="E120" s="180"/>
      <c r="F120" s="180"/>
      <c r="G120" s="185"/>
      <c r="H120" s="625"/>
      <c r="I120" s="186"/>
      <c r="J120" s="186"/>
      <c r="K120" s="187"/>
      <c r="L120" s="626"/>
      <c r="M120" s="186"/>
      <c r="N120" s="564"/>
      <c r="O120" s="564"/>
      <c r="P120" s="188"/>
      <c r="Q120" s="188"/>
      <c r="R120" s="185"/>
      <c r="S120" s="182"/>
      <c r="T120" s="625"/>
      <c r="U120" s="188"/>
      <c r="V120" s="188"/>
      <c r="W120" s="185"/>
      <c r="X120" s="182"/>
      <c r="Y120" s="625"/>
      <c r="Z120" s="188"/>
      <c r="AA120" s="188"/>
      <c r="AB120" s="185"/>
      <c r="AC120" s="182"/>
      <c r="AD120" s="625"/>
      <c r="AE120" s="188"/>
      <c r="AF120" s="188"/>
      <c r="AG120" s="185"/>
      <c r="AH120" s="182"/>
      <c r="AI120" s="625"/>
      <c r="AJ120" s="188"/>
      <c r="AK120" s="188"/>
      <c r="AL120" s="185"/>
      <c r="AM120" s="182"/>
      <c r="AN120" s="625"/>
      <c r="AO120" s="188"/>
      <c r="AP120" s="188"/>
      <c r="AQ120" s="185"/>
      <c r="AR120" s="182"/>
      <c r="AS120" s="625"/>
      <c r="AT120" s="188"/>
      <c r="AU120" s="188"/>
      <c r="AV120" s="185"/>
      <c r="AW120" s="182"/>
      <c r="AX120" s="625"/>
    </row>
    <row r="121" spans="2:50" ht="14.25" customHeight="1">
      <c r="B121" s="564"/>
      <c r="C121" s="180">
        <v>15</v>
      </c>
      <c r="D121" s="183"/>
      <c r="E121" s="180"/>
      <c r="F121" s="180"/>
      <c r="G121" s="185"/>
      <c r="H121" s="625"/>
      <c r="I121" s="186"/>
      <c r="J121" s="186"/>
      <c r="K121" s="187"/>
      <c r="L121" s="626"/>
      <c r="M121" s="186"/>
      <c r="N121" s="564"/>
      <c r="O121" s="564"/>
      <c r="P121" s="188"/>
      <c r="Q121" s="188"/>
      <c r="R121" s="185"/>
      <c r="S121" s="182"/>
      <c r="T121" s="625"/>
      <c r="U121" s="188"/>
      <c r="V121" s="188"/>
      <c r="W121" s="185"/>
      <c r="X121" s="182"/>
      <c r="Y121" s="625"/>
      <c r="Z121" s="188"/>
      <c r="AA121" s="188"/>
      <c r="AB121" s="185"/>
      <c r="AC121" s="182"/>
      <c r="AD121" s="625"/>
      <c r="AE121" s="188"/>
      <c r="AF121" s="188"/>
      <c r="AG121" s="185"/>
      <c r="AH121" s="182"/>
      <c r="AI121" s="625"/>
      <c r="AJ121" s="188"/>
      <c r="AK121" s="188"/>
      <c r="AL121" s="185"/>
      <c r="AM121" s="182"/>
      <c r="AN121" s="625"/>
      <c r="AO121" s="188"/>
      <c r="AP121" s="188"/>
      <c r="AQ121" s="185"/>
      <c r="AR121" s="182"/>
      <c r="AS121" s="625"/>
      <c r="AT121" s="188"/>
      <c r="AU121" s="188"/>
      <c r="AV121" s="185"/>
      <c r="AW121" s="182"/>
      <c r="AX121" s="625"/>
    </row>
  </sheetData>
  <mergeCells count="354">
    <mergeCell ref="AS4:AS6"/>
    <mergeCell ref="AT4:AW4"/>
    <mergeCell ref="AX4:AX6"/>
    <mergeCell ref="AX7:AX21"/>
    <mergeCell ref="P4:S4"/>
    <mergeCell ref="AT5:AW5"/>
    <mergeCell ref="T4:T6"/>
    <mergeCell ref="U4:X4"/>
    <mergeCell ref="Y4:Y6"/>
    <mergeCell ref="Z4:AC4"/>
    <mergeCell ref="AD4:AD6"/>
    <mergeCell ref="AE4:AH4"/>
    <mergeCell ref="AI4:AI6"/>
    <mergeCell ref="T7:T21"/>
    <mergeCell ref="Y7:Y21"/>
    <mergeCell ref="AD7:AD21"/>
    <mergeCell ref="AI7:AI21"/>
    <mergeCell ref="AN7:AN21"/>
    <mergeCell ref="AS7:AS21"/>
    <mergeCell ref="E5:G5"/>
    <mergeCell ref="I5:K5"/>
    <mergeCell ref="P5:S5"/>
    <mergeCell ref="U5:X5"/>
    <mergeCell ref="Z5:AC5"/>
    <mergeCell ref="AE5:AH5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AJ4:AM4"/>
    <mergeCell ref="AN4:AN6"/>
    <mergeCell ref="AO4:AR4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121"/>
  <sheetViews>
    <sheetView zoomScaleNormal="100" workbookViewId="0">
      <pane xSplit="13" ySplit="1" topLeftCell="AI91" activePane="bottomRight" state="frozen"/>
      <selection activeCell="L95" sqref="L95"/>
      <selection pane="topRight" activeCell="L95" sqref="L95"/>
      <selection pane="bottomLeft" activeCell="L95" sqref="L95"/>
      <selection pane="bottomRight" activeCell="AW107" sqref="AW107:AW115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67" t="s">
        <v>647</v>
      </c>
      <c r="C1" s="175">
        <f>AVERAGE(L27,L47,L67,L87)</f>
        <v>77.906796798443906</v>
      </c>
    </row>
    <row r="2" spans="1:50" ht="14.25" customHeight="1" collapsed="1">
      <c r="B2" s="641" t="s">
        <v>557</v>
      </c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3"/>
      <c r="N2" s="575" t="s">
        <v>377</v>
      </c>
      <c r="O2" s="575" t="s">
        <v>105</v>
      </c>
      <c r="P2" s="655">
        <v>46077</v>
      </c>
      <c r="Q2" s="656"/>
      <c r="R2" s="656"/>
      <c r="S2" s="656"/>
      <c r="T2" s="656"/>
      <c r="U2" s="657">
        <f>P2+1</f>
        <v>46078</v>
      </c>
      <c r="V2" s="658"/>
      <c r="W2" s="658"/>
      <c r="X2" s="658"/>
      <c r="Y2" s="658"/>
      <c r="Z2" s="655">
        <f t="shared" ref="Z2" si="0">U2+1</f>
        <v>46079</v>
      </c>
      <c r="AA2" s="656"/>
      <c r="AB2" s="656"/>
      <c r="AC2" s="656"/>
      <c r="AD2" s="656"/>
      <c r="AE2" s="657">
        <f t="shared" ref="AE2" si="1">Z2+1</f>
        <v>46080</v>
      </c>
      <c r="AF2" s="658"/>
      <c r="AG2" s="658"/>
      <c r="AH2" s="658"/>
      <c r="AI2" s="658"/>
      <c r="AJ2" s="647">
        <f t="shared" ref="AJ2" si="2">AE2+1</f>
        <v>46081</v>
      </c>
      <c r="AK2" s="648"/>
      <c r="AL2" s="648"/>
      <c r="AM2" s="648"/>
      <c r="AN2" s="649"/>
      <c r="AO2" s="657">
        <f t="shared" ref="AO2" si="3">AJ2+1</f>
        <v>46082</v>
      </c>
      <c r="AP2" s="658"/>
      <c r="AQ2" s="658"/>
      <c r="AR2" s="658"/>
      <c r="AS2" s="658"/>
      <c r="AT2" s="647">
        <f t="shared" ref="AT2" si="4">AO2+1</f>
        <v>46083</v>
      </c>
      <c r="AU2" s="648"/>
      <c r="AV2" s="648"/>
      <c r="AW2" s="648"/>
      <c r="AX2" s="649"/>
    </row>
    <row r="3" spans="1:50" ht="14.25" customHeight="1"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5"/>
      <c r="N3" s="577"/>
      <c r="O3" s="577"/>
      <c r="P3" s="650">
        <f>P2</f>
        <v>46077</v>
      </c>
      <c r="Q3" s="650"/>
      <c r="R3" s="650"/>
      <c r="S3" s="650"/>
      <c r="T3" s="650"/>
      <c r="U3" s="651">
        <f>U2</f>
        <v>46078</v>
      </c>
      <c r="V3" s="651"/>
      <c r="W3" s="651"/>
      <c r="X3" s="651"/>
      <c r="Y3" s="651"/>
      <c r="Z3" s="650">
        <f t="shared" ref="Z3" si="5">Z2</f>
        <v>46079</v>
      </c>
      <c r="AA3" s="650"/>
      <c r="AB3" s="650"/>
      <c r="AC3" s="650"/>
      <c r="AD3" s="650"/>
      <c r="AE3" s="651">
        <f t="shared" ref="AE3" si="6">AE2</f>
        <v>46080</v>
      </c>
      <c r="AF3" s="651"/>
      <c r="AG3" s="651"/>
      <c r="AH3" s="651"/>
      <c r="AI3" s="651"/>
      <c r="AJ3" s="652">
        <f t="shared" ref="AJ3" si="7">AJ2</f>
        <v>46081</v>
      </c>
      <c r="AK3" s="653"/>
      <c r="AL3" s="653"/>
      <c r="AM3" s="653"/>
      <c r="AN3" s="654"/>
      <c r="AO3" s="651">
        <f t="shared" ref="AO3" si="8">AO2</f>
        <v>46082</v>
      </c>
      <c r="AP3" s="651"/>
      <c r="AQ3" s="651"/>
      <c r="AR3" s="651"/>
      <c r="AS3" s="651"/>
      <c r="AT3" s="652">
        <f t="shared" ref="AT3" si="9">AT2</f>
        <v>46083</v>
      </c>
      <c r="AU3" s="653"/>
      <c r="AV3" s="653"/>
      <c r="AW3" s="653"/>
      <c r="AX3" s="654"/>
    </row>
    <row r="4" spans="1:50" ht="14.25" customHeight="1">
      <c r="B4" s="564" t="s">
        <v>164</v>
      </c>
      <c r="C4" s="564" t="s">
        <v>159</v>
      </c>
      <c r="D4" s="564"/>
      <c r="E4" s="564" t="s">
        <v>160</v>
      </c>
      <c r="F4" s="564"/>
      <c r="G4" s="564"/>
      <c r="H4" s="564" t="s">
        <v>165</v>
      </c>
      <c r="I4" s="628" t="s">
        <v>378</v>
      </c>
      <c r="J4" s="628"/>
      <c r="K4" s="628"/>
      <c r="L4" s="628" t="s">
        <v>165</v>
      </c>
      <c r="M4" s="628" t="s">
        <v>167</v>
      </c>
      <c r="N4" s="564"/>
      <c r="O4" s="564" t="s">
        <v>166</v>
      </c>
      <c r="P4" s="564" t="s">
        <v>162</v>
      </c>
      <c r="Q4" s="564"/>
      <c r="R4" s="564"/>
      <c r="S4" s="564"/>
      <c r="T4" s="564" t="s">
        <v>165</v>
      </c>
      <c r="U4" s="564" t="s">
        <v>162</v>
      </c>
      <c r="V4" s="564"/>
      <c r="W4" s="564"/>
      <c r="X4" s="564"/>
      <c r="Y4" s="564" t="s">
        <v>165</v>
      </c>
      <c r="Z4" s="564" t="s">
        <v>162</v>
      </c>
      <c r="AA4" s="564"/>
      <c r="AB4" s="564"/>
      <c r="AC4" s="564"/>
      <c r="AD4" s="564" t="s">
        <v>165</v>
      </c>
      <c r="AE4" s="564" t="s">
        <v>162</v>
      </c>
      <c r="AF4" s="564"/>
      <c r="AG4" s="564"/>
      <c r="AH4" s="564"/>
      <c r="AI4" s="564" t="s">
        <v>165</v>
      </c>
      <c r="AJ4" s="564" t="s">
        <v>162</v>
      </c>
      <c r="AK4" s="564"/>
      <c r="AL4" s="564"/>
      <c r="AM4" s="564"/>
      <c r="AN4" s="564" t="s">
        <v>165</v>
      </c>
      <c r="AO4" s="564" t="s">
        <v>162</v>
      </c>
      <c r="AP4" s="564"/>
      <c r="AQ4" s="564"/>
      <c r="AR4" s="564"/>
      <c r="AS4" s="564" t="s">
        <v>165</v>
      </c>
      <c r="AT4" s="564" t="s">
        <v>162</v>
      </c>
      <c r="AU4" s="564"/>
      <c r="AV4" s="564"/>
      <c r="AW4" s="564"/>
      <c r="AX4" s="564" t="s">
        <v>165</v>
      </c>
    </row>
    <row r="5" spans="1:50" ht="14.25" customHeight="1">
      <c r="B5" s="564"/>
      <c r="C5" s="564"/>
      <c r="D5" s="564"/>
      <c r="E5" s="564" t="s">
        <v>379</v>
      </c>
      <c r="F5" s="564"/>
      <c r="G5" s="564"/>
      <c r="H5" s="564"/>
      <c r="I5" s="628" t="s">
        <v>379</v>
      </c>
      <c r="J5" s="628"/>
      <c r="K5" s="628"/>
      <c r="L5" s="628"/>
      <c r="M5" s="628"/>
      <c r="N5" s="564"/>
      <c r="O5" s="564"/>
      <c r="P5" s="564" t="s">
        <v>380</v>
      </c>
      <c r="Q5" s="564"/>
      <c r="R5" s="564"/>
      <c r="S5" s="564"/>
      <c r="T5" s="564"/>
      <c r="U5" s="564" t="s">
        <v>380</v>
      </c>
      <c r="V5" s="564"/>
      <c r="W5" s="564"/>
      <c r="X5" s="564"/>
      <c r="Y5" s="564"/>
      <c r="Z5" s="564" t="s">
        <v>380</v>
      </c>
      <c r="AA5" s="564"/>
      <c r="AB5" s="564"/>
      <c r="AC5" s="564"/>
      <c r="AD5" s="564"/>
      <c r="AE5" s="564" t="s">
        <v>380</v>
      </c>
      <c r="AF5" s="564"/>
      <c r="AG5" s="564"/>
      <c r="AH5" s="564"/>
      <c r="AI5" s="564"/>
      <c r="AJ5" s="564" t="s">
        <v>380</v>
      </c>
      <c r="AK5" s="564"/>
      <c r="AL5" s="564"/>
      <c r="AM5" s="564"/>
      <c r="AN5" s="564"/>
      <c r="AO5" s="564" t="s">
        <v>380</v>
      </c>
      <c r="AP5" s="564"/>
      <c r="AQ5" s="564"/>
      <c r="AR5" s="564"/>
      <c r="AS5" s="564"/>
      <c r="AT5" s="564" t="s">
        <v>380</v>
      </c>
      <c r="AU5" s="564"/>
      <c r="AV5" s="564"/>
      <c r="AW5" s="564"/>
      <c r="AX5" s="564"/>
    </row>
    <row r="6" spans="1:50" ht="14.25" customHeight="1">
      <c r="B6" s="564"/>
      <c r="C6" s="564"/>
      <c r="D6" s="564"/>
      <c r="E6" s="180" t="s">
        <v>161</v>
      </c>
      <c r="F6" s="180" t="s">
        <v>381</v>
      </c>
      <c r="G6" s="180" t="s">
        <v>163</v>
      </c>
      <c r="H6" s="564"/>
      <c r="I6" s="181" t="s">
        <v>161</v>
      </c>
      <c r="J6" s="181" t="s">
        <v>381</v>
      </c>
      <c r="K6" s="181" t="s">
        <v>163</v>
      </c>
      <c r="L6" s="628"/>
      <c r="M6" s="628"/>
      <c r="N6" s="564"/>
      <c r="O6" s="564"/>
      <c r="P6" s="180" t="s">
        <v>161</v>
      </c>
      <c r="Q6" s="180" t="s">
        <v>381</v>
      </c>
      <c r="R6" s="180" t="s">
        <v>163</v>
      </c>
      <c r="S6" s="182" t="s">
        <v>167</v>
      </c>
      <c r="T6" s="564"/>
      <c r="U6" s="180" t="s">
        <v>161</v>
      </c>
      <c r="V6" s="180" t="s">
        <v>381</v>
      </c>
      <c r="W6" s="180" t="s">
        <v>163</v>
      </c>
      <c r="X6" s="182" t="s">
        <v>167</v>
      </c>
      <c r="Y6" s="564"/>
      <c r="Z6" s="180" t="s">
        <v>161</v>
      </c>
      <c r="AA6" s="180" t="s">
        <v>381</v>
      </c>
      <c r="AB6" s="180" t="s">
        <v>163</v>
      </c>
      <c r="AC6" s="182" t="s">
        <v>167</v>
      </c>
      <c r="AD6" s="564"/>
      <c r="AE6" s="180" t="s">
        <v>161</v>
      </c>
      <c r="AF6" s="180" t="s">
        <v>381</v>
      </c>
      <c r="AG6" s="180" t="s">
        <v>163</v>
      </c>
      <c r="AH6" s="182" t="s">
        <v>167</v>
      </c>
      <c r="AI6" s="564"/>
      <c r="AJ6" s="180" t="s">
        <v>161</v>
      </c>
      <c r="AK6" s="180" t="s">
        <v>381</v>
      </c>
      <c r="AL6" s="180" t="s">
        <v>163</v>
      </c>
      <c r="AM6" s="182" t="s">
        <v>167</v>
      </c>
      <c r="AN6" s="564"/>
      <c r="AO6" s="180" t="s">
        <v>161</v>
      </c>
      <c r="AP6" s="180" t="s">
        <v>381</v>
      </c>
      <c r="AQ6" s="180" t="s">
        <v>163</v>
      </c>
      <c r="AR6" s="182" t="s">
        <v>167</v>
      </c>
      <c r="AS6" s="564"/>
      <c r="AT6" s="180" t="s">
        <v>161</v>
      </c>
      <c r="AU6" s="180" t="s">
        <v>381</v>
      </c>
      <c r="AV6" s="180" t="s">
        <v>163</v>
      </c>
      <c r="AW6" s="182" t="s">
        <v>167</v>
      </c>
      <c r="AX6" s="564"/>
    </row>
    <row r="7" spans="1:50" ht="14.25" customHeight="1">
      <c r="B7" s="564" t="s">
        <v>138</v>
      </c>
      <c r="C7" s="180">
        <v>1</v>
      </c>
      <c r="D7" s="183" t="s">
        <v>360</v>
      </c>
      <c r="E7" s="180">
        <v>21</v>
      </c>
      <c r="F7" s="180">
        <v>2000</v>
      </c>
      <c r="G7" s="185">
        <f t="shared" ref="G7:G15" si="10">F7/E7</f>
        <v>95.238095238095241</v>
      </c>
      <c r="H7" s="625">
        <f>AVERAGE(G7:G21)</f>
        <v>87.784469958382999</v>
      </c>
      <c r="I7" s="186">
        <f>AVERAGE(P7,U7,Z7,AE7,AJ7,AO7,AT7)</f>
        <v>21</v>
      </c>
      <c r="J7" s="186">
        <f>AVERAGE(Q7,V7,AA7,AF7,AK7,AP7,AU7)</f>
        <v>1782.2501293544603</v>
      </c>
      <c r="K7" s="187">
        <f>AVERAGE(R7,W7,AB7,AG7,AL7,AQ7,AV7)</f>
        <v>84.869053778783822</v>
      </c>
      <c r="L7" s="626">
        <f>IFERROR(AVERAGE(K7:K21),"-")</f>
        <v>78.283793886795436</v>
      </c>
      <c r="M7" s="186">
        <f>RANK(K7, K$7:$K$21)</f>
        <v>2</v>
      </c>
      <c r="N7" s="564"/>
      <c r="O7" s="564"/>
      <c r="P7" s="188">
        <v>21</v>
      </c>
      <c r="Q7" s="188">
        <v>1782.1370874682657</v>
      </c>
      <c r="R7" s="185">
        <f>IFERROR(Q7/P7,"")</f>
        <v>84.863670831822176</v>
      </c>
      <c r="S7" s="182">
        <f>RANK(R7, R$7:R$21)</f>
        <v>2</v>
      </c>
      <c r="T7" s="625">
        <f>AVERAGE(R7:R21)</f>
        <v>78.277597482272441</v>
      </c>
      <c r="U7" s="188">
        <v>21</v>
      </c>
      <c r="V7" s="188">
        <v>1782.0848611838658</v>
      </c>
      <c r="W7" s="185">
        <f t="shared" ref="W7:W15" si="11">IFERROR(V7/U7,"")</f>
        <v>84.861183865898369</v>
      </c>
      <c r="X7" s="182">
        <f>RANK(W7, W$7:W$21)</f>
        <v>2</v>
      </c>
      <c r="Y7" s="625">
        <f>AVERAGE(W7:W21)</f>
        <v>78.28152448562733</v>
      </c>
      <c r="Z7" s="188">
        <v>21</v>
      </c>
      <c r="AA7" s="188">
        <v>1781.9787985865735</v>
      </c>
      <c r="AB7" s="185">
        <f t="shared" ref="AB7:AB15" si="12">IFERROR(AA7/Z7,"")</f>
        <v>84.856133266027314</v>
      </c>
      <c r="AC7" s="182">
        <f>RANK(AB7, AB$7:AB$21)</f>
        <v>2</v>
      </c>
      <c r="AD7" s="625">
        <f>AVERAGE(AB7:AB21)</f>
        <v>78.279949926178929</v>
      </c>
      <c r="AE7" s="188">
        <v>21</v>
      </c>
      <c r="AF7" s="188">
        <v>1782.4183226675634</v>
      </c>
      <c r="AG7" s="185">
        <f>IFERROR(AF7/AE7,"")</f>
        <v>84.877062984169683</v>
      </c>
      <c r="AH7" s="182">
        <f>RANK(AG7, AG$7:AG$21)</f>
        <v>2</v>
      </c>
      <c r="AI7" s="625">
        <f>AVERAGE(AG7:AG21)</f>
        <v>78.283937916750489</v>
      </c>
      <c r="AJ7" s="188">
        <v>21</v>
      </c>
      <c r="AK7" s="188">
        <v>1782.3218332913623</v>
      </c>
      <c r="AL7" s="185">
        <f t="shared" ref="AL7:AL14" si="13">IFERROR(AK7/AJ7,"")</f>
        <v>84.872468251969636</v>
      </c>
      <c r="AM7" s="182">
        <f>RANK(AL7, AL$7:AL$21)</f>
        <v>2</v>
      </c>
      <c r="AN7" s="625">
        <f>AVERAGE(AL7:AL21)</f>
        <v>78.77921006425197</v>
      </c>
      <c r="AO7" s="188">
        <v>21</v>
      </c>
      <c r="AP7" s="188">
        <v>1782.4449988659553</v>
      </c>
      <c r="AQ7" s="185">
        <f t="shared" ref="AQ7:AQ14" si="14">IFERROR(AP7/AO7,"")</f>
        <v>84.878333279331201</v>
      </c>
      <c r="AR7" s="182">
        <f>RANK(AQ7, AQ$7:AQ$21)</f>
        <v>2</v>
      </c>
      <c r="AS7" s="625">
        <f>AVERAGE(AQ7:AQ21)</f>
        <v>78.778387013941952</v>
      </c>
      <c r="AT7" s="188">
        <v>21</v>
      </c>
      <c r="AU7" s="188">
        <v>1782.3650034176349</v>
      </c>
      <c r="AV7" s="185">
        <f t="shared" ref="AV7:AV14" si="15">IFERROR(AU7/AT7,"")</f>
        <v>84.874523972268321</v>
      </c>
      <c r="AW7" s="182">
        <f>RANK(AV7, AV$7:AV$21)</f>
        <v>2</v>
      </c>
      <c r="AX7" s="625">
        <f>AVERAGE(AV7:AV21)</f>
        <v>78.783091305553896</v>
      </c>
    </row>
    <row r="8" spans="1:50" ht="14.25" customHeight="1">
      <c r="B8" s="564"/>
      <c r="C8" s="180">
        <v>2</v>
      </c>
      <c r="D8" s="183" t="s">
        <v>361</v>
      </c>
      <c r="E8" s="180">
        <v>25</v>
      </c>
      <c r="F8" s="180">
        <v>2000</v>
      </c>
      <c r="G8" s="185">
        <f t="shared" si="10"/>
        <v>80</v>
      </c>
      <c r="H8" s="625"/>
      <c r="I8" s="186">
        <f t="shared" ref="I8:K15" si="16">AVERAGE(P8,U8,Z8,AE8,AJ8,AO8,AT8)</f>
        <v>25</v>
      </c>
      <c r="J8" s="186">
        <f t="shared" si="16"/>
        <v>1783.4880597698866</v>
      </c>
      <c r="K8" s="187">
        <f t="shared" si="16"/>
        <v>71.339522390795452</v>
      </c>
      <c r="L8" s="626"/>
      <c r="M8" s="186">
        <f>RANK(K8, K$7:$K$21)</f>
        <v>9</v>
      </c>
      <c r="N8" s="564"/>
      <c r="O8" s="564"/>
      <c r="P8" s="188">
        <v>25</v>
      </c>
      <c r="Q8" s="188">
        <v>1783.4730538922161</v>
      </c>
      <c r="R8" s="185">
        <f t="shared" ref="R8:R15" si="17">IFERROR(Q8/P8,"")</f>
        <v>71.338922155688635</v>
      </c>
      <c r="S8" s="182">
        <f t="shared" ref="S8:S15" si="18">RANK(R8, R$7:R$21)</f>
        <v>9</v>
      </c>
      <c r="T8" s="625"/>
      <c r="U8" s="188">
        <v>25</v>
      </c>
      <c r="V8" s="188">
        <v>1783.4555406382328</v>
      </c>
      <c r="W8" s="185">
        <f t="shared" si="11"/>
        <v>71.338221625529314</v>
      </c>
      <c r="X8" s="182">
        <f t="shared" ref="X8:X15" si="19">RANK(W8, W$7:W$21)</f>
        <v>9</v>
      </c>
      <c r="Y8" s="625"/>
      <c r="Z8" s="188">
        <v>25</v>
      </c>
      <c r="AA8" s="188">
        <v>1783.5091615769015</v>
      </c>
      <c r="AB8" s="185">
        <f t="shared" si="12"/>
        <v>71.340366463076066</v>
      </c>
      <c r="AC8" s="182">
        <f t="shared" ref="AC8:AC15" si="20">RANK(AB8, AB$7:AB$21)</f>
        <v>9</v>
      </c>
      <c r="AD8" s="625"/>
      <c r="AE8" s="188">
        <v>25</v>
      </c>
      <c r="AF8" s="188">
        <v>1783.3516225113649</v>
      </c>
      <c r="AG8" s="185">
        <f t="shared" ref="AG8:AG15" si="21">IFERROR(AF8/AE8,"")</f>
        <v>71.334064900454592</v>
      </c>
      <c r="AH8" s="182">
        <f t="shared" ref="AH8:AH15" si="22">RANK(AG8, AG$7:AG$21)</f>
        <v>9</v>
      </c>
      <c r="AI8" s="625"/>
      <c r="AJ8" s="188">
        <v>25</v>
      </c>
      <c r="AK8" s="188">
        <v>1783.5106382978718</v>
      </c>
      <c r="AL8" s="185">
        <f t="shared" si="13"/>
        <v>71.340425531914875</v>
      </c>
      <c r="AM8" s="182">
        <f t="shared" ref="AM8:AM14" si="23">RANK(AL8, AL$7:AL$21)</f>
        <v>8</v>
      </c>
      <c r="AN8" s="625"/>
      <c r="AO8" s="188">
        <v>25</v>
      </c>
      <c r="AP8" s="188">
        <v>1783.4862385321101</v>
      </c>
      <c r="AQ8" s="185">
        <f t="shared" si="14"/>
        <v>71.339449541284409</v>
      </c>
      <c r="AR8" s="182">
        <f t="shared" ref="AR8:AR14" si="24">RANK(AQ8, AQ$7:AQ$21)</f>
        <v>8</v>
      </c>
      <c r="AS8" s="625"/>
      <c r="AT8" s="188">
        <v>25</v>
      </c>
      <c r="AU8" s="188">
        <v>1783.630162940507</v>
      </c>
      <c r="AV8" s="185">
        <f t="shared" si="15"/>
        <v>71.345206517620284</v>
      </c>
      <c r="AW8" s="182">
        <f t="shared" ref="AW8:AW14" si="25">RANK(AV8, AV$7:AV$21)</f>
        <v>8</v>
      </c>
      <c r="AX8" s="625"/>
    </row>
    <row r="9" spans="1:50" ht="14.25" customHeight="1">
      <c r="B9" s="564"/>
      <c r="C9" s="180">
        <v>3</v>
      </c>
      <c r="D9" s="183" t="s">
        <v>362</v>
      </c>
      <c r="E9" s="180">
        <v>23</v>
      </c>
      <c r="F9" s="180">
        <v>2000</v>
      </c>
      <c r="G9" s="185">
        <f t="shared" si="10"/>
        <v>86.956521739130437</v>
      </c>
      <c r="H9" s="625"/>
      <c r="I9" s="186">
        <f t="shared" si="16"/>
        <v>23</v>
      </c>
      <c r="J9" s="186">
        <f t="shared" si="16"/>
        <v>1781.7736633537672</v>
      </c>
      <c r="K9" s="187">
        <f t="shared" si="16"/>
        <v>77.468420145815955</v>
      </c>
      <c r="L9" s="626"/>
      <c r="M9" s="186">
        <f>RANK(K9, K$7:$K$21)</f>
        <v>5</v>
      </c>
      <c r="N9" s="564"/>
      <c r="O9" s="564"/>
      <c r="P9" s="188">
        <v>23</v>
      </c>
      <c r="Q9" s="188">
        <v>1781.5731501878972</v>
      </c>
      <c r="R9" s="185">
        <f t="shared" si="17"/>
        <v>77.459702182082495</v>
      </c>
      <c r="S9" s="182">
        <f t="shared" si="18"/>
        <v>5</v>
      </c>
      <c r="T9" s="625"/>
      <c r="U9" s="188">
        <v>23</v>
      </c>
      <c r="V9" s="188">
        <v>1781.6274454210375</v>
      </c>
      <c r="W9" s="185">
        <f t="shared" si="11"/>
        <v>77.462062844392932</v>
      </c>
      <c r="X9" s="182">
        <f t="shared" si="19"/>
        <v>5</v>
      </c>
      <c r="Y9" s="625"/>
      <c r="Z9" s="188">
        <v>23</v>
      </c>
      <c r="AA9" s="188">
        <v>1781.818181818182</v>
      </c>
      <c r="AB9" s="185">
        <f t="shared" si="12"/>
        <v>77.470355731225297</v>
      </c>
      <c r="AC9" s="182">
        <f t="shared" si="20"/>
        <v>5</v>
      </c>
      <c r="AD9" s="625"/>
      <c r="AE9" s="188">
        <v>23</v>
      </c>
      <c r="AF9" s="188">
        <v>1781.7820996229395</v>
      </c>
      <c r="AG9" s="185">
        <f t="shared" si="21"/>
        <v>77.468786940127799</v>
      </c>
      <c r="AH9" s="182">
        <f t="shared" si="22"/>
        <v>5</v>
      </c>
      <c r="AI9" s="625"/>
      <c r="AJ9" s="188">
        <v>23</v>
      </c>
      <c r="AK9" s="188">
        <v>1781.8181818181822</v>
      </c>
      <c r="AL9" s="185">
        <f t="shared" si="13"/>
        <v>77.470355731225311</v>
      </c>
      <c r="AM9" s="182">
        <f t="shared" si="23"/>
        <v>5</v>
      </c>
      <c r="AN9" s="625"/>
      <c r="AO9" s="188">
        <v>23</v>
      </c>
      <c r="AP9" s="188">
        <v>1781.7802358342901</v>
      </c>
      <c r="AQ9" s="185">
        <f t="shared" si="14"/>
        <v>77.468705905838704</v>
      </c>
      <c r="AR9" s="182">
        <f t="shared" si="24"/>
        <v>5</v>
      </c>
      <c r="AS9" s="625"/>
      <c r="AT9" s="188">
        <v>23</v>
      </c>
      <c r="AU9" s="188">
        <v>1782.0163487738405</v>
      </c>
      <c r="AV9" s="185">
        <f t="shared" si="15"/>
        <v>77.478971685819147</v>
      </c>
      <c r="AW9" s="182">
        <f t="shared" si="25"/>
        <v>5</v>
      </c>
      <c r="AX9" s="625"/>
    </row>
    <row r="10" spans="1:50" ht="14.25" customHeight="1">
      <c r="B10" s="564"/>
      <c r="C10" s="180">
        <v>4</v>
      </c>
      <c r="D10" s="183" t="s">
        <v>363</v>
      </c>
      <c r="E10" s="180">
        <v>24</v>
      </c>
      <c r="F10" s="180">
        <v>2000</v>
      </c>
      <c r="G10" s="185">
        <f t="shared" si="10"/>
        <v>83.333333333333329</v>
      </c>
      <c r="H10" s="625"/>
      <c r="I10" s="186">
        <f t="shared" si="16"/>
        <v>24</v>
      </c>
      <c r="J10" s="186">
        <f t="shared" si="16"/>
        <v>1784.9125193253587</v>
      </c>
      <c r="K10" s="187">
        <f t="shared" si="16"/>
        <v>74.371354971889943</v>
      </c>
      <c r="L10" s="626"/>
      <c r="M10" s="186">
        <f>RANK(K10, K$7:$K$21)</f>
        <v>6</v>
      </c>
      <c r="N10" s="564"/>
      <c r="O10" s="564"/>
      <c r="P10" s="188">
        <v>24</v>
      </c>
      <c r="Q10" s="188">
        <v>1784.5370664969744</v>
      </c>
      <c r="R10" s="185">
        <f t="shared" si="17"/>
        <v>74.355711104040594</v>
      </c>
      <c r="S10" s="182">
        <f t="shared" si="18"/>
        <v>8</v>
      </c>
      <c r="T10" s="625"/>
      <c r="U10" s="188">
        <v>24</v>
      </c>
      <c r="V10" s="188">
        <v>1784.9145155883323</v>
      </c>
      <c r="W10" s="185">
        <f t="shared" si="11"/>
        <v>74.37143814951385</v>
      </c>
      <c r="X10" s="182">
        <f t="shared" si="19"/>
        <v>7</v>
      </c>
      <c r="Y10" s="625"/>
      <c r="Z10" s="188">
        <v>24</v>
      </c>
      <c r="AA10" s="188">
        <v>1785.1239669421477</v>
      </c>
      <c r="AB10" s="185">
        <f t="shared" si="12"/>
        <v>74.380165289256155</v>
      </c>
      <c r="AC10" s="182">
        <f t="shared" si="20"/>
        <v>6</v>
      </c>
      <c r="AD10" s="625"/>
      <c r="AE10" s="188">
        <v>24</v>
      </c>
      <c r="AF10" s="188">
        <v>1785.1393188854527</v>
      </c>
      <c r="AG10" s="185">
        <f t="shared" si="21"/>
        <v>74.380804953560528</v>
      </c>
      <c r="AH10" s="182">
        <f t="shared" si="22"/>
        <v>6</v>
      </c>
      <c r="AI10" s="625"/>
      <c r="AJ10" s="188">
        <v>24</v>
      </c>
      <c r="AK10" s="188">
        <v>1784.8873177198441</v>
      </c>
      <c r="AL10" s="185">
        <f t="shared" si="13"/>
        <v>74.370304904993503</v>
      </c>
      <c r="AM10" s="182">
        <f t="shared" si="23"/>
        <v>6</v>
      </c>
      <c r="AN10" s="625"/>
      <c r="AO10" s="188">
        <v>24</v>
      </c>
      <c r="AP10" s="188">
        <v>1784.7715736040598</v>
      </c>
      <c r="AQ10" s="185">
        <f t="shared" si="14"/>
        <v>74.36548223350249</v>
      </c>
      <c r="AR10" s="182">
        <f t="shared" si="24"/>
        <v>6</v>
      </c>
      <c r="AS10" s="625"/>
      <c r="AT10" s="188">
        <v>24</v>
      </c>
      <c r="AU10" s="188">
        <v>1785.0138760407012</v>
      </c>
      <c r="AV10" s="185">
        <f t="shared" si="15"/>
        <v>74.375578168362551</v>
      </c>
      <c r="AW10" s="182">
        <f t="shared" si="25"/>
        <v>6</v>
      </c>
      <c r="AX10" s="625"/>
    </row>
    <row r="11" spans="1:50" ht="14.25" customHeight="1">
      <c r="B11" s="564"/>
      <c r="C11" s="180">
        <v>5</v>
      </c>
      <c r="D11" s="183" t="s">
        <v>359</v>
      </c>
      <c r="E11" s="180">
        <v>24</v>
      </c>
      <c r="F11" s="180">
        <v>2000</v>
      </c>
      <c r="G11" s="185">
        <f t="shared" si="10"/>
        <v>83.333333333333329</v>
      </c>
      <c r="H11" s="625"/>
      <c r="I11" s="186">
        <f t="shared" si="16"/>
        <v>24</v>
      </c>
      <c r="J11" s="186">
        <f t="shared" si="16"/>
        <v>1784.6338514438482</v>
      </c>
      <c r="K11" s="187">
        <f t="shared" si="16"/>
        <v>74.359743810160339</v>
      </c>
      <c r="L11" s="626"/>
      <c r="M11" s="186">
        <f>RANK(K11, K$7:$K$21)</f>
        <v>7</v>
      </c>
      <c r="N11" s="564"/>
      <c r="O11" s="564"/>
      <c r="P11" s="188">
        <v>24</v>
      </c>
      <c r="Q11" s="188">
        <v>1784.5640781324437</v>
      </c>
      <c r="R11" s="185">
        <f t="shared" si="17"/>
        <v>74.35683658885182</v>
      </c>
      <c r="S11" s="182">
        <f t="shared" si="18"/>
        <v>7</v>
      </c>
      <c r="T11" s="625"/>
      <c r="U11" s="188">
        <v>24</v>
      </c>
      <c r="V11" s="188">
        <v>1784.6385542168657</v>
      </c>
      <c r="W11" s="185">
        <f t="shared" si="11"/>
        <v>74.359939759036067</v>
      </c>
      <c r="X11" s="182">
        <f t="shared" si="19"/>
        <v>8</v>
      </c>
      <c r="Y11" s="625"/>
      <c r="Z11" s="188">
        <v>24</v>
      </c>
      <c r="AA11" s="188">
        <v>1784.7557003257291</v>
      </c>
      <c r="AB11" s="185">
        <f t="shared" si="12"/>
        <v>74.364820846905374</v>
      </c>
      <c r="AC11" s="182">
        <f t="shared" si="20"/>
        <v>7</v>
      </c>
      <c r="AD11" s="625"/>
      <c r="AE11" s="188">
        <v>24</v>
      </c>
      <c r="AF11" s="188">
        <v>1784.4452125820956</v>
      </c>
      <c r="AG11" s="185">
        <f t="shared" si="21"/>
        <v>74.35188385758731</v>
      </c>
      <c r="AH11" s="182">
        <f t="shared" si="22"/>
        <v>7</v>
      </c>
      <c r="AI11" s="625"/>
      <c r="AJ11" s="188">
        <v>24</v>
      </c>
      <c r="AK11" s="188">
        <v>1784.6251186333448</v>
      </c>
      <c r="AL11" s="185">
        <f t="shared" si="13"/>
        <v>74.359379943056027</v>
      </c>
      <c r="AM11" s="182">
        <f t="shared" si="23"/>
        <v>7</v>
      </c>
      <c r="AN11" s="625"/>
      <c r="AO11" s="188">
        <v>24</v>
      </c>
      <c r="AP11" s="188">
        <v>1784.6153846153843</v>
      </c>
      <c r="AQ11" s="185">
        <f t="shared" si="14"/>
        <v>74.358974358974351</v>
      </c>
      <c r="AR11" s="182">
        <f t="shared" si="24"/>
        <v>7</v>
      </c>
      <c r="AS11" s="625"/>
      <c r="AT11" s="188">
        <v>24</v>
      </c>
      <c r="AU11" s="188">
        <v>1784.7929116010737</v>
      </c>
      <c r="AV11" s="185">
        <f t="shared" si="15"/>
        <v>74.366371316711408</v>
      </c>
      <c r="AW11" s="182">
        <f t="shared" si="25"/>
        <v>7</v>
      </c>
      <c r="AX11" s="625"/>
    </row>
    <row r="12" spans="1:50" ht="14.25" customHeight="1">
      <c r="B12" s="564"/>
      <c r="C12" s="180">
        <v>6</v>
      </c>
      <c r="D12" s="183" t="s">
        <v>471</v>
      </c>
      <c r="E12" s="180">
        <v>23</v>
      </c>
      <c r="F12" s="180">
        <v>2000</v>
      </c>
      <c r="G12" s="185">
        <f t="shared" si="10"/>
        <v>86.956521739130437</v>
      </c>
      <c r="H12" s="625"/>
      <c r="I12" s="186">
        <f t="shared" si="16"/>
        <v>23</v>
      </c>
      <c r="J12" s="186">
        <f t="shared" si="16"/>
        <v>1782.2096298160304</v>
      </c>
      <c r="K12" s="187">
        <f t="shared" si="16"/>
        <v>77.487375209392638</v>
      </c>
      <c r="L12" s="626"/>
      <c r="M12" s="186">
        <f>RANK(K12, K$7:$K$21)</f>
        <v>4</v>
      </c>
      <c r="N12" s="564"/>
      <c r="O12" s="564"/>
      <c r="P12" s="188">
        <v>23</v>
      </c>
      <c r="Q12" s="188">
        <v>1781.9799777530595</v>
      </c>
      <c r="R12" s="185">
        <f t="shared" si="17"/>
        <v>77.477390337089545</v>
      </c>
      <c r="S12" s="182">
        <f t="shared" si="18"/>
        <v>4</v>
      </c>
      <c r="T12" s="625"/>
      <c r="U12" s="188">
        <v>23</v>
      </c>
      <c r="V12" s="188">
        <v>1782.0895522388053</v>
      </c>
      <c r="W12" s="185">
        <f t="shared" si="11"/>
        <v>77.482154445165449</v>
      </c>
      <c r="X12" s="182">
        <f t="shared" si="19"/>
        <v>4</v>
      </c>
      <c r="Y12" s="625"/>
      <c r="Z12" s="188">
        <v>23</v>
      </c>
      <c r="AA12" s="188">
        <v>1782.1646341463409</v>
      </c>
      <c r="AB12" s="185">
        <f t="shared" si="12"/>
        <v>77.485418875927863</v>
      </c>
      <c r="AC12" s="182">
        <f t="shared" si="20"/>
        <v>4</v>
      </c>
      <c r="AD12" s="625"/>
      <c r="AE12" s="188">
        <v>23</v>
      </c>
      <c r="AF12" s="188">
        <v>1782.3199251637029</v>
      </c>
      <c r="AG12" s="185">
        <f t="shared" si="21"/>
        <v>77.492170659291432</v>
      </c>
      <c r="AH12" s="182">
        <f t="shared" si="22"/>
        <v>4</v>
      </c>
      <c r="AI12" s="625"/>
      <c r="AJ12" s="188">
        <v>23</v>
      </c>
      <c r="AK12" s="188">
        <v>1782.2580645161281</v>
      </c>
      <c r="AL12" s="185">
        <f t="shared" si="13"/>
        <v>77.489481065918611</v>
      </c>
      <c r="AM12" s="182">
        <f t="shared" si="23"/>
        <v>4</v>
      </c>
      <c r="AN12" s="625"/>
      <c r="AO12" s="188">
        <v>23</v>
      </c>
      <c r="AP12" s="188">
        <v>1782.2562979189488</v>
      </c>
      <c r="AQ12" s="185">
        <f t="shared" si="14"/>
        <v>77.489404257345598</v>
      </c>
      <c r="AR12" s="182">
        <f t="shared" si="24"/>
        <v>4</v>
      </c>
      <c r="AS12" s="625"/>
      <c r="AT12" s="188">
        <v>23</v>
      </c>
      <c r="AU12" s="188">
        <v>1782.3989569752277</v>
      </c>
      <c r="AV12" s="185">
        <f t="shared" si="15"/>
        <v>77.495606825009901</v>
      </c>
      <c r="AW12" s="182">
        <f t="shared" si="25"/>
        <v>4</v>
      </c>
      <c r="AX12" s="625"/>
    </row>
    <row r="13" spans="1:50" ht="14.25" customHeight="1">
      <c r="B13" s="564"/>
      <c r="C13" s="180">
        <v>7</v>
      </c>
      <c r="D13" s="183" t="s">
        <v>475</v>
      </c>
      <c r="E13" s="180">
        <v>22</v>
      </c>
      <c r="F13" s="180">
        <v>2000</v>
      </c>
      <c r="G13" s="185">
        <f t="shared" si="10"/>
        <v>90.909090909090907</v>
      </c>
      <c r="H13" s="625"/>
      <c r="I13" s="186">
        <f t="shared" si="16"/>
        <v>22</v>
      </c>
      <c r="J13" s="186">
        <f t="shared" si="16"/>
        <v>1784.1206429340968</v>
      </c>
      <c r="K13" s="187">
        <f t="shared" si="16"/>
        <v>81.096392860640748</v>
      </c>
      <c r="L13" s="626"/>
      <c r="M13" s="186">
        <f>RANK(K13, K$7:$K$21)</f>
        <v>3</v>
      </c>
      <c r="N13" s="564"/>
      <c r="O13" s="564"/>
      <c r="P13" s="188">
        <v>22</v>
      </c>
      <c r="Q13" s="188">
        <v>1784.0836012861739</v>
      </c>
      <c r="R13" s="185">
        <f t="shared" si="17"/>
        <v>81.094709149371539</v>
      </c>
      <c r="S13" s="182">
        <f t="shared" si="18"/>
        <v>3</v>
      </c>
      <c r="T13" s="625"/>
      <c r="U13" s="188">
        <v>22</v>
      </c>
      <c r="V13" s="188">
        <v>1784.0166257320993</v>
      </c>
      <c r="W13" s="185">
        <f t="shared" si="11"/>
        <v>81.091664806004516</v>
      </c>
      <c r="X13" s="182">
        <f t="shared" si="19"/>
        <v>3</v>
      </c>
      <c r="Y13" s="625"/>
      <c r="Z13" s="188">
        <v>22</v>
      </c>
      <c r="AA13" s="188">
        <v>1784.0919133893078</v>
      </c>
      <c r="AB13" s="185">
        <f t="shared" si="12"/>
        <v>81.095086972241262</v>
      </c>
      <c r="AC13" s="182">
        <f t="shared" si="20"/>
        <v>3</v>
      </c>
      <c r="AD13" s="625"/>
      <c r="AE13" s="188">
        <v>22</v>
      </c>
      <c r="AF13" s="188">
        <v>1784.0251932436295</v>
      </c>
      <c r="AG13" s="185">
        <f t="shared" si="21"/>
        <v>81.09205423834679</v>
      </c>
      <c r="AH13" s="182">
        <f t="shared" si="22"/>
        <v>3</v>
      </c>
      <c r="AI13" s="625"/>
      <c r="AJ13" s="188">
        <v>22</v>
      </c>
      <c r="AK13" s="188">
        <v>1784.2649006622507</v>
      </c>
      <c r="AL13" s="185">
        <f t="shared" si="13"/>
        <v>81.102950030102306</v>
      </c>
      <c r="AM13" s="182">
        <f t="shared" si="23"/>
        <v>3</v>
      </c>
      <c r="AN13" s="625"/>
      <c r="AO13" s="188">
        <v>22</v>
      </c>
      <c r="AP13" s="188">
        <v>1784.1240875912404</v>
      </c>
      <c r="AQ13" s="185">
        <f t="shared" si="14"/>
        <v>81.096549435965471</v>
      </c>
      <c r="AR13" s="182">
        <f t="shared" si="24"/>
        <v>3</v>
      </c>
      <c r="AS13" s="625"/>
      <c r="AT13" s="188">
        <v>22</v>
      </c>
      <c r="AU13" s="188">
        <v>1784.2381786339747</v>
      </c>
      <c r="AV13" s="185">
        <f t="shared" si="15"/>
        <v>81.101735392453392</v>
      </c>
      <c r="AW13" s="182">
        <f t="shared" si="25"/>
        <v>3</v>
      </c>
      <c r="AX13" s="625"/>
    </row>
    <row r="14" spans="1:50" ht="14.25" customHeight="1">
      <c r="B14" s="564"/>
      <c r="C14" s="180">
        <v>8</v>
      </c>
      <c r="D14" s="183" t="s">
        <v>479</v>
      </c>
      <c r="E14" s="180">
        <v>20</v>
      </c>
      <c r="F14" s="180">
        <v>2000</v>
      </c>
      <c r="G14" s="185">
        <f t="shared" si="10"/>
        <v>100</v>
      </c>
      <c r="H14" s="625"/>
      <c r="I14" s="186">
        <f t="shared" si="16"/>
        <v>20</v>
      </c>
      <c r="J14" s="186">
        <f t="shared" si="16"/>
        <v>1784.2695062691528</v>
      </c>
      <c r="K14" s="187">
        <f t="shared" si="16"/>
        <v>89.213475313457636</v>
      </c>
      <c r="L14" s="626"/>
      <c r="M14" s="186">
        <f>RANK(K14, K$7:$K$21)</f>
        <v>1</v>
      </c>
      <c r="N14" s="564"/>
      <c r="O14" s="564"/>
      <c r="P14" s="188">
        <v>20</v>
      </c>
      <c r="Q14" s="188">
        <v>1783.8805970149256</v>
      </c>
      <c r="R14" s="185">
        <f t="shared" si="17"/>
        <v>89.194029850746276</v>
      </c>
      <c r="S14" s="182">
        <f t="shared" si="18"/>
        <v>1</v>
      </c>
      <c r="T14" s="625"/>
      <c r="U14" s="188">
        <v>20</v>
      </c>
      <c r="V14" s="188">
        <v>1783.9109299043446</v>
      </c>
      <c r="W14" s="185">
        <f t="shared" si="11"/>
        <v>89.195546495217229</v>
      </c>
      <c r="X14" s="182">
        <f t="shared" si="19"/>
        <v>1</v>
      </c>
      <c r="Y14" s="625"/>
      <c r="Z14" s="188">
        <v>20</v>
      </c>
      <c r="AA14" s="188">
        <v>1784.0982546864893</v>
      </c>
      <c r="AB14" s="185">
        <f t="shared" si="12"/>
        <v>89.204912734324466</v>
      </c>
      <c r="AC14" s="182">
        <f t="shared" si="20"/>
        <v>1</v>
      </c>
      <c r="AD14" s="625"/>
      <c r="AE14" s="188">
        <v>20</v>
      </c>
      <c r="AF14" s="188">
        <v>1784.2917878720084</v>
      </c>
      <c r="AG14" s="185">
        <f t="shared" si="21"/>
        <v>89.21458939360042</v>
      </c>
      <c r="AH14" s="182">
        <f t="shared" si="22"/>
        <v>1</v>
      </c>
      <c r="AI14" s="625"/>
      <c r="AJ14" s="188">
        <v>20</v>
      </c>
      <c r="AK14" s="188">
        <v>1784.5663010967114</v>
      </c>
      <c r="AL14" s="185">
        <f t="shared" si="13"/>
        <v>89.228315054835576</v>
      </c>
      <c r="AM14" s="182">
        <f t="shared" si="23"/>
        <v>1</v>
      </c>
      <c r="AN14" s="625"/>
      <c r="AO14" s="188">
        <v>20</v>
      </c>
      <c r="AP14" s="188">
        <v>1784.6039419858685</v>
      </c>
      <c r="AQ14" s="185">
        <f t="shared" si="14"/>
        <v>89.23019709929342</v>
      </c>
      <c r="AR14" s="182">
        <f t="shared" si="24"/>
        <v>1</v>
      </c>
      <c r="AS14" s="625"/>
      <c r="AT14" s="188">
        <v>20</v>
      </c>
      <c r="AU14" s="188">
        <v>1784.5347313237223</v>
      </c>
      <c r="AV14" s="185">
        <f t="shared" si="15"/>
        <v>89.226736566186119</v>
      </c>
      <c r="AW14" s="182">
        <f t="shared" si="25"/>
        <v>1</v>
      </c>
      <c r="AX14" s="625"/>
    </row>
    <row r="15" spans="1:50" ht="14.25" customHeight="1">
      <c r="B15" s="564"/>
      <c r="C15" s="180">
        <v>9</v>
      </c>
      <c r="D15" s="183" t="s">
        <v>547</v>
      </c>
      <c r="E15" s="180">
        <v>24</v>
      </c>
      <c r="F15" s="180">
        <v>2000</v>
      </c>
      <c r="G15" s="185">
        <f t="shared" si="10"/>
        <v>83.333333333333329</v>
      </c>
      <c r="H15" s="625"/>
      <c r="I15" s="186">
        <f t="shared" si="16"/>
        <v>24</v>
      </c>
      <c r="J15" s="186">
        <f t="shared" si="16"/>
        <v>1784.3713560053361</v>
      </c>
      <c r="K15" s="187">
        <f t="shared" si="16"/>
        <v>74.348806500222338</v>
      </c>
      <c r="L15" s="626"/>
      <c r="M15" s="186">
        <f>RANK(K15, K$7:$K$21)</f>
        <v>8</v>
      </c>
      <c r="N15" s="564"/>
      <c r="O15" s="564"/>
      <c r="P15" s="188">
        <v>24</v>
      </c>
      <c r="Q15" s="188">
        <v>1784.5777233782135</v>
      </c>
      <c r="R15" s="185">
        <f t="shared" si="17"/>
        <v>74.3574051407589</v>
      </c>
      <c r="S15" s="182">
        <f t="shared" si="18"/>
        <v>6</v>
      </c>
      <c r="T15" s="625"/>
      <c r="U15" s="188">
        <v>24</v>
      </c>
      <c r="V15" s="188">
        <v>1784.9162011173185</v>
      </c>
      <c r="W15" s="185">
        <f t="shared" si="11"/>
        <v>74.371508379888269</v>
      </c>
      <c r="X15" s="182">
        <f t="shared" si="19"/>
        <v>6</v>
      </c>
      <c r="Y15" s="625"/>
      <c r="Z15" s="188">
        <v>24</v>
      </c>
      <c r="AA15" s="188">
        <v>1783.7349397590365</v>
      </c>
      <c r="AB15" s="185">
        <f t="shared" si="12"/>
        <v>74.322289156626525</v>
      </c>
      <c r="AC15" s="182">
        <f t="shared" si="20"/>
        <v>8</v>
      </c>
      <c r="AD15" s="625"/>
      <c r="AE15" s="188">
        <v>24</v>
      </c>
      <c r="AF15" s="188">
        <v>1784.256559766776</v>
      </c>
      <c r="AG15" s="185">
        <f t="shared" si="21"/>
        <v>74.344023323615673</v>
      </c>
      <c r="AH15" s="182">
        <f t="shared" si="22"/>
        <v>8</v>
      </c>
      <c r="AI15" s="625"/>
      <c r="AJ15" s="188"/>
      <c r="AK15" s="188"/>
      <c r="AL15" s="185"/>
      <c r="AM15" s="182"/>
      <c r="AN15" s="625"/>
      <c r="AO15" s="188"/>
      <c r="AP15" s="188"/>
      <c r="AQ15" s="185"/>
      <c r="AR15" s="182"/>
      <c r="AS15" s="625"/>
      <c r="AT15" s="188"/>
      <c r="AU15" s="188"/>
      <c r="AV15" s="185"/>
      <c r="AW15" s="182"/>
      <c r="AX15" s="625"/>
    </row>
    <row r="16" spans="1:50" ht="14.25" customHeight="1">
      <c r="B16" s="564"/>
      <c r="C16" s="180">
        <v>10</v>
      </c>
      <c r="D16" s="183"/>
      <c r="E16" s="180"/>
      <c r="F16" s="180"/>
      <c r="G16" s="185"/>
      <c r="H16" s="625"/>
      <c r="I16" s="186"/>
      <c r="J16" s="186"/>
      <c r="K16" s="187"/>
      <c r="L16" s="626"/>
      <c r="M16" s="186"/>
      <c r="N16" s="564"/>
      <c r="O16" s="564"/>
      <c r="P16" s="188"/>
      <c r="Q16" s="188"/>
      <c r="R16" s="185"/>
      <c r="S16" s="182"/>
      <c r="T16" s="625"/>
      <c r="U16" s="188"/>
      <c r="V16" s="188"/>
      <c r="W16" s="185"/>
      <c r="X16" s="182"/>
      <c r="Y16" s="625"/>
      <c r="Z16" s="188"/>
      <c r="AA16" s="188"/>
      <c r="AB16" s="185"/>
      <c r="AC16" s="182"/>
      <c r="AD16" s="625"/>
      <c r="AE16" s="188"/>
      <c r="AF16" s="188"/>
      <c r="AG16" s="185"/>
      <c r="AH16" s="182"/>
      <c r="AI16" s="625"/>
      <c r="AJ16" s="188"/>
      <c r="AK16" s="188"/>
      <c r="AL16" s="185"/>
      <c r="AM16" s="182"/>
      <c r="AN16" s="625"/>
      <c r="AO16" s="188"/>
      <c r="AP16" s="188"/>
      <c r="AQ16" s="185"/>
      <c r="AR16" s="182"/>
      <c r="AS16" s="625"/>
      <c r="AT16" s="188"/>
      <c r="AU16" s="188"/>
      <c r="AV16" s="185"/>
      <c r="AW16" s="182"/>
      <c r="AX16" s="625"/>
    </row>
    <row r="17" spans="2:50" ht="14.25" customHeight="1">
      <c r="B17" s="564"/>
      <c r="C17" s="180">
        <v>11</v>
      </c>
      <c r="D17" s="183"/>
      <c r="E17" s="180"/>
      <c r="F17" s="180"/>
      <c r="G17" s="185"/>
      <c r="H17" s="625"/>
      <c r="I17" s="186"/>
      <c r="J17" s="186"/>
      <c r="K17" s="187"/>
      <c r="L17" s="626"/>
      <c r="M17" s="186"/>
      <c r="N17" s="564"/>
      <c r="O17" s="564"/>
      <c r="P17" s="188"/>
      <c r="Q17" s="188"/>
      <c r="R17" s="185"/>
      <c r="S17" s="182"/>
      <c r="T17" s="625"/>
      <c r="U17" s="188"/>
      <c r="V17" s="188"/>
      <c r="W17" s="185"/>
      <c r="X17" s="182"/>
      <c r="Y17" s="625"/>
      <c r="Z17" s="188"/>
      <c r="AA17" s="188"/>
      <c r="AB17" s="185"/>
      <c r="AC17" s="182"/>
      <c r="AD17" s="625"/>
      <c r="AE17" s="188"/>
      <c r="AF17" s="188"/>
      <c r="AG17" s="185"/>
      <c r="AH17" s="182"/>
      <c r="AI17" s="625"/>
      <c r="AJ17" s="188"/>
      <c r="AK17" s="188"/>
      <c r="AL17" s="185"/>
      <c r="AM17" s="182"/>
      <c r="AN17" s="625"/>
      <c r="AO17" s="188"/>
      <c r="AP17" s="188"/>
      <c r="AQ17" s="185"/>
      <c r="AR17" s="182"/>
      <c r="AS17" s="625"/>
      <c r="AT17" s="188"/>
      <c r="AU17" s="188"/>
      <c r="AV17" s="185"/>
      <c r="AW17" s="182"/>
      <c r="AX17" s="625"/>
    </row>
    <row r="18" spans="2:50" ht="14.25" customHeight="1">
      <c r="B18" s="564"/>
      <c r="C18" s="180">
        <v>12</v>
      </c>
      <c r="D18" s="183"/>
      <c r="E18" s="180"/>
      <c r="F18" s="180"/>
      <c r="G18" s="185"/>
      <c r="H18" s="625"/>
      <c r="I18" s="186"/>
      <c r="J18" s="186"/>
      <c r="K18" s="187"/>
      <c r="L18" s="626"/>
      <c r="M18" s="186"/>
      <c r="N18" s="564"/>
      <c r="O18" s="564"/>
      <c r="P18" s="188"/>
      <c r="Q18" s="188"/>
      <c r="R18" s="185"/>
      <c r="S18" s="182"/>
      <c r="T18" s="625"/>
      <c r="U18" s="188"/>
      <c r="V18" s="188"/>
      <c r="W18" s="185"/>
      <c r="X18" s="182"/>
      <c r="Y18" s="625"/>
      <c r="Z18" s="188"/>
      <c r="AA18" s="188"/>
      <c r="AB18" s="185"/>
      <c r="AC18" s="182"/>
      <c r="AD18" s="625"/>
      <c r="AE18" s="188"/>
      <c r="AF18" s="188"/>
      <c r="AG18" s="185"/>
      <c r="AH18" s="182"/>
      <c r="AI18" s="625"/>
      <c r="AJ18" s="188"/>
      <c r="AK18" s="188"/>
      <c r="AL18" s="185"/>
      <c r="AM18" s="182"/>
      <c r="AN18" s="625"/>
      <c r="AO18" s="188"/>
      <c r="AP18" s="188"/>
      <c r="AQ18" s="185"/>
      <c r="AR18" s="182"/>
      <c r="AS18" s="625"/>
      <c r="AT18" s="188"/>
      <c r="AU18" s="188"/>
      <c r="AV18" s="185"/>
      <c r="AW18" s="182"/>
      <c r="AX18" s="625"/>
    </row>
    <row r="19" spans="2:50" ht="14.25" customHeight="1">
      <c r="B19" s="564"/>
      <c r="C19" s="180">
        <v>13</v>
      </c>
      <c r="D19" s="183"/>
      <c r="E19" s="180"/>
      <c r="F19" s="180"/>
      <c r="G19" s="185"/>
      <c r="H19" s="625"/>
      <c r="I19" s="186"/>
      <c r="J19" s="186"/>
      <c r="K19" s="187"/>
      <c r="L19" s="626"/>
      <c r="M19" s="186"/>
      <c r="N19" s="564"/>
      <c r="O19" s="564"/>
      <c r="P19" s="188"/>
      <c r="Q19" s="188"/>
      <c r="R19" s="185"/>
      <c r="S19" s="182"/>
      <c r="T19" s="625"/>
      <c r="U19" s="188"/>
      <c r="V19" s="188"/>
      <c r="W19" s="185"/>
      <c r="X19" s="182"/>
      <c r="Y19" s="625"/>
      <c r="Z19" s="188"/>
      <c r="AA19" s="188"/>
      <c r="AB19" s="185"/>
      <c r="AC19" s="182"/>
      <c r="AD19" s="625"/>
      <c r="AE19" s="188"/>
      <c r="AF19" s="188"/>
      <c r="AG19" s="185"/>
      <c r="AH19" s="182"/>
      <c r="AI19" s="625"/>
      <c r="AJ19" s="188"/>
      <c r="AK19" s="188"/>
      <c r="AL19" s="185"/>
      <c r="AM19" s="182"/>
      <c r="AN19" s="625"/>
      <c r="AO19" s="188"/>
      <c r="AP19" s="188"/>
      <c r="AQ19" s="185"/>
      <c r="AR19" s="182"/>
      <c r="AS19" s="625"/>
      <c r="AT19" s="188"/>
      <c r="AU19" s="188"/>
      <c r="AV19" s="185"/>
      <c r="AW19" s="182"/>
      <c r="AX19" s="625"/>
    </row>
    <row r="20" spans="2:50" ht="14.25" customHeight="1">
      <c r="B20" s="564"/>
      <c r="C20" s="180">
        <v>14</v>
      </c>
      <c r="D20" s="183"/>
      <c r="E20" s="180"/>
      <c r="F20" s="180"/>
      <c r="G20" s="185"/>
      <c r="H20" s="625"/>
      <c r="I20" s="186"/>
      <c r="J20" s="186"/>
      <c r="K20" s="187"/>
      <c r="L20" s="626"/>
      <c r="M20" s="186"/>
      <c r="N20" s="564"/>
      <c r="O20" s="564"/>
      <c r="P20" s="188"/>
      <c r="Q20" s="188"/>
      <c r="R20" s="185"/>
      <c r="S20" s="182"/>
      <c r="T20" s="625"/>
      <c r="U20" s="188"/>
      <c r="V20" s="188"/>
      <c r="W20" s="185"/>
      <c r="X20" s="182"/>
      <c r="Y20" s="625"/>
      <c r="Z20" s="188"/>
      <c r="AA20" s="188"/>
      <c r="AB20" s="185"/>
      <c r="AC20" s="182"/>
      <c r="AD20" s="625"/>
      <c r="AE20" s="188"/>
      <c r="AF20" s="188"/>
      <c r="AG20" s="185"/>
      <c r="AH20" s="182"/>
      <c r="AI20" s="625"/>
      <c r="AJ20" s="188"/>
      <c r="AK20" s="188"/>
      <c r="AL20" s="185"/>
      <c r="AM20" s="182"/>
      <c r="AN20" s="625"/>
      <c r="AO20" s="188"/>
      <c r="AP20" s="188"/>
      <c r="AQ20" s="185"/>
      <c r="AR20" s="182"/>
      <c r="AS20" s="625"/>
      <c r="AT20" s="188"/>
      <c r="AU20" s="188"/>
      <c r="AV20" s="185"/>
      <c r="AW20" s="182"/>
      <c r="AX20" s="625"/>
    </row>
    <row r="21" spans="2:50" ht="14.25" customHeight="1">
      <c r="B21" s="564"/>
      <c r="C21" s="180">
        <v>15</v>
      </c>
      <c r="D21" s="183"/>
      <c r="E21" s="180"/>
      <c r="F21" s="180"/>
      <c r="G21" s="185"/>
      <c r="H21" s="625"/>
      <c r="I21" s="186"/>
      <c r="J21" s="186"/>
      <c r="K21" s="187"/>
      <c r="L21" s="626"/>
      <c r="M21" s="186"/>
      <c r="N21" s="564"/>
      <c r="O21" s="564"/>
      <c r="P21" s="188"/>
      <c r="Q21" s="188"/>
      <c r="R21" s="185"/>
      <c r="S21" s="182"/>
      <c r="T21" s="625"/>
      <c r="U21" s="188"/>
      <c r="V21" s="188"/>
      <c r="W21" s="185"/>
      <c r="X21" s="182"/>
      <c r="Y21" s="625"/>
      <c r="Z21" s="188"/>
      <c r="AA21" s="188"/>
      <c r="AB21" s="185"/>
      <c r="AC21" s="182"/>
      <c r="AD21" s="625"/>
      <c r="AE21" s="188"/>
      <c r="AF21" s="188"/>
      <c r="AG21" s="185"/>
      <c r="AH21" s="182"/>
      <c r="AI21" s="625"/>
      <c r="AJ21" s="188"/>
      <c r="AK21" s="188"/>
      <c r="AL21" s="185"/>
      <c r="AM21" s="182"/>
      <c r="AN21" s="625"/>
      <c r="AO21" s="188"/>
      <c r="AP21" s="188"/>
      <c r="AQ21" s="185"/>
      <c r="AR21" s="182"/>
      <c r="AS21" s="625"/>
      <c r="AT21" s="188"/>
      <c r="AU21" s="188"/>
      <c r="AV21" s="185"/>
      <c r="AW21" s="182"/>
      <c r="AX21" s="625"/>
    </row>
    <row r="22" spans="2:50" ht="14.25" customHeight="1">
      <c r="B22" s="646" t="s">
        <v>641</v>
      </c>
      <c r="C22" s="642"/>
      <c r="D22" s="642"/>
      <c r="E22" s="642"/>
      <c r="F22" s="642"/>
      <c r="G22" s="642"/>
      <c r="H22" s="642"/>
      <c r="I22" s="642"/>
      <c r="J22" s="642"/>
      <c r="K22" s="642"/>
      <c r="L22" s="642"/>
      <c r="M22" s="643"/>
      <c r="N22" s="575" t="s">
        <v>377</v>
      </c>
      <c r="O22" s="575" t="s">
        <v>105</v>
      </c>
      <c r="P22" s="655">
        <v>46084</v>
      </c>
      <c r="Q22" s="656"/>
      <c r="R22" s="656"/>
      <c r="S22" s="656"/>
      <c r="T22" s="656"/>
      <c r="U22" s="657">
        <v>46085</v>
      </c>
      <c r="V22" s="658"/>
      <c r="W22" s="658"/>
      <c r="X22" s="658"/>
      <c r="Y22" s="658"/>
      <c r="Z22" s="655">
        <v>46086</v>
      </c>
      <c r="AA22" s="656"/>
      <c r="AB22" s="656"/>
      <c r="AC22" s="656"/>
      <c r="AD22" s="656"/>
      <c r="AE22" s="657">
        <v>46087</v>
      </c>
      <c r="AF22" s="658"/>
      <c r="AG22" s="658"/>
      <c r="AH22" s="658"/>
      <c r="AI22" s="658"/>
      <c r="AJ22" s="647">
        <v>46088</v>
      </c>
      <c r="AK22" s="648"/>
      <c r="AL22" s="648"/>
      <c r="AM22" s="648"/>
      <c r="AN22" s="649"/>
      <c r="AO22" s="657">
        <v>46089</v>
      </c>
      <c r="AP22" s="658"/>
      <c r="AQ22" s="658"/>
      <c r="AR22" s="658"/>
      <c r="AS22" s="658"/>
      <c r="AT22" s="647">
        <v>46090</v>
      </c>
      <c r="AU22" s="648"/>
      <c r="AV22" s="648"/>
      <c r="AW22" s="648"/>
      <c r="AX22" s="649"/>
    </row>
    <row r="23" spans="2:50" ht="14.25" customHeight="1">
      <c r="B23" s="644"/>
      <c r="C23" s="644"/>
      <c r="D23" s="644"/>
      <c r="E23" s="644"/>
      <c r="F23" s="644"/>
      <c r="G23" s="644"/>
      <c r="H23" s="644"/>
      <c r="I23" s="644"/>
      <c r="J23" s="644"/>
      <c r="K23" s="644"/>
      <c r="L23" s="644"/>
      <c r="M23" s="645"/>
      <c r="N23" s="577"/>
      <c r="O23" s="577"/>
      <c r="P23" s="650">
        <v>46084</v>
      </c>
      <c r="Q23" s="650"/>
      <c r="R23" s="650"/>
      <c r="S23" s="650"/>
      <c r="T23" s="650"/>
      <c r="U23" s="651">
        <v>46085</v>
      </c>
      <c r="V23" s="651"/>
      <c r="W23" s="651"/>
      <c r="X23" s="651"/>
      <c r="Y23" s="651"/>
      <c r="Z23" s="650">
        <v>46086</v>
      </c>
      <c r="AA23" s="650"/>
      <c r="AB23" s="650"/>
      <c r="AC23" s="650"/>
      <c r="AD23" s="650"/>
      <c r="AE23" s="651">
        <v>46087</v>
      </c>
      <c r="AF23" s="651"/>
      <c r="AG23" s="651"/>
      <c r="AH23" s="651"/>
      <c r="AI23" s="651"/>
      <c r="AJ23" s="652">
        <v>46088</v>
      </c>
      <c r="AK23" s="653"/>
      <c r="AL23" s="653"/>
      <c r="AM23" s="653"/>
      <c r="AN23" s="654"/>
      <c r="AO23" s="651">
        <v>46089</v>
      </c>
      <c r="AP23" s="651"/>
      <c r="AQ23" s="651"/>
      <c r="AR23" s="651"/>
      <c r="AS23" s="651"/>
      <c r="AT23" s="652">
        <v>46090</v>
      </c>
      <c r="AU23" s="653"/>
      <c r="AV23" s="653"/>
      <c r="AW23" s="653"/>
      <c r="AX23" s="654"/>
    </row>
    <row r="24" spans="2:50" ht="14.25" customHeight="1">
      <c r="B24" s="564" t="s">
        <v>164</v>
      </c>
      <c r="C24" s="564" t="s">
        <v>159</v>
      </c>
      <c r="D24" s="564"/>
      <c r="E24" s="564" t="s">
        <v>160</v>
      </c>
      <c r="F24" s="564"/>
      <c r="G24" s="564"/>
      <c r="H24" s="564" t="s">
        <v>165</v>
      </c>
      <c r="I24" s="628" t="s">
        <v>378</v>
      </c>
      <c r="J24" s="628"/>
      <c r="K24" s="628"/>
      <c r="L24" s="628" t="s">
        <v>165</v>
      </c>
      <c r="M24" s="628" t="s">
        <v>167</v>
      </c>
      <c r="N24" s="564"/>
      <c r="O24" s="564" t="s">
        <v>166</v>
      </c>
      <c r="P24" s="564" t="s">
        <v>162</v>
      </c>
      <c r="Q24" s="564"/>
      <c r="R24" s="564"/>
      <c r="S24" s="564"/>
      <c r="T24" s="564" t="s">
        <v>165</v>
      </c>
      <c r="U24" s="564" t="s">
        <v>162</v>
      </c>
      <c r="V24" s="564"/>
      <c r="W24" s="564"/>
      <c r="X24" s="564"/>
      <c r="Y24" s="564" t="s">
        <v>165</v>
      </c>
      <c r="Z24" s="564" t="s">
        <v>162</v>
      </c>
      <c r="AA24" s="564"/>
      <c r="AB24" s="564"/>
      <c r="AC24" s="564"/>
      <c r="AD24" s="564" t="s">
        <v>165</v>
      </c>
      <c r="AE24" s="564" t="s">
        <v>162</v>
      </c>
      <c r="AF24" s="564"/>
      <c r="AG24" s="564"/>
      <c r="AH24" s="564"/>
      <c r="AI24" s="564" t="s">
        <v>165</v>
      </c>
      <c r="AJ24" s="564" t="s">
        <v>162</v>
      </c>
      <c r="AK24" s="564"/>
      <c r="AL24" s="564"/>
      <c r="AM24" s="564"/>
      <c r="AN24" s="564" t="s">
        <v>165</v>
      </c>
      <c r="AO24" s="564" t="s">
        <v>162</v>
      </c>
      <c r="AP24" s="564"/>
      <c r="AQ24" s="564"/>
      <c r="AR24" s="564"/>
      <c r="AS24" s="564" t="s">
        <v>165</v>
      </c>
      <c r="AT24" s="564" t="s">
        <v>162</v>
      </c>
      <c r="AU24" s="564"/>
      <c r="AV24" s="564"/>
      <c r="AW24" s="564"/>
      <c r="AX24" s="564" t="s">
        <v>165</v>
      </c>
    </row>
    <row r="25" spans="2:50" ht="14.25" customHeight="1">
      <c r="B25" s="564"/>
      <c r="C25" s="564"/>
      <c r="D25" s="564"/>
      <c r="E25" s="564" t="s">
        <v>379</v>
      </c>
      <c r="F25" s="564"/>
      <c r="G25" s="564"/>
      <c r="H25" s="564"/>
      <c r="I25" s="628" t="s">
        <v>379</v>
      </c>
      <c r="J25" s="628"/>
      <c r="K25" s="628"/>
      <c r="L25" s="628"/>
      <c r="M25" s="628"/>
      <c r="N25" s="564"/>
      <c r="O25" s="564"/>
      <c r="P25" s="564" t="s">
        <v>380</v>
      </c>
      <c r="Q25" s="564"/>
      <c r="R25" s="564"/>
      <c r="S25" s="564"/>
      <c r="T25" s="564"/>
      <c r="U25" s="564" t="s">
        <v>380</v>
      </c>
      <c r="V25" s="564"/>
      <c r="W25" s="564"/>
      <c r="X25" s="564"/>
      <c r="Y25" s="564"/>
      <c r="Z25" s="564" t="s">
        <v>380</v>
      </c>
      <c r="AA25" s="564"/>
      <c r="AB25" s="564"/>
      <c r="AC25" s="564"/>
      <c r="AD25" s="564"/>
      <c r="AE25" s="564" t="s">
        <v>380</v>
      </c>
      <c r="AF25" s="564"/>
      <c r="AG25" s="564"/>
      <c r="AH25" s="564"/>
      <c r="AI25" s="564"/>
      <c r="AJ25" s="564" t="s">
        <v>380</v>
      </c>
      <c r="AK25" s="564"/>
      <c r="AL25" s="564"/>
      <c r="AM25" s="564"/>
      <c r="AN25" s="564"/>
      <c r="AO25" s="564" t="s">
        <v>380</v>
      </c>
      <c r="AP25" s="564"/>
      <c r="AQ25" s="564"/>
      <c r="AR25" s="564"/>
      <c r="AS25" s="564"/>
      <c r="AT25" s="564" t="s">
        <v>380</v>
      </c>
      <c r="AU25" s="564"/>
      <c r="AV25" s="564"/>
      <c r="AW25" s="564"/>
      <c r="AX25" s="564"/>
    </row>
    <row r="26" spans="2:50" ht="14.25" customHeight="1">
      <c r="B26" s="564"/>
      <c r="C26" s="564"/>
      <c r="D26" s="564"/>
      <c r="E26" s="180" t="s">
        <v>161</v>
      </c>
      <c r="F26" s="180" t="s">
        <v>381</v>
      </c>
      <c r="G26" s="180" t="s">
        <v>163</v>
      </c>
      <c r="H26" s="564"/>
      <c r="I26" s="181" t="s">
        <v>161</v>
      </c>
      <c r="J26" s="181" t="s">
        <v>381</v>
      </c>
      <c r="K26" s="181" t="s">
        <v>163</v>
      </c>
      <c r="L26" s="628"/>
      <c r="M26" s="628"/>
      <c r="N26" s="564"/>
      <c r="O26" s="564"/>
      <c r="P26" s="180" t="s">
        <v>161</v>
      </c>
      <c r="Q26" s="180" t="s">
        <v>381</v>
      </c>
      <c r="R26" s="180" t="s">
        <v>163</v>
      </c>
      <c r="S26" s="182" t="s">
        <v>167</v>
      </c>
      <c r="T26" s="564"/>
      <c r="U26" s="180" t="s">
        <v>161</v>
      </c>
      <c r="V26" s="180" t="s">
        <v>381</v>
      </c>
      <c r="W26" s="180" t="s">
        <v>163</v>
      </c>
      <c r="X26" s="182" t="s">
        <v>167</v>
      </c>
      <c r="Y26" s="564"/>
      <c r="Z26" s="180" t="s">
        <v>161</v>
      </c>
      <c r="AA26" s="180" t="s">
        <v>381</v>
      </c>
      <c r="AB26" s="180" t="s">
        <v>163</v>
      </c>
      <c r="AC26" s="182" t="s">
        <v>167</v>
      </c>
      <c r="AD26" s="564"/>
      <c r="AE26" s="180" t="s">
        <v>161</v>
      </c>
      <c r="AF26" s="180" t="s">
        <v>381</v>
      </c>
      <c r="AG26" s="180" t="s">
        <v>163</v>
      </c>
      <c r="AH26" s="182" t="s">
        <v>167</v>
      </c>
      <c r="AI26" s="564"/>
      <c r="AJ26" s="180" t="s">
        <v>161</v>
      </c>
      <c r="AK26" s="180" t="s">
        <v>381</v>
      </c>
      <c r="AL26" s="180" t="s">
        <v>163</v>
      </c>
      <c r="AM26" s="182" t="s">
        <v>167</v>
      </c>
      <c r="AN26" s="564"/>
      <c r="AO26" s="180" t="s">
        <v>161</v>
      </c>
      <c r="AP26" s="180" t="s">
        <v>381</v>
      </c>
      <c r="AQ26" s="180" t="s">
        <v>163</v>
      </c>
      <c r="AR26" s="182" t="s">
        <v>167</v>
      </c>
      <c r="AS26" s="564"/>
      <c r="AT26" s="180" t="s">
        <v>161</v>
      </c>
      <c r="AU26" s="180" t="s">
        <v>381</v>
      </c>
      <c r="AV26" s="180" t="s">
        <v>163</v>
      </c>
      <c r="AW26" s="182" t="s">
        <v>167</v>
      </c>
      <c r="AX26" s="564"/>
    </row>
    <row r="27" spans="2:50" ht="14.25" customHeight="1">
      <c r="B27" s="564" t="s">
        <v>138</v>
      </c>
      <c r="C27" s="180">
        <v>1</v>
      </c>
      <c r="D27" s="183" t="s">
        <v>360</v>
      </c>
      <c r="E27" s="180">
        <v>21</v>
      </c>
      <c r="F27" s="180">
        <v>2000</v>
      </c>
      <c r="G27" s="185">
        <f t="shared" ref="G27:G34" si="26">F27/E27</f>
        <v>95.238095238095241</v>
      </c>
      <c r="H27" s="625">
        <f>AVERAGE(G27:G41)</f>
        <v>88.340862036514196</v>
      </c>
      <c r="I27" s="186">
        <f>AVERAGE(P27,U27,Z27,AE27,AJ27,AO27,AT27)</f>
        <v>22</v>
      </c>
      <c r="J27" s="186">
        <f>AVERAGE(Q27,V27,AA27,AF27,AK27,AP27,AU27)</f>
        <v>1783.0670487844661</v>
      </c>
      <c r="K27" s="187">
        <f>AVERAGE(R27,W27,AB27,AG27,AL27,AQ27,AV27)</f>
        <v>81.048502217475729</v>
      </c>
      <c r="L27" s="626">
        <f>IFERROR(AVERAGE(K27:K41),"-")</f>
        <v>76.642721185599854</v>
      </c>
      <c r="M27" s="186">
        <f>RANK(K27, K$27:$K$41)</f>
        <v>3</v>
      </c>
      <c r="N27" s="564"/>
      <c r="O27" s="564"/>
      <c r="P27" s="188">
        <v>22</v>
      </c>
      <c r="Q27" s="188">
        <v>1782.6106492922945</v>
      </c>
      <c r="R27" s="185">
        <f>IFERROR(Q27/P27,"")</f>
        <v>81.027756786013384</v>
      </c>
      <c r="S27" s="182">
        <f>RANK(R27, R$27:R$41)</f>
        <v>3</v>
      </c>
      <c r="T27" s="625">
        <f>AVERAGE(R27:R41)</f>
        <v>76.250340186847524</v>
      </c>
      <c r="U27" s="188">
        <v>22</v>
      </c>
      <c r="V27" s="188">
        <v>1782.9735629396077</v>
      </c>
      <c r="W27" s="185">
        <f t="shared" ref="W27:W34" si="27">IFERROR(V27/U27,"")</f>
        <v>81.044252860891262</v>
      </c>
      <c r="X27" s="182">
        <f>RANK(W27, W$27:W$41)</f>
        <v>3</v>
      </c>
      <c r="Y27" s="625">
        <f>AVERAGE(W27:W41)</f>
        <v>76.251307517619296</v>
      </c>
      <c r="Z27" s="188">
        <v>22</v>
      </c>
      <c r="AA27" s="188">
        <v>1783.3424060968962</v>
      </c>
      <c r="AB27" s="185">
        <f t="shared" ref="AB27:AB34" si="28">IFERROR(AA27/Z27,"")</f>
        <v>81.061018458949832</v>
      </c>
      <c r="AC27" s="182">
        <f>RANK(AB27, AB$27:AB$41)</f>
        <v>3</v>
      </c>
      <c r="AD27" s="625">
        <f>AVERAGE(AB27:AB41)</f>
        <v>76.796916215304577</v>
      </c>
      <c r="AE27" s="188">
        <v>22</v>
      </c>
      <c r="AF27" s="188">
        <v>1783.2817337461308</v>
      </c>
      <c r="AG27" s="185">
        <f>IFERROR(AF27/AE27,"")</f>
        <v>81.058260624824129</v>
      </c>
      <c r="AH27" s="182">
        <f>RANK(AG27, AG$27:AG$41)</f>
        <v>3</v>
      </c>
      <c r="AI27" s="625">
        <f>AVERAGE(AG27:AG41)</f>
        <v>76.794838228996781</v>
      </c>
      <c r="AJ27" s="188">
        <v>22</v>
      </c>
      <c r="AK27" s="188">
        <v>1783.1868131868134</v>
      </c>
      <c r="AL27" s="185">
        <f t="shared" ref="AL27:AL34" si="29">IFERROR(AK27/AJ27,"")</f>
        <v>81.053946053946063</v>
      </c>
      <c r="AM27" s="182">
        <f>RANK(AL27, AL$27:AL$41)</f>
        <v>3</v>
      </c>
      <c r="AN27" s="625">
        <f>AVERAGE(AL27:AL41)</f>
        <v>76.800742287396133</v>
      </c>
      <c r="AO27" s="188">
        <v>22</v>
      </c>
      <c r="AP27" s="188">
        <v>1782.8889404127051</v>
      </c>
      <c r="AQ27" s="185">
        <f t="shared" ref="AQ27:AQ34" si="30">IFERROR(AP27/AO27,"")</f>
        <v>81.040406382395688</v>
      </c>
      <c r="AR27" s="182">
        <f>RANK(AQ27, AQ$27:AQ$41)</f>
        <v>3</v>
      </c>
      <c r="AS27" s="625">
        <f>AVERAGE(AQ27:AQ41)</f>
        <v>76.800937135504128</v>
      </c>
      <c r="AT27" s="188">
        <v>22</v>
      </c>
      <c r="AU27" s="188">
        <v>1783.1852358168146</v>
      </c>
      <c r="AV27" s="185">
        <f t="shared" ref="AV27:AV34" si="31">IFERROR(AU27/AT27,"")</f>
        <v>81.053874355309759</v>
      </c>
      <c r="AW27" s="182">
        <f>RANK(AV27, AV$27:AV$41)</f>
        <v>3</v>
      </c>
      <c r="AX27" s="625">
        <f>AVERAGE(AV27:AV41)</f>
        <v>76.803966727530621</v>
      </c>
    </row>
    <row r="28" spans="2:50" ht="14.25" customHeight="1">
      <c r="B28" s="564"/>
      <c r="C28" s="180">
        <v>2</v>
      </c>
      <c r="D28" s="183" t="s">
        <v>361</v>
      </c>
      <c r="E28" s="180">
        <v>25</v>
      </c>
      <c r="F28" s="180">
        <v>2000</v>
      </c>
      <c r="G28" s="185">
        <f t="shared" si="26"/>
        <v>80</v>
      </c>
      <c r="H28" s="625"/>
      <c r="I28" s="186">
        <f t="shared" ref="I28:K34" si="32">AVERAGE(P28,U28,Z28,AE28,AJ28,AO28,AT28)</f>
        <v>26</v>
      </c>
      <c r="J28" s="186">
        <f t="shared" si="32"/>
        <v>1783.8554768179031</v>
      </c>
      <c r="K28" s="187">
        <f t="shared" si="32"/>
        <v>68.6098260314578</v>
      </c>
      <c r="L28" s="626"/>
      <c r="M28" s="186">
        <f>RANK(K28, K$27:$K$41)</f>
        <v>8</v>
      </c>
      <c r="N28" s="564"/>
      <c r="O28" s="564"/>
      <c r="P28" s="188">
        <v>26</v>
      </c>
      <c r="Q28" s="188">
        <v>1783.6627364492324</v>
      </c>
      <c r="R28" s="185">
        <f t="shared" ref="R28:R34" si="33">IFERROR(Q28/P28,"")</f>
        <v>68.602412940355094</v>
      </c>
      <c r="S28" s="182">
        <f t="shared" ref="S28:S34" si="34">RANK(R28, R$27:R$41)</f>
        <v>8</v>
      </c>
      <c r="T28" s="625"/>
      <c r="U28" s="188">
        <v>26</v>
      </c>
      <c r="V28" s="188">
        <v>1783.6825141015311</v>
      </c>
      <c r="W28" s="185">
        <f t="shared" si="27"/>
        <v>68.603173619289663</v>
      </c>
      <c r="X28" s="182">
        <f t="shared" ref="X28:X34" si="35">RANK(W28, W$27:W$41)</f>
        <v>8</v>
      </c>
      <c r="Y28" s="625"/>
      <c r="Z28" s="188">
        <v>26</v>
      </c>
      <c r="AA28" s="188">
        <v>1783.9762611275964</v>
      </c>
      <c r="AB28" s="185">
        <f t="shared" si="28"/>
        <v>68.614471581830628</v>
      </c>
      <c r="AC28" s="182">
        <f t="shared" ref="AC28:AC34" si="36">RANK(AB28, AB$27:AB$41)</f>
        <v>8</v>
      </c>
      <c r="AD28" s="625"/>
      <c r="AE28" s="188">
        <v>26</v>
      </c>
      <c r="AF28" s="188">
        <v>1783.98249452954</v>
      </c>
      <c r="AG28" s="185">
        <f t="shared" ref="AG28:AG34" si="37">IFERROR(AF28/AE28,"")</f>
        <v>68.614711328059229</v>
      </c>
      <c r="AH28" s="182">
        <f t="shared" ref="AH28:AH34" si="38">RANK(AG28, AG$27:AG$41)</f>
        <v>8</v>
      </c>
      <c r="AI28" s="625"/>
      <c r="AJ28" s="188">
        <v>26</v>
      </c>
      <c r="AK28" s="188">
        <v>1783.91356542617</v>
      </c>
      <c r="AL28" s="185">
        <f t="shared" si="29"/>
        <v>68.61206020869885</v>
      </c>
      <c r="AM28" s="182">
        <f t="shared" ref="AM28:AM34" si="39">RANK(AL28, AL$27:AL$41)</f>
        <v>8</v>
      </c>
      <c r="AN28" s="625"/>
      <c r="AO28" s="188">
        <v>26</v>
      </c>
      <c r="AP28" s="188">
        <v>1783.9098328799064</v>
      </c>
      <c r="AQ28" s="185">
        <f t="shared" si="30"/>
        <v>68.611916649227169</v>
      </c>
      <c r="AR28" s="182">
        <f t="shared" ref="AR28:AR34" si="40">RANK(AQ28, AQ$27:AQ$41)</f>
        <v>8</v>
      </c>
      <c r="AS28" s="625"/>
      <c r="AT28" s="188">
        <v>26</v>
      </c>
      <c r="AU28" s="188">
        <v>1783.8609332113444</v>
      </c>
      <c r="AV28" s="185">
        <f t="shared" si="31"/>
        <v>68.610035892744023</v>
      </c>
      <c r="AW28" s="182">
        <f t="shared" ref="AW28:AW34" si="41">RANK(AV28, AV$27:AV$41)</f>
        <v>8</v>
      </c>
      <c r="AX28" s="625"/>
    </row>
    <row r="29" spans="2:50" ht="14.25" customHeight="1">
      <c r="B29" s="564"/>
      <c r="C29" s="180">
        <v>3</v>
      </c>
      <c r="D29" s="183" t="s">
        <v>362</v>
      </c>
      <c r="E29" s="180">
        <v>23</v>
      </c>
      <c r="F29" s="180">
        <v>2000</v>
      </c>
      <c r="G29" s="185">
        <f t="shared" si="26"/>
        <v>86.956521739130437</v>
      </c>
      <c r="H29" s="625"/>
      <c r="I29" s="186">
        <f t="shared" si="32"/>
        <v>24</v>
      </c>
      <c r="J29" s="186">
        <f t="shared" si="32"/>
        <v>1782.012160607881</v>
      </c>
      <c r="K29" s="187">
        <f t="shared" si="32"/>
        <v>74.250506691995028</v>
      </c>
      <c r="L29" s="626"/>
      <c r="M29" s="186">
        <f>RANK(K29, K$27:$K$41)</f>
        <v>6</v>
      </c>
      <c r="N29" s="564"/>
      <c r="O29" s="564"/>
      <c r="P29" s="188">
        <v>24</v>
      </c>
      <c r="Q29" s="188">
        <v>1781.9999999999998</v>
      </c>
      <c r="R29" s="185">
        <f t="shared" si="33"/>
        <v>74.249999999999986</v>
      </c>
      <c r="S29" s="182">
        <f t="shared" si="34"/>
        <v>6</v>
      </c>
      <c r="T29" s="625"/>
      <c r="U29" s="188">
        <v>24</v>
      </c>
      <c r="V29" s="188">
        <v>1781.9140919366987</v>
      </c>
      <c r="W29" s="185">
        <f t="shared" si="27"/>
        <v>74.24642049736245</v>
      </c>
      <c r="X29" s="182">
        <f t="shared" si="35"/>
        <v>6</v>
      </c>
      <c r="Y29" s="625"/>
      <c r="Z29" s="188">
        <v>24</v>
      </c>
      <c r="AA29" s="188">
        <v>1781.83368869936</v>
      </c>
      <c r="AB29" s="185">
        <f t="shared" si="28"/>
        <v>74.243070362473333</v>
      </c>
      <c r="AC29" s="182">
        <f t="shared" si="36"/>
        <v>6</v>
      </c>
      <c r="AD29" s="625"/>
      <c r="AE29" s="188">
        <v>24</v>
      </c>
      <c r="AF29" s="188">
        <v>1781.8791946308711</v>
      </c>
      <c r="AG29" s="185">
        <f t="shared" si="37"/>
        <v>74.244966442952958</v>
      </c>
      <c r="AH29" s="182">
        <f t="shared" si="38"/>
        <v>6</v>
      </c>
      <c r="AI29" s="625"/>
      <c r="AJ29" s="188">
        <v>24</v>
      </c>
      <c r="AK29" s="188">
        <v>1782.1132825438895</v>
      </c>
      <c r="AL29" s="185">
        <f t="shared" si="29"/>
        <v>74.254720105995389</v>
      </c>
      <c r="AM29" s="182">
        <f t="shared" si="39"/>
        <v>6</v>
      </c>
      <c r="AN29" s="625"/>
      <c r="AO29" s="188">
        <v>24</v>
      </c>
      <c r="AP29" s="188">
        <v>1782.2033898305083</v>
      </c>
      <c r="AQ29" s="185">
        <f t="shared" si="30"/>
        <v>74.258474576271183</v>
      </c>
      <c r="AR29" s="182">
        <f t="shared" si="40"/>
        <v>6</v>
      </c>
      <c r="AS29" s="625"/>
      <c r="AT29" s="188">
        <v>24</v>
      </c>
      <c r="AU29" s="188">
        <v>1782.1414766138384</v>
      </c>
      <c r="AV29" s="185">
        <f t="shared" si="31"/>
        <v>74.25589485890994</v>
      </c>
      <c r="AW29" s="182">
        <f t="shared" si="41"/>
        <v>6</v>
      </c>
      <c r="AX29" s="625"/>
    </row>
    <row r="30" spans="2:50" ht="14.25" customHeight="1">
      <c r="B30" s="564"/>
      <c r="C30" s="180">
        <v>4</v>
      </c>
      <c r="D30" s="183" t="s">
        <v>363</v>
      </c>
      <c r="E30" s="180">
        <v>24</v>
      </c>
      <c r="F30" s="180">
        <v>2000</v>
      </c>
      <c r="G30" s="185">
        <f t="shared" si="26"/>
        <v>83.333333333333329</v>
      </c>
      <c r="H30" s="625"/>
      <c r="I30" s="186">
        <f t="shared" si="32"/>
        <v>25</v>
      </c>
      <c r="J30" s="186">
        <f t="shared" si="32"/>
        <v>1785.1416155732684</v>
      </c>
      <c r="K30" s="187">
        <f t="shared" si="32"/>
        <v>71.405664622930743</v>
      </c>
      <c r="L30" s="626"/>
      <c r="M30" s="186">
        <f>RANK(K30, K$27:$K$41)</f>
        <v>7</v>
      </c>
      <c r="N30" s="564"/>
      <c r="O30" s="564"/>
      <c r="P30" s="188">
        <v>25</v>
      </c>
      <c r="Q30" s="188">
        <v>1785.1603053435106</v>
      </c>
      <c r="R30" s="185">
        <f t="shared" si="33"/>
        <v>71.406412213740424</v>
      </c>
      <c r="S30" s="182">
        <f t="shared" si="34"/>
        <v>7</v>
      </c>
      <c r="T30" s="625"/>
      <c r="U30" s="188">
        <v>25</v>
      </c>
      <c r="V30" s="188">
        <v>1785.114854517609</v>
      </c>
      <c r="W30" s="185">
        <f t="shared" si="27"/>
        <v>71.404594180704365</v>
      </c>
      <c r="X30" s="182">
        <f t="shared" si="35"/>
        <v>7</v>
      </c>
      <c r="Y30" s="625"/>
      <c r="Z30" s="188">
        <v>25</v>
      </c>
      <c r="AA30" s="188">
        <v>1785.0595452905088</v>
      </c>
      <c r="AB30" s="185">
        <f t="shared" si="28"/>
        <v>71.402381811620359</v>
      </c>
      <c r="AC30" s="182">
        <f t="shared" si="36"/>
        <v>7</v>
      </c>
      <c r="AD30" s="625"/>
      <c r="AE30" s="188">
        <v>25</v>
      </c>
      <c r="AF30" s="188">
        <v>1784.9214659685867</v>
      </c>
      <c r="AG30" s="185">
        <f t="shared" si="37"/>
        <v>71.396858638743467</v>
      </c>
      <c r="AH30" s="182">
        <f t="shared" si="38"/>
        <v>7</v>
      </c>
      <c r="AI30" s="625"/>
      <c r="AJ30" s="188">
        <v>25</v>
      </c>
      <c r="AK30" s="188">
        <v>1785.1362510322074</v>
      </c>
      <c r="AL30" s="185">
        <f t="shared" si="29"/>
        <v>71.40545004128829</v>
      </c>
      <c r="AM30" s="182">
        <f t="shared" si="39"/>
        <v>7</v>
      </c>
      <c r="AN30" s="625"/>
      <c r="AO30" s="188">
        <v>25</v>
      </c>
      <c r="AP30" s="188">
        <v>1785.2861035422343</v>
      </c>
      <c r="AQ30" s="185">
        <f t="shared" si="30"/>
        <v>71.411444141689373</v>
      </c>
      <c r="AR30" s="182">
        <f t="shared" si="40"/>
        <v>7</v>
      </c>
      <c r="AS30" s="625"/>
      <c r="AT30" s="188">
        <v>25</v>
      </c>
      <c r="AU30" s="188">
        <v>1785.3127833182232</v>
      </c>
      <c r="AV30" s="185">
        <f t="shared" si="31"/>
        <v>71.412511332728926</v>
      </c>
      <c r="AW30" s="182">
        <f t="shared" si="41"/>
        <v>7</v>
      </c>
      <c r="AX30" s="625"/>
    </row>
    <row r="31" spans="2:50" ht="14.25" customHeight="1">
      <c r="B31" s="564"/>
      <c r="C31" s="180">
        <v>5</v>
      </c>
      <c r="D31" s="183" t="s">
        <v>359</v>
      </c>
      <c r="E31" s="180">
        <v>24</v>
      </c>
      <c r="F31" s="180">
        <v>2000</v>
      </c>
      <c r="G31" s="185">
        <f t="shared" si="26"/>
        <v>83.333333333333329</v>
      </c>
      <c r="H31" s="625"/>
      <c r="I31" s="186">
        <f t="shared" si="32"/>
        <v>24</v>
      </c>
      <c r="J31" s="186">
        <f t="shared" si="32"/>
        <v>1785.1305013372028</v>
      </c>
      <c r="K31" s="187">
        <f t="shared" si="32"/>
        <v>74.380437555716782</v>
      </c>
      <c r="L31" s="626"/>
      <c r="M31" s="186">
        <f>RANK(K31, K$27:$K$41)</f>
        <v>4</v>
      </c>
      <c r="N31" s="564"/>
      <c r="O31" s="564"/>
      <c r="P31" s="188">
        <v>24</v>
      </c>
      <c r="Q31" s="188">
        <v>1784.8623853211</v>
      </c>
      <c r="R31" s="185">
        <f t="shared" si="33"/>
        <v>74.369266055045827</v>
      </c>
      <c r="S31" s="182">
        <f t="shared" si="34"/>
        <v>4</v>
      </c>
      <c r="T31" s="625"/>
      <c r="U31" s="188">
        <v>24</v>
      </c>
      <c r="V31" s="188">
        <v>1784.7780126849898</v>
      </c>
      <c r="W31" s="185">
        <f t="shared" si="27"/>
        <v>74.365750528541241</v>
      </c>
      <c r="X31" s="182">
        <f t="shared" si="35"/>
        <v>4</v>
      </c>
      <c r="Y31" s="625"/>
      <c r="Z31" s="188">
        <v>24</v>
      </c>
      <c r="AA31" s="188">
        <v>1785.0370703212766</v>
      </c>
      <c r="AB31" s="185">
        <f t="shared" si="28"/>
        <v>74.376544596719853</v>
      </c>
      <c r="AC31" s="182">
        <f t="shared" si="36"/>
        <v>4</v>
      </c>
      <c r="AD31" s="625"/>
      <c r="AE31" s="188">
        <v>24</v>
      </c>
      <c r="AF31" s="188">
        <v>1784.8633496846521</v>
      </c>
      <c r="AG31" s="185">
        <f t="shared" si="37"/>
        <v>74.36930623686051</v>
      </c>
      <c r="AH31" s="182">
        <f t="shared" si="38"/>
        <v>4</v>
      </c>
      <c r="AI31" s="625"/>
      <c r="AJ31" s="188">
        <v>24</v>
      </c>
      <c r="AK31" s="188">
        <v>1785.2950075642955</v>
      </c>
      <c r="AL31" s="185">
        <f t="shared" si="29"/>
        <v>74.38729198184565</v>
      </c>
      <c r="AM31" s="182">
        <f t="shared" si="39"/>
        <v>4</v>
      </c>
      <c r="AN31" s="625"/>
      <c r="AO31" s="188">
        <v>24</v>
      </c>
      <c r="AP31" s="188">
        <v>1785.3896103896104</v>
      </c>
      <c r="AQ31" s="185">
        <f t="shared" si="30"/>
        <v>74.391233766233768</v>
      </c>
      <c r="AR31" s="182">
        <f t="shared" si="40"/>
        <v>4</v>
      </c>
      <c r="AS31" s="625"/>
      <c r="AT31" s="188">
        <v>24</v>
      </c>
      <c r="AU31" s="188">
        <v>1785.6880733944956</v>
      </c>
      <c r="AV31" s="185">
        <f t="shared" si="31"/>
        <v>74.403669724770651</v>
      </c>
      <c r="AW31" s="182">
        <f t="shared" si="41"/>
        <v>4</v>
      </c>
      <c r="AX31" s="625"/>
    </row>
    <row r="32" spans="2:50" ht="14.25" customHeight="1">
      <c r="B32" s="564"/>
      <c r="C32" s="180">
        <v>6</v>
      </c>
      <c r="D32" s="183" t="s">
        <v>471</v>
      </c>
      <c r="E32" s="180">
        <v>23</v>
      </c>
      <c r="F32" s="180">
        <v>2000</v>
      </c>
      <c r="G32" s="185">
        <f t="shared" si="26"/>
        <v>86.956521739130437</v>
      </c>
      <c r="H32" s="625"/>
      <c r="I32" s="186">
        <f t="shared" si="32"/>
        <v>24</v>
      </c>
      <c r="J32" s="186">
        <f t="shared" si="32"/>
        <v>1783.0739687201949</v>
      </c>
      <c r="K32" s="187">
        <f t="shared" si="32"/>
        <v>74.294748696674787</v>
      </c>
      <c r="L32" s="626"/>
      <c r="M32" s="186">
        <f>RANK(K32, K$27:$K$41)</f>
        <v>5</v>
      </c>
      <c r="N32" s="564"/>
      <c r="O32" s="564"/>
      <c r="P32" s="188">
        <v>24</v>
      </c>
      <c r="Q32" s="188">
        <v>1782.5145711906735</v>
      </c>
      <c r="R32" s="185">
        <f t="shared" si="33"/>
        <v>74.271440466278065</v>
      </c>
      <c r="S32" s="182">
        <f t="shared" si="34"/>
        <v>5</v>
      </c>
      <c r="T32" s="625"/>
      <c r="U32" s="188">
        <v>24</v>
      </c>
      <c r="V32" s="188">
        <v>1782.4824075460385</v>
      </c>
      <c r="W32" s="185">
        <f t="shared" si="27"/>
        <v>74.270100314418272</v>
      </c>
      <c r="X32" s="182">
        <f t="shared" si="35"/>
        <v>5</v>
      </c>
      <c r="Y32" s="625"/>
      <c r="Z32" s="188">
        <v>24</v>
      </c>
      <c r="AA32" s="188">
        <v>1783.0016863406411</v>
      </c>
      <c r="AB32" s="185">
        <f t="shared" si="28"/>
        <v>74.29173693086004</v>
      </c>
      <c r="AC32" s="182">
        <f t="shared" si="36"/>
        <v>5</v>
      </c>
      <c r="AD32" s="625"/>
      <c r="AE32" s="188">
        <v>24</v>
      </c>
      <c r="AF32" s="188">
        <v>1783.3480176211451</v>
      </c>
      <c r="AG32" s="185">
        <f t="shared" si="37"/>
        <v>74.306167400881051</v>
      </c>
      <c r="AH32" s="182">
        <f t="shared" si="38"/>
        <v>5</v>
      </c>
      <c r="AI32" s="625"/>
      <c r="AJ32" s="188">
        <v>24</v>
      </c>
      <c r="AK32" s="188">
        <v>1783.4050399508296</v>
      </c>
      <c r="AL32" s="185">
        <f t="shared" si="29"/>
        <v>74.308543331284568</v>
      </c>
      <c r="AM32" s="182">
        <f t="shared" si="39"/>
        <v>5</v>
      </c>
      <c r="AN32" s="625"/>
      <c r="AO32" s="188">
        <v>24</v>
      </c>
      <c r="AP32" s="188">
        <v>1783.4462729912884</v>
      </c>
      <c r="AQ32" s="185">
        <f t="shared" si="30"/>
        <v>74.310261374637022</v>
      </c>
      <c r="AR32" s="182">
        <f t="shared" si="40"/>
        <v>5</v>
      </c>
      <c r="AS32" s="625"/>
      <c r="AT32" s="188">
        <v>24</v>
      </c>
      <c r="AU32" s="188">
        <v>1783.3197854007481</v>
      </c>
      <c r="AV32" s="185">
        <f t="shared" si="31"/>
        <v>74.304991058364507</v>
      </c>
      <c r="AW32" s="182">
        <f t="shared" si="41"/>
        <v>5</v>
      </c>
      <c r="AX32" s="625"/>
    </row>
    <row r="33" spans="2:50" ht="14.25" customHeight="1">
      <c r="B33" s="564"/>
      <c r="C33" s="180">
        <v>7</v>
      </c>
      <c r="D33" s="183" t="s">
        <v>475</v>
      </c>
      <c r="E33" s="180">
        <v>22</v>
      </c>
      <c r="F33" s="180">
        <v>2000</v>
      </c>
      <c r="G33" s="185">
        <f t="shared" si="26"/>
        <v>90.909090909090907</v>
      </c>
      <c r="H33" s="625"/>
      <c r="I33" s="186">
        <f t="shared" si="32"/>
        <v>22</v>
      </c>
      <c r="J33" s="186">
        <f t="shared" si="32"/>
        <v>1784.6364090540408</v>
      </c>
      <c r="K33" s="187">
        <f t="shared" si="32"/>
        <v>81.119836775183686</v>
      </c>
      <c r="L33" s="626"/>
      <c r="M33" s="186">
        <f>RANK(K33, K$27:$K$41)</f>
        <v>2</v>
      </c>
      <c r="N33" s="564"/>
      <c r="O33" s="564"/>
      <c r="P33" s="188">
        <v>22</v>
      </c>
      <c r="Q33" s="188">
        <v>1784.3014645384237</v>
      </c>
      <c r="R33" s="185">
        <f t="shared" si="33"/>
        <v>81.104612024473809</v>
      </c>
      <c r="S33" s="182">
        <f t="shared" si="34"/>
        <v>2</v>
      </c>
      <c r="T33" s="625"/>
      <c r="U33" s="188">
        <v>22</v>
      </c>
      <c r="V33" s="188">
        <v>1784.3589288881017</v>
      </c>
      <c r="W33" s="185">
        <f t="shared" si="27"/>
        <v>81.107224040368251</v>
      </c>
      <c r="X33" s="182">
        <f t="shared" si="35"/>
        <v>2</v>
      </c>
      <c r="Y33" s="625"/>
      <c r="Z33" s="188">
        <v>22</v>
      </c>
      <c r="AA33" s="188">
        <v>1784.5312499999991</v>
      </c>
      <c r="AB33" s="185">
        <f t="shared" si="28"/>
        <v>81.11505681818177</v>
      </c>
      <c r="AC33" s="182">
        <f t="shared" si="36"/>
        <v>2</v>
      </c>
      <c r="AD33" s="625"/>
      <c r="AE33" s="188">
        <v>22</v>
      </c>
      <c r="AF33" s="188">
        <v>1784.780157835402</v>
      </c>
      <c r="AG33" s="185">
        <f t="shared" si="37"/>
        <v>81.126370810700095</v>
      </c>
      <c r="AH33" s="182">
        <f t="shared" si="38"/>
        <v>2</v>
      </c>
      <c r="AI33" s="625"/>
      <c r="AJ33" s="188">
        <v>22</v>
      </c>
      <c r="AK33" s="188">
        <v>1784.8430722122987</v>
      </c>
      <c r="AL33" s="185">
        <f t="shared" si="29"/>
        <v>81.129230555104485</v>
      </c>
      <c r="AM33" s="182">
        <f t="shared" si="39"/>
        <v>2</v>
      </c>
      <c r="AN33" s="625"/>
      <c r="AO33" s="188">
        <v>22</v>
      </c>
      <c r="AP33" s="188">
        <v>1784.7842206732917</v>
      </c>
      <c r="AQ33" s="185">
        <f t="shared" si="30"/>
        <v>81.126555485149623</v>
      </c>
      <c r="AR33" s="182">
        <f t="shared" si="40"/>
        <v>2</v>
      </c>
      <c r="AS33" s="625"/>
      <c r="AT33" s="188">
        <v>22</v>
      </c>
      <c r="AU33" s="188">
        <v>1784.8557692307697</v>
      </c>
      <c r="AV33" s="185">
        <f t="shared" si="31"/>
        <v>81.129807692307722</v>
      </c>
      <c r="AW33" s="182">
        <f t="shared" si="41"/>
        <v>2</v>
      </c>
      <c r="AX33" s="625"/>
    </row>
    <row r="34" spans="2:50" ht="14.25" customHeight="1">
      <c r="B34" s="564"/>
      <c r="C34" s="180">
        <v>8</v>
      </c>
      <c r="D34" s="183" t="s">
        <v>479</v>
      </c>
      <c r="E34" s="180">
        <v>20</v>
      </c>
      <c r="F34" s="180">
        <v>2000</v>
      </c>
      <c r="G34" s="185">
        <f t="shared" si="26"/>
        <v>100</v>
      </c>
      <c r="H34" s="625"/>
      <c r="I34" s="186">
        <f t="shared" si="32"/>
        <v>20.285714285714285</v>
      </c>
      <c r="J34" s="186">
        <f t="shared" si="32"/>
        <v>1784.9220471684655</v>
      </c>
      <c r="K34" s="187">
        <f t="shared" si="32"/>
        <v>88.032246893364331</v>
      </c>
      <c r="L34" s="626"/>
      <c r="M34" s="186">
        <f>RANK(K34, K$27:$K$41)</f>
        <v>1</v>
      </c>
      <c r="N34" s="564"/>
      <c r="O34" s="564"/>
      <c r="P34" s="188">
        <v>21</v>
      </c>
      <c r="Q34" s="188">
        <v>1784.3872411863438</v>
      </c>
      <c r="R34" s="185">
        <f t="shared" si="33"/>
        <v>84.970821008873514</v>
      </c>
      <c r="S34" s="182">
        <f t="shared" si="34"/>
        <v>1</v>
      </c>
      <c r="T34" s="625"/>
      <c r="U34" s="188">
        <v>21</v>
      </c>
      <c r="V34" s="188">
        <v>1784.3478260869563</v>
      </c>
      <c r="W34" s="185">
        <f t="shared" si="27"/>
        <v>84.968944099378874</v>
      </c>
      <c r="X34" s="182">
        <f t="shared" si="35"/>
        <v>1</v>
      </c>
      <c r="Y34" s="625"/>
      <c r="Z34" s="188">
        <v>20</v>
      </c>
      <c r="AA34" s="188">
        <v>1785.420983236015</v>
      </c>
      <c r="AB34" s="185">
        <f t="shared" si="28"/>
        <v>89.271049161800747</v>
      </c>
      <c r="AC34" s="182">
        <f t="shared" si="36"/>
        <v>1</v>
      </c>
      <c r="AD34" s="625"/>
      <c r="AE34" s="188">
        <v>20</v>
      </c>
      <c r="AF34" s="188">
        <v>1784.8412869790548</v>
      </c>
      <c r="AG34" s="185">
        <f t="shared" si="37"/>
        <v>89.242064348952738</v>
      </c>
      <c r="AH34" s="182">
        <f t="shared" si="38"/>
        <v>1</v>
      </c>
      <c r="AI34" s="625"/>
      <c r="AJ34" s="188">
        <v>20</v>
      </c>
      <c r="AK34" s="188">
        <v>1785.0939204201159</v>
      </c>
      <c r="AL34" s="185">
        <f t="shared" si="29"/>
        <v>89.254696021005799</v>
      </c>
      <c r="AM34" s="182">
        <f t="shared" si="39"/>
        <v>1</v>
      </c>
      <c r="AN34" s="625"/>
      <c r="AO34" s="188">
        <v>20</v>
      </c>
      <c r="AP34" s="188">
        <v>1785.1440941685828</v>
      </c>
      <c r="AQ34" s="185">
        <f t="shared" si="30"/>
        <v>89.257204708429143</v>
      </c>
      <c r="AR34" s="182">
        <f t="shared" si="40"/>
        <v>1</v>
      </c>
      <c r="AS34" s="625"/>
      <c r="AT34" s="188">
        <v>20</v>
      </c>
      <c r="AU34" s="188">
        <v>1785.2189781021893</v>
      </c>
      <c r="AV34" s="185">
        <f t="shared" si="31"/>
        <v>89.260948905109473</v>
      </c>
      <c r="AW34" s="182">
        <f t="shared" si="41"/>
        <v>1</v>
      </c>
      <c r="AX34" s="625"/>
    </row>
    <row r="35" spans="2:50" ht="14.25" customHeight="1">
      <c r="B35" s="564"/>
      <c r="C35" s="180">
        <v>9</v>
      </c>
      <c r="D35" s="183"/>
      <c r="E35" s="180"/>
      <c r="F35" s="180"/>
      <c r="G35" s="185"/>
      <c r="H35" s="625"/>
      <c r="I35" s="186"/>
      <c r="J35" s="186"/>
      <c r="K35" s="187"/>
      <c r="L35" s="626"/>
      <c r="M35" s="186"/>
      <c r="N35" s="564"/>
      <c r="O35" s="564"/>
      <c r="P35" s="188"/>
      <c r="Q35" s="188"/>
      <c r="R35" s="185"/>
      <c r="S35" s="182"/>
      <c r="T35" s="625"/>
      <c r="U35" s="188"/>
      <c r="V35" s="188"/>
      <c r="W35" s="185"/>
      <c r="X35" s="182"/>
      <c r="Y35" s="625"/>
      <c r="Z35" s="188"/>
      <c r="AA35" s="188"/>
      <c r="AB35" s="185"/>
      <c r="AC35" s="182"/>
      <c r="AD35" s="625"/>
      <c r="AE35" s="188"/>
      <c r="AF35" s="188"/>
      <c r="AG35" s="185"/>
      <c r="AH35" s="182"/>
      <c r="AI35" s="625"/>
      <c r="AJ35" s="188"/>
      <c r="AK35" s="188"/>
      <c r="AL35" s="185"/>
      <c r="AM35" s="182"/>
      <c r="AN35" s="625"/>
      <c r="AO35" s="188"/>
      <c r="AP35" s="188"/>
      <c r="AQ35" s="185"/>
      <c r="AR35" s="182"/>
      <c r="AS35" s="625"/>
      <c r="AT35" s="188"/>
      <c r="AU35" s="188"/>
      <c r="AV35" s="185"/>
      <c r="AW35" s="182"/>
      <c r="AX35" s="625"/>
    </row>
    <row r="36" spans="2:50" ht="14.25" customHeight="1">
      <c r="B36" s="564"/>
      <c r="C36" s="180">
        <v>10</v>
      </c>
      <c r="D36" s="183"/>
      <c r="E36" s="180"/>
      <c r="F36" s="180"/>
      <c r="G36" s="185"/>
      <c r="H36" s="625"/>
      <c r="I36" s="186"/>
      <c r="J36" s="186"/>
      <c r="K36" s="187"/>
      <c r="L36" s="626"/>
      <c r="M36" s="186"/>
      <c r="N36" s="564"/>
      <c r="O36" s="564"/>
      <c r="P36" s="188"/>
      <c r="Q36" s="188"/>
      <c r="R36" s="185"/>
      <c r="S36" s="182"/>
      <c r="T36" s="625"/>
      <c r="U36" s="188"/>
      <c r="V36" s="188"/>
      <c r="W36" s="185"/>
      <c r="X36" s="182"/>
      <c r="Y36" s="625"/>
      <c r="Z36" s="188"/>
      <c r="AA36" s="188"/>
      <c r="AB36" s="185"/>
      <c r="AC36" s="182"/>
      <c r="AD36" s="625"/>
      <c r="AE36" s="188"/>
      <c r="AF36" s="188"/>
      <c r="AG36" s="185"/>
      <c r="AH36" s="182"/>
      <c r="AI36" s="625"/>
      <c r="AJ36" s="188"/>
      <c r="AK36" s="188"/>
      <c r="AL36" s="185"/>
      <c r="AM36" s="182"/>
      <c r="AN36" s="625"/>
      <c r="AO36" s="188"/>
      <c r="AP36" s="188"/>
      <c r="AQ36" s="185"/>
      <c r="AR36" s="182"/>
      <c r="AS36" s="625"/>
      <c r="AT36" s="188"/>
      <c r="AU36" s="188"/>
      <c r="AV36" s="185"/>
      <c r="AW36" s="182"/>
      <c r="AX36" s="625"/>
    </row>
    <row r="37" spans="2:50" ht="14.25" customHeight="1">
      <c r="B37" s="564"/>
      <c r="C37" s="180">
        <v>11</v>
      </c>
      <c r="D37" s="183"/>
      <c r="E37" s="180"/>
      <c r="F37" s="180"/>
      <c r="G37" s="185"/>
      <c r="H37" s="625"/>
      <c r="I37" s="186"/>
      <c r="J37" s="186"/>
      <c r="K37" s="187"/>
      <c r="L37" s="626"/>
      <c r="M37" s="186"/>
      <c r="N37" s="564"/>
      <c r="O37" s="564"/>
      <c r="P37" s="188"/>
      <c r="Q37" s="188"/>
      <c r="R37" s="185"/>
      <c r="S37" s="182"/>
      <c r="T37" s="625"/>
      <c r="U37" s="188"/>
      <c r="V37" s="188"/>
      <c r="W37" s="185"/>
      <c r="X37" s="182"/>
      <c r="Y37" s="625"/>
      <c r="Z37" s="188"/>
      <c r="AA37" s="188"/>
      <c r="AB37" s="185"/>
      <c r="AC37" s="182"/>
      <c r="AD37" s="625"/>
      <c r="AE37" s="188"/>
      <c r="AF37" s="188"/>
      <c r="AG37" s="185"/>
      <c r="AH37" s="182"/>
      <c r="AI37" s="625"/>
      <c r="AJ37" s="188"/>
      <c r="AK37" s="188"/>
      <c r="AL37" s="185"/>
      <c r="AM37" s="182"/>
      <c r="AN37" s="625"/>
      <c r="AO37" s="188"/>
      <c r="AP37" s="188"/>
      <c r="AQ37" s="185"/>
      <c r="AR37" s="182"/>
      <c r="AS37" s="625"/>
      <c r="AT37" s="188"/>
      <c r="AU37" s="188"/>
      <c r="AV37" s="185"/>
      <c r="AW37" s="182"/>
      <c r="AX37" s="625"/>
    </row>
    <row r="38" spans="2:50" ht="14.25" customHeight="1">
      <c r="B38" s="564"/>
      <c r="C38" s="180">
        <v>12</v>
      </c>
      <c r="D38" s="183"/>
      <c r="E38" s="180"/>
      <c r="F38" s="180"/>
      <c r="G38" s="185"/>
      <c r="H38" s="625"/>
      <c r="I38" s="186"/>
      <c r="J38" s="186"/>
      <c r="K38" s="187"/>
      <c r="L38" s="626"/>
      <c r="M38" s="186"/>
      <c r="N38" s="564"/>
      <c r="O38" s="564"/>
      <c r="P38" s="188"/>
      <c r="Q38" s="188"/>
      <c r="R38" s="185"/>
      <c r="S38" s="182"/>
      <c r="T38" s="625"/>
      <c r="U38" s="188"/>
      <c r="V38" s="188"/>
      <c r="W38" s="185"/>
      <c r="X38" s="182"/>
      <c r="Y38" s="625"/>
      <c r="Z38" s="188"/>
      <c r="AA38" s="188"/>
      <c r="AB38" s="185"/>
      <c r="AC38" s="182"/>
      <c r="AD38" s="625"/>
      <c r="AE38" s="188"/>
      <c r="AF38" s="188"/>
      <c r="AG38" s="185"/>
      <c r="AH38" s="182"/>
      <c r="AI38" s="625"/>
      <c r="AJ38" s="188"/>
      <c r="AK38" s="188"/>
      <c r="AL38" s="185"/>
      <c r="AM38" s="182"/>
      <c r="AN38" s="625"/>
      <c r="AO38" s="188"/>
      <c r="AP38" s="188"/>
      <c r="AQ38" s="185"/>
      <c r="AR38" s="182"/>
      <c r="AS38" s="625"/>
      <c r="AT38" s="188"/>
      <c r="AU38" s="188"/>
      <c r="AV38" s="185"/>
      <c r="AW38" s="182"/>
      <c r="AX38" s="625"/>
    </row>
    <row r="39" spans="2:50" ht="14.25" customHeight="1">
      <c r="B39" s="564"/>
      <c r="C39" s="180">
        <v>13</v>
      </c>
      <c r="D39" s="183"/>
      <c r="E39" s="180"/>
      <c r="F39" s="180"/>
      <c r="G39" s="185"/>
      <c r="H39" s="625"/>
      <c r="I39" s="186"/>
      <c r="J39" s="186"/>
      <c r="K39" s="187"/>
      <c r="L39" s="626"/>
      <c r="M39" s="186"/>
      <c r="N39" s="564"/>
      <c r="O39" s="564"/>
      <c r="P39" s="188"/>
      <c r="Q39" s="188"/>
      <c r="R39" s="185"/>
      <c r="S39" s="182"/>
      <c r="T39" s="625"/>
      <c r="U39" s="188"/>
      <c r="V39" s="188"/>
      <c r="W39" s="185"/>
      <c r="X39" s="182"/>
      <c r="Y39" s="625"/>
      <c r="Z39" s="188"/>
      <c r="AA39" s="188"/>
      <c r="AB39" s="185"/>
      <c r="AC39" s="182"/>
      <c r="AD39" s="625"/>
      <c r="AE39" s="188"/>
      <c r="AF39" s="188"/>
      <c r="AG39" s="185"/>
      <c r="AH39" s="182"/>
      <c r="AI39" s="625"/>
      <c r="AJ39" s="188"/>
      <c r="AK39" s="188"/>
      <c r="AL39" s="185"/>
      <c r="AM39" s="182"/>
      <c r="AN39" s="625"/>
      <c r="AO39" s="188"/>
      <c r="AP39" s="188"/>
      <c r="AQ39" s="185"/>
      <c r="AR39" s="182"/>
      <c r="AS39" s="625"/>
      <c r="AT39" s="188"/>
      <c r="AU39" s="188"/>
      <c r="AV39" s="185"/>
      <c r="AW39" s="182"/>
      <c r="AX39" s="625"/>
    </row>
    <row r="40" spans="2:50" ht="14.25" customHeight="1">
      <c r="B40" s="564"/>
      <c r="C40" s="180">
        <v>14</v>
      </c>
      <c r="D40" s="183"/>
      <c r="E40" s="180"/>
      <c r="F40" s="180"/>
      <c r="G40" s="185"/>
      <c r="H40" s="625"/>
      <c r="I40" s="186"/>
      <c r="J40" s="186"/>
      <c r="K40" s="187"/>
      <c r="L40" s="626"/>
      <c r="M40" s="186"/>
      <c r="N40" s="564"/>
      <c r="O40" s="564"/>
      <c r="P40" s="188"/>
      <c r="Q40" s="188"/>
      <c r="R40" s="185"/>
      <c r="S40" s="182"/>
      <c r="T40" s="625"/>
      <c r="U40" s="188"/>
      <c r="V40" s="188"/>
      <c r="W40" s="185"/>
      <c r="X40" s="182"/>
      <c r="Y40" s="625"/>
      <c r="Z40" s="188"/>
      <c r="AA40" s="188"/>
      <c r="AB40" s="185"/>
      <c r="AC40" s="182"/>
      <c r="AD40" s="625"/>
      <c r="AE40" s="188"/>
      <c r="AF40" s="188"/>
      <c r="AG40" s="185"/>
      <c r="AH40" s="182"/>
      <c r="AI40" s="625"/>
      <c r="AJ40" s="188"/>
      <c r="AK40" s="188"/>
      <c r="AL40" s="185"/>
      <c r="AM40" s="182"/>
      <c r="AN40" s="625"/>
      <c r="AO40" s="188"/>
      <c r="AP40" s="188"/>
      <c r="AQ40" s="185"/>
      <c r="AR40" s="182"/>
      <c r="AS40" s="625"/>
      <c r="AT40" s="188"/>
      <c r="AU40" s="188"/>
      <c r="AV40" s="185"/>
      <c r="AW40" s="182"/>
      <c r="AX40" s="625"/>
    </row>
    <row r="41" spans="2:50" ht="14.25" customHeight="1">
      <c r="B41" s="564"/>
      <c r="C41" s="180">
        <v>15</v>
      </c>
      <c r="D41" s="183"/>
      <c r="E41" s="180"/>
      <c r="F41" s="180"/>
      <c r="G41" s="185"/>
      <c r="H41" s="625"/>
      <c r="I41" s="186"/>
      <c r="J41" s="186"/>
      <c r="K41" s="187"/>
      <c r="L41" s="626"/>
      <c r="M41" s="186"/>
      <c r="N41" s="564"/>
      <c r="O41" s="564"/>
      <c r="P41" s="188"/>
      <c r="Q41" s="188"/>
      <c r="R41" s="185"/>
      <c r="S41" s="182"/>
      <c r="T41" s="625"/>
      <c r="U41" s="188"/>
      <c r="V41" s="188"/>
      <c r="W41" s="185"/>
      <c r="X41" s="182"/>
      <c r="Y41" s="625"/>
      <c r="Z41" s="188"/>
      <c r="AA41" s="188"/>
      <c r="AB41" s="185"/>
      <c r="AC41" s="182"/>
      <c r="AD41" s="625"/>
      <c r="AE41" s="188"/>
      <c r="AF41" s="188"/>
      <c r="AG41" s="185"/>
      <c r="AH41" s="182"/>
      <c r="AI41" s="625"/>
      <c r="AJ41" s="188"/>
      <c r="AK41" s="188"/>
      <c r="AL41" s="185"/>
      <c r="AM41" s="182"/>
      <c r="AN41" s="625"/>
      <c r="AO41" s="188"/>
      <c r="AP41" s="188"/>
      <c r="AQ41" s="185"/>
      <c r="AR41" s="182"/>
      <c r="AS41" s="625"/>
      <c r="AT41" s="188"/>
      <c r="AU41" s="188"/>
      <c r="AV41" s="185"/>
      <c r="AW41" s="182"/>
      <c r="AX41" s="625"/>
    </row>
    <row r="42" spans="2:50" ht="14.25" customHeight="1" collapsed="1">
      <c r="B42" s="646" t="s">
        <v>642</v>
      </c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43"/>
      <c r="N42" s="575" t="s">
        <v>377</v>
      </c>
      <c r="O42" s="575" t="s">
        <v>105</v>
      </c>
      <c r="P42" s="655">
        <f>AT22+1</f>
        <v>46091</v>
      </c>
      <c r="Q42" s="656"/>
      <c r="R42" s="656"/>
      <c r="S42" s="656"/>
      <c r="T42" s="656"/>
      <c r="U42" s="657">
        <f>P42+1</f>
        <v>46092</v>
      </c>
      <c r="V42" s="658"/>
      <c r="W42" s="658"/>
      <c r="X42" s="658"/>
      <c r="Y42" s="658"/>
      <c r="Z42" s="655">
        <f t="shared" ref="Z42" si="42">U42+1</f>
        <v>46093</v>
      </c>
      <c r="AA42" s="656"/>
      <c r="AB42" s="656"/>
      <c r="AC42" s="656"/>
      <c r="AD42" s="656"/>
      <c r="AE42" s="657">
        <f t="shared" ref="AE42" si="43">Z42+1</f>
        <v>46094</v>
      </c>
      <c r="AF42" s="658"/>
      <c r="AG42" s="658"/>
      <c r="AH42" s="658"/>
      <c r="AI42" s="658"/>
      <c r="AJ42" s="647">
        <f t="shared" ref="AJ42" si="44">AE42+1</f>
        <v>46095</v>
      </c>
      <c r="AK42" s="648"/>
      <c r="AL42" s="648"/>
      <c r="AM42" s="648"/>
      <c r="AN42" s="649"/>
      <c r="AO42" s="657">
        <f t="shared" ref="AO42" si="45">AJ42+1</f>
        <v>46096</v>
      </c>
      <c r="AP42" s="658"/>
      <c r="AQ42" s="658"/>
      <c r="AR42" s="658"/>
      <c r="AS42" s="658"/>
      <c r="AT42" s="647">
        <f t="shared" ref="AT42" si="46">AO42+1</f>
        <v>46097</v>
      </c>
      <c r="AU42" s="648"/>
      <c r="AV42" s="648"/>
      <c r="AW42" s="648"/>
      <c r="AX42" s="649"/>
    </row>
    <row r="43" spans="2:50" ht="14.25" customHeight="1">
      <c r="B43" s="644"/>
      <c r="C43" s="644"/>
      <c r="D43" s="644"/>
      <c r="E43" s="644"/>
      <c r="F43" s="644"/>
      <c r="G43" s="644"/>
      <c r="H43" s="644"/>
      <c r="I43" s="644"/>
      <c r="J43" s="644"/>
      <c r="K43" s="644"/>
      <c r="L43" s="644"/>
      <c r="M43" s="645"/>
      <c r="N43" s="577"/>
      <c r="O43" s="577"/>
      <c r="P43" s="650">
        <f>P42</f>
        <v>46091</v>
      </c>
      <c r="Q43" s="650"/>
      <c r="R43" s="650"/>
      <c r="S43" s="650"/>
      <c r="T43" s="650"/>
      <c r="U43" s="651">
        <f>U42</f>
        <v>46092</v>
      </c>
      <c r="V43" s="651"/>
      <c r="W43" s="651"/>
      <c r="X43" s="651"/>
      <c r="Y43" s="651"/>
      <c r="Z43" s="650">
        <f t="shared" ref="Z43" si="47">Z42</f>
        <v>46093</v>
      </c>
      <c r="AA43" s="650"/>
      <c r="AB43" s="650"/>
      <c r="AC43" s="650"/>
      <c r="AD43" s="650"/>
      <c r="AE43" s="651">
        <f t="shared" ref="AE43" si="48">AE42</f>
        <v>46094</v>
      </c>
      <c r="AF43" s="651"/>
      <c r="AG43" s="651"/>
      <c r="AH43" s="651"/>
      <c r="AI43" s="651"/>
      <c r="AJ43" s="652">
        <f t="shared" ref="AJ43" si="49">AJ42</f>
        <v>46095</v>
      </c>
      <c r="AK43" s="653"/>
      <c r="AL43" s="653"/>
      <c r="AM43" s="653"/>
      <c r="AN43" s="654"/>
      <c r="AO43" s="651">
        <f t="shared" ref="AO43" si="50">AO42</f>
        <v>46096</v>
      </c>
      <c r="AP43" s="651"/>
      <c r="AQ43" s="651"/>
      <c r="AR43" s="651"/>
      <c r="AS43" s="651"/>
      <c r="AT43" s="652">
        <f t="shared" ref="AT43" si="51">AT42</f>
        <v>46097</v>
      </c>
      <c r="AU43" s="653"/>
      <c r="AV43" s="653"/>
      <c r="AW43" s="653"/>
      <c r="AX43" s="654"/>
    </row>
    <row r="44" spans="2:50" ht="14.25" customHeight="1">
      <c r="B44" s="564" t="s">
        <v>164</v>
      </c>
      <c r="C44" s="564" t="s">
        <v>159</v>
      </c>
      <c r="D44" s="564"/>
      <c r="E44" s="564" t="s">
        <v>160</v>
      </c>
      <c r="F44" s="564"/>
      <c r="G44" s="564"/>
      <c r="H44" s="564" t="s">
        <v>165</v>
      </c>
      <c r="I44" s="628" t="s">
        <v>378</v>
      </c>
      <c r="J44" s="628"/>
      <c r="K44" s="628"/>
      <c r="L44" s="628" t="s">
        <v>165</v>
      </c>
      <c r="M44" s="628" t="s">
        <v>167</v>
      </c>
      <c r="N44" s="564"/>
      <c r="O44" s="564" t="s">
        <v>166</v>
      </c>
      <c r="P44" s="564" t="s">
        <v>162</v>
      </c>
      <c r="Q44" s="564"/>
      <c r="R44" s="564"/>
      <c r="S44" s="564"/>
      <c r="T44" s="564" t="s">
        <v>165</v>
      </c>
      <c r="U44" s="564" t="s">
        <v>162</v>
      </c>
      <c r="V44" s="564"/>
      <c r="W44" s="564"/>
      <c r="X44" s="564"/>
      <c r="Y44" s="564" t="s">
        <v>165</v>
      </c>
      <c r="Z44" s="564" t="s">
        <v>162</v>
      </c>
      <c r="AA44" s="564"/>
      <c r="AB44" s="564"/>
      <c r="AC44" s="564"/>
      <c r="AD44" s="564" t="s">
        <v>165</v>
      </c>
      <c r="AE44" s="564" t="s">
        <v>162</v>
      </c>
      <c r="AF44" s="564"/>
      <c r="AG44" s="564"/>
      <c r="AH44" s="564"/>
      <c r="AI44" s="564" t="s">
        <v>165</v>
      </c>
      <c r="AJ44" s="564" t="s">
        <v>162</v>
      </c>
      <c r="AK44" s="564"/>
      <c r="AL44" s="564"/>
      <c r="AM44" s="564"/>
      <c r="AN44" s="564" t="s">
        <v>165</v>
      </c>
      <c r="AO44" s="564" t="s">
        <v>162</v>
      </c>
      <c r="AP44" s="564"/>
      <c r="AQ44" s="564"/>
      <c r="AR44" s="564"/>
      <c r="AS44" s="564" t="s">
        <v>165</v>
      </c>
      <c r="AT44" s="564" t="s">
        <v>162</v>
      </c>
      <c r="AU44" s="564"/>
      <c r="AV44" s="564"/>
      <c r="AW44" s="564"/>
      <c r="AX44" s="564" t="s">
        <v>165</v>
      </c>
    </row>
    <row r="45" spans="2:50" ht="14.25" customHeight="1">
      <c r="B45" s="564"/>
      <c r="C45" s="564"/>
      <c r="D45" s="564"/>
      <c r="E45" s="564" t="s">
        <v>379</v>
      </c>
      <c r="F45" s="564"/>
      <c r="G45" s="564"/>
      <c r="H45" s="564"/>
      <c r="I45" s="628" t="s">
        <v>379</v>
      </c>
      <c r="J45" s="628"/>
      <c r="K45" s="628"/>
      <c r="L45" s="628"/>
      <c r="M45" s="628"/>
      <c r="N45" s="564"/>
      <c r="O45" s="564"/>
      <c r="P45" s="564" t="s">
        <v>380</v>
      </c>
      <c r="Q45" s="564"/>
      <c r="R45" s="564"/>
      <c r="S45" s="564"/>
      <c r="T45" s="564"/>
      <c r="U45" s="564" t="s">
        <v>380</v>
      </c>
      <c r="V45" s="564"/>
      <c r="W45" s="564"/>
      <c r="X45" s="564"/>
      <c r="Y45" s="564"/>
      <c r="Z45" s="564" t="s">
        <v>380</v>
      </c>
      <c r="AA45" s="564"/>
      <c r="AB45" s="564"/>
      <c r="AC45" s="564"/>
      <c r="AD45" s="564"/>
      <c r="AE45" s="564" t="s">
        <v>380</v>
      </c>
      <c r="AF45" s="564"/>
      <c r="AG45" s="564"/>
      <c r="AH45" s="564"/>
      <c r="AI45" s="564"/>
      <c r="AJ45" s="564" t="s">
        <v>380</v>
      </c>
      <c r="AK45" s="564"/>
      <c r="AL45" s="564"/>
      <c r="AM45" s="564"/>
      <c r="AN45" s="564"/>
      <c r="AO45" s="564" t="s">
        <v>380</v>
      </c>
      <c r="AP45" s="564"/>
      <c r="AQ45" s="564"/>
      <c r="AR45" s="564"/>
      <c r="AS45" s="564"/>
      <c r="AT45" s="564" t="s">
        <v>380</v>
      </c>
      <c r="AU45" s="564"/>
      <c r="AV45" s="564"/>
      <c r="AW45" s="564"/>
      <c r="AX45" s="564"/>
    </row>
    <row r="46" spans="2:50" ht="14.25" customHeight="1">
      <c r="B46" s="564"/>
      <c r="C46" s="564"/>
      <c r="D46" s="564"/>
      <c r="E46" s="180" t="s">
        <v>161</v>
      </c>
      <c r="F46" s="180" t="s">
        <v>381</v>
      </c>
      <c r="G46" s="180" t="s">
        <v>163</v>
      </c>
      <c r="H46" s="564"/>
      <c r="I46" s="181" t="s">
        <v>161</v>
      </c>
      <c r="J46" s="181" t="s">
        <v>381</v>
      </c>
      <c r="K46" s="181" t="s">
        <v>163</v>
      </c>
      <c r="L46" s="628"/>
      <c r="M46" s="628"/>
      <c r="N46" s="564"/>
      <c r="O46" s="564"/>
      <c r="P46" s="180" t="s">
        <v>161</v>
      </c>
      <c r="Q46" s="180" t="s">
        <v>381</v>
      </c>
      <c r="R46" s="180" t="s">
        <v>163</v>
      </c>
      <c r="S46" s="182" t="s">
        <v>167</v>
      </c>
      <c r="T46" s="564"/>
      <c r="U46" s="180" t="s">
        <v>161</v>
      </c>
      <c r="V46" s="180" t="s">
        <v>381</v>
      </c>
      <c r="W46" s="180" t="s">
        <v>163</v>
      </c>
      <c r="X46" s="182" t="s">
        <v>167</v>
      </c>
      <c r="Y46" s="564"/>
      <c r="Z46" s="180" t="s">
        <v>161</v>
      </c>
      <c r="AA46" s="180" t="s">
        <v>381</v>
      </c>
      <c r="AB46" s="180" t="s">
        <v>163</v>
      </c>
      <c r="AC46" s="182" t="s">
        <v>167</v>
      </c>
      <c r="AD46" s="564"/>
      <c r="AE46" s="180" t="s">
        <v>161</v>
      </c>
      <c r="AF46" s="180" t="s">
        <v>381</v>
      </c>
      <c r="AG46" s="180" t="s">
        <v>163</v>
      </c>
      <c r="AH46" s="182" t="s">
        <v>167</v>
      </c>
      <c r="AI46" s="564"/>
      <c r="AJ46" s="180" t="s">
        <v>161</v>
      </c>
      <c r="AK46" s="180" t="s">
        <v>381</v>
      </c>
      <c r="AL46" s="180" t="s">
        <v>163</v>
      </c>
      <c r="AM46" s="182" t="s">
        <v>167</v>
      </c>
      <c r="AN46" s="564"/>
      <c r="AO46" s="180" t="s">
        <v>161</v>
      </c>
      <c r="AP46" s="180" t="s">
        <v>381</v>
      </c>
      <c r="AQ46" s="180" t="s">
        <v>163</v>
      </c>
      <c r="AR46" s="182" t="s">
        <v>167</v>
      </c>
      <c r="AS46" s="564"/>
      <c r="AT46" s="180" t="s">
        <v>161</v>
      </c>
      <c r="AU46" s="180" t="s">
        <v>381</v>
      </c>
      <c r="AV46" s="180" t="s">
        <v>163</v>
      </c>
      <c r="AW46" s="182" t="s">
        <v>167</v>
      </c>
      <c r="AX46" s="564"/>
    </row>
    <row r="47" spans="2:50" ht="14.25" customHeight="1">
      <c r="B47" s="564" t="s">
        <v>138</v>
      </c>
      <c r="C47" s="180">
        <v>1</v>
      </c>
      <c r="D47" s="183" t="s">
        <v>479</v>
      </c>
      <c r="E47" s="180">
        <v>20</v>
      </c>
      <c r="F47" s="180">
        <v>2000</v>
      </c>
      <c r="G47" s="185">
        <f t="shared" ref="G47:G54" si="52">F47/E47</f>
        <v>100</v>
      </c>
      <c r="H47" s="625">
        <f>AVERAGE(G47:G61)</f>
        <v>89.210427253905522</v>
      </c>
      <c r="I47" s="186">
        <f>AVERAGE(P47,U47,Z47,AE47,AJ47,AO47,AT47)</f>
        <v>20</v>
      </c>
      <c r="J47" s="186">
        <f>AVERAGE(Q47,V47,AA47,AF47,AK47,AP47,AU47)</f>
        <v>1785.4678626316411</v>
      </c>
      <c r="K47" s="187">
        <f>AVERAGE(R47,W47,AB47,AG47,AL47,AQ47,AV47)</f>
        <v>89.273393131582068</v>
      </c>
      <c r="L47" s="626">
        <f>IFERROR(AVERAGE(K47:K61),"-")</f>
        <v>77.946104010314016</v>
      </c>
      <c r="M47" s="186">
        <f>RANK(K47, K$47:$K$61)</f>
        <v>1</v>
      </c>
      <c r="N47" s="564"/>
      <c r="O47" s="564"/>
      <c r="P47" s="188">
        <v>20</v>
      </c>
      <c r="Q47" s="188">
        <v>1785.3015075376879</v>
      </c>
      <c r="R47" s="185">
        <f>IFERROR(Q47/P47,"")</f>
        <v>89.265075376884397</v>
      </c>
      <c r="S47" s="182">
        <f>RANK(R47, R$47:R$61)</f>
        <v>1</v>
      </c>
      <c r="T47" s="625">
        <f>AVERAGE(R47:R61)</f>
        <v>77.934954542608196</v>
      </c>
      <c r="U47" s="188">
        <v>20</v>
      </c>
      <c r="V47" s="188">
        <v>1785.2175432465488</v>
      </c>
      <c r="W47" s="185">
        <f t="shared" ref="W47:W54" si="53">IFERROR(V47/U47,"")</f>
        <v>89.260877162327432</v>
      </c>
      <c r="X47" s="182">
        <f>RANK(W47, W$47:W$61)</f>
        <v>1</v>
      </c>
      <c r="Y47" s="625">
        <f>AVERAGE(W47:W61)</f>
        <v>77.936872822500206</v>
      </c>
      <c r="Z47" s="188">
        <v>20</v>
      </c>
      <c r="AA47" s="188">
        <v>1785.3997682502888</v>
      </c>
      <c r="AB47" s="185">
        <f t="shared" ref="AB47:AB54" si="54">IFERROR(AA47/Z47,"")</f>
        <v>89.269988412514437</v>
      </c>
      <c r="AC47" s="182">
        <f>RANK(AB47, AB$47:AB$61)</f>
        <v>1</v>
      </c>
      <c r="AD47" s="625">
        <f>AVERAGE(AB47:AB61)</f>
        <v>77.943279672735031</v>
      </c>
      <c r="AE47" s="188">
        <v>20</v>
      </c>
      <c r="AF47" s="188">
        <v>1785.5435847208616</v>
      </c>
      <c r="AG47" s="185">
        <f>IFERROR(AF47/AE47,"")</f>
        <v>89.277179236043082</v>
      </c>
      <c r="AH47" s="182">
        <f>RANK(AG47, AG$47:AG$61)</f>
        <v>1</v>
      </c>
      <c r="AI47" s="625">
        <f>AVERAGE(AG47:AG61)</f>
        <v>77.94621580013002</v>
      </c>
      <c r="AJ47" s="188">
        <v>20</v>
      </c>
      <c r="AK47" s="188">
        <v>1785.6818181818182</v>
      </c>
      <c r="AL47" s="185">
        <f t="shared" ref="AL47:AL54" si="55">IFERROR(AK47/AJ47,"")</f>
        <v>89.284090909090907</v>
      </c>
      <c r="AM47" s="182">
        <f>RANK(AL47, AL$47:AL$61)</f>
        <v>1</v>
      </c>
      <c r="AN47" s="625">
        <f>AVERAGE(AL47:AL61)</f>
        <v>77.954207365609435</v>
      </c>
      <c r="AO47" s="188">
        <v>20</v>
      </c>
      <c r="AP47" s="188">
        <v>1785.5927963981992</v>
      </c>
      <c r="AQ47" s="185">
        <f t="shared" ref="AQ47:AQ53" si="56">IFERROR(AP47/AO47,"")</f>
        <v>89.27963981990996</v>
      </c>
      <c r="AR47" s="182">
        <f>RANK(AQ47, AQ$47:AQ$61)</f>
        <v>1</v>
      </c>
      <c r="AS47" s="625">
        <f>AVERAGE(AQ47:AQ61)</f>
        <v>78.881649471955839</v>
      </c>
      <c r="AT47" s="188">
        <v>20</v>
      </c>
      <c r="AU47" s="188">
        <v>1785.5380200860825</v>
      </c>
      <c r="AV47" s="185">
        <f t="shared" ref="AV47:AV53" si="57">IFERROR(AU47/AT47,"")</f>
        <v>89.276901004304122</v>
      </c>
      <c r="AW47" s="182">
        <f>RANK(AV47, AV$47:AV$61)</f>
        <v>1</v>
      </c>
      <c r="AX47" s="625">
        <f>AVERAGE(AV47:AV61)</f>
        <v>78.883224557653747</v>
      </c>
    </row>
    <row r="48" spans="2:50" ht="14.25" customHeight="1">
      <c r="B48" s="564"/>
      <c r="C48" s="180">
        <v>2</v>
      </c>
      <c r="D48" s="183" t="s">
        <v>360</v>
      </c>
      <c r="E48" s="180">
        <v>21</v>
      </c>
      <c r="F48" s="180">
        <v>2000</v>
      </c>
      <c r="G48" s="185">
        <f t="shared" si="52"/>
        <v>95.238095238095241</v>
      </c>
      <c r="H48" s="625"/>
      <c r="I48" s="186">
        <f t="shared" ref="I48:K54" si="58">AVERAGE(P48,U48,Z48,AE48,AJ48,AO48,AT48)</f>
        <v>22</v>
      </c>
      <c r="J48" s="186">
        <f t="shared" si="58"/>
        <v>1783.7380701091577</v>
      </c>
      <c r="K48" s="187">
        <f t="shared" si="58"/>
        <v>81.0790031867799</v>
      </c>
      <c r="L48" s="626"/>
      <c r="M48" s="186">
        <f>RANK(K48, K$47:$K$61)</f>
        <v>3</v>
      </c>
      <c r="N48" s="564"/>
      <c r="O48" s="564"/>
      <c r="P48" s="188">
        <v>22</v>
      </c>
      <c r="Q48" s="188">
        <v>1783.3101529902631</v>
      </c>
      <c r="R48" s="185">
        <f t="shared" ref="R48:R54" si="59">IFERROR(Q48/P48,"")</f>
        <v>81.059552408648315</v>
      </c>
      <c r="S48" s="182">
        <f t="shared" ref="S48:S54" si="60">RANK(R48, R$47:R$61)</f>
        <v>3</v>
      </c>
      <c r="T48" s="625"/>
      <c r="U48" s="188">
        <v>22</v>
      </c>
      <c r="V48" s="188">
        <v>1783.4594594594596</v>
      </c>
      <c r="W48" s="185">
        <f t="shared" si="53"/>
        <v>81.066339066339069</v>
      </c>
      <c r="X48" s="182">
        <f t="shared" ref="X48:X54" si="61">RANK(W48, W$47:W$61)</f>
        <v>3</v>
      </c>
      <c r="Y48" s="625"/>
      <c r="Z48" s="188">
        <v>22</v>
      </c>
      <c r="AA48" s="188">
        <v>1783.6219547989417</v>
      </c>
      <c r="AB48" s="185">
        <f t="shared" si="54"/>
        <v>81.073725218133717</v>
      </c>
      <c r="AC48" s="182">
        <f t="shared" ref="AC48:AC54" si="62">RANK(AB48, AB$47:AB$61)</f>
        <v>3</v>
      </c>
      <c r="AD48" s="625"/>
      <c r="AE48" s="188">
        <v>22</v>
      </c>
      <c r="AF48" s="188">
        <v>1783.5421605147319</v>
      </c>
      <c r="AG48" s="185">
        <f t="shared" ref="AG48:AG54" si="63">IFERROR(AF48/AE48,"")</f>
        <v>81.070098205215089</v>
      </c>
      <c r="AH48" s="182">
        <f t="shared" ref="AH48:AH54" si="64">RANK(AG48, AG$47:AG$61)</f>
        <v>3</v>
      </c>
      <c r="AI48" s="625"/>
      <c r="AJ48" s="188">
        <v>22</v>
      </c>
      <c r="AK48" s="188">
        <v>1783.8213975065235</v>
      </c>
      <c r="AL48" s="185">
        <f t="shared" si="55"/>
        <v>81.082790795751066</v>
      </c>
      <c r="AM48" s="182">
        <f t="shared" ref="AM48:AM54" si="65">RANK(AL48, AL$47:AL$61)</f>
        <v>3</v>
      </c>
      <c r="AN48" s="625"/>
      <c r="AO48" s="188">
        <v>22</v>
      </c>
      <c r="AP48" s="188">
        <v>1784.1078066914499</v>
      </c>
      <c r="AQ48" s="185">
        <f t="shared" si="56"/>
        <v>81.095809395065899</v>
      </c>
      <c r="AR48" s="182">
        <f t="shared" ref="AR48:AR53" si="66">RANK(AQ48, AQ$47:AQ$61)</f>
        <v>3</v>
      </c>
      <c r="AS48" s="625"/>
      <c r="AT48" s="188">
        <v>22</v>
      </c>
      <c r="AU48" s="188">
        <v>1784.3035588027346</v>
      </c>
      <c r="AV48" s="185">
        <f t="shared" si="57"/>
        <v>81.104707218306118</v>
      </c>
      <c r="AW48" s="182">
        <f t="shared" ref="AW48:AW53" si="67">RANK(AV48, AV$47:AV$61)</f>
        <v>3</v>
      </c>
      <c r="AX48" s="625"/>
    </row>
    <row r="49" spans="2:50" ht="14.25" customHeight="1">
      <c r="B49" s="564"/>
      <c r="C49" s="180">
        <v>3</v>
      </c>
      <c r="D49" s="183" t="s">
        <v>475</v>
      </c>
      <c r="E49" s="180">
        <v>22</v>
      </c>
      <c r="F49" s="180">
        <v>2000</v>
      </c>
      <c r="G49" s="185">
        <f t="shared" si="52"/>
        <v>90.909090909090907</v>
      </c>
      <c r="H49" s="625"/>
      <c r="I49" s="186">
        <f t="shared" si="58"/>
        <v>22</v>
      </c>
      <c r="J49" s="186">
        <f t="shared" si="58"/>
        <v>1784.8952141070245</v>
      </c>
      <c r="K49" s="187">
        <f t="shared" si="58"/>
        <v>81.131600641228403</v>
      </c>
      <c r="L49" s="626"/>
      <c r="M49" s="186">
        <f>RANK(K49, K$47:$K$61)</f>
        <v>2</v>
      </c>
      <c r="N49" s="564"/>
      <c r="O49" s="564"/>
      <c r="P49" s="188">
        <v>22</v>
      </c>
      <c r="Q49" s="188">
        <v>1784.8324514991175</v>
      </c>
      <c r="R49" s="185">
        <f t="shared" si="59"/>
        <v>81.128747795414426</v>
      </c>
      <c r="S49" s="182">
        <f t="shared" si="60"/>
        <v>2</v>
      </c>
      <c r="T49" s="625"/>
      <c r="U49" s="188">
        <v>22</v>
      </c>
      <c r="V49" s="188">
        <v>1785.0091407678237</v>
      </c>
      <c r="W49" s="185">
        <f t="shared" si="53"/>
        <v>81.136779125810165</v>
      </c>
      <c r="X49" s="182">
        <f t="shared" si="61"/>
        <v>2</v>
      </c>
      <c r="Y49" s="625"/>
      <c r="Z49" s="188">
        <v>22</v>
      </c>
      <c r="AA49" s="188">
        <v>1784.942346823422</v>
      </c>
      <c r="AB49" s="185">
        <f t="shared" si="54"/>
        <v>81.133743037428275</v>
      </c>
      <c r="AC49" s="182">
        <f t="shared" si="62"/>
        <v>2</v>
      </c>
      <c r="AD49" s="625"/>
      <c r="AE49" s="188">
        <v>22</v>
      </c>
      <c r="AF49" s="188">
        <v>1784.7415914684186</v>
      </c>
      <c r="AG49" s="185">
        <f t="shared" si="63"/>
        <v>81.124617794019031</v>
      </c>
      <c r="AH49" s="182">
        <f t="shared" si="64"/>
        <v>2</v>
      </c>
      <c r="AI49" s="625"/>
      <c r="AJ49" s="188">
        <v>22</v>
      </c>
      <c r="AK49" s="188">
        <v>1784.8580441640379</v>
      </c>
      <c r="AL49" s="185">
        <f t="shared" si="55"/>
        <v>81.129911098365355</v>
      </c>
      <c r="AM49" s="182">
        <f t="shared" si="65"/>
        <v>2</v>
      </c>
      <c r="AN49" s="625"/>
      <c r="AO49" s="188">
        <v>22</v>
      </c>
      <c r="AP49" s="188">
        <v>1784.9265286775162</v>
      </c>
      <c r="AQ49" s="185">
        <f t="shared" si="56"/>
        <v>81.133024030796193</v>
      </c>
      <c r="AR49" s="182">
        <f t="shared" si="66"/>
        <v>2</v>
      </c>
      <c r="AS49" s="625"/>
      <c r="AT49" s="188">
        <v>22</v>
      </c>
      <c r="AU49" s="188">
        <v>1784.9563953488373</v>
      </c>
      <c r="AV49" s="185">
        <f t="shared" si="57"/>
        <v>81.134381606765331</v>
      </c>
      <c r="AW49" s="182">
        <f t="shared" si="67"/>
        <v>2</v>
      </c>
      <c r="AX49" s="625"/>
    </row>
    <row r="50" spans="2:50" ht="14.25" customHeight="1">
      <c r="B50" s="564"/>
      <c r="C50" s="180">
        <v>4</v>
      </c>
      <c r="D50" s="183" t="s">
        <v>362</v>
      </c>
      <c r="E50" s="180">
        <v>23</v>
      </c>
      <c r="F50" s="180">
        <v>2000</v>
      </c>
      <c r="G50" s="185">
        <f t="shared" si="52"/>
        <v>86.956521739130437</v>
      </c>
      <c r="H50" s="625"/>
      <c r="I50" s="186">
        <f t="shared" si="58"/>
        <v>24</v>
      </c>
      <c r="J50" s="186">
        <f t="shared" si="58"/>
        <v>1782.2150487318017</v>
      </c>
      <c r="K50" s="187">
        <f t="shared" si="58"/>
        <v>74.258960363825068</v>
      </c>
      <c r="L50" s="626"/>
      <c r="M50" s="186">
        <f>RANK(K50, K$47:$K$61)</f>
        <v>7</v>
      </c>
      <c r="N50" s="564"/>
      <c r="O50" s="564"/>
      <c r="P50" s="188">
        <v>24</v>
      </c>
      <c r="Q50" s="188">
        <v>1782.1328582336469</v>
      </c>
      <c r="R50" s="185">
        <f t="shared" si="59"/>
        <v>74.255535759735281</v>
      </c>
      <c r="S50" s="182">
        <f t="shared" si="60"/>
        <v>7</v>
      </c>
      <c r="T50" s="625"/>
      <c r="U50" s="188">
        <v>24</v>
      </c>
      <c r="V50" s="188">
        <v>1782.0753355462541</v>
      </c>
      <c r="W50" s="185">
        <f t="shared" si="53"/>
        <v>74.253138981093926</v>
      </c>
      <c r="X50" s="182">
        <f t="shared" si="61"/>
        <v>7</v>
      </c>
      <c r="Y50" s="625"/>
      <c r="Z50" s="188">
        <v>24</v>
      </c>
      <c r="AA50" s="188">
        <v>1782.3413996075867</v>
      </c>
      <c r="AB50" s="185">
        <f t="shared" si="54"/>
        <v>74.264224983649441</v>
      </c>
      <c r="AC50" s="182">
        <f t="shared" si="62"/>
        <v>7</v>
      </c>
      <c r="AD50" s="625"/>
      <c r="AE50" s="188">
        <v>24</v>
      </c>
      <c r="AF50" s="188">
        <v>1782.2627737226271</v>
      </c>
      <c r="AG50" s="185">
        <f t="shared" si="63"/>
        <v>74.260948905109458</v>
      </c>
      <c r="AH50" s="182">
        <f t="shared" si="64"/>
        <v>7</v>
      </c>
      <c r="AI50" s="625"/>
      <c r="AJ50" s="188">
        <v>24</v>
      </c>
      <c r="AK50" s="188">
        <v>1782.2990844354017</v>
      </c>
      <c r="AL50" s="185">
        <f t="shared" si="55"/>
        <v>74.262461851475067</v>
      </c>
      <c r="AM50" s="182">
        <f t="shared" si="65"/>
        <v>7</v>
      </c>
      <c r="AN50" s="625"/>
      <c r="AO50" s="188">
        <v>24</v>
      </c>
      <c r="AP50" s="188">
        <v>1782.2036489654467</v>
      </c>
      <c r="AQ50" s="185">
        <f t="shared" si="56"/>
        <v>74.258485373560276</v>
      </c>
      <c r="AR50" s="182">
        <f t="shared" si="66"/>
        <v>7</v>
      </c>
      <c r="AS50" s="625"/>
      <c r="AT50" s="188">
        <v>24</v>
      </c>
      <c r="AU50" s="188">
        <v>1782.190240611649</v>
      </c>
      <c r="AV50" s="185">
        <f t="shared" si="57"/>
        <v>74.25792669215204</v>
      </c>
      <c r="AW50" s="182">
        <f t="shared" si="67"/>
        <v>7</v>
      </c>
      <c r="AX50" s="625"/>
    </row>
    <row r="51" spans="2:50" ht="14.25" customHeight="1">
      <c r="B51" s="564"/>
      <c r="C51" s="180">
        <v>5</v>
      </c>
      <c r="D51" s="183" t="s">
        <v>359</v>
      </c>
      <c r="E51" s="180">
        <v>23</v>
      </c>
      <c r="F51" s="180">
        <v>2000</v>
      </c>
      <c r="G51" s="185">
        <f t="shared" si="52"/>
        <v>86.956521739130437</v>
      </c>
      <c r="H51" s="625"/>
      <c r="I51" s="186">
        <f t="shared" si="58"/>
        <v>23</v>
      </c>
      <c r="J51" s="186">
        <f t="shared" si="58"/>
        <v>1786.0582177565466</v>
      </c>
      <c r="K51" s="187">
        <f t="shared" si="58"/>
        <v>77.654705119849851</v>
      </c>
      <c r="L51" s="626"/>
      <c r="M51" s="186">
        <f>RANK(K51, K$47:$K$61)</f>
        <v>4</v>
      </c>
      <c r="N51" s="564"/>
      <c r="O51" s="564"/>
      <c r="P51" s="188">
        <v>23</v>
      </c>
      <c r="Q51" s="188">
        <v>1785.8638743455508</v>
      </c>
      <c r="R51" s="185">
        <f t="shared" si="59"/>
        <v>77.646255406328294</v>
      </c>
      <c r="S51" s="182">
        <f t="shared" si="60"/>
        <v>4</v>
      </c>
      <c r="T51" s="625"/>
      <c r="U51" s="188">
        <v>23</v>
      </c>
      <c r="V51" s="188">
        <v>1785.7724550898208</v>
      </c>
      <c r="W51" s="185">
        <f t="shared" si="53"/>
        <v>77.642280656079166</v>
      </c>
      <c r="X51" s="182">
        <f t="shared" si="61"/>
        <v>4</v>
      </c>
      <c r="Y51" s="625"/>
      <c r="Z51" s="188">
        <v>23</v>
      </c>
      <c r="AA51" s="188">
        <v>1785.6839872746525</v>
      </c>
      <c r="AB51" s="185">
        <f t="shared" si="54"/>
        <v>77.638434229332717</v>
      </c>
      <c r="AC51" s="182">
        <f t="shared" si="62"/>
        <v>4</v>
      </c>
      <c r="AD51" s="625"/>
      <c r="AE51" s="188">
        <v>23</v>
      </c>
      <c r="AF51" s="188">
        <v>1786.089644513138</v>
      </c>
      <c r="AG51" s="185">
        <f t="shared" si="63"/>
        <v>77.656071500571215</v>
      </c>
      <c r="AH51" s="182">
        <f t="shared" si="64"/>
        <v>4</v>
      </c>
      <c r="AI51" s="625"/>
      <c r="AJ51" s="188">
        <v>23</v>
      </c>
      <c r="AK51" s="188">
        <v>1786.3598091495912</v>
      </c>
      <c r="AL51" s="185">
        <f t="shared" si="55"/>
        <v>77.667817789112661</v>
      </c>
      <c r="AM51" s="182">
        <f t="shared" si="65"/>
        <v>4</v>
      </c>
      <c r="AN51" s="625"/>
      <c r="AO51" s="188">
        <v>23</v>
      </c>
      <c r="AP51" s="188">
        <v>1786.3259668508297</v>
      </c>
      <c r="AQ51" s="185">
        <f t="shared" si="56"/>
        <v>77.666346384818681</v>
      </c>
      <c r="AR51" s="182">
        <f t="shared" si="66"/>
        <v>4</v>
      </c>
      <c r="AS51" s="625"/>
      <c r="AT51" s="188">
        <v>23</v>
      </c>
      <c r="AU51" s="188">
        <v>1786.3117870722438</v>
      </c>
      <c r="AV51" s="185">
        <f t="shared" si="57"/>
        <v>77.665729872706251</v>
      </c>
      <c r="AW51" s="182">
        <f t="shared" si="67"/>
        <v>4</v>
      </c>
      <c r="AX51" s="625"/>
    </row>
    <row r="52" spans="2:50" ht="14.25" customHeight="1">
      <c r="B52" s="564"/>
      <c r="C52" s="180">
        <v>6</v>
      </c>
      <c r="D52" s="183" t="s">
        <v>471</v>
      </c>
      <c r="E52" s="180">
        <v>23</v>
      </c>
      <c r="F52" s="180">
        <v>2000</v>
      </c>
      <c r="G52" s="185">
        <f t="shared" si="52"/>
        <v>86.956521739130437</v>
      </c>
      <c r="H52" s="625"/>
      <c r="I52" s="186">
        <f t="shared" si="58"/>
        <v>24</v>
      </c>
      <c r="J52" s="186">
        <f t="shared" si="58"/>
        <v>1783.6915681297498</v>
      </c>
      <c r="K52" s="187">
        <f t="shared" si="58"/>
        <v>74.320482005406248</v>
      </c>
      <c r="L52" s="626"/>
      <c r="M52" s="186">
        <f>RANK(K52, K$47:$K$61)</f>
        <v>6</v>
      </c>
      <c r="N52" s="564"/>
      <c r="O52" s="564"/>
      <c r="P52" s="188">
        <v>24</v>
      </c>
      <c r="Q52" s="188">
        <v>1783.3307173128221</v>
      </c>
      <c r="R52" s="185">
        <f t="shared" si="59"/>
        <v>74.305446554700922</v>
      </c>
      <c r="S52" s="182">
        <f t="shared" si="60"/>
        <v>6</v>
      </c>
      <c r="T52" s="625"/>
      <c r="U52" s="188">
        <v>24</v>
      </c>
      <c r="V52" s="188">
        <v>1783.3333333333333</v>
      </c>
      <c r="W52" s="185">
        <f t="shared" si="53"/>
        <v>74.305555555555557</v>
      </c>
      <c r="X52" s="182">
        <f t="shared" si="61"/>
        <v>6</v>
      </c>
      <c r="Y52" s="625"/>
      <c r="Z52" s="188">
        <v>24</v>
      </c>
      <c r="AA52" s="188">
        <v>1783.4546150900042</v>
      </c>
      <c r="AB52" s="185">
        <f t="shared" si="54"/>
        <v>74.310608962083506</v>
      </c>
      <c r="AC52" s="182">
        <f t="shared" si="62"/>
        <v>6</v>
      </c>
      <c r="AD52" s="625"/>
      <c r="AE52" s="188">
        <v>24</v>
      </c>
      <c r="AF52" s="188">
        <v>1783.6906077348069</v>
      </c>
      <c r="AG52" s="185">
        <f t="shared" si="63"/>
        <v>74.320441988950293</v>
      </c>
      <c r="AH52" s="182">
        <f t="shared" si="64"/>
        <v>6</v>
      </c>
      <c r="AI52" s="625"/>
      <c r="AJ52" s="188">
        <v>24</v>
      </c>
      <c r="AK52" s="188">
        <v>1783.9185539164778</v>
      </c>
      <c r="AL52" s="185">
        <f t="shared" si="55"/>
        <v>74.329939746519912</v>
      </c>
      <c r="AM52" s="182">
        <f t="shared" si="65"/>
        <v>6</v>
      </c>
      <c r="AN52" s="625"/>
      <c r="AO52" s="188">
        <v>24</v>
      </c>
      <c r="AP52" s="188">
        <v>1784.014209591475</v>
      </c>
      <c r="AQ52" s="185">
        <f t="shared" si="56"/>
        <v>74.333925399644798</v>
      </c>
      <c r="AR52" s="182">
        <f t="shared" si="66"/>
        <v>6</v>
      </c>
      <c r="AS52" s="625"/>
      <c r="AT52" s="188">
        <v>24</v>
      </c>
      <c r="AU52" s="188">
        <v>1784.0989399293296</v>
      </c>
      <c r="AV52" s="185">
        <f t="shared" si="57"/>
        <v>74.337455830388734</v>
      </c>
      <c r="AW52" s="182">
        <f t="shared" si="67"/>
        <v>6</v>
      </c>
      <c r="AX52" s="625"/>
    </row>
    <row r="53" spans="2:50" ht="14.25" customHeight="1">
      <c r="B53" s="564"/>
      <c r="C53" s="180">
        <v>7</v>
      </c>
      <c r="D53" s="183" t="s">
        <v>361</v>
      </c>
      <c r="E53" s="180">
        <v>24</v>
      </c>
      <c r="F53" s="180">
        <v>2000</v>
      </c>
      <c r="G53" s="185">
        <f t="shared" si="52"/>
        <v>83.333333333333329</v>
      </c>
      <c r="H53" s="625"/>
      <c r="I53" s="186">
        <f t="shared" si="58"/>
        <v>24</v>
      </c>
      <c r="J53" s="186">
        <f t="shared" si="58"/>
        <v>1785.5749263123216</v>
      </c>
      <c r="K53" s="187">
        <f t="shared" si="58"/>
        <v>74.398955263013377</v>
      </c>
      <c r="L53" s="626"/>
      <c r="M53" s="186">
        <f>RANK(K53, K$47:$K$61)</f>
        <v>5</v>
      </c>
      <c r="N53" s="564"/>
      <c r="O53" s="564"/>
      <c r="P53" s="188">
        <v>24</v>
      </c>
      <c r="Q53" s="188">
        <v>1785.4437869822486</v>
      </c>
      <c r="R53" s="185">
        <f t="shared" si="59"/>
        <v>74.393491124260365</v>
      </c>
      <c r="S53" s="182">
        <f t="shared" si="60"/>
        <v>5</v>
      </c>
      <c r="T53" s="625"/>
      <c r="U53" s="188">
        <v>24</v>
      </c>
      <c r="V53" s="188">
        <v>1785.4011398509429</v>
      </c>
      <c r="W53" s="185">
        <f t="shared" si="53"/>
        <v>74.391714160455948</v>
      </c>
      <c r="X53" s="182">
        <f t="shared" si="61"/>
        <v>5</v>
      </c>
      <c r="Y53" s="625"/>
      <c r="Z53" s="188">
        <v>24</v>
      </c>
      <c r="AA53" s="188">
        <v>1785.5052739026878</v>
      </c>
      <c r="AB53" s="185">
        <f t="shared" si="54"/>
        <v>74.396053079278659</v>
      </c>
      <c r="AC53" s="182">
        <f t="shared" si="62"/>
        <v>5</v>
      </c>
      <c r="AD53" s="625"/>
      <c r="AE53" s="188">
        <v>24</v>
      </c>
      <c r="AF53" s="188">
        <v>1785.5765313051729</v>
      </c>
      <c r="AG53" s="185">
        <f t="shared" si="63"/>
        <v>74.399022137715534</v>
      </c>
      <c r="AH53" s="182">
        <f t="shared" si="64"/>
        <v>5</v>
      </c>
      <c r="AI53" s="625"/>
      <c r="AJ53" s="188">
        <v>24</v>
      </c>
      <c r="AK53" s="188">
        <v>1785.6628982528268</v>
      </c>
      <c r="AL53" s="185">
        <f t="shared" si="55"/>
        <v>74.402620760534447</v>
      </c>
      <c r="AM53" s="182">
        <f t="shared" si="65"/>
        <v>5</v>
      </c>
      <c r="AN53" s="625"/>
      <c r="AO53" s="188">
        <v>24</v>
      </c>
      <c r="AP53" s="188">
        <v>1785.7035815974825</v>
      </c>
      <c r="AQ53" s="185">
        <f t="shared" si="56"/>
        <v>74.40431589989511</v>
      </c>
      <c r="AR53" s="182">
        <f t="shared" si="66"/>
        <v>5</v>
      </c>
      <c r="AS53" s="625"/>
      <c r="AT53" s="188">
        <v>24</v>
      </c>
      <c r="AU53" s="188">
        <v>1785.7312722948873</v>
      </c>
      <c r="AV53" s="185">
        <f t="shared" si="57"/>
        <v>74.405469678953637</v>
      </c>
      <c r="AW53" s="182">
        <f t="shared" si="67"/>
        <v>5</v>
      </c>
      <c r="AX53" s="625"/>
    </row>
    <row r="54" spans="2:50" ht="14.25" customHeight="1">
      <c r="B54" s="564"/>
      <c r="C54" s="180">
        <v>8</v>
      </c>
      <c r="D54" s="183" t="s">
        <v>363</v>
      </c>
      <c r="E54" s="180">
        <v>24</v>
      </c>
      <c r="F54" s="180">
        <v>2000</v>
      </c>
      <c r="G54" s="185">
        <f t="shared" si="52"/>
        <v>83.333333333333329</v>
      </c>
      <c r="H54" s="625"/>
      <c r="I54" s="186">
        <f t="shared" si="58"/>
        <v>25</v>
      </c>
      <c r="J54" s="186">
        <f t="shared" si="58"/>
        <v>1786.2933092706808</v>
      </c>
      <c r="K54" s="187">
        <f t="shared" si="58"/>
        <v>71.451732370827216</v>
      </c>
      <c r="L54" s="626"/>
      <c r="M54" s="186">
        <f>RANK(K54, K$47:$K$61)</f>
        <v>8</v>
      </c>
      <c r="N54" s="564"/>
      <c r="O54" s="564"/>
      <c r="P54" s="188">
        <v>25</v>
      </c>
      <c r="Q54" s="188">
        <v>1785.6382978723414</v>
      </c>
      <c r="R54" s="185">
        <f t="shared" si="59"/>
        <v>71.425531914893654</v>
      </c>
      <c r="S54" s="182">
        <f t="shared" si="60"/>
        <v>8</v>
      </c>
      <c r="T54" s="625"/>
      <c r="U54" s="188">
        <v>25</v>
      </c>
      <c r="V54" s="188">
        <v>1785.9574468085109</v>
      </c>
      <c r="W54" s="185">
        <f t="shared" si="53"/>
        <v>71.438297872340442</v>
      </c>
      <c r="X54" s="182">
        <f t="shared" si="61"/>
        <v>8</v>
      </c>
      <c r="Y54" s="625"/>
      <c r="Z54" s="188">
        <v>25</v>
      </c>
      <c r="AA54" s="188">
        <v>1786.4864864864871</v>
      </c>
      <c r="AB54" s="185">
        <f t="shared" si="54"/>
        <v>71.459459459459481</v>
      </c>
      <c r="AC54" s="182">
        <f t="shared" si="62"/>
        <v>8</v>
      </c>
      <c r="AD54" s="625"/>
      <c r="AE54" s="188">
        <v>25</v>
      </c>
      <c r="AF54" s="188">
        <v>1786.5336658354129</v>
      </c>
      <c r="AG54" s="185">
        <f t="shared" si="63"/>
        <v>71.461346633416511</v>
      </c>
      <c r="AH54" s="182">
        <f t="shared" si="64"/>
        <v>8</v>
      </c>
      <c r="AI54" s="625"/>
      <c r="AJ54" s="188">
        <v>25</v>
      </c>
      <c r="AK54" s="188">
        <v>1786.8506493506507</v>
      </c>
      <c r="AL54" s="185">
        <f t="shared" si="55"/>
        <v>71.47402597402602</v>
      </c>
      <c r="AM54" s="182">
        <f t="shared" si="65"/>
        <v>8</v>
      </c>
      <c r="AN54" s="625"/>
      <c r="AO54" s="188"/>
      <c r="AP54" s="188"/>
      <c r="AQ54" s="185"/>
      <c r="AR54" s="182"/>
      <c r="AS54" s="625"/>
      <c r="AT54" s="188"/>
      <c r="AU54" s="188"/>
      <c r="AV54" s="185"/>
      <c r="AW54" s="182"/>
      <c r="AX54" s="625"/>
    </row>
    <row r="55" spans="2:50" ht="14.25" customHeight="1">
      <c r="B55" s="564"/>
      <c r="C55" s="180">
        <v>9</v>
      </c>
      <c r="D55" s="183"/>
      <c r="E55" s="180"/>
      <c r="F55" s="180"/>
      <c r="G55" s="185"/>
      <c r="H55" s="625"/>
      <c r="I55" s="186"/>
      <c r="J55" s="186"/>
      <c r="K55" s="187"/>
      <c r="L55" s="626"/>
      <c r="M55" s="186"/>
      <c r="N55" s="564"/>
      <c r="O55" s="564"/>
      <c r="P55" s="188"/>
      <c r="Q55" s="188"/>
      <c r="R55" s="185"/>
      <c r="S55" s="182"/>
      <c r="T55" s="625"/>
      <c r="U55" s="188"/>
      <c r="V55" s="188"/>
      <c r="W55" s="185"/>
      <c r="X55" s="182"/>
      <c r="Y55" s="625"/>
      <c r="Z55" s="188"/>
      <c r="AA55" s="188"/>
      <c r="AB55" s="185"/>
      <c r="AC55" s="182"/>
      <c r="AD55" s="625"/>
      <c r="AE55" s="188"/>
      <c r="AF55" s="188"/>
      <c r="AG55" s="185"/>
      <c r="AH55" s="182"/>
      <c r="AI55" s="625"/>
      <c r="AJ55" s="188"/>
      <c r="AK55" s="188"/>
      <c r="AL55" s="185"/>
      <c r="AM55" s="182"/>
      <c r="AN55" s="625"/>
      <c r="AO55" s="188"/>
      <c r="AP55" s="188"/>
      <c r="AQ55" s="185"/>
      <c r="AR55" s="182"/>
      <c r="AS55" s="625"/>
      <c r="AT55" s="188"/>
      <c r="AU55" s="188"/>
      <c r="AV55" s="185"/>
      <c r="AW55" s="182"/>
      <c r="AX55" s="625"/>
    </row>
    <row r="56" spans="2:50" ht="14.25" customHeight="1">
      <c r="B56" s="564"/>
      <c r="C56" s="180">
        <v>10</v>
      </c>
      <c r="D56" s="183"/>
      <c r="E56" s="180"/>
      <c r="F56" s="180"/>
      <c r="G56" s="185"/>
      <c r="H56" s="625"/>
      <c r="I56" s="186"/>
      <c r="J56" s="186"/>
      <c r="K56" s="187"/>
      <c r="L56" s="626"/>
      <c r="M56" s="186"/>
      <c r="N56" s="564"/>
      <c r="O56" s="564"/>
      <c r="P56" s="188"/>
      <c r="Q56" s="188"/>
      <c r="R56" s="185"/>
      <c r="S56" s="182"/>
      <c r="T56" s="625"/>
      <c r="U56" s="188"/>
      <c r="V56" s="188"/>
      <c r="W56" s="185"/>
      <c r="X56" s="182"/>
      <c r="Y56" s="625"/>
      <c r="Z56" s="188"/>
      <c r="AA56" s="188"/>
      <c r="AB56" s="185"/>
      <c r="AC56" s="182"/>
      <c r="AD56" s="625"/>
      <c r="AE56" s="188"/>
      <c r="AF56" s="188"/>
      <c r="AG56" s="185"/>
      <c r="AH56" s="182"/>
      <c r="AI56" s="625"/>
      <c r="AJ56" s="188"/>
      <c r="AK56" s="188"/>
      <c r="AL56" s="185"/>
      <c r="AM56" s="182"/>
      <c r="AN56" s="625"/>
      <c r="AO56" s="188"/>
      <c r="AP56" s="188"/>
      <c r="AQ56" s="185"/>
      <c r="AR56" s="182"/>
      <c r="AS56" s="625"/>
      <c r="AT56" s="188"/>
      <c r="AU56" s="188"/>
      <c r="AV56" s="185"/>
      <c r="AW56" s="182"/>
      <c r="AX56" s="625"/>
    </row>
    <row r="57" spans="2:50" ht="14.25" customHeight="1">
      <c r="B57" s="564"/>
      <c r="C57" s="180">
        <v>11</v>
      </c>
      <c r="D57" s="183"/>
      <c r="E57" s="180"/>
      <c r="F57" s="180"/>
      <c r="G57" s="185"/>
      <c r="H57" s="625"/>
      <c r="I57" s="186"/>
      <c r="J57" s="186"/>
      <c r="K57" s="187"/>
      <c r="L57" s="626"/>
      <c r="M57" s="186"/>
      <c r="N57" s="564"/>
      <c r="O57" s="564"/>
      <c r="P57" s="188"/>
      <c r="Q57" s="188"/>
      <c r="R57" s="185"/>
      <c r="S57" s="182"/>
      <c r="T57" s="625"/>
      <c r="U57" s="188"/>
      <c r="V57" s="188"/>
      <c r="W57" s="185"/>
      <c r="X57" s="182"/>
      <c r="Y57" s="625"/>
      <c r="Z57" s="188"/>
      <c r="AA57" s="188"/>
      <c r="AB57" s="185"/>
      <c r="AC57" s="182"/>
      <c r="AD57" s="625"/>
      <c r="AE57" s="188"/>
      <c r="AF57" s="188"/>
      <c r="AG57" s="185"/>
      <c r="AH57" s="182"/>
      <c r="AI57" s="625"/>
      <c r="AJ57" s="188"/>
      <c r="AK57" s="188"/>
      <c r="AL57" s="185"/>
      <c r="AM57" s="182"/>
      <c r="AN57" s="625"/>
      <c r="AO57" s="188"/>
      <c r="AP57" s="188"/>
      <c r="AQ57" s="185"/>
      <c r="AR57" s="182"/>
      <c r="AS57" s="625"/>
      <c r="AT57" s="188"/>
      <c r="AU57" s="188"/>
      <c r="AV57" s="185"/>
      <c r="AW57" s="182"/>
      <c r="AX57" s="625"/>
    </row>
    <row r="58" spans="2:50" ht="14.25" customHeight="1">
      <c r="B58" s="564"/>
      <c r="C58" s="180">
        <v>12</v>
      </c>
      <c r="D58" s="183"/>
      <c r="E58" s="180"/>
      <c r="F58" s="180"/>
      <c r="G58" s="185"/>
      <c r="H58" s="625"/>
      <c r="I58" s="186"/>
      <c r="J58" s="186"/>
      <c r="K58" s="187"/>
      <c r="L58" s="626"/>
      <c r="M58" s="186"/>
      <c r="N58" s="564"/>
      <c r="O58" s="564"/>
      <c r="P58" s="188"/>
      <c r="Q58" s="188"/>
      <c r="R58" s="185"/>
      <c r="S58" s="182"/>
      <c r="T58" s="625"/>
      <c r="U58" s="188"/>
      <c r="V58" s="188"/>
      <c r="W58" s="185"/>
      <c r="X58" s="182"/>
      <c r="Y58" s="625"/>
      <c r="Z58" s="188"/>
      <c r="AA58" s="188"/>
      <c r="AB58" s="185"/>
      <c r="AC58" s="182"/>
      <c r="AD58" s="625"/>
      <c r="AE58" s="188"/>
      <c r="AF58" s="188"/>
      <c r="AG58" s="185"/>
      <c r="AH58" s="182"/>
      <c r="AI58" s="625"/>
      <c r="AJ58" s="188"/>
      <c r="AK58" s="188"/>
      <c r="AL58" s="185"/>
      <c r="AM58" s="182"/>
      <c r="AN58" s="625"/>
      <c r="AO58" s="188"/>
      <c r="AP58" s="188"/>
      <c r="AQ58" s="185"/>
      <c r="AR58" s="182"/>
      <c r="AS58" s="625"/>
      <c r="AT58" s="188"/>
      <c r="AU58" s="188"/>
      <c r="AV58" s="185"/>
      <c r="AW58" s="182"/>
      <c r="AX58" s="625"/>
    </row>
    <row r="59" spans="2:50" ht="14.25" customHeight="1">
      <c r="B59" s="564"/>
      <c r="C59" s="180">
        <v>13</v>
      </c>
      <c r="D59" s="183"/>
      <c r="E59" s="180"/>
      <c r="F59" s="180"/>
      <c r="G59" s="185"/>
      <c r="H59" s="625"/>
      <c r="I59" s="186"/>
      <c r="J59" s="186"/>
      <c r="K59" s="187"/>
      <c r="L59" s="626"/>
      <c r="M59" s="186"/>
      <c r="N59" s="564"/>
      <c r="O59" s="564"/>
      <c r="P59" s="188"/>
      <c r="Q59" s="188"/>
      <c r="R59" s="185"/>
      <c r="S59" s="182"/>
      <c r="T59" s="625"/>
      <c r="U59" s="188"/>
      <c r="V59" s="188"/>
      <c r="W59" s="185"/>
      <c r="X59" s="182"/>
      <c r="Y59" s="625"/>
      <c r="Z59" s="188"/>
      <c r="AA59" s="188"/>
      <c r="AB59" s="185"/>
      <c r="AC59" s="182"/>
      <c r="AD59" s="625"/>
      <c r="AE59" s="188"/>
      <c r="AF59" s="188"/>
      <c r="AG59" s="185"/>
      <c r="AH59" s="182"/>
      <c r="AI59" s="625"/>
      <c r="AJ59" s="188"/>
      <c r="AK59" s="188"/>
      <c r="AL59" s="185"/>
      <c r="AM59" s="182"/>
      <c r="AN59" s="625"/>
      <c r="AO59" s="188"/>
      <c r="AP59" s="188"/>
      <c r="AQ59" s="185"/>
      <c r="AR59" s="182"/>
      <c r="AS59" s="625"/>
      <c r="AT59" s="188"/>
      <c r="AU59" s="188"/>
      <c r="AV59" s="185"/>
      <c r="AW59" s="182"/>
      <c r="AX59" s="625"/>
    </row>
    <row r="60" spans="2:50" ht="14.25" customHeight="1">
      <c r="B60" s="564"/>
      <c r="C60" s="180">
        <v>14</v>
      </c>
      <c r="D60" s="183"/>
      <c r="E60" s="180"/>
      <c r="F60" s="180"/>
      <c r="G60" s="185"/>
      <c r="H60" s="625"/>
      <c r="I60" s="186"/>
      <c r="J60" s="186"/>
      <c r="K60" s="187"/>
      <c r="L60" s="626"/>
      <c r="M60" s="186"/>
      <c r="N60" s="564"/>
      <c r="O60" s="564"/>
      <c r="P60" s="188"/>
      <c r="Q60" s="188"/>
      <c r="R60" s="185"/>
      <c r="S60" s="182"/>
      <c r="T60" s="625"/>
      <c r="U60" s="188"/>
      <c r="V60" s="188"/>
      <c r="W60" s="185"/>
      <c r="X60" s="182"/>
      <c r="Y60" s="625"/>
      <c r="Z60" s="188"/>
      <c r="AA60" s="188"/>
      <c r="AB60" s="185"/>
      <c r="AC60" s="182"/>
      <c r="AD60" s="625"/>
      <c r="AE60" s="188"/>
      <c r="AF60" s="188"/>
      <c r="AG60" s="185"/>
      <c r="AH60" s="182"/>
      <c r="AI60" s="625"/>
      <c r="AJ60" s="188"/>
      <c r="AK60" s="188"/>
      <c r="AL60" s="185"/>
      <c r="AM60" s="182"/>
      <c r="AN60" s="625"/>
      <c r="AO60" s="188"/>
      <c r="AP60" s="188"/>
      <c r="AQ60" s="185"/>
      <c r="AR60" s="182"/>
      <c r="AS60" s="625"/>
      <c r="AT60" s="188"/>
      <c r="AU60" s="188"/>
      <c r="AV60" s="185"/>
      <c r="AW60" s="182"/>
      <c r="AX60" s="625"/>
    </row>
    <row r="61" spans="2:50" ht="14.25" customHeight="1">
      <c r="B61" s="564"/>
      <c r="C61" s="180">
        <v>15</v>
      </c>
      <c r="D61" s="183"/>
      <c r="E61" s="180"/>
      <c r="F61" s="180"/>
      <c r="G61" s="185"/>
      <c r="H61" s="625"/>
      <c r="I61" s="186"/>
      <c r="J61" s="186"/>
      <c r="K61" s="187"/>
      <c r="L61" s="626"/>
      <c r="M61" s="186"/>
      <c r="N61" s="564"/>
      <c r="O61" s="564"/>
      <c r="P61" s="188"/>
      <c r="Q61" s="188"/>
      <c r="R61" s="185"/>
      <c r="S61" s="182"/>
      <c r="T61" s="625"/>
      <c r="U61" s="188"/>
      <c r="V61" s="188"/>
      <c r="W61" s="185"/>
      <c r="X61" s="182"/>
      <c r="Y61" s="625"/>
      <c r="Z61" s="188"/>
      <c r="AA61" s="188"/>
      <c r="AB61" s="185"/>
      <c r="AC61" s="182"/>
      <c r="AD61" s="625"/>
      <c r="AE61" s="188"/>
      <c r="AF61" s="188"/>
      <c r="AG61" s="185"/>
      <c r="AH61" s="182"/>
      <c r="AI61" s="625"/>
      <c r="AJ61" s="188"/>
      <c r="AK61" s="188"/>
      <c r="AL61" s="185"/>
      <c r="AM61" s="182"/>
      <c r="AN61" s="625"/>
      <c r="AO61" s="188"/>
      <c r="AP61" s="188"/>
      <c r="AQ61" s="185"/>
      <c r="AR61" s="182"/>
      <c r="AS61" s="625"/>
      <c r="AT61" s="188"/>
      <c r="AU61" s="188"/>
      <c r="AV61" s="185"/>
      <c r="AW61" s="182"/>
      <c r="AX61" s="625"/>
    </row>
    <row r="62" spans="2:50" ht="14.25" customHeight="1" collapsed="1">
      <c r="B62" s="641" t="s">
        <v>644</v>
      </c>
      <c r="C62" s="642"/>
      <c r="D62" s="642"/>
      <c r="E62" s="642"/>
      <c r="F62" s="642"/>
      <c r="G62" s="642"/>
      <c r="H62" s="642"/>
      <c r="I62" s="642"/>
      <c r="J62" s="642"/>
      <c r="K62" s="642"/>
      <c r="L62" s="642"/>
      <c r="M62" s="643"/>
      <c r="N62" s="575" t="s">
        <v>377</v>
      </c>
      <c r="O62" s="575" t="s">
        <v>105</v>
      </c>
      <c r="P62" s="655">
        <f>AT42+1</f>
        <v>46098</v>
      </c>
      <c r="Q62" s="656"/>
      <c r="R62" s="656"/>
      <c r="S62" s="656"/>
      <c r="T62" s="656"/>
      <c r="U62" s="657">
        <f>P62+1</f>
        <v>46099</v>
      </c>
      <c r="V62" s="658"/>
      <c r="W62" s="658"/>
      <c r="X62" s="658"/>
      <c r="Y62" s="658"/>
      <c r="Z62" s="655">
        <f t="shared" ref="Z62" si="68">U62+1</f>
        <v>46100</v>
      </c>
      <c r="AA62" s="656"/>
      <c r="AB62" s="656"/>
      <c r="AC62" s="656"/>
      <c r="AD62" s="656"/>
      <c r="AE62" s="657">
        <f t="shared" ref="AE62" si="69">Z62+1</f>
        <v>46101</v>
      </c>
      <c r="AF62" s="658"/>
      <c r="AG62" s="658"/>
      <c r="AH62" s="658"/>
      <c r="AI62" s="658"/>
      <c r="AJ62" s="647">
        <f t="shared" ref="AJ62" si="70">AE62+1</f>
        <v>46102</v>
      </c>
      <c r="AK62" s="648"/>
      <c r="AL62" s="648"/>
      <c r="AM62" s="648"/>
      <c r="AN62" s="649"/>
      <c r="AO62" s="657">
        <f t="shared" ref="AO62" si="71">AJ62+1</f>
        <v>46103</v>
      </c>
      <c r="AP62" s="658"/>
      <c r="AQ62" s="658"/>
      <c r="AR62" s="658"/>
      <c r="AS62" s="658"/>
      <c r="AT62" s="647">
        <f t="shared" ref="AT62" si="72">AO62+1</f>
        <v>46104</v>
      </c>
      <c r="AU62" s="648"/>
      <c r="AV62" s="648"/>
      <c r="AW62" s="648"/>
      <c r="AX62" s="649"/>
    </row>
    <row r="63" spans="2:50" ht="14.25" customHeight="1">
      <c r="B63" s="644"/>
      <c r="C63" s="644"/>
      <c r="D63" s="644"/>
      <c r="E63" s="644"/>
      <c r="F63" s="644"/>
      <c r="G63" s="644"/>
      <c r="H63" s="644"/>
      <c r="I63" s="644"/>
      <c r="J63" s="644"/>
      <c r="K63" s="644"/>
      <c r="L63" s="644"/>
      <c r="M63" s="645"/>
      <c r="N63" s="577"/>
      <c r="O63" s="577"/>
      <c r="P63" s="650">
        <f>P62</f>
        <v>46098</v>
      </c>
      <c r="Q63" s="650"/>
      <c r="R63" s="650"/>
      <c r="S63" s="650"/>
      <c r="T63" s="650"/>
      <c r="U63" s="651">
        <f>U62</f>
        <v>46099</v>
      </c>
      <c r="V63" s="651"/>
      <c r="W63" s="651"/>
      <c r="X63" s="651"/>
      <c r="Y63" s="651"/>
      <c r="Z63" s="650">
        <f t="shared" ref="Z63" si="73">Z62</f>
        <v>46100</v>
      </c>
      <c r="AA63" s="650"/>
      <c r="AB63" s="650"/>
      <c r="AC63" s="650"/>
      <c r="AD63" s="650"/>
      <c r="AE63" s="651">
        <f t="shared" ref="AE63" si="74">AE62</f>
        <v>46101</v>
      </c>
      <c r="AF63" s="651"/>
      <c r="AG63" s="651"/>
      <c r="AH63" s="651"/>
      <c r="AI63" s="651"/>
      <c r="AJ63" s="652">
        <f t="shared" ref="AJ63" si="75">AJ62</f>
        <v>46102</v>
      </c>
      <c r="AK63" s="653"/>
      <c r="AL63" s="653"/>
      <c r="AM63" s="653"/>
      <c r="AN63" s="654"/>
      <c r="AO63" s="651">
        <f t="shared" ref="AO63" si="76">AO62</f>
        <v>46103</v>
      </c>
      <c r="AP63" s="651"/>
      <c r="AQ63" s="651"/>
      <c r="AR63" s="651"/>
      <c r="AS63" s="651"/>
      <c r="AT63" s="652">
        <f t="shared" ref="AT63" si="77">AT62</f>
        <v>46104</v>
      </c>
      <c r="AU63" s="653"/>
      <c r="AV63" s="653"/>
      <c r="AW63" s="653"/>
      <c r="AX63" s="654"/>
    </row>
    <row r="64" spans="2:50" ht="14.25" customHeight="1">
      <c r="B64" s="564" t="s">
        <v>164</v>
      </c>
      <c r="C64" s="564" t="s">
        <v>159</v>
      </c>
      <c r="D64" s="564"/>
      <c r="E64" s="564" t="s">
        <v>160</v>
      </c>
      <c r="F64" s="564"/>
      <c r="G64" s="564"/>
      <c r="H64" s="564" t="s">
        <v>165</v>
      </c>
      <c r="I64" s="628" t="s">
        <v>378</v>
      </c>
      <c r="J64" s="628"/>
      <c r="K64" s="628"/>
      <c r="L64" s="628" t="s">
        <v>165</v>
      </c>
      <c r="M64" s="628" t="s">
        <v>167</v>
      </c>
      <c r="N64" s="564"/>
      <c r="O64" s="564" t="s">
        <v>166</v>
      </c>
      <c r="P64" s="564" t="s">
        <v>162</v>
      </c>
      <c r="Q64" s="564"/>
      <c r="R64" s="564"/>
      <c r="S64" s="564"/>
      <c r="T64" s="564" t="s">
        <v>165</v>
      </c>
      <c r="U64" s="564" t="s">
        <v>162</v>
      </c>
      <c r="V64" s="564"/>
      <c r="W64" s="564"/>
      <c r="X64" s="564"/>
      <c r="Y64" s="564" t="s">
        <v>165</v>
      </c>
      <c r="Z64" s="564" t="s">
        <v>162</v>
      </c>
      <c r="AA64" s="564"/>
      <c r="AB64" s="564"/>
      <c r="AC64" s="564"/>
      <c r="AD64" s="564" t="s">
        <v>165</v>
      </c>
      <c r="AE64" s="564" t="s">
        <v>162</v>
      </c>
      <c r="AF64" s="564"/>
      <c r="AG64" s="564"/>
      <c r="AH64" s="564"/>
      <c r="AI64" s="564" t="s">
        <v>165</v>
      </c>
      <c r="AJ64" s="564" t="s">
        <v>162</v>
      </c>
      <c r="AK64" s="564"/>
      <c r="AL64" s="564"/>
      <c r="AM64" s="564"/>
      <c r="AN64" s="564" t="s">
        <v>165</v>
      </c>
      <c r="AO64" s="564" t="s">
        <v>162</v>
      </c>
      <c r="AP64" s="564"/>
      <c r="AQ64" s="564"/>
      <c r="AR64" s="564"/>
      <c r="AS64" s="564" t="s">
        <v>165</v>
      </c>
      <c r="AT64" s="564" t="s">
        <v>162</v>
      </c>
      <c r="AU64" s="564"/>
      <c r="AV64" s="564"/>
      <c r="AW64" s="564"/>
      <c r="AX64" s="564" t="s">
        <v>165</v>
      </c>
    </row>
    <row r="65" spans="2:50" ht="14.25" customHeight="1">
      <c r="B65" s="564"/>
      <c r="C65" s="564"/>
      <c r="D65" s="564"/>
      <c r="E65" s="564" t="s">
        <v>379</v>
      </c>
      <c r="F65" s="564"/>
      <c r="G65" s="564"/>
      <c r="H65" s="564"/>
      <c r="I65" s="628" t="s">
        <v>379</v>
      </c>
      <c r="J65" s="628"/>
      <c r="K65" s="628"/>
      <c r="L65" s="628"/>
      <c r="M65" s="628"/>
      <c r="N65" s="564"/>
      <c r="O65" s="564"/>
      <c r="P65" s="564" t="s">
        <v>380</v>
      </c>
      <c r="Q65" s="564"/>
      <c r="R65" s="564"/>
      <c r="S65" s="564"/>
      <c r="T65" s="564"/>
      <c r="U65" s="564" t="s">
        <v>380</v>
      </c>
      <c r="V65" s="564"/>
      <c r="W65" s="564"/>
      <c r="X65" s="564"/>
      <c r="Y65" s="564"/>
      <c r="Z65" s="564" t="s">
        <v>380</v>
      </c>
      <c r="AA65" s="564"/>
      <c r="AB65" s="564"/>
      <c r="AC65" s="564"/>
      <c r="AD65" s="564"/>
      <c r="AE65" s="564" t="s">
        <v>380</v>
      </c>
      <c r="AF65" s="564"/>
      <c r="AG65" s="564"/>
      <c r="AH65" s="564"/>
      <c r="AI65" s="564"/>
      <c r="AJ65" s="564" t="s">
        <v>380</v>
      </c>
      <c r="AK65" s="564"/>
      <c r="AL65" s="564"/>
      <c r="AM65" s="564"/>
      <c r="AN65" s="564"/>
      <c r="AO65" s="564" t="s">
        <v>380</v>
      </c>
      <c r="AP65" s="564"/>
      <c r="AQ65" s="564"/>
      <c r="AR65" s="564"/>
      <c r="AS65" s="564"/>
      <c r="AT65" s="564" t="s">
        <v>380</v>
      </c>
      <c r="AU65" s="564"/>
      <c r="AV65" s="564"/>
      <c r="AW65" s="564"/>
      <c r="AX65" s="564"/>
    </row>
    <row r="66" spans="2:50" ht="14.25" customHeight="1">
      <c r="B66" s="564"/>
      <c r="C66" s="564"/>
      <c r="D66" s="564"/>
      <c r="E66" s="180" t="s">
        <v>161</v>
      </c>
      <c r="F66" s="180" t="s">
        <v>381</v>
      </c>
      <c r="G66" s="180" t="s">
        <v>163</v>
      </c>
      <c r="H66" s="564"/>
      <c r="I66" s="181" t="s">
        <v>161</v>
      </c>
      <c r="J66" s="181" t="s">
        <v>381</v>
      </c>
      <c r="K66" s="181" t="s">
        <v>163</v>
      </c>
      <c r="L66" s="628"/>
      <c r="M66" s="628"/>
      <c r="N66" s="564"/>
      <c r="O66" s="564"/>
      <c r="P66" s="180" t="s">
        <v>161</v>
      </c>
      <c r="Q66" s="180" t="s">
        <v>381</v>
      </c>
      <c r="R66" s="180" t="s">
        <v>163</v>
      </c>
      <c r="S66" s="182" t="s">
        <v>167</v>
      </c>
      <c r="T66" s="564"/>
      <c r="U66" s="180" t="s">
        <v>161</v>
      </c>
      <c r="V66" s="180" t="s">
        <v>381</v>
      </c>
      <c r="W66" s="180" t="s">
        <v>163</v>
      </c>
      <c r="X66" s="182" t="s">
        <v>167</v>
      </c>
      <c r="Y66" s="564"/>
      <c r="Z66" s="180" t="s">
        <v>161</v>
      </c>
      <c r="AA66" s="180" t="s">
        <v>381</v>
      </c>
      <c r="AB66" s="180" t="s">
        <v>163</v>
      </c>
      <c r="AC66" s="182" t="s">
        <v>167</v>
      </c>
      <c r="AD66" s="564"/>
      <c r="AE66" s="180" t="s">
        <v>161</v>
      </c>
      <c r="AF66" s="180" t="s">
        <v>381</v>
      </c>
      <c r="AG66" s="180" t="s">
        <v>163</v>
      </c>
      <c r="AH66" s="182" t="s">
        <v>167</v>
      </c>
      <c r="AI66" s="564"/>
      <c r="AJ66" s="180" t="s">
        <v>161</v>
      </c>
      <c r="AK66" s="180" t="s">
        <v>381</v>
      </c>
      <c r="AL66" s="180" t="s">
        <v>163</v>
      </c>
      <c r="AM66" s="182" t="s">
        <v>167</v>
      </c>
      <c r="AN66" s="564"/>
      <c r="AO66" s="180" t="s">
        <v>161</v>
      </c>
      <c r="AP66" s="180" t="s">
        <v>381</v>
      </c>
      <c r="AQ66" s="180" t="s">
        <v>163</v>
      </c>
      <c r="AR66" s="182" t="s">
        <v>167</v>
      </c>
      <c r="AS66" s="564"/>
      <c r="AT66" s="180" t="s">
        <v>161</v>
      </c>
      <c r="AU66" s="180" t="s">
        <v>381</v>
      </c>
      <c r="AV66" s="180" t="s">
        <v>163</v>
      </c>
      <c r="AW66" s="182" t="s">
        <v>167</v>
      </c>
      <c r="AX66" s="564"/>
    </row>
    <row r="67" spans="2:50" ht="14.25" customHeight="1">
      <c r="B67" s="564" t="s">
        <v>138</v>
      </c>
      <c r="C67" s="180">
        <v>1</v>
      </c>
      <c r="D67" s="183" t="s">
        <v>360</v>
      </c>
      <c r="E67" s="180">
        <v>21</v>
      </c>
      <c r="F67" s="180">
        <v>2000</v>
      </c>
      <c r="G67" s="185">
        <f t="shared" ref="G67:G74" si="78">F67/E67</f>
        <v>95.238095238095241</v>
      </c>
      <c r="H67" s="625">
        <f>AVERAGE(G67:G81)</f>
        <v>89.210427253905522</v>
      </c>
      <c r="I67" s="186">
        <f>AVERAGE(P67,U67,Z67,AE67,AJ67,AO67,AT67)</f>
        <v>22</v>
      </c>
      <c r="J67" s="186">
        <f>AVERAGE(Q67,V67,AA67,AF67,AK67,AP67,AU67)</f>
        <v>1784.7061958445304</v>
      </c>
      <c r="K67" s="187">
        <f>AVERAGE(R67,W67,AB67,AG67,AL67,AQ67,AV67)</f>
        <v>81.123008902024111</v>
      </c>
      <c r="L67" s="626">
        <f>IFERROR(AVERAGE(K67:K81),"-")</f>
        <v>78.136782350632956</v>
      </c>
      <c r="M67" s="186">
        <f>RANK(K67, K$67:$K$81)</f>
        <v>3</v>
      </c>
      <c r="N67" s="564"/>
      <c r="O67" s="564"/>
      <c r="P67" s="188">
        <v>22</v>
      </c>
      <c r="Q67" s="188">
        <v>1784.3109540636055</v>
      </c>
      <c r="R67" s="185">
        <f>IFERROR(Q67/P67,"")</f>
        <v>81.105043366527525</v>
      </c>
      <c r="S67" s="182">
        <f>RANK(R67, R$67:R$81)</f>
        <v>3</v>
      </c>
      <c r="T67" s="625">
        <f>AVERAGE(R67:R81)</f>
        <v>77.717008452341318</v>
      </c>
      <c r="U67" s="188">
        <v>22</v>
      </c>
      <c r="V67" s="188">
        <v>1784.5659163987145</v>
      </c>
      <c r="W67" s="185">
        <f t="shared" ref="W67:W74" si="79">IFERROR(V67/U67,"")</f>
        <v>81.116632563577937</v>
      </c>
      <c r="X67" s="182">
        <f>RANK(W67, W$67:W$81)</f>
        <v>3</v>
      </c>
      <c r="Y67" s="625">
        <f>AVERAGE(W67:W81)</f>
        <v>77.862298613100251</v>
      </c>
      <c r="Z67" s="188">
        <v>22</v>
      </c>
      <c r="AA67" s="188">
        <v>1784.821168944462</v>
      </c>
      <c r="AB67" s="185">
        <f t="shared" ref="AB67:AB74" si="80">IFERROR(AA67/Z67,"")</f>
        <v>81.128234952021003</v>
      </c>
      <c r="AC67" s="182">
        <f>RANK(AB67, AB$67:AB$81)</f>
        <v>3</v>
      </c>
      <c r="AD67" s="625">
        <f>AVERAGE(AB67:AB81)</f>
        <v>78.069253027198883</v>
      </c>
      <c r="AE67" s="188">
        <v>22</v>
      </c>
      <c r="AF67" s="188">
        <v>1784.7626058152396</v>
      </c>
      <c r="AG67" s="185">
        <f>IFERROR(AF67/AE67,"")</f>
        <v>81.1255729916018</v>
      </c>
      <c r="AH67" s="182">
        <f>RANK(AG67, AG$67:AG$81)</f>
        <v>3</v>
      </c>
      <c r="AI67" s="625">
        <f>AVERAGE(AG67:AG81)</f>
        <v>78.283595746740573</v>
      </c>
      <c r="AJ67" s="188">
        <v>22</v>
      </c>
      <c r="AK67" s="188">
        <v>1784.9642004773279</v>
      </c>
      <c r="AL67" s="185">
        <f t="shared" ref="AL67:AL74" si="81">IFERROR(AK67/AJ67,"")</f>
        <v>81.134736385333085</v>
      </c>
      <c r="AM67" s="182">
        <f>RANK(AL67, AL$67:AL$81)</f>
        <v>3</v>
      </c>
      <c r="AN67" s="625">
        <f>AVERAGE(AL67:AL81)</f>
        <v>78.342415052445205</v>
      </c>
      <c r="AO67" s="188">
        <v>22</v>
      </c>
      <c r="AP67" s="188">
        <v>1784.7912524850885</v>
      </c>
      <c r="AQ67" s="185">
        <f t="shared" ref="AQ67:AQ74" si="82">IFERROR(AP67/AO67,"")</f>
        <v>81.126875112958572</v>
      </c>
      <c r="AR67" s="182">
        <f>RANK(AQ67, AQ$67:AQ$81)</f>
        <v>3</v>
      </c>
      <c r="AS67" s="625">
        <f>AVERAGE(AQ67:AQ81)</f>
        <v>78.340476117217193</v>
      </c>
      <c r="AT67" s="188">
        <v>22</v>
      </c>
      <c r="AU67" s="188">
        <v>1784.7272727272739</v>
      </c>
      <c r="AV67" s="185">
        <f t="shared" ref="AV67:AV74" si="83">IFERROR(AU67/AT67,"")</f>
        <v>81.123966942148812</v>
      </c>
      <c r="AW67" s="182">
        <f>RANK(AV67, AV$67:AV$81)</f>
        <v>3</v>
      </c>
      <c r="AX67" s="625">
        <f>AVERAGE(AV67:AV81)</f>
        <v>78.342429445387239</v>
      </c>
    </row>
    <row r="68" spans="2:50" ht="14.25" customHeight="1">
      <c r="B68" s="564"/>
      <c r="C68" s="180">
        <v>2</v>
      </c>
      <c r="D68" s="183" t="s">
        <v>361</v>
      </c>
      <c r="E68" s="180">
        <v>24</v>
      </c>
      <c r="F68" s="180">
        <v>2000</v>
      </c>
      <c r="G68" s="185">
        <f t="shared" si="78"/>
        <v>83.333333333333329</v>
      </c>
      <c r="H68" s="625"/>
      <c r="I68" s="186">
        <f t="shared" ref="I68:K74" si="84">AVERAGE(P68,U68,Z68,AE68,AJ68,AO68,AT68)</f>
        <v>24</v>
      </c>
      <c r="J68" s="186">
        <f t="shared" si="84"/>
        <v>1785.745550181123</v>
      </c>
      <c r="K68" s="187">
        <f t="shared" si="84"/>
        <v>74.406064590880106</v>
      </c>
      <c r="L68" s="626"/>
      <c r="M68" s="186">
        <f>RANK(K68, K$67:$K$81)</f>
        <v>5</v>
      </c>
      <c r="N68" s="564"/>
      <c r="O68" s="564"/>
      <c r="P68" s="188">
        <v>24</v>
      </c>
      <c r="Q68" s="188">
        <v>1785.7571623465208</v>
      </c>
      <c r="R68" s="185">
        <f t="shared" ref="R68:R74" si="85">IFERROR(Q68/P68,"")</f>
        <v>74.406548431105037</v>
      </c>
      <c r="S68" s="182">
        <f t="shared" ref="S68:S74" si="86">RANK(R68, R$67:R$81)</f>
        <v>5</v>
      </c>
      <c r="T68" s="625"/>
      <c r="U68" s="188">
        <v>24</v>
      </c>
      <c r="V68" s="188">
        <v>1785.8067124949457</v>
      </c>
      <c r="W68" s="185">
        <f t="shared" si="79"/>
        <v>74.408613020622738</v>
      </c>
      <c r="X68" s="182">
        <f t="shared" ref="X68:X74" si="87">RANK(W68, W$67:W$81)</f>
        <v>5</v>
      </c>
      <c r="Y68" s="625"/>
      <c r="Z68" s="188">
        <v>24</v>
      </c>
      <c r="AA68" s="188">
        <v>1785.7294994675183</v>
      </c>
      <c r="AB68" s="185">
        <f t="shared" si="80"/>
        <v>74.40539581114659</v>
      </c>
      <c r="AC68" s="182">
        <f t="shared" ref="AC68:AC74" si="88">RANK(AB68, AB$67:AB$81)</f>
        <v>5</v>
      </c>
      <c r="AD68" s="625"/>
      <c r="AE68" s="188">
        <v>24</v>
      </c>
      <c r="AF68" s="188">
        <v>1785.6957087126143</v>
      </c>
      <c r="AG68" s="185">
        <f t="shared" ref="AG68:AG74" si="89">IFERROR(AF68/AE68,"")</f>
        <v>74.403987863025591</v>
      </c>
      <c r="AH68" s="182">
        <f t="shared" ref="AH68:AH74" si="90">RANK(AG68, AG$67:AG$81)</f>
        <v>5</v>
      </c>
      <c r="AI68" s="625"/>
      <c r="AJ68" s="188">
        <v>24</v>
      </c>
      <c r="AK68" s="188">
        <v>1785.5999999999988</v>
      </c>
      <c r="AL68" s="185">
        <f t="shared" si="81"/>
        <v>74.399999999999949</v>
      </c>
      <c r="AM68" s="182">
        <f t="shared" ref="AM68:AM74" si="91">RANK(AL68, AL$67:AL$81)</f>
        <v>6</v>
      </c>
      <c r="AN68" s="625"/>
      <c r="AO68" s="188">
        <v>24</v>
      </c>
      <c r="AP68" s="188">
        <v>1785.7791225416029</v>
      </c>
      <c r="AQ68" s="185">
        <f t="shared" si="82"/>
        <v>74.407463439233453</v>
      </c>
      <c r="AR68" s="182">
        <f t="shared" ref="AR68:AR74" si="92">RANK(AQ68, AQ$67:AQ$81)</f>
        <v>6</v>
      </c>
      <c r="AS68" s="625"/>
      <c r="AT68" s="188">
        <v>24</v>
      </c>
      <c r="AU68" s="188">
        <v>1785.8506457046601</v>
      </c>
      <c r="AV68" s="185">
        <f t="shared" si="83"/>
        <v>74.4104435710275</v>
      </c>
      <c r="AW68" s="182">
        <f t="shared" ref="AW68:AW74" si="93">RANK(AV68, AV$67:AV$81)</f>
        <v>6</v>
      </c>
      <c r="AX68" s="625"/>
    </row>
    <row r="69" spans="2:50" ht="14.25" customHeight="1">
      <c r="B69" s="564"/>
      <c r="C69" s="180">
        <v>3</v>
      </c>
      <c r="D69" s="183" t="s">
        <v>362</v>
      </c>
      <c r="E69" s="180">
        <v>23</v>
      </c>
      <c r="F69" s="180">
        <v>2000</v>
      </c>
      <c r="G69" s="185">
        <f t="shared" si="78"/>
        <v>86.956521739130437</v>
      </c>
      <c r="H69" s="625"/>
      <c r="I69" s="186">
        <f t="shared" si="84"/>
        <v>24</v>
      </c>
      <c r="J69" s="186">
        <f t="shared" si="84"/>
        <v>1782.2106942835524</v>
      </c>
      <c r="K69" s="187">
        <f t="shared" si="84"/>
        <v>74.258778928481348</v>
      </c>
      <c r="L69" s="626"/>
      <c r="M69" s="186">
        <f>RANK(K69, K$67:$K$81)</f>
        <v>7</v>
      </c>
      <c r="N69" s="564"/>
      <c r="O69" s="564"/>
      <c r="P69" s="188">
        <v>24</v>
      </c>
      <c r="Q69" s="188">
        <v>1782.2353811991113</v>
      </c>
      <c r="R69" s="185">
        <f t="shared" si="85"/>
        <v>74.259807549962972</v>
      </c>
      <c r="S69" s="182">
        <f t="shared" si="86"/>
        <v>7</v>
      </c>
      <c r="T69" s="625"/>
      <c r="U69" s="188">
        <v>24</v>
      </c>
      <c r="V69" s="188">
        <v>1782.1409921671016</v>
      </c>
      <c r="W69" s="185">
        <f t="shared" si="79"/>
        <v>74.255874673629236</v>
      </c>
      <c r="X69" s="182">
        <f t="shared" si="87"/>
        <v>7</v>
      </c>
      <c r="Y69" s="625"/>
      <c r="Z69" s="188">
        <v>24</v>
      </c>
      <c r="AA69" s="188">
        <v>1782.1030430852666</v>
      </c>
      <c r="AB69" s="185">
        <f t="shared" si="80"/>
        <v>74.254293461886107</v>
      </c>
      <c r="AC69" s="182">
        <f t="shared" si="88"/>
        <v>7</v>
      </c>
      <c r="AD69" s="625"/>
      <c r="AE69" s="188">
        <v>24</v>
      </c>
      <c r="AF69" s="188">
        <v>1782.1847507331386</v>
      </c>
      <c r="AG69" s="185">
        <f t="shared" si="89"/>
        <v>74.257697947214112</v>
      </c>
      <c r="AH69" s="182">
        <f t="shared" si="90"/>
        <v>7</v>
      </c>
      <c r="AI69" s="625"/>
      <c r="AJ69" s="188">
        <v>24</v>
      </c>
      <c r="AK69" s="188">
        <v>1782.2971548998953</v>
      </c>
      <c r="AL69" s="185">
        <f t="shared" si="81"/>
        <v>74.262381454162309</v>
      </c>
      <c r="AM69" s="182">
        <f t="shared" si="91"/>
        <v>8</v>
      </c>
      <c r="AN69" s="625"/>
      <c r="AO69" s="188">
        <v>24</v>
      </c>
      <c r="AP69" s="188">
        <v>1782.2506861848128</v>
      </c>
      <c r="AQ69" s="185">
        <f t="shared" si="82"/>
        <v>74.260445257700539</v>
      </c>
      <c r="AR69" s="182">
        <f t="shared" si="92"/>
        <v>8</v>
      </c>
      <c r="AS69" s="625"/>
      <c r="AT69" s="188">
        <v>24</v>
      </c>
      <c r="AU69" s="188">
        <v>1782.2628517155404</v>
      </c>
      <c r="AV69" s="185">
        <f t="shared" si="83"/>
        <v>74.260952154814177</v>
      </c>
      <c r="AW69" s="182">
        <f t="shared" si="93"/>
        <v>8</v>
      </c>
      <c r="AX69" s="625"/>
    </row>
    <row r="70" spans="2:50" ht="14.25" customHeight="1">
      <c r="B70" s="564"/>
      <c r="C70" s="180">
        <v>4</v>
      </c>
      <c r="D70" s="183" t="s">
        <v>359</v>
      </c>
      <c r="E70" s="180">
        <v>23</v>
      </c>
      <c r="F70" s="180">
        <v>2000</v>
      </c>
      <c r="G70" s="185">
        <f t="shared" si="78"/>
        <v>86.956521739130437</v>
      </c>
      <c r="H70" s="625"/>
      <c r="I70" s="186">
        <f t="shared" si="84"/>
        <v>23</v>
      </c>
      <c r="J70" s="186">
        <f t="shared" si="84"/>
        <v>1786.6150728791933</v>
      </c>
      <c r="K70" s="187">
        <f t="shared" si="84"/>
        <v>77.67891621213883</v>
      </c>
      <c r="L70" s="626"/>
      <c r="M70" s="186">
        <f>RANK(K70, K$67:$K$81)</f>
        <v>4</v>
      </c>
      <c r="N70" s="564"/>
      <c r="O70" s="564"/>
      <c r="P70" s="188">
        <v>23</v>
      </c>
      <c r="Q70" s="188">
        <v>1786.5560165975073</v>
      </c>
      <c r="R70" s="185">
        <f t="shared" si="85"/>
        <v>77.676348547717708</v>
      </c>
      <c r="S70" s="182">
        <f t="shared" si="86"/>
        <v>4</v>
      </c>
      <c r="T70" s="625"/>
      <c r="U70" s="188">
        <v>23</v>
      </c>
      <c r="V70" s="188">
        <v>1786.5671641791041</v>
      </c>
      <c r="W70" s="185">
        <f t="shared" si="79"/>
        <v>77.676833225178441</v>
      </c>
      <c r="X70" s="182">
        <f t="shared" si="87"/>
        <v>4</v>
      </c>
      <c r="Y70" s="625"/>
      <c r="Z70" s="188">
        <v>23</v>
      </c>
      <c r="AA70" s="188">
        <v>1786.5823356674928</v>
      </c>
      <c r="AB70" s="185">
        <f t="shared" si="80"/>
        <v>77.677492855108383</v>
      </c>
      <c r="AC70" s="182">
        <f t="shared" si="88"/>
        <v>4</v>
      </c>
      <c r="AD70" s="625"/>
      <c r="AE70" s="188">
        <v>23</v>
      </c>
      <c r="AF70" s="188">
        <v>1786.5921787709497</v>
      </c>
      <c r="AG70" s="185">
        <f t="shared" si="89"/>
        <v>77.67792081612825</v>
      </c>
      <c r="AH70" s="182">
        <f t="shared" si="90"/>
        <v>4</v>
      </c>
      <c r="AI70" s="625"/>
      <c r="AJ70" s="188">
        <v>23</v>
      </c>
      <c r="AK70" s="188">
        <v>1786.6190900981276</v>
      </c>
      <c r="AL70" s="185">
        <f t="shared" si="81"/>
        <v>77.67909087383164</v>
      </c>
      <c r="AM70" s="182">
        <f t="shared" si="91"/>
        <v>4</v>
      </c>
      <c r="AN70" s="625"/>
      <c r="AO70" s="188">
        <v>23</v>
      </c>
      <c r="AP70" s="188">
        <v>1786.6137828458118</v>
      </c>
      <c r="AQ70" s="185">
        <f t="shared" si="82"/>
        <v>77.678860123730942</v>
      </c>
      <c r="AR70" s="182">
        <f t="shared" si="92"/>
        <v>4</v>
      </c>
      <c r="AS70" s="625"/>
      <c r="AT70" s="188">
        <v>23</v>
      </c>
      <c r="AU70" s="188">
        <v>1786.7749419953589</v>
      </c>
      <c r="AV70" s="185">
        <f t="shared" si="83"/>
        <v>77.685867043276474</v>
      </c>
      <c r="AW70" s="182">
        <f t="shared" si="93"/>
        <v>4</v>
      </c>
      <c r="AX70" s="625"/>
    </row>
    <row r="71" spans="2:50" ht="14.25" customHeight="1">
      <c r="B71" s="564"/>
      <c r="C71" s="180">
        <v>5</v>
      </c>
      <c r="D71" s="183" t="s">
        <v>471</v>
      </c>
      <c r="E71" s="180">
        <v>23</v>
      </c>
      <c r="F71" s="180">
        <v>2000</v>
      </c>
      <c r="G71" s="185">
        <f t="shared" si="78"/>
        <v>86.956521739130437</v>
      </c>
      <c r="H71" s="625"/>
      <c r="I71" s="186">
        <f t="shared" si="84"/>
        <v>24</v>
      </c>
      <c r="J71" s="186">
        <f t="shared" si="84"/>
        <v>1784.3214072768549</v>
      </c>
      <c r="K71" s="187">
        <f t="shared" si="84"/>
        <v>74.346725303202263</v>
      </c>
      <c r="L71" s="626"/>
      <c r="M71" s="186">
        <f>RANK(K71, K$67:$K$81)</f>
        <v>6</v>
      </c>
      <c r="N71" s="564"/>
      <c r="O71" s="564"/>
      <c r="P71" s="188">
        <v>24</v>
      </c>
      <c r="Q71" s="188">
        <v>1784.0012474660837</v>
      </c>
      <c r="R71" s="185">
        <f t="shared" si="85"/>
        <v>74.333385311086815</v>
      </c>
      <c r="S71" s="182">
        <f t="shared" si="86"/>
        <v>6</v>
      </c>
      <c r="T71" s="625"/>
      <c r="U71" s="188">
        <v>24</v>
      </c>
      <c r="V71" s="188">
        <v>1784.0436413228767</v>
      </c>
      <c r="W71" s="185">
        <f t="shared" si="79"/>
        <v>74.335151721786531</v>
      </c>
      <c r="X71" s="182">
        <f t="shared" si="87"/>
        <v>6</v>
      </c>
      <c r="Y71" s="625"/>
      <c r="Z71" s="188">
        <v>24</v>
      </c>
      <c r="AA71" s="188">
        <v>1784.1743119266046</v>
      </c>
      <c r="AB71" s="185">
        <f t="shared" si="80"/>
        <v>74.34059633027519</v>
      </c>
      <c r="AC71" s="182">
        <f t="shared" si="88"/>
        <v>6</v>
      </c>
      <c r="AD71" s="625"/>
      <c r="AE71" s="188">
        <v>24</v>
      </c>
      <c r="AF71" s="188">
        <v>1784.4262295081962</v>
      </c>
      <c r="AG71" s="185">
        <f t="shared" si="89"/>
        <v>74.351092896174848</v>
      </c>
      <c r="AH71" s="182">
        <f t="shared" si="90"/>
        <v>6</v>
      </c>
      <c r="AI71" s="625"/>
      <c r="AJ71" s="188">
        <v>24</v>
      </c>
      <c r="AK71" s="188">
        <v>1784.5626072041173</v>
      </c>
      <c r="AL71" s="185">
        <f t="shared" si="81"/>
        <v>74.356775300171549</v>
      </c>
      <c r="AM71" s="182">
        <f t="shared" si="91"/>
        <v>7</v>
      </c>
      <c r="AN71" s="625"/>
      <c r="AO71" s="188">
        <v>24</v>
      </c>
      <c r="AP71" s="188">
        <v>1784.5286059629334</v>
      </c>
      <c r="AQ71" s="185">
        <f t="shared" si="82"/>
        <v>74.355358581788892</v>
      </c>
      <c r="AR71" s="182">
        <f t="shared" si="92"/>
        <v>7</v>
      </c>
      <c r="AS71" s="625"/>
      <c r="AT71" s="188">
        <v>24</v>
      </c>
      <c r="AU71" s="188">
        <v>1784.5132075471695</v>
      </c>
      <c r="AV71" s="185">
        <f t="shared" si="83"/>
        <v>74.354716981132057</v>
      </c>
      <c r="AW71" s="182">
        <f t="shared" si="93"/>
        <v>7</v>
      </c>
      <c r="AX71" s="625"/>
    </row>
    <row r="72" spans="2:50" ht="14.25" customHeight="1">
      <c r="B72" s="564"/>
      <c r="C72" s="180">
        <v>6</v>
      </c>
      <c r="D72" s="183" t="s">
        <v>475</v>
      </c>
      <c r="E72" s="180">
        <v>22</v>
      </c>
      <c r="F72" s="180">
        <v>2000</v>
      </c>
      <c r="G72" s="185">
        <f t="shared" si="78"/>
        <v>90.909090909090907</v>
      </c>
      <c r="H72" s="625"/>
      <c r="I72" s="186">
        <f t="shared" si="84"/>
        <v>22</v>
      </c>
      <c r="J72" s="186">
        <f t="shared" si="84"/>
        <v>1785.4689816270009</v>
      </c>
      <c r="K72" s="187">
        <f t="shared" si="84"/>
        <v>81.157680983045481</v>
      </c>
      <c r="L72" s="626"/>
      <c r="M72" s="186">
        <f>RANK(K72, K$67:$K$81)</f>
        <v>2</v>
      </c>
      <c r="N72" s="564"/>
      <c r="O72" s="564"/>
      <c r="P72" s="188">
        <v>22</v>
      </c>
      <c r="Q72" s="188">
        <v>1785.205479452055</v>
      </c>
      <c r="R72" s="185">
        <f t="shared" si="85"/>
        <v>81.145703611457051</v>
      </c>
      <c r="S72" s="182">
        <f t="shared" si="86"/>
        <v>2</v>
      </c>
      <c r="T72" s="625"/>
      <c r="U72" s="188">
        <v>22</v>
      </c>
      <c r="V72" s="188">
        <v>1785.2337981952419</v>
      </c>
      <c r="W72" s="185">
        <f t="shared" si="79"/>
        <v>81.146990827056456</v>
      </c>
      <c r="X72" s="182">
        <f t="shared" si="87"/>
        <v>2</v>
      </c>
      <c r="Y72" s="625"/>
      <c r="Z72" s="188">
        <v>22</v>
      </c>
      <c r="AA72" s="188">
        <v>1785.3658536585381</v>
      </c>
      <c r="AB72" s="185">
        <f t="shared" si="80"/>
        <v>81.152993348115373</v>
      </c>
      <c r="AC72" s="182">
        <f t="shared" si="88"/>
        <v>2</v>
      </c>
      <c r="AD72" s="625"/>
      <c r="AE72" s="188">
        <v>22</v>
      </c>
      <c r="AF72" s="188">
        <v>1785.4994629430726</v>
      </c>
      <c r="AG72" s="185">
        <f t="shared" si="89"/>
        <v>81.159066497412383</v>
      </c>
      <c r="AH72" s="182">
        <f t="shared" si="90"/>
        <v>2</v>
      </c>
      <c r="AI72" s="625"/>
      <c r="AJ72" s="188">
        <v>22</v>
      </c>
      <c r="AK72" s="188">
        <v>1785.7444561774043</v>
      </c>
      <c r="AL72" s="185">
        <f t="shared" si="81"/>
        <v>81.170202553518379</v>
      </c>
      <c r="AM72" s="182">
        <f t="shared" si="91"/>
        <v>2</v>
      </c>
      <c r="AN72" s="625"/>
      <c r="AO72" s="188">
        <v>22</v>
      </c>
      <c r="AP72" s="188">
        <v>1785.6499133448883</v>
      </c>
      <c r="AQ72" s="185">
        <f t="shared" si="82"/>
        <v>81.165905152040381</v>
      </c>
      <c r="AR72" s="182">
        <f t="shared" si="92"/>
        <v>2</v>
      </c>
      <c r="AS72" s="625"/>
      <c r="AT72" s="188">
        <v>22</v>
      </c>
      <c r="AU72" s="188">
        <v>1785.5839076178049</v>
      </c>
      <c r="AV72" s="185">
        <f t="shared" si="83"/>
        <v>81.162904891718412</v>
      </c>
      <c r="AW72" s="182">
        <f t="shared" si="93"/>
        <v>2</v>
      </c>
      <c r="AX72" s="625"/>
    </row>
    <row r="73" spans="2:50" ht="14.25" customHeight="1">
      <c r="B73" s="564"/>
      <c r="C73" s="180">
        <v>7</v>
      </c>
      <c r="D73" s="183" t="s">
        <v>479</v>
      </c>
      <c r="E73" s="180">
        <v>20</v>
      </c>
      <c r="F73" s="180">
        <v>2000</v>
      </c>
      <c r="G73" s="185">
        <f t="shared" si="78"/>
        <v>100</v>
      </c>
      <c r="H73" s="625"/>
      <c r="I73" s="186">
        <f t="shared" si="84"/>
        <v>20</v>
      </c>
      <c r="J73" s="186">
        <f t="shared" si="84"/>
        <v>1785.9775828104146</v>
      </c>
      <c r="K73" s="187">
        <f t="shared" si="84"/>
        <v>89.298879140520739</v>
      </c>
      <c r="L73" s="626"/>
      <c r="M73" s="186">
        <f>RANK(K73, K$67:$K$81)</f>
        <v>1</v>
      </c>
      <c r="N73" s="564"/>
      <c r="O73" s="564"/>
      <c r="P73" s="188">
        <v>20</v>
      </c>
      <c r="Q73" s="188">
        <v>1785.633434915107</v>
      </c>
      <c r="R73" s="185">
        <f t="shared" si="85"/>
        <v>89.281671745755347</v>
      </c>
      <c r="S73" s="182">
        <f t="shared" si="86"/>
        <v>1</v>
      </c>
      <c r="T73" s="625"/>
      <c r="U73" s="188">
        <v>20</v>
      </c>
      <c r="V73" s="188">
        <v>1785.7730003161557</v>
      </c>
      <c r="W73" s="185">
        <f t="shared" si="79"/>
        <v>89.288650015807789</v>
      </c>
      <c r="X73" s="182">
        <f t="shared" si="87"/>
        <v>1</v>
      </c>
      <c r="Y73" s="625"/>
      <c r="Z73" s="188">
        <v>20</v>
      </c>
      <c r="AA73" s="188">
        <v>1785.8219178082193</v>
      </c>
      <c r="AB73" s="185">
        <f t="shared" si="80"/>
        <v>89.291095890410958</v>
      </c>
      <c r="AC73" s="182">
        <f t="shared" si="88"/>
        <v>1</v>
      </c>
      <c r="AD73" s="625"/>
      <c r="AE73" s="188">
        <v>20</v>
      </c>
      <c r="AF73" s="188">
        <v>1786.0077734591891</v>
      </c>
      <c r="AG73" s="185">
        <f t="shared" si="89"/>
        <v>89.300388672959457</v>
      </c>
      <c r="AH73" s="182">
        <f t="shared" si="90"/>
        <v>1</v>
      </c>
      <c r="AI73" s="625"/>
      <c r="AJ73" s="188">
        <v>20</v>
      </c>
      <c r="AK73" s="188">
        <v>1786.2653666807962</v>
      </c>
      <c r="AL73" s="185">
        <f t="shared" si="81"/>
        <v>89.313268334039805</v>
      </c>
      <c r="AM73" s="182">
        <f t="shared" si="91"/>
        <v>1</v>
      </c>
      <c r="AN73" s="625"/>
      <c r="AO73" s="188">
        <v>20</v>
      </c>
      <c r="AP73" s="188">
        <v>1786.0904407555809</v>
      </c>
      <c r="AQ73" s="185">
        <f t="shared" si="82"/>
        <v>89.304522037779037</v>
      </c>
      <c r="AR73" s="182">
        <f t="shared" si="92"/>
        <v>1</v>
      </c>
      <c r="AS73" s="625"/>
      <c r="AT73" s="188">
        <v>20</v>
      </c>
      <c r="AU73" s="188">
        <v>1786.2511457378548</v>
      </c>
      <c r="AV73" s="185">
        <f t="shared" si="83"/>
        <v>89.312557286892741</v>
      </c>
      <c r="AW73" s="182">
        <f t="shared" si="93"/>
        <v>1</v>
      </c>
      <c r="AX73" s="625"/>
    </row>
    <row r="74" spans="2:50" ht="14.25" customHeight="1">
      <c r="B74" s="564"/>
      <c r="C74" s="180">
        <v>8</v>
      </c>
      <c r="D74" s="183" t="s">
        <v>363</v>
      </c>
      <c r="E74" s="180">
        <v>24</v>
      </c>
      <c r="F74" s="180">
        <v>2000</v>
      </c>
      <c r="G74" s="185">
        <f t="shared" si="78"/>
        <v>83.333333333333329</v>
      </c>
      <c r="H74" s="625"/>
      <c r="I74" s="186">
        <f t="shared" si="84"/>
        <v>24</v>
      </c>
      <c r="J74" s="186">
        <f t="shared" si="84"/>
        <v>1747.7809138744976</v>
      </c>
      <c r="K74" s="187">
        <f t="shared" si="84"/>
        <v>72.824204744770725</v>
      </c>
      <c r="L74" s="626"/>
      <c r="M74" s="186">
        <f>RANK(K74, K$67:$K$81)</f>
        <v>8</v>
      </c>
      <c r="N74" s="564"/>
      <c r="O74" s="564"/>
      <c r="P74" s="188">
        <v>24</v>
      </c>
      <c r="Q74" s="188">
        <v>1668.6614173228343</v>
      </c>
      <c r="R74" s="185">
        <f t="shared" si="85"/>
        <v>69.52755905511809</v>
      </c>
      <c r="S74" s="182">
        <f t="shared" si="86"/>
        <v>8</v>
      </c>
      <c r="T74" s="625"/>
      <c r="U74" s="188">
        <v>24</v>
      </c>
      <c r="V74" s="188">
        <v>1696.0714285714284</v>
      </c>
      <c r="W74" s="185">
        <f t="shared" si="79"/>
        <v>70.669642857142847</v>
      </c>
      <c r="X74" s="182">
        <f t="shared" si="87"/>
        <v>8</v>
      </c>
      <c r="Y74" s="625"/>
      <c r="Z74" s="188">
        <v>24</v>
      </c>
      <c r="AA74" s="188">
        <v>1735.2941176470595</v>
      </c>
      <c r="AB74" s="185">
        <f t="shared" si="80"/>
        <v>72.303921568627473</v>
      </c>
      <c r="AC74" s="182">
        <f t="shared" si="88"/>
        <v>8</v>
      </c>
      <c r="AD74" s="625"/>
      <c r="AE74" s="188">
        <v>24</v>
      </c>
      <c r="AF74" s="188">
        <v>1775.8329189457984</v>
      </c>
      <c r="AG74" s="185">
        <f t="shared" si="89"/>
        <v>73.993038289408261</v>
      </c>
      <c r="AH74" s="182">
        <f t="shared" si="90"/>
        <v>8</v>
      </c>
      <c r="AI74" s="625"/>
      <c r="AJ74" s="188">
        <v>24</v>
      </c>
      <c r="AK74" s="188">
        <v>1786.1487724441197</v>
      </c>
      <c r="AL74" s="185">
        <f t="shared" si="81"/>
        <v>74.422865518504992</v>
      </c>
      <c r="AM74" s="182">
        <f t="shared" si="91"/>
        <v>5</v>
      </c>
      <c r="AN74" s="625"/>
      <c r="AO74" s="188">
        <v>24</v>
      </c>
      <c r="AP74" s="188">
        <v>1786.185101580136</v>
      </c>
      <c r="AQ74" s="185">
        <f t="shared" si="82"/>
        <v>74.424379232505672</v>
      </c>
      <c r="AR74" s="182">
        <f t="shared" si="92"/>
        <v>5</v>
      </c>
      <c r="AS74" s="625"/>
      <c r="AT74" s="188">
        <v>24</v>
      </c>
      <c r="AU74" s="188">
        <v>1786.2726406101062</v>
      </c>
      <c r="AV74" s="185">
        <f t="shared" si="83"/>
        <v>74.428026692087755</v>
      </c>
      <c r="AW74" s="182">
        <f t="shared" si="93"/>
        <v>5</v>
      </c>
      <c r="AX74" s="625"/>
    </row>
    <row r="75" spans="2:50" ht="14.25" customHeight="1">
      <c r="B75" s="564"/>
      <c r="C75" s="180">
        <v>9</v>
      </c>
      <c r="D75" s="183"/>
      <c r="E75" s="180"/>
      <c r="F75" s="180"/>
      <c r="G75" s="185"/>
      <c r="H75" s="625"/>
      <c r="I75" s="186"/>
      <c r="J75" s="186"/>
      <c r="K75" s="187"/>
      <c r="L75" s="626"/>
      <c r="M75" s="186"/>
      <c r="N75" s="564"/>
      <c r="O75" s="564"/>
      <c r="P75" s="188"/>
      <c r="Q75" s="188"/>
      <c r="R75" s="185"/>
      <c r="S75" s="182"/>
      <c r="T75" s="625"/>
      <c r="U75" s="188"/>
      <c r="V75" s="188"/>
      <c r="W75" s="185"/>
      <c r="X75" s="182"/>
      <c r="Y75" s="625"/>
      <c r="Z75" s="188"/>
      <c r="AA75" s="188"/>
      <c r="AB75" s="185"/>
      <c r="AC75" s="182"/>
      <c r="AD75" s="625"/>
      <c r="AE75" s="188"/>
      <c r="AF75" s="188"/>
      <c r="AG75" s="185"/>
      <c r="AH75" s="182"/>
      <c r="AI75" s="625"/>
      <c r="AJ75" s="188"/>
      <c r="AK75" s="188"/>
      <c r="AL75" s="185"/>
      <c r="AM75" s="182"/>
      <c r="AN75" s="625"/>
      <c r="AO75" s="188"/>
      <c r="AP75" s="188"/>
      <c r="AQ75" s="185"/>
      <c r="AR75" s="182"/>
      <c r="AS75" s="625"/>
      <c r="AT75" s="188"/>
      <c r="AU75" s="188"/>
      <c r="AV75" s="185"/>
      <c r="AW75" s="182"/>
      <c r="AX75" s="625"/>
    </row>
    <row r="76" spans="2:50" ht="14.25" customHeight="1">
      <c r="B76" s="564"/>
      <c r="C76" s="180">
        <v>10</v>
      </c>
      <c r="D76" s="183"/>
      <c r="E76" s="180"/>
      <c r="F76" s="180"/>
      <c r="G76" s="185"/>
      <c r="H76" s="625"/>
      <c r="I76" s="186"/>
      <c r="J76" s="186"/>
      <c r="K76" s="187"/>
      <c r="L76" s="626"/>
      <c r="M76" s="186"/>
      <c r="N76" s="564"/>
      <c r="O76" s="564"/>
      <c r="P76" s="188"/>
      <c r="Q76" s="188"/>
      <c r="R76" s="185"/>
      <c r="S76" s="182"/>
      <c r="T76" s="625"/>
      <c r="U76" s="188"/>
      <c r="V76" s="188"/>
      <c r="W76" s="185"/>
      <c r="X76" s="182"/>
      <c r="Y76" s="625"/>
      <c r="Z76" s="188"/>
      <c r="AA76" s="188"/>
      <c r="AB76" s="185"/>
      <c r="AC76" s="182"/>
      <c r="AD76" s="625"/>
      <c r="AE76" s="188"/>
      <c r="AF76" s="188"/>
      <c r="AG76" s="185"/>
      <c r="AH76" s="182"/>
      <c r="AI76" s="625"/>
      <c r="AJ76" s="188"/>
      <c r="AK76" s="188"/>
      <c r="AL76" s="185"/>
      <c r="AM76" s="182"/>
      <c r="AN76" s="625"/>
      <c r="AO76" s="188"/>
      <c r="AP76" s="188"/>
      <c r="AQ76" s="185"/>
      <c r="AR76" s="182"/>
      <c r="AS76" s="625"/>
      <c r="AT76" s="188"/>
      <c r="AU76" s="188"/>
      <c r="AV76" s="185"/>
      <c r="AW76" s="182"/>
      <c r="AX76" s="625"/>
    </row>
    <row r="77" spans="2:50" ht="14.25" customHeight="1">
      <c r="B77" s="564"/>
      <c r="C77" s="180">
        <v>11</v>
      </c>
      <c r="D77" s="183"/>
      <c r="E77" s="180"/>
      <c r="F77" s="180"/>
      <c r="G77" s="185"/>
      <c r="H77" s="625"/>
      <c r="I77" s="186"/>
      <c r="J77" s="186"/>
      <c r="K77" s="187"/>
      <c r="L77" s="626"/>
      <c r="M77" s="186"/>
      <c r="N77" s="564"/>
      <c r="O77" s="564"/>
      <c r="P77" s="188"/>
      <c r="Q77" s="188"/>
      <c r="R77" s="185"/>
      <c r="S77" s="182"/>
      <c r="T77" s="625"/>
      <c r="U77" s="188"/>
      <c r="V77" s="188"/>
      <c r="W77" s="185"/>
      <c r="X77" s="182"/>
      <c r="Y77" s="625"/>
      <c r="Z77" s="188"/>
      <c r="AA77" s="188"/>
      <c r="AB77" s="185"/>
      <c r="AC77" s="182"/>
      <c r="AD77" s="625"/>
      <c r="AE77" s="188"/>
      <c r="AF77" s="188"/>
      <c r="AG77" s="185"/>
      <c r="AH77" s="182"/>
      <c r="AI77" s="625"/>
      <c r="AJ77" s="188"/>
      <c r="AK77" s="188"/>
      <c r="AL77" s="185"/>
      <c r="AM77" s="182"/>
      <c r="AN77" s="625"/>
      <c r="AO77" s="188"/>
      <c r="AP77" s="188"/>
      <c r="AQ77" s="185"/>
      <c r="AR77" s="182"/>
      <c r="AS77" s="625"/>
      <c r="AT77" s="188"/>
      <c r="AU77" s="188"/>
      <c r="AV77" s="185"/>
      <c r="AW77" s="182"/>
      <c r="AX77" s="625"/>
    </row>
    <row r="78" spans="2:50" ht="14.25" customHeight="1">
      <c r="B78" s="564"/>
      <c r="C78" s="180">
        <v>12</v>
      </c>
      <c r="D78" s="183"/>
      <c r="E78" s="180"/>
      <c r="F78" s="180"/>
      <c r="G78" s="185"/>
      <c r="H78" s="625"/>
      <c r="I78" s="186"/>
      <c r="J78" s="186"/>
      <c r="K78" s="187"/>
      <c r="L78" s="626"/>
      <c r="M78" s="186"/>
      <c r="N78" s="564"/>
      <c r="O78" s="564"/>
      <c r="P78" s="188"/>
      <c r="Q78" s="188"/>
      <c r="R78" s="185"/>
      <c r="S78" s="182"/>
      <c r="T78" s="625"/>
      <c r="U78" s="188"/>
      <c r="V78" s="188"/>
      <c r="W78" s="185"/>
      <c r="X78" s="182"/>
      <c r="Y78" s="625"/>
      <c r="Z78" s="188"/>
      <c r="AA78" s="188"/>
      <c r="AB78" s="185"/>
      <c r="AC78" s="182"/>
      <c r="AD78" s="625"/>
      <c r="AE78" s="188"/>
      <c r="AF78" s="188"/>
      <c r="AG78" s="185"/>
      <c r="AH78" s="182"/>
      <c r="AI78" s="625"/>
      <c r="AJ78" s="188"/>
      <c r="AK78" s="188"/>
      <c r="AL78" s="185"/>
      <c r="AM78" s="182"/>
      <c r="AN78" s="625"/>
      <c r="AO78" s="188"/>
      <c r="AP78" s="188"/>
      <c r="AQ78" s="185"/>
      <c r="AR78" s="182"/>
      <c r="AS78" s="625"/>
      <c r="AT78" s="188"/>
      <c r="AU78" s="188"/>
      <c r="AV78" s="185"/>
      <c r="AW78" s="182"/>
      <c r="AX78" s="625"/>
    </row>
    <row r="79" spans="2:50" ht="14.25" customHeight="1">
      <c r="B79" s="564"/>
      <c r="C79" s="180">
        <v>13</v>
      </c>
      <c r="D79" s="183"/>
      <c r="E79" s="180"/>
      <c r="F79" s="180"/>
      <c r="G79" s="185"/>
      <c r="H79" s="625"/>
      <c r="I79" s="186"/>
      <c r="J79" s="186"/>
      <c r="K79" s="187"/>
      <c r="L79" s="626"/>
      <c r="M79" s="186"/>
      <c r="N79" s="564"/>
      <c r="O79" s="564"/>
      <c r="P79" s="188"/>
      <c r="Q79" s="188"/>
      <c r="R79" s="185"/>
      <c r="S79" s="182"/>
      <c r="T79" s="625"/>
      <c r="U79" s="188"/>
      <c r="V79" s="188"/>
      <c r="W79" s="185"/>
      <c r="X79" s="182"/>
      <c r="Y79" s="625"/>
      <c r="Z79" s="188"/>
      <c r="AA79" s="188"/>
      <c r="AB79" s="185"/>
      <c r="AC79" s="182"/>
      <c r="AD79" s="625"/>
      <c r="AE79" s="188"/>
      <c r="AF79" s="188"/>
      <c r="AG79" s="185"/>
      <c r="AH79" s="182"/>
      <c r="AI79" s="625"/>
      <c r="AJ79" s="188"/>
      <c r="AK79" s="188"/>
      <c r="AL79" s="185"/>
      <c r="AM79" s="182"/>
      <c r="AN79" s="625"/>
      <c r="AO79" s="188"/>
      <c r="AP79" s="188"/>
      <c r="AQ79" s="185"/>
      <c r="AR79" s="182"/>
      <c r="AS79" s="625"/>
      <c r="AT79" s="188"/>
      <c r="AU79" s="188"/>
      <c r="AV79" s="185"/>
      <c r="AW79" s="182"/>
      <c r="AX79" s="625"/>
    </row>
    <row r="80" spans="2:50" ht="14.25" customHeight="1">
      <c r="B80" s="564"/>
      <c r="C80" s="180">
        <v>14</v>
      </c>
      <c r="D80" s="183"/>
      <c r="E80" s="180"/>
      <c r="F80" s="180"/>
      <c r="G80" s="185"/>
      <c r="H80" s="625"/>
      <c r="I80" s="186"/>
      <c r="J80" s="186"/>
      <c r="K80" s="187"/>
      <c r="L80" s="626"/>
      <c r="M80" s="186"/>
      <c r="N80" s="564"/>
      <c r="O80" s="564"/>
      <c r="P80" s="188"/>
      <c r="Q80" s="188"/>
      <c r="R80" s="185"/>
      <c r="S80" s="182"/>
      <c r="T80" s="625"/>
      <c r="U80" s="188"/>
      <c r="V80" s="188"/>
      <c r="W80" s="185"/>
      <c r="X80" s="182"/>
      <c r="Y80" s="625"/>
      <c r="Z80" s="188"/>
      <c r="AA80" s="188"/>
      <c r="AB80" s="185"/>
      <c r="AC80" s="182"/>
      <c r="AD80" s="625"/>
      <c r="AE80" s="188"/>
      <c r="AF80" s="188"/>
      <c r="AG80" s="185"/>
      <c r="AH80" s="182"/>
      <c r="AI80" s="625"/>
      <c r="AJ80" s="188"/>
      <c r="AK80" s="188"/>
      <c r="AL80" s="185"/>
      <c r="AM80" s="182"/>
      <c r="AN80" s="625"/>
      <c r="AO80" s="188"/>
      <c r="AP80" s="188"/>
      <c r="AQ80" s="185"/>
      <c r="AR80" s="182"/>
      <c r="AS80" s="625"/>
      <c r="AT80" s="188"/>
      <c r="AU80" s="188"/>
      <c r="AV80" s="185"/>
      <c r="AW80" s="182"/>
      <c r="AX80" s="625"/>
    </row>
    <row r="81" spans="2:50" ht="14.25" customHeight="1">
      <c r="B81" s="564"/>
      <c r="C81" s="180">
        <v>15</v>
      </c>
      <c r="D81" s="183"/>
      <c r="E81" s="180"/>
      <c r="F81" s="180"/>
      <c r="G81" s="185"/>
      <c r="H81" s="625"/>
      <c r="I81" s="186"/>
      <c r="J81" s="186"/>
      <c r="K81" s="187"/>
      <c r="L81" s="626"/>
      <c r="M81" s="186"/>
      <c r="N81" s="564"/>
      <c r="O81" s="564"/>
      <c r="P81" s="188"/>
      <c r="Q81" s="188"/>
      <c r="R81" s="185"/>
      <c r="S81" s="182"/>
      <c r="T81" s="625"/>
      <c r="U81" s="188"/>
      <c r="V81" s="188"/>
      <c r="W81" s="185"/>
      <c r="X81" s="182"/>
      <c r="Y81" s="625"/>
      <c r="Z81" s="188"/>
      <c r="AA81" s="188"/>
      <c r="AB81" s="185"/>
      <c r="AC81" s="182"/>
      <c r="AD81" s="625"/>
      <c r="AE81" s="188"/>
      <c r="AF81" s="188"/>
      <c r="AG81" s="185"/>
      <c r="AH81" s="182"/>
      <c r="AI81" s="625"/>
      <c r="AJ81" s="188"/>
      <c r="AK81" s="188"/>
      <c r="AL81" s="185"/>
      <c r="AM81" s="182"/>
      <c r="AN81" s="625"/>
      <c r="AO81" s="188"/>
      <c r="AP81" s="188"/>
      <c r="AQ81" s="185"/>
      <c r="AR81" s="182"/>
      <c r="AS81" s="625"/>
      <c r="AT81" s="188"/>
      <c r="AU81" s="188"/>
      <c r="AV81" s="185"/>
      <c r="AW81" s="182"/>
      <c r="AX81" s="625"/>
    </row>
    <row r="82" spans="2:50" ht="14.25" customHeight="1" collapsed="1">
      <c r="B82" s="641" t="s">
        <v>645</v>
      </c>
      <c r="C82" s="642"/>
      <c r="D82" s="642"/>
      <c r="E82" s="642"/>
      <c r="F82" s="642"/>
      <c r="G82" s="642"/>
      <c r="H82" s="642"/>
      <c r="I82" s="642"/>
      <c r="J82" s="642"/>
      <c r="K82" s="642"/>
      <c r="L82" s="642"/>
      <c r="M82" s="643"/>
      <c r="N82" s="575" t="s">
        <v>377</v>
      </c>
      <c r="O82" s="575" t="s">
        <v>105</v>
      </c>
      <c r="P82" s="655">
        <f>AT62+1</f>
        <v>46105</v>
      </c>
      <c r="Q82" s="656"/>
      <c r="R82" s="656"/>
      <c r="S82" s="656"/>
      <c r="T82" s="656"/>
      <c r="U82" s="657">
        <f>P82+1</f>
        <v>46106</v>
      </c>
      <c r="V82" s="658"/>
      <c r="W82" s="658"/>
      <c r="X82" s="658"/>
      <c r="Y82" s="658"/>
      <c r="Z82" s="655">
        <f t="shared" ref="Z82" si="94">U82+1</f>
        <v>46107</v>
      </c>
      <c r="AA82" s="656"/>
      <c r="AB82" s="656"/>
      <c r="AC82" s="656"/>
      <c r="AD82" s="656"/>
      <c r="AE82" s="657">
        <f t="shared" ref="AE82" si="95">Z82+1</f>
        <v>46108</v>
      </c>
      <c r="AF82" s="658"/>
      <c r="AG82" s="658"/>
      <c r="AH82" s="658"/>
      <c r="AI82" s="658"/>
      <c r="AJ82" s="647">
        <f t="shared" ref="AJ82" si="96">AE82+1</f>
        <v>46109</v>
      </c>
      <c r="AK82" s="648"/>
      <c r="AL82" s="648"/>
      <c r="AM82" s="648"/>
      <c r="AN82" s="649"/>
      <c r="AO82" s="657">
        <f t="shared" ref="AO82" si="97">AJ82+1</f>
        <v>46110</v>
      </c>
      <c r="AP82" s="658"/>
      <c r="AQ82" s="658"/>
      <c r="AR82" s="658"/>
      <c r="AS82" s="658"/>
      <c r="AT82" s="647">
        <f t="shared" ref="AT82" si="98">AO82+1</f>
        <v>46111</v>
      </c>
      <c r="AU82" s="648"/>
      <c r="AV82" s="648"/>
      <c r="AW82" s="648"/>
      <c r="AX82" s="649"/>
    </row>
    <row r="83" spans="2:50" ht="14.25" customHeight="1">
      <c r="B83" s="644"/>
      <c r="C83" s="644"/>
      <c r="D83" s="644"/>
      <c r="E83" s="644"/>
      <c r="F83" s="644"/>
      <c r="G83" s="644"/>
      <c r="H83" s="644"/>
      <c r="I83" s="644"/>
      <c r="J83" s="644"/>
      <c r="K83" s="644"/>
      <c r="L83" s="644"/>
      <c r="M83" s="645"/>
      <c r="N83" s="577"/>
      <c r="O83" s="577"/>
      <c r="P83" s="650">
        <f>P82</f>
        <v>46105</v>
      </c>
      <c r="Q83" s="650"/>
      <c r="R83" s="650"/>
      <c r="S83" s="650"/>
      <c r="T83" s="650"/>
      <c r="U83" s="651">
        <f>U82</f>
        <v>46106</v>
      </c>
      <c r="V83" s="651"/>
      <c r="W83" s="651"/>
      <c r="X83" s="651"/>
      <c r="Y83" s="651"/>
      <c r="Z83" s="650">
        <f t="shared" ref="Z83" si="99">Z82</f>
        <v>46107</v>
      </c>
      <c r="AA83" s="650"/>
      <c r="AB83" s="650"/>
      <c r="AC83" s="650"/>
      <c r="AD83" s="650"/>
      <c r="AE83" s="651">
        <f t="shared" ref="AE83" si="100">AE82</f>
        <v>46108</v>
      </c>
      <c r="AF83" s="651"/>
      <c r="AG83" s="651"/>
      <c r="AH83" s="651"/>
      <c r="AI83" s="651"/>
      <c r="AJ83" s="652">
        <f t="shared" ref="AJ83" si="101">AJ82</f>
        <v>46109</v>
      </c>
      <c r="AK83" s="653"/>
      <c r="AL83" s="653"/>
      <c r="AM83" s="653"/>
      <c r="AN83" s="654"/>
      <c r="AO83" s="651">
        <f t="shared" ref="AO83" si="102">AO82</f>
        <v>46110</v>
      </c>
      <c r="AP83" s="651"/>
      <c r="AQ83" s="651"/>
      <c r="AR83" s="651"/>
      <c r="AS83" s="651"/>
      <c r="AT83" s="652">
        <f t="shared" ref="AT83" si="103">AT82</f>
        <v>46111</v>
      </c>
      <c r="AU83" s="653"/>
      <c r="AV83" s="653"/>
      <c r="AW83" s="653"/>
      <c r="AX83" s="654"/>
    </row>
    <row r="84" spans="2:50" ht="14.25" customHeight="1">
      <c r="B84" s="564" t="s">
        <v>164</v>
      </c>
      <c r="C84" s="564" t="s">
        <v>159</v>
      </c>
      <c r="D84" s="564"/>
      <c r="E84" s="564" t="s">
        <v>160</v>
      </c>
      <c r="F84" s="564"/>
      <c r="G84" s="564"/>
      <c r="H84" s="564" t="s">
        <v>165</v>
      </c>
      <c r="I84" s="628" t="s">
        <v>378</v>
      </c>
      <c r="J84" s="628"/>
      <c r="K84" s="628"/>
      <c r="L84" s="628" t="s">
        <v>165</v>
      </c>
      <c r="M84" s="628" t="s">
        <v>167</v>
      </c>
      <c r="N84" s="564"/>
      <c r="O84" s="564" t="s">
        <v>166</v>
      </c>
      <c r="P84" s="564" t="s">
        <v>162</v>
      </c>
      <c r="Q84" s="564"/>
      <c r="R84" s="564"/>
      <c r="S84" s="564"/>
      <c r="T84" s="564" t="s">
        <v>165</v>
      </c>
      <c r="U84" s="564" t="s">
        <v>162</v>
      </c>
      <c r="V84" s="564"/>
      <c r="W84" s="564"/>
      <c r="X84" s="564"/>
      <c r="Y84" s="564" t="s">
        <v>165</v>
      </c>
      <c r="Z84" s="564" t="s">
        <v>162</v>
      </c>
      <c r="AA84" s="564"/>
      <c r="AB84" s="564"/>
      <c r="AC84" s="564"/>
      <c r="AD84" s="564" t="s">
        <v>165</v>
      </c>
      <c r="AE84" s="564" t="s">
        <v>162</v>
      </c>
      <c r="AF84" s="564"/>
      <c r="AG84" s="564"/>
      <c r="AH84" s="564"/>
      <c r="AI84" s="564" t="s">
        <v>165</v>
      </c>
      <c r="AJ84" s="564" t="s">
        <v>162</v>
      </c>
      <c r="AK84" s="564"/>
      <c r="AL84" s="564"/>
      <c r="AM84" s="564"/>
      <c r="AN84" s="564" t="s">
        <v>165</v>
      </c>
      <c r="AO84" s="564" t="s">
        <v>162</v>
      </c>
      <c r="AP84" s="564"/>
      <c r="AQ84" s="564"/>
      <c r="AR84" s="564"/>
      <c r="AS84" s="564" t="s">
        <v>165</v>
      </c>
      <c r="AT84" s="564" t="s">
        <v>162</v>
      </c>
      <c r="AU84" s="564"/>
      <c r="AV84" s="564"/>
      <c r="AW84" s="564"/>
      <c r="AX84" s="564" t="s">
        <v>165</v>
      </c>
    </row>
    <row r="85" spans="2:50" ht="14.25" customHeight="1">
      <c r="B85" s="564"/>
      <c r="C85" s="564"/>
      <c r="D85" s="564"/>
      <c r="E85" s="564" t="s">
        <v>379</v>
      </c>
      <c r="F85" s="564"/>
      <c r="G85" s="564"/>
      <c r="H85" s="564"/>
      <c r="I85" s="628" t="s">
        <v>379</v>
      </c>
      <c r="J85" s="628"/>
      <c r="K85" s="628"/>
      <c r="L85" s="628"/>
      <c r="M85" s="628"/>
      <c r="N85" s="564"/>
      <c r="O85" s="564"/>
      <c r="P85" s="564" t="s">
        <v>380</v>
      </c>
      <c r="Q85" s="564"/>
      <c r="R85" s="564"/>
      <c r="S85" s="564"/>
      <c r="T85" s="564"/>
      <c r="U85" s="564" t="s">
        <v>380</v>
      </c>
      <c r="V85" s="564"/>
      <c r="W85" s="564"/>
      <c r="X85" s="564"/>
      <c r="Y85" s="564"/>
      <c r="Z85" s="564" t="s">
        <v>380</v>
      </c>
      <c r="AA85" s="564"/>
      <c r="AB85" s="564"/>
      <c r="AC85" s="564"/>
      <c r="AD85" s="564"/>
      <c r="AE85" s="564" t="s">
        <v>380</v>
      </c>
      <c r="AF85" s="564"/>
      <c r="AG85" s="564"/>
      <c r="AH85" s="564"/>
      <c r="AI85" s="564"/>
      <c r="AJ85" s="564" t="s">
        <v>380</v>
      </c>
      <c r="AK85" s="564"/>
      <c r="AL85" s="564"/>
      <c r="AM85" s="564"/>
      <c r="AN85" s="564"/>
      <c r="AO85" s="564" t="s">
        <v>380</v>
      </c>
      <c r="AP85" s="564"/>
      <c r="AQ85" s="564"/>
      <c r="AR85" s="564"/>
      <c r="AS85" s="564"/>
      <c r="AT85" s="564" t="s">
        <v>380</v>
      </c>
      <c r="AU85" s="564"/>
      <c r="AV85" s="564"/>
      <c r="AW85" s="564"/>
      <c r="AX85" s="564"/>
    </row>
    <row r="86" spans="2:50" ht="14.25" customHeight="1">
      <c r="B86" s="564"/>
      <c r="C86" s="564"/>
      <c r="D86" s="564"/>
      <c r="E86" s="180" t="s">
        <v>161</v>
      </c>
      <c r="F86" s="180" t="s">
        <v>381</v>
      </c>
      <c r="G86" s="180" t="s">
        <v>163</v>
      </c>
      <c r="H86" s="564"/>
      <c r="I86" s="181" t="s">
        <v>161</v>
      </c>
      <c r="J86" s="181" t="s">
        <v>381</v>
      </c>
      <c r="K86" s="181" t="s">
        <v>163</v>
      </c>
      <c r="L86" s="628"/>
      <c r="M86" s="628"/>
      <c r="N86" s="564"/>
      <c r="O86" s="564"/>
      <c r="P86" s="180" t="s">
        <v>161</v>
      </c>
      <c r="Q86" s="180" t="s">
        <v>381</v>
      </c>
      <c r="R86" s="180" t="s">
        <v>163</v>
      </c>
      <c r="S86" s="182" t="s">
        <v>167</v>
      </c>
      <c r="T86" s="564"/>
      <c r="U86" s="180" t="s">
        <v>161</v>
      </c>
      <c r="V86" s="180" t="s">
        <v>381</v>
      </c>
      <c r="W86" s="180" t="s">
        <v>163</v>
      </c>
      <c r="X86" s="182" t="s">
        <v>167</v>
      </c>
      <c r="Y86" s="564"/>
      <c r="Z86" s="180" t="s">
        <v>161</v>
      </c>
      <c r="AA86" s="180" t="s">
        <v>381</v>
      </c>
      <c r="AB86" s="180" t="s">
        <v>163</v>
      </c>
      <c r="AC86" s="182" t="s">
        <v>167</v>
      </c>
      <c r="AD86" s="564"/>
      <c r="AE86" s="180" t="s">
        <v>161</v>
      </c>
      <c r="AF86" s="180" t="s">
        <v>381</v>
      </c>
      <c r="AG86" s="180" t="s">
        <v>163</v>
      </c>
      <c r="AH86" s="182" t="s">
        <v>167</v>
      </c>
      <c r="AI86" s="564"/>
      <c r="AJ86" s="180" t="s">
        <v>161</v>
      </c>
      <c r="AK86" s="180" t="s">
        <v>381</v>
      </c>
      <c r="AL86" s="180" t="s">
        <v>163</v>
      </c>
      <c r="AM86" s="182" t="s">
        <v>167</v>
      </c>
      <c r="AN86" s="564"/>
      <c r="AO86" s="180" t="s">
        <v>161</v>
      </c>
      <c r="AP86" s="180" t="s">
        <v>381</v>
      </c>
      <c r="AQ86" s="180" t="s">
        <v>163</v>
      </c>
      <c r="AR86" s="182" t="s">
        <v>167</v>
      </c>
      <c r="AS86" s="564"/>
      <c r="AT86" s="180" t="s">
        <v>161</v>
      </c>
      <c r="AU86" s="180" t="s">
        <v>381</v>
      </c>
      <c r="AV86" s="180" t="s">
        <v>163</v>
      </c>
      <c r="AW86" s="182" t="s">
        <v>167</v>
      </c>
      <c r="AX86" s="564"/>
    </row>
    <row r="87" spans="2:50" ht="14.25" customHeight="1">
      <c r="B87" s="564" t="s">
        <v>138</v>
      </c>
      <c r="C87" s="180">
        <v>1</v>
      </c>
      <c r="D87" s="183" t="s">
        <v>360</v>
      </c>
      <c r="E87" s="180">
        <v>21</v>
      </c>
      <c r="F87" s="180">
        <v>2000</v>
      </c>
      <c r="G87" s="185">
        <f t="shared" ref="G87:G94" si="104">F87/E87</f>
        <v>95.238095238095241</v>
      </c>
      <c r="H87" s="625">
        <f>AVERAGE(G87:G101)</f>
        <v>89.210427253905522</v>
      </c>
      <c r="I87" s="186">
        <f>AVERAGE(P87,U87,Z87,AE87,AJ87,AO87,AT87)</f>
        <v>22</v>
      </c>
      <c r="J87" s="186">
        <f>AVERAGE(Q87,V87,AA87,AF87,AK87,AP87,AU87)</f>
        <v>1785.0743409283916</v>
      </c>
      <c r="K87" s="187">
        <f>AVERAGE(R87,W87,AB87,AG87,AL87,AQ87,AV87)</f>
        <v>81.139742769472363</v>
      </c>
      <c r="L87" s="626">
        <f>IFERROR(AVERAGE(K87:K101),"-")</f>
        <v>78.901579647228814</v>
      </c>
      <c r="M87" s="186">
        <f>RANK(K87, K$87:$K$101)</f>
        <v>3</v>
      </c>
      <c r="N87" s="564"/>
      <c r="O87" s="564"/>
      <c r="P87" s="188">
        <v>22</v>
      </c>
      <c r="Q87" s="188">
        <v>1785.0389610389611</v>
      </c>
      <c r="R87" s="185">
        <f>IFERROR(Q87/P87,"")</f>
        <v>81.138134592680046</v>
      </c>
      <c r="S87" s="182">
        <f>RANK(R87, R$87:R$101)</f>
        <v>3</v>
      </c>
      <c r="T87" s="625">
        <f>AVERAGE(R87:R101)</f>
        <v>78.7740085306651</v>
      </c>
      <c r="U87" s="188">
        <v>22</v>
      </c>
      <c r="V87" s="188">
        <v>1784.9798115746962</v>
      </c>
      <c r="W87" s="185">
        <f t="shared" ref="W87:W94" si="105">IFERROR(V87/U87,"")</f>
        <v>81.13544598066801</v>
      </c>
      <c r="X87" s="182">
        <f>RANK(W87, W$87:W$101)</f>
        <v>3</v>
      </c>
      <c r="Y87" s="625">
        <f>AVERAGE(W87:W101)</f>
        <v>78.778785001244543</v>
      </c>
      <c r="Z87" s="188">
        <v>22</v>
      </c>
      <c r="AA87" s="188">
        <v>1785.0267379679151</v>
      </c>
      <c r="AB87" s="185">
        <f t="shared" ref="AB87:AB94" si="106">IFERROR(AA87/Z87,"")</f>
        <v>81.137578998541599</v>
      </c>
      <c r="AC87" s="182">
        <f>RANK(AB87, AB$87:AB$101)</f>
        <v>3</v>
      </c>
      <c r="AD87" s="625">
        <f>AVERAGE(AB87:AB101)</f>
        <v>78.783367080559714</v>
      </c>
      <c r="AE87" s="188">
        <v>22</v>
      </c>
      <c r="AF87" s="188">
        <v>1784.8208011243869</v>
      </c>
      <c r="AG87" s="185">
        <f>IFERROR(AF87/AE87,"")</f>
        <v>81.12821823292667</v>
      </c>
      <c r="AH87" s="182">
        <f>RANK(AG87, AG$87:AG$101)</f>
        <v>3</v>
      </c>
      <c r="AI87" s="625">
        <f>AVERAGE(AG87:AG101)</f>
        <v>78.784576669819685</v>
      </c>
      <c r="AJ87" s="188">
        <v>22</v>
      </c>
      <c r="AK87" s="188">
        <v>1785.2082742986699</v>
      </c>
      <c r="AL87" s="185">
        <f t="shared" ref="AL87:AL94" si="107">IFERROR(AK87/AJ87,"")</f>
        <v>81.145830649939541</v>
      </c>
      <c r="AM87" s="182">
        <f>RANK(AL87, AL$87:AL$101)</f>
        <v>3</v>
      </c>
      <c r="AN87" s="625">
        <f>AVERAGE(AL87:AL101)</f>
        <v>78.789164831745381</v>
      </c>
      <c r="AO87" s="188">
        <v>22</v>
      </c>
      <c r="AP87" s="188">
        <v>1785.2642024311597</v>
      </c>
      <c r="AQ87" s="185">
        <f t="shared" ref="AQ87:AQ94" si="108">IFERROR(AP87/AO87,"")</f>
        <v>81.148372837779988</v>
      </c>
      <c r="AR87" s="182">
        <f>RANK(AQ87, AQ$87:AQ$101)</f>
        <v>3</v>
      </c>
      <c r="AS87" s="625">
        <f>AVERAGE(AQ87:AQ101)</f>
        <v>79.199548155890383</v>
      </c>
      <c r="AT87" s="188">
        <v>22</v>
      </c>
      <c r="AU87" s="188">
        <v>1785.1815980629535</v>
      </c>
      <c r="AV87" s="185">
        <f t="shared" ref="AV87:AV94" si="109">IFERROR(AU87/AT87,"")</f>
        <v>81.144618093770617</v>
      </c>
      <c r="AW87" s="182">
        <f>RANK(AV87, AV$87:AV$101)</f>
        <v>3</v>
      </c>
      <c r="AX87" s="625">
        <f>AVERAGE(AV87:AV101)</f>
        <v>79.201607260676823</v>
      </c>
    </row>
    <row r="88" spans="2:50" ht="14.25" customHeight="1">
      <c r="B88" s="564"/>
      <c r="C88" s="180">
        <v>2</v>
      </c>
      <c r="D88" s="183" t="s">
        <v>361</v>
      </c>
      <c r="E88" s="180">
        <v>24</v>
      </c>
      <c r="F88" s="180">
        <v>2000</v>
      </c>
      <c r="G88" s="185">
        <f t="shared" si="104"/>
        <v>83.333333333333329</v>
      </c>
      <c r="H88" s="625"/>
      <c r="I88" s="186">
        <f t="shared" ref="I88:K94" si="110">AVERAGE(P88,U88,Z88,AE88,AJ88,AO88,AT88)</f>
        <v>24</v>
      </c>
      <c r="J88" s="186">
        <f t="shared" si="110"/>
        <v>1785.9986194154785</v>
      </c>
      <c r="K88" s="187">
        <f t="shared" si="110"/>
        <v>74.416609142311614</v>
      </c>
      <c r="L88" s="626"/>
      <c r="M88" s="186">
        <f>RANK(K88, K$87:$K$101)</f>
        <v>8</v>
      </c>
      <c r="N88" s="564"/>
      <c r="O88" s="564"/>
      <c r="P88" s="188">
        <v>24</v>
      </c>
      <c r="Q88" s="188">
        <v>1785.9144044053712</v>
      </c>
      <c r="R88" s="185">
        <f t="shared" ref="R88:R94" si="111">IFERROR(Q88/P88,"")</f>
        <v>74.413100183557134</v>
      </c>
      <c r="S88" s="182">
        <f t="shared" ref="S88:S94" si="112">RANK(R88, R$87:R$101)</f>
        <v>7</v>
      </c>
      <c r="T88" s="625"/>
      <c r="U88" s="188">
        <v>24</v>
      </c>
      <c r="V88" s="188">
        <v>1785.9493670886077</v>
      </c>
      <c r="W88" s="185">
        <f t="shared" si="105"/>
        <v>74.414556962025316</v>
      </c>
      <c r="X88" s="182">
        <f t="shared" ref="X88:X94" si="113">RANK(W88, W$87:W$101)</f>
        <v>7</v>
      </c>
      <c r="Y88" s="625"/>
      <c r="Z88" s="188">
        <v>24</v>
      </c>
      <c r="AA88" s="188">
        <v>1786.0228099975732</v>
      </c>
      <c r="AB88" s="185">
        <f t="shared" si="106"/>
        <v>74.417617083232216</v>
      </c>
      <c r="AC88" s="182">
        <f t="shared" ref="AC88:AC94" si="114">RANK(AB88, AB$87:AB$101)</f>
        <v>7</v>
      </c>
      <c r="AD88" s="625"/>
      <c r="AE88" s="188">
        <v>24</v>
      </c>
      <c r="AF88" s="188">
        <v>1786.0145204432556</v>
      </c>
      <c r="AG88" s="185">
        <f t="shared" ref="AG88:AG94" si="115">IFERROR(AF88/AE88,"")</f>
        <v>74.417271685135645</v>
      </c>
      <c r="AH88" s="182">
        <f t="shared" ref="AH88:AH94" si="116">RANK(AG88, AG$87:AG$101)</f>
        <v>7</v>
      </c>
      <c r="AI88" s="625"/>
      <c r="AJ88" s="188">
        <v>24</v>
      </c>
      <c r="AK88" s="188">
        <v>1786.0395296472352</v>
      </c>
      <c r="AL88" s="185">
        <f t="shared" si="107"/>
        <v>74.418313735301467</v>
      </c>
      <c r="AM88" s="182">
        <f t="shared" ref="AM88:AM94" si="117">RANK(AL88, AL$87:AL$101)</f>
        <v>7</v>
      </c>
      <c r="AN88" s="625"/>
      <c r="AO88" s="188">
        <v>24</v>
      </c>
      <c r="AP88" s="188">
        <v>1786.0086031242924</v>
      </c>
      <c r="AQ88" s="185">
        <f t="shared" si="108"/>
        <v>74.417025130178857</v>
      </c>
      <c r="AR88" s="182">
        <f t="shared" ref="AR88:AR94" si="118">RANK(AQ88, AQ$87:AQ$101)</f>
        <v>8</v>
      </c>
      <c r="AS88" s="625"/>
      <c r="AT88" s="188">
        <v>24</v>
      </c>
      <c r="AU88" s="188">
        <v>1786.0411012020161</v>
      </c>
      <c r="AV88" s="185">
        <f t="shared" si="109"/>
        <v>74.418379216750665</v>
      </c>
      <c r="AW88" s="182">
        <f t="shared" ref="AW88:AW94" si="119">RANK(AV88, AV$87:AV$101)</f>
        <v>8</v>
      </c>
      <c r="AX88" s="625"/>
    </row>
    <row r="89" spans="2:50" ht="14.25" customHeight="1">
      <c r="B89" s="564"/>
      <c r="C89" s="180">
        <v>3</v>
      </c>
      <c r="D89" s="183" t="s">
        <v>362</v>
      </c>
      <c r="E89" s="180">
        <v>23</v>
      </c>
      <c r="F89" s="180">
        <v>2000</v>
      </c>
      <c r="G89" s="185">
        <f t="shared" si="104"/>
        <v>86.956521739130437</v>
      </c>
      <c r="H89" s="625"/>
      <c r="I89" s="186">
        <f t="shared" si="110"/>
        <v>23</v>
      </c>
      <c r="J89" s="186">
        <f t="shared" si="110"/>
        <v>1786.822284627729</v>
      </c>
      <c r="K89" s="187">
        <f t="shared" si="110"/>
        <v>77.687925418596919</v>
      </c>
      <c r="L89" s="626"/>
      <c r="M89" s="186">
        <f>RANK(K89, K$87:$K$101)</f>
        <v>5</v>
      </c>
      <c r="N89" s="564"/>
      <c r="O89" s="564"/>
      <c r="P89" s="188">
        <v>23</v>
      </c>
      <c r="Q89" s="188">
        <v>1786.5324445653653</v>
      </c>
      <c r="R89" s="185">
        <f t="shared" si="111"/>
        <v>77.675323676755013</v>
      </c>
      <c r="S89" s="182">
        <f t="shared" si="112"/>
        <v>5</v>
      </c>
      <c r="T89" s="625"/>
      <c r="U89" s="188">
        <v>23</v>
      </c>
      <c r="V89" s="188">
        <v>1786.6189427312775</v>
      </c>
      <c r="W89" s="185">
        <f t="shared" si="105"/>
        <v>77.679084466577279</v>
      </c>
      <c r="X89" s="182">
        <f t="shared" si="113"/>
        <v>5</v>
      </c>
      <c r="Y89" s="625"/>
      <c r="Z89" s="188">
        <v>23</v>
      </c>
      <c r="AA89" s="188">
        <v>1786.6881028938906</v>
      </c>
      <c r="AB89" s="185">
        <f t="shared" si="106"/>
        <v>77.682091430169152</v>
      </c>
      <c r="AC89" s="182">
        <f t="shared" si="114"/>
        <v>5</v>
      </c>
      <c r="AD89" s="625"/>
      <c r="AE89" s="188">
        <v>23</v>
      </c>
      <c r="AF89" s="188">
        <v>1786.8947943210785</v>
      </c>
      <c r="AG89" s="185">
        <f t="shared" si="115"/>
        <v>77.691078013959938</v>
      </c>
      <c r="AH89" s="182">
        <f t="shared" si="116"/>
        <v>5</v>
      </c>
      <c r="AI89" s="625"/>
      <c r="AJ89" s="188">
        <v>23</v>
      </c>
      <c r="AK89" s="188">
        <v>1787.0714985308528</v>
      </c>
      <c r="AL89" s="185">
        <f t="shared" si="107"/>
        <v>77.698760805689247</v>
      </c>
      <c r="AM89" s="182">
        <f t="shared" si="117"/>
        <v>5</v>
      </c>
      <c r="AN89" s="625"/>
      <c r="AO89" s="188">
        <v>23</v>
      </c>
      <c r="AP89" s="188">
        <v>1786.9921874999998</v>
      </c>
      <c r="AQ89" s="185">
        <f t="shared" si="108"/>
        <v>77.695312499999986</v>
      </c>
      <c r="AR89" s="182">
        <f t="shared" si="118"/>
        <v>5</v>
      </c>
      <c r="AS89" s="625"/>
      <c r="AT89" s="188">
        <v>23</v>
      </c>
      <c r="AU89" s="188">
        <v>1786.9580218516389</v>
      </c>
      <c r="AV89" s="185">
        <f t="shared" si="109"/>
        <v>77.693827037027773</v>
      </c>
      <c r="AW89" s="182">
        <f t="shared" si="119"/>
        <v>5</v>
      </c>
      <c r="AX89" s="625"/>
    </row>
    <row r="90" spans="2:50" ht="14.25" customHeight="1">
      <c r="B90" s="564"/>
      <c r="C90" s="180">
        <v>4</v>
      </c>
      <c r="D90" s="183" t="s">
        <v>359</v>
      </c>
      <c r="E90" s="180">
        <v>23</v>
      </c>
      <c r="F90" s="180">
        <v>2000</v>
      </c>
      <c r="G90" s="185">
        <f t="shared" si="104"/>
        <v>86.956521739130437</v>
      </c>
      <c r="H90" s="625"/>
      <c r="I90" s="186">
        <f t="shared" si="110"/>
        <v>23</v>
      </c>
      <c r="J90" s="186">
        <f t="shared" si="110"/>
        <v>1787.4938530348099</v>
      </c>
      <c r="K90" s="187">
        <f t="shared" si="110"/>
        <v>77.717124044991735</v>
      </c>
      <c r="L90" s="626"/>
      <c r="M90" s="186">
        <f>RANK(K90, K$87:$K$101)</f>
        <v>4</v>
      </c>
      <c r="N90" s="564"/>
      <c r="O90" s="564"/>
      <c r="P90" s="188">
        <v>23</v>
      </c>
      <c r="Q90" s="188">
        <v>1786.9484151646998</v>
      </c>
      <c r="R90" s="185">
        <f t="shared" si="111"/>
        <v>77.69340935498694</v>
      </c>
      <c r="S90" s="182">
        <f t="shared" si="112"/>
        <v>4</v>
      </c>
      <c r="T90" s="625"/>
      <c r="U90" s="188">
        <v>23</v>
      </c>
      <c r="V90" s="188">
        <v>1787.1157894736857</v>
      </c>
      <c r="W90" s="185">
        <f t="shared" si="105"/>
        <v>77.700686498855902</v>
      </c>
      <c r="X90" s="182">
        <f t="shared" si="113"/>
        <v>4</v>
      </c>
      <c r="Y90" s="625"/>
      <c r="Z90" s="188">
        <v>23</v>
      </c>
      <c r="AA90" s="188">
        <v>1787.333171560299</v>
      </c>
      <c r="AB90" s="185">
        <f t="shared" si="106"/>
        <v>77.710137893926046</v>
      </c>
      <c r="AC90" s="182">
        <f t="shared" si="114"/>
        <v>4</v>
      </c>
      <c r="AD90" s="625"/>
      <c r="AE90" s="188">
        <v>23</v>
      </c>
      <c r="AF90" s="188">
        <v>1787.6359473382927</v>
      </c>
      <c r="AG90" s="185">
        <f t="shared" si="115"/>
        <v>77.723302058186633</v>
      </c>
      <c r="AH90" s="182">
        <f t="shared" si="116"/>
        <v>4</v>
      </c>
      <c r="AI90" s="625"/>
      <c r="AJ90" s="188">
        <v>23</v>
      </c>
      <c r="AK90" s="188">
        <v>1787.6906891109913</v>
      </c>
      <c r="AL90" s="185">
        <f t="shared" si="107"/>
        <v>77.725682135260499</v>
      </c>
      <c r="AM90" s="182">
        <f t="shared" si="117"/>
        <v>4</v>
      </c>
      <c r="AN90" s="625"/>
      <c r="AO90" s="188">
        <v>23</v>
      </c>
      <c r="AP90" s="188">
        <v>1787.7306733167081</v>
      </c>
      <c r="AQ90" s="185">
        <f t="shared" si="108"/>
        <v>77.727420578987306</v>
      </c>
      <c r="AR90" s="182">
        <f t="shared" si="118"/>
        <v>4</v>
      </c>
      <c r="AS90" s="625"/>
      <c r="AT90" s="188">
        <v>23</v>
      </c>
      <c r="AU90" s="188">
        <v>1788.0022852789937</v>
      </c>
      <c r="AV90" s="185">
        <f t="shared" si="109"/>
        <v>77.739229794738861</v>
      </c>
      <c r="AW90" s="182">
        <f t="shared" si="119"/>
        <v>4</v>
      </c>
      <c r="AX90" s="625"/>
    </row>
    <row r="91" spans="2:50" ht="14.25" customHeight="1">
      <c r="B91" s="564"/>
      <c r="C91" s="180">
        <v>5</v>
      </c>
      <c r="D91" s="183" t="s">
        <v>471</v>
      </c>
      <c r="E91" s="180">
        <v>23</v>
      </c>
      <c r="F91" s="180">
        <v>2000</v>
      </c>
      <c r="G91" s="185">
        <f t="shared" si="104"/>
        <v>86.956521739130437</v>
      </c>
      <c r="H91" s="625"/>
      <c r="I91" s="186">
        <f t="shared" si="110"/>
        <v>23.714285714285715</v>
      </c>
      <c r="J91" s="186">
        <f t="shared" si="110"/>
        <v>1784.8589481638985</v>
      </c>
      <c r="K91" s="187">
        <f t="shared" si="110"/>
        <v>75.293392136449839</v>
      </c>
      <c r="L91" s="626"/>
      <c r="M91" s="186">
        <f>RANK(K91, K$87:$K$101)</f>
        <v>6</v>
      </c>
      <c r="N91" s="564"/>
      <c r="O91" s="564"/>
      <c r="P91" s="188">
        <v>24</v>
      </c>
      <c r="Q91" s="188">
        <v>1784.4559585492234</v>
      </c>
      <c r="R91" s="185">
        <f t="shared" si="111"/>
        <v>74.352331606217646</v>
      </c>
      <c r="S91" s="182">
        <f t="shared" si="112"/>
        <v>8</v>
      </c>
      <c r="T91" s="625"/>
      <c r="U91" s="188">
        <v>24</v>
      </c>
      <c r="V91" s="188">
        <v>1784.4010195412056</v>
      </c>
      <c r="W91" s="185">
        <f t="shared" si="105"/>
        <v>74.350042480883573</v>
      </c>
      <c r="X91" s="182">
        <f t="shared" si="113"/>
        <v>8</v>
      </c>
      <c r="Y91" s="625"/>
      <c r="Z91" s="188">
        <v>24</v>
      </c>
      <c r="AA91" s="188">
        <v>1784.4711177794447</v>
      </c>
      <c r="AB91" s="185">
        <f t="shared" si="106"/>
        <v>74.352963240810197</v>
      </c>
      <c r="AC91" s="182">
        <f t="shared" si="114"/>
        <v>8</v>
      </c>
      <c r="AD91" s="625"/>
      <c r="AE91" s="188">
        <v>24</v>
      </c>
      <c r="AF91" s="188">
        <v>1784.6350832266314</v>
      </c>
      <c r="AG91" s="185">
        <f t="shared" si="115"/>
        <v>74.359795134442976</v>
      </c>
      <c r="AH91" s="182">
        <f t="shared" si="116"/>
        <v>8</v>
      </c>
      <c r="AI91" s="625"/>
      <c r="AJ91" s="188">
        <v>24</v>
      </c>
      <c r="AK91" s="188">
        <v>1784.6728971962616</v>
      </c>
      <c r="AL91" s="185">
        <f t="shared" si="107"/>
        <v>74.361370716510905</v>
      </c>
      <c r="AM91" s="182">
        <f t="shared" si="117"/>
        <v>8</v>
      </c>
      <c r="AN91" s="625"/>
      <c r="AO91" s="188">
        <v>23</v>
      </c>
      <c r="AP91" s="188">
        <v>1785.728900255755</v>
      </c>
      <c r="AQ91" s="185">
        <f t="shared" si="108"/>
        <v>77.640386967641518</v>
      </c>
      <c r="AR91" s="182">
        <f t="shared" si="118"/>
        <v>6</v>
      </c>
      <c r="AS91" s="625"/>
      <c r="AT91" s="188">
        <v>23</v>
      </c>
      <c r="AU91" s="188">
        <v>1785.6476605987659</v>
      </c>
      <c r="AV91" s="185">
        <f t="shared" si="109"/>
        <v>77.636854808641999</v>
      </c>
      <c r="AW91" s="182">
        <f t="shared" si="119"/>
        <v>6</v>
      </c>
      <c r="AX91" s="625"/>
    </row>
    <row r="92" spans="2:50" ht="14.25" customHeight="1">
      <c r="B92" s="564"/>
      <c r="C92" s="180">
        <v>6</v>
      </c>
      <c r="D92" s="183" t="s">
        <v>475</v>
      </c>
      <c r="E92" s="180">
        <v>22</v>
      </c>
      <c r="F92" s="180">
        <v>2000</v>
      </c>
      <c r="G92" s="185">
        <f t="shared" si="104"/>
        <v>90.909090909090907</v>
      </c>
      <c r="H92" s="625"/>
      <c r="I92" s="186">
        <f t="shared" si="110"/>
        <v>22</v>
      </c>
      <c r="J92" s="186">
        <f t="shared" si="110"/>
        <v>1786.0893219866375</v>
      </c>
      <c r="K92" s="187">
        <f t="shared" si="110"/>
        <v>81.185878272119893</v>
      </c>
      <c r="L92" s="626"/>
      <c r="M92" s="186">
        <f>RANK(K92, K$87:$K$101)</f>
        <v>2</v>
      </c>
      <c r="N92" s="564"/>
      <c r="O92" s="564"/>
      <c r="P92" s="188">
        <v>22</v>
      </c>
      <c r="Q92" s="188">
        <v>1785.6336383102982</v>
      </c>
      <c r="R92" s="185">
        <f t="shared" si="111"/>
        <v>81.165165377740834</v>
      </c>
      <c r="S92" s="182">
        <f t="shared" si="112"/>
        <v>2</v>
      </c>
      <c r="T92" s="625"/>
      <c r="U92" s="188">
        <v>22</v>
      </c>
      <c r="V92" s="188">
        <v>1785.8502275548201</v>
      </c>
      <c r="W92" s="185">
        <f t="shared" si="105"/>
        <v>81.175010343400913</v>
      </c>
      <c r="X92" s="182">
        <f t="shared" si="113"/>
        <v>2</v>
      </c>
      <c r="Y92" s="625"/>
      <c r="Z92" s="188">
        <v>22</v>
      </c>
      <c r="AA92" s="188">
        <v>1786.0773480662986</v>
      </c>
      <c r="AB92" s="185">
        <f t="shared" si="106"/>
        <v>81.185334003013566</v>
      </c>
      <c r="AC92" s="182">
        <f t="shared" si="114"/>
        <v>2</v>
      </c>
      <c r="AD92" s="625"/>
      <c r="AE92" s="188">
        <v>22</v>
      </c>
      <c r="AF92" s="188">
        <v>1786.1690450054873</v>
      </c>
      <c r="AG92" s="185">
        <f t="shared" si="115"/>
        <v>81.189502045703975</v>
      </c>
      <c r="AH92" s="182">
        <f t="shared" si="116"/>
        <v>2</v>
      </c>
      <c r="AI92" s="625"/>
      <c r="AJ92" s="188">
        <v>22</v>
      </c>
      <c r="AK92" s="188">
        <v>1786.1641457971737</v>
      </c>
      <c r="AL92" s="185">
        <f t="shared" si="107"/>
        <v>81.189279354416982</v>
      </c>
      <c r="AM92" s="182">
        <f t="shared" si="117"/>
        <v>2</v>
      </c>
      <c r="AN92" s="625"/>
      <c r="AO92" s="188">
        <v>22</v>
      </c>
      <c r="AP92" s="188">
        <v>1786.3106303870202</v>
      </c>
      <c r="AQ92" s="185">
        <f t="shared" si="108"/>
        <v>81.195937744864551</v>
      </c>
      <c r="AR92" s="182">
        <f t="shared" si="118"/>
        <v>2</v>
      </c>
      <c r="AS92" s="625"/>
      <c r="AT92" s="188">
        <v>22</v>
      </c>
      <c r="AU92" s="188">
        <v>1786.4202187853653</v>
      </c>
      <c r="AV92" s="185">
        <f t="shared" si="109"/>
        <v>81.200919035698419</v>
      </c>
      <c r="AW92" s="182">
        <f t="shared" si="119"/>
        <v>2</v>
      </c>
      <c r="AX92" s="625"/>
    </row>
    <row r="93" spans="2:50" ht="14.25" customHeight="1">
      <c r="B93" s="564"/>
      <c r="C93" s="180">
        <v>7</v>
      </c>
      <c r="D93" s="183" t="s">
        <v>479</v>
      </c>
      <c r="E93" s="180">
        <v>20</v>
      </c>
      <c r="F93" s="180">
        <v>2000</v>
      </c>
      <c r="G93" s="185">
        <f t="shared" si="104"/>
        <v>100</v>
      </c>
      <c r="H93" s="625"/>
      <c r="I93" s="186">
        <f t="shared" si="110"/>
        <v>20</v>
      </c>
      <c r="J93" s="186">
        <f t="shared" si="110"/>
        <v>1786.5043053085315</v>
      </c>
      <c r="K93" s="187">
        <f t="shared" si="110"/>
        <v>89.325215265426579</v>
      </c>
      <c r="L93" s="626"/>
      <c r="M93" s="186">
        <f>RANK(K93, K$87:$K$101)</f>
        <v>1</v>
      </c>
      <c r="N93" s="564"/>
      <c r="O93" s="564"/>
      <c r="P93" s="188">
        <v>20</v>
      </c>
      <c r="Q93" s="188">
        <v>1786.4270816621211</v>
      </c>
      <c r="R93" s="185">
        <f t="shared" si="111"/>
        <v>89.321354083106058</v>
      </c>
      <c r="S93" s="182">
        <f t="shared" si="112"/>
        <v>1</v>
      </c>
      <c r="T93" s="625"/>
      <c r="U93" s="188">
        <v>20</v>
      </c>
      <c r="V93" s="188">
        <v>1786.6666666666665</v>
      </c>
      <c r="W93" s="185">
        <f t="shared" si="105"/>
        <v>89.333333333333329</v>
      </c>
      <c r="X93" s="182">
        <f t="shared" si="113"/>
        <v>1</v>
      </c>
      <c r="Y93" s="625"/>
      <c r="Z93" s="188">
        <v>20</v>
      </c>
      <c r="AA93" s="188">
        <v>1786.6106080206987</v>
      </c>
      <c r="AB93" s="185">
        <f t="shared" si="106"/>
        <v>89.330530401034935</v>
      </c>
      <c r="AC93" s="182">
        <f t="shared" si="114"/>
        <v>1</v>
      </c>
      <c r="AD93" s="625"/>
      <c r="AE93" s="188">
        <v>20</v>
      </c>
      <c r="AF93" s="188">
        <v>1786.5248226950348</v>
      </c>
      <c r="AG93" s="185">
        <f t="shared" si="115"/>
        <v>89.32624113475174</v>
      </c>
      <c r="AH93" s="182">
        <f t="shared" si="116"/>
        <v>1</v>
      </c>
      <c r="AI93" s="625"/>
      <c r="AJ93" s="188">
        <v>20</v>
      </c>
      <c r="AK93" s="188">
        <v>1786.4661654135332</v>
      </c>
      <c r="AL93" s="185">
        <f t="shared" si="107"/>
        <v>89.323308270676662</v>
      </c>
      <c r="AM93" s="182">
        <f t="shared" si="117"/>
        <v>1</v>
      </c>
      <c r="AN93" s="625"/>
      <c r="AO93" s="188">
        <v>20</v>
      </c>
      <c r="AP93" s="188">
        <v>1786.428750942448</v>
      </c>
      <c r="AQ93" s="185">
        <f t="shared" si="108"/>
        <v>89.3214375471224</v>
      </c>
      <c r="AR93" s="182">
        <f t="shared" si="118"/>
        <v>1</v>
      </c>
      <c r="AS93" s="625"/>
      <c r="AT93" s="188">
        <v>20</v>
      </c>
      <c r="AU93" s="188">
        <v>1786.4060417592179</v>
      </c>
      <c r="AV93" s="185">
        <f t="shared" si="109"/>
        <v>89.320302087960897</v>
      </c>
      <c r="AW93" s="182">
        <f t="shared" si="119"/>
        <v>1</v>
      </c>
      <c r="AX93" s="625"/>
    </row>
    <row r="94" spans="2:50" ht="14.25" customHeight="1">
      <c r="B94" s="564"/>
      <c r="C94" s="180">
        <v>8</v>
      </c>
      <c r="D94" s="183" t="s">
        <v>363</v>
      </c>
      <c r="E94" s="180">
        <v>24</v>
      </c>
      <c r="F94" s="180">
        <v>2000</v>
      </c>
      <c r="G94" s="185">
        <f t="shared" si="104"/>
        <v>83.333333333333329</v>
      </c>
      <c r="H94" s="625"/>
      <c r="I94" s="186">
        <f t="shared" si="110"/>
        <v>24</v>
      </c>
      <c r="J94" s="186">
        <f t="shared" si="110"/>
        <v>1786.7220030830765</v>
      </c>
      <c r="K94" s="187">
        <f t="shared" si="110"/>
        <v>74.446750128461517</v>
      </c>
      <c r="L94" s="626"/>
      <c r="M94" s="186">
        <f>RANK(K94, K$87:$K$101)</f>
        <v>7</v>
      </c>
      <c r="N94" s="564"/>
      <c r="O94" s="564"/>
      <c r="P94" s="188">
        <v>24</v>
      </c>
      <c r="Q94" s="188">
        <v>1786.3979848866488</v>
      </c>
      <c r="R94" s="185">
        <f t="shared" si="111"/>
        <v>74.433249370277039</v>
      </c>
      <c r="S94" s="182">
        <f t="shared" si="112"/>
        <v>6</v>
      </c>
      <c r="T94" s="625"/>
      <c r="U94" s="188">
        <v>24</v>
      </c>
      <c r="V94" s="188">
        <v>1786.6108786610876</v>
      </c>
      <c r="W94" s="185">
        <f t="shared" si="105"/>
        <v>74.442119944211981</v>
      </c>
      <c r="X94" s="182">
        <f t="shared" si="113"/>
        <v>6</v>
      </c>
      <c r="Y94" s="625"/>
      <c r="Z94" s="188">
        <v>24</v>
      </c>
      <c r="AA94" s="188">
        <v>1786.8164062500005</v>
      </c>
      <c r="AB94" s="185">
        <f t="shared" si="106"/>
        <v>74.450683593750014</v>
      </c>
      <c r="AC94" s="182">
        <f t="shared" si="114"/>
        <v>6</v>
      </c>
      <c r="AD94" s="625"/>
      <c r="AE94" s="188">
        <v>24</v>
      </c>
      <c r="AF94" s="188">
        <v>1786.5889212827999</v>
      </c>
      <c r="AG94" s="185">
        <f t="shared" si="115"/>
        <v>74.441205053449991</v>
      </c>
      <c r="AH94" s="182">
        <f t="shared" si="116"/>
        <v>6</v>
      </c>
      <c r="AI94" s="625"/>
      <c r="AJ94" s="188">
        <v>24</v>
      </c>
      <c r="AK94" s="188">
        <v>1786.8185516680248</v>
      </c>
      <c r="AL94" s="185">
        <f t="shared" si="107"/>
        <v>74.450772986167706</v>
      </c>
      <c r="AM94" s="182">
        <f t="shared" si="117"/>
        <v>6</v>
      </c>
      <c r="AN94" s="625"/>
      <c r="AO94" s="188">
        <v>24</v>
      </c>
      <c r="AP94" s="188">
        <v>1786.8118065731628</v>
      </c>
      <c r="AQ94" s="185">
        <f t="shared" si="108"/>
        <v>74.450491940548446</v>
      </c>
      <c r="AR94" s="182">
        <f t="shared" si="118"/>
        <v>7</v>
      </c>
      <c r="AS94" s="625"/>
      <c r="AT94" s="188">
        <v>24</v>
      </c>
      <c r="AU94" s="188">
        <v>1787.0094722598114</v>
      </c>
      <c r="AV94" s="185">
        <f t="shared" si="109"/>
        <v>74.458728010825482</v>
      </c>
      <c r="AW94" s="182">
        <f t="shared" si="119"/>
        <v>7</v>
      </c>
      <c r="AX94" s="625"/>
    </row>
    <row r="95" spans="2:50" ht="14.25" customHeight="1">
      <c r="B95" s="564"/>
      <c r="C95" s="180">
        <v>9</v>
      </c>
      <c r="D95" s="183"/>
      <c r="E95" s="180"/>
      <c r="F95" s="180"/>
      <c r="G95" s="185"/>
      <c r="H95" s="625"/>
      <c r="I95" s="186"/>
      <c r="J95" s="186"/>
      <c r="K95" s="187"/>
      <c r="L95" s="626"/>
      <c r="M95" s="186"/>
      <c r="N95" s="564"/>
      <c r="O95" s="564"/>
      <c r="P95" s="188"/>
      <c r="Q95" s="188"/>
      <c r="R95" s="185"/>
      <c r="S95" s="182"/>
      <c r="T95" s="625"/>
      <c r="U95" s="188"/>
      <c r="V95" s="188"/>
      <c r="W95" s="185"/>
      <c r="X95" s="182"/>
      <c r="Y95" s="625"/>
      <c r="Z95" s="188"/>
      <c r="AA95" s="188"/>
      <c r="AB95" s="185"/>
      <c r="AC95" s="182"/>
      <c r="AD95" s="625"/>
      <c r="AE95" s="188"/>
      <c r="AF95" s="188"/>
      <c r="AG95" s="185"/>
      <c r="AH95" s="182"/>
      <c r="AI95" s="625"/>
      <c r="AJ95" s="188"/>
      <c r="AK95" s="188"/>
      <c r="AL95" s="185"/>
      <c r="AM95" s="182"/>
      <c r="AN95" s="625"/>
      <c r="AO95" s="188"/>
      <c r="AP95" s="188"/>
      <c r="AQ95" s="185"/>
      <c r="AR95" s="182"/>
      <c r="AS95" s="625"/>
      <c r="AT95" s="188"/>
      <c r="AU95" s="188"/>
      <c r="AV95" s="185"/>
      <c r="AW95" s="182"/>
      <c r="AX95" s="625"/>
    </row>
    <row r="96" spans="2:50" ht="14.25" customHeight="1">
      <c r="B96" s="564"/>
      <c r="C96" s="180">
        <v>10</v>
      </c>
      <c r="D96" s="183"/>
      <c r="E96" s="180"/>
      <c r="F96" s="180"/>
      <c r="G96" s="185"/>
      <c r="H96" s="625"/>
      <c r="I96" s="186"/>
      <c r="J96" s="186"/>
      <c r="K96" s="187"/>
      <c r="L96" s="626"/>
      <c r="M96" s="186"/>
      <c r="N96" s="564"/>
      <c r="O96" s="564"/>
      <c r="P96" s="188"/>
      <c r="Q96" s="188"/>
      <c r="R96" s="185"/>
      <c r="S96" s="182"/>
      <c r="T96" s="625"/>
      <c r="U96" s="188"/>
      <c r="V96" s="188"/>
      <c r="W96" s="185"/>
      <c r="X96" s="182"/>
      <c r="Y96" s="625"/>
      <c r="Z96" s="188"/>
      <c r="AA96" s="188"/>
      <c r="AB96" s="185"/>
      <c r="AC96" s="182"/>
      <c r="AD96" s="625"/>
      <c r="AE96" s="188"/>
      <c r="AF96" s="188"/>
      <c r="AG96" s="185"/>
      <c r="AH96" s="182"/>
      <c r="AI96" s="625"/>
      <c r="AJ96" s="188"/>
      <c r="AK96" s="188"/>
      <c r="AL96" s="185"/>
      <c r="AM96" s="182"/>
      <c r="AN96" s="625"/>
      <c r="AO96" s="188"/>
      <c r="AP96" s="188"/>
      <c r="AQ96" s="185"/>
      <c r="AR96" s="182"/>
      <c r="AS96" s="625"/>
      <c r="AT96" s="188"/>
      <c r="AU96" s="188"/>
      <c r="AV96" s="185"/>
      <c r="AW96" s="182"/>
      <c r="AX96" s="625"/>
    </row>
    <row r="97" spans="2:50" ht="14.25" customHeight="1">
      <c r="B97" s="564"/>
      <c r="C97" s="180">
        <v>11</v>
      </c>
      <c r="D97" s="183"/>
      <c r="E97" s="180"/>
      <c r="F97" s="180"/>
      <c r="G97" s="185"/>
      <c r="H97" s="625"/>
      <c r="I97" s="186"/>
      <c r="J97" s="186"/>
      <c r="K97" s="187"/>
      <c r="L97" s="626"/>
      <c r="M97" s="186"/>
      <c r="N97" s="564"/>
      <c r="O97" s="564"/>
      <c r="P97" s="188"/>
      <c r="Q97" s="188"/>
      <c r="R97" s="185"/>
      <c r="S97" s="182"/>
      <c r="T97" s="625"/>
      <c r="U97" s="188"/>
      <c r="V97" s="188"/>
      <c r="W97" s="185"/>
      <c r="X97" s="182"/>
      <c r="Y97" s="625"/>
      <c r="Z97" s="188"/>
      <c r="AA97" s="188"/>
      <c r="AB97" s="185"/>
      <c r="AC97" s="182"/>
      <c r="AD97" s="625"/>
      <c r="AE97" s="188"/>
      <c r="AF97" s="188"/>
      <c r="AG97" s="185"/>
      <c r="AH97" s="182"/>
      <c r="AI97" s="625"/>
      <c r="AJ97" s="188"/>
      <c r="AK97" s="188"/>
      <c r="AL97" s="185"/>
      <c r="AM97" s="182"/>
      <c r="AN97" s="625"/>
      <c r="AO97" s="188"/>
      <c r="AP97" s="188"/>
      <c r="AQ97" s="185"/>
      <c r="AR97" s="182"/>
      <c r="AS97" s="625"/>
      <c r="AT97" s="188"/>
      <c r="AU97" s="188"/>
      <c r="AV97" s="185"/>
      <c r="AW97" s="182"/>
      <c r="AX97" s="625"/>
    </row>
    <row r="98" spans="2:50" ht="14.25" customHeight="1">
      <c r="B98" s="564"/>
      <c r="C98" s="180">
        <v>12</v>
      </c>
      <c r="D98" s="183"/>
      <c r="E98" s="180"/>
      <c r="F98" s="180"/>
      <c r="G98" s="185"/>
      <c r="H98" s="625"/>
      <c r="I98" s="186"/>
      <c r="J98" s="186"/>
      <c r="K98" s="187"/>
      <c r="L98" s="626"/>
      <c r="M98" s="186"/>
      <c r="N98" s="564"/>
      <c r="O98" s="564"/>
      <c r="P98" s="188"/>
      <c r="Q98" s="188"/>
      <c r="R98" s="185"/>
      <c r="S98" s="182"/>
      <c r="T98" s="625"/>
      <c r="U98" s="188"/>
      <c r="V98" s="188"/>
      <c r="W98" s="185"/>
      <c r="X98" s="182"/>
      <c r="Y98" s="625"/>
      <c r="Z98" s="188"/>
      <c r="AA98" s="188"/>
      <c r="AB98" s="185"/>
      <c r="AC98" s="182"/>
      <c r="AD98" s="625"/>
      <c r="AE98" s="188"/>
      <c r="AF98" s="188"/>
      <c r="AG98" s="185"/>
      <c r="AH98" s="182"/>
      <c r="AI98" s="625"/>
      <c r="AJ98" s="188"/>
      <c r="AK98" s="188"/>
      <c r="AL98" s="185"/>
      <c r="AM98" s="182"/>
      <c r="AN98" s="625"/>
      <c r="AO98" s="188"/>
      <c r="AP98" s="188"/>
      <c r="AQ98" s="185"/>
      <c r="AR98" s="182"/>
      <c r="AS98" s="625"/>
      <c r="AT98" s="188"/>
      <c r="AU98" s="188"/>
      <c r="AV98" s="185"/>
      <c r="AW98" s="182"/>
      <c r="AX98" s="625"/>
    </row>
    <row r="99" spans="2:50" ht="14.25" customHeight="1">
      <c r="B99" s="564"/>
      <c r="C99" s="180">
        <v>13</v>
      </c>
      <c r="D99" s="183"/>
      <c r="E99" s="180"/>
      <c r="F99" s="180"/>
      <c r="G99" s="185"/>
      <c r="H99" s="625"/>
      <c r="I99" s="186"/>
      <c r="J99" s="186"/>
      <c r="K99" s="187"/>
      <c r="L99" s="626"/>
      <c r="M99" s="186"/>
      <c r="N99" s="564"/>
      <c r="O99" s="564"/>
      <c r="P99" s="188"/>
      <c r="Q99" s="188"/>
      <c r="R99" s="185"/>
      <c r="S99" s="182"/>
      <c r="T99" s="625"/>
      <c r="U99" s="188"/>
      <c r="V99" s="188"/>
      <c r="W99" s="185"/>
      <c r="X99" s="182"/>
      <c r="Y99" s="625"/>
      <c r="Z99" s="188"/>
      <c r="AA99" s="188"/>
      <c r="AB99" s="185"/>
      <c r="AC99" s="182"/>
      <c r="AD99" s="625"/>
      <c r="AE99" s="188"/>
      <c r="AF99" s="188"/>
      <c r="AG99" s="185"/>
      <c r="AH99" s="182"/>
      <c r="AI99" s="625"/>
      <c r="AJ99" s="188"/>
      <c r="AK99" s="188"/>
      <c r="AL99" s="185"/>
      <c r="AM99" s="182"/>
      <c r="AN99" s="625"/>
      <c r="AO99" s="188"/>
      <c r="AP99" s="188"/>
      <c r="AQ99" s="185"/>
      <c r="AR99" s="182"/>
      <c r="AS99" s="625"/>
      <c r="AT99" s="188"/>
      <c r="AU99" s="188"/>
      <c r="AV99" s="185"/>
      <c r="AW99" s="182"/>
      <c r="AX99" s="625"/>
    </row>
    <row r="100" spans="2:50" ht="14.25" customHeight="1">
      <c r="B100" s="564"/>
      <c r="C100" s="180">
        <v>14</v>
      </c>
      <c r="D100" s="183"/>
      <c r="E100" s="180"/>
      <c r="F100" s="180"/>
      <c r="G100" s="185"/>
      <c r="H100" s="625"/>
      <c r="I100" s="186"/>
      <c r="J100" s="186"/>
      <c r="K100" s="187"/>
      <c r="L100" s="626"/>
      <c r="M100" s="186"/>
      <c r="N100" s="564"/>
      <c r="O100" s="564"/>
      <c r="P100" s="188"/>
      <c r="Q100" s="188"/>
      <c r="R100" s="185"/>
      <c r="S100" s="182"/>
      <c r="T100" s="625"/>
      <c r="U100" s="188"/>
      <c r="V100" s="188"/>
      <c r="W100" s="185"/>
      <c r="X100" s="182"/>
      <c r="Y100" s="625"/>
      <c r="Z100" s="188"/>
      <c r="AA100" s="188"/>
      <c r="AB100" s="185"/>
      <c r="AC100" s="182"/>
      <c r="AD100" s="625"/>
      <c r="AE100" s="188"/>
      <c r="AF100" s="188"/>
      <c r="AG100" s="185"/>
      <c r="AH100" s="182"/>
      <c r="AI100" s="625"/>
      <c r="AJ100" s="188"/>
      <c r="AK100" s="188"/>
      <c r="AL100" s="185"/>
      <c r="AM100" s="182"/>
      <c r="AN100" s="625"/>
      <c r="AO100" s="188"/>
      <c r="AP100" s="188"/>
      <c r="AQ100" s="185"/>
      <c r="AR100" s="182"/>
      <c r="AS100" s="625"/>
      <c r="AT100" s="188"/>
      <c r="AU100" s="188"/>
      <c r="AV100" s="185"/>
      <c r="AW100" s="182"/>
      <c r="AX100" s="625"/>
    </row>
    <row r="101" spans="2:50" ht="14.25" customHeight="1">
      <c r="B101" s="564"/>
      <c r="C101" s="180">
        <v>15</v>
      </c>
      <c r="D101" s="183"/>
      <c r="E101" s="180"/>
      <c r="F101" s="180"/>
      <c r="G101" s="185"/>
      <c r="H101" s="625"/>
      <c r="I101" s="186"/>
      <c r="J101" s="186"/>
      <c r="K101" s="187"/>
      <c r="L101" s="626"/>
      <c r="M101" s="186"/>
      <c r="N101" s="564"/>
      <c r="O101" s="564"/>
      <c r="P101" s="188"/>
      <c r="Q101" s="188"/>
      <c r="R101" s="185"/>
      <c r="S101" s="182"/>
      <c r="T101" s="625"/>
      <c r="U101" s="188"/>
      <c r="V101" s="188"/>
      <c r="W101" s="185"/>
      <c r="X101" s="182"/>
      <c r="Y101" s="625"/>
      <c r="Z101" s="188"/>
      <c r="AA101" s="188"/>
      <c r="AB101" s="185"/>
      <c r="AC101" s="182"/>
      <c r="AD101" s="625"/>
      <c r="AE101" s="188"/>
      <c r="AF101" s="188"/>
      <c r="AG101" s="185"/>
      <c r="AH101" s="182"/>
      <c r="AI101" s="625"/>
      <c r="AJ101" s="188"/>
      <c r="AK101" s="188"/>
      <c r="AL101" s="185"/>
      <c r="AM101" s="182"/>
      <c r="AN101" s="625"/>
      <c r="AO101" s="188"/>
      <c r="AP101" s="188"/>
      <c r="AQ101" s="185"/>
      <c r="AR101" s="182"/>
      <c r="AS101" s="625"/>
      <c r="AT101" s="188"/>
      <c r="AU101" s="188"/>
      <c r="AV101" s="185"/>
      <c r="AW101" s="182"/>
      <c r="AX101" s="625"/>
    </row>
    <row r="102" spans="2:50" ht="14.25" customHeight="1" collapsed="1">
      <c r="B102" s="641" t="s">
        <v>646</v>
      </c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3"/>
      <c r="N102" s="575" t="s">
        <v>377</v>
      </c>
      <c r="O102" s="575" t="s">
        <v>105</v>
      </c>
      <c r="P102" s="655">
        <f>AT82+1</f>
        <v>46112</v>
      </c>
      <c r="Q102" s="656"/>
      <c r="R102" s="656"/>
      <c r="S102" s="656"/>
      <c r="T102" s="656"/>
      <c r="U102" s="657">
        <f>P102+1</f>
        <v>46113</v>
      </c>
      <c r="V102" s="658"/>
      <c r="W102" s="658"/>
      <c r="X102" s="658"/>
      <c r="Y102" s="658"/>
      <c r="Z102" s="655">
        <f t="shared" ref="Z102" si="120">U102+1</f>
        <v>46114</v>
      </c>
      <c r="AA102" s="656"/>
      <c r="AB102" s="656"/>
      <c r="AC102" s="656"/>
      <c r="AD102" s="656"/>
      <c r="AE102" s="657">
        <f t="shared" ref="AE102" si="121">Z102+1</f>
        <v>46115</v>
      </c>
      <c r="AF102" s="658"/>
      <c r="AG102" s="658"/>
      <c r="AH102" s="658"/>
      <c r="AI102" s="658"/>
      <c r="AJ102" s="647">
        <f t="shared" ref="AJ102" si="122">AE102+1</f>
        <v>46116</v>
      </c>
      <c r="AK102" s="648"/>
      <c r="AL102" s="648"/>
      <c r="AM102" s="648"/>
      <c r="AN102" s="649"/>
      <c r="AO102" s="657">
        <f t="shared" ref="AO102" si="123">AJ102+1</f>
        <v>46117</v>
      </c>
      <c r="AP102" s="658"/>
      <c r="AQ102" s="658"/>
      <c r="AR102" s="658"/>
      <c r="AS102" s="658"/>
      <c r="AT102" s="647">
        <f t="shared" ref="AT102" si="124">AO102+1</f>
        <v>46118</v>
      </c>
      <c r="AU102" s="648"/>
      <c r="AV102" s="648"/>
      <c r="AW102" s="648"/>
      <c r="AX102" s="649"/>
    </row>
    <row r="103" spans="2:50" ht="14.25" customHeight="1">
      <c r="B103" s="644"/>
      <c r="C103" s="644"/>
      <c r="D103" s="644"/>
      <c r="E103" s="644"/>
      <c r="F103" s="644"/>
      <c r="G103" s="644"/>
      <c r="H103" s="644"/>
      <c r="I103" s="644"/>
      <c r="J103" s="644"/>
      <c r="K103" s="644"/>
      <c r="L103" s="644"/>
      <c r="M103" s="645"/>
      <c r="N103" s="577"/>
      <c r="O103" s="577"/>
      <c r="P103" s="650">
        <f>P102</f>
        <v>46112</v>
      </c>
      <c r="Q103" s="650"/>
      <c r="R103" s="650"/>
      <c r="S103" s="650"/>
      <c r="T103" s="650"/>
      <c r="U103" s="651">
        <f>U102</f>
        <v>46113</v>
      </c>
      <c r="V103" s="651"/>
      <c r="W103" s="651"/>
      <c r="X103" s="651"/>
      <c r="Y103" s="651"/>
      <c r="Z103" s="650">
        <f t="shared" ref="Z103" si="125">Z102</f>
        <v>46114</v>
      </c>
      <c r="AA103" s="650"/>
      <c r="AB103" s="650"/>
      <c r="AC103" s="650"/>
      <c r="AD103" s="650"/>
      <c r="AE103" s="651">
        <f t="shared" ref="AE103" si="126">AE102</f>
        <v>46115</v>
      </c>
      <c r="AF103" s="651"/>
      <c r="AG103" s="651"/>
      <c r="AH103" s="651"/>
      <c r="AI103" s="651"/>
      <c r="AJ103" s="652">
        <f t="shared" ref="AJ103" si="127">AJ102</f>
        <v>46116</v>
      </c>
      <c r="AK103" s="653"/>
      <c r="AL103" s="653"/>
      <c r="AM103" s="653"/>
      <c r="AN103" s="654"/>
      <c r="AO103" s="651">
        <f t="shared" ref="AO103" si="128">AO102</f>
        <v>46117</v>
      </c>
      <c r="AP103" s="651"/>
      <c r="AQ103" s="651"/>
      <c r="AR103" s="651"/>
      <c r="AS103" s="651"/>
      <c r="AT103" s="652">
        <f t="shared" ref="AT103" si="129">AT102</f>
        <v>46118</v>
      </c>
      <c r="AU103" s="653"/>
      <c r="AV103" s="653"/>
      <c r="AW103" s="653"/>
      <c r="AX103" s="654"/>
    </row>
    <row r="104" spans="2:50" ht="14.25" customHeight="1">
      <c r="B104" s="564" t="s">
        <v>164</v>
      </c>
      <c r="C104" s="564" t="s">
        <v>159</v>
      </c>
      <c r="D104" s="564"/>
      <c r="E104" s="564" t="s">
        <v>160</v>
      </c>
      <c r="F104" s="564"/>
      <c r="G104" s="564"/>
      <c r="H104" s="564" t="s">
        <v>165</v>
      </c>
      <c r="I104" s="628" t="s">
        <v>378</v>
      </c>
      <c r="J104" s="628"/>
      <c r="K104" s="628"/>
      <c r="L104" s="628" t="s">
        <v>165</v>
      </c>
      <c r="M104" s="628" t="s">
        <v>167</v>
      </c>
      <c r="N104" s="564"/>
      <c r="O104" s="564" t="s">
        <v>166</v>
      </c>
      <c r="P104" s="564" t="s">
        <v>162</v>
      </c>
      <c r="Q104" s="564"/>
      <c r="R104" s="564"/>
      <c r="S104" s="564"/>
      <c r="T104" s="564" t="s">
        <v>165</v>
      </c>
      <c r="U104" s="564" t="s">
        <v>162</v>
      </c>
      <c r="V104" s="564"/>
      <c r="W104" s="564"/>
      <c r="X104" s="564"/>
      <c r="Y104" s="564" t="s">
        <v>165</v>
      </c>
      <c r="Z104" s="564" t="s">
        <v>162</v>
      </c>
      <c r="AA104" s="564"/>
      <c r="AB104" s="564"/>
      <c r="AC104" s="564"/>
      <c r="AD104" s="564" t="s">
        <v>165</v>
      </c>
      <c r="AE104" s="564" t="s">
        <v>162</v>
      </c>
      <c r="AF104" s="564"/>
      <c r="AG104" s="564"/>
      <c r="AH104" s="564"/>
      <c r="AI104" s="564" t="s">
        <v>165</v>
      </c>
      <c r="AJ104" s="564" t="s">
        <v>162</v>
      </c>
      <c r="AK104" s="564"/>
      <c r="AL104" s="564"/>
      <c r="AM104" s="564"/>
      <c r="AN104" s="564" t="s">
        <v>165</v>
      </c>
      <c r="AO104" s="564" t="s">
        <v>162</v>
      </c>
      <c r="AP104" s="564"/>
      <c r="AQ104" s="564"/>
      <c r="AR104" s="564"/>
      <c r="AS104" s="564" t="s">
        <v>165</v>
      </c>
      <c r="AT104" s="564" t="s">
        <v>162</v>
      </c>
      <c r="AU104" s="564"/>
      <c r="AV104" s="564"/>
      <c r="AW104" s="564"/>
      <c r="AX104" s="564" t="s">
        <v>165</v>
      </c>
    </row>
    <row r="105" spans="2:50" ht="14.25" customHeight="1">
      <c r="B105" s="564"/>
      <c r="C105" s="564"/>
      <c r="D105" s="564"/>
      <c r="E105" s="564" t="s">
        <v>379</v>
      </c>
      <c r="F105" s="564"/>
      <c r="G105" s="564"/>
      <c r="H105" s="564"/>
      <c r="I105" s="628" t="s">
        <v>379</v>
      </c>
      <c r="J105" s="628"/>
      <c r="K105" s="628"/>
      <c r="L105" s="628"/>
      <c r="M105" s="628"/>
      <c r="N105" s="564"/>
      <c r="O105" s="564"/>
      <c r="P105" s="564" t="s">
        <v>380</v>
      </c>
      <c r="Q105" s="564"/>
      <c r="R105" s="564"/>
      <c r="S105" s="564"/>
      <c r="T105" s="564"/>
      <c r="U105" s="564" t="s">
        <v>380</v>
      </c>
      <c r="V105" s="564"/>
      <c r="W105" s="564"/>
      <c r="X105" s="564"/>
      <c r="Y105" s="564"/>
      <c r="Z105" s="564" t="s">
        <v>380</v>
      </c>
      <c r="AA105" s="564"/>
      <c r="AB105" s="564"/>
      <c r="AC105" s="564"/>
      <c r="AD105" s="564"/>
      <c r="AE105" s="564" t="s">
        <v>380</v>
      </c>
      <c r="AF105" s="564"/>
      <c r="AG105" s="564"/>
      <c r="AH105" s="564"/>
      <c r="AI105" s="564"/>
      <c r="AJ105" s="564" t="s">
        <v>380</v>
      </c>
      <c r="AK105" s="564"/>
      <c r="AL105" s="564"/>
      <c r="AM105" s="564"/>
      <c r="AN105" s="564"/>
      <c r="AO105" s="564" t="s">
        <v>380</v>
      </c>
      <c r="AP105" s="564"/>
      <c r="AQ105" s="564"/>
      <c r="AR105" s="564"/>
      <c r="AS105" s="564"/>
      <c r="AT105" s="564" t="s">
        <v>380</v>
      </c>
      <c r="AU105" s="564"/>
      <c r="AV105" s="564"/>
      <c r="AW105" s="564"/>
      <c r="AX105" s="564"/>
    </row>
    <row r="106" spans="2:50" ht="14.25" customHeight="1">
      <c r="B106" s="564"/>
      <c r="C106" s="564"/>
      <c r="D106" s="564"/>
      <c r="E106" s="180" t="s">
        <v>161</v>
      </c>
      <c r="F106" s="180" t="s">
        <v>381</v>
      </c>
      <c r="G106" s="180" t="s">
        <v>163</v>
      </c>
      <c r="H106" s="564"/>
      <c r="I106" s="181" t="s">
        <v>161</v>
      </c>
      <c r="J106" s="181" t="s">
        <v>381</v>
      </c>
      <c r="K106" s="181" t="s">
        <v>163</v>
      </c>
      <c r="L106" s="628"/>
      <c r="M106" s="628"/>
      <c r="N106" s="564"/>
      <c r="O106" s="564"/>
      <c r="P106" s="180" t="s">
        <v>161</v>
      </c>
      <c r="Q106" s="180" t="s">
        <v>381</v>
      </c>
      <c r="R106" s="180" t="s">
        <v>163</v>
      </c>
      <c r="S106" s="182" t="s">
        <v>167</v>
      </c>
      <c r="T106" s="564"/>
      <c r="U106" s="180" t="s">
        <v>161</v>
      </c>
      <c r="V106" s="180" t="s">
        <v>381</v>
      </c>
      <c r="W106" s="180" t="s">
        <v>163</v>
      </c>
      <c r="X106" s="182" t="s">
        <v>167</v>
      </c>
      <c r="Y106" s="564"/>
      <c r="Z106" s="180" t="s">
        <v>161</v>
      </c>
      <c r="AA106" s="180" t="s">
        <v>381</v>
      </c>
      <c r="AB106" s="180" t="s">
        <v>163</v>
      </c>
      <c r="AC106" s="182" t="s">
        <v>167</v>
      </c>
      <c r="AD106" s="564"/>
      <c r="AE106" s="180" t="s">
        <v>161</v>
      </c>
      <c r="AF106" s="180" t="s">
        <v>381</v>
      </c>
      <c r="AG106" s="180" t="s">
        <v>163</v>
      </c>
      <c r="AH106" s="182" t="s">
        <v>167</v>
      </c>
      <c r="AI106" s="564"/>
      <c r="AJ106" s="180" t="s">
        <v>161</v>
      </c>
      <c r="AK106" s="180" t="s">
        <v>381</v>
      </c>
      <c r="AL106" s="180" t="s">
        <v>163</v>
      </c>
      <c r="AM106" s="182" t="s">
        <v>167</v>
      </c>
      <c r="AN106" s="564"/>
      <c r="AO106" s="180" t="s">
        <v>161</v>
      </c>
      <c r="AP106" s="180" t="s">
        <v>381</v>
      </c>
      <c r="AQ106" s="180" t="s">
        <v>163</v>
      </c>
      <c r="AR106" s="182" t="s">
        <v>167</v>
      </c>
      <c r="AS106" s="564"/>
      <c r="AT106" s="180" t="s">
        <v>161</v>
      </c>
      <c r="AU106" s="180" t="s">
        <v>381</v>
      </c>
      <c r="AV106" s="180" t="s">
        <v>163</v>
      </c>
      <c r="AW106" s="182" t="s">
        <v>167</v>
      </c>
      <c r="AX106" s="564"/>
    </row>
    <row r="107" spans="2:50" ht="14.25" customHeight="1">
      <c r="B107" s="564" t="s">
        <v>138</v>
      </c>
      <c r="C107" s="180">
        <v>1</v>
      </c>
      <c r="D107" s="183" t="s">
        <v>360</v>
      </c>
      <c r="E107" s="180">
        <v>21</v>
      </c>
      <c r="F107" s="180">
        <v>2000</v>
      </c>
      <c r="G107" s="185">
        <f t="shared" ref="G107:G115" si="130">F107/E107</f>
        <v>95.238095238095241</v>
      </c>
      <c r="H107" s="625">
        <f>AVERAGE(G107:G121)</f>
        <v>87.845166106035677</v>
      </c>
      <c r="I107" s="186">
        <f>AVERAGE(P107,U107,Z107,AE107,AJ107,AO107,AT107)</f>
        <v>22</v>
      </c>
      <c r="J107" s="186">
        <f>AVERAGE(Q107,V107,AA107,AF107,AK107,AP107,AU107)</f>
        <v>1785.620885200128</v>
      </c>
      <c r="K107" s="187">
        <f>AVERAGE(R107,W107,AB107,AG107,AL107,AQ107,AV107)</f>
        <v>81.164585690914919</v>
      </c>
      <c r="L107" s="626">
        <f>IFERROR(AVERAGE(K107:K121),"-")</f>
        <v>77.801136303755044</v>
      </c>
      <c r="M107" s="186">
        <f>RANK(K107, K$107:$K$121)</f>
        <v>3</v>
      </c>
      <c r="N107" s="564"/>
      <c r="O107" s="564"/>
      <c r="P107" s="188">
        <v>22</v>
      </c>
      <c r="Q107" s="188">
        <v>1785.4725331944794</v>
      </c>
      <c r="R107" s="185">
        <f>IFERROR(Q107/P107,"")</f>
        <v>81.15784241793088</v>
      </c>
      <c r="S107" s="182">
        <f>RANK(R107, R$107:R$121)</f>
        <v>3</v>
      </c>
      <c r="T107" s="625">
        <f>AVERAGE(R107:R121)</f>
        <v>77.396005741072798</v>
      </c>
      <c r="U107" s="188">
        <v>22</v>
      </c>
      <c r="V107" s="188">
        <v>1785.8446052217698</v>
      </c>
      <c r="W107" s="185">
        <f t="shared" ref="W107:W115" si="131">IFERROR(V107/U107,"")</f>
        <v>81.174754782807724</v>
      </c>
      <c r="X107" s="182">
        <f>RANK(W107, W$107:W$121)</f>
        <v>3</v>
      </c>
      <c r="Y107" s="625">
        <f>AVERAGE(W107:W121)</f>
        <v>77.540707774764229</v>
      </c>
      <c r="Z107" s="188">
        <v>22</v>
      </c>
      <c r="AA107" s="188">
        <v>1785.5474452554727</v>
      </c>
      <c r="AB107" s="185">
        <f t="shared" ref="AB107:AB115" si="132">IFERROR(AA107/Z107,"")</f>
        <v>81.161247511612387</v>
      </c>
      <c r="AC107" s="182">
        <f>RANK(AB107, AB$107:AB$121)</f>
        <v>3</v>
      </c>
      <c r="AD107" s="625">
        <f>AVERAGE(AB107:AB121)</f>
        <v>77.699914681508545</v>
      </c>
      <c r="AE107" s="188">
        <v>22</v>
      </c>
      <c r="AF107" s="188">
        <v>1785.665529010239</v>
      </c>
      <c r="AG107" s="185">
        <f>IFERROR(AF107/AE107,"")</f>
        <v>81.166614955010857</v>
      </c>
      <c r="AH107" s="182">
        <f>RANK(AG107, AG$107:AG$121)</f>
        <v>3</v>
      </c>
      <c r="AI107" s="625">
        <f>AVERAGE(AG107:AG121)</f>
        <v>77.851745079033634</v>
      </c>
      <c r="AJ107" s="188">
        <v>22</v>
      </c>
      <c r="AK107" s="188">
        <v>1785.8178380081938</v>
      </c>
      <c r="AL107" s="185">
        <f t="shared" ref="AL107:AL115" si="133">IFERROR(AK107/AJ107,"")</f>
        <v>81.173538091281543</v>
      </c>
      <c r="AM107" s="182">
        <f>RANK(AL107, AL$107:AL$121)</f>
        <v>3</v>
      </c>
      <c r="AN107" s="625">
        <f>AVERAGE(AL107:AL121)</f>
        <v>77.986152707519324</v>
      </c>
      <c r="AO107" s="188">
        <v>22</v>
      </c>
      <c r="AP107" s="188">
        <v>1785.5579868708992</v>
      </c>
      <c r="AQ107" s="185">
        <f t="shared" ref="AQ107:AQ115" si="134">IFERROR(AP107/AO107,"")</f>
        <v>81.161726675949964</v>
      </c>
      <c r="AR107" s="182">
        <f>RANK(AQ107, AQ$107:AQ$121)</f>
        <v>3</v>
      </c>
      <c r="AS107" s="625">
        <f>AVERAGE(AQ107:AQ121)</f>
        <v>78.06665331323984</v>
      </c>
      <c r="AT107" s="188">
        <v>22</v>
      </c>
      <c r="AU107" s="188">
        <v>1785.440258839842</v>
      </c>
      <c r="AV107" s="185">
        <f t="shared" ref="AV107:AV115" si="135">IFERROR(AU107/AT107,"")</f>
        <v>81.156375401811005</v>
      </c>
      <c r="AW107" s="182">
        <f>RANK(AV107, AV$107:AV$121)</f>
        <v>3</v>
      </c>
      <c r="AX107" s="625">
        <f>AVERAGE(AV107:AV121)</f>
        <v>78.066774829146937</v>
      </c>
    </row>
    <row r="108" spans="2:50" ht="14.25" customHeight="1">
      <c r="B108" s="564"/>
      <c r="C108" s="180">
        <v>2</v>
      </c>
      <c r="D108" s="183" t="s">
        <v>361</v>
      </c>
      <c r="E108" s="180">
        <v>24</v>
      </c>
      <c r="F108" s="180">
        <v>2000</v>
      </c>
      <c r="G108" s="185">
        <f t="shared" si="130"/>
        <v>83.333333333333329</v>
      </c>
      <c r="H108" s="625"/>
      <c r="I108" s="186">
        <f t="shared" ref="I108:K115" si="136">AVERAGE(P108,U108,Z108,AE108,AJ108,AO108,AT108)</f>
        <v>24</v>
      </c>
      <c r="J108" s="186">
        <f t="shared" si="136"/>
        <v>1786.1484704633092</v>
      </c>
      <c r="K108" s="187">
        <f t="shared" si="136"/>
        <v>74.422852935971221</v>
      </c>
      <c r="L108" s="626"/>
      <c r="M108" s="186">
        <f>RANK(K108, K$107:$K$121)</f>
        <v>8</v>
      </c>
      <c r="N108" s="564"/>
      <c r="O108" s="564"/>
      <c r="P108" s="188">
        <v>24</v>
      </c>
      <c r="Q108" s="188">
        <v>1786.0465116279072</v>
      </c>
      <c r="R108" s="185">
        <f t="shared" ref="R108:R115" si="137">IFERROR(Q108/P108,"")</f>
        <v>74.418604651162795</v>
      </c>
      <c r="S108" s="182">
        <f t="shared" ref="S108:S115" si="138">RANK(R108, R$107:R$121)</f>
        <v>8</v>
      </c>
      <c r="T108" s="625"/>
      <c r="U108" s="188">
        <v>24</v>
      </c>
      <c r="V108" s="188">
        <v>1785.9768278066322</v>
      </c>
      <c r="W108" s="185">
        <f t="shared" si="131"/>
        <v>74.415701158609679</v>
      </c>
      <c r="X108" s="182">
        <f t="shared" ref="X108:X115" si="139">RANK(W108, W$107:W$121)</f>
        <v>8</v>
      </c>
      <c r="Y108" s="625"/>
      <c r="Z108" s="188">
        <v>24</v>
      </c>
      <c r="AA108" s="188">
        <v>1786.1182519280212</v>
      </c>
      <c r="AB108" s="185">
        <f t="shared" si="132"/>
        <v>74.421593830334217</v>
      </c>
      <c r="AC108" s="182">
        <f t="shared" ref="AC108:AC115" si="140">RANK(AB108, AB$107:AB$121)</f>
        <v>8</v>
      </c>
      <c r="AD108" s="625"/>
      <c r="AE108" s="188">
        <v>24</v>
      </c>
      <c r="AF108" s="188">
        <v>1786.2268321713996</v>
      </c>
      <c r="AG108" s="185">
        <f t="shared" ref="AG108:AG115" si="141">IFERROR(AF108/AE108,"")</f>
        <v>74.426118007141653</v>
      </c>
      <c r="AH108" s="182">
        <f t="shared" ref="AH108:AH115" si="142">RANK(AG108, AG$107:AG$121)</f>
        <v>8</v>
      </c>
      <c r="AI108" s="625"/>
      <c r="AJ108" s="188">
        <v>24</v>
      </c>
      <c r="AK108" s="188">
        <v>1786.1487724441185</v>
      </c>
      <c r="AL108" s="185">
        <f t="shared" si="133"/>
        <v>74.422865518504935</v>
      </c>
      <c r="AM108" s="182">
        <f t="shared" ref="AM108:AM115" si="143">RANK(AL108, AL$107:AL$121)</f>
        <v>8</v>
      </c>
      <c r="AN108" s="625"/>
      <c r="AO108" s="188">
        <v>24</v>
      </c>
      <c r="AP108" s="188">
        <v>1786.2141462682089</v>
      </c>
      <c r="AQ108" s="185">
        <f t="shared" si="134"/>
        <v>74.425589427842041</v>
      </c>
      <c r="AR108" s="182">
        <f t="shared" ref="AR108:AR115" si="144">RANK(AQ108, AQ$107:AQ$121)</f>
        <v>8</v>
      </c>
      <c r="AS108" s="625"/>
      <c r="AT108" s="188">
        <v>24</v>
      </c>
      <c r="AU108" s="188">
        <v>1786.3079509968773</v>
      </c>
      <c r="AV108" s="185">
        <f t="shared" si="135"/>
        <v>74.429497958203214</v>
      </c>
      <c r="AW108" s="182">
        <f t="shared" ref="AW108:AW115" si="145">RANK(AV108, AV$107:AV$121)</f>
        <v>8</v>
      </c>
      <c r="AX108" s="625"/>
    </row>
    <row r="109" spans="2:50" ht="14.25" customHeight="1">
      <c r="B109" s="564"/>
      <c r="C109" s="180">
        <v>3</v>
      </c>
      <c r="D109" s="183" t="s">
        <v>362</v>
      </c>
      <c r="E109" s="180">
        <v>23</v>
      </c>
      <c r="F109" s="180">
        <v>2000</v>
      </c>
      <c r="G109" s="185">
        <f t="shared" si="130"/>
        <v>86.956521739130437</v>
      </c>
      <c r="H109" s="625"/>
      <c r="I109" s="186">
        <f t="shared" si="136"/>
        <v>23</v>
      </c>
      <c r="J109" s="186">
        <f t="shared" si="136"/>
        <v>1787.4499121608512</v>
      </c>
      <c r="K109" s="187">
        <f t="shared" si="136"/>
        <v>77.715213572210914</v>
      </c>
      <c r="L109" s="626"/>
      <c r="M109" s="186">
        <f>RANK(K109, K$107:$K$121)</f>
        <v>5</v>
      </c>
      <c r="N109" s="564"/>
      <c r="O109" s="564"/>
      <c r="P109" s="188">
        <v>23</v>
      </c>
      <c r="Q109" s="188">
        <v>1786.9592216932315</v>
      </c>
      <c r="R109" s="185">
        <f t="shared" si="137"/>
        <v>77.693879204053545</v>
      </c>
      <c r="S109" s="182">
        <f t="shared" si="138"/>
        <v>5</v>
      </c>
      <c r="T109" s="625"/>
      <c r="U109" s="188">
        <v>23</v>
      </c>
      <c r="V109" s="188">
        <v>1787.2504829362522</v>
      </c>
      <c r="W109" s="185">
        <f t="shared" si="131"/>
        <v>77.706542736358784</v>
      </c>
      <c r="X109" s="182">
        <f t="shared" si="139"/>
        <v>5</v>
      </c>
      <c r="Y109" s="625"/>
      <c r="Z109" s="188">
        <v>23</v>
      </c>
      <c r="AA109" s="188">
        <v>1787.4306177260523</v>
      </c>
      <c r="AB109" s="185">
        <f t="shared" si="132"/>
        <v>77.714374683741411</v>
      </c>
      <c r="AC109" s="182">
        <f t="shared" si="140"/>
        <v>5</v>
      </c>
      <c r="AD109" s="625"/>
      <c r="AE109" s="188">
        <v>23</v>
      </c>
      <c r="AF109" s="188">
        <v>1787.550854353133</v>
      </c>
      <c r="AG109" s="185">
        <f t="shared" si="141"/>
        <v>77.719602363179689</v>
      </c>
      <c r="AH109" s="182">
        <f t="shared" si="142"/>
        <v>5</v>
      </c>
      <c r="AI109" s="625"/>
      <c r="AJ109" s="188">
        <v>23</v>
      </c>
      <c r="AK109" s="188">
        <v>1787.5602094240853</v>
      </c>
      <c r="AL109" s="185">
        <f t="shared" si="133"/>
        <v>77.720009105395008</v>
      </c>
      <c r="AM109" s="182">
        <f t="shared" si="143"/>
        <v>5</v>
      </c>
      <c r="AN109" s="625"/>
      <c r="AO109" s="188">
        <v>23</v>
      </c>
      <c r="AP109" s="188">
        <v>1787.7155172413786</v>
      </c>
      <c r="AQ109" s="185">
        <f t="shared" si="134"/>
        <v>77.72676161919037</v>
      </c>
      <c r="AR109" s="182">
        <f t="shared" si="144"/>
        <v>5</v>
      </c>
      <c r="AS109" s="625"/>
      <c r="AT109" s="188">
        <v>23</v>
      </c>
      <c r="AU109" s="188">
        <v>1787.6824817518243</v>
      </c>
      <c r="AV109" s="185">
        <f t="shared" si="135"/>
        <v>77.725325293557574</v>
      </c>
      <c r="AW109" s="182">
        <f t="shared" si="145"/>
        <v>5</v>
      </c>
      <c r="AX109" s="625"/>
    </row>
    <row r="110" spans="2:50" ht="14.25" customHeight="1">
      <c r="B110" s="564"/>
      <c r="C110" s="180">
        <v>4</v>
      </c>
      <c r="D110" s="183" t="s">
        <v>359</v>
      </c>
      <c r="E110" s="180">
        <v>23</v>
      </c>
      <c r="F110" s="180">
        <v>2000</v>
      </c>
      <c r="G110" s="185">
        <f t="shared" si="130"/>
        <v>86.956521739130437</v>
      </c>
      <c r="H110" s="625"/>
      <c r="I110" s="186">
        <f t="shared" si="136"/>
        <v>23</v>
      </c>
      <c r="J110" s="186">
        <f t="shared" si="136"/>
        <v>1787.9928578261026</v>
      </c>
      <c r="K110" s="187">
        <f t="shared" si="136"/>
        <v>77.738819905482728</v>
      </c>
      <c r="L110" s="626"/>
      <c r="M110" s="186">
        <f>RANK(K110, K$107:$K$121)</f>
        <v>4</v>
      </c>
      <c r="N110" s="564"/>
      <c r="O110" s="564"/>
      <c r="P110" s="188">
        <v>23</v>
      </c>
      <c r="Q110" s="188">
        <v>1787.9333461022802</v>
      </c>
      <c r="R110" s="185">
        <f t="shared" si="137"/>
        <v>77.736232439229568</v>
      </c>
      <c r="S110" s="182">
        <f t="shared" si="138"/>
        <v>4</v>
      </c>
      <c r="T110" s="625"/>
      <c r="U110" s="188">
        <v>23</v>
      </c>
      <c r="V110" s="188">
        <v>1788.102815177479</v>
      </c>
      <c r="W110" s="185">
        <f t="shared" si="131"/>
        <v>77.74360065989039</v>
      </c>
      <c r="X110" s="182">
        <f t="shared" si="139"/>
        <v>4</v>
      </c>
      <c r="Y110" s="625"/>
      <c r="Z110" s="188">
        <v>23</v>
      </c>
      <c r="AA110" s="188">
        <v>1788.0960668291007</v>
      </c>
      <c r="AB110" s="185">
        <f t="shared" si="132"/>
        <v>77.743307253439156</v>
      </c>
      <c r="AC110" s="182">
        <f t="shared" si="140"/>
        <v>4</v>
      </c>
      <c r="AD110" s="625"/>
      <c r="AE110" s="188">
        <v>23</v>
      </c>
      <c r="AF110" s="188">
        <v>1787.8729547641949</v>
      </c>
      <c r="AG110" s="185">
        <f t="shared" si="141"/>
        <v>77.733606728878044</v>
      </c>
      <c r="AH110" s="182">
        <f t="shared" si="142"/>
        <v>4</v>
      </c>
      <c r="AI110" s="625"/>
      <c r="AJ110" s="188">
        <v>23</v>
      </c>
      <c r="AK110" s="188">
        <v>1787.9271798147565</v>
      </c>
      <c r="AL110" s="185">
        <f t="shared" si="133"/>
        <v>77.735964339772025</v>
      </c>
      <c r="AM110" s="182">
        <f t="shared" si="143"/>
        <v>4</v>
      </c>
      <c r="AN110" s="625"/>
      <c r="AO110" s="188">
        <v>23</v>
      </c>
      <c r="AP110" s="188">
        <v>1787.9789103690684</v>
      </c>
      <c r="AQ110" s="185">
        <f t="shared" si="134"/>
        <v>77.738213494307317</v>
      </c>
      <c r="AR110" s="182">
        <f t="shared" si="144"/>
        <v>4</v>
      </c>
      <c r="AS110" s="625"/>
      <c r="AT110" s="188">
        <v>23</v>
      </c>
      <c r="AU110" s="188">
        <v>1788.0387317258396</v>
      </c>
      <c r="AV110" s="185">
        <f t="shared" si="135"/>
        <v>77.740814422862599</v>
      </c>
      <c r="AW110" s="182">
        <f t="shared" si="145"/>
        <v>4</v>
      </c>
      <c r="AX110" s="625"/>
    </row>
    <row r="111" spans="2:50" ht="14.25" customHeight="1">
      <c r="B111" s="564"/>
      <c r="C111" s="180">
        <v>5</v>
      </c>
      <c r="D111" s="183" t="s">
        <v>471</v>
      </c>
      <c r="E111" s="180">
        <v>23</v>
      </c>
      <c r="F111" s="180">
        <v>2000</v>
      </c>
      <c r="G111" s="185">
        <f t="shared" si="130"/>
        <v>86.956521739130437</v>
      </c>
      <c r="H111" s="625"/>
      <c r="I111" s="186">
        <f t="shared" si="136"/>
        <v>23</v>
      </c>
      <c r="J111" s="186">
        <f t="shared" si="136"/>
        <v>1786.0387092886963</v>
      </c>
      <c r="K111" s="187">
        <f t="shared" si="136"/>
        <v>77.653856925595505</v>
      </c>
      <c r="L111" s="626"/>
      <c r="M111" s="186">
        <f>RANK(K111, K$107:$K$121)</f>
        <v>6</v>
      </c>
      <c r="N111" s="564"/>
      <c r="O111" s="564"/>
      <c r="P111" s="188">
        <v>23</v>
      </c>
      <c r="Q111" s="188">
        <v>1785.4488725003544</v>
      </c>
      <c r="R111" s="185">
        <f t="shared" si="137"/>
        <v>77.628211847841499</v>
      </c>
      <c r="S111" s="182">
        <f t="shared" si="138"/>
        <v>6</v>
      </c>
      <c r="T111" s="625"/>
      <c r="U111" s="188">
        <v>23</v>
      </c>
      <c r="V111" s="188">
        <v>1785.6</v>
      </c>
      <c r="W111" s="185">
        <f t="shared" si="131"/>
        <v>77.634782608695645</v>
      </c>
      <c r="X111" s="182">
        <f t="shared" si="139"/>
        <v>6</v>
      </c>
      <c r="Y111" s="625"/>
      <c r="Z111" s="188">
        <v>23</v>
      </c>
      <c r="AA111" s="188">
        <v>1785.6787667826957</v>
      </c>
      <c r="AB111" s="185">
        <f t="shared" si="132"/>
        <v>77.638207251421548</v>
      </c>
      <c r="AC111" s="182">
        <f t="shared" si="140"/>
        <v>6</v>
      </c>
      <c r="AD111" s="625"/>
      <c r="AE111" s="188">
        <v>23</v>
      </c>
      <c r="AF111" s="188">
        <v>1786.0320744956011</v>
      </c>
      <c r="AG111" s="185">
        <f t="shared" si="141"/>
        <v>77.65356845633049</v>
      </c>
      <c r="AH111" s="182">
        <f t="shared" si="142"/>
        <v>6</v>
      </c>
      <c r="AI111" s="625"/>
      <c r="AJ111" s="188">
        <v>23</v>
      </c>
      <c r="AK111" s="188">
        <v>1786.6078809589421</v>
      </c>
      <c r="AL111" s="185">
        <f t="shared" si="133"/>
        <v>77.678603519954009</v>
      </c>
      <c r="AM111" s="182">
        <f t="shared" si="143"/>
        <v>6</v>
      </c>
      <c r="AN111" s="625"/>
      <c r="AO111" s="188">
        <v>23</v>
      </c>
      <c r="AP111" s="188">
        <v>1786.4801864801866</v>
      </c>
      <c r="AQ111" s="185">
        <f t="shared" si="134"/>
        <v>77.67305158609507</v>
      </c>
      <c r="AR111" s="182">
        <f t="shared" si="144"/>
        <v>6</v>
      </c>
      <c r="AS111" s="625"/>
      <c r="AT111" s="188">
        <v>23</v>
      </c>
      <c r="AU111" s="188">
        <v>1786.4231838030951</v>
      </c>
      <c r="AV111" s="185">
        <f t="shared" si="135"/>
        <v>77.67057320883022</v>
      </c>
      <c r="AW111" s="182">
        <f t="shared" si="145"/>
        <v>6</v>
      </c>
      <c r="AX111" s="625"/>
    </row>
    <row r="112" spans="2:50" ht="14.25" customHeight="1">
      <c r="B112" s="564"/>
      <c r="C112" s="180">
        <v>6</v>
      </c>
      <c r="D112" s="183" t="s">
        <v>475</v>
      </c>
      <c r="E112" s="180">
        <v>22</v>
      </c>
      <c r="F112" s="180">
        <v>2000</v>
      </c>
      <c r="G112" s="185">
        <f t="shared" si="130"/>
        <v>90.909090909090907</v>
      </c>
      <c r="H112" s="625"/>
      <c r="I112" s="186">
        <f t="shared" si="136"/>
        <v>22</v>
      </c>
      <c r="J112" s="186">
        <f t="shared" si="136"/>
        <v>1786.9212392650302</v>
      </c>
      <c r="K112" s="187">
        <f t="shared" si="136"/>
        <v>81.223692693865019</v>
      </c>
      <c r="L112" s="626"/>
      <c r="M112" s="186">
        <f>RANK(K112, K$107:$K$121)</f>
        <v>2</v>
      </c>
      <c r="N112" s="564"/>
      <c r="O112" s="564"/>
      <c r="P112" s="188">
        <v>22</v>
      </c>
      <c r="Q112" s="188">
        <v>1786.4711274060494</v>
      </c>
      <c r="R112" s="185">
        <f t="shared" si="137"/>
        <v>81.203233063911341</v>
      </c>
      <c r="S112" s="182">
        <f t="shared" si="138"/>
        <v>2</v>
      </c>
      <c r="T112" s="625"/>
      <c r="U112" s="188">
        <v>22</v>
      </c>
      <c r="V112" s="188">
        <v>1786.5336658354111</v>
      </c>
      <c r="W112" s="185">
        <f t="shared" si="131"/>
        <v>81.206075719791414</v>
      </c>
      <c r="X112" s="182">
        <f t="shared" si="139"/>
        <v>2</v>
      </c>
      <c r="Y112" s="625"/>
      <c r="Z112" s="188">
        <v>22</v>
      </c>
      <c r="AA112" s="188">
        <v>1786.7403314917124</v>
      </c>
      <c r="AB112" s="185">
        <f t="shared" si="132"/>
        <v>81.215469613259657</v>
      </c>
      <c r="AC112" s="182">
        <f t="shared" si="140"/>
        <v>2</v>
      </c>
      <c r="AD112" s="625"/>
      <c r="AE112" s="188">
        <v>22</v>
      </c>
      <c r="AF112" s="188">
        <v>1787.0348139255698</v>
      </c>
      <c r="AG112" s="185">
        <f t="shared" si="141"/>
        <v>81.228855178434983</v>
      </c>
      <c r="AH112" s="182">
        <f t="shared" si="142"/>
        <v>2</v>
      </c>
      <c r="AI112" s="625"/>
      <c r="AJ112" s="188">
        <v>22</v>
      </c>
      <c r="AK112" s="188">
        <v>1787.2415829887773</v>
      </c>
      <c r="AL112" s="185">
        <f t="shared" si="133"/>
        <v>81.238253772217149</v>
      </c>
      <c r="AM112" s="182">
        <f t="shared" si="143"/>
        <v>2</v>
      </c>
      <c r="AN112" s="625"/>
      <c r="AO112" s="188">
        <v>22</v>
      </c>
      <c r="AP112" s="188">
        <v>1787.1468488047199</v>
      </c>
      <c r="AQ112" s="185">
        <f t="shared" si="134"/>
        <v>81.23394767294181</v>
      </c>
      <c r="AR112" s="182">
        <f t="shared" si="144"/>
        <v>2</v>
      </c>
      <c r="AS112" s="625"/>
      <c r="AT112" s="188">
        <v>22</v>
      </c>
      <c r="AU112" s="188">
        <v>1787.2803044029724</v>
      </c>
      <c r="AV112" s="185">
        <f t="shared" si="135"/>
        <v>81.240013836498747</v>
      </c>
      <c r="AW112" s="182">
        <f t="shared" si="145"/>
        <v>2</v>
      </c>
      <c r="AX112" s="625"/>
    </row>
    <row r="113" spans="2:50" ht="14.25" customHeight="1">
      <c r="B113" s="564"/>
      <c r="C113" s="180">
        <v>7</v>
      </c>
      <c r="D113" s="183" t="s">
        <v>479</v>
      </c>
      <c r="E113" s="180">
        <v>20</v>
      </c>
      <c r="F113" s="180">
        <v>2000</v>
      </c>
      <c r="G113" s="185">
        <f t="shared" si="130"/>
        <v>100</v>
      </c>
      <c r="H113" s="625"/>
      <c r="I113" s="186">
        <f t="shared" si="136"/>
        <v>20</v>
      </c>
      <c r="J113" s="186">
        <f t="shared" si="136"/>
        <v>1786.5812924932718</v>
      </c>
      <c r="K113" s="187">
        <f t="shared" si="136"/>
        <v>89.329064624663573</v>
      </c>
      <c r="L113" s="626"/>
      <c r="M113" s="186">
        <f>RANK(K113, K$107:$K$121)</f>
        <v>1</v>
      </c>
      <c r="N113" s="564"/>
      <c r="O113" s="564"/>
      <c r="P113" s="188">
        <v>20</v>
      </c>
      <c r="Q113" s="188">
        <v>1786.4986498649862</v>
      </c>
      <c r="R113" s="185">
        <f t="shared" si="137"/>
        <v>89.324932493249307</v>
      </c>
      <c r="S113" s="182">
        <f t="shared" si="138"/>
        <v>1</v>
      </c>
      <c r="T113" s="625"/>
      <c r="U113" s="188">
        <v>20</v>
      </c>
      <c r="V113" s="188">
        <v>1786.4272890484738</v>
      </c>
      <c r="W113" s="185">
        <f t="shared" si="131"/>
        <v>89.321364452423694</v>
      </c>
      <c r="X113" s="182">
        <f t="shared" si="139"/>
        <v>1</v>
      </c>
      <c r="Y113" s="625"/>
      <c r="Z113" s="188">
        <v>20</v>
      </c>
      <c r="AA113" s="188">
        <v>1786.5354330708665</v>
      </c>
      <c r="AB113" s="185">
        <f t="shared" si="132"/>
        <v>89.326771653543318</v>
      </c>
      <c r="AC113" s="182">
        <f t="shared" si="140"/>
        <v>1</v>
      </c>
      <c r="AD113" s="625"/>
      <c r="AE113" s="188">
        <v>20</v>
      </c>
      <c r="AF113" s="188">
        <v>1786.5551239916349</v>
      </c>
      <c r="AG113" s="185">
        <f t="shared" si="141"/>
        <v>89.327756199581742</v>
      </c>
      <c r="AH113" s="182">
        <f t="shared" si="142"/>
        <v>1</v>
      </c>
      <c r="AI113" s="625"/>
      <c r="AJ113" s="188">
        <v>20</v>
      </c>
      <c r="AK113" s="188">
        <v>1786.6004962779164</v>
      </c>
      <c r="AL113" s="185">
        <f t="shared" si="133"/>
        <v>89.330024813895818</v>
      </c>
      <c r="AM113" s="182">
        <f t="shared" si="143"/>
        <v>1</v>
      </c>
      <c r="AN113" s="625"/>
      <c r="AO113" s="188">
        <v>20</v>
      </c>
      <c r="AP113" s="188">
        <v>1786.7475097444783</v>
      </c>
      <c r="AQ113" s="185">
        <f t="shared" si="134"/>
        <v>89.337375487223909</v>
      </c>
      <c r="AR113" s="182">
        <f t="shared" si="144"/>
        <v>1</v>
      </c>
      <c r="AS113" s="625"/>
      <c r="AT113" s="188">
        <v>20</v>
      </c>
      <c r="AU113" s="188">
        <v>1786.7045454545455</v>
      </c>
      <c r="AV113" s="185">
        <f t="shared" si="135"/>
        <v>89.33522727272728</v>
      </c>
      <c r="AW113" s="182">
        <f t="shared" si="145"/>
        <v>1</v>
      </c>
      <c r="AX113" s="625"/>
    </row>
    <row r="114" spans="2:50" ht="14.25" customHeight="1">
      <c r="B114" s="564"/>
      <c r="C114" s="180">
        <v>8</v>
      </c>
      <c r="D114" s="183" t="s">
        <v>363</v>
      </c>
      <c r="E114" s="180">
        <v>24</v>
      </c>
      <c r="F114" s="180">
        <v>2000</v>
      </c>
      <c r="G114" s="185">
        <f t="shared" si="130"/>
        <v>83.333333333333329</v>
      </c>
      <c r="H114" s="625"/>
      <c r="I114" s="186">
        <f t="shared" si="136"/>
        <v>24</v>
      </c>
      <c r="J114" s="186">
        <f t="shared" si="136"/>
        <v>1787.5785261132012</v>
      </c>
      <c r="K114" s="187">
        <f t="shared" si="136"/>
        <v>74.482438588050044</v>
      </c>
      <c r="L114" s="626"/>
      <c r="M114" s="186">
        <f>RANK(K114, K$107:$K$121)</f>
        <v>7</v>
      </c>
      <c r="N114" s="564"/>
      <c r="O114" s="564"/>
      <c r="P114" s="188">
        <v>24</v>
      </c>
      <c r="Q114" s="188">
        <v>1787.0897630949798</v>
      </c>
      <c r="R114" s="185">
        <f t="shared" si="137"/>
        <v>74.462073462290832</v>
      </c>
      <c r="S114" s="182">
        <f t="shared" si="138"/>
        <v>7</v>
      </c>
      <c r="T114" s="625"/>
      <c r="U114" s="188">
        <v>24</v>
      </c>
      <c r="V114" s="188">
        <v>1787.2219592995755</v>
      </c>
      <c r="W114" s="185">
        <f t="shared" si="131"/>
        <v>74.467581637482311</v>
      </c>
      <c r="X114" s="182">
        <f t="shared" si="139"/>
        <v>7</v>
      </c>
      <c r="Y114" s="625"/>
      <c r="Z114" s="188">
        <v>24</v>
      </c>
      <c r="AA114" s="188">
        <v>1787.3861247372129</v>
      </c>
      <c r="AB114" s="185">
        <f t="shared" si="132"/>
        <v>74.474421864050541</v>
      </c>
      <c r="AC114" s="182">
        <f t="shared" si="140"/>
        <v>7</v>
      </c>
      <c r="AD114" s="625"/>
      <c r="AE114" s="188">
        <v>24</v>
      </c>
      <c r="AF114" s="188">
        <v>1787.7365632096903</v>
      </c>
      <c r="AG114" s="185">
        <f t="shared" si="141"/>
        <v>74.489023467070425</v>
      </c>
      <c r="AH114" s="182">
        <f t="shared" si="142"/>
        <v>7</v>
      </c>
      <c r="AI114" s="625"/>
      <c r="AJ114" s="188">
        <v>24</v>
      </c>
      <c r="AK114" s="188">
        <v>1787.477114610032</v>
      </c>
      <c r="AL114" s="185">
        <f t="shared" si="133"/>
        <v>74.478213108751333</v>
      </c>
      <c r="AM114" s="182">
        <f t="shared" si="143"/>
        <v>7</v>
      </c>
      <c r="AN114" s="625"/>
      <c r="AO114" s="188">
        <v>24</v>
      </c>
      <c r="AP114" s="188">
        <v>1788.0478087649417</v>
      </c>
      <c r="AQ114" s="185">
        <f t="shared" si="134"/>
        <v>74.501992031872575</v>
      </c>
      <c r="AR114" s="182">
        <f t="shared" si="144"/>
        <v>7</v>
      </c>
      <c r="AS114" s="625"/>
      <c r="AT114" s="188">
        <v>24</v>
      </c>
      <c r="AU114" s="188">
        <v>1788.0903490759758</v>
      </c>
      <c r="AV114" s="185">
        <f t="shared" si="135"/>
        <v>74.503764544832322</v>
      </c>
      <c r="AW114" s="182">
        <f t="shared" si="145"/>
        <v>7</v>
      </c>
      <c r="AX114" s="625"/>
    </row>
    <row r="115" spans="2:50" ht="14.25" customHeight="1">
      <c r="B115" s="564"/>
      <c r="C115" s="180">
        <v>9</v>
      </c>
      <c r="D115" s="183" t="s">
        <v>843</v>
      </c>
      <c r="E115" s="180">
        <v>26</v>
      </c>
      <c r="F115" s="180">
        <v>2000</v>
      </c>
      <c r="G115" s="185">
        <f t="shared" si="130"/>
        <v>76.92307692307692</v>
      </c>
      <c r="H115" s="625"/>
      <c r="I115" s="186">
        <f t="shared" si="136"/>
        <v>26</v>
      </c>
      <c r="J115" s="186">
        <f t="shared" si="136"/>
        <v>1728.4722467230793</v>
      </c>
      <c r="K115" s="187">
        <f t="shared" si="136"/>
        <v>66.4797017970415</v>
      </c>
      <c r="L115" s="626"/>
      <c r="M115" s="186">
        <f>RANK(K115, K$107:$K$121)</f>
        <v>9</v>
      </c>
      <c r="N115" s="564"/>
      <c r="O115" s="564"/>
      <c r="P115" s="188">
        <v>26</v>
      </c>
      <c r="Q115" s="188">
        <v>1636.415094339623</v>
      </c>
      <c r="R115" s="185">
        <f t="shared" si="137"/>
        <v>62.939042089985499</v>
      </c>
      <c r="S115" s="182">
        <f t="shared" si="138"/>
        <v>9</v>
      </c>
      <c r="T115" s="625"/>
      <c r="U115" s="188">
        <v>26</v>
      </c>
      <c r="V115" s="188">
        <v>1669.0951216372766</v>
      </c>
      <c r="W115" s="185">
        <f t="shared" si="131"/>
        <v>64.195966216818334</v>
      </c>
      <c r="X115" s="182">
        <f t="shared" si="139"/>
        <v>9</v>
      </c>
      <c r="Y115" s="625"/>
      <c r="Z115" s="188">
        <v>26</v>
      </c>
      <c r="AA115" s="188">
        <v>1705.699800276539</v>
      </c>
      <c r="AB115" s="185">
        <f t="shared" si="132"/>
        <v>65.603838472174573</v>
      </c>
      <c r="AC115" s="182">
        <f t="shared" si="140"/>
        <v>9</v>
      </c>
      <c r="AD115" s="625"/>
      <c r="AE115" s="188">
        <v>26</v>
      </c>
      <c r="AF115" s="188">
        <v>1739.934569247547</v>
      </c>
      <c r="AG115" s="185">
        <f t="shared" si="141"/>
        <v>66.92056035567488</v>
      </c>
      <c r="AH115" s="182">
        <f t="shared" si="142"/>
        <v>9</v>
      </c>
      <c r="AI115" s="625"/>
      <c r="AJ115" s="188">
        <v>26</v>
      </c>
      <c r="AK115" s="188">
        <v>1770.5454545454543</v>
      </c>
      <c r="AL115" s="185">
        <f t="shared" si="133"/>
        <v>68.097902097902093</v>
      </c>
      <c r="AM115" s="182">
        <f t="shared" si="143"/>
        <v>9</v>
      </c>
      <c r="AN115" s="625"/>
      <c r="AO115" s="188">
        <v>26</v>
      </c>
      <c r="AP115" s="188">
        <v>1788.8317674171244</v>
      </c>
      <c r="AQ115" s="185">
        <f t="shared" si="134"/>
        <v>68.80122182373556</v>
      </c>
      <c r="AR115" s="182">
        <f t="shared" si="144"/>
        <v>9</v>
      </c>
      <c r="AS115" s="625"/>
      <c r="AT115" s="188">
        <v>26</v>
      </c>
      <c r="AU115" s="188">
        <v>1788.7839195979907</v>
      </c>
      <c r="AV115" s="185">
        <f t="shared" si="135"/>
        <v>68.799381522999639</v>
      </c>
      <c r="AW115" s="182">
        <f t="shared" si="145"/>
        <v>9</v>
      </c>
      <c r="AX115" s="625"/>
    </row>
    <row r="116" spans="2:50" ht="14.25" customHeight="1">
      <c r="B116" s="564"/>
      <c r="C116" s="180">
        <v>10</v>
      </c>
      <c r="D116" s="183"/>
      <c r="E116" s="180"/>
      <c r="F116" s="180"/>
      <c r="G116" s="185"/>
      <c r="H116" s="625"/>
      <c r="I116" s="186"/>
      <c r="J116" s="186"/>
      <c r="K116" s="187"/>
      <c r="L116" s="626"/>
      <c r="M116" s="186"/>
      <c r="N116" s="564"/>
      <c r="O116" s="564"/>
      <c r="P116" s="188"/>
      <c r="Q116" s="188"/>
      <c r="R116" s="185"/>
      <c r="S116" s="182"/>
      <c r="T116" s="625"/>
      <c r="U116" s="188"/>
      <c r="V116" s="188"/>
      <c r="W116" s="185"/>
      <c r="X116" s="182"/>
      <c r="Y116" s="625"/>
      <c r="Z116" s="188"/>
      <c r="AA116" s="188"/>
      <c r="AB116" s="185"/>
      <c r="AC116" s="182"/>
      <c r="AD116" s="625"/>
      <c r="AE116" s="188"/>
      <c r="AF116" s="188"/>
      <c r="AG116" s="185"/>
      <c r="AH116" s="182"/>
      <c r="AI116" s="625"/>
      <c r="AJ116" s="188"/>
      <c r="AK116" s="188"/>
      <c r="AL116" s="185"/>
      <c r="AM116" s="182"/>
      <c r="AN116" s="625"/>
      <c r="AO116" s="188"/>
      <c r="AP116" s="188"/>
      <c r="AQ116" s="185"/>
      <c r="AR116" s="182"/>
      <c r="AS116" s="625"/>
      <c r="AT116" s="188"/>
      <c r="AU116" s="188"/>
      <c r="AV116" s="185"/>
      <c r="AW116" s="182"/>
      <c r="AX116" s="625"/>
    </row>
    <row r="117" spans="2:50" ht="14.25" customHeight="1">
      <c r="B117" s="564"/>
      <c r="C117" s="180">
        <v>11</v>
      </c>
      <c r="D117" s="183"/>
      <c r="E117" s="180"/>
      <c r="F117" s="180"/>
      <c r="G117" s="185"/>
      <c r="H117" s="625"/>
      <c r="I117" s="186"/>
      <c r="J117" s="186"/>
      <c r="K117" s="187"/>
      <c r="L117" s="626"/>
      <c r="M117" s="186"/>
      <c r="N117" s="564"/>
      <c r="O117" s="564"/>
      <c r="P117" s="188"/>
      <c r="Q117" s="188"/>
      <c r="R117" s="185"/>
      <c r="S117" s="182"/>
      <c r="T117" s="625"/>
      <c r="U117" s="188"/>
      <c r="V117" s="188"/>
      <c r="W117" s="185"/>
      <c r="X117" s="182"/>
      <c r="Y117" s="625"/>
      <c r="Z117" s="188"/>
      <c r="AA117" s="188"/>
      <c r="AB117" s="185"/>
      <c r="AC117" s="182"/>
      <c r="AD117" s="625"/>
      <c r="AE117" s="188"/>
      <c r="AF117" s="188"/>
      <c r="AG117" s="185"/>
      <c r="AH117" s="182"/>
      <c r="AI117" s="625"/>
      <c r="AJ117" s="188"/>
      <c r="AK117" s="188"/>
      <c r="AL117" s="185"/>
      <c r="AM117" s="182"/>
      <c r="AN117" s="625"/>
      <c r="AO117" s="188"/>
      <c r="AP117" s="188"/>
      <c r="AQ117" s="185"/>
      <c r="AR117" s="182"/>
      <c r="AS117" s="625"/>
      <c r="AT117" s="188"/>
      <c r="AU117" s="188"/>
      <c r="AV117" s="185"/>
      <c r="AW117" s="182"/>
      <c r="AX117" s="625"/>
    </row>
    <row r="118" spans="2:50" ht="14.25" customHeight="1">
      <c r="B118" s="564"/>
      <c r="C118" s="180">
        <v>12</v>
      </c>
      <c r="D118" s="183"/>
      <c r="E118" s="180"/>
      <c r="F118" s="180"/>
      <c r="G118" s="185"/>
      <c r="H118" s="625"/>
      <c r="I118" s="186"/>
      <c r="J118" s="186"/>
      <c r="K118" s="187"/>
      <c r="L118" s="626"/>
      <c r="M118" s="186"/>
      <c r="N118" s="564"/>
      <c r="O118" s="564"/>
      <c r="P118" s="188"/>
      <c r="Q118" s="188"/>
      <c r="R118" s="185"/>
      <c r="S118" s="182"/>
      <c r="T118" s="625"/>
      <c r="U118" s="188"/>
      <c r="V118" s="188"/>
      <c r="W118" s="185"/>
      <c r="X118" s="182"/>
      <c r="Y118" s="625"/>
      <c r="Z118" s="188"/>
      <c r="AA118" s="188"/>
      <c r="AB118" s="185"/>
      <c r="AC118" s="182"/>
      <c r="AD118" s="625"/>
      <c r="AE118" s="188"/>
      <c r="AF118" s="188"/>
      <c r="AG118" s="185"/>
      <c r="AH118" s="182"/>
      <c r="AI118" s="625"/>
      <c r="AJ118" s="188"/>
      <c r="AK118" s="188"/>
      <c r="AL118" s="185"/>
      <c r="AM118" s="182"/>
      <c r="AN118" s="625"/>
      <c r="AO118" s="188"/>
      <c r="AP118" s="188"/>
      <c r="AQ118" s="185"/>
      <c r="AR118" s="182"/>
      <c r="AS118" s="625"/>
      <c r="AT118" s="188"/>
      <c r="AU118" s="188"/>
      <c r="AV118" s="185"/>
      <c r="AW118" s="182"/>
      <c r="AX118" s="625"/>
    </row>
    <row r="119" spans="2:50" ht="14.25" customHeight="1">
      <c r="B119" s="564"/>
      <c r="C119" s="180">
        <v>13</v>
      </c>
      <c r="D119" s="183"/>
      <c r="E119" s="180"/>
      <c r="F119" s="180"/>
      <c r="G119" s="185"/>
      <c r="H119" s="625"/>
      <c r="I119" s="186"/>
      <c r="J119" s="186"/>
      <c r="K119" s="187"/>
      <c r="L119" s="626"/>
      <c r="M119" s="186"/>
      <c r="N119" s="564"/>
      <c r="O119" s="564"/>
      <c r="P119" s="188"/>
      <c r="Q119" s="188"/>
      <c r="R119" s="185"/>
      <c r="S119" s="182"/>
      <c r="T119" s="625"/>
      <c r="U119" s="188"/>
      <c r="V119" s="188"/>
      <c r="W119" s="185"/>
      <c r="X119" s="182"/>
      <c r="Y119" s="625"/>
      <c r="Z119" s="188"/>
      <c r="AA119" s="188"/>
      <c r="AB119" s="185"/>
      <c r="AC119" s="182"/>
      <c r="AD119" s="625"/>
      <c r="AE119" s="188"/>
      <c r="AF119" s="188"/>
      <c r="AG119" s="185"/>
      <c r="AH119" s="182"/>
      <c r="AI119" s="625"/>
      <c r="AJ119" s="188"/>
      <c r="AK119" s="188"/>
      <c r="AL119" s="185"/>
      <c r="AM119" s="182"/>
      <c r="AN119" s="625"/>
      <c r="AO119" s="188"/>
      <c r="AP119" s="188"/>
      <c r="AQ119" s="185"/>
      <c r="AR119" s="182"/>
      <c r="AS119" s="625"/>
      <c r="AT119" s="188"/>
      <c r="AU119" s="188"/>
      <c r="AV119" s="185"/>
      <c r="AW119" s="182"/>
      <c r="AX119" s="625"/>
    </row>
    <row r="120" spans="2:50" ht="14.25" customHeight="1">
      <c r="B120" s="564"/>
      <c r="C120" s="180">
        <v>14</v>
      </c>
      <c r="D120" s="183"/>
      <c r="E120" s="180"/>
      <c r="F120" s="180"/>
      <c r="G120" s="185"/>
      <c r="H120" s="625"/>
      <c r="I120" s="186"/>
      <c r="J120" s="186"/>
      <c r="K120" s="187"/>
      <c r="L120" s="626"/>
      <c r="M120" s="186"/>
      <c r="N120" s="564"/>
      <c r="O120" s="564"/>
      <c r="P120" s="188"/>
      <c r="Q120" s="188"/>
      <c r="R120" s="185"/>
      <c r="S120" s="182"/>
      <c r="T120" s="625"/>
      <c r="U120" s="188"/>
      <c r="V120" s="188"/>
      <c r="W120" s="185"/>
      <c r="X120" s="182"/>
      <c r="Y120" s="625"/>
      <c r="Z120" s="188"/>
      <c r="AA120" s="188"/>
      <c r="AB120" s="185"/>
      <c r="AC120" s="182"/>
      <c r="AD120" s="625"/>
      <c r="AE120" s="188"/>
      <c r="AF120" s="188"/>
      <c r="AG120" s="185"/>
      <c r="AH120" s="182"/>
      <c r="AI120" s="625"/>
      <c r="AJ120" s="188"/>
      <c r="AK120" s="188"/>
      <c r="AL120" s="185"/>
      <c r="AM120" s="182"/>
      <c r="AN120" s="625"/>
      <c r="AO120" s="188"/>
      <c r="AP120" s="188"/>
      <c r="AQ120" s="185"/>
      <c r="AR120" s="182"/>
      <c r="AS120" s="625"/>
      <c r="AT120" s="188"/>
      <c r="AU120" s="188"/>
      <c r="AV120" s="185"/>
      <c r="AW120" s="182"/>
      <c r="AX120" s="625"/>
    </row>
    <row r="121" spans="2:50" ht="14.25" customHeight="1">
      <c r="B121" s="564"/>
      <c r="C121" s="180">
        <v>15</v>
      </c>
      <c r="D121" s="183"/>
      <c r="E121" s="180"/>
      <c r="F121" s="180"/>
      <c r="G121" s="185"/>
      <c r="H121" s="625"/>
      <c r="I121" s="186"/>
      <c r="J121" s="186"/>
      <c r="K121" s="187"/>
      <c r="L121" s="626"/>
      <c r="M121" s="186"/>
      <c r="N121" s="564"/>
      <c r="O121" s="564"/>
      <c r="P121" s="188"/>
      <c r="Q121" s="188"/>
      <c r="R121" s="185"/>
      <c r="S121" s="182"/>
      <c r="T121" s="625"/>
      <c r="U121" s="188"/>
      <c r="V121" s="188"/>
      <c r="W121" s="185"/>
      <c r="X121" s="182"/>
      <c r="Y121" s="625"/>
      <c r="Z121" s="188"/>
      <c r="AA121" s="188"/>
      <c r="AB121" s="185"/>
      <c r="AC121" s="182"/>
      <c r="AD121" s="625"/>
      <c r="AE121" s="188"/>
      <c r="AF121" s="188"/>
      <c r="AG121" s="185"/>
      <c r="AH121" s="182"/>
      <c r="AI121" s="625"/>
      <c r="AJ121" s="188"/>
      <c r="AK121" s="188"/>
      <c r="AL121" s="185"/>
      <c r="AM121" s="182"/>
      <c r="AN121" s="625"/>
      <c r="AO121" s="188"/>
      <c r="AP121" s="188"/>
      <c r="AQ121" s="185"/>
      <c r="AR121" s="182"/>
      <c r="AS121" s="625"/>
      <c r="AT121" s="188"/>
      <c r="AU121" s="188"/>
      <c r="AV121" s="185"/>
      <c r="AW121" s="182"/>
      <c r="AX121" s="625"/>
    </row>
  </sheetData>
  <mergeCells count="354">
    <mergeCell ref="AX44:AX46"/>
    <mergeCell ref="AX47:AX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I47:AI61"/>
    <mergeCell ref="B47:B61"/>
    <mergeCell ref="H47:H61"/>
    <mergeCell ref="L47:L61"/>
    <mergeCell ref="T47:T61"/>
    <mergeCell ref="Y47:Y61"/>
    <mergeCell ref="AD47:AD61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P24:S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Z3:AD3"/>
    <mergeCell ref="AE3:AI3"/>
    <mergeCell ref="AJ3:AN3"/>
    <mergeCell ref="AO3:AS3"/>
    <mergeCell ref="AT3:AX3"/>
    <mergeCell ref="AO64:AR64"/>
    <mergeCell ref="AS64:AS66"/>
    <mergeCell ref="AT64:AW64"/>
    <mergeCell ref="AX64:AX66"/>
    <mergeCell ref="AT23:AX23"/>
    <mergeCell ref="AT22:AX22"/>
    <mergeCell ref="AT43:AX43"/>
    <mergeCell ref="AS24:AS26"/>
    <mergeCell ref="AT24:AW24"/>
    <mergeCell ref="AX24:AX26"/>
    <mergeCell ref="AX27:AX41"/>
    <mergeCell ref="AT25:AW25"/>
    <mergeCell ref="AN47:AN61"/>
    <mergeCell ref="AS47:AS61"/>
    <mergeCell ref="AJ44:AM44"/>
    <mergeCell ref="AN44:AN46"/>
    <mergeCell ref="AO44:AR44"/>
    <mergeCell ref="AS44:AS46"/>
    <mergeCell ref="AT44:AW44"/>
    <mergeCell ref="L7:L21"/>
    <mergeCell ref="T7:T21"/>
    <mergeCell ref="Y7:Y21"/>
    <mergeCell ref="AS7:AS21"/>
    <mergeCell ref="AX7:AX21"/>
    <mergeCell ref="AO5:AR5"/>
    <mergeCell ref="AT5:AW5"/>
    <mergeCell ref="AO4:AR4"/>
    <mergeCell ref="AS4:AS6"/>
    <mergeCell ref="AT4:AW4"/>
    <mergeCell ref="AX4:AX6"/>
    <mergeCell ref="AJ5:AM5"/>
    <mergeCell ref="AN7:AN21"/>
    <mergeCell ref="AN4:AN6"/>
    <mergeCell ref="AJ4:AM4"/>
    <mergeCell ref="AD4:AD6"/>
    <mergeCell ref="AE4:AH4"/>
    <mergeCell ref="AI4:AI6"/>
    <mergeCell ref="AE5:AH5"/>
    <mergeCell ref="Z5:AC5"/>
    <mergeCell ref="Y4:Y6"/>
    <mergeCell ref="Z4:AC4"/>
    <mergeCell ref="AN64:AN66"/>
    <mergeCell ref="B7:B21"/>
    <mergeCell ref="C4:D6"/>
    <mergeCell ref="E4:G4"/>
    <mergeCell ref="H4:H6"/>
    <mergeCell ref="I4:K4"/>
    <mergeCell ref="L4:L6"/>
    <mergeCell ref="B4:B6"/>
    <mergeCell ref="P3:T3"/>
    <mergeCell ref="U3:Y3"/>
    <mergeCell ref="B2:M3"/>
    <mergeCell ref="AD7:AD21"/>
    <mergeCell ref="AI7:AI21"/>
    <mergeCell ref="P4:S4"/>
    <mergeCell ref="T4:T6"/>
    <mergeCell ref="U4:X4"/>
    <mergeCell ref="E5:G5"/>
    <mergeCell ref="I5:K5"/>
    <mergeCell ref="P5:S5"/>
    <mergeCell ref="U5:X5"/>
    <mergeCell ref="M4:M6"/>
    <mergeCell ref="N4:N21"/>
    <mergeCell ref="O4:O21"/>
    <mergeCell ref="H7:H21"/>
    <mergeCell ref="E65:G65"/>
    <mergeCell ref="AX67:AX81"/>
    <mergeCell ref="N2:N3"/>
    <mergeCell ref="O2:O3"/>
    <mergeCell ref="P2:T2"/>
    <mergeCell ref="U2:Y2"/>
    <mergeCell ref="Z2:AD2"/>
    <mergeCell ref="AE2:AI2"/>
    <mergeCell ref="AJ2:AN2"/>
    <mergeCell ref="AS67:AS81"/>
    <mergeCell ref="H64:H66"/>
    <mergeCell ref="I64:K64"/>
    <mergeCell ref="L64:L66"/>
    <mergeCell ref="E64:G64"/>
    <mergeCell ref="AO65:AR65"/>
    <mergeCell ref="AT65:AW65"/>
    <mergeCell ref="M64:M66"/>
    <mergeCell ref="N64:N81"/>
    <mergeCell ref="O64:O81"/>
    <mergeCell ref="P64:S64"/>
    <mergeCell ref="T64:T66"/>
    <mergeCell ref="U64:X64"/>
    <mergeCell ref="AI67:AI81"/>
    <mergeCell ref="AN67:AN81"/>
    <mergeCell ref="B67:B81"/>
    <mergeCell ref="H67:H81"/>
    <mergeCell ref="L67:L81"/>
    <mergeCell ref="T67:T81"/>
    <mergeCell ref="Y67:Y81"/>
    <mergeCell ref="AD67:AD81"/>
    <mergeCell ref="AO2:AS2"/>
    <mergeCell ref="AT2:AX2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FFFFCC"/>
  </sheetPr>
  <dimension ref="A1:AX121"/>
  <sheetViews>
    <sheetView zoomScaleNormal="100" workbookViewId="0">
      <pane xSplit="13" ySplit="1" topLeftCell="N90" activePane="bottomRight" state="frozen"/>
      <selection activeCell="L95" sqref="L95"/>
      <selection pane="topRight" activeCell="L95" sqref="L95"/>
      <selection pane="bottomLeft" activeCell="L95" sqref="L95"/>
      <selection pane="bottomRight" activeCell="L84" sqref="L84:L86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67" t="s">
        <v>647</v>
      </c>
      <c r="C1" s="175">
        <f>AVERAGE(L27,L47,L67,L87)</f>
        <v>0</v>
      </c>
    </row>
    <row r="2" spans="1:50" ht="14.25" customHeight="1" collapsed="1">
      <c r="B2" s="641" t="s">
        <v>557</v>
      </c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3"/>
      <c r="N2" s="575" t="s">
        <v>377</v>
      </c>
      <c r="O2" s="575" t="s">
        <v>105</v>
      </c>
      <c r="P2" s="655">
        <v>46077</v>
      </c>
      <c r="Q2" s="656"/>
      <c r="R2" s="656"/>
      <c r="S2" s="656"/>
      <c r="T2" s="656"/>
      <c r="U2" s="657">
        <f>P2+1</f>
        <v>46078</v>
      </c>
      <c r="V2" s="658"/>
      <c r="W2" s="658"/>
      <c r="X2" s="658"/>
      <c r="Y2" s="658"/>
      <c r="Z2" s="655">
        <f t="shared" ref="Z2" si="0">U2+1</f>
        <v>46079</v>
      </c>
      <c r="AA2" s="656"/>
      <c r="AB2" s="656"/>
      <c r="AC2" s="656"/>
      <c r="AD2" s="656"/>
      <c r="AE2" s="657">
        <f t="shared" ref="AE2" si="1">Z2+1</f>
        <v>46080</v>
      </c>
      <c r="AF2" s="658"/>
      <c r="AG2" s="658"/>
      <c r="AH2" s="658"/>
      <c r="AI2" s="658"/>
      <c r="AJ2" s="647">
        <f t="shared" ref="AJ2" si="2">AE2+1</f>
        <v>46081</v>
      </c>
      <c r="AK2" s="648"/>
      <c r="AL2" s="648"/>
      <c r="AM2" s="648"/>
      <c r="AN2" s="649"/>
      <c r="AO2" s="657">
        <f t="shared" ref="AO2" si="3">AJ2+1</f>
        <v>46082</v>
      </c>
      <c r="AP2" s="658"/>
      <c r="AQ2" s="658"/>
      <c r="AR2" s="658"/>
      <c r="AS2" s="658"/>
      <c r="AT2" s="647">
        <f t="shared" ref="AT2" si="4">AO2+1</f>
        <v>46083</v>
      </c>
      <c r="AU2" s="648"/>
      <c r="AV2" s="648"/>
      <c r="AW2" s="648"/>
      <c r="AX2" s="649"/>
    </row>
    <row r="3" spans="1:50" ht="14.25" customHeight="1"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5"/>
      <c r="N3" s="577"/>
      <c r="O3" s="577"/>
      <c r="P3" s="650">
        <f>P2</f>
        <v>46077</v>
      </c>
      <c r="Q3" s="650"/>
      <c r="R3" s="650"/>
      <c r="S3" s="650"/>
      <c r="T3" s="650"/>
      <c r="U3" s="651">
        <f>U2</f>
        <v>46078</v>
      </c>
      <c r="V3" s="651"/>
      <c r="W3" s="651"/>
      <c r="X3" s="651"/>
      <c r="Y3" s="651"/>
      <c r="Z3" s="650">
        <f t="shared" ref="Z3" si="5">Z2</f>
        <v>46079</v>
      </c>
      <c r="AA3" s="650"/>
      <c r="AB3" s="650"/>
      <c r="AC3" s="650"/>
      <c r="AD3" s="650"/>
      <c r="AE3" s="651">
        <f t="shared" ref="AE3" si="6">AE2</f>
        <v>46080</v>
      </c>
      <c r="AF3" s="651"/>
      <c r="AG3" s="651"/>
      <c r="AH3" s="651"/>
      <c r="AI3" s="651"/>
      <c r="AJ3" s="652">
        <f t="shared" ref="AJ3" si="7">AJ2</f>
        <v>46081</v>
      </c>
      <c r="AK3" s="653"/>
      <c r="AL3" s="653"/>
      <c r="AM3" s="653"/>
      <c r="AN3" s="654"/>
      <c r="AO3" s="651">
        <f t="shared" ref="AO3" si="8">AO2</f>
        <v>46082</v>
      </c>
      <c r="AP3" s="651"/>
      <c r="AQ3" s="651"/>
      <c r="AR3" s="651"/>
      <c r="AS3" s="651"/>
      <c r="AT3" s="652">
        <f t="shared" ref="AT3" si="9">AT2</f>
        <v>46083</v>
      </c>
      <c r="AU3" s="653"/>
      <c r="AV3" s="653"/>
      <c r="AW3" s="653"/>
      <c r="AX3" s="654"/>
    </row>
    <row r="4" spans="1:50" ht="14.25" customHeight="1">
      <c r="B4" s="564" t="s">
        <v>164</v>
      </c>
      <c r="C4" s="564" t="s">
        <v>159</v>
      </c>
      <c r="D4" s="564"/>
      <c r="E4" s="564" t="s">
        <v>160</v>
      </c>
      <c r="F4" s="564"/>
      <c r="G4" s="564"/>
      <c r="H4" s="564" t="s">
        <v>165</v>
      </c>
      <c r="I4" s="628" t="s">
        <v>378</v>
      </c>
      <c r="J4" s="628"/>
      <c r="K4" s="628"/>
      <c r="L4" s="628" t="s">
        <v>165</v>
      </c>
      <c r="M4" s="628" t="s">
        <v>167</v>
      </c>
      <c r="N4" s="564"/>
      <c r="O4" s="564" t="s">
        <v>166</v>
      </c>
      <c r="P4" s="564" t="s">
        <v>162</v>
      </c>
      <c r="Q4" s="564"/>
      <c r="R4" s="564"/>
      <c r="S4" s="564"/>
      <c r="T4" s="564" t="s">
        <v>165</v>
      </c>
      <c r="U4" s="564" t="s">
        <v>162</v>
      </c>
      <c r="V4" s="564"/>
      <c r="W4" s="564"/>
      <c r="X4" s="564"/>
      <c r="Y4" s="564" t="s">
        <v>165</v>
      </c>
      <c r="Z4" s="564" t="s">
        <v>162</v>
      </c>
      <c r="AA4" s="564"/>
      <c r="AB4" s="564"/>
      <c r="AC4" s="564"/>
      <c r="AD4" s="564" t="s">
        <v>165</v>
      </c>
      <c r="AE4" s="564" t="s">
        <v>162</v>
      </c>
      <c r="AF4" s="564"/>
      <c r="AG4" s="564"/>
      <c r="AH4" s="564"/>
      <c r="AI4" s="564" t="s">
        <v>165</v>
      </c>
      <c r="AJ4" s="564" t="s">
        <v>162</v>
      </c>
      <c r="AK4" s="564"/>
      <c r="AL4" s="564"/>
      <c r="AM4" s="564"/>
      <c r="AN4" s="564" t="s">
        <v>165</v>
      </c>
      <c r="AO4" s="564" t="s">
        <v>162</v>
      </c>
      <c r="AP4" s="564"/>
      <c r="AQ4" s="564"/>
      <c r="AR4" s="564"/>
      <c r="AS4" s="564" t="s">
        <v>165</v>
      </c>
      <c r="AT4" s="564" t="s">
        <v>162</v>
      </c>
      <c r="AU4" s="564"/>
      <c r="AV4" s="564"/>
      <c r="AW4" s="564"/>
      <c r="AX4" s="564" t="s">
        <v>165</v>
      </c>
    </row>
    <row r="5" spans="1:50" ht="14.25" customHeight="1">
      <c r="B5" s="564"/>
      <c r="C5" s="564"/>
      <c r="D5" s="564"/>
      <c r="E5" s="564" t="s">
        <v>379</v>
      </c>
      <c r="F5" s="564"/>
      <c r="G5" s="564"/>
      <c r="H5" s="564"/>
      <c r="I5" s="628" t="s">
        <v>379</v>
      </c>
      <c r="J5" s="628"/>
      <c r="K5" s="628"/>
      <c r="L5" s="628"/>
      <c r="M5" s="628"/>
      <c r="N5" s="564"/>
      <c r="O5" s="564"/>
      <c r="P5" s="564" t="s">
        <v>380</v>
      </c>
      <c r="Q5" s="564"/>
      <c r="R5" s="564"/>
      <c r="S5" s="564"/>
      <c r="T5" s="564"/>
      <c r="U5" s="564" t="s">
        <v>380</v>
      </c>
      <c r="V5" s="564"/>
      <c r="W5" s="564"/>
      <c r="X5" s="564"/>
      <c r="Y5" s="564"/>
      <c r="Z5" s="564" t="s">
        <v>380</v>
      </c>
      <c r="AA5" s="564"/>
      <c r="AB5" s="564"/>
      <c r="AC5" s="564"/>
      <c r="AD5" s="564"/>
      <c r="AE5" s="564" t="s">
        <v>380</v>
      </c>
      <c r="AF5" s="564"/>
      <c r="AG5" s="564"/>
      <c r="AH5" s="564"/>
      <c r="AI5" s="564"/>
      <c r="AJ5" s="564" t="s">
        <v>380</v>
      </c>
      <c r="AK5" s="564"/>
      <c r="AL5" s="564"/>
      <c r="AM5" s="564"/>
      <c r="AN5" s="564"/>
      <c r="AO5" s="564" t="s">
        <v>380</v>
      </c>
      <c r="AP5" s="564"/>
      <c r="AQ5" s="564"/>
      <c r="AR5" s="564"/>
      <c r="AS5" s="564"/>
      <c r="AT5" s="564" t="s">
        <v>380</v>
      </c>
      <c r="AU5" s="564"/>
      <c r="AV5" s="564"/>
      <c r="AW5" s="564"/>
      <c r="AX5" s="564"/>
    </row>
    <row r="6" spans="1:50" ht="14.25" customHeight="1">
      <c r="B6" s="564"/>
      <c r="C6" s="564"/>
      <c r="D6" s="564"/>
      <c r="E6" s="180" t="s">
        <v>161</v>
      </c>
      <c r="F6" s="180" t="s">
        <v>381</v>
      </c>
      <c r="G6" s="180" t="s">
        <v>163</v>
      </c>
      <c r="H6" s="564"/>
      <c r="I6" s="181" t="s">
        <v>161</v>
      </c>
      <c r="J6" s="181" t="s">
        <v>381</v>
      </c>
      <c r="K6" s="181" t="s">
        <v>163</v>
      </c>
      <c r="L6" s="628"/>
      <c r="M6" s="628"/>
      <c r="N6" s="564"/>
      <c r="O6" s="564"/>
      <c r="P6" s="180" t="s">
        <v>161</v>
      </c>
      <c r="Q6" s="180" t="s">
        <v>381</v>
      </c>
      <c r="R6" s="180" t="s">
        <v>163</v>
      </c>
      <c r="S6" s="182" t="s">
        <v>167</v>
      </c>
      <c r="T6" s="564"/>
      <c r="U6" s="180" t="s">
        <v>161</v>
      </c>
      <c r="V6" s="180" t="s">
        <v>381</v>
      </c>
      <c r="W6" s="180" t="s">
        <v>163</v>
      </c>
      <c r="X6" s="182" t="s">
        <v>167</v>
      </c>
      <c r="Y6" s="564"/>
      <c r="Z6" s="180" t="s">
        <v>161</v>
      </c>
      <c r="AA6" s="180" t="s">
        <v>381</v>
      </c>
      <c r="AB6" s="180" t="s">
        <v>163</v>
      </c>
      <c r="AC6" s="182" t="s">
        <v>167</v>
      </c>
      <c r="AD6" s="564"/>
      <c r="AE6" s="180" t="s">
        <v>161</v>
      </c>
      <c r="AF6" s="180" t="s">
        <v>381</v>
      </c>
      <c r="AG6" s="180" t="s">
        <v>163</v>
      </c>
      <c r="AH6" s="182" t="s">
        <v>167</v>
      </c>
      <c r="AI6" s="564"/>
      <c r="AJ6" s="180" t="s">
        <v>161</v>
      </c>
      <c r="AK6" s="180" t="s">
        <v>381</v>
      </c>
      <c r="AL6" s="180" t="s">
        <v>163</v>
      </c>
      <c r="AM6" s="182" t="s">
        <v>167</v>
      </c>
      <c r="AN6" s="564"/>
      <c r="AO6" s="180" t="s">
        <v>161</v>
      </c>
      <c r="AP6" s="180" t="s">
        <v>381</v>
      </c>
      <c r="AQ6" s="180" t="s">
        <v>163</v>
      </c>
      <c r="AR6" s="182" t="s">
        <v>167</v>
      </c>
      <c r="AS6" s="564"/>
      <c r="AT6" s="180" t="s">
        <v>161</v>
      </c>
      <c r="AU6" s="180" t="s">
        <v>381</v>
      </c>
      <c r="AV6" s="180" t="s">
        <v>163</v>
      </c>
      <c r="AW6" s="182" t="s">
        <v>167</v>
      </c>
      <c r="AX6" s="564"/>
    </row>
    <row r="7" spans="1:50" ht="14.25" customHeight="1">
      <c r="B7" s="564" t="s">
        <v>457</v>
      </c>
      <c r="C7" s="180">
        <v>1</v>
      </c>
      <c r="D7" s="183"/>
      <c r="E7" s="180"/>
      <c r="F7" s="180"/>
      <c r="G7" s="185"/>
      <c r="H7" s="625"/>
      <c r="I7" s="186"/>
      <c r="J7" s="186"/>
      <c r="K7" s="187"/>
      <c r="L7" s="626" t="str">
        <f>IFERROR(AVERAGE(K7:K21),"-")</f>
        <v>-</v>
      </c>
      <c r="M7" s="186"/>
      <c r="N7" s="564"/>
      <c r="O7" s="564"/>
      <c r="P7" s="188"/>
      <c r="Q7" s="188"/>
      <c r="R7" s="185"/>
      <c r="S7" s="182"/>
      <c r="T7" s="625"/>
      <c r="U7" s="188"/>
      <c r="V7" s="188"/>
      <c r="W7" s="185"/>
      <c r="X7" s="182"/>
      <c r="Y7" s="625"/>
      <c r="Z7" s="188"/>
      <c r="AA7" s="188"/>
      <c r="AB7" s="185"/>
      <c r="AC7" s="182"/>
      <c r="AD7" s="625"/>
      <c r="AE7" s="188"/>
      <c r="AF7" s="188"/>
      <c r="AG7" s="185"/>
      <c r="AH7" s="182"/>
      <c r="AI7" s="625"/>
      <c r="AJ7" s="188"/>
      <c r="AK7" s="188"/>
      <c r="AL7" s="185"/>
      <c r="AM7" s="182"/>
      <c r="AN7" s="625"/>
      <c r="AO7" s="188"/>
      <c r="AP7" s="188"/>
      <c r="AQ7" s="185"/>
      <c r="AR7" s="182"/>
      <c r="AS7" s="625"/>
      <c r="AT7" s="188"/>
      <c r="AU7" s="188"/>
      <c r="AV7" s="185"/>
      <c r="AW7" s="182"/>
      <c r="AX7" s="625"/>
    </row>
    <row r="8" spans="1:50" ht="14.25" customHeight="1">
      <c r="B8" s="564"/>
      <c r="C8" s="180">
        <v>2</v>
      </c>
      <c r="D8" s="183"/>
      <c r="E8" s="180"/>
      <c r="F8" s="180"/>
      <c r="G8" s="185"/>
      <c r="H8" s="625"/>
      <c r="I8" s="186"/>
      <c r="J8" s="186"/>
      <c r="K8" s="187"/>
      <c r="L8" s="626"/>
      <c r="M8" s="186"/>
      <c r="N8" s="564"/>
      <c r="O8" s="564"/>
      <c r="P8" s="188"/>
      <c r="Q8" s="188"/>
      <c r="R8" s="185"/>
      <c r="S8" s="182"/>
      <c r="T8" s="625"/>
      <c r="U8" s="188"/>
      <c r="V8" s="188"/>
      <c r="W8" s="185"/>
      <c r="X8" s="182"/>
      <c r="Y8" s="625"/>
      <c r="Z8" s="188"/>
      <c r="AA8" s="188"/>
      <c r="AB8" s="185"/>
      <c r="AC8" s="182"/>
      <c r="AD8" s="625"/>
      <c r="AE8" s="188"/>
      <c r="AF8" s="188"/>
      <c r="AG8" s="185"/>
      <c r="AH8" s="182"/>
      <c r="AI8" s="625"/>
      <c r="AJ8" s="188"/>
      <c r="AK8" s="188"/>
      <c r="AL8" s="185"/>
      <c r="AM8" s="182"/>
      <c r="AN8" s="625"/>
      <c r="AO8" s="188"/>
      <c r="AP8" s="188"/>
      <c r="AQ8" s="185"/>
      <c r="AR8" s="182"/>
      <c r="AS8" s="625"/>
      <c r="AT8" s="188"/>
      <c r="AU8" s="188"/>
      <c r="AV8" s="185"/>
      <c r="AW8" s="182"/>
      <c r="AX8" s="625"/>
    </row>
    <row r="9" spans="1:50" ht="14.25" customHeight="1">
      <c r="B9" s="564"/>
      <c r="C9" s="180">
        <v>3</v>
      </c>
      <c r="D9" s="183"/>
      <c r="E9" s="180"/>
      <c r="F9" s="180"/>
      <c r="G9" s="185"/>
      <c r="H9" s="625"/>
      <c r="I9" s="186"/>
      <c r="J9" s="186"/>
      <c r="K9" s="187"/>
      <c r="L9" s="626"/>
      <c r="M9" s="186"/>
      <c r="N9" s="564"/>
      <c r="O9" s="564"/>
      <c r="P9" s="188"/>
      <c r="Q9" s="188"/>
      <c r="R9" s="185"/>
      <c r="S9" s="182"/>
      <c r="T9" s="625"/>
      <c r="U9" s="188"/>
      <c r="V9" s="188"/>
      <c r="W9" s="185"/>
      <c r="X9" s="182"/>
      <c r="Y9" s="625"/>
      <c r="Z9" s="188"/>
      <c r="AA9" s="188"/>
      <c r="AB9" s="185"/>
      <c r="AC9" s="182"/>
      <c r="AD9" s="625"/>
      <c r="AE9" s="188"/>
      <c r="AF9" s="188"/>
      <c r="AG9" s="185"/>
      <c r="AH9" s="182"/>
      <c r="AI9" s="625"/>
      <c r="AJ9" s="188"/>
      <c r="AK9" s="188"/>
      <c r="AL9" s="185"/>
      <c r="AM9" s="182"/>
      <c r="AN9" s="625"/>
      <c r="AO9" s="188"/>
      <c r="AP9" s="188"/>
      <c r="AQ9" s="185"/>
      <c r="AR9" s="182"/>
      <c r="AS9" s="625"/>
      <c r="AT9" s="188"/>
      <c r="AU9" s="188"/>
      <c r="AV9" s="185"/>
      <c r="AW9" s="182"/>
      <c r="AX9" s="625"/>
    </row>
    <row r="10" spans="1:50" ht="14.25" customHeight="1">
      <c r="B10" s="564"/>
      <c r="C10" s="180">
        <v>4</v>
      </c>
      <c r="D10" s="183"/>
      <c r="E10" s="180"/>
      <c r="F10" s="180"/>
      <c r="G10" s="185"/>
      <c r="H10" s="625"/>
      <c r="I10" s="186"/>
      <c r="J10" s="186"/>
      <c r="K10" s="187"/>
      <c r="L10" s="626"/>
      <c r="M10" s="186"/>
      <c r="N10" s="564"/>
      <c r="O10" s="564"/>
      <c r="P10" s="188"/>
      <c r="Q10" s="188"/>
      <c r="R10" s="185"/>
      <c r="S10" s="182"/>
      <c r="T10" s="625"/>
      <c r="U10" s="188"/>
      <c r="V10" s="188"/>
      <c r="W10" s="185"/>
      <c r="X10" s="182"/>
      <c r="Y10" s="625"/>
      <c r="Z10" s="188"/>
      <c r="AA10" s="188"/>
      <c r="AB10" s="185"/>
      <c r="AC10" s="182"/>
      <c r="AD10" s="625"/>
      <c r="AE10" s="188"/>
      <c r="AF10" s="188"/>
      <c r="AG10" s="185"/>
      <c r="AH10" s="182"/>
      <c r="AI10" s="625"/>
      <c r="AJ10" s="188"/>
      <c r="AK10" s="188"/>
      <c r="AL10" s="185"/>
      <c r="AM10" s="182"/>
      <c r="AN10" s="625"/>
      <c r="AO10" s="188"/>
      <c r="AP10" s="188"/>
      <c r="AQ10" s="185"/>
      <c r="AR10" s="182"/>
      <c r="AS10" s="625"/>
      <c r="AT10" s="188"/>
      <c r="AU10" s="188"/>
      <c r="AV10" s="185"/>
      <c r="AW10" s="182"/>
      <c r="AX10" s="625"/>
    </row>
    <row r="11" spans="1:50" ht="14.25" customHeight="1">
      <c r="B11" s="564"/>
      <c r="C11" s="180">
        <v>5</v>
      </c>
      <c r="D11" s="183"/>
      <c r="E11" s="180"/>
      <c r="F11" s="180"/>
      <c r="G11" s="185"/>
      <c r="H11" s="625"/>
      <c r="I11" s="186"/>
      <c r="J11" s="186"/>
      <c r="K11" s="187"/>
      <c r="L11" s="626"/>
      <c r="M11" s="186"/>
      <c r="N11" s="564"/>
      <c r="O11" s="564"/>
      <c r="P11" s="188"/>
      <c r="Q11" s="188"/>
      <c r="R11" s="185"/>
      <c r="S11" s="182"/>
      <c r="T11" s="625"/>
      <c r="U11" s="188"/>
      <c r="V11" s="188"/>
      <c r="W11" s="185"/>
      <c r="X11" s="182"/>
      <c r="Y11" s="625"/>
      <c r="Z11" s="188"/>
      <c r="AA11" s="188"/>
      <c r="AB11" s="185"/>
      <c r="AC11" s="182"/>
      <c r="AD11" s="625"/>
      <c r="AE11" s="188"/>
      <c r="AF11" s="188"/>
      <c r="AG11" s="185"/>
      <c r="AH11" s="182"/>
      <c r="AI11" s="625"/>
      <c r="AJ11" s="188"/>
      <c r="AK11" s="188"/>
      <c r="AL11" s="185"/>
      <c r="AM11" s="182"/>
      <c r="AN11" s="625"/>
      <c r="AO11" s="188"/>
      <c r="AP11" s="188"/>
      <c r="AQ11" s="185"/>
      <c r="AR11" s="182"/>
      <c r="AS11" s="625"/>
      <c r="AT11" s="188"/>
      <c r="AU11" s="188"/>
      <c r="AV11" s="185"/>
      <c r="AW11" s="182"/>
      <c r="AX11" s="625"/>
    </row>
    <row r="12" spans="1:50" ht="14.25" customHeight="1">
      <c r="B12" s="564"/>
      <c r="C12" s="180">
        <v>6</v>
      </c>
      <c r="D12" s="183"/>
      <c r="E12" s="180"/>
      <c r="F12" s="180"/>
      <c r="G12" s="185"/>
      <c r="H12" s="625"/>
      <c r="I12" s="186"/>
      <c r="J12" s="186"/>
      <c r="K12" s="187"/>
      <c r="L12" s="626"/>
      <c r="M12" s="186"/>
      <c r="N12" s="564"/>
      <c r="O12" s="564"/>
      <c r="P12" s="188"/>
      <c r="Q12" s="188"/>
      <c r="R12" s="185"/>
      <c r="S12" s="182"/>
      <c r="T12" s="625"/>
      <c r="U12" s="188"/>
      <c r="V12" s="188"/>
      <c r="W12" s="185"/>
      <c r="X12" s="182"/>
      <c r="Y12" s="625"/>
      <c r="Z12" s="188"/>
      <c r="AA12" s="188"/>
      <c r="AB12" s="185"/>
      <c r="AC12" s="182"/>
      <c r="AD12" s="625"/>
      <c r="AE12" s="188"/>
      <c r="AF12" s="188"/>
      <c r="AG12" s="185"/>
      <c r="AH12" s="182"/>
      <c r="AI12" s="625"/>
      <c r="AJ12" s="188"/>
      <c r="AK12" s="188"/>
      <c r="AL12" s="185"/>
      <c r="AM12" s="182"/>
      <c r="AN12" s="625"/>
      <c r="AO12" s="188"/>
      <c r="AP12" s="188"/>
      <c r="AQ12" s="185"/>
      <c r="AR12" s="182"/>
      <c r="AS12" s="625"/>
      <c r="AT12" s="188"/>
      <c r="AU12" s="188"/>
      <c r="AV12" s="185"/>
      <c r="AW12" s="182"/>
      <c r="AX12" s="625"/>
    </row>
    <row r="13" spans="1:50" ht="14.25" customHeight="1">
      <c r="B13" s="564"/>
      <c r="C13" s="180">
        <v>7</v>
      </c>
      <c r="D13" s="183"/>
      <c r="E13" s="180"/>
      <c r="F13" s="180"/>
      <c r="G13" s="185"/>
      <c r="H13" s="625"/>
      <c r="I13" s="186"/>
      <c r="J13" s="186"/>
      <c r="K13" s="187"/>
      <c r="L13" s="626"/>
      <c r="M13" s="186"/>
      <c r="N13" s="564"/>
      <c r="O13" s="564"/>
      <c r="P13" s="188"/>
      <c r="Q13" s="188"/>
      <c r="R13" s="185"/>
      <c r="S13" s="182"/>
      <c r="T13" s="625"/>
      <c r="U13" s="188"/>
      <c r="V13" s="188"/>
      <c r="W13" s="185"/>
      <c r="X13" s="182"/>
      <c r="Y13" s="625"/>
      <c r="Z13" s="188"/>
      <c r="AA13" s="188"/>
      <c r="AB13" s="185"/>
      <c r="AC13" s="182"/>
      <c r="AD13" s="625"/>
      <c r="AE13" s="188"/>
      <c r="AF13" s="188"/>
      <c r="AG13" s="185"/>
      <c r="AH13" s="182"/>
      <c r="AI13" s="625"/>
      <c r="AJ13" s="188"/>
      <c r="AK13" s="188"/>
      <c r="AL13" s="185"/>
      <c r="AM13" s="182"/>
      <c r="AN13" s="625"/>
      <c r="AO13" s="188"/>
      <c r="AP13" s="188"/>
      <c r="AQ13" s="185"/>
      <c r="AR13" s="182"/>
      <c r="AS13" s="625"/>
      <c r="AT13" s="188"/>
      <c r="AU13" s="188"/>
      <c r="AV13" s="185"/>
      <c r="AW13" s="182"/>
      <c r="AX13" s="625"/>
    </row>
    <row r="14" spans="1:50" ht="14.25" customHeight="1">
      <c r="B14" s="564"/>
      <c r="C14" s="180">
        <v>8</v>
      </c>
      <c r="D14" s="183"/>
      <c r="E14" s="180"/>
      <c r="F14" s="180"/>
      <c r="G14" s="185"/>
      <c r="H14" s="625"/>
      <c r="I14" s="186"/>
      <c r="J14" s="186"/>
      <c r="K14" s="187"/>
      <c r="L14" s="626"/>
      <c r="M14" s="186"/>
      <c r="N14" s="564"/>
      <c r="O14" s="564"/>
      <c r="P14" s="188"/>
      <c r="Q14" s="188"/>
      <c r="R14" s="185"/>
      <c r="S14" s="182"/>
      <c r="T14" s="625"/>
      <c r="U14" s="188"/>
      <c r="V14" s="188"/>
      <c r="W14" s="185"/>
      <c r="X14" s="182"/>
      <c r="Y14" s="625"/>
      <c r="Z14" s="188"/>
      <c r="AA14" s="188"/>
      <c r="AB14" s="185"/>
      <c r="AC14" s="182"/>
      <c r="AD14" s="625"/>
      <c r="AE14" s="188"/>
      <c r="AF14" s="188"/>
      <c r="AG14" s="185"/>
      <c r="AH14" s="182"/>
      <c r="AI14" s="625"/>
      <c r="AJ14" s="188"/>
      <c r="AK14" s="188"/>
      <c r="AL14" s="185"/>
      <c r="AM14" s="182"/>
      <c r="AN14" s="625"/>
      <c r="AO14" s="188"/>
      <c r="AP14" s="188"/>
      <c r="AQ14" s="185"/>
      <c r="AR14" s="182"/>
      <c r="AS14" s="625"/>
      <c r="AT14" s="188"/>
      <c r="AU14" s="188"/>
      <c r="AV14" s="185"/>
      <c r="AW14" s="182"/>
      <c r="AX14" s="625"/>
    </row>
    <row r="15" spans="1:50" ht="14.25" customHeight="1">
      <c r="B15" s="564"/>
      <c r="C15" s="180">
        <v>9</v>
      </c>
      <c r="D15" s="183"/>
      <c r="E15" s="180"/>
      <c r="F15" s="180"/>
      <c r="G15" s="185"/>
      <c r="H15" s="625"/>
      <c r="I15" s="186"/>
      <c r="J15" s="186"/>
      <c r="K15" s="187"/>
      <c r="L15" s="626"/>
      <c r="M15" s="186"/>
      <c r="N15" s="564"/>
      <c r="O15" s="564"/>
      <c r="P15" s="188"/>
      <c r="Q15" s="188"/>
      <c r="R15" s="185"/>
      <c r="S15" s="182"/>
      <c r="T15" s="625"/>
      <c r="U15" s="188"/>
      <c r="V15" s="188"/>
      <c r="W15" s="185"/>
      <c r="X15" s="182"/>
      <c r="Y15" s="625"/>
      <c r="Z15" s="188"/>
      <c r="AA15" s="188"/>
      <c r="AB15" s="185"/>
      <c r="AC15" s="182"/>
      <c r="AD15" s="625"/>
      <c r="AE15" s="188"/>
      <c r="AF15" s="188"/>
      <c r="AG15" s="185"/>
      <c r="AH15" s="182"/>
      <c r="AI15" s="625"/>
      <c r="AJ15" s="188"/>
      <c r="AK15" s="188"/>
      <c r="AL15" s="185"/>
      <c r="AM15" s="182"/>
      <c r="AN15" s="625"/>
      <c r="AO15" s="188"/>
      <c r="AP15" s="188"/>
      <c r="AQ15" s="185"/>
      <c r="AR15" s="182"/>
      <c r="AS15" s="625"/>
      <c r="AT15" s="188"/>
      <c r="AU15" s="188"/>
      <c r="AV15" s="185"/>
      <c r="AW15" s="182"/>
      <c r="AX15" s="625"/>
    </row>
    <row r="16" spans="1:50" ht="14.25" customHeight="1">
      <c r="B16" s="564"/>
      <c r="C16" s="180">
        <v>10</v>
      </c>
      <c r="D16" s="183"/>
      <c r="E16" s="180"/>
      <c r="F16" s="180"/>
      <c r="G16" s="185"/>
      <c r="H16" s="625"/>
      <c r="I16" s="186"/>
      <c r="J16" s="186"/>
      <c r="K16" s="187"/>
      <c r="L16" s="626"/>
      <c r="M16" s="186"/>
      <c r="N16" s="564"/>
      <c r="O16" s="564"/>
      <c r="P16" s="188"/>
      <c r="Q16" s="188"/>
      <c r="R16" s="185"/>
      <c r="S16" s="182"/>
      <c r="T16" s="625"/>
      <c r="U16" s="188"/>
      <c r="V16" s="188"/>
      <c r="W16" s="185"/>
      <c r="X16" s="182"/>
      <c r="Y16" s="625"/>
      <c r="Z16" s="188"/>
      <c r="AA16" s="188"/>
      <c r="AB16" s="185"/>
      <c r="AC16" s="182"/>
      <c r="AD16" s="625"/>
      <c r="AE16" s="188"/>
      <c r="AF16" s="188"/>
      <c r="AG16" s="185"/>
      <c r="AH16" s="182"/>
      <c r="AI16" s="625"/>
      <c r="AJ16" s="188"/>
      <c r="AK16" s="188"/>
      <c r="AL16" s="185"/>
      <c r="AM16" s="182"/>
      <c r="AN16" s="625"/>
      <c r="AO16" s="188"/>
      <c r="AP16" s="188"/>
      <c r="AQ16" s="185"/>
      <c r="AR16" s="182"/>
      <c r="AS16" s="625"/>
      <c r="AT16" s="188"/>
      <c r="AU16" s="188"/>
      <c r="AV16" s="185"/>
      <c r="AW16" s="182"/>
      <c r="AX16" s="625"/>
    </row>
    <row r="17" spans="2:50" ht="14.25" customHeight="1">
      <c r="B17" s="564"/>
      <c r="C17" s="180">
        <v>11</v>
      </c>
      <c r="D17" s="183"/>
      <c r="E17" s="180"/>
      <c r="F17" s="180"/>
      <c r="G17" s="185"/>
      <c r="H17" s="625"/>
      <c r="I17" s="186"/>
      <c r="J17" s="186"/>
      <c r="K17" s="187"/>
      <c r="L17" s="626"/>
      <c r="M17" s="186"/>
      <c r="N17" s="564"/>
      <c r="O17" s="564"/>
      <c r="P17" s="188"/>
      <c r="Q17" s="188"/>
      <c r="R17" s="185"/>
      <c r="S17" s="182"/>
      <c r="T17" s="625"/>
      <c r="U17" s="188"/>
      <c r="V17" s="188"/>
      <c r="W17" s="185"/>
      <c r="X17" s="182"/>
      <c r="Y17" s="625"/>
      <c r="Z17" s="188"/>
      <c r="AA17" s="188"/>
      <c r="AB17" s="185"/>
      <c r="AC17" s="182"/>
      <c r="AD17" s="625"/>
      <c r="AE17" s="188"/>
      <c r="AF17" s="188"/>
      <c r="AG17" s="185"/>
      <c r="AH17" s="182"/>
      <c r="AI17" s="625"/>
      <c r="AJ17" s="188"/>
      <c r="AK17" s="188"/>
      <c r="AL17" s="185"/>
      <c r="AM17" s="182"/>
      <c r="AN17" s="625"/>
      <c r="AO17" s="188"/>
      <c r="AP17" s="188"/>
      <c r="AQ17" s="185"/>
      <c r="AR17" s="182"/>
      <c r="AS17" s="625"/>
      <c r="AT17" s="188"/>
      <c r="AU17" s="188"/>
      <c r="AV17" s="185"/>
      <c r="AW17" s="182"/>
      <c r="AX17" s="625"/>
    </row>
    <row r="18" spans="2:50" ht="14.25" customHeight="1">
      <c r="B18" s="564"/>
      <c r="C18" s="180">
        <v>12</v>
      </c>
      <c r="D18" s="183"/>
      <c r="E18" s="180"/>
      <c r="F18" s="180"/>
      <c r="G18" s="185"/>
      <c r="H18" s="625"/>
      <c r="I18" s="186"/>
      <c r="J18" s="186"/>
      <c r="K18" s="187"/>
      <c r="L18" s="626"/>
      <c r="M18" s="186"/>
      <c r="N18" s="564"/>
      <c r="O18" s="564"/>
      <c r="P18" s="188"/>
      <c r="Q18" s="188"/>
      <c r="R18" s="185"/>
      <c r="S18" s="182"/>
      <c r="T18" s="625"/>
      <c r="U18" s="188"/>
      <c r="V18" s="188"/>
      <c r="W18" s="185"/>
      <c r="X18" s="182"/>
      <c r="Y18" s="625"/>
      <c r="Z18" s="188"/>
      <c r="AA18" s="188"/>
      <c r="AB18" s="185"/>
      <c r="AC18" s="182"/>
      <c r="AD18" s="625"/>
      <c r="AE18" s="188"/>
      <c r="AF18" s="188"/>
      <c r="AG18" s="185"/>
      <c r="AH18" s="182"/>
      <c r="AI18" s="625"/>
      <c r="AJ18" s="188"/>
      <c r="AK18" s="188"/>
      <c r="AL18" s="185"/>
      <c r="AM18" s="182"/>
      <c r="AN18" s="625"/>
      <c r="AO18" s="188"/>
      <c r="AP18" s="188"/>
      <c r="AQ18" s="185"/>
      <c r="AR18" s="182"/>
      <c r="AS18" s="625"/>
      <c r="AT18" s="188"/>
      <c r="AU18" s="188"/>
      <c r="AV18" s="185"/>
      <c r="AW18" s="182"/>
      <c r="AX18" s="625"/>
    </row>
    <row r="19" spans="2:50" ht="14.25" customHeight="1">
      <c r="B19" s="564"/>
      <c r="C19" s="180">
        <v>13</v>
      </c>
      <c r="D19" s="183"/>
      <c r="E19" s="180"/>
      <c r="F19" s="180"/>
      <c r="G19" s="185"/>
      <c r="H19" s="625"/>
      <c r="I19" s="186"/>
      <c r="J19" s="186"/>
      <c r="K19" s="187"/>
      <c r="L19" s="626"/>
      <c r="M19" s="186"/>
      <c r="N19" s="564"/>
      <c r="O19" s="564"/>
      <c r="P19" s="188"/>
      <c r="Q19" s="188"/>
      <c r="R19" s="185"/>
      <c r="S19" s="182"/>
      <c r="T19" s="625"/>
      <c r="U19" s="188"/>
      <c r="V19" s="188"/>
      <c r="W19" s="185"/>
      <c r="X19" s="182"/>
      <c r="Y19" s="625"/>
      <c r="Z19" s="188"/>
      <c r="AA19" s="188"/>
      <c r="AB19" s="185"/>
      <c r="AC19" s="182"/>
      <c r="AD19" s="625"/>
      <c r="AE19" s="188"/>
      <c r="AF19" s="188"/>
      <c r="AG19" s="185"/>
      <c r="AH19" s="182"/>
      <c r="AI19" s="625"/>
      <c r="AJ19" s="188"/>
      <c r="AK19" s="188"/>
      <c r="AL19" s="185"/>
      <c r="AM19" s="182"/>
      <c r="AN19" s="625"/>
      <c r="AO19" s="188"/>
      <c r="AP19" s="188"/>
      <c r="AQ19" s="185"/>
      <c r="AR19" s="182"/>
      <c r="AS19" s="625"/>
      <c r="AT19" s="188"/>
      <c r="AU19" s="188"/>
      <c r="AV19" s="185"/>
      <c r="AW19" s="182"/>
      <c r="AX19" s="625"/>
    </row>
    <row r="20" spans="2:50" ht="14.25" customHeight="1">
      <c r="B20" s="564"/>
      <c r="C20" s="180">
        <v>14</v>
      </c>
      <c r="D20" s="183"/>
      <c r="E20" s="180"/>
      <c r="F20" s="180"/>
      <c r="G20" s="185"/>
      <c r="H20" s="625"/>
      <c r="I20" s="186"/>
      <c r="J20" s="186"/>
      <c r="K20" s="187"/>
      <c r="L20" s="626"/>
      <c r="M20" s="186"/>
      <c r="N20" s="564"/>
      <c r="O20" s="564"/>
      <c r="P20" s="188"/>
      <c r="Q20" s="188"/>
      <c r="R20" s="185"/>
      <c r="S20" s="182"/>
      <c r="T20" s="625"/>
      <c r="U20" s="188"/>
      <c r="V20" s="188"/>
      <c r="W20" s="185"/>
      <c r="X20" s="182"/>
      <c r="Y20" s="625"/>
      <c r="Z20" s="188"/>
      <c r="AA20" s="188"/>
      <c r="AB20" s="185"/>
      <c r="AC20" s="182"/>
      <c r="AD20" s="625"/>
      <c r="AE20" s="188"/>
      <c r="AF20" s="188"/>
      <c r="AG20" s="185"/>
      <c r="AH20" s="182"/>
      <c r="AI20" s="625"/>
      <c r="AJ20" s="188"/>
      <c r="AK20" s="188"/>
      <c r="AL20" s="185"/>
      <c r="AM20" s="182"/>
      <c r="AN20" s="625"/>
      <c r="AO20" s="188"/>
      <c r="AP20" s="188"/>
      <c r="AQ20" s="185"/>
      <c r="AR20" s="182"/>
      <c r="AS20" s="625"/>
      <c r="AT20" s="188"/>
      <c r="AU20" s="188"/>
      <c r="AV20" s="185"/>
      <c r="AW20" s="182"/>
      <c r="AX20" s="625"/>
    </row>
    <row r="21" spans="2:50" ht="14.25" customHeight="1">
      <c r="B21" s="564"/>
      <c r="C21" s="180">
        <v>15</v>
      </c>
      <c r="D21" s="183"/>
      <c r="E21" s="180"/>
      <c r="F21" s="180"/>
      <c r="G21" s="185"/>
      <c r="H21" s="625"/>
      <c r="I21" s="186"/>
      <c r="J21" s="186"/>
      <c r="K21" s="187"/>
      <c r="L21" s="626"/>
      <c r="M21" s="186"/>
      <c r="N21" s="564"/>
      <c r="O21" s="564"/>
      <c r="P21" s="188"/>
      <c r="Q21" s="188"/>
      <c r="R21" s="185"/>
      <c r="S21" s="182"/>
      <c r="T21" s="625"/>
      <c r="U21" s="188"/>
      <c r="V21" s="188"/>
      <c r="W21" s="185"/>
      <c r="X21" s="182"/>
      <c r="Y21" s="625"/>
      <c r="Z21" s="188"/>
      <c r="AA21" s="188"/>
      <c r="AB21" s="185"/>
      <c r="AC21" s="182"/>
      <c r="AD21" s="625"/>
      <c r="AE21" s="188"/>
      <c r="AF21" s="188"/>
      <c r="AG21" s="185"/>
      <c r="AH21" s="182"/>
      <c r="AI21" s="625"/>
      <c r="AJ21" s="188"/>
      <c r="AK21" s="188"/>
      <c r="AL21" s="185"/>
      <c r="AM21" s="182"/>
      <c r="AN21" s="625"/>
      <c r="AO21" s="188"/>
      <c r="AP21" s="188"/>
      <c r="AQ21" s="185"/>
      <c r="AR21" s="182"/>
      <c r="AS21" s="625"/>
      <c r="AT21" s="188"/>
      <c r="AU21" s="188"/>
      <c r="AV21" s="185"/>
      <c r="AW21" s="182"/>
      <c r="AX21" s="625"/>
    </row>
    <row r="22" spans="2:50" ht="14.25" customHeight="1">
      <c r="B22" s="646" t="s">
        <v>641</v>
      </c>
      <c r="C22" s="642"/>
      <c r="D22" s="642"/>
      <c r="E22" s="642"/>
      <c r="F22" s="642"/>
      <c r="G22" s="642"/>
      <c r="H22" s="642"/>
      <c r="I22" s="642"/>
      <c r="J22" s="642"/>
      <c r="K22" s="642"/>
      <c r="L22" s="642"/>
      <c r="M22" s="643"/>
      <c r="N22" s="575" t="s">
        <v>377</v>
      </c>
      <c r="O22" s="575" t="s">
        <v>105</v>
      </c>
      <c r="P22" s="655">
        <v>46084</v>
      </c>
      <c r="Q22" s="656"/>
      <c r="R22" s="656"/>
      <c r="S22" s="656"/>
      <c r="T22" s="656"/>
      <c r="U22" s="657">
        <f>P22+1</f>
        <v>46085</v>
      </c>
      <c r="V22" s="658"/>
      <c r="W22" s="658"/>
      <c r="X22" s="658"/>
      <c r="Y22" s="658"/>
      <c r="Z22" s="655">
        <f t="shared" ref="Z22" si="10">U22+1</f>
        <v>46086</v>
      </c>
      <c r="AA22" s="656"/>
      <c r="AB22" s="656"/>
      <c r="AC22" s="656"/>
      <c r="AD22" s="656"/>
      <c r="AE22" s="657">
        <f t="shared" ref="AE22" si="11">Z22+1</f>
        <v>46087</v>
      </c>
      <c r="AF22" s="658"/>
      <c r="AG22" s="658"/>
      <c r="AH22" s="658"/>
      <c r="AI22" s="658"/>
      <c r="AJ22" s="647">
        <f t="shared" ref="AJ22" si="12">AE22+1</f>
        <v>46088</v>
      </c>
      <c r="AK22" s="648"/>
      <c r="AL22" s="648"/>
      <c r="AM22" s="648"/>
      <c r="AN22" s="649"/>
      <c r="AO22" s="657">
        <f t="shared" ref="AO22" si="13">AJ22+1</f>
        <v>46089</v>
      </c>
      <c r="AP22" s="658"/>
      <c r="AQ22" s="658"/>
      <c r="AR22" s="658"/>
      <c r="AS22" s="658"/>
      <c r="AT22" s="647">
        <f t="shared" ref="AT22" si="14">AO22+1</f>
        <v>46090</v>
      </c>
      <c r="AU22" s="648"/>
      <c r="AV22" s="648"/>
      <c r="AW22" s="648"/>
      <c r="AX22" s="649"/>
    </row>
    <row r="23" spans="2:50" ht="14.25" customHeight="1">
      <c r="B23" s="644"/>
      <c r="C23" s="644"/>
      <c r="D23" s="644"/>
      <c r="E23" s="644"/>
      <c r="F23" s="644"/>
      <c r="G23" s="644"/>
      <c r="H23" s="644"/>
      <c r="I23" s="644"/>
      <c r="J23" s="644"/>
      <c r="K23" s="644"/>
      <c r="L23" s="644"/>
      <c r="M23" s="645"/>
      <c r="N23" s="577"/>
      <c r="O23" s="577"/>
      <c r="P23" s="650">
        <v>46084</v>
      </c>
      <c r="Q23" s="650"/>
      <c r="R23" s="650"/>
      <c r="S23" s="650"/>
      <c r="T23" s="650"/>
      <c r="U23" s="651">
        <f>U22</f>
        <v>46085</v>
      </c>
      <c r="V23" s="651"/>
      <c r="W23" s="651"/>
      <c r="X23" s="651"/>
      <c r="Y23" s="651"/>
      <c r="Z23" s="650">
        <f t="shared" ref="Z23" si="15">Z22</f>
        <v>46086</v>
      </c>
      <c r="AA23" s="650"/>
      <c r="AB23" s="650"/>
      <c r="AC23" s="650"/>
      <c r="AD23" s="650"/>
      <c r="AE23" s="651">
        <f t="shared" ref="AE23" si="16">AE22</f>
        <v>46087</v>
      </c>
      <c r="AF23" s="651"/>
      <c r="AG23" s="651"/>
      <c r="AH23" s="651"/>
      <c r="AI23" s="651"/>
      <c r="AJ23" s="652">
        <f t="shared" ref="AJ23" si="17">AJ22</f>
        <v>46088</v>
      </c>
      <c r="AK23" s="653"/>
      <c r="AL23" s="653"/>
      <c r="AM23" s="653"/>
      <c r="AN23" s="654"/>
      <c r="AO23" s="651">
        <f t="shared" ref="AO23" si="18">AO22</f>
        <v>46089</v>
      </c>
      <c r="AP23" s="651"/>
      <c r="AQ23" s="651"/>
      <c r="AR23" s="651"/>
      <c r="AS23" s="651"/>
      <c r="AT23" s="652">
        <f t="shared" ref="AT23" si="19">AT22</f>
        <v>46090</v>
      </c>
      <c r="AU23" s="653"/>
      <c r="AV23" s="653"/>
      <c r="AW23" s="653"/>
      <c r="AX23" s="654"/>
    </row>
    <row r="24" spans="2:50" ht="14.25" customHeight="1">
      <c r="B24" s="564" t="s">
        <v>164</v>
      </c>
      <c r="C24" s="564" t="s">
        <v>159</v>
      </c>
      <c r="D24" s="564"/>
      <c r="E24" s="564" t="s">
        <v>160</v>
      </c>
      <c r="F24" s="564"/>
      <c r="G24" s="564"/>
      <c r="H24" s="564" t="s">
        <v>165</v>
      </c>
      <c r="I24" s="628" t="s">
        <v>378</v>
      </c>
      <c r="J24" s="628"/>
      <c r="K24" s="628"/>
      <c r="L24" s="628" t="s">
        <v>165</v>
      </c>
      <c r="M24" s="628" t="s">
        <v>167</v>
      </c>
      <c r="N24" s="564"/>
      <c r="O24" s="564" t="s">
        <v>166</v>
      </c>
      <c r="P24" s="564" t="s">
        <v>162</v>
      </c>
      <c r="Q24" s="564"/>
      <c r="R24" s="564"/>
      <c r="S24" s="564"/>
      <c r="T24" s="564" t="s">
        <v>165</v>
      </c>
      <c r="U24" s="564" t="s">
        <v>162</v>
      </c>
      <c r="V24" s="564"/>
      <c r="W24" s="564"/>
      <c r="X24" s="564"/>
      <c r="Y24" s="564" t="s">
        <v>165</v>
      </c>
      <c r="Z24" s="564" t="s">
        <v>162</v>
      </c>
      <c r="AA24" s="564"/>
      <c r="AB24" s="564"/>
      <c r="AC24" s="564"/>
      <c r="AD24" s="564" t="s">
        <v>165</v>
      </c>
      <c r="AE24" s="564" t="s">
        <v>162</v>
      </c>
      <c r="AF24" s="564"/>
      <c r="AG24" s="564"/>
      <c r="AH24" s="564"/>
      <c r="AI24" s="564" t="s">
        <v>165</v>
      </c>
      <c r="AJ24" s="564" t="s">
        <v>162</v>
      </c>
      <c r="AK24" s="564"/>
      <c r="AL24" s="564"/>
      <c r="AM24" s="564"/>
      <c r="AN24" s="564" t="s">
        <v>165</v>
      </c>
      <c r="AO24" s="564" t="s">
        <v>162</v>
      </c>
      <c r="AP24" s="564"/>
      <c r="AQ24" s="564"/>
      <c r="AR24" s="564"/>
      <c r="AS24" s="564" t="s">
        <v>165</v>
      </c>
      <c r="AT24" s="564" t="s">
        <v>162</v>
      </c>
      <c r="AU24" s="564"/>
      <c r="AV24" s="564"/>
      <c r="AW24" s="564"/>
      <c r="AX24" s="564" t="s">
        <v>165</v>
      </c>
    </row>
    <row r="25" spans="2:50" ht="14.25" customHeight="1">
      <c r="B25" s="564"/>
      <c r="C25" s="564"/>
      <c r="D25" s="564"/>
      <c r="E25" s="564" t="s">
        <v>379</v>
      </c>
      <c r="F25" s="564"/>
      <c r="G25" s="564"/>
      <c r="H25" s="564"/>
      <c r="I25" s="628" t="s">
        <v>379</v>
      </c>
      <c r="J25" s="628"/>
      <c r="K25" s="628"/>
      <c r="L25" s="628"/>
      <c r="M25" s="628"/>
      <c r="N25" s="564"/>
      <c r="O25" s="564"/>
      <c r="P25" s="564" t="s">
        <v>380</v>
      </c>
      <c r="Q25" s="564"/>
      <c r="R25" s="564"/>
      <c r="S25" s="564"/>
      <c r="T25" s="564"/>
      <c r="U25" s="564" t="s">
        <v>380</v>
      </c>
      <c r="V25" s="564"/>
      <c r="W25" s="564"/>
      <c r="X25" s="564"/>
      <c r="Y25" s="564"/>
      <c r="Z25" s="564" t="s">
        <v>380</v>
      </c>
      <c r="AA25" s="564"/>
      <c r="AB25" s="564"/>
      <c r="AC25" s="564"/>
      <c r="AD25" s="564"/>
      <c r="AE25" s="564" t="s">
        <v>380</v>
      </c>
      <c r="AF25" s="564"/>
      <c r="AG25" s="564"/>
      <c r="AH25" s="564"/>
      <c r="AI25" s="564"/>
      <c r="AJ25" s="564" t="s">
        <v>380</v>
      </c>
      <c r="AK25" s="564"/>
      <c r="AL25" s="564"/>
      <c r="AM25" s="564"/>
      <c r="AN25" s="564"/>
      <c r="AO25" s="564" t="s">
        <v>380</v>
      </c>
      <c r="AP25" s="564"/>
      <c r="AQ25" s="564"/>
      <c r="AR25" s="564"/>
      <c r="AS25" s="564"/>
      <c r="AT25" s="564" t="s">
        <v>380</v>
      </c>
      <c r="AU25" s="564"/>
      <c r="AV25" s="564"/>
      <c r="AW25" s="564"/>
      <c r="AX25" s="564"/>
    </row>
    <row r="26" spans="2:50" ht="14.25" customHeight="1">
      <c r="B26" s="564"/>
      <c r="C26" s="564"/>
      <c r="D26" s="564"/>
      <c r="E26" s="180" t="s">
        <v>161</v>
      </c>
      <c r="F26" s="180" t="s">
        <v>381</v>
      </c>
      <c r="G26" s="180" t="s">
        <v>163</v>
      </c>
      <c r="H26" s="564"/>
      <c r="I26" s="181" t="s">
        <v>161</v>
      </c>
      <c r="J26" s="181" t="s">
        <v>381</v>
      </c>
      <c r="K26" s="181" t="s">
        <v>163</v>
      </c>
      <c r="L26" s="628"/>
      <c r="M26" s="628"/>
      <c r="N26" s="564"/>
      <c r="O26" s="564"/>
      <c r="P26" s="180" t="s">
        <v>161</v>
      </c>
      <c r="Q26" s="180" t="s">
        <v>381</v>
      </c>
      <c r="R26" s="180" t="s">
        <v>163</v>
      </c>
      <c r="S26" s="182" t="s">
        <v>167</v>
      </c>
      <c r="T26" s="564"/>
      <c r="U26" s="180" t="s">
        <v>161</v>
      </c>
      <c r="V26" s="180" t="s">
        <v>381</v>
      </c>
      <c r="W26" s="180" t="s">
        <v>163</v>
      </c>
      <c r="X26" s="182" t="s">
        <v>167</v>
      </c>
      <c r="Y26" s="564"/>
      <c r="Z26" s="180" t="s">
        <v>161</v>
      </c>
      <c r="AA26" s="180" t="s">
        <v>381</v>
      </c>
      <c r="AB26" s="180" t="s">
        <v>163</v>
      </c>
      <c r="AC26" s="182" t="s">
        <v>167</v>
      </c>
      <c r="AD26" s="564"/>
      <c r="AE26" s="180" t="s">
        <v>161</v>
      </c>
      <c r="AF26" s="180" t="s">
        <v>381</v>
      </c>
      <c r="AG26" s="180" t="s">
        <v>163</v>
      </c>
      <c r="AH26" s="182" t="s">
        <v>167</v>
      </c>
      <c r="AI26" s="564"/>
      <c r="AJ26" s="180" t="s">
        <v>161</v>
      </c>
      <c r="AK26" s="180" t="s">
        <v>381</v>
      </c>
      <c r="AL26" s="180" t="s">
        <v>163</v>
      </c>
      <c r="AM26" s="182" t="s">
        <v>167</v>
      </c>
      <c r="AN26" s="564"/>
      <c r="AO26" s="180" t="s">
        <v>161</v>
      </c>
      <c r="AP26" s="180" t="s">
        <v>381</v>
      </c>
      <c r="AQ26" s="180" t="s">
        <v>163</v>
      </c>
      <c r="AR26" s="182" t="s">
        <v>167</v>
      </c>
      <c r="AS26" s="564"/>
      <c r="AT26" s="180" t="s">
        <v>161</v>
      </c>
      <c r="AU26" s="180" t="s">
        <v>381</v>
      </c>
      <c r="AV26" s="180" t="s">
        <v>163</v>
      </c>
      <c r="AW26" s="182" t="s">
        <v>167</v>
      </c>
      <c r="AX26" s="564"/>
    </row>
    <row r="27" spans="2:50" ht="14.25" customHeight="1">
      <c r="B27" s="564" t="s">
        <v>457</v>
      </c>
      <c r="C27" s="180">
        <v>1</v>
      </c>
      <c r="D27" s="183"/>
      <c r="E27" s="180"/>
      <c r="F27" s="180"/>
      <c r="G27" s="185"/>
      <c r="H27" s="625"/>
      <c r="I27" s="186"/>
      <c r="J27" s="186"/>
      <c r="K27" s="187"/>
      <c r="L27" s="626" t="str">
        <f>IFERROR(AVERAGE(K27:K41),"-")</f>
        <v>-</v>
      </c>
      <c r="M27" s="186"/>
      <c r="N27" s="564"/>
      <c r="O27" s="564"/>
      <c r="P27" s="188"/>
      <c r="Q27" s="188"/>
      <c r="R27" s="185"/>
      <c r="S27" s="182"/>
      <c r="T27" s="625"/>
      <c r="U27" s="188"/>
      <c r="V27" s="188"/>
      <c r="W27" s="185"/>
      <c r="X27" s="182"/>
      <c r="Y27" s="625"/>
      <c r="Z27" s="188"/>
      <c r="AA27" s="188"/>
      <c r="AB27" s="185"/>
      <c r="AC27" s="182"/>
      <c r="AD27" s="625"/>
      <c r="AE27" s="188"/>
      <c r="AF27" s="188"/>
      <c r="AG27" s="185"/>
      <c r="AH27" s="182"/>
      <c r="AI27" s="625"/>
      <c r="AJ27" s="188"/>
      <c r="AK27" s="188"/>
      <c r="AL27" s="185"/>
      <c r="AM27" s="182"/>
      <c r="AN27" s="625"/>
      <c r="AO27" s="188"/>
      <c r="AP27" s="188"/>
      <c r="AQ27" s="185"/>
      <c r="AR27" s="182"/>
      <c r="AS27" s="625"/>
      <c r="AT27" s="188"/>
      <c r="AU27" s="188"/>
      <c r="AV27" s="185"/>
      <c r="AW27" s="182"/>
      <c r="AX27" s="625"/>
    </row>
    <row r="28" spans="2:50" ht="14.25" customHeight="1">
      <c r="B28" s="564"/>
      <c r="C28" s="180">
        <v>2</v>
      </c>
      <c r="D28" s="183"/>
      <c r="E28" s="180"/>
      <c r="F28" s="180"/>
      <c r="G28" s="185"/>
      <c r="H28" s="625"/>
      <c r="I28" s="186"/>
      <c r="J28" s="186"/>
      <c r="K28" s="187"/>
      <c r="L28" s="626"/>
      <c r="M28" s="186"/>
      <c r="N28" s="564"/>
      <c r="O28" s="564"/>
      <c r="P28" s="188"/>
      <c r="Q28" s="188"/>
      <c r="R28" s="185"/>
      <c r="S28" s="182"/>
      <c r="T28" s="625"/>
      <c r="U28" s="188"/>
      <c r="V28" s="188"/>
      <c r="W28" s="185"/>
      <c r="X28" s="182"/>
      <c r="Y28" s="625"/>
      <c r="Z28" s="188"/>
      <c r="AA28" s="188"/>
      <c r="AB28" s="185"/>
      <c r="AC28" s="182"/>
      <c r="AD28" s="625"/>
      <c r="AE28" s="188"/>
      <c r="AF28" s="188"/>
      <c r="AG28" s="185"/>
      <c r="AH28" s="182"/>
      <c r="AI28" s="625"/>
      <c r="AJ28" s="188"/>
      <c r="AK28" s="188"/>
      <c r="AL28" s="185"/>
      <c r="AM28" s="182"/>
      <c r="AN28" s="625"/>
      <c r="AO28" s="188"/>
      <c r="AP28" s="188"/>
      <c r="AQ28" s="185"/>
      <c r="AR28" s="182"/>
      <c r="AS28" s="625"/>
      <c r="AT28" s="188"/>
      <c r="AU28" s="188"/>
      <c r="AV28" s="185"/>
      <c r="AW28" s="182"/>
      <c r="AX28" s="625"/>
    </row>
    <row r="29" spans="2:50" ht="14.25" customHeight="1">
      <c r="B29" s="564"/>
      <c r="C29" s="180">
        <v>3</v>
      </c>
      <c r="D29" s="183"/>
      <c r="E29" s="180"/>
      <c r="F29" s="180"/>
      <c r="G29" s="185"/>
      <c r="H29" s="625"/>
      <c r="I29" s="186"/>
      <c r="J29" s="186"/>
      <c r="K29" s="187"/>
      <c r="L29" s="626"/>
      <c r="M29" s="186"/>
      <c r="N29" s="564"/>
      <c r="O29" s="564"/>
      <c r="P29" s="188"/>
      <c r="Q29" s="188"/>
      <c r="R29" s="185"/>
      <c r="S29" s="182"/>
      <c r="T29" s="625"/>
      <c r="U29" s="188"/>
      <c r="V29" s="188"/>
      <c r="W29" s="185"/>
      <c r="X29" s="182"/>
      <c r="Y29" s="625"/>
      <c r="Z29" s="188"/>
      <c r="AA29" s="188"/>
      <c r="AB29" s="185"/>
      <c r="AC29" s="182"/>
      <c r="AD29" s="625"/>
      <c r="AE29" s="188"/>
      <c r="AF29" s="188"/>
      <c r="AG29" s="185"/>
      <c r="AH29" s="182"/>
      <c r="AI29" s="625"/>
      <c r="AJ29" s="188"/>
      <c r="AK29" s="188"/>
      <c r="AL29" s="185"/>
      <c r="AM29" s="182"/>
      <c r="AN29" s="625"/>
      <c r="AO29" s="188"/>
      <c r="AP29" s="188"/>
      <c r="AQ29" s="185"/>
      <c r="AR29" s="182"/>
      <c r="AS29" s="625"/>
      <c r="AT29" s="188"/>
      <c r="AU29" s="188"/>
      <c r="AV29" s="185"/>
      <c r="AW29" s="182"/>
      <c r="AX29" s="625"/>
    </row>
    <row r="30" spans="2:50" ht="14.25" customHeight="1">
      <c r="B30" s="564"/>
      <c r="C30" s="180">
        <v>4</v>
      </c>
      <c r="D30" s="183"/>
      <c r="E30" s="180"/>
      <c r="F30" s="180"/>
      <c r="G30" s="185"/>
      <c r="H30" s="625"/>
      <c r="I30" s="186"/>
      <c r="J30" s="186"/>
      <c r="K30" s="187"/>
      <c r="L30" s="626"/>
      <c r="M30" s="186"/>
      <c r="N30" s="564"/>
      <c r="O30" s="564"/>
      <c r="P30" s="188"/>
      <c r="Q30" s="188"/>
      <c r="R30" s="185"/>
      <c r="S30" s="182"/>
      <c r="T30" s="625"/>
      <c r="U30" s="188"/>
      <c r="V30" s="188"/>
      <c r="W30" s="185"/>
      <c r="X30" s="182"/>
      <c r="Y30" s="625"/>
      <c r="Z30" s="188"/>
      <c r="AA30" s="188"/>
      <c r="AB30" s="185"/>
      <c r="AC30" s="182"/>
      <c r="AD30" s="625"/>
      <c r="AE30" s="188"/>
      <c r="AF30" s="188"/>
      <c r="AG30" s="185"/>
      <c r="AH30" s="182"/>
      <c r="AI30" s="625"/>
      <c r="AJ30" s="188"/>
      <c r="AK30" s="188"/>
      <c r="AL30" s="185"/>
      <c r="AM30" s="182"/>
      <c r="AN30" s="625"/>
      <c r="AO30" s="188"/>
      <c r="AP30" s="188"/>
      <c r="AQ30" s="185"/>
      <c r="AR30" s="182"/>
      <c r="AS30" s="625"/>
      <c r="AT30" s="188"/>
      <c r="AU30" s="188"/>
      <c r="AV30" s="185"/>
      <c r="AW30" s="182"/>
      <c r="AX30" s="625"/>
    </row>
    <row r="31" spans="2:50" ht="14.25" customHeight="1">
      <c r="B31" s="564"/>
      <c r="C31" s="180">
        <v>5</v>
      </c>
      <c r="D31" s="183"/>
      <c r="E31" s="180"/>
      <c r="F31" s="180"/>
      <c r="G31" s="185"/>
      <c r="H31" s="625"/>
      <c r="I31" s="186"/>
      <c r="J31" s="186"/>
      <c r="K31" s="187"/>
      <c r="L31" s="626"/>
      <c r="M31" s="186"/>
      <c r="N31" s="564"/>
      <c r="O31" s="564"/>
      <c r="P31" s="188"/>
      <c r="Q31" s="188"/>
      <c r="R31" s="185"/>
      <c r="S31" s="182"/>
      <c r="T31" s="625"/>
      <c r="U31" s="188"/>
      <c r="V31" s="188"/>
      <c r="W31" s="185"/>
      <c r="X31" s="182"/>
      <c r="Y31" s="625"/>
      <c r="Z31" s="188"/>
      <c r="AA31" s="188"/>
      <c r="AB31" s="185"/>
      <c r="AC31" s="182"/>
      <c r="AD31" s="625"/>
      <c r="AE31" s="188"/>
      <c r="AF31" s="188"/>
      <c r="AG31" s="185"/>
      <c r="AH31" s="182"/>
      <c r="AI31" s="625"/>
      <c r="AJ31" s="188"/>
      <c r="AK31" s="188"/>
      <c r="AL31" s="185"/>
      <c r="AM31" s="182"/>
      <c r="AN31" s="625"/>
      <c r="AO31" s="188"/>
      <c r="AP31" s="188"/>
      <c r="AQ31" s="185"/>
      <c r="AR31" s="182"/>
      <c r="AS31" s="625"/>
      <c r="AT31" s="188"/>
      <c r="AU31" s="188"/>
      <c r="AV31" s="185"/>
      <c r="AW31" s="182"/>
      <c r="AX31" s="625"/>
    </row>
    <row r="32" spans="2:50" ht="14.25" customHeight="1">
      <c r="B32" s="564"/>
      <c r="C32" s="180">
        <v>6</v>
      </c>
      <c r="D32" s="183"/>
      <c r="E32" s="180"/>
      <c r="F32" s="180"/>
      <c r="G32" s="185"/>
      <c r="H32" s="625"/>
      <c r="I32" s="186"/>
      <c r="J32" s="186"/>
      <c r="K32" s="187"/>
      <c r="L32" s="626"/>
      <c r="M32" s="186"/>
      <c r="N32" s="564"/>
      <c r="O32" s="564"/>
      <c r="P32" s="188"/>
      <c r="Q32" s="188"/>
      <c r="R32" s="185"/>
      <c r="S32" s="182"/>
      <c r="T32" s="625"/>
      <c r="U32" s="188"/>
      <c r="V32" s="188"/>
      <c r="W32" s="185"/>
      <c r="X32" s="182"/>
      <c r="Y32" s="625"/>
      <c r="Z32" s="188"/>
      <c r="AA32" s="188"/>
      <c r="AB32" s="185"/>
      <c r="AC32" s="182"/>
      <c r="AD32" s="625"/>
      <c r="AE32" s="188"/>
      <c r="AF32" s="188"/>
      <c r="AG32" s="185"/>
      <c r="AH32" s="182"/>
      <c r="AI32" s="625"/>
      <c r="AJ32" s="188"/>
      <c r="AK32" s="188"/>
      <c r="AL32" s="185"/>
      <c r="AM32" s="182"/>
      <c r="AN32" s="625"/>
      <c r="AO32" s="188"/>
      <c r="AP32" s="188"/>
      <c r="AQ32" s="185"/>
      <c r="AR32" s="182"/>
      <c r="AS32" s="625"/>
      <c r="AT32" s="188"/>
      <c r="AU32" s="188"/>
      <c r="AV32" s="185"/>
      <c r="AW32" s="182"/>
      <c r="AX32" s="625"/>
    </row>
    <row r="33" spans="2:50" ht="14.25" customHeight="1">
      <c r="B33" s="564"/>
      <c r="C33" s="180">
        <v>7</v>
      </c>
      <c r="D33" s="183"/>
      <c r="E33" s="180"/>
      <c r="F33" s="180"/>
      <c r="G33" s="185"/>
      <c r="H33" s="625"/>
      <c r="I33" s="186"/>
      <c r="J33" s="186"/>
      <c r="K33" s="187"/>
      <c r="L33" s="626"/>
      <c r="M33" s="186"/>
      <c r="N33" s="564"/>
      <c r="O33" s="564"/>
      <c r="P33" s="188"/>
      <c r="Q33" s="188"/>
      <c r="R33" s="185"/>
      <c r="S33" s="182"/>
      <c r="T33" s="625"/>
      <c r="U33" s="188"/>
      <c r="V33" s="188"/>
      <c r="W33" s="185"/>
      <c r="X33" s="182"/>
      <c r="Y33" s="625"/>
      <c r="Z33" s="188"/>
      <c r="AA33" s="188"/>
      <c r="AB33" s="185"/>
      <c r="AC33" s="182"/>
      <c r="AD33" s="625"/>
      <c r="AE33" s="188"/>
      <c r="AF33" s="188"/>
      <c r="AG33" s="185"/>
      <c r="AH33" s="182"/>
      <c r="AI33" s="625"/>
      <c r="AJ33" s="188"/>
      <c r="AK33" s="188"/>
      <c r="AL33" s="185"/>
      <c r="AM33" s="182"/>
      <c r="AN33" s="625"/>
      <c r="AO33" s="188"/>
      <c r="AP33" s="188"/>
      <c r="AQ33" s="185"/>
      <c r="AR33" s="182"/>
      <c r="AS33" s="625"/>
      <c r="AT33" s="188"/>
      <c r="AU33" s="188"/>
      <c r="AV33" s="185"/>
      <c r="AW33" s="182"/>
      <c r="AX33" s="625"/>
    </row>
    <row r="34" spans="2:50" ht="14.25" customHeight="1">
      <c r="B34" s="564"/>
      <c r="C34" s="180">
        <v>8</v>
      </c>
      <c r="D34" s="183"/>
      <c r="E34" s="180"/>
      <c r="F34" s="180"/>
      <c r="G34" s="185"/>
      <c r="H34" s="625"/>
      <c r="I34" s="186"/>
      <c r="J34" s="186"/>
      <c r="K34" s="187"/>
      <c r="L34" s="626"/>
      <c r="M34" s="186"/>
      <c r="N34" s="564"/>
      <c r="O34" s="564"/>
      <c r="P34" s="188"/>
      <c r="Q34" s="188"/>
      <c r="R34" s="185"/>
      <c r="S34" s="182"/>
      <c r="T34" s="625"/>
      <c r="U34" s="188"/>
      <c r="V34" s="188"/>
      <c r="W34" s="185"/>
      <c r="X34" s="182"/>
      <c r="Y34" s="625"/>
      <c r="Z34" s="188"/>
      <c r="AA34" s="188"/>
      <c r="AB34" s="185"/>
      <c r="AC34" s="182"/>
      <c r="AD34" s="625"/>
      <c r="AE34" s="188"/>
      <c r="AF34" s="188"/>
      <c r="AG34" s="185"/>
      <c r="AH34" s="182"/>
      <c r="AI34" s="625"/>
      <c r="AJ34" s="188"/>
      <c r="AK34" s="188"/>
      <c r="AL34" s="185"/>
      <c r="AM34" s="182"/>
      <c r="AN34" s="625"/>
      <c r="AO34" s="188"/>
      <c r="AP34" s="188"/>
      <c r="AQ34" s="185"/>
      <c r="AR34" s="182"/>
      <c r="AS34" s="625"/>
      <c r="AT34" s="188"/>
      <c r="AU34" s="188"/>
      <c r="AV34" s="185"/>
      <c r="AW34" s="182"/>
      <c r="AX34" s="625"/>
    </row>
    <row r="35" spans="2:50" ht="14.25" customHeight="1">
      <c r="B35" s="564"/>
      <c r="C35" s="180">
        <v>9</v>
      </c>
      <c r="D35" s="183"/>
      <c r="E35" s="180"/>
      <c r="F35" s="180"/>
      <c r="G35" s="185"/>
      <c r="H35" s="625"/>
      <c r="I35" s="186"/>
      <c r="J35" s="186"/>
      <c r="K35" s="187"/>
      <c r="L35" s="626"/>
      <c r="M35" s="186"/>
      <c r="N35" s="564"/>
      <c r="O35" s="564"/>
      <c r="P35" s="188"/>
      <c r="Q35" s="188"/>
      <c r="R35" s="185"/>
      <c r="S35" s="182"/>
      <c r="T35" s="625"/>
      <c r="U35" s="188"/>
      <c r="V35" s="188"/>
      <c r="W35" s="185"/>
      <c r="X35" s="182"/>
      <c r="Y35" s="625"/>
      <c r="Z35" s="188"/>
      <c r="AA35" s="188"/>
      <c r="AB35" s="185"/>
      <c r="AC35" s="182"/>
      <c r="AD35" s="625"/>
      <c r="AE35" s="188"/>
      <c r="AF35" s="188"/>
      <c r="AG35" s="185"/>
      <c r="AH35" s="182"/>
      <c r="AI35" s="625"/>
      <c r="AJ35" s="188"/>
      <c r="AK35" s="188"/>
      <c r="AL35" s="185"/>
      <c r="AM35" s="182"/>
      <c r="AN35" s="625"/>
      <c r="AO35" s="188"/>
      <c r="AP35" s="188"/>
      <c r="AQ35" s="185"/>
      <c r="AR35" s="182"/>
      <c r="AS35" s="625"/>
      <c r="AT35" s="188"/>
      <c r="AU35" s="188"/>
      <c r="AV35" s="185"/>
      <c r="AW35" s="182"/>
      <c r="AX35" s="625"/>
    </row>
    <row r="36" spans="2:50" ht="14.25" customHeight="1">
      <c r="B36" s="564"/>
      <c r="C36" s="180">
        <v>10</v>
      </c>
      <c r="D36" s="183"/>
      <c r="E36" s="180"/>
      <c r="F36" s="180"/>
      <c r="G36" s="185"/>
      <c r="H36" s="625"/>
      <c r="I36" s="186"/>
      <c r="J36" s="186"/>
      <c r="K36" s="187"/>
      <c r="L36" s="626"/>
      <c r="M36" s="186"/>
      <c r="N36" s="564"/>
      <c r="O36" s="564"/>
      <c r="P36" s="188"/>
      <c r="Q36" s="188"/>
      <c r="R36" s="185"/>
      <c r="S36" s="182"/>
      <c r="T36" s="625"/>
      <c r="U36" s="188"/>
      <c r="V36" s="188"/>
      <c r="W36" s="185"/>
      <c r="X36" s="182"/>
      <c r="Y36" s="625"/>
      <c r="Z36" s="188"/>
      <c r="AA36" s="188"/>
      <c r="AB36" s="185"/>
      <c r="AC36" s="182"/>
      <c r="AD36" s="625"/>
      <c r="AE36" s="188"/>
      <c r="AF36" s="188"/>
      <c r="AG36" s="185"/>
      <c r="AH36" s="182"/>
      <c r="AI36" s="625"/>
      <c r="AJ36" s="188"/>
      <c r="AK36" s="188"/>
      <c r="AL36" s="185"/>
      <c r="AM36" s="182"/>
      <c r="AN36" s="625"/>
      <c r="AO36" s="188"/>
      <c r="AP36" s="188"/>
      <c r="AQ36" s="185"/>
      <c r="AR36" s="182"/>
      <c r="AS36" s="625"/>
      <c r="AT36" s="188"/>
      <c r="AU36" s="188"/>
      <c r="AV36" s="185"/>
      <c r="AW36" s="182"/>
      <c r="AX36" s="625"/>
    </row>
    <row r="37" spans="2:50" ht="14.25" customHeight="1">
      <c r="B37" s="564"/>
      <c r="C37" s="180">
        <v>11</v>
      </c>
      <c r="D37" s="183"/>
      <c r="E37" s="180"/>
      <c r="F37" s="180"/>
      <c r="G37" s="185"/>
      <c r="H37" s="625"/>
      <c r="I37" s="186"/>
      <c r="J37" s="186"/>
      <c r="K37" s="187"/>
      <c r="L37" s="626"/>
      <c r="M37" s="186"/>
      <c r="N37" s="564"/>
      <c r="O37" s="564"/>
      <c r="P37" s="188"/>
      <c r="Q37" s="188"/>
      <c r="R37" s="185"/>
      <c r="S37" s="182"/>
      <c r="T37" s="625"/>
      <c r="U37" s="188"/>
      <c r="V37" s="188"/>
      <c r="W37" s="185"/>
      <c r="X37" s="182"/>
      <c r="Y37" s="625"/>
      <c r="Z37" s="188"/>
      <c r="AA37" s="188"/>
      <c r="AB37" s="185"/>
      <c r="AC37" s="182"/>
      <c r="AD37" s="625"/>
      <c r="AE37" s="188"/>
      <c r="AF37" s="188"/>
      <c r="AG37" s="185"/>
      <c r="AH37" s="182"/>
      <c r="AI37" s="625"/>
      <c r="AJ37" s="188"/>
      <c r="AK37" s="188"/>
      <c r="AL37" s="185"/>
      <c r="AM37" s="182"/>
      <c r="AN37" s="625"/>
      <c r="AO37" s="188"/>
      <c r="AP37" s="188"/>
      <c r="AQ37" s="185"/>
      <c r="AR37" s="182"/>
      <c r="AS37" s="625"/>
      <c r="AT37" s="188"/>
      <c r="AU37" s="188"/>
      <c r="AV37" s="185"/>
      <c r="AW37" s="182"/>
      <c r="AX37" s="625"/>
    </row>
    <row r="38" spans="2:50" ht="14.25" customHeight="1">
      <c r="B38" s="564"/>
      <c r="C38" s="180">
        <v>12</v>
      </c>
      <c r="D38" s="183"/>
      <c r="E38" s="180"/>
      <c r="F38" s="180"/>
      <c r="G38" s="185"/>
      <c r="H38" s="625"/>
      <c r="I38" s="186"/>
      <c r="J38" s="186"/>
      <c r="K38" s="187"/>
      <c r="L38" s="626"/>
      <c r="M38" s="186"/>
      <c r="N38" s="564"/>
      <c r="O38" s="564"/>
      <c r="P38" s="188"/>
      <c r="Q38" s="188"/>
      <c r="R38" s="185"/>
      <c r="S38" s="182"/>
      <c r="T38" s="625"/>
      <c r="U38" s="188"/>
      <c r="V38" s="188"/>
      <c r="W38" s="185"/>
      <c r="X38" s="182"/>
      <c r="Y38" s="625"/>
      <c r="Z38" s="188"/>
      <c r="AA38" s="188"/>
      <c r="AB38" s="185"/>
      <c r="AC38" s="182"/>
      <c r="AD38" s="625"/>
      <c r="AE38" s="188"/>
      <c r="AF38" s="188"/>
      <c r="AG38" s="185"/>
      <c r="AH38" s="182"/>
      <c r="AI38" s="625"/>
      <c r="AJ38" s="188"/>
      <c r="AK38" s="188"/>
      <c r="AL38" s="185"/>
      <c r="AM38" s="182"/>
      <c r="AN38" s="625"/>
      <c r="AO38" s="188"/>
      <c r="AP38" s="188"/>
      <c r="AQ38" s="185"/>
      <c r="AR38" s="182"/>
      <c r="AS38" s="625"/>
      <c r="AT38" s="188"/>
      <c r="AU38" s="188"/>
      <c r="AV38" s="185"/>
      <c r="AW38" s="182"/>
      <c r="AX38" s="625"/>
    </row>
    <row r="39" spans="2:50" ht="14.25" customHeight="1">
      <c r="B39" s="564"/>
      <c r="C39" s="180">
        <v>13</v>
      </c>
      <c r="D39" s="183"/>
      <c r="E39" s="180"/>
      <c r="F39" s="180"/>
      <c r="G39" s="185"/>
      <c r="H39" s="625"/>
      <c r="I39" s="186"/>
      <c r="J39" s="186"/>
      <c r="K39" s="187"/>
      <c r="L39" s="626"/>
      <c r="M39" s="186"/>
      <c r="N39" s="564"/>
      <c r="O39" s="564"/>
      <c r="P39" s="188"/>
      <c r="Q39" s="188"/>
      <c r="R39" s="185"/>
      <c r="S39" s="182"/>
      <c r="T39" s="625"/>
      <c r="U39" s="188"/>
      <c r="V39" s="188"/>
      <c r="W39" s="185"/>
      <c r="X39" s="182"/>
      <c r="Y39" s="625"/>
      <c r="Z39" s="188"/>
      <c r="AA39" s="188"/>
      <c r="AB39" s="185"/>
      <c r="AC39" s="182"/>
      <c r="AD39" s="625"/>
      <c r="AE39" s="188"/>
      <c r="AF39" s="188"/>
      <c r="AG39" s="185"/>
      <c r="AH39" s="182"/>
      <c r="AI39" s="625"/>
      <c r="AJ39" s="188"/>
      <c r="AK39" s="188"/>
      <c r="AL39" s="185"/>
      <c r="AM39" s="182"/>
      <c r="AN39" s="625"/>
      <c r="AO39" s="188"/>
      <c r="AP39" s="188"/>
      <c r="AQ39" s="185"/>
      <c r="AR39" s="182"/>
      <c r="AS39" s="625"/>
      <c r="AT39" s="188"/>
      <c r="AU39" s="188"/>
      <c r="AV39" s="185"/>
      <c r="AW39" s="182"/>
      <c r="AX39" s="625"/>
    </row>
    <row r="40" spans="2:50" ht="14.25" customHeight="1">
      <c r="B40" s="564"/>
      <c r="C40" s="180">
        <v>14</v>
      </c>
      <c r="D40" s="183"/>
      <c r="E40" s="180"/>
      <c r="F40" s="180"/>
      <c r="G40" s="185"/>
      <c r="H40" s="625"/>
      <c r="I40" s="186"/>
      <c r="J40" s="186"/>
      <c r="K40" s="187"/>
      <c r="L40" s="626"/>
      <c r="M40" s="186"/>
      <c r="N40" s="564"/>
      <c r="O40" s="564"/>
      <c r="P40" s="188"/>
      <c r="Q40" s="188"/>
      <c r="R40" s="185"/>
      <c r="S40" s="182"/>
      <c r="T40" s="625"/>
      <c r="U40" s="188"/>
      <c r="V40" s="188"/>
      <c r="W40" s="185"/>
      <c r="X40" s="182"/>
      <c r="Y40" s="625"/>
      <c r="Z40" s="188"/>
      <c r="AA40" s="188"/>
      <c r="AB40" s="185"/>
      <c r="AC40" s="182"/>
      <c r="AD40" s="625"/>
      <c r="AE40" s="188"/>
      <c r="AF40" s="188"/>
      <c r="AG40" s="185"/>
      <c r="AH40" s="182"/>
      <c r="AI40" s="625"/>
      <c r="AJ40" s="188"/>
      <c r="AK40" s="188"/>
      <c r="AL40" s="185"/>
      <c r="AM40" s="182"/>
      <c r="AN40" s="625"/>
      <c r="AO40" s="188"/>
      <c r="AP40" s="188"/>
      <c r="AQ40" s="185"/>
      <c r="AR40" s="182"/>
      <c r="AS40" s="625"/>
      <c r="AT40" s="188"/>
      <c r="AU40" s="188"/>
      <c r="AV40" s="185"/>
      <c r="AW40" s="182"/>
      <c r="AX40" s="625"/>
    </row>
    <row r="41" spans="2:50" ht="14.25" customHeight="1">
      <c r="B41" s="564"/>
      <c r="C41" s="180">
        <v>15</v>
      </c>
      <c r="D41" s="183"/>
      <c r="E41" s="180"/>
      <c r="F41" s="180"/>
      <c r="G41" s="185"/>
      <c r="H41" s="625"/>
      <c r="I41" s="186"/>
      <c r="J41" s="186"/>
      <c r="K41" s="187"/>
      <c r="L41" s="626"/>
      <c r="M41" s="186"/>
      <c r="N41" s="564"/>
      <c r="O41" s="564"/>
      <c r="P41" s="188"/>
      <c r="Q41" s="188"/>
      <c r="R41" s="185"/>
      <c r="S41" s="182"/>
      <c r="T41" s="625"/>
      <c r="U41" s="188"/>
      <c r="V41" s="188"/>
      <c r="W41" s="185"/>
      <c r="X41" s="182"/>
      <c r="Y41" s="625"/>
      <c r="Z41" s="188"/>
      <c r="AA41" s="188"/>
      <c r="AB41" s="185"/>
      <c r="AC41" s="182"/>
      <c r="AD41" s="625"/>
      <c r="AE41" s="188"/>
      <c r="AF41" s="188"/>
      <c r="AG41" s="185"/>
      <c r="AH41" s="182"/>
      <c r="AI41" s="625"/>
      <c r="AJ41" s="188"/>
      <c r="AK41" s="188"/>
      <c r="AL41" s="185"/>
      <c r="AM41" s="182"/>
      <c r="AN41" s="625"/>
      <c r="AO41" s="188"/>
      <c r="AP41" s="188"/>
      <c r="AQ41" s="185"/>
      <c r="AR41" s="182"/>
      <c r="AS41" s="625"/>
      <c r="AT41" s="188"/>
      <c r="AU41" s="188"/>
      <c r="AV41" s="185"/>
      <c r="AW41" s="182"/>
      <c r="AX41" s="625"/>
    </row>
    <row r="42" spans="2:50" ht="14.25" customHeight="1" collapsed="1">
      <c r="B42" s="646" t="s">
        <v>642</v>
      </c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43"/>
      <c r="N42" s="575" t="s">
        <v>377</v>
      </c>
      <c r="O42" s="575" t="s">
        <v>105</v>
      </c>
      <c r="P42" s="655">
        <f>AT22+1</f>
        <v>46091</v>
      </c>
      <c r="Q42" s="656"/>
      <c r="R42" s="656"/>
      <c r="S42" s="656"/>
      <c r="T42" s="656"/>
      <c r="U42" s="657">
        <f>P42+1</f>
        <v>46092</v>
      </c>
      <c r="V42" s="658"/>
      <c r="W42" s="658"/>
      <c r="X42" s="658"/>
      <c r="Y42" s="658"/>
      <c r="Z42" s="655">
        <f t="shared" ref="Z42" si="20">U42+1</f>
        <v>46093</v>
      </c>
      <c r="AA42" s="656"/>
      <c r="AB42" s="656"/>
      <c r="AC42" s="656"/>
      <c r="AD42" s="656"/>
      <c r="AE42" s="657">
        <f t="shared" ref="AE42" si="21">Z42+1</f>
        <v>46094</v>
      </c>
      <c r="AF42" s="658"/>
      <c r="AG42" s="658"/>
      <c r="AH42" s="658"/>
      <c r="AI42" s="658"/>
      <c r="AJ42" s="647">
        <f t="shared" ref="AJ42" si="22">AE42+1</f>
        <v>46095</v>
      </c>
      <c r="AK42" s="648"/>
      <c r="AL42" s="648"/>
      <c r="AM42" s="648"/>
      <c r="AN42" s="649"/>
      <c r="AO42" s="657">
        <f t="shared" ref="AO42" si="23">AJ42+1</f>
        <v>46096</v>
      </c>
      <c r="AP42" s="658"/>
      <c r="AQ42" s="658"/>
      <c r="AR42" s="658"/>
      <c r="AS42" s="658"/>
      <c r="AT42" s="647">
        <f t="shared" ref="AT42" si="24">AO42+1</f>
        <v>46097</v>
      </c>
      <c r="AU42" s="648"/>
      <c r="AV42" s="648"/>
      <c r="AW42" s="648"/>
      <c r="AX42" s="649"/>
    </row>
    <row r="43" spans="2:50" ht="14.25" customHeight="1">
      <c r="B43" s="644"/>
      <c r="C43" s="644"/>
      <c r="D43" s="644"/>
      <c r="E43" s="644"/>
      <c r="F43" s="644"/>
      <c r="G43" s="644"/>
      <c r="H43" s="644"/>
      <c r="I43" s="644"/>
      <c r="J43" s="644"/>
      <c r="K43" s="644"/>
      <c r="L43" s="644"/>
      <c r="M43" s="645"/>
      <c r="N43" s="577"/>
      <c r="O43" s="577"/>
      <c r="P43" s="650">
        <f>P42</f>
        <v>46091</v>
      </c>
      <c r="Q43" s="650"/>
      <c r="R43" s="650"/>
      <c r="S43" s="650"/>
      <c r="T43" s="650"/>
      <c r="U43" s="651">
        <f>U42</f>
        <v>46092</v>
      </c>
      <c r="V43" s="651"/>
      <c r="W43" s="651"/>
      <c r="X43" s="651"/>
      <c r="Y43" s="651"/>
      <c r="Z43" s="650">
        <f t="shared" ref="Z43" si="25">Z42</f>
        <v>46093</v>
      </c>
      <c r="AA43" s="650"/>
      <c r="AB43" s="650"/>
      <c r="AC43" s="650"/>
      <c r="AD43" s="650"/>
      <c r="AE43" s="651">
        <f t="shared" ref="AE43" si="26">AE42</f>
        <v>46094</v>
      </c>
      <c r="AF43" s="651"/>
      <c r="AG43" s="651"/>
      <c r="AH43" s="651"/>
      <c r="AI43" s="651"/>
      <c r="AJ43" s="652">
        <f t="shared" ref="AJ43" si="27">AJ42</f>
        <v>46095</v>
      </c>
      <c r="AK43" s="653"/>
      <c r="AL43" s="653"/>
      <c r="AM43" s="653"/>
      <c r="AN43" s="654"/>
      <c r="AO43" s="651">
        <f t="shared" ref="AO43" si="28">AO42</f>
        <v>46096</v>
      </c>
      <c r="AP43" s="651"/>
      <c r="AQ43" s="651"/>
      <c r="AR43" s="651"/>
      <c r="AS43" s="651"/>
      <c r="AT43" s="652">
        <f t="shared" ref="AT43" si="29">AT42</f>
        <v>46097</v>
      </c>
      <c r="AU43" s="653"/>
      <c r="AV43" s="653"/>
      <c r="AW43" s="653"/>
      <c r="AX43" s="654"/>
    </row>
    <row r="44" spans="2:50" ht="14.25" customHeight="1">
      <c r="B44" s="564" t="s">
        <v>164</v>
      </c>
      <c r="C44" s="564" t="s">
        <v>159</v>
      </c>
      <c r="D44" s="564"/>
      <c r="E44" s="564" t="s">
        <v>160</v>
      </c>
      <c r="F44" s="564"/>
      <c r="G44" s="564"/>
      <c r="H44" s="564" t="s">
        <v>165</v>
      </c>
      <c r="I44" s="628" t="s">
        <v>378</v>
      </c>
      <c r="J44" s="628"/>
      <c r="K44" s="628"/>
      <c r="L44" s="628" t="s">
        <v>165</v>
      </c>
      <c r="M44" s="628" t="s">
        <v>167</v>
      </c>
      <c r="N44" s="564"/>
      <c r="O44" s="564" t="s">
        <v>166</v>
      </c>
      <c r="P44" s="564" t="s">
        <v>162</v>
      </c>
      <c r="Q44" s="564"/>
      <c r="R44" s="564"/>
      <c r="S44" s="564"/>
      <c r="T44" s="564" t="s">
        <v>165</v>
      </c>
      <c r="U44" s="564" t="s">
        <v>162</v>
      </c>
      <c r="V44" s="564"/>
      <c r="W44" s="564"/>
      <c r="X44" s="564"/>
      <c r="Y44" s="564" t="s">
        <v>165</v>
      </c>
      <c r="Z44" s="564" t="s">
        <v>162</v>
      </c>
      <c r="AA44" s="564"/>
      <c r="AB44" s="564"/>
      <c r="AC44" s="564"/>
      <c r="AD44" s="564" t="s">
        <v>165</v>
      </c>
      <c r="AE44" s="564" t="s">
        <v>162</v>
      </c>
      <c r="AF44" s="564"/>
      <c r="AG44" s="564"/>
      <c r="AH44" s="564"/>
      <c r="AI44" s="564" t="s">
        <v>165</v>
      </c>
      <c r="AJ44" s="564" t="s">
        <v>162</v>
      </c>
      <c r="AK44" s="564"/>
      <c r="AL44" s="564"/>
      <c r="AM44" s="564"/>
      <c r="AN44" s="564" t="s">
        <v>165</v>
      </c>
      <c r="AO44" s="564" t="s">
        <v>162</v>
      </c>
      <c r="AP44" s="564"/>
      <c r="AQ44" s="564"/>
      <c r="AR44" s="564"/>
      <c r="AS44" s="564" t="s">
        <v>165</v>
      </c>
      <c r="AT44" s="564" t="s">
        <v>162</v>
      </c>
      <c r="AU44" s="564"/>
      <c r="AV44" s="564"/>
      <c r="AW44" s="564"/>
      <c r="AX44" s="564" t="s">
        <v>165</v>
      </c>
    </row>
    <row r="45" spans="2:50" ht="14.25" customHeight="1">
      <c r="B45" s="564"/>
      <c r="C45" s="564"/>
      <c r="D45" s="564"/>
      <c r="E45" s="564" t="s">
        <v>379</v>
      </c>
      <c r="F45" s="564"/>
      <c r="G45" s="564"/>
      <c r="H45" s="564"/>
      <c r="I45" s="628" t="s">
        <v>379</v>
      </c>
      <c r="J45" s="628"/>
      <c r="K45" s="628"/>
      <c r="L45" s="628"/>
      <c r="M45" s="628"/>
      <c r="N45" s="564"/>
      <c r="O45" s="564"/>
      <c r="P45" s="564" t="s">
        <v>380</v>
      </c>
      <c r="Q45" s="564"/>
      <c r="R45" s="564"/>
      <c r="S45" s="564"/>
      <c r="T45" s="564"/>
      <c r="U45" s="564" t="s">
        <v>380</v>
      </c>
      <c r="V45" s="564"/>
      <c r="W45" s="564"/>
      <c r="X45" s="564"/>
      <c r="Y45" s="564"/>
      <c r="Z45" s="564" t="s">
        <v>380</v>
      </c>
      <c r="AA45" s="564"/>
      <c r="AB45" s="564"/>
      <c r="AC45" s="564"/>
      <c r="AD45" s="564"/>
      <c r="AE45" s="564" t="s">
        <v>380</v>
      </c>
      <c r="AF45" s="564"/>
      <c r="AG45" s="564"/>
      <c r="AH45" s="564"/>
      <c r="AI45" s="564"/>
      <c r="AJ45" s="564" t="s">
        <v>380</v>
      </c>
      <c r="AK45" s="564"/>
      <c r="AL45" s="564"/>
      <c r="AM45" s="564"/>
      <c r="AN45" s="564"/>
      <c r="AO45" s="564" t="s">
        <v>380</v>
      </c>
      <c r="AP45" s="564"/>
      <c r="AQ45" s="564"/>
      <c r="AR45" s="564"/>
      <c r="AS45" s="564"/>
      <c r="AT45" s="564" t="s">
        <v>380</v>
      </c>
      <c r="AU45" s="564"/>
      <c r="AV45" s="564"/>
      <c r="AW45" s="564"/>
      <c r="AX45" s="564"/>
    </row>
    <row r="46" spans="2:50" ht="14.25" customHeight="1">
      <c r="B46" s="564"/>
      <c r="C46" s="564"/>
      <c r="D46" s="564"/>
      <c r="E46" s="180" t="s">
        <v>161</v>
      </c>
      <c r="F46" s="180" t="s">
        <v>381</v>
      </c>
      <c r="G46" s="180" t="s">
        <v>163</v>
      </c>
      <c r="H46" s="564"/>
      <c r="I46" s="181" t="s">
        <v>161</v>
      </c>
      <c r="J46" s="181" t="s">
        <v>381</v>
      </c>
      <c r="K46" s="181" t="s">
        <v>163</v>
      </c>
      <c r="L46" s="628"/>
      <c r="M46" s="628"/>
      <c r="N46" s="564"/>
      <c r="O46" s="564"/>
      <c r="P46" s="180" t="s">
        <v>161</v>
      </c>
      <c r="Q46" s="180" t="s">
        <v>381</v>
      </c>
      <c r="R46" s="180" t="s">
        <v>163</v>
      </c>
      <c r="S46" s="182" t="s">
        <v>167</v>
      </c>
      <c r="T46" s="564"/>
      <c r="U46" s="180" t="s">
        <v>161</v>
      </c>
      <c r="V46" s="180" t="s">
        <v>381</v>
      </c>
      <c r="W46" s="180" t="s">
        <v>163</v>
      </c>
      <c r="X46" s="182" t="s">
        <v>167</v>
      </c>
      <c r="Y46" s="564"/>
      <c r="Z46" s="180" t="s">
        <v>161</v>
      </c>
      <c r="AA46" s="180" t="s">
        <v>381</v>
      </c>
      <c r="AB46" s="180" t="s">
        <v>163</v>
      </c>
      <c r="AC46" s="182" t="s">
        <v>167</v>
      </c>
      <c r="AD46" s="564"/>
      <c r="AE46" s="180" t="s">
        <v>161</v>
      </c>
      <c r="AF46" s="180" t="s">
        <v>381</v>
      </c>
      <c r="AG46" s="180" t="s">
        <v>163</v>
      </c>
      <c r="AH46" s="182" t="s">
        <v>167</v>
      </c>
      <c r="AI46" s="564"/>
      <c r="AJ46" s="180" t="s">
        <v>161</v>
      </c>
      <c r="AK46" s="180" t="s">
        <v>381</v>
      </c>
      <c r="AL46" s="180" t="s">
        <v>163</v>
      </c>
      <c r="AM46" s="182" t="s">
        <v>167</v>
      </c>
      <c r="AN46" s="564"/>
      <c r="AO46" s="180" t="s">
        <v>161</v>
      </c>
      <c r="AP46" s="180" t="s">
        <v>381</v>
      </c>
      <c r="AQ46" s="180" t="s">
        <v>163</v>
      </c>
      <c r="AR46" s="182" t="s">
        <v>167</v>
      </c>
      <c r="AS46" s="564"/>
      <c r="AT46" s="180" t="s">
        <v>161</v>
      </c>
      <c r="AU46" s="180" t="s">
        <v>381</v>
      </c>
      <c r="AV46" s="180" t="s">
        <v>163</v>
      </c>
      <c r="AW46" s="182" t="s">
        <v>167</v>
      </c>
      <c r="AX46" s="564"/>
    </row>
    <row r="47" spans="2:50" ht="14.25" customHeight="1">
      <c r="B47" s="564" t="s">
        <v>457</v>
      </c>
      <c r="C47" s="180">
        <v>1</v>
      </c>
      <c r="D47" s="183"/>
      <c r="E47" s="180"/>
      <c r="F47" s="180"/>
      <c r="G47" s="185"/>
      <c r="H47" s="625"/>
      <c r="I47" s="186"/>
      <c r="J47" s="186"/>
      <c r="K47" s="187"/>
      <c r="L47" s="626" t="str">
        <f>IFERROR(AVERAGE(K47:K61),"-")</f>
        <v>-</v>
      </c>
      <c r="M47" s="186" t="e">
        <f>RANK(K47, K$47:$K$61)</f>
        <v>#N/A</v>
      </c>
      <c r="N47" s="564"/>
      <c r="O47" s="564"/>
      <c r="P47" s="188"/>
      <c r="Q47" s="188"/>
      <c r="R47" s="185"/>
      <c r="S47" s="182"/>
      <c r="T47" s="625"/>
      <c r="U47" s="188"/>
      <c r="V47" s="188"/>
      <c r="W47" s="185"/>
      <c r="X47" s="182"/>
      <c r="Y47" s="625"/>
      <c r="Z47" s="188"/>
      <c r="AA47" s="188"/>
      <c r="AB47" s="185"/>
      <c r="AC47" s="182"/>
      <c r="AD47" s="625"/>
      <c r="AE47" s="188"/>
      <c r="AF47" s="188"/>
      <c r="AG47" s="185"/>
      <c r="AH47" s="182"/>
      <c r="AI47" s="625"/>
      <c r="AJ47" s="188"/>
      <c r="AK47" s="188"/>
      <c r="AL47" s="185"/>
      <c r="AM47" s="182"/>
      <c r="AN47" s="625"/>
      <c r="AO47" s="188"/>
      <c r="AP47" s="188"/>
      <c r="AQ47" s="185"/>
      <c r="AR47" s="182"/>
      <c r="AS47" s="625"/>
      <c r="AT47" s="188"/>
      <c r="AU47" s="188"/>
      <c r="AV47" s="185"/>
      <c r="AW47" s="182"/>
      <c r="AX47" s="625"/>
    </row>
    <row r="48" spans="2:50" ht="14.25" customHeight="1">
      <c r="B48" s="564"/>
      <c r="C48" s="180">
        <v>2</v>
      </c>
      <c r="D48" s="183"/>
      <c r="E48" s="180"/>
      <c r="F48" s="180"/>
      <c r="G48" s="185"/>
      <c r="H48" s="625"/>
      <c r="I48" s="186"/>
      <c r="J48" s="186"/>
      <c r="K48" s="187"/>
      <c r="L48" s="626"/>
      <c r="M48" s="186"/>
      <c r="N48" s="564"/>
      <c r="O48" s="564"/>
      <c r="P48" s="188"/>
      <c r="Q48" s="188"/>
      <c r="R48" s="185"/>
      <c r="S48" s="182"/>
      <c r="T48" s="625"/>
      <c r="U48" s="188"/>
      <c r="V48" s="188"/>
      <c r="W48" s="185"/>
      <c r="X48" s="182"/>
      <c r="Y48" s="625"/>
      <c r="Z48" s="188"/>
      <c r="AA48" s="188"/>
      <c r="AB48" s="185"/>
      <c r="AC48" s="182"/>
      <c r="AD48" s="625"/>
      <c r="AE48" s="188"/>
      <c r="AF48" s="188"/>
      <c r="AG48" s="185"/>
      <c r="AH48" s="182"/>
      <c r="AI48" s="625"/>
      <c r="AJ48" s="188"/>
      <c r="AK48" s="188"/>
      <c r="AL48" s="185"/>
      <c r="AM48" s="182"/>
      <c r="AN48" s="625"/>
      <c r="AO48" s="188"/>
      <c r="AP48" s="188"/>
      <c r="AQ48" s="185"/>
      <c r="AR48" s="182"/>
      <c r="AS48" s="625"/>
      <c r="AT48" s="188"/>
      <c r="AU48" s="188"/>
      <c r="AV48" s="185"/>
      <c r="AW48" s="182"/>
      <c r="AX48" s="625"/>
    </row>
    <row r="49" spans="2:50" ht="14.25" customHeight="1">
      <c r="B49" s="564"/>
      <c r="C49" s="180">
        <v>3</v>
      </c>
      <c r="D49" s="183"/>
      <c r="E49" s="180"/>
      <c r="F49" s="180"/>
      <c r="G49" s="185"/>
      <c r="H49" s="625"/>
      <c r="I49" s="186"/>
      <c r="J49" s="186"/>
      <c r="K49" s="187"/>
      <c r="L49" s="626"/>
      <c r="M49" s="186"/>
      <c r="N49" s="564"/>
      <c r="O49" s="564"/>
      <c r="P49" s="188"/>
      <c r="Q49" s="188"/>
      <c r="R49" s="185"/>
      <c r="S49" s="182"/>
      <c r="T49" s="625"/>
      <c r="U49" s="188"/>
      <c r="V49" s="188"/>
      <c r="W49" s="185"/>
      <c r="X49" s="182"/>
      <c r="Y49" s="625"/>
      <c r="Z49" s="188"/>
      <c r="AA49" s="188"/>
      <c r="AB49" s="185"/>
      <c r="AC49" s="182"/>
      <c r="AD49" s="625"/>
      <c r="AE49" s="188"/>
      <c r="AF49" s="188"/>
      <c r="AG49" s="185"/>
      <c r="AH49" s="182"/>
      <c r="AI49" s="625"/>
      <c r="AJ49" s="188"/>
      <c r="AK49" s="188"/>
      <c r="AL49" s="185"/>
      <c r="AM49" s="182"/>
      <c r="AN49" s="625"/>
      <c r="AO49" s="188"/>
      <c r="AP49" s="188"/>
      <c r="AQ49" s="185"/>
      <c r="AR49" s="182"/>
      <c r="AS49" s="625"/>
      <c r="AT49" s="188"/>
      <c r="AU49" s="188"/>
      <c r="AV49" s="185"/>
      <c r="AW49" s="182"/>
      <c r="AX49" s="625"/>
    </row>
    <row r="50" spans="2:50" ht="14.25" customHeight="1">
      <c r="B50" s="564"/>
      <c r="C50" s="180">
        <v>4</v>
      </c>
      <c r="D50" s="183"/>
      <c r="E50" s="180"/>
      <c r="F50" s="180"/>
      <c r="G50" s="185"/>
      <c r="H50" s="625"/>
      <c r="I50" s="186"/>
      <c r="J50" s="186"/>
      <c r="K50" s="187"/>
      <c r="L50" s="626"/>
      <c r="M50" s="186"/>
      <c r="N50" s="564"/>
      <c r="O50" s="564"/>
      <c r="P50" s="188"/>
      <c r="Q50" s="188"/>
      <c r="R50" s="185"/>
      <c r="S50" s="182"/>
      <c r="T50" s="625"/>
      <c r="U50" s="188"/>
      <c r="V50" s="188"/>
      <c r="W50" s="185"/>
      <c r="X50" s="182"/>
      <c r="Y50" s="625"/>
      <c r="Z50" s="188"/>
      <c r="AA50" s="188"/>
      <c r="AB50" s="185"/>
      <c r="AC50" s="182"/>
      <c r="AD50" s="625"/>
      <c r="AE50" s="188"/>
      <c r="AF50" s="188"/>
      <c r="AG50" s="185"/>
      <c r="AH50" s="182"/>
      <c r="AI50" s="625"/>
      <c r="AJ50" s="188"/>
      <c r="AK50" s="188"/>
      <c r="AL50" s="185"/>
      <c r="AM50" s="182"/>
      <c r="AN50" s="625"/>
      <c r="AO50" s="188"/>
      <c r="AP50" s="188"/>
      <c r="AQ50" s="185"/>
      <c r="AR50" s="182"/>
      <c r="AS50" s="625"/>
      <c r="AT50" s="188"/>
      <c r="AU50" s="188"/>
      <c r="AV50" s="185"/>
      <c r="AW50" s="182"/>
      <c r="AX50" s="625"/>
    </row>
    <row r="51" spans="2:50" ht="14.25" customHeight="1">
      <c r="B51" s="564"/>
      <c r="C51" s="180">
        <v>5</v>
      </c>
      <c r="D51" s="183"/>
      <c r="E51" s="180"/>
      <c r="F51" s="180"/>
      <c r="G51" s="185"/>
      <c r="H51" s="625"/>
      <c r="I51" s="186"/>
      <c r="J51" s="186"/>
      <c r="K51" s="187"/>
      <c r="L51" s="626"/>
      <c r="M51" s="186"/>
      <c r="N51" s="564"/>
      <c r="O51" s="564"/>
      <c r="P51" s="188"/>
      <c r="Q51" s="188"/>
      <c r="R51" s="185"/>
      <c r="S51" s="182"/>
      <c r="T51" s="625"/>
      <c r="U51" s="188"/>
      <c r="V51" s="188"/>
      <c r="W51" s="185"/>
      <c r="X51" s="182"/>
      <c r="Y51" s="625"/>
      <c r="Z51" s="188"/>
      <c r="AA51" s="188"/>
      <c r="AB51" s="185"/>
      <c r="AC51" s="182"/>
      <c r="AD51" s="625"/>
      <c r="AE51" s="188"/>
      <c r="AF51" s="188"/>
      <c r="AG51" s="185"/>
      <c r="AH51" s="182"/>
      <c r="AI51" s="625"/>
      <c r="AJ51" s="188"/>
      <c r="AK51" s="188"/>
      <c r="AL51" s="185"/>
      <c r="AM51" s="182"/>
      <c r="AN51" s="625"/>
      <c r="AO51" s="188"/>
      <c r="AP51" s="188"/>
      <c r="AQ51" s="185"/>
      <c r="AR51" s="182"/>
      <c r="AS51" s="625"/>
      <c r="AT51" s="188"/>
      <c r="AU51" s="188"/>
      <c r="AV51" s="185"/>
      <c r="AW51" s="182"/>
      <c r="AX51" s="625"/>
    </row>
    <row r="52" spans="2:50" ht="14.25" customHeight="1">
      <c r="B52" s="564"/>
      <c r="C52" s="180">
        <v>6</v>
      </c>
      <c r="D52" s="183"/>
      <c r="E52" s="180"/>
      <c r="F52" s="180"/>
      <c r="G52" s="185"/>
      <c r="H52" s="625"/>
      <c r="I52" s="186"/>
      <c r="J52" s="186"/>
      <c r="K52" s="187"/>
      <c r="L52" s="626"/>
      <c r="M52" s="186"/>
      <c r="N52" s="564"/>
      <c r="O52" s="564"/>
      <c r="P52" s="188"/>
      <c r="Q52" s="188"/>
      <c r="R52" s="185"/>
      <c r="S52" s="182"/>
      <c r="T52" s="625"/>
      <c r="U52" s="188"/>
      <c r="V52" s="188"/>
      <c r="W52" s="185"/>
      <c r="X52" s="182"/>
      <c r="Y52" s="625"/>
      <c r="Z52" s="188"/>
      <c r="AA52" s="188"/>
      <c r="AB52" s="185"/>
      <c r="AC52" s="182"/>
      <c r="AD52" s="625"/>
      <c r="AE52" s="188"/>
      <c r="AF52" s="188"/>
      <c r="AG52" s="185"/>
      <c r="AH52" s="182"/>
      <c r="AI52" s="625"/>
      <c r="AJ52" s="188"/>
      <c r="AK52" s="188"/>
      <c r="AL52" s="185"/>
      <c r="AM52" s="182"/>
      <c r="AN52" s="625"/>
      <c r="AO52" s="188"/>
      <c r="AP52" s="188"/>
      <c r="AQ52" s="185"/>
      <c r="AR52" s="182"/>
      <c r="AS52" s="625"/>
      <c r="AT52" s="188"/>
      <c r="AU52" s="188"/>
      <c r="AV52" s="185"/>
      <c r="AW52" s="182"/>
      <c r="AX52" s="625"/>
    </row>
    <row r="53" spans="2:50" ht="14.25" customHeight="1">
      <c r="B53" s="564"/>
      <c r="C53" s="180">
        <v>7</v>
      </c>
      <c r="D53" s="183"/>
      <c r="E53" s="180"/>
      <c r="F53" s="180"/>
      <c r="G53" s="185"/>
      <c r="H53" s="625"/>
      <c r="I53" s="186"/>
      <c r="J53" s="186"/>
      <c r="K53" s="187"/>
      <c r="L53" s="626"/>
      <c r="M53" s="186"/>
      <c r="N53" s="564"/>
      <c r="O53" s="564"/>
      <c r="P53" s="188"/>
      <c r="Q53" s="188"/>
      <c r="R53" s="185"/>
      <c r="S53" s="182"/>
      <c r="T53" s="625"/>
      <c r="U53" s="188"/>
      <c r="V53" s="188"/>
      <c r="W53" s="185"/>
      <c r="X53" s="182"/>
      <c r="Y53" s="625"/>
      <c r="Z53" s="188"/>
      <c r="AA53" s="188"/>
      <c r="AB53" s="185"/>
      <c r="AC53" s="182"/>
      <c r="AD53" s="625"/>
      <c r="AE53" s="188"/>
      <c r="AF53" s="188"/>
      <c r="AG53" s="185"/>
      <c r="AH53" s="182"/>
      <c r="AI53" s="625"/>
      <c r="AJ53" s="188"/>
      <c r="AK53" s="188"/>
      <c r="AL53" s="185"/>
      <c r="AM53" s="182"/>
      <c r="AN53" s="625"/>
      <c r="AO53" s="188"/>
      <c r="AP53" s="188"/>
      <c r="AQ53" s="185"/>
      <c r="AR53" s="182"/>
      <c r="AS53" s="625"/>
      <c r="AT53" s="188"/>
      <c r="AU53" s="188"/>
      <c r="AV53" s="185"/>
      <c r="AW53" s="182"/>
      <c r="AX53" s="625"/>
    </row>
    <row r="54" spans="2:50" ht="14.25" customHeight="1">
      <c r="B54" s="564"/>
      <c r="C54" s="180">
        <v>8</v>
      </c>
      <c r="D54" s="183"/>
      <c r="E54" s="180"/>
      <c r="F54" s="180"/>
      <c r="G54" s="185"/>
      <c r="H54" s="625"/>
      <c r="I54" s="186"/>
      <c r="J54" s="186"/>
      <c r="K54" s="187"/>
      <c r="L54" s="626"/>
      <c r="M54" s="186"/>
      <c r="N54" s="564"/>
      <c r="O54" s="564"/>
      <c r="P54" s="188"/>
      <c r="Q54" s="188"/>
      <c r="R54" s="185"/>
      <c r="S54" s="182"/>
      <c r="T54" s="625"/>
      <c r="U54" s="188"/>
      <c r="V54" s="188"/>
      <c r="W54" s="185"/>
      <c r="X54" s="182"/>
      <c r="Y54" s="625"/>
      <c r="Z54" s="188"/>
      <c r="AA54" s="188"/>
      <c r="AB54" s="185"/>
      <c r="AC54" s="182"/>
      <c r="AD54" s="625"/>
      <c r="AE54" s="188"/>
      <c r="AF54" s="188"/>
      <c r="AG54" s="185"/>
      <c r="AH54" s="182"/>
      <c r="AI54" s="625"/>
      <c r="AJ54" s="188"/>
      <c r="AK54" s="188"/>
      <c r="AL54" s="185"/>
      <c r="AM54" s="182"/>
      <c r="AN54" s="625"/>
      <c r="AO54" s="188"/>
      <c r="AP54" s="188"/>
      <c r="AQ54" s="185"/>
      <c r="AR54" s="182"/>
      <c r="AS54" s="625"/>
      <c r="AT54" s="188"/>
      <c r="AU54" s="188"/>
      <c r="AV54" s="185"/>
      <c r="AW54" s="182"/>
      <c r="AX54" s="625"/>
    </row>
    <row r="55" spans="2:50" ht="14.25" customHeight="1">
      <c r="B55" s="564"/>
      <c r="C55" s="180">
        <v>9</v>
      </c>
      <c r="D55" s="183"/>
      <c r="E55" s="180"/>
      <c r="F55" s="180"/>
      <c r="G55" s="185"/>
      <c r="H55" s="625"/>
      <c r="I55" s="186"/>
      <c r="J55" s="186"/>
      <c r="K55" s="187"/>
      <c r="L55" s="626"/>
      <c r="M55" s="186"/>
      <c r="N55" s="564"/>
      <c r="O55" s="564"/>
      <c r="P55" s="188"/>
      <c r="Q55" s="188"/>
      <c r="R55" s="185"/>
      <c r="S55" s="182"/>
      <c r="T55" s="625"/>
      <c r="U55" s="188"/>
      <c r="V55" s="188"/>
      <c r="W55" s="185"/>
      <c r="X55" s="182"/>
      <c r="Y55" s="625"/>
      <c r="Z55" s="188"/>
      <c r="AA55" s="188"/>
      <c r="AB55" s="185"/>
      <c r="AC55" s="182"/>
      <c r="AD55" s="625"/>
      <c r="AE55" s="188"/>
      <c r="AF55" s="188"/>
      <c r="AG55" s="185"/>
      <c r="AH55" s="182"/>
      <c r="AI55" s="625"/>
      <c r="AJ55" s="188"/>
      <c r="AK55" s="188"/>
      <c r="AL55" s="185"/>
      <c r="AM55" s="182"/>
      <c r="AN55" s="625"/>
      <c r="AO55" s="188"/>
      <c r="AP55" s="188"/>
      <c r="AQ55" s="185"/>
      <c r="AR55" s="182"/>
      <c r="AS55" s="625"/>
      <c r="AT55" s="188"/>
      <c r="AU55" s="188"/>
      <c r="AV55" s="185"/>
      <c r="AW55" s="182"/>
      <c r="AX55" s="625"/>
    </row>
    <row r="56" spans="2:50" ht="14.25" customHeight="1">
      <c r="B56" s="564"/>
      <c r="C56" s="180">
        <v>10</v>
      </c>
      <c r="D56" s="183"/>
      <c r="E56" s="180"/>
      <c r="F56" s="180"/>
      <c r="G56" s="185"/>
      <c r="H56" s="625"/>
      <c r="I56" s="186"/>
      <c r="J56" s="186"/>
      <c r="K56" s="187"/>
      <c r="L56" s="626"/>
      <c r="M56" s="186"/>
      <c r="N56" s="564"/>
      <c r="O56" s="564"/>
      <c r="P56" s="188"/>
      <c r="Q56" s="188"/>
      <c r="R56" s="185"/>
      <c r="S56" s="182"/>
      <c r="T56" s="625"/>
      <c r="U56" s="188"/>
      <c r="V56" s="188"/>
      <c r="W56" s="185"/>
      <c r="X56" s="182"/>
      <c r="Y56" s="625"/>
      <c r="Z56" s="188"/>
      <c r="AA56" s="188"/>
      <c r="AB56" s="185"/>
      <c r="AC56" s="182"/>
      <c r="AD56" s="625"/>
      <c r="AE56" s="188"/>
      <c r="AF56" s="188"/>
      <c r="AG56" s="185"/>
      <c r="AH56" s="182"/>
      <c r="AI56" s="625"/>
      <c r="AJ56" s="188"/>
      <c r="AK56" s="188"/>
      <c r="AL56" s="185"/>
      <c r="AM56" s="182"/>
      <c r="AN56" s="625"/>
      <c r="AO56" s="188"/>
      <c r="AP56" s="188"/>
      <c r="AQ56" s="185"/>
      <c r="AR56" s="182"/>
      <c r="AS56" s="625"/>
      <c r="AT56" s="188"/>
      <c r="AU56" s="188"/>
      <c r="AV56" s="185"/>
      <c r="AW56" s="182"/>
      <c r="AX56" s="625"/>
    </row>
    <row r="57" spans="2:50" ht="14.25" customHeight="1">
      <c r="B57" s="564"/>
      <c r="C57" s="180">
        <v>11</v>
      </c>
      <c r="D57" s="183"/>
      <c r="E57" s="180"/>
      <c r="F57" s="180"/>
      <c r="G57" s="185"/>
      <c r="H57" s="625"/>
      <c r="I57" s="186"/>
      <c r="J57" s="186"/>
      <c r="K57" s="187"/>
      <c r="L57" s="626"/>
      <c r="M57" s="186"/>
      <c r="N57" s="564"/>
      <c r="O57" s="564"/>
      <c r="P57" s="188"/>
      <c r="Q57" s="188"/>
      <c r="R57" s="185"/>
      <c r="S57" s="182"/>
      <c r="T57" s="625"/>
      <c r="U57" s="188"/>
      <c r="V57" s="188"/>
      <c r="W57" s="185"/>
      <c r="X57" s="182"/>
      <c r="Y57" s="625"/>
      <c r="Z57" s="188"/>
      <c r="AA57" s="188"/>
      <c r="AB57" s="185"/>
      <c r="AC57" s="182"/>
      <c r="AD57" s="625"/>
      <c r="AE57" s="188"/>
      <c r="AF57" s="188"/>
      <c r="AG57" s="185"/>
      <c r="AH57" s="182"/>
      <c r="AI57" s="625"/>
      <c r="AJ57" s="188"/>
      <c r="AK57" s="188"/>
      <c r="AL57" s="185"/>
      <c r="AM57" s="182"/>
      <c r="AN57" s="625"/>
      <c r="AO57" s="188"/>
      <c r="AP57" s="188"/>
      <c r="AQ57" s="185"/>
      <c r="AR57" s="182"/>
      <c r="AS57" s="625"/>
      <c r="AT57" s="188"/>
      <c r="AU57" s="188"/>
      <c r="AV57" s="185"/>
      <c r="AW57" s="182"/>
      <c r="AX57" s="625"/>
    </row>
    <row r="58" spans="2:50" ht="14.25" customHeight="1">
      <c r="B58" s="564"/>
      <c r="C58" s="180">
        <v>12</v>
      </c>
      <c r="D58" s="183"/>
      <c r="E58" s="180"/>
      <c r="F58" s="180"/>
      <c r="G58" s="185"/>
      <c r="H58" s="625"/>
      <c r="I58" s="186"/>
      <c r="J58" s="186"/>
      <c r="K58" s="187"/>
      <c r="L58" s="626"/>
      <c r="M58" s="186"/>
      <c r="N58" s="564"/>
      <c r="O58" s="564"/>
      <c r="P58" s="188"/>
      <c r="Q58" s="188"/>
      <c r="R58" s="185"/>
      <c r="S58" s="182"/>
      <c r="T58" s="625"/>
      <c r="U58" s="188"/>
      <c r="V58" s="188"/>
      <c r="W58" s="185"/>
      <c r="X58" s="182"/>
      <c r="Y58" s="625"/>
      <c r="Z58" s="188"/>
      <c r="AA58" s="188"/>
      <c r="AB58" s="185"/>
      <c r="AC58" s="182"/>
      <c r="AD58" s="625"/>
      <c r="AE58" s="188"/>
      <c r="AF58" s="188"/>
      <c r="AG58" s="185"/>
      <c r="AH58" s="182"/>
      <c r="AI58" s="625"/>
      <c r="AJ58" s="188"/>
      <c r="AK58" s="188"/>
      <c r="AL58" s="185"/>
      <c r="AM58" s="182"/>
      <c r="AN58" s="625"/>
      <c r="AO58" s="188"/>
      <c r="AP58" s="188"/>
      <c r="AQ58" s="185"/>
      <c r="AR58" s="182"/>
      <c r="AS58" s="625"/>
      <c r="AT58" s="188"/>
      <c r="AU58" s="188"/>
      <c r="AV58" s="185"/>
      <c r="AW58" s="182"/>
      <c r="AX58" s="625"/>
    </row>
    <row r="59" spans="2:50" ht="14.25" customHeight="1">
      <c r="B59" s="564"/>
      <c r="C59" s="180">
        <v>13</v>
      </c>
      <c r="D59" s="183"/>
      <c r="E59" s="180"/>
      <c r="F59" s="180"/>
      <c r="G59" s="185"/>
      <c r="H59" s="625"/>
      <c r="I59" s="186"/>
      <c r="J59" s="186"/>
      <c r="K59" s="187"/>
      <c r="L59" s="626"/>
      <c r="M59" s="186"/>
      <c r="N59" s="564"/>
      <c r="O59" s="564"/>
      <c r="P59" s="188"/>
      <c r="Q59" s="188"/>
      <c r="R59" s="185"/>
      <c r="S59" s="182"/>
      <c r="T59" s="625"/>
      <c r="U59" s="188"/>
      <c r="V59" s="188"/>
      <c r="W59" s="185"/>
      <c r="X59" s="182"/>
      <c r="Y59" s="625"/>
      <c r="Z59" s="188"/>
      <c r="AA59" s="188"/>
      <c r="AB59" s="185"/>
      <c r="AC59" s="182"/>
      <c r="AD59" s="625"/>
      <c r="AE59" s="188"/>
      <c r="AF59" s="188"/>
      <c r="AG59" s="185"/>
      <c r="AH59" s="182"/>
      <c r="AI59" s="625"/>
      <c r="AJ59" s="188"/>
      <c r="AK59" s="188"/>
      <c r="AL59" s="185"/>
      <c r="AM59" s="182"/>
      <c r="AN59" s="625"/>
      <c r="AO59" s="188"/>
      <c r="AP59" s="188"/>
      <c r="AQ59" s="185"/>
      <c r="AR59" s="182"/>
      <c r="AS59" s="625"/>
      <c r="AT59" s="188"/>
      <c r="AU59" s="188"/>
      <c r="AV59" s="185"/>
      <c r="AW59" s="182"/>
      <c r="AX59" s="625"/>
    </row>
    <row r="60" spans="2:50" ht="14.25" customHeight="1">
      <c r="B60" s="564"/>
      <c r="C60" s="180">
        <v>14</v>
      </c>
      <c r="D60" s="183"/>
      <c r="E60" s="180"/>
      <c r="F60" s="180"/>
      <c r="G60" s="185"/>
      <c r="H60" s="625"/>
      <c r="I60" s="186"/>
      <c r="J60" s="186"/>
      <c r="K60" s="187"/>
      <c r="L60" s="626"/>
      <c r="M60" s="186"/>
      <c r="N60" s="564"/>
      <c r="O60" s="564"/>
      <c r="P60" s="188"/>
      <c r="Q60" s="188"/>
      <c r="R60" s="185"/>
      <c r="S60" s="182"/>
      <c r="T60" s="625"/>
      <c r="U60" s="188"/>
      <c r="V60" s="188"/>
      <c r="W60" s="185"/>
      <c r="X60" s="182"/>
      <c r="Y60" s="625"/>
      <c r="Z60" s="188"/>
      <c r="AA60" s="188"/>
      <c r="AB60" s="185"/>
      <c r="AC60" s="182"/>
      <c r="AD60" s="625"/>
      <c r="AE60" s="188"/>
      <c r="AF60" s="188"/>
      <c r="AG60" s="185"/>
      <c r="AH60" s="182"/>
      <c r="AI60" s="625"/>
      <c r="AJ60" s="188"/>
      <c r="AK60" s="188"/>
      <c r="AL60" s="185"/>
      <c r="AM60" s="182"/>
      <c r="AN60" s="625"/>
      <c r="AO60" s="188"/>
      <c r="AP60" s="188"/>
      <c r="AQ60" s="185"/>
      <c r="AR60" s="182"/>
      <c r="AS60" s="625"/>
      <c r="AT60" s="188"/>
      <c r="AU60" s="188"/>
      <c r="AV60" s="185"/>
      <c r="AW60" s="182"/>
      <c r="AX60" s="625"/>
    </row>
    <row r="61" spans="2:50" ht="14.25" customHeight="1">
      <c r="B61" s="564"/>
      <c r="C61" s="180">
        <v>15</v>
      </c>
      <c r="D61" s="183"/>
      <c r="E61" s="180"/>
      <c r="F61" s="180"/>
      <c r="G61" s="185"/>
      <c r="H61" s="625"/>
      <c r="I61" s="186"/>
      <c r="J61" s="186"/>
      <c r="K61" s="187"/>
      <c r="L61" s="626"/>
      <c r="M61" s="186"/>
      <c r="N61" s="564"/>
      <c r="O61" s="564"/>
      <c r="P61" s="188"/>
      <c r="Q61" s="188"/>
      <c r="R61" s="185"/>
      <c r="S61" s="182"/>
      <c r="T61" s="625"/>
      <c r="U61" s="188"/>
      <c r="V61" s="188"/>
      <c r="W61" s="185"/>
      <c r="X61" s="182"/>
      <c r="Y61" s="625"/>
      <c r="Z61" s="188"/>
      <c r="AA61" s="188"/>
      <c r="AB61" s="185"/>
      <c r="AC61" s="182"/>
      <c r="AD61" s="625"/>
      <c r="AE61" s="188"/>
      <c r="AF61" s="188"/>
      <c r="AG61" s="185"/>
      <c r="AH61" s="182"/>
      <c r="AI61" s="625"/>
      <c r="AJ61" s="188"/>
      <c r="AK61" s="188"/>
      <c r="AL61" s="185"/>
      <c r="AM61" s="182"/>
      <c r="AN61" s="625"/>
      <c r="AO61" s="188"/>
      <c r="AP61" s="188"/>
      <c r="AQ61" s="185"/>
      <c r="AR61" s="182"/>
      <c r="AS61" s="625"/>
      <c r="AT61" s="188"/>
      <c r="AU61" s="188"/>
      <c r="AV61" s="185"/>
      <c r="AW61" s="182"/>
      <c r="AX61" s="625"/>
    </row>
    <row r="62" spans="2:50" ht="14.25" customHeight="1" collapsed="1">
      <c r="B62" s="641" t="s">
        <v>644</v>
      </c>
      <c r="C62" s="642"/>
      <c r="D62" s="642"/>
      <c r="E62" s="642"/>
      <c r="F62" s="642"/>
      <c r="G62" s="642"/>
      <c r="H62" s="642"/>
      <c r="I62" s="642"/>
      <c r="J62" s="642"/>
      <c r="K62" s="642"/>
      <c r="L62" s="642"/>
      <c r="M62" s="643"/>
      <c r="N62" s="575" t="s">
        <v>377</v>
      </c>
      <c r="O62" s="575" t="s">
        <v>105</v>
      </c>
      <c r="P62" s="655">
        <f>AT42+1</f>
        <v>46098</v>
      </c>
      <c r="Q62" s="656"/>
      <c r="R62" s="656"/>
      <c r="S62" s="656"/>
      <c r="T62" s="656"/>
      <c r="U62" s="657">
        <f>P62+1</f>
        <v>46099</v>
      </c>
      <c r="V62" s="658"/>
      <c r="W62" s="658"/>
      <c r="X62" s="658"/>
      <c r="Y62" s="658"/>
      <c r="Z62" s="655">
        <f t="shared" ref="Z62" si="30">U62+1</f>
        <v>46100</v>
      </c>
      <c r="AA62" s="656"/>
      <c r="AB62" s="656"/>
      <c r="AC62" s="656"/>
      <c r="AD62" s="656"/>
      <c r="AE62" s="657">
        <f t="shared" ref="AE62" si="31">Z62+1</f>
        <v>46101</v>
      </c>
      <c r="AF62" s="658"/>
      <c r="AG62" s="658"/>
      <c r="AH62" s="658"/>
      <c r="AI62" s="658"/>
      <c r="AJ62" s="647">
        <f t="shared" ref="AJ62" si="32">AE62+1</f>
        <v>46102</v>
      </c>
      <c r="AK62" s="648"/>
      <c r="AL62" s="648"/>
      <c r="AM62" s="648"/>
      <c r="AN62" s="649"/>
      <c r="AO62" s="657">
        <f t="shared" ref="AO62" si="33">AJ62+1</f>
        <v>46103</v>
      </c>
      <c r="AP62" s="658"/>
      <c r="AQ62" s="658"/>
      <c r="AR62" s="658"/>
      <c r="AS62" s="658"/>
      <c r="AT62" s="647">
        <f t="shared" ref="AT62" si="34">AO62+1</f>
        <v>46104</v>
      </c>
      <c r="AU62" s="648"/>
      <c r="AV62" s="648"/>
      <c r="AW62" s="648"/>
      <c r="AX62" s="649"/>
    </row>
    <row r="63" spans="2:50" ht="14.25" customHeight="1">
      <c r="B63" s="644"/>
      <c r="C63" s="644"/>
      <c r="D63" s="644"/>
      <c r="E63" s="644"/>
      <c r="F63" s="644"/>
      <c r="G63" s="644"/>
      <c r="H63" s="644"/>
      <c r="I63" s="644"/>
      <c r="J63" s="644"/>
      <c r="K63" s="644"/>
      <c r="L63" s="644"/>
      <c r="M63" s="645"/>
      <c r="N63" s="577"/>
      <c r="O63" s="577"/>
      <c r="P63" s="650">
        <f>P62</f>
        <v>46098</v>
      </c>
      <c r="Q63" s="650"/>
      <c r="R63" s="650"/>
      <c r="S63" s="650"/>
      <c r="T63" s="650"/>
      <c r="U63" s="651">
        <f>U62</f>
        <v>46099</v>
      </c>
      <c r="V63" s="651"/>
      <c r="W63" s="651"/>
      <c r="X63" s="651"/>
      <c r="Y63" s="651"/>
      <c r="Z63" s="650">
        <f t="shared" ref="Z63" si="35">Z62</f>
        <v>46100</v>
      </c>
      <c r="AA63" s="650"/>
      <c r="AB63" s="650"/>
      <c r="AC63" s="650"/>
      <c r="AD63" s="650"/>
      <c r="AE63" s="651">
        <f t="shared" ref="AE63" si="36">AE62</f>
        <v>46101</v>
      </c>
      <c r="AF63" s="651"/>
      <c r="AG63" s="651"/>
      <c r="AH63" s="651"/>
      <c r="AI63" s="651"/>
      <c r="AJ63" s="652">
        <f t="shared" ref="AJ63" si="37">AJ62</f>
        <v>46102</v>
      </c>
      <c r="AK63" s="653"/>
      <c r="AL63" s="653"/>
      <c r="AM63" s="653"/>
      <c r="AN63" s="654"/>
      <c r="AO63" s="651">
        <f t="shared" ref="AO63" si="38">AO62</f>
        <v>46103</v>
      </c>
      <c r="AP63" s="651"/>
      <c r="AQ63" s="651"/>
      <c r="AR63" s="651"/>
      <c r="AS63" s="651"/>
      <c r="AT63" s="652">
        <f t="shared" ref="AT63" si="39">AT62</f>
        <v>46104</v>
      </c>
      <c r="AU63" s="653"/>
      <c r="AV63" s="653"/>
      <c r="AW63" s="653"/>
      <c r="AX63" s="654"/>
    </row>
    <row r="64" spans="2:50" ht="14.25" customHeight="1">
      <c r="B64" s="564" t="s">
        <v>164</v>
      </c>
      <c r="C64" s="564" t="s">
        <v>159</v>
      </c>
      <c r="D64" s="564"/>
      <c r="E64" s="564" t="s">
        <v>160</v>
      </c>
      <c r="F64" s="564"/>
      <c r="G64" s="564"/>
      <c r="H64" s="564" t="s">
        <v>165</v>
      </c>
      <c r="I64" s="628" t="s">
        <v>378</v>
      </c>
      <c r="J64" s="628"/>
      <c r="K64" s="628"/>
      <c r="L64" s="628" t="s">
        <v>165</v>
      </c>
      <c r="M64" s="628" t="s">
        <v>167</v>
      </c>
      <c r="N64" s="564"/>
      <c r="O64" s="564" t="s">
        <v>166</v>
      </c>
      <c r="P64" s="564" t="s">
        <v>162</v>
      </c>
      <c r="Q64" s="564"/>
      <c r="R64" s="564"/>
      <c r="S64" s="564"/>
      <c r="T64" s="564" t="s">
        <v>165</v>
      </c>
      <c r="U64" s="564" t="s">
        <v>162</v>
      </c>
      <c r="V64" s="564"/>
      <c r="W64" s="564"/>
      <c r="X64" s="564"/>
      <c r="Y64" s="564" t="s">
        <v>165</v>
      </c>
      <c r="Z64" s="564" t="s">
        <v>162</v>
      </c>
      <c r="AA64" s="564"/>
      <c r="AB64" s="564"/>
      <c r="AC64" s="564"/>
      <c r="AD64" s="564" t="s">
        <v>165</v>
      </c>
      <c r="AE64" s="564" t="s">
        <v>162</v>
      </c>
      <c r="AF64" s="564"/>
      <c r="AG64" s="564"/>
      <c r="AH64" s="564"/>
      <c r="AI64" s="564" t="s">
        <v>165</v>
      </c>
      <c r="AJ64" s="564" t="s">
        <v>162</v>
      </c>
      <c r="AK64" s="564"/>
      <c r="AL64" s="564"/>
      <c r="AM64" s="564"/>
      <c r="AN64" s="564" t="s">
        <v>165</v>
      </c>
      <c r="AO64" s="564" t="s">
        <v>162</v>
      </c>
      <c r="AP64" s="564"/>
      <c r="AQ64" s="564"/>
      <c r="AR64" s="564"/>
      <c r="AS64" s="564" t="s">
        <v>165</v>
      </c>
      <c r="AT64" s="564" t="s">
        <v>162</v>
      </c>
      <c r="AU64" s="564"/>
      <c r="AV64" s="564"/>
      <c r="AW64" s="564"/>
      <c r="AX64" s="564" t="s">
        <v>165</v>
      </c>
    </row>
    <row r="65" spans="2:50" ht="14.25" customHeight="1">
      <c r="B65" s="564"/>
      <c r="C65" s="564"/>
      <c r="D65" s="564"/>
      <c r="E65" s="564" t="s">
        <v>379</v>
      </c>
      <c r="F65" s="564"/>
      <c r="G65" s="564"/>
      <c r="H65" s="564"/>
      <c r="I65" s="628" t="s">
        <v>379</v>
      </c>
      <c r="J65" s="628"/>
      <c r="K65" s="628"/>
      <c r="L65" s="628"/>
      <c r="M65" s="628"/>
      <c r="N65" s="564"/>
      <c r="O65" s="564"/>
      <c r="P65" s="564" t="s">
        <v>380</v>
      </c>
      <c r="Q65" s="564"/>
      <c r="R65" s="564"/>
      <c r="S65" s="564"/>
      <c r="T65" s="564"/>
      <c r="U65" s="564" t="s">
        <v>380</v>
      </c>
      <c r="V65" s="564"/>
      <c r="W65" s="564"/>
      <c r="X65" s="564"/>
      <c r="Y65" s="564"/>
      <c r="Z65" s="564" t="s">
        <v>380</v>
      </c>
      <c r="AA65" s="564"/>
      <c r="AB65" s="564"/>
      <c r="AC65" s="564"/>
      <c r="AD65" s="564"/>
      <c r="AE65" s="564" t="s">
        <v>380</v>
      </c>
      <c r="AF65" s="564"/>
      <c r="AG65" s="564"/>
      <c r="AH65" s="564"/>
      <c r="AI65" s="564"/>
      <c r="AJ65" s="564" t="s">
        <v>380</v>
      </c>
      <c r="AK65" s="564"/>
      <c r="AL65" s="564"/>
      <c r="AM65" s="564"/>
      <c r="AN65" s="564"/>
      <c r="AO65" s="564" t="s">
        <v>380</v>
      </c>
      <c r="AP65" s="564"/>
      <c r="AQ65" s="564"/>
      <c r="AR65" s="564"/>
      <c r="AS65" s="564"/>
      <c r="AT65" s="564" t="s">
        <v>380</v>
      </c>
      <c r="AU65" s="564"/>
      <c r="AV65" s="564"/>
      <c r="AW65" s="564"/>
      <c r="AX65" s="564"/>
    </row>
    <row r="66" spans="2:50" ht="14.25" customHeight="1">
      <c r="B66" s="564"/>
      <c r="C66" s="564"/>
      <c r="D66" s="564"/>
      <c r="E66" s="180" t="s">
        <v>161</v>
      </c>
      <c r="F66" s="180" t="s">
        <v>381</v>
      </c>
      <c r="G66" s="180" t="s">
        <v>163</v>
      </c>
      <c r="H66" s="564"/>
      <c r="I66" s="181" t="s">
        <v>161</v>
      </c>
      <c r="J66" s="181" t="s">
        <v>381</v>
      </c>
      <c r="K66" s="181" t="s">
        <v>163</v>
      </c>
      <c r="L66" s="628"/>
      <c r="M66" s="628"/>
      <c r="N66" s="564"/>
      <c r="O66" s="564"/>
      <c r="P66" s="180" t="s">
        <v>161</v>
      </c>
      <c r="Q66" s="180" t="s">
        <v>381</v>
      </c>
      <c r="R66" s="180" t="s">
        <v>163</v>
      </c>
      <c r="S66" s="182" t="s">
        <v>167</v>
      </c>
      <c r="T66" s="564"/>
      <c r="U66" s="180" t="s">
        <v>161</v>
      </c>
      <c r="V66" s="180" t="s">
        <v>381</v>
      </c>
      <c r="W66" s="180" t="s">
        <v>163</v>
      </c>
      <c r="X66" s="182" t="s">
        <v>167</v>
      </c>
      <c r="Y66" s="564"/>
      <c r="Z66" s="180" t="s">
        <v>161</v>
      </c>
      <c r="AA66" s="180" t="s">
        <v>381</v>
      </c>
      <c r="AB66" s="180" t="s">
        <v>163</v>
      </c>
      <c r="AC66" s="182" t="s">
        <v>167</v>
      </c>
      <c r="AD66" s="564"/>
      <c r="AE66" s="180" t="s">
        <v>161</v>
      </c>
      <c r="AF66" s="180" t="s">
        <v>381</v>
      </c>
      <c r="AG66" s="180" t="s">
        <v>163</v>
      </c>
      <c r="AH66" s="182" t="s">
        <v>167</v>
      </c>
      <c r="AI66" s="564"/>
      <c r="AJ66" s="180" t="s">
        <v>161</v>
      </c>
      <c r="AK66" s="180" t="s">
        <v>381</v>
      </c>
      <c r="AL66" s="180" t="s">
        <v>163</v>
      </c>
      <c r="AM66" s="182" t="s">
        <v>167</v>
      </c>
      <c r="AN66" s="564"/>
      <c r="AO66" s="180" t="s">
        <v>161</v>
      </c>
      <c r="AP66" s="180" t="s">
        <v>381</v>
      </c>
      <c r="AQ66" s="180" t="s">
        <v>163</v>
      </c>
      <c r="AR66" s="182" t="s">
        <v>167</v>
      </c>
      <c r="AS66" s="564"/>
      <c r="AT66" s="180" t="s">
        <v>161</v>
      </c>
      <c r="AU66" s="180" t="s">
        <v>381</v>
      </c>
      <c r="AV66" s="180" t="s">
        <v>163</v>
      </c>
      <c r="AW66" s="182" t="s">
        <v>167</v>
      </c>
      <c r="AX66" s="564"/>
    </row>
    <row r="67" spans="2:50" ht="14.25" customHeight="1">
      <c r="B67" s="564" t="s">
        <v>457</v>
      </c>
      <c r="C67" s="180">
        <v>1</v>
      </c>
      <c r="D67" s="183"/>
      <c r="E67" s="180"/>
      <c r="F67" s="180"/>
      <c r="G67" s="185"/>
      <c r="H67" s="625"/>
      <c r="I67" s="186"/>
      <c r="J67" s="186"/>
      <c r="K67" s="187"/>
      <c r="L67" s="626" t="str">
        <f>IFERROR(AVERAGE(K67:K81),"-")</f>
        <v>-</v>
      </c>
      <c r="M67" s="186" t="e">
        <f>RANK(K67, K$67:$K$81)</f>
        <v>#N/A</v>
      </c>
      <c r="N67" s="564"/>
      <c r="O67" s="564"/>
      <c r="P67" s="188"/>
      <c r="Q67" s="188"/>
      <c r="R67" s="185"/>
      <c r="S67" s="182"/>
      <c r="T67" s="625"/>
      <c r="U67" s="188"/>
      <c r="V67" s="188"/>
      <c r="W67" s="185"/>
      <c r="X67" s="182"/>
      <c r="Y67" s="625"/>
      <c r="Z67" s="188"/>
      <c r="AA67" s="188"/>
      <c r="AB67" s="185"/>
      <c r="AC67" s="182"/>
      <c r="AD67" s="625"/>
      <c r="AE67" s="188"/>
      <c r="AF67" s="188"/>
      <c r="AG67" s="185"/>
      <c r="AH67" s="182"/>
      <c r="AI67" s="625"/>
      <c r="AJ67" s="188"/>
      <c r="AK67" s="188"/>
      <c r="AL67" s="185"/>
      <c r="AM67" s="182"/>
      <c r="AN67" s="625"/>
      <c r="AO67" s="188"/>
      <c r="AP67" s="188"/>
      <c r="AQ67" s="185"/>
      <c r="AR67" s="182"/>
      <c r="AS67" s="578"/>
      <c r="AT67" s="188"/>
      <c r="AU67" s="188"/>
      <c r="AV67" s="185"/>
      <c r="AW67" s="182"/>
      <c r="AX67" s="625"/>
    </row>
    <row r="68" spans="2:50" ht="14.25" customHeight="1">
      <c r="B68" s="564"/>
      <c r="C68" s="180">
        <v>2</v>
      </c>
      <c r="D68" s="183"/>
      <c r="E68" s="180"/>
      <c r="F68" s="180"/>
      <c r="G68" s="185"/>
      <c r="H68" s="625"/>
      <c r="I68" s="186"/>
      <c r="J68" s="186"/>
      <c r="K68" s="187"/>
      <c r="L68" s="626"/>
      <c r="M68" s="186"/>
      <c r="N68" s="564"/>
      <c r="O68" s="564"/>
      <c r="P68" s="188"/>
      <c r="Q68" s="188"/>
      <c r="R68" s="185"/>
      <c r="S68" s="182"/>
      <c r="T68" s="625"/>
      <c r="U68" s="188"/>
      <c r="V68" s="188"/>
      <c r="W68" s="185"/>
      <c r="X68" s="182"/>
      <c r="Y68" s="625"/>
      <c r="Z68" s="188"/>
      <c r="AA68" s="188"/>
      <c r="AB68" s="185"/>
      <c r="AC68" s="182"/>
      <c r="AD68" s="625"/>
      <c r="AE68" s="188"/>
      <c r="AF68" s="188"/>
      <c r="AG68" s="185"/>
      <c r="AH68" s="182"/>
      <c r="AI68" s="625"/>
      <c r="AJ68" s="188"/>
      <c r="AK68" s="188"/>
      <c r="AL68" s="185"/>
      <c r="AM68" s="182"/>
      <c r="AN68" s="625"/>
      <c r="AO68" s="188"/>
      <c r="AP68" s="188"/>
      <c r="AQ68" s="185"/>
      <c r="AR68" s="182"/>
      <c r="AS68" s="579"/>
      <c r="AT68" s="188"/>
      <c r="AU68" s="188"/>
      <c r="AV68" s="185"/>
      <c r="AW68" s="182"/>
      <c r="AX68" s="625"/>
    </row>
    <row r="69" spans="2:50" ht="14.25" customHeight="1">
      <c r="B69" s="564"/>
      <c r="C69" s="180">
        <v>3</v>
      </c>
      <c r="D69" s="183"/>
      <c r="E69" s="180"/>
      <c r="F69" s="180"/>
      <c r="G69" s="185"/>
      <c r="H69" s="625"/>
      <c r="I69" s="186"/>
      <c r="J69" s="186"/>
      <c r="K69" s="187"/>
      <c r="L69" s="626"/>
      <c r="M69" s="186"/>
      <c r="N69" s="564"/>
      <c r="O69" s="564"/>
      <c r="P69" s="188"/>
      <c r="Q69" s="188"/>
      <c r="R69" s="185"/>
      <c r="S69" s="182"/>
      <c r="T69" s="625"/>
      <c r="U69" s="188"/>
      <c r="V69" s="188"/>
      <c r="W69" s="185"/>
      <c r="X69" s="182"/>
      <c r="Y69" s="625"/>
      <c r="Z69" s="188"/>
      <c r="AA69" s="188"/>
      <c r="AB69" s="185"/>
      <c r="AC69" s="182"/>
      <c r="AD69" s="625"/>
      <c r="AE69" s="188"/>
      <c r="AF69" s="188"/>
      <c r="AG69" s="185"/>
      <c r="AH69" s="182"/>
      <c r="AI69" s="625"/>
      <c r="AJ69" s="188"/>
      <c r="AK69" s="188"/>
      <c r="AL69" s="185"/>
      <c r="AM69" s="182"/>
      <c r="AN69" s="625"/>
      <c r="AO69" s="188"/>
      <c r="AP69" s="188"/>
      <c r="AQ69" s="185"/>
      <c r="AR69" s="182"/>
      <c r="AS69" s="579"/>
      <c r="AT69" s="188"/>
      <c r="AU69" s="188"/>
      <c r="AV69" s="185"/>
      <c r="AW69" s="182"/>
      <c r="AX69" s="625"/>
    </row>
    <row r="70" spans="2:50" ht="14.25" customHeight="1">
      <c r="B70" s="564"/>
      <c r="C70" s="180">
        <v>4</v>
      </c>
      <c r="D70" s="183"/>
      <c r="E70" s="180"/>
      <c r="F70" s="180"/>
      <c r="G70" s="185"/>
      <c r="H70" s="625"/>
      <c r="I70" s="186"/>
      <c r="J70" s="186"/>
      <c r="K70" s="187"/>
      <c r="L70" s="626"/>
      <c r="M70" s="186"/>
      <c r="N70" s="564"/>
      <c r="O70" s="564"/>
      <c r="P70" s="188"/>
      <c r="Q70" s="188"/>
      <c r="R70" s="185"/>
      <c r="S70" s="182"/>
      <c r="T70" s="625"/>
      <c r="U70" s="188"/>
      <c r="V70" s="188"/>
      <c r="W70" s="185"/>
      <c r="X70" s="182"/>
      <c r="Y70" s="625"/>
      <c r="Z70" s="188"/>
      <c r="AA70" s="188"/>
      <c r="AB70" s="185"/>
      <c r="AC70" s="182"/>
      <c r="AD70" s="625"/>
      <c r="AE70" s="188"/>
      <c r="AF70" s="188"/>
      <c r="AG70" s="185"/>
      <c r="AH70" s="182"/>
      <c r="AI70" s="625"/>
      <c r="AJ70" s="188"/>
      <c r="AK70" s="188"/>
      <c r="AL70" s="185"/>
      <c r="AM70" s="182"/>
      <c r="AN70" s="625"/>
      <c r="AO70" s="188"/>
      <c r="AP70" s="188"/>
      <c r="AQ70" s="185"/>
      <c r="AR70" s="182"/>
      <c r="AS70" s="579"/>
      <c r="AT70" s="188"/>
      <c r="AU70" s="188"/>
      <c r="AV70" s="185"/>
      <c r="AW70" s="182"/>
      <c r="AX70" s="625"/>
    </row>
    <row r="71" spans="2:50" ht="14.25" customHeight="1">
      <c r="B71" s="564"/>
      <c r="C71" s="180">
        <v>5</v>
      </c>
      <c r="D71" s="183"/>
      <c r="E71" s="180"/>
      <c r="F71" s="180"/>
      <c r="G71" s="185"/>
      <c r="H71" s="625"/>
      <c r="I71" s="186"/>
      <c r="J71" s="186"/>
      <c r="K71" s="187"/>
      <c r="L71" s="626"/>
      <c r="M71" s="186"/>
      <c r="N71" s="564"/>
      <c r="O71" s="564"/>
      <c r="P71" s="188"/>
      <c r="Q71" s="188"/>
      <c r="R71" s="185"/>
      <c r="S71" s="182"/>
      <c r="T71" s="625"/>
      <c r="U71" s="188"/>
      <c r="V71" s="188"/>
      <c r="W71" s="185"/>
      <c r="X71" s="182"/>
      <c r="Y71" s="625"/>
      <c r="Z71" s="188"/>
      <c r="AA71" s="188"/>
      <c r="AB71" s="185"/>
      <c r="AC71" s="182"/>
      <c r="AD71" s="625"/>
      <c r="AE71" s="188"/>
      <c r="AF71" s="188"/>
      <c r="AG71" s="185"/>
      <c r="AH71" s="182"/>
      <c r="AI71" s="625"/>
      <c r="AJ71" s="188"/>
      <c r="AK71" s="188"/>
      <c r="AL71" s="185"/>
      <c r="AM71" s="182"/>
      <c r="AN71" s="625"/>
      <c r="AO71" s="188"/>
      <c r="AP71" s="188"/>
      <c r="AQ71" s="185"/>
      <c r="AR71" s="182"/>
      <c r="AS71" s="579"/>
      <c r="AT71" s="188"/>
      <c r="AU71" s="188"/>
      <c r="AV71" s="185"/>
      <c r="AW71" s="182"/>
      <c r="AX71" s="625"/>
    </row>
    <row r="72" spans="2:50" ht="14.25" customHeight="1">
      <c r="B72" s="564"/>
      <c r="C72" s="180">
        <v>6</v>
      </c>
      <c r="D72" s="183"/>
      <c r="E72" s="180"/>
      <c r="F72" s="180"/>
      <c r="G72" s="185"/>
      <c r="H72" s="625"/>
      <c r="I72" s="186"/>
      <c r="J72" s="186"/>
      <c r="K72" s="187"/>
      <c r="L72" s="626"/>
      <c r="M72" s="186"/>
      <c r="N72" s="564"/>
      <c r="O72" s="564"/>
      <c r="P72" s="188"/>
      <c r="Q72" s="188"/>
      <c r="R72" s="185"/>
      <c r="S72" s="182"/>
      <c r="T72" s="625"/>
      <c r="U72" s="188"/>
      <c r="V72" s="188"/>
      <c r="W72" s="185"/>
      <c r="X72" s="182"/>
      <c r="Y72" s="625"/>
      <c r="Z72" s="188"/>
      <c r="AA72" s="188"/>
      <c r="AB72" s="185"/>
      <c r="AC72" s="182"/>
      <c r="AD72" s="625"/>
      <c r="AE72" s="188"/>
      <c r="AF72" s="188"/>
      <c r="AG72" s="185"/>
      <c r="AH72" s="182"/>
      <c r="AI72" s="625"/>
      <c r="AJ72" s="188"/>
      <c r="AK72" s="188"/>
      <c r="AL72" s="185"/>
      <c r="AM72" s="182"/>
      <c r="AN72" s="625"/>
      <c r="AO72" s="188"/>
      <c r="AP72" s="188"/>
      <c r="AQ72" s="185"/>
      <c r="AR72" s="182"/>
      <c r="AS72" s="579"/>
      <c r="AT72" s="188"/>
      <c r="AU72" s="188"/>
      <c r="AV72" s="185"/>
      <c r="AW72" s="182"/>
      <c r="AX72" s="625"/>
    </row>
    <row r="73" spans="2:50" ht="14.25" customHeight="1">
      <c r="B73" s="564"/>
      <c r="C73" s="180">
        <v>7</v>
      </c>
      <c r="D73" s="183"/>
      <c r="E73" s="180"/>
      <c r="F73" s="180"/>
      <c r="G73" s="185"/>
      <c r="H73" s="625"/>
      <c r="I73" s="186"/>
      <c r="J73" s="186"/>
      <c r="K73" s="187"/>
      <c r="L73" s="626"/>
      <c r="M73" s="186"/>
      <c r="N73" s="564"/>
      <c r="O73" s="564"/>
      <c r="P73" s="188"/>
      <c r="Q73" s="188"/>
      <c r="R73" s="185"/>
      <c r="S73" s="182"/>
      <c r="T73" s="625"/>
      <c r="U73" s="188"/>
      <c r="V73" s="188"/>
      <c r="W73" s="185"/>
      <c r="X73" s="182"/>
      <c r="Y73" s="625"/>
      <c r="Z73" s="188"/>
      <c r="AA73" s="188"/>
      <c r="AB73" s="185"/>
      <c r="AC73" s="182"/>
      <c r="AD73" s="625"/>
      <c r="AE73" s="188"/>
      <c r="AF73" s="188"/>
      <c r="AG73" s="185"/>
      <c r="AH73" s="182"/>
      <c r="AI73" s="625"/>
      <c r="AJ73" s="188"/>
      <c r="AK73" s="188"/>
      <c r="AL73" s="185"/>
      <c r="AM73" s="182"/>
      <c r="AN73" s="625"/>
      <c r="AO73" s="188"/>
      <c r="AP73" s="188"/>
      <c r="AQ73" s="185"/>
      <c r="AR73" s="182"/>
      <c r="AS73" s="579"/>
      <c r="AT73" s="188"/>
      <c r="AU73" s="188"/>
      <c r="AV73" s="185"/>
      <c r="AW73" s="182"/>
      <c r="AX73" s="625"/>
    </row>
    <row r="74" spans="2:50" ht="14.25" customHeight="1">
      <c r="B74" s="564"/>
      <c r="C74" s="180">
        <v>8</v>
      </c>
      <c r="D74" s="183"/>
      <c r="E74" s="180"/>
      <c r="F74" s="180"/>
      <c r="G74" s="185"/>
      <c r="H74" s="625"/>
      <c r="I74" s="186"/>
      <c r="J74" s="186"/>
      <c r="K74" s="187"/>
      <c r="L74" s="626"/>
      <c r="M74" s="186"/>
      <c r="N74" s="564"/>
      <c r="O74" s="564"/>
      <c r="P74" s="188"/>
      <c r="Q74" s="188"/>
      <c r="R74" s="185"/>
      <c r="S74" s="182"/>
      <c r="T74" s="625"/>
      <c r="U74" s="188"/>
      <c r="V74" s="188"/>
      <c r="W74" s="185"/>
      <c r="X74" s="182"/>
      <c r="Y74" s="625"/>
      <c r="Z74" s="188"/>
      <c r="AA74" s="188"/>
      <c r="AB74" s="185"/>
      <c r="AC74" s="182"/>
      <c r="AD74" s="625"/>
      <c r="AE74" s="188"/>
      <c r="AF74" s="188"/>
      <c r="AG74" s="185"/>
      <c r="AH74" s="182"/>
      <c r="AI74" s="625"/>
      <c r="AJ74" s="188"/>
      <c r="AK74" s="188"/>
      <c r="AL74" s="185"/>
      <c r="AM74" s="182"/>
      <c r="AN74" s="625"/>
      <c r="AO74" s="188"/>
      <c r="AP74" s="188"/>
      <c r="AQ74" s="185"/>
      <c r="AR74" s="182"/>
      <c r="AS74" s="579"/>
      <c r="AT74" s="188"/>
      <c r="AU74" s="188"/>
      <c r="AV74" s="185"/>
      <c r="AW74" s="182"/>
      <c r="AX74" s="625"/>
    </row>
    <row r="75" spans="2:50" ht="14.25" customHeight="1">
      <c r="B75" s="564"/>
      <c r="C75" s="180">
        <v>9</v>
      </c>
      <c r="D75" s="183"/>
      <c r="E75" s="180"/>
      <c r="F75" s="180"/>
      <c r="G75" s="185"/>
      <c r="H75" s="625"/>
      <c r="I75" s="186"/>
      <c r="J75" s="186"/>
      <c r="K75" s="187"/>
      <c r="L75" s="626"/>
      <c r="M75" s="186"/>
      <c r="N75" s="564"/>
      <c r="O75" s="564"/>
      <c r="P75" s="188"/>
      <c r="Q75" s="188"/>
      <c r="R75" s="185"/>
      <c r="S75" s="182"/>
      <c r="T75" s="625"/>
      <c r="U75" s="188"/>
      <c r="V75" s="188"/>
      <c r="W75" s="185"/>
      <c r="X75" s="182"/>
      <c r="Y75" s="625"/>
      <c r="Z75" s="188"/>
      <c r="AA75" s="188"/>
      <c r="AB75" s="185"/>
      <c r="AC75" s="182"/>
      <c r="AD75" s="625"/>
      <c r="AE75" s="188"/>
      <c r="AF75" s="188"/>
      <c r="AG75" s="185"/>
      <c r="AH75" s="182"/>
      <c r="AI75" s="625"/>
      <c r="AJ75" s="188"/>
      <c r="AK75" s="188"/>
      <c r="AL75" s="185"/>
      <c r="AM75" s="182"/>
      <c r="AN75" s="625"/>
      <c r="AO75" s="188"/>
      <c r="AP75" s="188"/>
      <c r="AQ75" s="185"/>
      <c r="AR75" s="182"/>
      <c r="AS75" s="579"/>
      <c r="AT75" s="188"/>
      <c r="AU75" s="188"/>
      <c r="AV75" s="185"/>
      <c r="AW75" s="182"/>
      <c r="AX75" s="625"/>
    </row>
    <row r="76" spans="2:50" ht="14.25" customHeight="1">
      <c r="B76" s="564"/>
      <c r="C76" s="180">
        <v>10</v>
      </c>
      <c r="D76" s="183"/>
      <c r="E76" s="180"/>
      <c r="F76" s="180"/>
      <c r="G76" s="185"/>
      <c r="H76" s="625"/>
      <c r="I76" s="186"/>
      <c r="J76" s="186"/>
      <c r="K76" s="187"/>
      <c r="L76" s="626"/>
      <c r="M76" s="186"/>
      <c r="N76" s="564"/>
      <c r="O76" s="564"/>
      <c r="P76" s="188"/>
      <c r="Q76" s="188"/>
      <c r="R76" s="185"/>
      <c r="S76" s="182"/>
      <c r="T76" s="625"/>
      <c r="U76" s="188"/>
      <c r="V76" s="188"/>
      <c r="W76" s="185"/>
      <c r="X76" s="182"/>
      <c r="Y76" s="625"/>
      <c r="Z76" s="188"/>
      <c r="AA76" s="188"/>
      <c r="AB76" s="185"/>
      <c r="AC76" s="182"/>
      <c r="AD76" s="625"/>
      <c r="AE76" s="188"/>
      <c r="AF76" s="188"/>
      <c r="AG76" s="185"/>
      <c r="AH76" s="182"/>
      <c r="AI76" s="625"/>
      <c r="AJ76" s="188"/>
      <c r="AK76" s="188"/>
      <c r="AL76" s="185"/>
      <c r="AM76" s="182"/>
      <c r="AN76" s="625"/>
      <c r="AO76" s="188"/>
      <c r="AP76" s="188"/>
      <c r="AQ76" s="185"/>
      <c r="AR76" s="182"/>
      <c r="AS76" s="579"/>
      <c r="AT76" s="188"/>
      <c r="AU76" s="188"/>
      <c r="AV76" s="185"/>
      <c r="AW76" s="182"/>
      <c r="AX76" s="625"/>
    </row>
    <row r="77" spans="2:50" ht="14.25" customHeight="1">
      <c r="B77" s="564"/>
      <c r="C77" s="180">
        <v>11</v>
      </c>
      <c r="D77" s="183"/>
      <c r="E77" s="180"/>
      <c r="F77" s="180"/>
      <c r="G77" s="185"/>
      <c r="H77" s="625"/>
      <c r="I77" s="186"/>
      <c r="J77" s="186"/>
      <c r="K77" s="187"/>
      <c r="L77" s="626"/>
      <c r="M77" s="186"/>
      <c r="N77" s="564"/>
      <c r="O77" s="564"/>
      <c r="P77" s="188"/>
      <c r="Q77" s="188"/>
      <c r="R77" s="185"/>
      <c r="S77" s="182"/>
      <c r="T77" s="625"/>
      <c r="U77" s="188"/>
      <c r="V77" s="188"/>
      <c r="W77" s="185"/>
      <c r="X77" s="182"/>
      <c r="Y77" s="625"/>
      <c r="Z77" s="188"/>
      <c r="AA77" s="188"/>
      <c r="AB77" s="185"/>
      <c r="AC77" s="182"/>
      <c r="AD77" s="625"/>
      <c r="AE77" s="188"/>
      <c r="AF77" s="188"/>
      <c r="AG77" s="185"/>
      <c r="AH77" s="182"/>
      <c r="AI77" s="625"/>
      <c r="AJ77" s="188"/>
      <c r="AK77" s="188"/>
      <c r="AL77" s="185"/>
      <c r="AM77" s="182"/>
      <c r="AN77" s="625"/>
      <c r="AO77" s="188"/>
      <c r="AP77" s="188"/>
      <c r="AQ77" s="185"/>
      <c r="AR77" s="182"/>
      <c r="AS77" s="579"/>
      <c r="AT77" s="188"/>
      <c r="AU77" s="188"/>
      <c r="AV77" s="185"/>
      <c r="AW77" s="182"/>
      <c r="AX77" s="625"/>
    </row>
    <row r="78" spans="2:50" ht="14.25" customHeight="1">
      <c r="B78" s="564"/>
      <c r="C78" s="180">
        <v>12</v>
      </c>
      <c r="D78" s="183"/>
      <c r="E78" s="180"/>
      <c r="F78" s="180"/>
      <c r="G78" s="185"/>
      <c r="H78" s="625"/>
      <c r="I78" s="186"/>
      <c r="J78" s="186"/>
      <c r="K78" s="187"/>
      <c r="L78" s="626"/>
      <c r="M78" s="186"/>
      <c r="N78" s="564"/>
      <c r="O78" s="564"/>
      <c r="P78" s="188"/>
      <c r="Q78" s="188"/>
      <c r="R78" s="185"/>
      <c r="S78" s="182"/>
      <c r="T78" s="625"/>
      <c r="U78" s="188"/>
      <c r="V78" s="188"/>
      <c r="W78" s="185"/>
      <c r="X78" s="182"/>
      <c r="Y78" s="625"/>
      <c r="Z78" s="188"/>
      <c r="AA78" s="188"/>
      <c r="AB78" s="185"/>
      <c r="AC78" s="182"/>
      <c r="AD78" s="625"/>
      <c r="AE78" s="188"/>
      <c r="AF78" s="188"/>
      <c r="AG78" s="185"/>
      <c r="AH78" s="182"/>
      <c r="AI78" s="625"/>
      <c r="AJ78" s="188"/>
      <c r="AK78" s="188"/>
      <c r="AL78" s="185"/>
      <c r="AM78" s="182"/>
      <c r="AN78" s="625"/>
      <c r="AO78" s="188"/>
      <c r="AP78" s="188"/>
      <c r="AQ78" s="185"/>
      <c r="AR78" s="182"/>
      <c r="AS78" s="579"/>
      <c r="AT78" s="188"/>
      <c r="AU78" s="188"/>
      <c r="AV78" s="185"/>
      <c r="AW78" s="182"/>
      <c r="AX78" s="625"/>
    </row>
    <row r="79" spans="2:50" ht="14.25" customHeight="1">
      <c r="B79" s="564"/>
      <c r="C79" s="180">
        <v>13</v>
      </c>
      <c r="D79" s="183"/>
      <c r="E79" s="180"/>
      <c r="F79" s="180"/>
      <c r="G79" s="185"/>
      <c r="H79" s="625"/>
      <c r="I79" s="186"/>
      <c r="J79" s="186"/>
      <c r="K79" s="187"/>
      <c r="L79" s="626"/>
      <c r="M79" s="186"/>
      <c r="N79" s="564"/>
      <c r="O79" s="564"/>
      <c r="P79" s="188"/>
      <c r="Q79" s="188"/>
      <c r="R79" s="185"/>
      <c r="S79" s="182"/>
      <c r="T79" s="625"/>
      <c r="U79" s="188"/>
      <c r="V79" s="188"/>
      <c r="W79" s="185"/>
      <c r="X79" s="182"/>
      <c r="Y79" s="625"/>
      <c r="Z79" s="188"/>
      <c r="AA79" s="188"/>
      <c r="AB79" s="185"/>
      <c r="AC79" s="182"/>
      <c r="AD79" s="625"/>
      <c r="AE79" s="188"/>
      <c r="AF79" s="188"/>
      <c r="AG79" s="185"/>
      <c r="AH79" s="182"/>
      <c r="AI79" s="625"/>
      <c r="AJ79" s="188"/>
      <c r="AK79" s="188"/>
      <c r="AL79" s="185"/>
      <c r="AM79" s="182"/>
      <c r="AN79" s="625"/>
      <c r="AO79" s="188"/>
      <c r="AP79" s="188"/>
      <c r="AQ79" s="185"/>
      <c r="AR79" s="182"/>
      <c r="AS79" s="579"/>
      <c r="AT79" s="188"/>
      <c r="AU79" s="188"/>
      <c r="AV79" s="185"/>
      <c r="AW79" s="182"/>
      <c r="AX79" s="625"/>
    </row>
    <row r="80" spans="2:50" ht="14.25" customHeight="1">
      <c r="B80" s="564"/>
      <c r="C80" s="180">
        <v>14</v>
      </c>
      <c r="D80" s="183"/>
      <c r="E80" s="180"/>
      <c r="F80" s="180"/>
      <c r="G80" s="185"/>
      <c r="H80" s="625"/>
      <c r="I80" s="186"/>
      <c r="J80" s="186"/>
      <c r="K80" s="187"/>
      <c r="L80" s="626"/>
      <c r="M80" s="186"/>
      <c r="N80" s="564"/>
      <c r="O80" s="564"/>
      <c r="P80" s="188"/>
      <c r="Q80" s="188"/>
      <c r="R80" s="185"/>
      <c r="S80" s="182"/>
      <c r="T80" s="625"/>
      <c r="U80" s="188"/>
      <c r="V80" s="188"/>
      <c r="W80" s="185"/>
      <c r="X80" s="182"/>
      <c r="Y80" s="625"/>
      <c r="Z80" s="188"/>
      <c r="AA80" s="188"/>
      <c r="AB80" s="185"/>
      <c r="AC80" s="182"/>
      <c r="AD80" s="625"/>
      <c r="AE80" s="188"/>
      <c r="AF80" s="188"/>
      <c r="AG80" s="185"/>
      <c r="AH80" s="182"/>
      <c r="AI80" s="625"/>
      <c r="AJ80" s="188"/>
      <c r="AK80" s="188"/>
      <c r="AL80" s="185"/>
      <c r="AM80" s="182"/>
      <c r="AN80" s="625"/>
      <c r="AO80" s="188"/>
      <c r="AP80" s="188"/>
      <c r="AQ80" s="185"/>
      <c r="AR80" s="182"/>
      <c r="AS80" s="579"/>
      <c r="AT80" s="188"/>
      <c r="AU80" s="188"/>
      <c r="AV80" s="185"/>
      <c r="AW80" s="182"/>
      <c r="AX80" s="625"/>
    </row>
    <row r="81" spans="2:50" ht="14.25" customHeight="1">
      <c r="B81" s="564"/>
      <c r="C81" s="180">
        <v>15</v>
      </c>
      <c r="D81" s="183"/>
      <c r="E81" s="180"/>
      <c r="F81" s="180"/>
      <c r="G81" s="185"/>
      <c r="H81" s="625"/>
      <c r="I81" s="186"/>
      <c r="J81" s="186"/>
      <c r="K81" s="187"/>
      <c r="L81" s="626"/>
      <c r="M81" s="186"/>
      <c r="N81" s="564"/>
      <c r="O81" s="564"/>
      <c r="P81" s="188"/>
      <c r="Q81" s="188"/>
      <c r="R81" s="185"/>
      <c r="S81" s="182"/>
      <c r="T81" s="625"/>
      <c r="U81" s="188"/>
      <c r="V81" s="188"/>
      <c r="W81" s="185"/>
      <c r="X81" s="182"/>
      <c r="Y81" s="625"/>
      <c r="Z81" s="188"/>
      <c r="AA81" s="188"/>
      <c r="AB81" s="185"/>
      <c r="AC81" s="182"/>
      <c r="AD81" s="625"/>
      <c r="AE81" s="188"/>
      <c r="AF81" s="188"/>
      <c r="AG81" s="185"/>
      <c r="AH81" s="182"/>
      <c r="AI81" s="625"/>
      <c r="AJ81" s="188"/>
      <c r="AK81" s="188"/>
      <c r="AL81" s="185"/>
      <c r="AM81" s="182"/>
      <c r="AN81" s="625"/>
      <c r="AO81" s="188"/>
      <c r="AP81" s="188"/>
      <c r="AQ81" s="185"/>
      <c r="AR81" s="182"/>
      <c r="AS81" s="580"/>
      <c r="AT81" s="188"/>
      <c r="AU81" s="188"/>
      <c r="AV81" s="185"/>
      <c r="AW81" s="182"/>
      <c r="AX81" s="625"/>
    </row>
    <row r="82" spans="2:50" ht="14.25" customHeight="1" collapsed="1">
      <c r="B82" s="641" t="s">
        <v>645</v>
      </c>
      <c r="C82" s="642"/>
      <c r="D82" s="642"/>
      <c r="E82" s="642"/>
      <c r="F82" s="642"/>
      <c r="G82" s="642"/>
      <c r="H82" s="642"/>
      <c r="I82" s="642"/>
      <c r="J82" s="642"/>
      <c r="K82" s="642"/>
      <c r="L82" s="642"/>
      <c r="M82" s="643"/>
      <c r="N82" s="575" t="s">
        <v>377</v>
      </c>
      <c r="O82" s="575" t="s">
        <v>105</v>
      </c>
      <c r="P82" s="655">
        <f>AT62+1</f>
        <v>46105</v>
      </c>
      <c r="Q82" s="656"/>
      <c r="R82" s="656"/>
      <c r="S82" s="656"/>
      <c r="T82" s="656"/>
      <c r="U82" s="657">
        <f>P82+1</f>
        <v>46106</v>
      </c>
      <c r="V82" s="658"/>
      <c r="W82" s="658"/>
      <c r="X82" s="658"/>
      <c r="Y82" s="658"/>
      <c r="Z82" s="655">
        <f t="shared" ref="Z82" si="40">U82+1</f>
        <v>46107</v>
      </c>
      <c r="AA82" s="656"/>
      <c r="AB82" s="656"/>
      <c r="AC82" s="656"/>
      <c r="AD82" s="656"/>
      <c r="AE82" s="657">
        <f t="shared" ref="AE82" si="41">Z82+1</f>
        <v>46108</v>
      </c>
      <c r="AF82" s="658"/>
      <c r="AG82" s="658"/>
      <c r="AH82" s="658"/>
      <c r="AI82" s="658"/>
      <c r="AJ82" s="647">
        <f t="shared" ref="AJ82" si="42">AE82+1</f>
        <v>46109</v>
      </c>
      <c r="AK82" s="648"/>
      <c r="AL82" s="648"/>
      <c r="AM82" s="648"/>
      <c r="AN82" s="649"/>
      <c r="AO82" s="657">
        <f t="shared" ref="AO82" si="43">AJ82+1</f>
        <v>46110</v>
      </c>
      <c r="AP82" s="658"/>
      <c r="AQ82" s="658"/>
      <c r="AR82" s="658"/>
      <c r="AS82" s="658"/>
      <c r="AT82" s="647">
        <f t="shared" ref="AT82" si="44">AO82+1</f>
        <v>46111</v>
      </c>
      <c r="AU82" s="648"/>
      <c r="AV82" s="648"/>
      <c r="AW82" s="648"/>
      <c r="AX82" s="649"/>
    </row>
    <row r="83" spans="2:50" ht="14.25" customHeight="1">
      <c r="B83" s="644"/>
      <c r="C83" s="644"/>
      <c r="D83" s="644"/>
      <c r="E83" s="644"/>
      <c r="F83" s="644"/>
      <c r="G83" s="644"/>
      <c r="H83" s="644"/>
      <c r="I83" s="644"/>
      <c r="J83" s="644"/>
      <c r="K83" s="644"/>
      <c r="L83" s="644"/>
      <c r="M83" s="645"/>
      <c r="N83" s="577"/>
      <c r="O83" s="577"/>
      <c r="P83" s="650">
        <f>P82</f>
        <v>46105</v>
      </c>
      <c r="Q83" s="650"/>
      <c r="R83" s="650"/>
      <c r="S83" s="650"/>
      <c r="T83" s="650"/>
      <c r="U83" s="651">
        <f>U82</f>
        <v>46106</v>
      </c>
      <c r="V83" s="651"/>
      <c r="W83" s="651"/>
      <c r="X83" s="651"/>
      <c r="Y83" s="651"/>
      <c r="Z83" s="650">
        <f t="shared" ref="Z83" si="45">Z82</f>
        <v>46107</v>
      </c>
      <c r="AA83" s="650"/>
      <c r="AB83" s="650"/>
      <c r="AC83" s="650"/>
      <c r="AD83" s="650"/>
      <c r="AE83" s="651">
        <f t="shared" ref="AE83" si="46">AE82</f>
        <v>46108</v>
      </c>
      <c r="AF83" s="651"/>
      <c r="AG83" s="651"/>
      <c r="AH83" s="651"/>
      <c r="AI83" s="651"/>
      <c r="AJ83" s="652">
        <f t="shared" ref="AJ83" si="47">AJ82</f>
        <v>46109</v>
      </c>
      <c r="AK83" s="653"/>
      <c r="AL83" s="653"/>
      <c r="AM83" s="653"/>
      <c r="AN83" s="654"/>
      <c r="AO83" s="651">
        <f t="shared" ref="AO83" si="48">AO82</f>
        <v>46110</v>
      </c>
      <c r="AP83" s="651"/>
      <c r="AQ83" s="651"/>
      <c r="AR83" s="651"/>
      <c r="AS83" s="651"/>
      <c r="AT83" s="652">
        <f t="shared" ref="AT83" si="49">AT82</f>
        <v>46111</v>
      </c>
      <c r="AU83" s="653"/>
      <c r="AV83" s="653"/>
      <c r="AW83" s="653"/>
      <c r="AX83" s="654"/>
    </row>
    <row r="84" spans="2:50" ht="14.25" customHeight="1">
      <c r="B84" s="564" t="s">
        <v>164</v>
      </c>
      <c r="C84" s="564" t="s">
        <v>159</v>
      </c>
      <c r="D84" s="564"/>
      <c r="E84" s="564" t="s">
        <v>160</v>
      </c>
      <c r="F84" s="564"/>
      <c r="G84" s="564"/>
      <c r="H84" s="564" t="s">
        <v>165</v>
      </c>
      <c r="I84" s="628" t="s">
        <v>378</v>
      </c>
      <c r="J84" s="628"/>
      <c r="K84" s="628"/>
      <c r="L84" s="628" t="s">
        <v>165</v>
      </c>
      <c r="M84" s="628" t="s">
        <v>167</v>
      </c>
      <c r="N84" s="564"/>
      <c r="O84" s="564" t="s">
        <v>166</v>
      </c>
      <c r="P84" s="564" t="s">
        <v>162</v>
      </c>
      <c r="Q84" s="564"/>
      <c r="R84" s="564"/>
      <c r="S84" s="564"/>
      <c r="T84" s="564" t="s">
        <v>165</v>
      </c>
      <c r="U84" s="564" t="s">
        <v>162</v>
      </c>
      <c r="V84" s="564"/>
      <c r="W84" s="564"/>
      <c r="X84" s="564"/>
      <c r="Y84" s="564" t="s">
        <v>165</v>
      </c>
      <c r="Z84" s="564" t="s">
        <v>162</v>
      </c>
      <c r="AA84" s="564"/>
      <c r="AB84" s="564"/>
      <c r="AC84" s="564"/>
      <c r="AD84" s="564" t="s">
        <v>165</v>
      </c>
      <c r="AE84" s="564" t="s">
        <v>162</v>
      </c>
      <c r="AF84" s="564"/>
      <c r="AG84" s="564"/>
      <c r="AH84" s="564"/>
      <c r="AI84" s="564" t="s">
        <v>165</v>
      </c>
      <c r="AJ84" s="564" t="s">
        <v>162</v>
      </c>
      <c r="AK84" s="564"/>
      <c r="AL84" s="564"/>
      <c r="AM84" s="564"/>
      <c r="AN84" s="564" t="s">
        <v>165</v>
      </c>
      <c r="AO84" s="564" t="s">
        <v>162</v>
      </c>
      <c r="AP84" s="564"/>
      <c r="AQ84" s="564"/>
      <c r="AR84" s="564"/>
      <c r="AS84" s="564" t="s">
        <v>165</v>
      </c>
      <c r="AT84" s="564" t="s">
        <v>162</v>
      </c>
      <c r="AU84" s="564"/>
      <c r="AV84" s="564"/>
      <c r="AW84" s="564"/>
      <c r="AX84" s="564" t="s">
        <v>165</v>
      </c>
    </row>
    <row r="85" spans="2:50" ht="14.25" customHeight="1">
      <c r="B85" s="564"/>
      <c r="C85" s="564"/>
      <c r="D85" s="564"/>
      <c r="E85" s="564" t="s">
        <v>379</v>
      </c>
      <c r="F85" s="564"/>
      <c r="G85" s="564"/>
      <c r="H85" s="564"/>
      <c r="I85" s="628" t="s">
        <v>379</v>
      </c>
      <c r="J85" s="628"/>
      <c r="K85" s="628"/>
      <c r="L85" s="628"/>
      <c r="M85" s="628"/>
      <c r="N85" s="564"/>
      <c r="O85" s="564"/>
      <c r="P85" s="564" t="s">
        <v>380</v>
      </c>
      <c r="Q85" s="564"/>
      <c r="R85" s="564"/>
      <c r="S85" s="564"/>
      <c r="T85" s="564"/>
      <c r="U85" s="564" t="s">
        <v>380</v>
      </c>
      <c r="V85" s="564"/>
      <c r="W85" s="564"/>
      <c r="X85" s="564"/>
      <c r="Y85" s="564"/>
      <c r="Z85" s="564" t="s">
        <v>380</v>
      </c>
      <c r="AA85" s="564"/>
      <c r="AB85" s="564"/>
      <c r="AC85" s="564"/>
      <c r="AD85" s="564"/>
      <c r="AE85" s="564" t="s">
        <v>380</v>
      </c>
      <c r="AF85" s="564"/>
      <c r="AG85" s="564"/>
      <c r="AH85" s="564"/>
      <c r="AI85" s="564"/>
      <c r="AJ85" s="564" t="s">
        <v>380</v>
      </c>
      <c r="AK85" s="564"/>
      <c r="AL85" s="564"/>
      <c r="AM85" s="564"/>
      <c r="AN85" s="564"/>
      <c r="AO85" s="564" t="s">
        <v>380</v>
      </c>
      <c r="AP85" s="564"/>
      <c r="AQ85" s="564"/>
      <c r="AR85" s="564"/>
      <c r="AS85" s="564"/>
      <c r="AT85" s="564" t="s">
        <v>380</v>
      </c>
      <c r="AU85" s="564"/>
      <c r="AV85" s="564"/>
      <c r="AW85" s="564"/>
      <c r="AX85" s="564"/>
    </row>
    <row r="86" spans="2:50" ht="14.25" customHeight="1">
      <c r="B86" s="564"/>
      <c r="C86" s="564"/>
      <c r="D86" s="564"/>
      <c r="E86" s="180" t="s">
        <v>161</v>
      </c>
      <c r="F86" s="180" t="s">
        <v>381</v>
      </c>
      <c r="G86" s="180" t="s">
        <v>163</v>
      </c>
      <c r="H86" s="564"/>
      <c r="I86" s="181" t="s">
        <v>161</v>
      </c>
      <c r="J86" s="181" t="s">
        <v>381</v>
      </c>
      <c r="K86" s="181" t="s">
        <v>163</v>
      </c>
      <c r="L86" s="628"/>
      <c r="M86" s="628"/>
      <c r="N86" s="564"/>
      <c r="O86" s="564"/>
      <c r="P86" s="180" t="s">
        <v>161</v>
      </c>
      <c r="Q86" s="180" t="s">
        <v>381</v>
      </c>
      <c r="R86" s="180" t="s">
        <v>163</v>
      </c>
      <c r="S86" s="182" t="s">
        <v>167</v>
      </c>
      <c r="T86" s="564"/>
      <c r="U86" s="180" t="s">
        <v>161</v>
      </c>
      <c r="V86" s="180" t="s">
        <v>381</v>
      </c>
      <c r="W86" s="180" t="s">
        <v>163</v>
      </c>
      <c r="X86" s="182" t="s">
        <v>167</v>
      </c>
      <c r="Y86" s="564"/>
      <c r="Z86" s="180" t="s">
        <v>161</v>
      </c>
      <c r="AA86" s="180" t="s">
        <v>381</v>
      </c>
      <c r="AB86" s="180" t="s">
        <v>163</v>
      </c>
      <c r="AC86" s="182" t="s">
        <v>167</v>
      </c>
      <c r="AD86" s="564"/>
      <c r="AE86" s="180" t="s">
        <v>161</v>
      </c>
      <c r="AF86" s="180" t="s">
        <v>381</v>
      </c>
      <c r="AG86" s="180" t="s">
        <v>163</v>
      </c>
      <c r="AH86" s="182" t="s">
        <v>167</v>
      </c>
      <c r="AI86" s="564"/>
      <c r="AJ86" s="180" t="s">
        <v>161</v>
      </c>
      <c r="AK86" s="180" t="s">
        <v>381</v>
      </c>
      <c r="AL86" s="180" t="s">
        <v>163</v>
      </c>
      <c r="AM86" s="182" t="s">
        <v>167</v>
      </c>
      <c r="AN86" s="564"/>
      <c r="AO86" s="180" t="s">
        <v>161</v>
      </c>
      <c r="AP86" s="180" t="s">
        <v>381</v>
      </c>
      <c r="AQ86" s="180" t="s">
        <v>163</v>
      </c>
      <c r="AR86" s="182" t="s">
        <v>167</v>
      </c>
      <c r="AS86" s="564"/>
      <c r="AT86" s="180" t="s">
        <v>161</v>
      </c>
      <c r="AU86" s="180" t="s">
        <v>381</v>
      </c>
      <c r="AV86" s="180" t="s">
        <v>163</v>
      </c>
      <c r="AW86" s="182" t="s">
        <v>167</v>
      </c>
      <c r="AX86" s="564"/>
    </row>
    <row r="87" spans="2:50" ht="14.25" customHeight="1">
      <c r="B87" s="564" t="s">
        <v>457</v>
      </c>
      <c r="C87" s="180">
        <v>1</v>
      </c>
      <c r="D87" s="183"/>
      <c r="E87" s="180"/>
      <c r="F87" s="180"/>
      <c r="G87" s="185"/>
      <c r="H87" s="625"/>
      <c r="I87" s="186"/>
      <c r="J87" s="186"/>
      <c r="K87" s="187"/>
      <c r="L87" s="626">
        <v>0</v>
      </c>
      <c r="M87" s="186" t="e">
        <f>RANK(K87, K$87:$K$101)</f>
        <v>#N/A</v>
      </c>
      <c r="N87" s="564"/>
      <c r="O87" s="564"/>
      <c r="P87" s="188"/>
      <c r="Q87" s="188"/>
      <c r="R87" s="185"/>
      <c r="S87" s="182"/>
      <c r="T87" s="625"/>
      <c r="U87" s="188"/>
      <c r="V87" s="188"/>
      <c r="W87" s="185"/>
      <c r="X87" s="182"/>
      <c r="Y87" s="625"/>
      <c r="Z87" s="188"/>
      <c r="AA87" s="188"/>
      <c r="AB87" s="185"/>
      <c r="AC87" s="182"/>
      <c r="AD87" s="625"/>
      <c r="AE87" s="188"/>
      <c r="AF87" s="188"/>
      <c r="AG87" s="185"/>
      <c r="AH87" s="182"/>
      <c r="AI87" s="625"/>
      <c r="AJ87" s="188"/>
      <c r="AK87" s="188"/>
      <c r="AL87" s="185"/>
      <c r="AM87" s="182"/>
      <c r="AN87" s="625"/>
      <c r="AO87" s="188"/>
      <c r="AP87" s="188"/>
      <c r="AQ87" s="185"/>
      <c r="AR87" s="182"/>
      <c r="AS87" s="625"/>
      <c r="AT87" s="188"/>
      <c r="AU87" s="188"/>
      <c r="AV87" s="185"/>
      <c r="AW87" s="182"/>
      <c r="AX87" s="625"/>
    </row>
    <row r="88" spans="2:50" ht="14.25" customHeight="1">
      <c r="B88" s="564"/>
      <c r="C88" s="180">
        <v>2</v>
      </c>
      <c r="D88" s="183"/>
      <c r="E88" s="180"/>
      <c r="F88" s="180"/>
      <c r="G88" s="185"/>
      <c r="H88" s="625"/>
      <c r="I88" s="186"/>
      <c r="J88" s="186"/>
      <c r="K88" s="187"/>
      <c r="L88" s="626"/>
      <c r="M88" s="186" t="e">
        <f>RANK(K88, K$87:$K$101)</f>
        <v>#N/A</v>
      </c>
      <c r="N88" s="564"/>
      <c r="O88" s="564"/>
      <c r="P88" s="188"/>
      <c r="Q88" s="188"/>
      <c r="R88" s="185"/>
      <c r="S88" s="182"/>
      <c r="T88" s="625"/>
      <c r="U88" s="188"/>
      <c r="V88" s="188"/>
      <c r="W88" s="185"/>
      <c r="X88" s="182"/>
      <c r="Y88" s="625"/>
      <c r="Z88" s="188"/>
      <c r="AA88" s="188"/>
      <c r="AB88" s="185"/>
      <c r="AC88" s="182"/>
      <c r="AD88" s="625"/>
      <c r="AE88" s="188"/>
      <c r="AF88" s="188"/>
      <c r="AG88" s="185"/>
      <c r="AH88" s="182"/>
      <c r="AI88" s="625"/>
      <c r="AJ88" s="188"/>
      <c r="AK88" s="188"/>
      <c r="AL88" s="185"/>
      <c r="AM88" s="182"/>
      <c r="AN88" s="625"/>
      <c r="AO88" s="188"/>
      <c r="AP88" s="188"/>
      <c r="AQ88" s="185"/>
      <c r="AR88" s="182"/>
      <c r="AS88" s="625"/>
      <c r="AT88" s="188"/>
      <c r="AU88" s="188"/>
      <c r="AV88" s="185"/>
      <c r="AW88" s="182"/>
      <c r="AX88" s="625"/>
    </row>
    <row r="89" spans="2:50" ht="14.25" customHeight="1">
      <c r="B89" s="564"/>
      <c r="C89" s="180">
        <v>3</v>
      </c>
      <c r="D89" s="183"/>
      <c r="E89" s="180"/>
      <c r="F89" s="180"/>
      <c r="G89" s="185"/>
      <c r="H89" s="625"/>
      <c r="I89" s="186"/>
      <c r="J89" s="186"/>
      <c r="K89" s="187"/>
      <c r="L89" s="626"/>
      <c r="M89" s="186"/>
      <c r="N89" s="564"/>
      <c r="O89" s="564"/>
      <c r="P89" s="188"/>
      <c r="Q89" s="188"/>
      <c r="R89" s="185"/>
      <c r="S89" s="182"/>
      <c r="T89" s="625"/>
      <c r="U89" s="188"/>
      <c r="V89" s="188"/>
      <c r="W89" s="185"/>
      <c r="X89" s="182"/>
      <c r="Y89" s="625"/>
      <c r="Z89" s="188"/>
      <c r="AA89" s="188"/>
      <c r="AB89" s="185"/>
      <c r="AC89" s="182"/>
      <c r="AD89" s="625"/>
      <c r="AE89" s="188"/>
      <c r="AF89" s="188"/>
      <c r="AG89" s="185"/>
      <c r="AH89" s="182"/>
      <c r="AI89" s="625"/>
      <c r="AJ89" s="188"/>
      <c r="AK89" s="188"/>
      <c r="AL89" s="185"/>
      <c r="AM89" s="182"/>
      <c r="AN89" s="625"/>
      <c r="AO89" s="188"/>
      <c r="AP89" s="188"/>
      <c r="AQ89" s="185"/>
      <c r="AR89" s="182"/>
      <c r="AS89" s="625"/>
      <c r="AT89" s="188"/>
      <c r="AU89" s="188"/>
      <c r="AV89" s="185"/>
      <c r="AW89" s="182"/>
      <c r="AX89" s="625"/>
    </row>
    <row r="90" spans="2:50" ht="14.25" customHeight="1">
      <c r="B90" s="564"/>
      <c r="C90" s="180">
        <v>4</v>
      </c>
      <c r="D90" s="183"/>
      <c r="E90" s="180"/>
      <c r="F90" s="180"/>
      <c r="G90" s="185"/>
      <c r="H90" s="625"/>
      <c r="I90" s="186"/>
      <c r="J90" s="186"/>
      <c r="K90" s="187"/>
      <c r="L90" s="626"/>
      <c r="M90" s="186"/>
      <c r="N90" s="564"/>
      <c r="O90" s="564"/>
      <c r="P90" s="188"/>
      <c r="Q90" s="188"/>
      <c r="R90" s="185"/>
      <c r="S90" s="182"/>
      <c r="T90" s="625"/>
      <c r="U90" s="188"/>
      <c r="V90" s="188"/>
      <c r="W90" s="185"/>
      <c r="X90" s="182"/>
      <c r="Y90" s="625"/>
      <c r="Z90" s="188"/>
      <c r="AA90" s="188"/>
      <c r="AB90" s="185"/>
      <c r="AC90" s="182"/>
      <c r="AD90" s="625"/>
      <c r="AE90" s="188"/>
      <c r="AF90" s="188"/>
      <c r="AG90" s="185"/>
      <c r="AH90" s="182"/>
      <c r="AI90" s="625"/>
      <c r="AJ90" s="188"/>
      <c r="AK90" s="188"/>
      <c r="AL90" s="185"/>
      <c r="AM90" s="182"/>
      <c r="AN90" s="625"/>
      <c r="AO90" s="188"/>
      <c r="AP90" s="188"/>
      <c r="AQ90" s="185"/>
      <c r="AR90" s="182"/>
      <c r="AS90" s="625"/>
      <c r="AT90" s="188"/>
      <c r="AU90" s="188"/>
      <c r="AV90" s="185"/>
      <c r="AW90" s="182"/>
      <c r="AX90" s="625"/>
    </row>
    <row r="91" spans="2:50" ht="14.25" customHeight="1">
      <c r="B91" s="564"/>
      <c r="C91" s="180">
        <v>5</v>
      </c>
      <c r="D91" s="183"/>
      <c r="E91" s="180"/>
      <c r="F91" s="180"/>
      <c r="G91" s="185"/>
      <c r="H91" s="625"/>
      <c r="I91" s="186"/>
      <c r="J91" s="186"/>
      <c r="K91" s="187"/>
      <c r="L91" s="626"/>
      <c r="M91" s="186"/>
      <c r="N91" s="564"/>
      <c r="O91" s="564"/>
      <c r="P91" s="188"/>
      <c r="Q91" s="188"/>
      <c r="R91" s="185"/>
      <c r="S91" s="182"/>
      <c r="T91" s="625"/>
      <c r="U91" s="188"/>
      <c r="V91" s="188"/>
      <c r="W91" s="185"/>
      <c r="X91" s="182"/>
      <c r="Y91" s="625"/>
      <c r="Z91" s="188"/>
      <c r="AA91" s="188"/>
      <c r="AB91" s="185"/>
      <c r="AC91" s="182"/>
      <c r="AD91" s="625"/>
      <c r="AE91" s="188"/>
      <c r="AF91" s="188"/>
      <c r="AG91" s="185"/>
      <c r="AH91" s="182"/>
      <c r="AI91" s="625"/>
      <c r="AJ91" s="188"/>
      <c r="AK91" s="188"/>
      <c r="AL91" s="185"/>
      <c r="AM91" s="182"/>
      <c r="AN91" s="625"/>
      <c r="AO91" s="188"/>
      <c r="AP91" s="188"/>
      <c r="AQ91" s="185"/>
      <c r="AR91" s="182"/>
      <c r="AS91" s="625"/>
      <c r="AT91" s="188"/>
      <c r="AU91" s="188"/>
      <c r="AV91" s="185"/>
      <c r="AW91" s="182"/>
      <c r="AX91" s="625"/>
    </row>
    <row r="92" spans="2:50" ht="14.25" customHeight="1">
      <c r="B92" s="564"/>
      <c r="C92" s="180">
        <v>6</v>
      </c>
      <c r="D92" s="183"/>
      <c r="E92" s="180"/>
      <c r="F92" s="180"/>
      <c r="G92" s="185"/>
      <c r="H92" s="625"/>
      <c r="I92" s="186"/>
      <c r="J92" s="186"/>
      <c r="K92" s="187"/>
      <c r="L92" s="626"/>
      <c r="M92" s="186"/>
      <c r="N92" s="564"/>
      <c r="O92" s="564"/>
      <c r="P92" s="188"/>
      <c r="Q92" s="188"/>
      <c r="R92" s="185"/>
      <c r="S92" s="182"/>
      <c r="T92" s="625"/>
      <c r="U92" s="188"/>
      <c r="V92" s="188"/>
      <c r="W92" s="185"/>
      <c r="X92" s="182"/>
      <c r="Y92" s="625"/>
      <c r="Z92" s="188"/>
      <c r="AA92" s="188"/>
      <c r="AB92" s="185"/>
      <c r="AC92" s="182"/>
      <c r="AD92" s="625"/>
      <c r="AE92" s="188"/>
      <c r="AF92" s="188"/>
      <c r="AG92" s="185"/>
      <c r="AH92" s="182"/>
      <c r="AI92" s="625"/>
      <c r="AJ92" s="188"/>
      <c r="AK92" s="188"/>
      <c r="AL92" s="185"/>
      <c r="AM92" s="182"/>
      <c r="AN92" s="625"/>
      <c r="AO92" s="188"/>
      <c r="AP92" s="188"/>
      <c r="AQ92" s="185"/>
      <c r="AR92" s="182"/>
      <c r="AS92" s="625"/>
      <c r="AT92" s="188"/>
      <c r="AU92" s="188"/>
      <c r="AV92" s="185"/>
      <c r="AW92" s="182"/>
      <c r="AX92" s="625"/>
    </row>
    <row r="93" spans="2:50" ht="14.25" customHeight="1">
      <c r="B93" s="564"/>
      <c r="C93" s="180">
        <v>7</v>
      </c>
      <c r="D93" s="183"/>
      <c r="E93" s="180"/>
      <c r="F93" s="180"/>
      <c r="G93" s="185"/>
      <c r="H93" s="625"/>
      <c r="I93" s="186"/>
      <c r="J93" s="186"/>
      <c r="K93" s="187"/>
      <c r="L93" s="626"/>
      <c r="M93" s="186"/>
      <c r="N93" s="564"/>
      <c r="O93" s="564"/>
      <c r="P93" s="188"/>
      <c r="Q93" s="188"/>
      <c r="R93" s="185"/>
      <c r="S93" s="182"/>
      <c r="T93" s="625"/>
      <c r="U93" s="188"/>
      <c r="V93" s="188"/>
      <c r="W93" s="185"/>
      <c r="X93" s="182"/>
      <c r="Y93" s="625"/>
      <c r="Z93" s="188"/>
      <c r="AA93" s="188"/>
      <c r="AB93" s="185"/>
      <c r="AC93" s="182"/>
      <c r="AD93" s="625"/>
      <c r="AE93" s="188"/>
      <c r="AF93" s="188"/>
      <c r="AG93" s="185"/>
      <c r="AH93" s="182"/>
      <c r="AI93" s="625"/>
      <c r="AJ93" s="188"/>
      <c r="AK93" s="188"/>
      <c r="AL93" s="185"/>
      <c r="AM93" s="182"/>
      <c r="AN93" s="625"/>
      <c r="AO93" s="188"/>
      <c r="AP93" s="188"/>
      <c r="AQ93" s="185"/>
      <c r="AR93" s="182"/>
      <c r="AS93" s="625"/>
      <c r="AT93" s="188"/>
      <c r="AU93" s="188"/>
      <c r="AV93" s="185"/>
      <c r="AW93" s="182"/>
      <c r="AX93" s="625"/>
    </row>
    <row r="94" spans="2:50" ht="14.25" customHeight="1">
      <c r="B94" s="564"/>
      <c r="C94" s="180">
        <v>8</v>
      </c>
      <c r="D94" s="183"/>
      <c r="E94" s="180"/>
      <c r="F94" s="180"/>
      <c r="G94" s="185"/>
      <c r="H94" s="625"/>
      <c r="I94" s="186"/>
      <c r="J94" s="186"/>
      <c r="K94" s="187"/>
      <c r="L94" s="626"/>
      <c r="M94" s="186"/>
      <c r="N94" s="564"/>
      <c r="O94" s="564"/>
      <c r="P94" s="188"/>
      <c r="Q94" s="188"/>
      <c r="R94" s="185"/>
      <c r="S94" s="182"/>
      <c r="T94" s="625"/>
      <c r="U94" s="188"/>
      <c r="V94" s="188"/>
      <c r="W94" s="185"/>
      <c r="X94" s="182"/>
      <c r="Y94" s="625"/>
      <c r="Z94" s="188"/>
      <c r="AA94" s="188"/>
      <c r="AB94" s="185"/>
      <c r="AC94" s="182"/>
      <c r="AD94" s="625"/>
      <c r="AE94" s="188"/>
      <c r="AF94" s="188"/>
      <c r="AG94" s="185"/>
      <c r="AH94" s="182"/>
      <c r="AI94" s="625"/>
      <c r="AJ94" s="188"/>
      <c r="AK94" s="188"/>
      <c r="AL94" s="185"/>
      <c r="AM94" s="182"/>
      <c r="AN94" s="625"/>
      <c r="AO94" s="188"/>
      <c r="AP94" s="188"/>
      <c r="AQ94" s="185"/>
      <c r="AR94" s="182"/>
      <c r="AS94" s="625"/>
      <c r="AT94" s="188"/>
      <c r="AU94" s="188"/>
      <c r="AV94" s="185"/>
      <c r="AW94" s="182"/>
      <c r="AX94" s="625"/>
    </row>
    <row r="95" spans="2:50" ht="14.25" customHeight="1">
      <c r="B95" s="564"/>
      <c r="C95" s="180">
        <v>9</v>
      </c>
      <c r="D95" s="183"/>
      <c r="E95" s="180"/>
      <c r="F95" s="180"/>
      <c r="G95" s="185"/>
      <c r="H95" s="625"/>
      <c r="I95" s="186"/>
      <c r="J95" s="186"/>
      <c r="K95" s="187"/>
      <c r="L95" s="626"/>
      <c r="M95" s="186"/>
      <c r="N95" s="564"/>
      <c r="O95" s="564"/>
      <c r="P95" s="188"/>
      <c r="Q95" s="188"/>
      <c r="R95" s="185"/>
      <c r="S95" s="182"/>
      <c r="T95" s="625"/>
      <c r="U95" s="188"/>
      <c r="V95" s="188"/>
      <c r="W95" s="185"/>
      <c r="X95" s="182"/>
      <c r="Y95" s="625"/>
      <c r="Z95" s="188"/>
      <c r="AA95" s="188"/>
      <c r="AB95" s="185"/>
      <c r="AC95" s="182"/>
      <c r="AD95" s="625"/>
      <c r="AE95" s="188"/>
      <c r="AF95" s="188"/>
      <c r="AG95" s="185"/>
      <c r="AH95" s="182"/>
      <c r="AI95" s="625"/>
      <c r="AJ95" s="188"/>
      <c r="AK95" s="188"/>
      <c r="AL95" s="185"/>
      <c r="AM95" s="182"/>
      <c r="AN95" s="625"/>
      <c r="AO95" s="188"/>
      <c r="AP95" s="188"/>
      <c r="AQ95" s="185"/>
      <c r="AR95" s="182"/>
      <c r="AS95" s="625"/>
      <c r="AT95" s="188"/>
      <c r="AU95" s="188"/>
      <c r="AV95" s="185"/>
      <c r="AW95" s="182"/>
      <c r="AX95" s="625"/>
    </row>
    <row r="96" spans="2:50" ht="14.25" customHeight="1">
      <c r="B96" s="564"/>
      <c r="C96" s="180">
        <v>10</v>
      </c>
      <c r="D96" s="183"/>
      <c r="E96" s="180"/>
      <c r="F96" s="180"/>
      <c r="G96" s="185"/>
      <c r="H96" s="625"/>
      <c r="I96" s="186"/>
      <c r="J96" s="186"/>
      <c r="K96" s="187"/>
      <c r="L96" s="626"/>
      <c r="M96" s="186"/>
      <c r="N96" s="564"/>
      <c r="O96" s="564"/>
      <c r="P96" s="188"/>
      <c r="Q96" s="188"/>
      <c r="R96" s="185"/>
      <c r="S96" s="182"/>
      <c r="T96" s="625"/>
      <c r="U96" s="188"/>
      <c r="V96" s="188"/>
      <c r="W96" s="185"/>
      <c r="X96" s="182"/>
      <c r="Y96" s="625"/>
      <c r="Z96" s="188"/>
      <c r="AA96" s="188"/>
      <c r="AB96" s="185"/>
      <c r="AC96" s="182"/>
      <c r="AD96" s="625"/>
      <c r="AE96" s="188"/>
      <c r="AF96" s="188"/>
      <c r="AG96" s="185"/>
      <c r="AH96" s="182"/>
      <c r="AI96" s="625"/>
      <c r="AJ96" s="188"/>
      <c r="AK96" s="188"/>
      <c r="AL96" s="185"/>
      <c r="AM96" s="182"/>
      <c r="AN96" s="625"/>
      <c r="AO96" s="188"/>
      <c r="AP96" s="188"/>
      <c r="AQ96" s="185"/>
      <c r="AR96" s="182"/>
      <c r="AS96" s="625"/>
      <c r="AT96" s="188"/>
      <c r="AU96" s="188"/>
      <c r="AV96" s="185"/>
      <c r="AW96" s="182"/>
      <c r="AX96" s="625"/>
    </row>
    <row r="97" spans="2:50" ht="14.25" customHeight="1">
      <c r="B97" s="564"/>
      <c r="C97" s="180">
        <v>11</v>
      </c>
      <c r="D97" s="183"/>
      <c r="E97" s="180"/>
      <c r="F97" s="180"/>
      <c r="G97" s="185"/>
      <c r="H97" s="625"/>
      <c r="I97" s="186"/>
      <c r="J97" s="186"/>
      <c r="K97" s="187"/>
      <c r="L97" s="626"/>
      <c r="M97" s="186"/>
      <c r="N97" s="564"/>
      <c r="O97" s="564"/>
      <c r="P97" s="188"/>
      <c r="Q97" s="188"/>
      <c r="R97" s="185"/>
      <c r="S97" s="182"/>
      <c r="T97" s="625"/>
      <c r="U97" s="188"/>
      <c r="V97" s="188"/>
      <c r="W97" s="185"/>
      <c r="X97" s="182"/>
      <c r="Y97" s="625"/>
      <c r="Z97" s="188"/>
      <c r="AA97" s="188"/>
      <c r="AB97" s="185"/>
      <c r="AC97" s="182"/>
      <c r="AD97" s="625"/>
      <c r="AE97" s="188"/>
      <c r="AF97" s="188"/>
      <c r="AG97" s="185"/>
      <c r="AH97" s="182"/>
      <c r="AI97" s="625"/>
      <c r="AJ97" s="188"/>
      <c r="AK97" s="188"/>
      <c r="AL97" s="185"/>
      <c r="AM97" s="182"/>
      <c r="AN97" s="625"/>
      <c r="AO97" s="188"/>
      <c r="AP97" s="188"/>
      <c r="AQ97" s="185"/>
      <c r="AR97" s="182"/>
      <c r="AS97" s="625"/>
      <c r="AT97" s="188"/>
      <c r="AU97" s="188"/>
      <c r="AV97" s="185"/>
      <c r="AW97" s="182"/>
      <c r="AX97" s="625"/>
    </row>
    <row r="98" spans="2:50" ht="14.25" customHeight="1">
      <c r="B98" s="564"/>
      <c r="C98" s="180">
        <v>12</v>
      </c>
      <c r="D98" s="183"/>
      <c r="E98" s="180"/>
      <c r="F98" s="180"/>
      <c r="G98" s="185"/>
      <c r="H98" s="625"/>
      <c r="I98" s="186"/>
      <c r="J98" s="186"/>
      <c r="K98" s="187"/>
      <c r="L98" s="626"/>
      <c r="M98" s="186"/>
      <c r="N98" s="564"/>
      <c r="O98" s="564"/>
      <c r="P98" s="188"/>
      <c r="Q98" s="188"/>
      <c r="R98" s="185"/>
      <c r="S98" s="182"/>
      <c r="T98" s="625"/>
      <c r="U98" s="188"/>
      <c r="V98" s="188"/>
      <c r="W98" s="185"/>
      <c r="X98" s="182"/>
      <c r="Y98" s="625"/>
      <c r="Z98" s="188"/>
      <c r="AA98" s="188"/>
      <c r="AB98" s="185"/>
      <c r="AC98" s="182"/>
      <c r="AD98" s="625"/>
      <c r="AE98" s="188"/>
      <c r="AF98" s="188"/>
      <c r="AG98" s="185"/>
      <c r="AH98" s="182"/>
      <c r="AI98" s="625"/>
      <c r="AJ98" s="188"/>
      <c r="AK98" s="188"/>
      <c r="AL98" s="185"/>
      <c r="AM98" s="182"/>
      <c r="AN98" s="625"/>
      <c r="AO98" s="188"/>
      <c r="AP98" s="188"/>
      <c r="AQ98" s="185"/>
      <c r="AR98" s="182"/>
      <c r="AS98" s="625"/>
      <c r="AT98" s="188"/>
      <c r="AU98" s="188"/>
      <c r="AV98" s="185"/>
      <c r="AW98" s="182"/>
      <c r="AX98" s="625"/>
    </row>
    <row r="99" spans="2:50" ht="14.25" customHeight="1">
      <c r="B99" s="564"/>
      <c r="C99" s="180">
        <v>13</v>
      </c>
      <c r="D99" s="183"/>
      <c r="E99" s="180"/>
      <c r="F99" s="180"/>
      <c r="G99" s="185"/>
      <c r="H99" s="625"/>
      <c r="I99" s="186"/>
      <c r="J99" s="186"/>
      <c r="K99" s="187"/>
      <c r="L99" s="626"/>
      <c r="M99" s="186"/>
      <c r="N99" s="564"/>
      <c r="O99" s="564"/>
      <c r="P99" s="188"/>
      <c r="Q99" s="188"/>
      <c r="R99" s="185"/>
      <c r="S99" s="182"/>
      <c r="T99" s="625"/>
      <c r="U99" s="188"/>
      <c r="V99" s="188"/>
      <c r="W99" s="185"/>
      <c r="X99" s="182"/>
      <c r="Y99" s="625"/>
      <c r="Z99" s="188"/>
      <c r="AA99" s="188"/>
      <c r="AB99" s="185"/>
      <c r="AC99" s="182"/>
      <c r="AD99" s="625"/>
      <c r="AE99" s="188"/>
      <c r="AF99" s="188"/>
      <c r="AG99" s="185"/>
      <c r="AH99" s="182"/>
      <c r="AI99" s="625"/>
      <c r="AJ99" s="188"/>
      <c r="AK99" s="188"/>
      <c r="AL99" s="185"/>
      <c r="AM99" s="182"/>
      <c r="AN99" s="625"/>
      <c r="AO99" s="188"/>
      <c r="AP99" s="188"/>
      <c r="AQ99" s="185"/>
      <c r="AR99" s="182"/>
      <c r="AS99" s="625"/>
      <c r="AT99" s="188"/>
      <c r="AU99" s="188"/>
      <c r="AV99" s="185"/>
      <c r="AW99" s="182"/>
      <c r="AX99" s="625"/>
    </row>
    <row r="100" spans="2:50" ht="14.25" customHeight="1">
      <c r="B100" s="564"/>
      <c r="C100" s="180">
        <v>14</v>
      </c>
      <c r="D100" s="183"/>
      <c r="E100" s="180"/>
      <c r="F100" s="180"/>
      <c r="G100" s="185"/>
      <c r="H100" s="625"/>
      <c r="I100" s="186"/>
      <c r="J100" s="186"/>
      <c r="K100" s="187"/>
      <c r="L100" s="626"/>
      <c r="M100" s="186"/>
      <c r="N100" s="564"/>
      <c r="O100" s="564"/>
      <c r="P100" s="188"/>
      <c r="Q100" s="188"/>
      <c r="R100" s="185"/>
      <c r="S100" s="182"/>
      <c r="T100" s="625"/>
      <c r="U100" s="188"/>
      <c r="V100" s="188"/>
      <c r="W100" s="185"/>
      <c r="X100" s="182"/>
      <c r="Y100" s="625"/>
      <c r="Z100" s="188"/>
      <c r="AA100" s="188"/>
      <c r="AB100" s="185"/>
      <c r="AC100" s="182"/>
      <c r="AD100" s="625"/>
      <c r="AE100" s="188"/>
      <c r="AF100" s="188"/>
      <c r="AG100" s="185"/>
      <c r="AH100" s="182"/>
      <c r="AI100" s="625"/>
      <c r="AJ100" s="188"/>
      <c r="AK100" s="188"/>
      <c r="AL100" s="185"/>
      <c r="AM100" s="182"/>
      <c r="AN100" s="625"/>
      <c r="AO100" s="188"/>
      <c r="AP100" s="188"/>
      <c r="AQ100" s="185"/>
      <c r="AR100" s="182"/>
      <c r="AS100" s="625"/>
      <c r="AT100" s="188"/>
      <c r="AU100" s="188"/>
      <c r="AV100" s="185"/>
      <c r="AW100" s="182"/>
      <c r="AX100" s="625"/>
    </row>
    <row r="101" spans="2:50" ht="14.25" customHeight="1">
      <c r="B101" s="564"/>
      <c r="C101" s="180">
        <v>15</v>
      </c>
      <c r="D101" s="183"/>
      <c r="E101" s="180"/>
      <c r="F101" s="180"/>
      <c r="G101" s="185"/>
      <c r="H101" s="625"/>
      <c r="I101" s="186"/>
      <c r="J101" s="186"/>
      <c r="K101" s="187"/>
      <c r="L101" s="626"/>
      <c r="M101" s="186"/>
      <c r="N101" s="564"/>
      <c r="O101" s="564"/>
      <c r="P101" s="188"/>
      <c r="Q101" s="188"/>
      <c r="R101" s="185"/>
      <c r="S101" s="182"/>
      <c r="T101" s="625"/>
      <c r="U101" s="188"/>
      <c r="V101" s="188"/>
      <c r="W101" s="185"/>
      <c r="X101" s="182"/>
      <c r="Y101" s="625"/>
      <c r="Z101" s="188"/>
      <c r="AA101" s="188"/>
      <c r="AB101" s="185"/>
      <c r="AC101" s="182"/>
      <c r="AD101" s="625"/>
      <c r="AE101" s="188"/>
      <c r="AF101" s="188"/>
      <c r="AG101" s="185"/>
      <c r="AH101" s="182"/>
      <c r="AI101" s="625"/>
      <c r="AJ101" s="188"/>
      <c r="AK101" s="188"/>
      <c r="AL101" s="185"/>
      <c r="AM101" s="182"/>
      <c r="AN101" s="625"/>
      <c r="AO101" s="188"/>
      <c r="AP101" s="188"/>
      <c r="AQ101" s="185"/>
      <c r="AR101" s="182"/>
      <c r="AS101" s="625"/>
      <c r="AT101" s="188"/>
      <c r="AU101" s="188"/>
      <c r="AV101" s="185"/>
      <c r="AW101" s="182"/>
      <c r="AX101" s="625"/>
    </row>
    <row r="102" spans="2:50" ht="14.25" customHeight="1" collapsed="1">
      <c r="B102" s="641" t="s">
        <v>646</v>
      </c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3"/>
      <c r="N102" s="575" t="s">
        <v>377</v>
      </c>
      <c r="O102" s="575" t="s">
        <v>105</v>
      </c>
      <c r="P102" s="655">
        <f>AT82+1</f>
        <v>46112</v>
      </c>
      <c r="Q102" s="656"/>
      <c r="R102" s="656"/>
      <c r="S102" s="656"/>
      <c r="T102" s="656"/>
      <c r="U102" s="657">
        <f>P102+1</f>
        <v>46113</v>
      </c>
      <c r="V102" s="658"/>
      <c r="W102" s="658"/>
      <c r="X102" s="658"/>
      <c r="Y102" s="658"/>
      <c r="Z102" s="655">
        <f t="shared" ref="Z102" si="50">U102+1</f>
        <v>46114</v>
      </c>
      <c r="AA102" s="656"/>
      <c r="AB102" s="656"/>
      <c r="AC102" s="656"/>
      <c r="AD102" s="656"/>
      <c r="AE102" s="657">
        <f t="shared" ref="AE102" si="51">Z102+1</f>
        <v>46115</v>
      </c>
      <c r="AF102" s="658"/>
      <c r="AG102" s="658"/>
      <c r="AH102" s="658"/>
      <c r="AI102" s="658"/>
      <c r="AJ102" s="647">
        <f t="shared" ref="AJ102" si="52">AE102+1</f>
        <v>46116</v>
      </c>
      <c r="AK102" s="648"/>
      <c r="AL102" s="648"/>
      <c r="AM102" s="648"/>
      <c r="AN102" s="649"/>
      <c r="AO102" s="657">
        <f t="shared" ref="AO102" si="53">AJ102+1</f>
        <v>46117</v>
      </c>
      <c r="AP102" s="658"/>
      <c r="AQ102" s="658"/>
      <c r="AR102" s="658"/>
      <c r="AS102" s="658"/>
      <c r="AT102" s="647">
        <f t="shared" ref="AT102" si="54">AO102+1</f>
        <v>46118</v>
      </c>
      <c r="AU102" s="648"/>
      <c r="AV102" s="648"/>
      <c r="AW102" s="648"/>
      <c r="AX102" s="649"/>
    </row>
    <row r="103" spans="2:50" ht="14.25" customHeight="1">
      <c r="B103" s="644"/>
      <c r="C103" s="644"/>
      <c r="D103" s="644"/>
      <c r="E103" s="644"/>
      <c r="F103" s="644"/>
      <c r="G103" s="644"/>
      <c r="H103" s="644"/>
      <c r="I103" s="644"/>
      <c r="J103" s="644"/>
      <c r="K103" s="644"/>
      <c r="L103" s="644"/>
      <c r="M103" s="645"/>
      <c r="N103" s="577"/>
      <c r="O103" s="577"/>
      <c r="P103" s="650">
        <f>P102</f>
        <v>46112</v>
      </c>
      <c r="Q103" s="650"/>
      <c r="R103" s="650"/>
      <c r="S103" s="650"/>
      <c r="T103" s="650"/>
      <c r="U103" s="651">
        <f>U102</f>
        <v>46113</v>
      </c>
      <c r="V103" s="651"/>
      <c r="W103" s="651"/>
      <c r="X103" s="651"/>
      <c r="Y103" s="651"/>
      <c r="Z103" s="650">
        <f t="shared" ref="Z103" si="55">Z102</f>
        <v>46114</v>
      </c>
      <c r="AA103" s="650"/>
      <c r="AB103" s="650"/>
      <c r="AC103" s="650"/>
      <c r="AD103" s="650"/>
      <c r="AE103" s="651">
        <f t="shared" ref="AE103" si="56">AE102</f>
        <v>46115</v>
      </c>
      <c r="AF103" s="651"/>
      <c r="AG103" s="651"/>
      <c r="AH103" s="651"/>
      <c r="AI103" s="651"/>
      <c r="AJ103" s="652">
        <f t="shared" ref="AJ103" si="57">AJ102</f>
        <v>46116</v>
      </c>
      <c r="AK103" s="653"/>
      <c r="AL103" s="653"/>
      <c r="AM103" s="653"/>
      <c r="AN103" s="654"/>
      <c r="AO103" s="651">
        <f t="shared" ref="AO103" si="58">AO102</f>
        <v>46117</v>
      </c>
      <c r="AP103" s="651"/>
      <c r="AQ103" s="651"/>
      <c r="AR103" s="651"/>
      <c r="AS103" s="651"/>
      <c r="AT103" s="652">
        <f t="shared" ref="AT103" si="59">AT102</f>
        <v>46118</v>
      </c>
      <c r="AU103" s="653"/>
      <c r="AV103" s="653"/>
      <c r="AW103" s="653"/>
      <c r="AX103" s="654"/>
    </row>
    <row r="104" spans="2:50" ht="14.25" customHeight="1">
      <c r="B104" s="564" t="s">
        <v>164</v>
      </c>
      <c r="C104" s="564" t="s">
        <v>159</v>
      </c>
      <c r="D104" s="564"/>
      <c r="E104" s="564" t="s">
        <v>160</v>
      </c>
      <c r="F104" s="564"/>
      <c r="G104" s="564"/>
      <c r="H104" s="564" t="s">
        <v>165</v>
      </c>
      <c r="I104" s="628" t="s">
        <v>378</v>
      </c>
      <c r="J104" s="628"/>
      <c r="K104" s="628"/>
      <c r="L104" s="628" t="s">
        <v>165</v>
      </c>
      <c r="M104" s="628" t="s">
        <v>167</v>
      </c>
      <c r="N104" s="564"/>
      <c r="O104" s="564" t="s">
        <v>166</v>
      </c>
      <c r="P104" s="564" t="s">
        <v>162</v>
      </c>
      <c r="Q104" s="564"/>
      <c r="R104" s="564"/>
      <c r="S104" s="564"/>
      <c r="T104" s="564" t="s">
        <v>165</v>
      </c>
      <c r="U104" s="564" t="s">
        <v>162</v>
      </c>
      <c r="V104" s="564"/>
      <c r="W104" s="564"/>
      <c r="X104" s="564"/>
      <c r="Y104" s="564" t="s">
        <v>165</v>
      </c>
      <c r="Z104" s="564" t="s">
        <v>162</v>
      </c>
      <c r="AA104" s="564"/>
      <c r="AB104" s="564"/>
      <c r="AC104" s="564"/>
      <c r="AD104" s="564" t="s">
        <v>165</v>
      </c>
      <c r="AE104" s="564" t="s">
        <v>162</v>
      </c>
      <c r="AF104" s="564"/>
      <c r="AG104" s="564"/>
      <c r="AH104" s="564"/>
      <c r="AI104" s="564" t="s">
        <v>165</v>
      </c>
      <c r="AJ104" s="564" t="s">
        <v>162</v>
      </c>
      <c r="AK104" s="564"/>
      <c r="AL104" s="564"/>
      <c r="AM104" s="564"/>
      <c r="AN104" s="564" t="s">
        <v>165</v>
      </c>
      <c r="AO104" s="564" t="s">
        <v>162</v>
      </c>
      <c r="AP104" s="564"/>
      <c r="AQ104" s="564"/>
      <c r="AR104" s="564"/>
      <c r="AS104" s="564" t="s">
        <v>165</v>
      </c>
      <c r="AT104" s="564" t="s">
        <v>162</v>
      </c>
      <c r="AU104" s="564"/>
      <c r="AV104" s="564"/>
      <c r="AW104" s="564"/>
      <c r="AX104" s="564" t="s">
        <v>165</v>
      </c>
    </row>
    <row r="105" spans="2:50" ht="14.25" customHeight="1">
      <c r="B105" s="564"/>
      <c r="C105" s="564"/>
      <c r="D105" s="564"/>
      <c r="E105" s="564" t="s">
        <v>379</v>
      </c>
      <c r="F105" s="564"/>
      <c r="G105" s="564"/>
      <c r="H105" s="564"/>
      <c r="I105" s="628" t="s">
        <v>379</v>
      </c>
      <c r="J105" s="628"/>
      <c r="K105" s="628"/>
      <c r="L105" s="628"/>
      <c r="M105" s="628"/>
      <c r="N105" s="564"/>
      <c r="O105" s="564"/>
      <c r="P105" s="564" t="s">
        <v>380</v>
      </c>
      <c r="Q105" s="564"/>
      <c r="R105" s="564"/>
      <c r="S105" s="564"/>
      <c r="T105" s="564"/>
      <c r="U105" s="564" t="s">
        <v>380</v>
      </c>
      <c r="V105" s="564"/>
      <c r="W105" s="564"/>
      <c r="X105" s="564"/>
      <c r="Y105" s="564"/>
      <c r="Z105" s="564" t="s">
        <v>380</v>
      </c>
      <c r="AA105" s="564"/>
      <c r="AB105" s="564"/>
      <c r="AC105" s="564"/>
      <c r="AD105" s="564"/>
      <c r="AE105" s="564" t="s">
        <v>380</v>
      </c>
      <c r="AF105" s="564"/>
      <c r="AG105" s="564"/>
      <c r="AH105" s="564"/>
      <c r="AI105" s="564"/>
      <c r="AJ105" s="564" t="s">
        <v>380</v>
      </c>
      <c r="AK105" s="564"/>
      <c r="AL105" s="564"/>
      <c r="AM105" s="564"/>
      <c r="AN105" s="564"/>
      <c r="AO105" s="564" t="s">
        <v>380</v>
      </c>
      <c r="AP105" s="564"/>
      <c r="AQ105" s="564"/>
      <c r="AR105" s="564"/>
      <c r="AS105" s="564"/>
      <c r="AT105" s="564" t="s">
        <v>380</v>
      </c>
      <c r="AU105" s="564"/>
      <c r="AV105" s="564"/>
      <c r="AW105" s="564"/>
      <c r="AX105" s="564"/>
    </row>
    <row r="106" spans="2:50" ht="14.25" customHeight="1">
      <c r="B106" s="564"/>
      <c r="C106" s="564"/>
      <c r="D106" s="564"/>
      <c r="E106" s="180" t="s">
        <v>161</v>
      </c>
      <c r="F106" s="180" t="s">
        <v>381</v>
      </c>
      <c r="G106" s="180" t="s">
        <v>163</v>
      </c>
      <c r="H106" s="564"/>
      <c r="I106" s="181" t="s">
        <v>161</v>
      </c>
      <c r="J106" s="181" t="s">
        <v>381</v>
      </c>
      <c r="K106" s="181" t="s">
        <v>163</v>
      </c>
      <c r="L106" s="628"/>
      <c r="M106" s="628"/>
      <c r="N106" s="564"/>
      <c r="O106" s="564"/>
      <c r="P106" s="180" t="s">
        <v>161</v>
      </c>
      <c r="Q106" s="180" t="s">
        <v>381</v>
      </c>
      <c r="R106" s="180" t="s">
        <v>163</v>
      </c>
      <c r="S106" s="182" t="s">
        <v>167</v>
      </c>
      <c r="T106" s="564"/>
      <c r="U106" s="180" t="s">
        <v>161</v>
      </c>
      <c r="V106" s="180" t="s">
        <v>381</v>
      </c>
      <c r="W106" s="180" t="s">
        <v>163</v>
      </c>
      <c r="X106" s="182" t="s">
        <v>167</v>
      </c>
      <c r="Y106" s="564"/>
      <c r="Z106" s="180" t="s">
        <v>161</v>
      </c>
      <c r="AA106" s="180" t="s">
        <v>381</v>
      </c>
      <c r="AB106" s="180" t="s">
        <v>163</v>
      </c>
      <c r="AC106" s="182" t="s">
        <v>167</v>
      </c>
      <c r="AD106" s="564"/>
      <c r="AE106" s="180" t="s">
        <v>161</v>
      </c>
      <c r="AF106" s="180" t="s">
        <v>381</v>
      </c>
      <c r="AG106" s="180" t="s">
        <v>163</v>
      </c>
      <c r="AH106" s="182" t="s">
        <v>167</v>
      </c>
      <c r="AI106" s="564"/>
      <c r="AJ106" s="180" t="s">
        <v>161</v>
      </c>
      <c r="AK106" s="180" t="s">
        <v>381</v>
      </c>
      <c r="AL106" s="180" t="s">
        <v>163</v>
      </c>
      <c r="AM106" s="182" t="s">
        <v>167</v>
      </c>
      <c r="AN106" s="564"/>
      <c r="AO106" s="180" t="s">
        <v>161</v>
      </c>
      <c r="AP106" s="180" t="s">
        <v>381</v>
      </c>
      <c r="AQ106" s="180" t="s">
        <v>163</v>
      </c>
      <c r="AR106" s="182" t="s">
        <v>167</v>
      </c>
      <c r="AS106" s="564"/>
      <c r="AT106" s="180" t="s">
        <v>161</v>
      </c>
      <c r="AU106" s="180" t="s">
        <v>381</v>
      </c>
      <c r="AV106" s="180" t="s">
        <v>163</v>
      </c>
      <c r="AW106" s="182" t="s">
        <v>167</v>
      </c>
      <c r="AX106" s="564"/>
    </row>
    <row r="107" spans="2:50" ht="14.25" customHeight="1">
      <c r="B107" s="564" t="s">
        <v>457</v>
      </c>
      <c r="C107" s="180">
        <v>1</v>
      </c>
      <c r="D107" s="183"/>
      <c r="E107" s="180"/>
      <c r="F107" s="180"/>
      <c r="G107" s="185"/>
      <c r="H107" s="625"/>
      <c r="I107" s="186"/>
      <c r="J107" s="186"/>
      <c r="K107" s="187"/>
      <c r="L107" s="626">
        <v>0</v>
      </c>
      <c r="M107" s="186" t="e">
        <f>RANK(K107, K$87:$K$101)</f>
        <v>#N/A</v>
      </c>
      <c r="N107" s="564"/>
      <c r="O107" s="564"/>
      <c r="P107" s="188"/>
      <c r="Q107" s="188"/>
      <c r="R107" s="185"/>
      <c r="S107" s="182"/>
      <c r="T107" s="625"/>
      <c r="U107" s="188"/>
      <c r="V107" s="188"/>
      <c r="W107" s="185"/>
      <c r="X107" s="182"/>
      <c r="Y107" s="625"/>
      <c r="Z107" s="188"/>
      <c r="AA107" s="188"/>
      <c r="AB107" s="185"/>
      <c r="AC107" s="182"/>
      <c r="AD107" s="625"/>
      <c r="AE107" s="188"/>
      <c r="AF107" s="188"/>
      <c r="AG107" s="185"/>
      <c r="AH107" s="182"/>
      <c r="AI107" s="625"/>
      <c r="AJ107" s="188"/>
      <c r="AK107" s="188"/>
      <c r="AL107" s="185"/>
      <c r="AM107" s="182"/>
      <c r="AN107" s="625"/>
      <c r="AO107" s="188"/>
      <c r="AP107" s="188"/>
      <c r="AQ107" s="185"/>
      <c r="AR107" s="182"/>
      <c r="AS107" s="625"/>
      <c r="AT107" s="188"/>
      <c r="AU107" s="188"/>
      <c r="AV107" s="185"/>
      <c r="AW107" s="182"/>
      <c r="AX107" s="625"/>
    </row>
    <row r="108" spans="2:50" ht="14.25" customHeight="1">
      <c r="B108" s="564"/>
      <c r="C108" s="180">
        <v>2</v>
      </c>
      <c r="D108" s="183"/>
      <c r="E108" s="180"/>
      <c r="F108" s="180"/>
      <c r="G108" s="185"/>
      <c r="H108" s="625"/>
      <c r="I108" s="186"/>
      <c r="J108" s="186"/>
      <c r="K108" s="187"/>
      <c r="L108" s="626"/>
      <c r="M108" s="186" t="e">
        <f>RANK(K108, K$87:$K$101)</f>
        <v>#N/A</v>
      </c>
      <c r="N108" s="564"/>
      <c r="O108" s="564"/>
      <c r="P108" s="188"/>
      <c r="Q108" s="188"/>
      <c r="R108" s="185"/>
      <c r="S108" s="182"/>
      <c r="T108" s="625"/>
      <c r="U108" s="188"/>
      <c r="V108" s="188"/>
      <c r="W108" s="185"/>
      <c r="X108" s="182"/>
      <c r="Y108" s="625"/>
      <c r="Z108" s="188"/>
      <c r="AA108" s="188"/>
      <c r="AB108" s="185"/>
      <c r="AC108" s="182"/>
      <c r="AD108" s="625"/>
      <c r="AE108" s="188"/>
      <c r="AF108" s="188"/>
      <c r="AG108" s="185"/>
      <c r="AH108" s="182"/>
      <c r="AI108" s="625"/>
      <c r="AJ108" s="188"/>
      <c r="AK108" s="188"/>
      <c r="AL108" s="185"/>
      <c r="AM108" s="182"/>
      <c r="AN108" s="625"/>
      <c r="AO108" s="188"/>
      <c r="AP108" s="188"/>
      <c r="AQ108" s="185"/>
      <c r="AR108" s="182"/>
      <c r="AS108" s="625"/>
      <c r="AT108" s="188"/>
      <c r="AU108" s="188"/>
      <c r="AV108" s="185"/>
      <c r="AW108" s="182"/>
      <c r="AX108" s="625"/>
    </row>
    <row r="109" spans="2:50" ht="14.25" customHeight="1">
      <c r="B109" s="564"/>
      <c r="C109" s="180">
        <v>3</v>
      </c>
      <c r="D109" s="183"/>
      <c r="E109" s="180"/>
      <c r="F109" s="180"/>
      <c r="G109" s="185"/>
      <c r="H109" s="625"/>
      <c r="I109" s="186"/>
      <c r="J109" s="186"/>
      <c r="K109" s="187"/>
      <c r="L109" s="626"/>
      <c r="M109" s="186"/>
      <c r="N109" s="564"/>
      <c r="O109" s="564"/>
      <c r="P109" s="188"/>
      <c r="Q109" s="188"/>
      <c r="R109" s="185"/>
      <c r="S109" s="182"/>
      <c r="T109" s="625"/>
      <c r="U109" s="188"/>
      <c r="V109" s="188"/>
      <c r="W109" s="185"/>
      <c r="X109" s="182"/>
      <c r="Y109" s="625"/>
      <c r="Z109" s="188"/>
      <c r="AA109" s="188"/>
      <c r="AB109" s="185"/>
      <c r="AC109" s="182"/>
      <c r="AD109" s="625"/>
      <c r="AE109" s="188"/>
      <c r="AF109" s="188"/>
      <c r="AG109" s="185"/>
      <c r="AH109" s="182"/>
      <c r="AI109" s="625"/>
      <c r="AJ109" s="188"/>
      <c r="AK109" s="188"/>
      <c r="AL109" s="185"/>
      <c r="AM109" s="182"/>
      <c r="AN109" s="625"/>
      <c r="AO109" s="188"/>
      <c r="AP109" s="188"/>
      <c r="AQ109" s="185"/>
      <c r="AR109" s="182"/>
      <c r="AS109" s="625"/>
      <c r="AT109" s="188"/>
      <c r="AU109" s="188"/>
      <c r="AV109" s="185"/>
      <c r="AW109" s="182"/>
      <c r="AX109" s="625"/>
    </row>
    <row r="110" spans="2:50" ht="14.25" customHeight="1">
      <c r="B110" s="564"/>
      <c r="C110" s="180">
        <v>4</v>
      </c>
      <c r="D110" s="183"/>
      <c r="E110" s="180"/>
      <c r="F110" s="180"/>
      <c r="G110" s="185"/>
      <c r="H110" s="625"/>
      <c r="I110" s="186"/>
      <c r="J110" s="186"/>
      <c r="K110" s="187"/>
      <c r="L110" s="626"/>
      <c r="M110" s="186"/>
      <c r="N110" s="564"/>
      <c r="O110" s="564"/>
      <c r="P110" s="188"/>
      <c r="Q110" s="188"/>
      <c r="R110" s="185"/>
      <c r="S110" s="182"/>
      <c r="T110" s="625"/>
      <c r="U110" s="188"/>
      <c r="V110" s="188"/>
      <c r="W110" s="185"/>
      <c r="X110" s="182"/>
      <c r="Y110" s="625"/>
      <c r="Z110" s="188"/>
      <c r="AA110" s="188"/>
      <c r="AB110" s="185"/>
      <c r="AC110" s="182"/>
      <c r="AD110" s="625"/>
      <c r="AE110" s="188"/>
      <c r="AF110" s="188"/>
      <c r="AG110" s="185"/>
      <c r="AH110" s="182"/>
      <c r="AI110" s="625"/>
      <c r="AJ110" s="188"/>
      <c r="AK110" s="188"/>
      <c r="AL110" s="185"/>
      <c r="AM110" s="182"/>
      <c r="AN110" s="625"/>
      <c r="AO110" s="188"/>
      <c r="AP110" s="188"/>
      <c r="AQ110" s="185"/>
      <c r="AR110" s="182"/>
      <c r="AS110" s="625"/>
      <c r="AT110" s="188"/>
      <c r="AU110" s="188"/>
      <c r="AV110" s="185"/>
      <c r="AW110" s="182"/>
      <c r="AX110" s="625"/>
    </row>
    <row r="111" spans="2:50" ht="14.25" customHeight="1">
      <c r="B111" s="564"/>
      <c r="C111" s="180">
        <v>5</v>
      </c>
      <c r="D111" s="183"/>
      <c r="E111" s="180"/>
      <c r="F111" s="180"/>
      <c r="G111" s="185"/>
      <c r="H111" s="625"/>
      <c r="I111" s="186"/>
      <c r="J111" s="186"/>
      <c r="K111" s="187"/>
      <c r="L111" s="626"/>
      <c r="M111" s="186"/>
      <c r="N111" s="564"/>
      <c r="O111" s="564"/>
      <c r="P111" s="188"/>
      <c r="Q111" s="188"/>
      <c r="R111" s="185"/>
      <c r="S111" s="182"/>
      <c r="T111" s="625"/>
      <c r="U111" s="188"/>
      <c r="V111" s="188"/>
      <c r="W111" s="185"/>
      <c r="X111" s="182"/>
      <c r="Y111" s="625"/>
      <c r="Z111" s="188"/>
      <c r="AA111" s="188"/>
      <c r="AB111" s="185"/>
      <c r="AC111" s="182"/>
      <c r="AD111" s="625"/>
      <c r="AE111" s="188"/>
      <c r="AF111" s="188"/>
      <c r="AG111" s="185"/>
      <c r="AH111" s="182"/>
      <c r="AI111" s="625"/>
      <c r="AJ111" s="188"/>
      <c r="AK111" s="188"/>
      <c r="AL111" s="185"/>
      <c r="AM111" s="182"/>
      <c r="AN111" s="625"/>
      <c r="AO111" s="188"/>
      <c r="AP111" s="188"/>
      <c r="AQ111" s="185"/>
      <c r="AR111" s="182"/>
      <c r="AS111" s="625"/>
      <c r="AT111" s="188"/>
      <c r="AU111" s="188"/>
      <c r="AV111" s="185"/>
      <c r="AW111" s="182"/>
      <c r="AX111" s="625"/>
    </row>
    <row r="112" spans="2:50" ht="14.25" customHeight="1">
      <c r="B112" s="564"/>
      <c r="C112" s="180">
        <v>6</v>
      </c>
      <c r="D112" s="183"/>
      <c r="E112" s="180"/>
      <c r="F112" s="180"/>
      <c r="G112" s="185"/>
      <c r="H112" s="625"/>
      <c r="I112" s="186"/>
      <c r="J112" s="186"/>
      <c r="K112" s="187"/>
      <c r="L112" s="626"/>
      <c r="M112" s="186"/>
      <c r="N112" s="564"/>
      <c r="O112" s="564"/>
      <c r="P112" s="188"/>
      <c r="Q112" s="188"/>
      <c r="R112" s="185"/>
      <c r="S112" s="182"/>
      <c r="T112" s="625"/>
      <c r="U112" s="188"/>
      <c r="V112" s="188"/>
      <c r="W112" s="185"/>
      <c r="X112" s="182"/>
      <c r="Y112" s="625"/>
      <c r="Z112" s="188"/>
      <c r="AA112" s="188"/>
      <c r="AB112" s="185"/>
      <c r="AC112" s="182"/>
      <c r="AD112" s="625"/>
      <c r="AE112" s="188"/>
      <c r="AF112" s="188"/>
      <c r="AG112" s="185"/>
      <c r="AH112" s="182"/>
      <c r="AI112" s="625"/>
      <c r="AJ112" s="188"/>
      <c r="AK112" s="188"/>
      <c r="AL112" s="185"/>
      <c r="AM112" s="182"/>
      <c r="AN112" s="625"/>
      <c r="AO112" s="188"/>
      <c r="AP112" s="188"/>
      <c r="AQ112" s="185"/>
      <c r="AR112" s="182"/>
      <c r="AS112" s="625"/>
      <c r="AT112" s="188"/>
      <c r="AU112" s="188"/>
      <c r="AV112" s="185"/>
      <c r="AW112" s="182"/>
      <c r="AX112" s="625"/>
    </row>
    <row r="113" spans="2:50" ht="14.25" customHeight="1">
      <c r="B113" s="564"/>
      <c r="C113" s="180">
        <v>7</v>
      </c>
      <c r="D113" s="183"/>
      <c r="E113" s="180"/>
      <c r="F113" s="180"/>
      <c r="G113" s="185"/>
      <c r="H113" s="625"/>
      <c r="I113" s="186"/>
      <c r="J113" s="186"/>
      <c r="K113" s="187"/>
      <c r="L113" s="626"/>
      <c r="M113" s="186"/>
      <c r="N113" s="564"/>
      <c r="O113" s="564"/>
      <c r="P113" s="188"/>
      <c r="Q113" s="188"/>
      <c r="R113" s="185"/>
      <c r="S113" s="182"/>
      <c r="T113" s="625"/>
      <c r="U113" s="188"/>
      <c r="V113" s="188"/>
      <c r="W113" s="185"/>
      <c r="X113" s="182"/>
      <c r="Y113" s="625"/>
      <c r="Z113" s="188"/>
      <c r="AA113" s="188"/>
      <c r="AB113" s="185"/>
      <c r="AC113" s="182"/>
      <c r="AD113" s="625"/>
      <c r="AE113" s="188"/>
      <c r="AF113" s="188"/>
      <c r="AG113" s="185"/>
      <c r="AH113" s="182"/>
      <c r="AI113" s="625"/>
      <c r="AJ113" s="188"/>
      <c r="AK113" s="188"/>
      <c r="AL113" s="185"/>
      <c r="AM113" s="182"/>
      <c r="AN113" s="625"/>
      <c r="AO113" s="188"/>
      <c r="AP113" s="188"/>
      <c r="AQ113" s="185"/>
      <c r="AR113" s="182"/>
      <c r="AS113" s="625"/>
      <c r="AT113" s="188"/>
      <c r="AU113" s="188"/>
      <c r="AV113" s="185"/>
      <c r="AW113" s="182"/>
      <c r="AX113" s="625"/>
    </row>
    <row r="114" spans="2:50" ht="14.25" customHeight="1">
      <c r="B114" s="564"/>
      <c r="C114" s="180">
        <v>8</v>
      </c>
      <c r="D114" s="183"/>
      <c r="E114" s="180"/>
      <c r="F114" s="180"/>
      <c r="G114" s="185"/>
      <c r="H114" s="625"/>
      <c r="I114" s="186"/>
      <c r="J114" s="186"/>
      <c r="K114" s="187"/>
      <c r="L114" s="626"/>
      <c r="M114" s="186"/>
      <c r="N114" s="564"/>
      <c r="O114" s="564"/>
      <c r="P114" s="188"/>
      <c r="Q114" s="188"/>
      <c r="R114" s="185"/>
      <c r="S114" s="182"/>
      <c r="T114" s="625"/>
      <c r="U114" s="188"/>
      <c r="V114" s="188"/>
      <c r="W114" s="185"/>
      <c r="X114" s="182"/>
      <c r="Y114" s="625"/>
      <c r="Z114" s="188"/>
      <c r="AA114" s="188"/>
      <c r="AB114" s="185"/>
      <c r="AC114" s="182"/>
      <c r="AD114" s="625"/>
      <c r="AE114" s="188"/>
      <c r="AF114" s="188"/>
      <c r="AG114" s="185"/>
      <c r="AH114" s="182"/>
      <c r="AI114" s="625"/>
      <c r="AJ114" s="188"/>
      <c r="AK114" s="188"/>
      <c r="AL114" s="185"/>
      <c r="AM114" s="182"/>
      <c r="AN114" s="625"/>
      <c r="AO114" s="188"/>
      <c r="AP114" s="188"/>
      <c r="AQ114" s="185"/>
      <c r="AR114" s="182"/>
      <c r="AS114" s="625"/>
      <c r="AT114" s="188"/>
      <c r="AU114" s="188"/>
      <c r="AV114" s="185"/>
      <c r="AW114" s="182"/>
      <c r="AX114" s="625"/>
    </row>
    <row r="115" spans="2:50" ht="14.25" customHeight="1">
      <c r="B115" s="564"/>
      <c r="C115" s="180">
        <v>9</v>
      </c>
      <c r="D115" s="183"/>
      <c r="E115" s="180"/>
      <c r="F115" s="180"/>
      <c r="G115" s="185"/>
      <c r="H115" s="625"/>
      <c r="I115" s="186"/>
      <c r="J115" s="186"/>
      <c r="K115" s="187"/>
      <c r="L115" s="626"/>
      <c r="M115" s="186"/>
      <c r="N115" s="564"/>
      <c r="O115" s="564"/>
      <c r="P115" s="188"/>
      <c r="Q115" s="188"/>
      <c r="R115" s="185"/>
      <c r="S115" s="182"/>
      <c r="T115" s="625"/>
      <c r="U115" s="188"/>
      <c r="V115" s="188"/>
      <c r="W115" s="185"/>
      <c r="X115" s="182"/>
      <c r="Y115" s="625"/>
      <c r="Z115" s="188"/>
      <c r="AA115" s="188"/>
      <c r="AB115" s="185"/>
      <c r="AC115" s="182"/>
      <c r="AD115" s="625"/>
      <c r="AE115" s="188"/>
      <c r="AF115" s="188"/>
      <c r="AG115" s="185"/>
      <c r="AH115" s="182"/>
      <c r="AI115" s="625"/>
      <c r="AJ115" s="188"/>
      <c r="AK115" s="188"/>
      <c r="AL115" s="185"/>
      <c r="AM115" s="182"/>
      <c r="AN115" s="625"/>
      <c r="AO115" s="188"/>
      <c r="AP115" s="188"/>
      <c r="AQ115" s="185"/>
      <c r="AR115" s="182"/>
      <c r="AS115" s="625"/>
      <c r="AT115" s="188"/>
      <c r="AU115" s="188"/>
      <c r="AV115" s="185"/>
      <c r="AW115" s="182"/>
      <c r="AX115" s="625"/>
    </row>
    <row r="116" spans="2:50" ht="14.25" customHeight="1">
      <c r="B116" s="564"/>
      <c r="C116" s="180">
        <v>10</v>
      </c>
      <c r="D116" s="183"/>
      <c r="E116" s="180"/>
      <c r="F116" s="180"/>
      <c r="G116" s="185"/>
      <c r="H116" s="625"/>
      <c r="I116" s="186"/>
      <c r="J116" s="186"/>
      <c r="K116" s="187"/>
      <c r="L116" s="626"/>
      <c r="M116" s="186"/>
      <c r="N116" s="564"/>
      <c r="O116" s="564"/>
      <c r="P116" s="188"/>
      <c r="Q116" s="188"/>
      <c r="R116" s="185"/>
      <c r="S116" s="182"/>
      <c r="T116" s="625"/>
      <c r="U116" s="188"/>
      <c r="V116" s="188"/>
      <c r="W116" s="185"/>
      <c r="X116" s="182"/>
      <c r="Y116" s="625"/>
      <c r="Z116" s="188"/>
      <c r="AA116" s="188"/>
      <c r="AB116" s="185"/>
      <c r="AC116" s="182"/>
      <c r="AD116" s="625"/>
      <c r="AE116" s="188"/>
      <c r="AF116" s="188"/>
      <c r="AG116" s="185"/>
      <c r="AH116" s="182"/>
      <c r="AI116" s="625"/>
      <c r="AJ116" s="188"/>
      <c r="AK116" s="188"/>
      <c r="AL116" s="185"/>
      <c r="AM116" s="182"/>
      <c r="AN116" s="625"/>
      <c r="AO116" s="188"/>
      <c r="AP116" s="188"/>
      <c r="AQ116" s="185"/>
      <c r="AR116" s="182"/>
      <c r="AS116" s="625"/>
      <c r="AT116" s="188"/>
      <c r="AU116" s="188"/>
      <c r="AV116" s="185"/>
      <c r="AW116" s="182"/>
      <c r="AX116" s="625"/>
    </row>
    <row r="117" spans="2:50" ht="14.25" customHeight="1">
      <c r="B117" s="564"/>
      <c r="C117" s="180">
        <v>11</v>
      </c>
      <c r="D117" s="183"/>
      <c r="E117" s="180"/>
      <c r="F117" s="180"/>
      <c r="G117" s="185"/>
      <c r="H117" s="625"/>
      <c r="I117" s="186"/>
      <c r="J117" s="186"/>
      <c r="K117" s="187"/>
      <c r="L117" s="626"/>
      <c r="M117" s="186"/>
      <c r="N117" s="564"/>
      <c r="O117" s="564"/>
      <c r="P117" s="188"/>
      <c r="Q117" s="188"/>
      <c r="R117" s="185"/>
      <c r="S117" s="182"/>
      <c r="T117" s="625"/>
      <c r="U117" s="188"/>
      <c r="V117" s="188"/>
      <c r="W117" s="185"/>
      <c r="X117" s="182"/>
      <c r="Y117" s="625"/>
      <c r="Z117" s="188"/>
      <c r="AA117" s="188"/>
      <c r="AB117" s="185"/>
      <c r="AC117" s="182"/>
      <c r="AD117" s="625"/>
      <c r="AE117" s="188"/>
      <c r="AF117" s="188"/>
      <c r="AG117" s="185"/>
      <c r="AH117" s="182"/>
      <c r="AI117" s="625"/>
      <c r="AJ117" s="188"/>
      <c r="AK117" s="188"/>
      <c r="AL117" s="185"/>
      <c r="AM117" s="182"/>
      <c r="AN117" s="625"/>
      <c r="AO117" s="188"/>
      <c r="AP117" s="188"/>
      <c r="AQ117" s="185"/>
      <c r="AR117" s="182"/>
      <c r="AS117" s="625"/>
      <c r="AT117" s="188"/>
      <c r="AU117" s="188"/>
      <c r="AV117" s="185"/>
      <c r="AW117" s="182"/>
      <c r="AX117" s="625"/>
    </row>
    <row r="118" spans="2:50" ht="14.25" customHeight="1">
      <c r="B118" s="564"/>
      <c r="C118" s="180">
        <v>12</v>
      </c>
      <c r="D118" s="183"/>
      <c r="E118" s="180"/>
      <c r="F118" s="180"/>
      <c r="G118" s="185"/>
      <c r="H118" s="625"/>
      <c r="I118" s="186"/>
      <c r="J118" s="186"/>
      <c r="K118" s="187"/>
      <c r="L118" s="626"/>
      <c r="M118" s="186"/>
      <c r="N118" s="564"/>
      <c r="O118" s="564"/>
      <c r="P118" s="188"/>
      <c r="Q118" s="188"/>
      <c r="R118" s="185"/>
      <c r="S118" s="182"/>
      <c r="T118" s="625"/>
      <c r="U118" s="188"/>
      <c r="V118" s="188"/>
      <c r="W118" s="185"/>
      <c r="X118" s="182"/>
      <c r="Y118" s="625"/>
      <c r="Z118" s="188"/>
      <c r="AA118" s="188"/>
      <c r="AB118" s="185"/>
      <c r="AC118" s="182"/>
      <c r="AD118" s="625"/>
      <c r="AE118" s="188"/>
      <c r="AF118" s="188"/>
      <c r="AG118" s="185"/>
      <c r="AH118" s="182"/>
      <c r="AI118" s="625"/>
      <c r="AJ118" s="188"/>
      <c r="AK118" s="188"/>
      <c r="AL118" s="185"/>
      <c r="AM118" s="182"/>
      <c r="AN118" s="625"/>
      <c r="AO118" s="188"/>
      <c r="AP118" s="188"/>
      <c r="AQ118" s="185"/>
      <c r="AR118" s="182"/>
      <c r="AS118" s="625"/>
      <c r="AT118" s="188"/>
      <c r="AU118" s="188"/>
      <c r="AV118" s="185"/>
      <c r="AW118" s="182"/>
      <c r="AX118" s="625"/>
    </row>
    <row r="119" spans="2:50" ht="14.25" customHeight="1">
      <c r="B119" s="564"/>
      <c r="C119" s="180">
        <v>13</v>
      </c>
      <c r="D119" s="183"/>
      <c r="E119" s="180"/>
      <c r="F119" s="180"/>
      <c r="G119" s="185"/>
      <c r="H119" s="625"/>
      <c r="I119" s="186"/>
      <c r="J119" s="186"/>
      <c r="K119" s="187"/>
      <c r="L119" s="626"/>
      <c r="M119" s="186"/>
      <c r="N119" s="564"/>
      <c r="O119" s="564"/>
      <c r="P119" s="188"/>
      <c r="Q119" s="188"/>
      <c r="R119" s="185"/>
      <c r="S119" s="182"/>
      <c r="T119" s="625"/>
      <c r="U119" s="188"/>
      <c r="V119" s="188"/>
      <c r="W119" s="185"/>
      <c r="X119" s="182"/>
      <c r="Y119" s="625"/>
      <c r="Z119" s="188"/>
      <c r="AA119" s="188"/>
      <c r="AB119" s="185"/>
      <c r="AC119" s="182"/>
      <c r="AD119" s="625"/>
      <c r="AE119" s="188"/>
      <c r="AF119" s="188"/>
      <c r="AG119" s="185"/>
      <c r="AH119" s="182"/>
      <c r="AI119" s="625"/>
      <c r="AJ119" s="188"/>
      <c r="AK119" s="188"/>
      <c r="AL119" s="185"/>
      <c r="AM119" s="182"/>
      <c r="AN119" s="625"/>
      <c r="AO119" s="188"/>
      <c r="AP119" s="188"/>
      <c r="AQ119" s="185"/>
      <c r="AR119" s="182"/>
      <c r="AS119" s="625"/>
      <c r="AT119" s="188"/>
      <c r="AU119" s="188"/>
      <c r="AV119" s="185"/>
      <c r="AW119" s="182"/>
      <c r="AX119" s="625"/>
    </row>
    <row r="120" spans="2:50" ht="14.25" customHeight="1">
      <c r="B120" s="564"/>
      <c r="C120" s="180">
        <v>14</v>
      </c>
      <c r="D120" s="183"/>
      <c r="E120" s="180"/>
      <c r="F120" s="180"/>
      <c r="G120" s="185"/>
      <c r="H120" s="625"/>
      <c r="I120" s="186"/>
      <c r="J120" s="186"/>
      <c r="K120" s="187"/>
      <c r="L120" s="626"/>
      <c r="M120" s="186"/>
      <c r="N120" s="564"/>
      <c r="O120" s="564"/>
      <c r="P120" s="188"/>
      <c r="Q120" s="188"/>
      <c r="R120" s="185"/>
      <c r="S120" s="182"/>
      <c r="T120" s="625"/>
      <c r="U120" s="188"/>
      <c r="V120" s="188"/>
      <c r="W120" s="185"/>
      <c r="X120" s="182"/>
      <c r="Y120" s="625"/>
      <c r="Z120" s="188"/>
      <c r="AA120" s="188"/>
      <c r="AB120" s="185"/>
      <c r="AC120" s="182"/>
      <c r="AD120" s="625"/>
      <c r="AE120" s="188"/>
      <c r="AF120" s="188"/>
      <c r="AG120" s="185"/>
      <c r="AH120" s="182"/>
      <c r="AI120" s="625"/>
      <c r="AJ120" s="188"/>
      <c r="AK120" s="188"/>
      <c r="AL120" s="185"/>
      <c r="AM120" s="182"/>
      <c r="AN120" s="625"/>
      <c r="AO120" s="188"/>
      <c r="AP120" s="188"/>
      <c r="AQ120" s="185"/>
      <c r="AR120" s="182"/>
      <c r="AS120" s="625"/>
      <c r="AT120" s="188"/>
      <c r="AU120" s="188"/>
      <c r="AV120" s="185"/>
      <c r="AW120" s="182"/>
      <c r="AX120" s="625"/>
    </row>
    <row r="121" spans="2:50" ht="14.25" customHeight="1">
      <c r="B121" s="564"/>
      <c r="C121" s="180">
        <v>15</v>
      </c>
      <c r="D121" s="183"/>
      <c r="E121" s="180"/>
      <c r="F121" s="180"/>
      <c r="G121" s="185"/>
      <c r="H121" s="625"/>
      <c r="I121" s="186"/>
      <c r="J121" s="186"/>
      <c r="K121" s="187"/>
      <c r="L121" s="626"/>
      <c r="M121" s="186"/>
      <c r="N121" s="564"/>
      <c r="O121" s="564"/>
      <c r="P121" s="188"/>
      <c r="Q121" s="188"/>
      <c r="R121" s="185"/>
      <c r="S121" s="182"/>
      <c r="T121" s="625"/>
      <c r="U121" s="188"/>
      <c r="V121" s="188"/>
      <c r="W121" s="185"/>
      <c r="X121" s="182"/>
      <c r="Y121" s="625"/>
      <c r="Z121" s="188"/>
      <c r="AA121" s="188"/>
      <c r="AB121" s="185"/>
      <c r="AC121" s="182"/>
      <c r="AD121" s="625"/>
      <c r="AE121" s="188"/>
      <c r="AF121" s="188"/>
      <c r="AG121" s="185"/>
      <c r="AH121" s="182"/>
      <c r="AI121" s="625"/>
      <c r="AJ121" s="188"/>
      <c r="AK121" s="188"/>
      <c r="AL121" s="185"/>
      <c r="AM121" s="182"/>
      <c r="AN121" s="625"/>
      <c r="AO121" s="188"/>
      <c r="AP121" s="188"/>
      <c r="AQ121" s="185"/>
      <c r="AR121" s="182"/>
      <c r="AS121" s="625"/>
      <c r="AT121" s="188"/>
      <c r="AU121" s="188"/>
      <c r="AV121" s="185"/>
      <c r="AW121" s="182"/>
      <c r="AX121" s="625"/>
    </row>
  </sheetData>
  <mergeCells count="354"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N7:AN21"/>
    <mergeCell ref="AS7:AS21"/>
    <mergeCell ref="AJ4:AM4"/>
    <mergeCell ref="AN4:AN6"/>
    <mergeCell ref="AO4:AR4"/>
    <mergeCell ref="AS4:AS6"/>
    <mergeCell ref="AT4:AW4"/>
    <mergeCell ref="AX4:AX6"/>
    <mergeCell ref="AX7:AX21"/>
    <mergeCell ref="P4:S4"/>
    <mergeCell ref="T4:T6"/>
    <mergeCell ref="U4:X4"/>
    <mergeCell ref="Y4:Y6"/>
    <mergeCell ref="Z4:AC4"/>
    <mergeCell ref="AD4:AD6"/>
    <mergeCell ref="AE4:AH4"/>
    <mergeCell ref="AI4:AI6"/>
    <mergeCell ref="B7:B21"/>
    <mergeCell ref="H7:H21"/>
    <mergeCell ref="L7:L21"/>
    <mergeCell ref="T7:T21"/>
    <mergeCell ref="Y7:Y21"/>
    <mergeCell ref="AD7:AD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I7:AI21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FFFFCC"/>
  </sheetPr>
  <dimension ref="A1:AX121"/>
  <sheetViews>
    <sheetView zoomScaleNormal="100" workbookViewId="0">
      <pane xSplit="13" ySplit="1" topLeftCell="N44" activePane="bottomRight" state="frozen"/>
      <selection activeCell="L95" sqref="L95"/>
      <selection pane="topRight" activeCell="L95" sqref="L95"/>
      <selection pane="bottomLeft" activeCell="L95" sqref="L95"/>
      <selection pane="bottomRight" activeCell="L47" sqref="L47:L6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67" t="s">
        <v>647</v>
      </c>
      <c r="C1" s="175">
        <f>AVERAGE(L27,L47,L67,L87)</f>
        <v>84.60142398436416</v>
      </c>
    </row>
    <row r="2" spans="1:50" ht="14.25" customHeight="1" collapsed="1">
      <c r="B2" s="641" t="s">
        <v>557</v>
      </c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3"/>
      <c r="N2" s="575" t="s">
        <v>377</v>
      </c>
      <c r="O2" s="575" t="s">
        <v>105</v>
      </c>
      <c r="P2" s="655">
        <v>46077</v>
      </c>
      <c r="Q2" s="656"/>
      <c r="R2" s="656"/>
      <c r="S2" s="656"/>
      <c r="T2" s="656"/>
      <c r="U2" s="657">
        <f>P2+1</f>
        <v>46078</v>
      </c>
      <c r="V2" s="658"/>
      <c r="W2" s="658"/>
      <c r="X2" s="658"/>
      <c r="Y2" s="658"/>
      <c r="Z2" s="655">
        <f t="shared" ref="Z2" si="0">U2+1</f>
        <v>46079</v>
      </c>
      <c r="AA2" s="656"/>
      <c r="AB2" s="656"/>
      <c r="AC2" s="656"/>
      <c r="AD2" s="656"/>
      <c r="AE2" s="657">
        <f t="shared" ref="AE2" si="1">Z2+1</f>
        <v>46080</v>
      </c>
      <c r="AF2" s="658"/>
      <c r="AG2" s="658"/>
      <c r="AH2" s="658"/>
      <c r="AI2" s="658"/>
      <c r="AJ2" s="647">
        <f t="shared" ref="AJ2" si="2">AE2+1</f>
        <v>46081</v>
      </c>
      <c r="AK2" s="648"/>
      <c r="AL2" s="648"/>
      <c r="AM2" s="648"/>
      <c r="AN2" s="649"/>
      <c r="AO2" s="657">
        <f t="shared" ref="AO2" si="3">AJ2+1</f>
        <v>46082</v>
      </c>
      <c r="AP2" s="658"/>
      <c r="AQ2" s="658"/>
      <c r="AR2" s="658"/>
      <c r="AS2" s="658"/>
      <c r="AT2" s="647">
        <f t="shared" ref="AT2" si="4">AO2+1</f>
        <v>46083</v>
      </c>
      <c r="AU2" s="648"/>
      <c r="AV2" s="648"/>
      <c r="AW2" s="648"/>
      <c r="AX2" s="649"/>
    </row>
    <row r="3" spans="1:50" ht="14.25" customHeight="1"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5"/>
      <c r="N3" s="577"/>
      <c r="O3" s="577"/>
      <c r="P3" s="650">
        <f>P2</f>
        <v>46077</v>
      </c>
      <c r="Q3" s="650"/>
      <c r="R3" s="650"/>
      <c r="S3" s="650"/>
      <c r="T3" s="650"/>
      <c r="U3" s="651">
        <f>U2</f>
        <v>46078</v>
      </c>
      <c r="V3" s="651"/>
      <c r="W3" s="651"/>
      <c r="X3" s="651"/>
      <c r="Y3" s="651"/>
      <c r="Z3" s="650">
        <f t="shared" ref="Z3" si="5">Z2</f>
        <v>46079</v>
      </c>
      <c r="AA3" s="650"/>
      <c r="AB3" s="650"/>
      <c r="AC3" s="650"/>
      <c r="AD3" s="650"/>
      <c r="AE3" s="651">
        <f t="shared" ref="AE3" si="6">AE2</f>
        <v>46080</v>
      </c>
      <c r="AF3" s="651"/>
      <c r="AG3" s="651"/>
      <c r="AH3" s="651"/>
      <c r="AI3" s="651"/>
      <c r="AJ3" s="652">
        <f t="shared" ref="AJ3" si="7">AJ2</f>
        <v>46081</v>
      </c>
      <c r="AK3" s="653"/>
      <c r="AL3" s="653"/>
      <c r="AM3" s="653"/>
      <c r="AN3" s="654"/>
      <c r="AO3" s="651">
        <f t="shared" ref="AO3" si="8">AO2</f>
        <v>46082</v>
      </c>
      <c r="AP3" s="651"/>
      <c r="AQ3" s="651"/>
      <c r="AR3" s="651"/>
      <c r="AS3" s="651"/>
      <c r="AT3" s="652">
        <f t="shared" ref="AT3" si="9">AT2</f>
        <v>46083</v>
      </c>
      <c r="AU3" s="653"/>
      <c r="AV3" s="653"/>
      <c r="AW3" s="653"/>
      <c r="AX3" s="654"/>
    </row>
    <row r="4" spans="1:50" ht="14.25" customHeight="1">
      <c r="B4" s="564" t="s">
        <v>164</v>
      </c>
      <c r="C4" s="564" t="s">
        <v>159</v>
      </c>
      <c r="D4" s="564"/>
      <c r="E4" s="564" t="s">
        <v>160</v>
      </c>
      <c r="F4" s="564"/>
      <c r="G4" s="564"/>
      <c r="H4" s="564" t="s">
        <v>165</v>
      </c>
      <c r="I4" s="628" t="s">
        <v>378</v>
      </c>
      <c r="J4" s="628"/>
      <c r="K4" s="628"/>
      <c r="L4" s="628" t="s">
        <v>165</v>
      </c>
      <c r="M4" s="628" t="s">
        <v>167</v>
      </c>
      <c r="N4" s="564"/>
      <c r="O4" s="564" t="s">
        <v>166</v>
      </c>
      <c r="P4" s="564" t="s">
        <v>162</v>
      </c>
      <c r="Q4" s="564"/>
      <c r="R4" s="564"/>
      <c r="S4" s="564"/>
      <c r="T4" s="564" t="s">
        <v>165</v>
      </c>
      <c r="U4" s="564" t="s">
        <v>162</v>
      </c>
      <c r="V4" s="564"/>
      <c r="W4" s="564"/>
      <c r="X4" s="564"/>
      <c r="Y4" s="564" t="s">
        <v>165</v>
      </c>
      <c r="Z4" s="564" t="s">
        <v>162</v>
      </c>
      <c r="AA4" s="564"/>
      <c r="AB4" s="564"/>
      <c r="AC4" s="564"/>
      <c r="AD4" s="564" t="s">
        <v>165</v>
      </c>
      <c r="AE4" s="564" t="s">
        <v>162</v>
      </c>
      <c r="AF4" s="564"/>
      <c r="AG4" s="564"/>
      <c r="AH4" s="564"/>
      <c r="AI4" s="564" t="s">
        <v>165</v>
      </c>
      <c r="AJ4" s="564" t="s">
        <v>162</v>
      </c>
      <c r="AK4" s="564"/>
      <c r="AL4" s="564"/>
      <c r="AM4" s="564"/>
      <c r="AN4" s="564" t="s">
        <v>165</v>
      </c>
      <c r="AO4" s="564" t="s">
        <v>162</v>
      </c>
      <c r="AP4" s="564"/>
      <c r="AQ4" s="564"/>
      <c r="AR4" s="564"/>
      <c r="AS4" s="564" t="s">
        <v>165</v>
      </c>
      <c r="AT4" s="564" t="s">
        <v>162</v>
      </c>
      <c r="AU4" s="564"/>
      <c r="AV4" s="564"/>
      <c r="AW4" s="564"/>
      <c r="AX4" s="564" t="s">
        <v>165</v>
      </c>
    </row>
    <row r="5" spans="1:50" ht="14.25" customHeight="1">
      <c r="B5" s="564"/>
      <c r="C5" s="564"/>
      <c r="D5" s="564"/>
      <c r="E5" s="564" t="s">
        <v>379</v>
      </c>
      <c r="F5" s="564"/>
      <c r="G5" s="564"/>
      <c r="H5" s="564"/>
      <c r="I5" s="628" t="s">
        <v>379</v>
      </c>
      <c r="J5" s="628"/>
      <c r="K5" s="628"/>
      <c r="L5" s="628"/>
      <c r="M5" s="628"/>
      <c r="N5" s="564"/>
      <c r="O5" s="564"/>
      <c r="P5" s="564" t="s">
        <v>380</v>
      </c>
      <c r="Q5" s="564"/>
      <c r="R5" s="564"/>
      <c r="S5" s="564"/>
      <c r="T5" s="564"/>
      <c r="U5" s="564" t="s">
        <v>380</v>
      </c>
      <c r="V5" s="564"/>
      <c r="W5" s="564"/>
      <c r="X5" s="564"/>
      <c r="Y5" s="564"/>
      <c r="Z5" s="564" t="s">
        <v>380</v>
      </c>
      <c r="AA5" s="564"/>
      <c r="AB5" s="564"/>
      <c r="AC5" s="564"/>
      <c r="AD5" s="564"/>
      <c r="AE5" s="564" t="s">
        <v>380</v>
      </c>
      <c r="AF5" s="564"/>
      <c r="AG5" s="564"/>
      <c r="AH5" s="564"/>
      <c r="AI5" s="564"/>
      <c r="AJ5" s="564" t="s">
        <v>380</v>
      </c>
      <c r="AK5" s="564"/>
      <c r="AL5" s="564"/>
      <c r="AM5" s="564"/>
      <c r="AN5" s="564"/>
      <c r="AO5" s="564" t="s">
        <v>380</v>
      </c>
      <c r="AP5" s="564"/>
      <c r="AQ5" s="564"/>
      <c r="AR5" s="564"/>
      <c r="AS5" s="564"/>
      <c r="AT5" s="564" t="s">
        <v>380</v>
      </c>
      <c r="AU5" s="564"/>
      <c r="AV5" s="564"/>
      <c r="AW5" s="564"/>
      <c r="AX5" s="564"/>
    </row>
    <row r="6" spans="1:50" ht="14.25" customHeight="1">
      <c r="B6" s="564"/>
      <c r="C6" s="564"/>
      <c r="D6" s="564"/>
      <c r="E6" s="180" t="s">
        <v>161</v>
      </c>
      <c r="F6" s="180" t="s">
        <v>381</v>
      </c>
      <c r="G6" s="180" t="s">
        <v>163</v>
      </c>
      <c r="H6" s="564"/>
      <c r="I6" s="181" t="s">
        <v>161</v>
      </c>
      <c r="J6" s="181" t="s">
        <v>381</v>
      </c>
      <c r="K6" s="181" t="s">
        <v>163</v>
      </c>
      <c r="L6" s="628"/>
      <c r="M6" s="628"/>
      <c r="N6" s="564"/>
      <c r="O6" s="564"/>
      <c r="P6" s="180" t="s">
        <v>161</v>
      </c>
      <c r="Q6" s="180" t="s">
        <v>381</v>
      </c>
      <c r="R6" s="180" t="s">
        <v>163</v>
      </c>
      <c r="S6" s="182" t="s">
        <v>167</v>
      </c>
      <c r="T6" s="564"/>
      <c r="U6" s="180" t="s">
        <v>161</v>
      </c>
      <c r="V6" s="180" t="s">
        <v>381</v>
      </c>
      <c r="W6" s="180" t="s">
        <v>163</v>
      </c>
      <c r="X6" s="182" t="s">
        <v>167</v>
      </c>
      <c r="Y6" s="564"/>
      <c r="Z6" s="180" t="s">
        <v>161</v>
      </c>
      <c r="AA6" s="180" t="s">
        <v>381</v>
      </c>
      <c r="AB6" s="180" t="s">
        <v>163</v>
      </c>
      <c r="AC6" s="182" t="s">
        <v>167</v>
      </c>
      <c r="AD6" s="564"/>
      <c r="AE6" s="180" t="s">
        <v>161</v>
      </c>
      <c r="AF6" s="180" t="s">
        <v>381</v>
      </c>
      <c r="AG6" s="180" t="s">
        <v>163</v>
      </c>
      <c r="AH6" s="182" t="s">
        <v>167</v>
      </c>
      <c r="AI6" s="564"/>
      <c r="AJ6" s="180" t="s">
        <v>161</v>
      </c>
      <c r="AK6" s="180" t="s">
        <v>381</v>
      </c>
      <c r="AL6" s="180" t="s">
        <v>163</v>
      </c>
      <c r="AM6" s="182" t="s">
        <v>167</v>
      </c>
      <c r="AN6" s="564"/>
      <c r="AO6" s="180" t="s">
        <v>161</v>
      </c>
      <c r="AP6" s="180" t="s">
        <v>381</v>
      </c>
      <c r="AQ6" s="180" t="s">
        <v>163</v>
      </c>
      <c r="AR6" s="182" t="s">
        <v>167</v>
      </c>
      <c r="AS6" s="564"/>
      <c r="AT6" s="180" t="s">
        <v>161</v>
      </c>
      <c r="AU6" s="180" t="s">
        <v>381</v>
      </c>
      <c r="AV6" s="180" t="s">
        <v>163</v>
      </c>
      <c r="AW6" s="182" t="s">
        <v>167</v>
      </c>
      <c r="AX6" s="564"/>
    </row>
    <row r="7" spans="1:50" ht="14.25" customHeight="1">
      <c r="B7" s="564" t="s">
        <v>385</v>
      </c>
      <c r="C7" s="180">
        <v>1</v>
      </c>
      <c r="D7" s="183" t="s">
        <v>484</v>
      </c>
      <c r="E7" s="180">
        <v>19</v>
      </c>
      <c r="F7" s="180">
        <v>1800</v>
      </c>
      <c r="G7" s="185">
        <f t="shared" ref="G7:G8" si="10">F7/E7</f>
        <v>94.736842105263165</v>
      </c>
      <c r="H7" s="625">
        <f>AVERAGE(G7:G21)</f>
        <v>94.736842105263165</v>
      </c>
      <c r="I7" s="186">
        <f>AVERAGE(P7,U7,Z7,AE7,AJ7,AO7,AT7)</f>
        <v>19</v>
      </c>
      <c r="J7" s="186">
        <f>AVERAGE(Q7,V7,AA7,AF7,AK7,AP7,AU7)</f>
        <v>1607.1357434748982</v>
      </c>
      <c r="K7" s="187">
        <f>AVERAGE(R7,W7,AB7,AG7,AL7,AQ7,AV7)</f>
        <v>84.586091761836741</v>
      </c>
      <c r="L7" s="626">
        <f>IFERROR(AVERAGE(K7:K21),"-")</f>
        <v>84.576459084309448</v>
      </c>
      <c r="M7" s="186">
        <f>RANK(K7, K$7:$K$21)</f>
        <v>1</v>
      </c>
      <c r="N7" s="564"/>
      <c r="O7" s="564"/>
      <c r="P7" s="188">
        <v>19</v>
      </c>
      <c r="Q7" s="188">
        <v>1606.7610781178621</v>
      </c>
      <c r="R7" s="185">
        <f>IFERROR(Q7/P7,"")</f>
        <v>84.566372532519054</v>
      </c>
      <c r="S7" s="182">
        <f>RANK(R7, R$7:R$21)</f>
        <v>1</v>
      </c>
      <c r="T7" s="625">
        <f>AVERAGE(R7:R21)</f>
        <v>84.559887792061048</v>
      </c>
      <c r="U7" s="188">
        <v>19</v>
      </c>
      <c r="V7" s="188">
        <v>1607.0103092783509</v>
      </c>
      <c r="W7" s="185">
        <f t="shared" ref="W7:W8" si="11">IFERROR(V7/U7,"")</f>
        <v>84.579489962018471</v>
      </c>
      <c r="X7" s="182">
        <f>RANK(W7, W$7:W$21)</f>
        <v>1</v>
      </c>
      <c r="Y7" s="625">
        <f>AVERAGE(W7:W21)</f>
        <v>84.573420270928921</v>
      </c>
      <c r="Z7" s="188">
        <v>19</v>
      </c>
      <c r="AA7" s="188">
        <v>1607.2110286320249</v>
      </c>
      <c r="AB7" s="185">
        <f t="shared" ref="AB7:AB8" si="12">IFERROR(AA7/Z7,"")</f>
        <v>84.59005413852762</v>
      </c>
      <c r="AC7" s="182">
        <f>RANK(AB7, AB$7:AB$21)</f>
        <v>1</v>
      </c>
      <c r="AD7" s="625">
        <f>AVERAGE(AB7:AB21)</f>
        <v>84.584400693438283</v>
      </c>
      <c r="AE7" s="188">
        <v>19</v>
      </c>
      <c r="AF7" s="188">
        <v>1607.3513513513517</v>
      </c>
      <c r="AG7" s="185">
        <f>IFERROR(AF7/AE7,"")</f>
        <v>84.597439544807983</v>
      </c>
      <c r="AH7" s="182">
        <f>RANK(AG7, AG$7:AG$21)</f>
        <v>1</v>
      </c>
      <c r="AI7" s="625">
        <f>AVERAGE(AG7:AG21)</f>
        <v>84.582622146072623</v>
      </c>
      <c r="AJ7" s="188">
        <v>19</v>
      </c>
      <c r="AK7" s="188">
        <v>1607.2892938496577</v>
      </c>
      <c r="AL7" s="185">
        <f t="shared" ref="AL7" si="13">IFERROR(AK7/AJ7,"")</f>
        <v>84.594173360508307</v>
      </c>
      <c r="AM7" s="182">
        <f>RANK(AL7, AL$7:AL$21)</f>
        <v>1</v>
      </c>
      <c r="AN7" s="625">
        <f>AVERAGE(AL7:AL21)</f>
        <v>84.594173360508307</v>
      </c>
      <c r="AO7" s="188">
        <v>19</v>
      </c>
      <c r="AP7" s="188">
        <v>1607.1174377224218</v>
      </c>
      <c r="AQ7" s="185">
        <f t="shared" ref="AQ7" si="14">IFERROR(AP7/AO7,"")</f>
        <v>84.585128301180092</v>
      </c>
      <c r="AR7" s="182">
        <f>RANK(AQ7, AQ$7:AQ$21)</f>
        <v>1</v>
      </c>
      <c r="AS7" s="625">
        <f>AVERAGE(AQ7:AQ21)</f>
        <v>84.585128301180092</v>
      </c>
      <c r="AT7" s="188">
        <v>19</v>
      </c>
      <c r="AU7" s="188">
        <v>1607.2097053726179</v>
      </c>
      <c r="AV7" s="185">
        <f t="shared" ref="AV7" si="15">IFERROR(AU7/AT7,"")</f>
        <v>84.589984493295674</v>
      </c>
      <c r="AW7" s="182">
        <f>RANK(AV7, AV$7:AV$21)</f>
        <v>1</v>
      </c>
      <c r="AX7" s="625">
        <f>AVERAGE(AV7:AV21)</f>
        <v>84.589984493295674</v>
      </c>
    </row>
    <row r="8" spans="1:50" ht="14.25" customHeight="1">
      <c r="B8" s="564"/>
      <c r="C8" s="180">
        <v>2</v>
      </c>
      <c r="D8" s="183" t="s">
        <v>548</v>
      </c>
      <c r="E8" s="180">
        <v>19</v>
      </c>
      <c r="F8" s="180">
        <v>1800</v>
      </c>
      <c r="G8" s="185">
        <f t="shared" si="10"/>
        <v>94.736842105263165</v>
      </c>
      <c r="H8" s="625"/>
      <c r="I8" s="186">
        <f t="shared" ref="I8:K8" si="16">AVERAGE(P8,U8,Z8,AE8,AJ8,AO8,AT8)</f>
        <v>19</v>
      </c>
      <c r="J8" s="186">
        <f t="shared" si="16"/>
        <v>1606.769701728861</v>
      </c>
      <c r="K8" s="187">
        <f t="shared" si="16"/>
        <v>84.566826406782155</v>
      </c>
      <c r="L8" s="626"/>
      <c r="M8" s="186">
        <f>RANK(K8, K$7:$K$21)</f>
        <v>2</v>
      </c>
      <c r="N8" s="564"/>
      <c r="O8" s="564"/>
      <c r="P8" s="188">
        <v>19</v>
      </c>
      <c r="Q8" s="188">
        <v>1606.5146579804577</v>
      </c>
      <c r="R8" s="185">
        <f t="shared" ref="R8" si="17">IFERROR(Q8/P8,"")</f>
        <v>84.553403051603041</v>
      </c>
      <c r="S8" s="182">
        <f>RANK(R8, R$7:R$21)</f>
        <v>2</v>
      </c>
      <c r="T8" s="625"/>
      <c r="U8" s="188">
        <v>19</v>
      </c>
      <c r="V8" s="188">
        <v>1606.7796610169482</v>
      </c>
      <c r="W8" s="185">
        <f t="shared" si="11"/>
        <v>84.567350579839385</v>
      </c>
      <c r="X8" s="182">
        <f>RANK(W8, W$7:W$21)</f>
        <v>2</v>
      </c>
      <c r="Y8" s="625"/>
      <c r="Z8" s="188">
        <v>19</v>
      </c>
      <c r="AA8" s="188">
        <v>1606.9961977186301</v>
      </c>
      <c r="AB8" s="185">
        <f t="shared" si="12"/>
        <v>84.578747248348961</v>
      </c>
      <c r="AC8" s="182">
        <f>RANK(AB8, AB$7:AB$21)</f>
        <v>2</v>
      </c>
      <c r="AD8" s="625"/>
      <c r="AE8" s="188">
        <v>19</v>
      </c>
      <c r="AF8" s="188">
        <v>1606.7882901994078</v>
      </c>
      <c r="AG8" s="185">
        <f t="shared" ref="AG8" si="18">IFERROR(AF8/AE8,"")</f>
        <v>84.567804747337249</v>
      </c>
      <c r="AH8" s="182">
        <f>RANK(AG8, AG$7:AG$21)</f>
        <v>2</v>
      </c>
      <c r="AI8" s="625"/>
      <c r="AJ8" s="188"/>
      <c r="AK8" s="188"/>
      <c r="AL8" s="185"/>
      <c r="AM8" s="182"/>
      <c r="AN8" s="625"/>
      <c r="AO8" s="188"/>
      <c r="AP8" s="188"/>
      <c r="AQ8" s="185"/>
      <c r="AR8" s="182"/>
      <c r="AS8" s="625"/>
      <c r="AT8" s="188"/>
      <c r="AU8" s="188"/>
      <c r="AV8" s="185"/>
      <c r="AW8" s="182"/>
      <c r="AX8" s="625"/>
    </row>
    <row r="9" spans="1:50" ht="14.25" customHeight="1">
      <c r="B9" s="564"/>
      <c r="C9" s="180">
        <v>3</v>
      </c>
      <c r="D9" s="183"/>
      <c r="E9" s="180"/>
      <c r="F9" s="180"/>
      <c r="G9" s="185"/>
      <c r="H9" s="625"/>
      <c r="I9" s="186"/>
      <c r="J9" s="186"/>
      <c r="K9" s="187"/>
      <c r="L9" s="626"/>
      <c r="M9" s="186"/>
      <c r="N9" s="564"/>
      <c r="O9" s="564"/>
      <c r="P9" s="188"/>
      <c r="Q9" s="188"/>
      <c r="R9" s="185"/>
      <c r="S9" s="182"/>
      <c r="T9" s="625"/>
      <c r="U9" s="188"/>
      <c r="V9" s="188"/>
      <c r="W9" s="185"/>
      <c r="X9" s="182"/>
      <c r="Y9" s="625"/>
      <c r="Z9" s="188"/>
      <c r="AA9" s="188"/>
      <c r="AB9" s="185"/>
      <c r="AC9" s="182"/>
      <c r="AD9" s="625"/>
      <c r="AE9" s="188"/>
      <c r="AF9" s="188"/>
      <c r="AG9" s="185"/>
      <c r="AH9" s="182"/>
      <c r="AI9" s="625"/>
      <c r="AJ9" s="188"/>
      <c r="AK9" s="188"/>
      <c r="AL9" s="185"/>
      <c r="AM9" s="182"/>
      <c r="AN9" s="625"/>
      <c r="AO9" s="188"/>
      <c r="AP9" s="188"/>
      <c r="AQ9" s="185"/>
      <c r="AR9" s="182"/>
      <c r="AS9" s="625"/>
      <c r="AT9" s="188"/>
      <c r="AU9" s="188"/>
      <c r="AV9" s="185"/>
      <c r="AW9" s="182"/>
      <c r="AX9" s="625"/>
    </row>
    <row r="10" spans="1:50" ht="14.25" customHeight="1">
      <c r="B10" s="564"/>
      <c r="C10" s="180">
        <v>4</v>
      </c>
      <c r="D10" s="183"/>
      <c r="E10" s="180"/>
      <c r="F10" s="180"/>
      <c r="G10" s="185"/>
      <c r="H10" s="625"/>
      <c r="I10" s="186"/>
      <c r="J10" s="186"/>
      <c r="K10" s="187"/>
      <c r="L10" s="626"/>
      <c r="M10" s="186"/>
      <c r="N10" s="564"/>
      <c r="O10" s="564"/>
      <c r="P10" s="188"/>
      <c r="Q10" s="188"/>
      <c r="R10" s="185"/>
      <c r="S10" s="182"/>
      <c r="T10" s="625"/>
      <c r="U10" s="188"/>
      <c r="V10" s="188"/>
      <c r="W10" s="185"/>
      <c r="X10" s="182"/>
      <c r="Y10" s="625"/>
      <c r="Z10" s="188"/>
      <c r="AA10" s="188"/>
      <c r="AB10" s="185"/>
      <c r="AC10" s="182"/>
      <c r="AD10" s="625"/>
      <c r="AE10" s="188"/>
      <c r="AF10" s="188"/>
      <c r="AG10" s="185"/>
      <c r="AH10" s="182"/>
      <c r="AI10" s="625"/>
      <c r="AJ10" s="188"/>
      <c r="AK10" s="188"/>
      <c r="AL10" s="185"/>
      <c r="AM10" s="182"/>
      <c r="AN10" s="625"/>
      <c r="AO10" s="188"/>
      <c r="AP10" s="188"/>
      <c r="AQ10" s="185"/>
      <c r="AR10" s="182"/>
      <c r="AS10" s="625"/>
      <c r="AT10" s="188"/>
      <c r="AU10" s="188"/>
      <c r="AV10" s="185"/>
      <c r="AW10" s="182"/>
      <c r="AX10" s="625"/>
    </row>
    <row r="11" spans="1:50" ht="14.25" customHeight="1">
      <c r="B11" s="564"/>
      <c r="C11" s="180">
        <v>5</v>
      </c>
      <c r="D11" s="183"/>
      <c r="E11" s="180"/>
      <c r="F11" s="180"/>
      <c r="G11" s="185"/>
      <c r="H11" s="625"/>
      <c r="I11" s="186"/>
      <c r="J11" s="186"/>
      <c r="K11" s="187"/>
      <c r="L11" s="626"/>
      <c r="M11" s="186"/>
      <c r="N11" s="564"/>
      <c r="O11" s="564"/>
      <c r="P11" s="188"/>
      <c r="Q11" s="188"/>
      <c r="R11" s="185"/>
      <c r="S11" s="182"/>
      <c r="T11" s="625"/>
      <c r="U11" s="188"/>
      <c r="V11" s="188"/>
      <c r="W11" s="185"/>
      <c r="X11" s="182"/>
      <c r="Y11" s="625"/>
      <c r="Z11" s="188"/>
      <c r="AA11" s="188"/>
      <c r="AB11" s="185"/>
      <c r="AC11" s="182"/>
      <c r="AD11" s="625"/>
      <c r="AE11" s="188"/>
      <c r="AF11" s="188"/>
      <c r="AG11" s="185"/>
      <c r="AH11" s="182"/>
      <c r="AI11" s="625"/>
      <c r="AJ11" s="188"/>
      <c r="AK11" s="188"/>
      <c r="AL11" s="185"/>
      <c r="AM11" s="182"/>
      <c r="AN11" s="625"/>
      <c r="AO11" s="188"/>
      <c r="AP11" s="188"/>
      <c r="AQ11" s="185"/>
      <c r="AR11" s="182"/>
      <c r="AS11" s="625"/>
      <c r="AT11" s="188"/>
      <c r="AU11" s="188"/>
      <c r="AV11" s="185"/>
      <c r="AW11" s="182"/>
      <c r="AX11" s="625"/>
    </row>
    <row r="12" spans="1:50" ht="14.25" customHeight="1">
      <c r="B12" s="564"/>
      <c r="C12" s="180">
        <v>6</v>
      </c>
      <c r="D12" s="183"/>
      <c r="E12" s="180"/>
      <c r="F12" s="180"/>
      <c r="G12" s="185"/>
      <c r="H12" s="625"/>
      <c r="I12" s="186"/>
      <c r="J12" s="186"/>
      <c r="K12" s="187"/>
      <c r="L12" s="626"/>
      <c r="M12" s="186"/>
      <c r="N12" s="564"/>
      <c r="O12" s="564"/>
      <c r="P12" s="188"/>
      <c r="Q12" s="188"/>
      <c r="R12" s="185"/>
      <c r="S12" s="182"/>
      <c r="T12" s="625"/>
      <c r="U12" s="188"/>
      <c r="V12" s="188"/>
      <c r="W12" s="185"/>
      <c r="X12" s="182"/>
      <c r="Y12" s="625"/>
      <c r="Z12" s="188"/>
      <c r="AA12" s="188"/>
      <c r="AB12" s="185"/>
      <c r="AC12" s="182"/>
      <c r="AD12" s="625"/>
      <c r="AE12" s="188"/>
      <c r="AF12" s="188"/>
      <c r="AG12" s="185"/>
      <c r="AH12" s="182"/>
      <c r="AI12" s="625"/>
      <c r="AJ12" s="188"/>
      <c r="AK12" s="188"/>
      <c r="AL12" s="185"/>
      <c r="AM12" s="182"/>
      <c r="AN12" s="625"/>
      <c r="AO12" s="188"/>
      <c r="AP12" s="188"/>
      <c r="AQ12" s="185"/>
      <c r="AR12" s="182"/>
      <c r="AS12" s="625"/>
      <c r="AT12" s="188"/>
      <c r="AU12" s="188"/>
      <c r="AV12" s="185"/>
      <c r="AW12" s="182"/>
      <c r="AX12" s="625"/>
    </row>
    <row r="13" spans="1:50" ht="14.25" customHeight="1">
      <c r="B13" s="564"/>
      <c r="C13" s="180">
        <v>7</v>
      </c>
      <c r="D13" s="183"/>
      <c r="E13" s="180"/>
      <c r="F13" s="180"/>
      <c r="G13" s="185"/>
      <c r="H13" s="625"/>
      <c r="I13" s="186"/>
      <c r="J13" s="186"/>
      <c r="K13" s="187"/>
      <c r="L13" s="626"/>
      <c r="M13" s="186"/>
      <c r="N13" s="564"/>
      <c r="O13" s="564"/>
      <c r="P13" s="188"/>
      <c r="Q13" s="188"/>
      <c r="R13" s="185"/>
      <c r="S13" s="182"/>
      <c r="T13" s="625"/>
      <c r="U13" s="188"/>
      <c r="V13" s="188"/>
      <c r="W13" s="185"/>
      <c r="X13" s="182"/>
      <c r="Y13" s="625"/>
      <c r="Z13" s="188"/>
      <c r="AA13" s="188"/>
      <c r="AB13" s="185"/>
      <c r="AC13" s="182"/>
      <c r="AD13" s="625"/>
      <c r="AE13" s="188"/>
      <c r="AF13" s="188"/>
      <c r="AG13" s="185"/>
      <c r="AH13" s="182"/>
      <c r="AI13" s="625"/>
      <c r="AJ13" s="188"/>
      <c r="AK13" s="188"/>
      <c r="AL13" s="185"/>
      <c r="AM13" s="182"/>
      <c r="AN13" s="625"/>
      <c r="AO13" s="188"/>
      <c r="AP13" s="188"/>
      <c r="AQ13" s="185"/>
      <c r="AR13" s="182"/>
      <c r="AS13" s="625"/>
      <c r="AT13" s="188"/>
      <c r="AU13" s="188"/>
      <c r="AV13" s="185"/>
      <c r="AW13" s="182"/>
      <c r="AX13" s="625"/>
    </row>
    <row r="14" spans="1:50" ht="14.25" customHeight="1">
      <c r="B14" s="564"/>
      <c r="C14" s="180">
        <v>8</v>
      </c>
      <c r="D14" s="183"/>
      <c r="E14" s="180"/>
      <c r="F14" s="180"/>
      <c r="G14" s="185"/>
      <c r="H14" s="625"/>
      <c r="I14" s="186"/>
      <c r="J14" s="186"/>
      <c r="K14" s="187"/>
      <c r="L14" s="626"/>
      <c r="M14" s="186"/>
      <c r="N14" s="564"/>
      <c r="O14" s="564"/>
      <c r="P14" s="188"/>
      <c r="Q14" s="188"/>
      <c r="R14" s="185"/>
      <c r="S14" s="182"/>
      <c r="T14" s="625"/>
      <c r="U14" s="188"/>
      <c r="V14" s="188"/>
      <c r="W14" s="185"/>
      <c r="X14" s="182"/>
      <c r="Y14" s="625"/>
      <c r="Z14" s="188"/>
      <c r="AA14" s="188"/>
      <c r="AB14" s="185"/>
      <c r="AC14" s="182"/>
      <c r="AD14" s="625"/>
      <c r="AE14" s="188"/>
      <c r="AF14" s="188"/>
      <c r="AG14" s="185"/>
      <c r="AH14" s="182"/>
      <c r="AI14" s="625"/>
      <c r="AJ14" s="188"/>
      <c r="AK14" s="188"/>
      <c r="AL14" s="185"/>
      <c r="AM14" s="182"/>
      <c r="AN14" s="625"/>
      <c r="AO14" s="188"/>
      <c r="AP14" s="188"/>
      <c r="AQ14" s="185"/>
      <c r="AR14" s="182"/>
      <c r="AS14" s="625"/>
      <c r="AT14" s="188"/>
      <c r="AU14" s="188"/>
      <c r="AV14" s="185"/>
      <c r="AW14" s="182"/>
      <c r="AX14" s="625"/>
    </row>
    <row r="15" spans="1:50" ht="14.25" customHeight="1">
      <c r="B15" s="564"/>
      <c r="C15" s="180">
        <v>9</v>
      </c>
      <c r="D15" s="183"/>
      <c r="E15" s="180"/>
      <c r="F15" s="180"/>
      <c r="G15" s="185"/>
      <c r="H15" s="625"/>
      <c r="I15" s="186"/>
      <c r="J15" s="186"/>
      <c r="K15" s="187"/>
      <c r="L15" s="626"/>
      <c r="M15" s="186"/>
      <c r="N15" s="564"/>
      <c r="O15" s="564"/>
      <c r="P15" s="188"/>
      <c r="Q15" s="188"/>
      <c r="R15" s="185"/>
      <c r="S15" s="182"/>
      <c r="T15" s="625"/>
      <c r="U15" s="188"/>
      <c r="V15" s="188"/>
      <c r="W15" s="185"/>
      <c r="X15" s="182"/>
      <c r="Y15" s="625"/>
      <c r="Z15" s="188"/>
      <c r="AA15" s="188"/>
      <c r="AB15" s="185"/>
      <c r="AC15" s="182"/>
      <c r="AD15" s="625"/>
      <c r="AE15" s="188"/>
      <c r="AF15" s="188"/>
      <c r="AG15" s="185"/>
      <c r="AH15" s="182"/>
      <c r="AI15" s="625"/>
      <c r="AJ15" s="188"/>
      <c r="AK15" s="188"/>
      <c r="AL15" s="185"/>
      <c r="AM15" s="182"/>
      <c r="AN15" s="625"/>
      <c r="AO15" s="188"/>
      <c r="AP15" s="188"/>
      <c r="AQ15" s="185"/>
      <c r="AR15" s="182"/>
      <c r="AS15" s="625"/>
      <c r="AT15" s="188"/>
      <c r="AU15" s="188"/>
      <c r="AV15" s="185"/>
      <c r="AW15" s="182"/>
      <c r="AX15" s="625"/>
    </row>
    <row r="16" spans="1:50" ht="14.25" customHeight="1">
      <c r="B16" s="564"/>
      <c r="C16" s="180">
        <v>10</v>
      </c>
      <c r="D16" s="183"/>
      <c r="E16" s="180"/>
      <c r="F16" s="180"/>
      <c r="G16" s="185"/>
      <c r="H16" s="625"/>
      <c r="I16" s="186"/>
      <c r="J16" s="186"/>
      <c r="K16" s="187"/>
      <c r="L16" s="626"/>
      <c r="M16" s="186"/>
      <c r="N16" s="564"/>
      <c r="O16" s="564"/>
      <c r="P16" s="188"/>
      <c r="Q16" s="188"/>
      <c r="R16" s="185"/>
      <c r="S16" s="182"/>
      <c r="T16" s="625"/>
      <c r="U16" s="188"/>
      <c r="V16" s="188"/>
      <c r="W16" s="185"/>
      <c r="X16" s="182"/>
      <c r="Y16" s="625"/>
      <c r="Z16" s="188"/>
      <c r="AA16" s="188"/>
      <c r="AB16" s="185"/>
      <c r="AC16" s="182"/>
      <c r="AD16" s="625"/>
      <c r="AE16" s="188"/>
      <c r="AF16" s="188"/>
      <c r="AG16" s="185"/>
      <c r="AH16" s="182"/>
      <c r="AI16" s="625"/>
      <c r="AJ16" s="188"/>
      <c r="AK16" s="188"/>
      <c r="AL16" s="185"/>
      <c r="AM16" s="182"/>
      <c r="AN16" s="625"/>
      <c r="AO16" s="188"/>
      <c r="AP16" s="188"/>
      <c r="AQ16" s="185"/>
      <c r="AR16" s="182"/>
      <c r="AS16" s="625"/>
      <c r="AT16" s="188"/>
      <c r="AU16" s="188"/>
      <c r="AV16" s="185"/>
      <c r="AW16" s="182"/>
      <c r="AX16" s="625"/>
    </row>
    <row r="17" spans="2:50" ht="14.25" customHeight="1">
      <c r="B17" s="564"/>
      <c r="C17" s="180">
        <v>11</v>
      </c>
      <c r="D17" s="183"/>
      <c r="E17" s="180"/>
      <c r="F17" s="180"/>
      <c r="G17" s="185"/>
      <c r="H17" s="625"/>
      <c r="I17" s="186"/>
      <c r="J17" s="186"/>
      <c r="K17" s="187"/>
      <c r="L17" s="626"/>
      <c r="M17" s="186"/>
      <c r="N17" s="564"/>
      <c r="O17" s="564"/>
      <c r="P17" s="188"/>
      <c r="Q17" s="188"/>
      <c r="R17" s="185"/>
      <c r="S17" s="182"/>
      <c r="T17" s="625"/>
      <c r="U17" s="188"/>
      <c r="V17" s="188"/>
      <c r="W17" s="185"/>
      <c r="X17" s="182"/>
      <c r="Y17" s="625"/>
      <c r="Z17" s="188"/>
      <c r="AA17" s="188"/>
      <c r="AB17" s="185"/>
      <c r="AC17" s="182"/>
      <c r="AD17" s="625"/>
      <c r="AE17" s="188"/>
      <c r="AF17" s="188"/>
      <c r="AG17" s="185"/>
      <c r="AH17" s="182"/>
      <c r="AI17" s="625"/>
      <c r="AJ17" s="188"/>
      <c r="AK17" s="188"/>
      <c r="AL17" s="185"/>
      <c r="AM17" s="182"/>
      <c r="AN17" s="625"/>
      <c r="AO17" s="188"/>
      <c r="AP17" s="188"/>
      <c r="AQ17" s="185"/>
      <c r="AR17" s="182"/>
      <c r="AS17" s="625"/>
      <c r="AT17" s="188"/>
      <c r="AU17" s="188"/>
      <c r="AV17" s="185"/>
      <c r="AW17" s="182"/>
      <c r="AX17" s="625"/>
    </row>
    <row r="18" spans="2:50" ht="14.25" customHeight="1">
      <c r="B18" s="564"/>
      <c r="C18" s="180">
        <v>12</v>
      </c>
      <c r="D18" s="183"/>
      <c r="E18" s="180"/>
      <c r="F18" s="180"/>
      <c r="G18" s="185"/>
      <c r="H18" s="625"/>
      <c r="I18" s="186"/>
      <c r="J18" s="186"/>
      <c r="K18" s="187"/>
      <c r="L18" s="626"/>
      <c r="M18" s="186"/>
      <c r="N18" s="564"/>
      <c r="O18" s="564"/>
      <c r="P18" s="188"/>
      <c r="Q18" s="188"/>
      <c r="R18" s="185"/>
      <c r="S18" s="182"/>
      <c r="T18" s="625"/>
      <c r="U18" s="188"/>
      <c r="V18" s="188"/>
      <c r="W18" s="185"/>
      <c r="X18" s="182"/>
      <c r="Y18" s="625"/>
      <c r="Z18" s="188"/>
      <c r="AA18" s="188"/>
      <c r="AB18" s="185"/>
      <c r="AC18" s="182"/>
      <c r="AD18" s="625"/>
      <c r="AE18" s="188"/>
      <c r="AF18" s="188"/>
      <c r="AG18" s="185"/>
      <c r="AH18" s="182"/>
      <c r="AI18" s="625"/>
      <c r="AJ18" s="188"/>
      <c r="AK18" s="188"/>
      <c r="AL18" s="185"/>
      <c r="AM18" s="182"/>
      <c r="AN18" s="625"/>
      <c r="AO18" s="188"/>
      <c r="AP18" s="188"/>
      <c r="AQ18" s="185"/>
      <c r="AR18" s="182"/>
      <c r="AS18" s="625"/>
      <c r="AT18" s="188"/>
      <c r="AU18" s="188"/>
      <c r="AV18" s="185"/>
      <c r="AW18" s="182"/>
      <c r="AX18" s="625"/>
    </row>
    <row r="19" spans="2:50" ht="14.25" customHeight="1">
      <c r="B19" s="564"/>
      <c r="C19" s="180">
        <v>13</v>
      </c>
      <c r="D19" s="183"/>
      <c r="E19" s="180"/>
      <c r="F19" s="180"/>
      <c r="G19" s="185"/>
      <c r="H19" s="625"/>
      <c r="I19" s="186"/>
      <c r="J19" s="186"/>
      <c r="K19" s="187"/>
      <c r="L19" s="626"/>
      <c r="M19" s="186"/>
      <c r="N19" s="564"/>
      <c r="O19" s="564"/>
      <c r="P19" s="188"/>
      <c r="Q19" s="188"/>
      <c r="R19" s="185"/>
      <c r="S19" s="182"/>
      <c r="T19" s="625"/>
      <c r="U19" s="188"/>
      <c r="V19" s="188"/>
      <c r="W19" s="185"/>
      <c r="X19" s="182"/>
      <c r="Y19" s="625"/>
      <c r="Z19" s="188"/>
      <c r="AA19" s="188"/>
      <c r="AB19" s="185"/>
      <c r="AC19" s="182"/>
      <c r="AD19" s="625"/>
      <c r="AE19" s="188"/>
      <c r="AF19" s="188"/>
      <c r="AG19" s="185"/>
      <c r="AH19" s="182"/>
      <c r="AI19" s="625"/>
      <c r="AJ19" s="188"/>
      <c r="AK19" s="188"/>
      <c r="AL19" s="185"/>
      <c r="AM19" s="182"/>
      <c r="AN19" s="625"/>
      <c r="AO19" s="188"/>
      <c r="AP19" s="188"/>
      <c r="AQ19" s="185"/>
      <c r="AR19" s="182"/>
      <c r="AS19" s="625"/>
      <c r="AT19" s="188"/>
      <c r="AU19" s="188"/>
      <c r="AV19" s="185"/>
      <c r="AW19" s="182"/>
      <c r="AX19" s="625"/>
    </row>
    <row r="20" spans="2:50" ht="14.25" customHeight="1">
      <c r="B20" s="564"/>
      <c r="C20" s="180">
        <v>14</v>
      </c>
      <c r="D20" s="183"/>
      <c r="E20" s="180"/>
      <c r="F20" s="180"/>
      <c r="G20" s="185"/>
      <c r="H20" s="625"/>
      <c r="I20" s="186"/>
      <c r="J20" s="186"/>
      <c r="K20" s="187"/>
      <c r="L20" s="626"/>
      <c r="M20" s="186"/>
      <c r="N20" s="564"/>
      <c r="O20" s="564"/>
      <c r="P20" s="188"/>
      <c r="Q20" s="188"/>
      <c r="R20" s="185"/>
      <c r="S20" s="182"/>
      <c r="T20" s="625"/>
      <c r="U20" s="188"/>
      <c r="V20" s="188"/>
      <c r="W20" s="185"/>
      <c r="X20" s="182"/>
      <c r="Y20" s="625"/>
      <c r="Z20" s="188"/>
      <c r="AA20" s="188"/>
      <c r="AB20" s="185"/>
      <c r="AC20" s="182"/>
      <c r="AD20" s="625"/>
      <c r="AE20" s="188"/>
      <c r="AF20" s="188"/>
      <c r="AG20" s="185"/>
      <c r="AH20" s="182"/>
      <c r="AI20" s="625"/>
      <c r="AJ20" s="188"/>
      <c r="AK20" s="188"/>
      <c r="AL20" s="185"/>
      <c r="AM20" s="182"/>
      <c r="AN20" s="625"/>
      <c r="AO20" s="188"/>
      <c r="AP20" s="188"/>
      <c r="AQ20" s="185"/>
      <c r="AR20" s="182"/>
      <c r="AS20" s="625"/>
      <c r="AT20" s="188"/>
      <c r="AU20" s="188"/>
      <c r="AV20" s="185"/>
      <c r="AW20" s="182"/>
      <c r="AX20" s="625"/>
    </row>
    <row r="21" spans="2:50" ht="14.25" customHeight="1">
      <c r="B21" s="564"/>
      <c r="C21" s="180">
        <v>15</v>
      </c>
      <c r="D21" s="183"/>
      <c r="E21" s="180"/>
      <c r="F21" s="180"/>
      <c r="G21" s="185"/>
      <c r="H21" s="625"/>
      <c r="I21" s="186"/>
      <c r="J21" s="186"/>
      <c r="K21" s="187"/>
      <c r="L21" s="626"/>
      <c r="M21" s="186"/>
      <c r="N21" s="564"/>
      <c r="O21" s="564"/>
      <c r="P21" s="188"/>
      <c r="Q21" s="188"/>
      <c r="R21" s="185"/>
      <c r="S21" s="182"/>
      <c r="T21" s="625"/>
      <c r="U21" s="188"/>
      <c r="V21" s="188"/>
      <c r="W21" s="185"/>
      <c r="X21" s="182"/>
      <c r="Y21" s="625"/>
      <c r="Z21" s="188"/>
      <c r="AA21" s="188"/>
      <c r="AB21" s="185"/>
      <c r="AC21" s="182"/>
      <c r="AD21" s="625"/>
      <c r="AE21" s="188"/>
      <c r="AF21" s="188"/>
      <c r="AG21" s="185"/>
      <c r="AH21" s="182"/>
      <c r="AI21" s="625"/>
      <c r="AJ21" s="188"/>
      <c r="AK21" s="188"/>
      <c r="AL21" s="185"/>
      <c r="AM21" s="182"/>
      <c r="AN21" s="625"/>
      <c r="AO21" s="188"/>
      <c r="AP21" s="188"/>
      <c r="AQ21" s="185"/>
      <c r="AR21" s="182"/>
      <c r="AS21" s="625"/>
      <c r="AT21" s="188"/>
      <c r="AU21" s="188"/>
      <c r="AV21" s="185"/>
      <c r="AW21" s="182"/>
      <c r="AX21" s="625"/>
    </row>
    <row r="22" spans="2:50" ht="14.25" customHeight="1">
      <c r="B22" s="646" t="s">
        <v>641</v>
      </c>
      <c r="C22" s="642"/>
      <c r="D22" s="642"/>
      <c r="E22" s="642"/>
      <c r="F22" s="642"/>
      <c r="G22" s="642"/>
      <c r="H22" s="642"/>
      <c r="I22" s="642"/>
      <c r="J22" s="642"/>
      <c r="K22" s="642"/>
      <c r="L22" s="642"/>
      <c r="M22" s="643"/>
      <c r="N22" s="575" t="s">
        <v>377</v>
      </c>
      <c r="O22" s="575" t="s">
        <v>105</v>
      </c>
      <c r="P22" s="655">
        <v>46084</v>
      </c>
      <c r="Q22" s="656"/>
      <c r="R22" s="656"/>
      <c r="S22" s="656"/>
      <c r="T22" s="656"/>
      <c r="U22" s="657">
        <f>P22+1</f>
        <v>46085</v>
      </c>
      <c r="V22" s="658"/>
      <c r="W22" s="658"/>
      <c r="X22" s="658"/>
      <c r="Y22" s="658"/>
      <c r="Z22" s="655">
        <f t="shared" ref="Z22" si="19">U22+1</f>
        <v>46086</v>
      </c>
      <c r="AA22" s="656"/>
      <c r="AB22" s="656"/>
      <c r="AC22" s="656"/>
      <c r="AD22" s="656"/>
      <c r="AE22" s="657">
        <f t="shared" ref="AE22" si="20">Z22+1</f>
        <v>46087</v>
      </c>
      <c r="AF22" s="658"/>
      <c r="AG22" s="658"/>
      <c r="AH22" s="658"/>
      <c r="AI22" s="658"/>
      <c r="AJ22" s="647">
        <f t="shared" ref="AJ22" si="21">AE22+1</f>
        <v>46088</v>
      </c>
      <c r="AK22" s="648"/>
      <c r="AL22" s="648"/>
      <c r="AM22" s="648"/>
      <c r="AN22" s="649"/>
      <c r="AO22" s="657">
        <f t="shared" ref="AO22" si="22">AJ22+1</f>
        <v>46089</v>
      </c>
      <c r="AP22" s="658"/>
      <c r="AQ22" s="658"/>
      <c r="AR22" s="658"/>
      <c r="AS22" s="658"/>
      <c r="AT22" s="647">
        <f t="shared" ref="AT22" si="23">AO22+1</f>
        <v>46090</v>
      </c>
      <c r="AU22" s="648"/>
      <c r="AV22" s="648"/>
      <c r="AW22" s="648"/>
      <c r="AX22" s="649"/>
    </row>
    <row r="23" spans="2:50" ht="14.25" customHeight="1">
      <c r="B23" s="644"/>
      <c r="C23" s="644"/>
      <c r="D23" s="644"/>
      <c r="E23" s="644"/>
      <c r="F23" s="644"/>
      <c r="G23" s="644"/>
      <c r="H23" s="644"/>
      <c r="I23" s="644"/>
      <c r="J23" s="644"/>
      <c r="K23" s="644"/>
      <c r="L23" s="644"/>
      <c r="M23" s="645"/>
      <c r="N23" s="577"/>
      <c r="O23" s="577"/>
      <c r="P23" s="650">
        <v>46084</v>
      </c>
      <c r="Q23" s="650"/>
      <c r="R23" s="650"/>
      <c r="S23" s="650"/>
      <c r="T23" s="650"/>
      <c r="U23" s="651">
        <f>U22</f>
        <v>46085</v>
      </c>
      <c r="V23" s="651"/>
      <c r="W23" s="651"/>
      <c r="X23" s="651"/>
      <c r="Y23" s="651"/>
      <c r="Z23" s="650">
        <f t="shared" ref="Z23" si="24">Z22</f>
        <v>46086</v>
      </c>
      <c r="AA23" s="650"/>
      <c r="AB23" s="650"/>
      <c r="AC23" s="650"/>
      <c r="AD23" s="650"/>
      <c r="AE23" s="651">
        <f t="shared" ref="AE23" si="25">AE22</f>
        <v>46087</v>
      </c>
      <c r="AF23" s="651"/>
      <c r="AG23" s="651"/>
      <c r="AH23" s="651"/>
      <c r="AI23" s="651"/>
      <c r="AJ23" s="652">
        <f t="shared" ref="AJ23" si="26">AJ22</f>
        <v>46088</v>
      </c>
      <c r="AK23" s="653"/>
      <c r="AL23" s="653"/>
      <c r="AM23" s="653"/>
      <c r="AN23" s="654"/>
      <c r="AO23" s="651">
        <f t="shared" ref="AO23" si="27">AO22</f>
        <v>46089</v>
      </c>
      <c r="AP23" s="651"/>
      <c r="AQ23" s="651"/>
      <c r="AR23" s="651"/>
      <c r="AS23" s="651"/>
      <c r="AT23" s="652">
        <f t="shared" ref="AT23" si="28">AT22</f>
        <v>46090</v>
      </c>
      <c r="AU23" s="653"/>
      <c r="AV23" s="653"/>
      <c r="AW23" s="653"/>
      <c r="AX23" s="654"/>
    </row>
    <row r="24" spans="2:50" ht="14.25" customHeight="1">
      <c r="B24" s="564" t="s">
        <v>164</v>
      </c>
      <c r="C24" s="564" t="s">
        <v>159</v>
      </c>
      <c r="D24" s="564"/>
      <c r="E24" s="564" t="s">
        <v>160</v>
      </c>
      <c r="F24" s="564"/>
      <c r="G24" s="564"/>
      <c r="H24" s="564" t="s">
        <v>165</v>
      </c>
      <c r="I24" s="628" t="s">
        <v>378</v>
      </c>
      <c r="J24" s="628"/>
      <c r="K24" s="628"/>
      <c r="L24" s="628" t="s">
        <v>165</v>
      </c>
      <c r="M24" s="628" t="s">
        <v>167</v>
      </c>
      <c r="N24" s="564"/>
      <c r="O24" s="564" t="s">
        <v>166</v>
      </c>
      <c r="P24" s="564" t="s">
        <v>162</v>
      </c>
      <c r="Q24" s="564"/>
      <c r="R24" s="564"/>
      <c r="S24" s="564"/>
      <c r="T24" s="564" t="s">
        <v>165</v>
      </c>
      <c r="U24" s="564" t="s">
        <v>162</v>
      </c>
      <c r="V24" s="564"/>
      <c r="W24" s="564"/>
      <c r="X24" s="564"/>
      <c r="Y24" s="564" t="s">
        <v>165</v>
      </c>
      <c r="Z24" s="564" t="s">
        <v>162</v>
      </c>
      <c r="AA24" s="564"/>
      <c r="AB24" s="564"/>
      <c r="AC24" s="564"/>
      <c r="AD24" s="564" t="s">
        <v>165</v>
      </c>
      <c r="AE24" s="564" t="s">
        <v>162</v>
      </c>
      <c r="AF24" s="564"/>
      <c r="AG24" s="564"/>
      <c r="AH24" s="564"/>
      <c r="AI24" s="564" t="s">
        <v>165</v>
      </c>
      <c r="AJ24" s="564" t="s">
        <v>162</v>
      </c>
      <c r="AK24" s="564"/>
      <c r="AL24" s="564"/>
      <c r="AM24" s="564"/>
      <c r="AN24" s="564" t="s">
        <v>165</v>
      </c>
      <c r="AO24" s="564" t="s">
        <v>162</v>
      </c>
      <c r="AP24" s="564"/>
      <c r="AQ24" s="564"/>
      <c r="AR24" s="564"/>
      <c r="AS24" s="564" t="s">
        <v>165</v>
      </c>
      <c r="AT24" s="564" t="s">
        <v>162</v>
      </c>
      <c r="AU24" s="564"/>
      <c r="AV24" s="564"/>
      <c r="AW24" s="564"/>
      <c r="AX24" s="564" t="s">
        <v>165</v>
      </c>
    </row>
    <row r="25" spans="2:50" ht="14.25" customHeight="1">
      <c r="B25" s="564"/>
      <c r="C25" s="564"/>
      <c r="D25" s="564"/>
      <c r="E25" s="564" t="s">
        <v>379</v>
      </c>
      <c r="F25" s="564"/>
      <c r="G25" s="564"/>
      <c r="H25" s="564"/>
      <c r="I25" s="628" t="s">
        <v>379</v>
      </c>
      <c r="J25" s="628"/>
      <c r="K25" s="628"/>
      <c r="L25" s="628"/>
      <c r="M25" s="628"/>
      <c r="N25" s="564"/>
      <c r="O25" s="564"/>
      <c r="P25" s="564" t="s">
        <v>380</v>
      </c>
      <c r="Q25" s="564"/>
      <c r="R25" s="564"/>
      <c r="S25" s="564"/>
      <c r="T25" s="564"/>
      <c r="U25" s="564" t="s">
        <v>380</v>
      </c>
      <c r="V25" s="564"/>
      <c r="W25" s="564"/>
      <c r="X25" s="564"/>
      <c r="Y25" s="564"/>
      <c r="Z25" s="564" t="s">
        <v>380</v>
      </c>
      <c r="AA25" s="564"/>
      <c r="AB25" s="564"/>
      <c r="AC25" s="564"/>
      <c r="AD25" s="564"/>
      <c r="AE25" s="564" t="s">
        <v>380</v>
      </c>
      <c r="AF25" s="564"/>
      <c r="AG25" s="564"/>
      <c r="AH25" s="564"/>
      <c r="AI25" s="564"/>
      <c r="AJ25" s="564" t="s">
        <v>380</v>
      </c>
      <c r="AK25" s="564"/>
      <c r="AL25" s="564"/>
      <c r="AM25" s="564"/>
      <c r="AN25" s="564"/>
      <c r="AO25" s="564" t="s">
        <v>380</v>
      </c>
      <c r="AP25" s="564"/>
      <c r="AQ25" s="564"/>
      <c r="AR25" s="564"/>
      <c r="AS25" s="564"/>
      <c r="AT25" s="564" t="s">
        <v>380</v>
      </c>
      <c r="AU25" s="564"/>
      <c r="AV25" s="564"/>
      <c r="AW25" s="564"/>
      <c r="AX25" s="564"/>
    </row>
    <row r="26" spans="2:50" ht="14.25" customHeight="1">
      <c r="B26" s="564"/>
      <c r="C26" s="564"/>
      <c r="D26" s="564"/>
      <c r="E26" s="180" t="s">
        <v>161</v>
      </c>
      <c r="F26" s="180" t="s">
        <v>381</v>
      </c>
      <c r="G26" s="180" t="s">
        <v>163</v>
      </c>
      <c r="H26" s="564"/>
      <c r="I26" s="181" t="s">
        <v>161</v>
      </c>
      <c r="J26" s="181" t="s">
        <v>381</v>
      </c>
      <c r="K26" s="181" t="s">
        <v>163</v>
      </c>
      <c r="L26" s="628"/>
      <c r="M26" s="628"/>
      <c r="N26" s="564"/>
      <c r="O26" s="564"/>
      <c r="P26" s="180" t="s">
        <v>161</v>
      </c>
      <c r="Q26" s="180" t="s">
        <v>381</v>
      </c>
      <c r="R26" s="180" t="s">
        <v>163</v>
      </c>
      <c r="S26" s="182" t="s">
        <v>167</v>
      </c>
      <c r="T26" s="564"/>
      <c r="U26" s="180" t="s">
        <v>161</v>
      </c>
      <c r="V26" s="180" t="s">
        <v>381</v>
      </c>
      <c r="W26" s="180" t="s">
        <v>163</v>
      </c>
      <c r="X26" s="182" t="s">
        <v>167</v>
      </c>
      <c r="Y26" s="564"/>
      <c r="Z26" s="180" t="s">
        <v>161</v>
      </c>
      <c r="AA26" s="180" t="s">
        <v>381</v>
      </c>
      <c r="AB26" s="180" t="s">
        <v>163</v>
      </c>
      <c r="AC26" s="182" t="s">
        <v>167</v>
      </c>
      <c r="AD26" s="564"/>
      <c r="AE26" s="180" t="s">
        <v>161</v>
      </c>
      <c r="AF26" s="180" t="s">
        <v>381</v>
      </c>
      <c r="AG26" s="180" t="s">
        <v>163</v>
      </c>
      <c r="AH26" s="182" t="s">
        <v>167</v>
      </c>
      <c r="AI26" s="564"/>
      <c r="AJ26" s="180" t="s">
        <v>161</v>
      </c>
      <c r="AK26" s="180" t="s">
        <v>381</v>
      </c>
      <c r="AL26" s="180" t="s">
        <v>163</v>
      </c>
      <c r="AM26" s="182" t="s">
        <v>167</v>
      </c>
      <c r="AN26" s="564"/>
      <c r="AO26" s="180" t="s">
        <v>161</v>
      </c>
      <c r="AP26" s="180" t="s">
        <v>381</v>
      </c>
      <c r="AQ26" s="180" t="s">
        <v>163</v>
      </c>
      <c r="AR26" s="182" t="s">
        <v>167</v>
      </c>
      <c r="AS26" s="564"/>
      <c r="AT26" s="180" t="s">
        <v>161</v>
      </c>
      <c r="AU26" s="180" t="s">
        <v>381</v>
      </c>
      <c r="AV26" s="180" t="s">
        <v>163</v>
      </c>
      <c r="AW26" s="182" t="s">
        <v>167</v>
      </c>
      <c r="AX26" s="564"/>
    </row>
    <row r="27" spans="2:50" ht="14.25" customHeight="1">
      <c r="B27" s="564" t="s">
        <v>385</v>
      </c>
      <c r="C27" s="180">
        <v>1</v>
      </c>
      <c r="D27" s="183" t="s">
        <v>484</v>
      </c>
      <c r="E27" s="180">
        <v>19</v>
      </c>
      <c r="F27" s="180">
        <v>1800</v>
      </c>
      <c r="G27" s="185">
        <f t="shared" ref="G27" si="29">F27/E27</f>
        <v>94.736842105263165</v>
      </c>
      <c r="H27" s="625">
        <f>AVERAGE(G27:G41)</f>
        <v>94.736842105263165</v>
      </c>
      <c r="I27" s="186">
        <f>AVERAGE(P27,U27,Z27,AE27,AJ27,AO27,AT27)</f>
        <v>19</v>
      </c>
      <c r="J27" s="186">
        <f>AVERAGE(Q27,V27,AA27,AF27,AK27,AP27,AU27)</f>
        <v>1607.427055702919</v>
      </c>
      <c r="K27" s="187">
        <f>AVERAGE(R27,W27,AB27,AG27,AL27,AQ27,AV27)</f>
        <v>84.60142398436416</v>
      </c>
      <c r="L27" s="626">
        <f>IFERROR(AVERAGE(K27:K41),"-")</f>
        <v>84.60142398436416</v>
      </c>
      <c r="M27" s="186">
        <f>RANK(K27, K$27:$K$41)</f>
        <v>1</v>
      </c>
      <c r="N27" s="564"/>
      <c r="O27" s="564"/>
      <c r="P27" s="188">
        <v>19</v>
      </c>
      <c r="Q27" s="188">
        <v>1607.427055702919</v>
      </c>
      <c r="R27" s="185">
        <f>IFERROR(Q27/P27,"")</f>
        <v>84.60142398436416</v>
      </c>
      <c r="S27" s="182">
        <f>RANK(R27, R$27:R$41)</f>
        <v>1</v>
      </c>
      <c r="T27" s="625">
        <f>AVERAGE(R27:R41)</f>
        <v>84.60142398436416</v>
      </c>
      <c r="U27" s="188"/>
      <c r="V27" s="188"/>
      <c r="W27" s="185"/>
      <c r="X27" s="182"/>
      <c r="Y27" s="625"/>
      <c r="Z27" s="188"/>
      <c r="AA27" s="188"/>
      <c r="AB27" s="185"/>
      <c r="AC27" s="182"/>
      <c r="AD27" s="625"/>
      <c r="AE27" s="188"/>
      <c r="AF27" s="188"/>
      <c r="AG27" s="185"/>
      <c r="AH27" s="182"/>
      <c r="AI27" s="625"/>
      <c r="AJ27" s="188"/>
      <c r="AK27" s="188"/>
      <c r="AL27" s="185"/>
      <c r="AM27" s="182"/>
      <c r="AN27" s="625"/>
      <c r="AO27" s="188"/>
      <c r="AP27" s="188"/>
      <c r="AQ27" s="185"/>
      <c r="AR27" s="182"/>
      <c r="AS27" s="625"/>
      <c r="AT27" s="188"/>
      <c r="AU27" s="188"/>
      <c r="AV27" s="185"/>
      <c r="AW27" s="182"/>
      <c r="AX27" s="625"/>
    </row>
    <row r="28" spans="2:50" ht="14.25" customHeight="1">
      <c r="B28" s="564"/>
      <c r="C28" s="180">
        <v>2</v>
      </c>
      <c r="D28" s="183"/>
      <c r="E28" s="180"/>
      <c r="F28" s="180"/>
      <c r="G28" s="185"/>
      <c r="H28" s="625"/>
      <c r="I28" s="186"/>
      <c r="J28" s="186"/>
      <c r="K28" s="187"/>
      <c r="L28" s="626"/>
      <c r="M28" s="186"/>
      <c r="N28" s="564"/>
      <c r="O28" s="564"/>
      <c r="P28" s="188"/>
      <c r="Q28" s="188"/>
      <c r="R28" s="185"/>
      <c r="S28" s="182"/>
      <c r="T28" s="625"/>
      <c r="U28" s="188"/>
      <c r="V28" s="188"/>
      <c r="W28" s="185"/>
      <c r="X28" s="182"/>
      <c r="Y28" s="625"/>
      <c r="Z28" s="188"/>
      <c r="AA28" s="188"/>
      <c r="AB28" s="185"/>
      <c r="AC28" s="182"/>
      <c r="AD28" s="625"/>
      <c r="AE28" s="188"/>
      <c r="AF28" s="188"/>
      <c r="AG28" s="185"/>
      <c r="AH28" s="182"/>
      <c r="AI28" s="625"/>
      <c r="AJ28" s="188"/>
      <c r="AK28" s="188"/>
      <c r="AL28" s="185"/>
      <c r="AM28" s="182"/>
      <c r="AN28" s="625"/>
      <c r="AO28" s="188"/>
      <c r="AP28" s="188"/>
      <c r="AQ28" s="185"/>
      <c r="AR28" s="182"/>
      <c r="AS28" s="625"/>
      <c r="AT28" s="188"/>
      <c r="AU28" s="188"/>
      <c r="AV28" s="185"/>
      <c r="AW28" s="182"/>
      <c r="AX28" s="625"/>
    </row>
    <row r="29" spans="2:50" ht="14.25" customHeight="1">
      <c r="B29" s="564"/>
      <c r="C29" s="180">
        <v>3</v>
      </c>
      <c r="D29" s="183"/>
      <c r="E29" s="180"/>
      <c r="F29" s="180"/>
      <c r="G29" s="185"/>
      <c r="H29" s="625"/>
      <c r="I29" s="186"/>
      <c r="J29" s="186"/>
      <c r="K29" s="187"/>
      <c r="L29" s="626"/>
      <c r="M29" s="186"/>
      <c r="N29" s="564"/>
      <c r="O29" s="564"/>
      <c r="P29" s="188"/>
      <c r="Q29" s="188"/>
      <c r="R29" s="185"/>
      <c r="S29" s="182"/>
      <c r="T29" s="625"/>
      <c r="U29" s="188"/>
      <c r="V29" s="188"/>
      <c r="W29" s="185"/>
      <c r="X29" s="182"/>
      <c r="Y29" s="625"/>
      <c r="Z29" s="188"/>
      <c r="AA29" s="188"/>
      <c r="AB29" s="185"/>
      <c r="AC29" s="182"/>
      <c r="AD29" s="625"/>
      <c r="AE29" s="188"/>
      <c r="AF29" s="188"/>
      <c r="AG29" s="185"/>
      <c r="AH29" s="182"/>
      <c r="AI29" s="625"/>
      <c r="AJ29" s="188"/>
      <c r="AK29" s="188"/>
      <c r="AL29" s="185"/>
      <c r="AM29" s="182"/>
      <c r="AN29" s="625"/>
      <c r="AO29" s="188"/>
      <c r="AP29" s="188"/>
      <c r="AQ29" s="185"/>
      <c r="AR29" s="182"/>
      <c r="AS29" s="625"/>
      <c r="AT29" s="188"/>
      <c r="AU29" s="188"/>
      <c r="AV29" s="185"/>
      <c r="AW29" s="182"/>
      <c r="AX29" s="625"/>
    </row>
    <row r="30" spans="2:50" ht="14.25" customHeight="1">
      <c r="B30" s="564"/>
      <c r="C30" s="180">
        <v>4</v>
      </c>
      <c r="D30" s="183"/>
      <c r="E30" s="180"/>
      <c r="F30" s="180"/>
      <c r="G30" s="185"/>
      <c r="H30" s="625"/>
      <c r="I30" s="186"/>
      <c r="J30" s="186"/>
      <c r="K30" s="187"/>
      <c r="L30" s="626"/>
      <c r="M30" s="186"/>
      <c r="N30" s="564"/>
      <c r="O30" s="564"/>
      <c r="P30" s="188"/>
      <c r="Q30" s="188"/>
      <c r="R30" s="185"/>
      <c r="S30" s="182"/>
      <c r="T30" s="625"/>
      <c r="U30" s="188"/>
      <c r="V30" s="188"/>
      <c r="W30" s="185"/>
      <c r="X30" s="182"/>
      <c r="Y30" s="625"/>
      <c r="Z30" s="188"/>
      <c r="AA30" s="188"/>
      <c r="AB30" s="185"/>
      <c r="AC30" s="182"/>
      <c r="AD30" s="625"/>
      <c r="AE30" s="188"/>
      <c r="AF30" s="188"/>
      <c r="AG30" s="185"/>
      <c r="AH30" s="182"/>
      <c r="AI30" s="625"/>
      <c r="AJ30" s="188"/>
      <c r="AK30" s="188"/>
      <c r="AL30" s="185"/>
      <c r="AM30" s="182"/>
      <c r="AN30" s="625"/>
      <c r="AO30" s="188"/>
      <c r="AP30" s="188"/>
      <c r="AQ30" s="185"/>
      <c r="AR30" s="182"/>
      <c r="AS30" s="625"/>
      <c r="AT30" s="188"/>
      <c r="AU30" s="188"/>
      <c r="AV30" s="185"/>
      <c r="AW30" s="182"/>
      <c r="AX30" s="625"/>
    </row>
    <row r="31" spans="2:50" ht="14.25" customHeight="1">
      <c r="B31" s="564"/>
      <c r="C31" s="180">
        <v>5</v>
      </c>
      <c r="D31" s="183"/>
      <c r="E31" s="180"/>
      <c r="F31" s="180"/>
      <c r="G31" s="185"/>
      <c r="H31" s="625"/>
      <c r="I31" s="186"/>
      <c r="J31" s="186"/>
      <c r="K31" s="187"/>
      <c r="L31" s="626"/>
      <c r="M31" s="186"/>
      <c r="N31" s="564"/>
      <c r="O31" s="564"/>
      <c r="P31" s="188"/>
      <c r="Q31" s="188"/>
      <c r="R31" s="185"/>
      <c r="S31" s="182"/>
      <c r="T31" s="625"/>
      <c r="U31" s="188"/>
      <c r="V31" s="188"/>
      <c r="W31" s="185"/>
      <c r="X31" s="182"/>
      <c r="Y31" s="625"/>
      <c r="Z31" s="188"/>
      <c r="AA31" s="188"/>
      <c r="AB31" s="185"/>
      <c r="AC31" s="182"/>
      <c r="AD31" s="625"/>
      <c r="AE31" s="188"/>
      <c r="AF31" s="188"/>
      <c r="AG31" s="185"/>
      <c r="AH31" s="182"/>
      <c r="AI31" s="625"/>
      <c r="AJ31" s="188"/>
      <c r="AK31" s="188"/>
      <c r="AL31" s="185"/>
      <c r="AM31" s="182"/>
      <c r="AN31" s="625"/>
      <c r="AO31" s="188"/>
      <c r="AP31" s="188"/>
      <c r="AQ31" s="185"/>
      <c r="AR31" s="182"/>
      <c r="AS31" s="625"/>
      <c r="AT31" s="188"/>
      <c r="AU31" s="188"/>
      <c r="AV31" s="185"/>
      <c r="AW31" s="182"/>
      <c r="AX31" s="625"/>
    </row>
    <row r="32" spans="2:50" ht="14.25" customHeight="1">
      <c r="B32" s="564"/>
      <c r="C32" s="180">
        <v>6</v>
      </c>
      <c r="D32" s="183"/>
      <c r="E32" s="180"/>
      <c r="F32" s="180"/>
      <c r="G32" s="185"/>
      <c r="H32" s="625"/>
      <c r="I32" s="186"/>
      <c r="J32" s="186"/>
      <c r="K32" s="187"/>
      <c r="L32" s="626"/>
      <c r="M32" s="186"/>
      <c r="N32" s="564"/>
      <c r="O32" s="564"/>
      <c r="P32" s="188"/>
      <c r="Q32" s="188"/>
      <c r="R32" s="185"/>
      <c r="S32" s="182"/>
      <c r="T32" s="625"/>
      <c r="U32" s="188"/>
      <c r="V32" s="188"/>
      <c r="W32" s="185"/>
      <c r="X32" s="182"/>
      <c r="Y32" s="625"/>
      <c r="Z32" s="188"/>
      <c r="AA32" s="188"/>
      <c r="AB32" s="185"/>
      <c r="AC32" s="182"/>
      <c r="AD32" s="625"/>
      <c r="AE32" s="188"/>
      <c r="AF32" s="188"/>
      <c r="AG32" s="185"/>
      <c r="AH32" s="182"/>
      <c r="AI32" s="625"/>
      <c r="AJ32" s="188"/>
      <c r="AK32" s="188"/>
      <c r="AL32" s="185"/>
      <c r="AM32" s="182"/>
      <c r="AN32" s="625"/>
      <c r="AO32" s="188"/>
      <c r="AP32" s="188"/>
      <c r="AQ32" s="185"/>
      <c r="AR32" s="182"/>
      <c r="AS32" s="625"/>
      <c r="AT32" s="188"/>
      <c r="AU32" s="188"/>
      <c r="AV32" s="185"/>
      <c r="AW32" s="182"/>
      <c r="AX32" s="625"/>
    </row>
    <row r="33" spans="2:50" ht="14.25" customHeight="1">
      <c r="B33" s="564"/>
      <c r="C33" s="180">
        <v>7</v>
      </c>
      <c r="D33" s="183"/>
      <c r="E33" s="180"/>
      <c r="F33" s="180"/>
      <c r="G33" s="185"/>
      <c r="H33" s="625"/>
      <c r="I33" s="186"/>
      <c r="J33" s="186"/>
      <c r="K33" s="187"/>
      <c r="L33" s="626"/>
      <c r="M33" s="186"/>
      <c r="N33" s="564"/>
      <c r="O33" s="564"/>
      <c r="P33" s="188"/>
      <c r="Q33" s="188"/>
      <c r="R33" s="185"/>
      <c r="S33" s="182"/>
      <c r="T33" s="625"/>
      <c r="U33" s="188"/>
      <c r="V33" s="188"/>
      <c r="W33" s="185"/>
      <c r="X33" s="182"/>
      <c r="Y33" s="625"/>
      <c r="Z33" s="188"/>
      <c r="AA33" s="188"/>
      <c r="AB33" s="185"/>
      <c r="AC33" s="182"/>
      <c r="AD33" s="625"/>
      <c r="AE33" s="188"/>
      <c r="AF33" s="188"/>
      <c r="AG33" s="185"/>
      <c r="AH33" s="182"/>
      <c r="AI33" s="625"/>
      <c r="AJ33" s="188"/>
      <c r="AK33" s="188"/>
      <c r="AL33" s="185"/>
      <c r="AM33" s="182"/>
      <c r="AN33" s="625"/>
      <c r="AO33" s="188"/>
      <c r="AP33" s="188"/>
      <c r="AQ33" s="185"/>
      <c r="AR33" s="182"/>
      <c r="AS33" s="625"/>
      <c r="AT33" s="188"/>
      <c r="AU33" s="188"/>
      <c r="AV33" s="185"/>
      <c r="AW33" s="182"/>
      <c r="AX33" s="625"/>
    </row>
    <row r="34" spans="2:50" ht="14.25" customHeight="1">
      <c r="B34" s="564"/>
      <c r="C34" s="180">
        <v>8</v>
      </c>
      <c r="D34" s="183"/>
      <c r="E34" s="180"/>
      <c r="F34" s="180"/>
      <c r="G34" s="185"/>
      <c r="H34" s="625"/>
      <c r="I34" s="186"/>
      <c r="J34" s="186"/>
      <c r="K34" s="187"/>
      <c r="L34" s="626"/>
      <c r="M34" s="186"/>
      <c r="N34" s="564"/>
      <c r="O34" s="564"/>
      <c r="P34" s="188"/>
      <c r="Q34" s="188"/>
      <c r="R34" s="185"/>
      <c r="S34" s="182"/>
      <c r="T34" s="625"/>
      <c r="U34" s="188"/>
      <c r="V34" s="188"/>
      <c r="W34" s="185"/>
      <c r="X34" s="182"/>
      <c r="Y34" s="625"/>
      <c r="Z34" s="188"/>
      <c r="AA34" s="188"/>
      <c r="AB34" s="185"/>
      <c r="AC34" s="182"/>
      <c r="AD34" s="625"/>
      <c r="AE34" s="188"/>
      <c r="AF34" s="188"/>
      <c r="AG34" s="185"/>
      <c r="AH34" s="182"/>
      <c r="AI34" s="625"/>
      <c r="AJ34" s="188"/>
      <c r="AK34" s="188"/>
      <c r="AL34" s="185"/>
      <c r="AM34" s="182"/>
      <c r="AN34" s="625"/>
      <c r="AO34" s="188"/>
      <c r="AP34" s="188"/>
      <c r="AQ34" s="185"/>
      <c r="AR34" s="182"/>
      <c r="AS34" s="625"/>
      <c r="AT34" s="188"/>
      <c r="AU34" s="188"/>
      <c r="AV34" s="185"/>
      <c r="AW34" s="182"/>
      <c r="AX34" s="625"/>
    </row>
    <row r="35" spans="2:50" ht="14.25" customHeight="1">
      <c r="B35" s="564"/>
      <c r="C35" s="180">
        <v>9</v>
      </c>
      <c r="D35" s="183"/>
      <c r="E35" s="180"/>
      <c r="F35" s="180"/>
      <c r="G35" s="185"/>
      <c r="H35" s="625"/>
      <c r="I35" s="186"/>
      <c r="J35" s="186"/>
      <c r="K35" s="187"/>
      <c r="L35" s="626"/>
      <c r="M35" s="186"/>
      <c r="N35" s="564"/>
      <c r="O35" s="564"/>
      <c r="P35" s="188"/>
      <c r="Q35" s="188"/>
      <c r="R35" s="185"/>
      <c r="S35" s="182"/>
      <c r="T35" s="625"/>
      <c r="U35" s="188"/>
      <c r="V35" s="188"/>
      <c r="W35" s="185"/>
      <c r="X35" s="182"/>
      <c r="Y35" s="625"/>
      <c r="Z35" s="188"/>
      <c r="AA35" s="188"/>
      <c r="AB35" s="185"/>
      <c r="AC35" s="182"/>
      <c r="AD35" s="625"/>
      <c r="AE35" s="188"/>
      <c r="AF35" s="188"/>
      <c r="AG35" s="185"/>
      <c r="AH35" s="182"/>
      <c r="AI35" s="625"/>
      <c r="AJ35" s="188"/>
      <c r="AK35" s="188"/>
      <c r="AL35" s="185"/>
      <c r="AM35" s="182"/>
      <c r="AN35" s="625"/>
      <c r="AO35" s="188"/>
      <c r="AP35" s="188"/>
      <c r="AQ35" s="185"/>
      <c r="AR35" s="182"/>
      <c r="AS35" s="625"/>
      <c r="AT35" s="188"/>
      <c r="AU35" s="188"/>
      <c r="AV35" s="185"/>
      <c r="AW35" s="182"/>
      <c r="AX35" s="625"/>
    </row>
    <row r="36" spans="2:50" ht="14.25" customHeight="1">
      <c r="B36" s="564"/>
      <c r="C36" s="180">
        <v>10</v>
      </c>
      <c r="D36" s="183"/>
      <c r="E36" s="180"/>
      <c r="F36" s="180"/>
      <c r="G36" s="185"/>
      <c r="H36" s="625"/>
      <c r="I36" s="186"/>
      <c r="J36" s="186"/>
      <c r="K36" s="187"/>
      <c r="L36" s="626"/>
      <c r="M36" s="186"/>
      <c r="N36" s="564"/>
      <c r="O36" s="564"/>
      <c r="P36" s="188"/>
      <c r="Q36" s="188"/>
      <c r="R36" s="185"/>
      <c r="S36" s="182"/>
      <c r="T36" s="625"/>
      <c r="U36" s="188"/>
      <c r="V36" s="188"/>
      <c r="W36" s="185"/>
      <c r="X36" s="182"/>
      <c r="Y36" s="625"/>
      <c r="Z36" s="188"/>
      <c r="AA36" s="188"/>
      <c r="AB36" s="185"/>
      <c r="AC36" s="182"/>
      <c r="AD36" s="625"/>
      <c r="AE36" s="188"/>
      <c r="AF36" s="188"/>
      <c r="AG36" s="185"/>
      <c r="AH36" s="182"/>
      <c r="AI36" s="625"/>
      <c r="AJ36" s="188"/>
      <c r="AK36" s="188"/>
      <c r="AL36" s="185"/>
      <c r="AM36" s="182"/>
      <c r="AN36" s="625"/>
      <c r="AO36" s="188"/>
      <c r="AP36" s="188"/>
      <c r="AQ36" s="185"/>
      <c r="AR36" s="182"/>
      <c r="AS36" s="625"/>
      <c r="AT36" s="188"/>
      <c r="AU36" s="188"/>
      <c r="AV36" s="185"/>
      <c r="AW36" s="182"/>
      <c r="AX36" s="625"/>
    </row>
    <row r="37" spans="2:50" ht="14.25" customHeight="1">
      <c r="B37" s="564"/>
      <c r="C37" s="180">
        <v>11</v>
      </c>
      <c r="D37" s="183"/>
      <c r="E37" s="180"/>
      <c r="F37" s="180"/>
      <c r="G37" s="185"/>
      <c r="H37" s="625"/>
      <c r="I37" s="186"/>
      <c r="J37" s="186"/>
      <c r="K37" s="187"/>
      <c r="L37" s="626"/>
      <c r="M37" s="186"/>
      <c r="N37" s="564"/>
      <c r="O37" s="564"/>
      <c r="P37" s="188"/>
      <c r="Q37" s="188"/>
      <c r="R37" s="185"/>
      <c r="S37" s="182"/>
      <c r="T37" s="625"/>
      <c r="U37" s="188"/>
      <c r="V37" s="188"/>
      <c r="W37" s="185"/>
      <c r="X37" s="182"/>
      <c r="Y37" s="625"/>
      <c r="Z37" s="188"/>
      <c r="AA37" s="188"/>
      <c r="AB37" s="185"/>
      <c r="AC37" s="182"/>
      <c r="AD37" s="625"/>
      <c r="AE37" s="188"/>
      <c r="AF37" s="188"/>
      <c r="AG37" s="185"/>
      <c r="AH37" s="182"/>
      <c r="AI37" s="625"/>
      <c r="AJ37" s="188"/>
      <c r="AK37" s="188"/>
      <c r="AL37" s="185"/>
      <c r="AM37" s="182"/>
      <c r="AN37" s="625"/>
      <c r="AO37" s="188"/>
      <c r="AP37" s="188"/>
      <c r="AQ37" s="185"/>
      <c r="AR37" s="182"/>
      <c r="AS37" s="625"/>
      <c r="AT37" s="188"/>
      <c r="AU37" s="188"/>
      <c r="AV37" s="185"/>
      <c r="AW37" s="182"/>
      <c r="AX37" s="625"/>
    </row>
    <row r="38" spans="2:50" ht="14.25" customHeight="1">
      <c r="B38" s="564"/>
      <c r="C38" s="180">
        <v>12</v>
      </c>
      <c r="D38" s="183"/>
      <c r="E38" s="180"/>
      <c r="F38" s="180"/>
      <c r="G38" s="185"/>
      <c r="H38" s="625"/>
      <c r="I38" s="186"/>
      <c r="J38" s="186"/>
      <c r="K38" s="187"/>
      <c r="L38" s="626"/>
      <c r="M38" s="186"/>
      <c r="N38" s="564"/>
      <c r="O38" s="564"/>
      <c r="P38" s="188"/>
      <c r="Q38" s="188"/>
      <c r="R38" s="185"/>
      <c r="S38" s="182"/>
      <c r="T38" s="625"/>
      <c r="U38" s="188"/>
      <c r="V38" s="188"/>
      <c r="W38" s="185"/>
      <c r="X38" s="182"/>
      <c r="Y38" s="625"/>
      <c r="Z38" s="188"/>
      <c r="AA38" s="188"/>
      <c r="AB38" s="185"/>
      <c r="AC38" s="182"/>
      <c r="AD38" s="625"/>
      <c r="AE38" s="188"/>
      <c r="AF38" s="188"/>
      <c r="AG38" s="185"/>
      <c r="AH38" s="182"/>
      <c r="AI38" s="625"/>
      <c r="AJ38" s="188"/>
      <c r="AK38" s="188"/>
      <c r="AL38" s="185"/>
      <c r="AM38" s="182"/>
      <c r="AN38" s="625"/>
      <c r="AO38" s="188"/>
      <c r="AP38" s="188"/>
      <c r="AQ38" s="185"/>
      <c r="AR38" s="182"/>
      <c r="AS38" s="625"/>
      <c r="AT38" s="188"/>
      <c r="AU38" s="188"/>
      <c r="AV38" s="185"/>
      <c r="AW38" s="182"/>
      <c r="AX38" s="625"/>
    </row>
    <row r="39" spans="2:50" ht="14.25" customHeight="1">
      <c r="B39" s="564"/>
      <c r="C39" s="180">
        <v>13</v>
      </c>
      <c r="D39" s="183"/>
      <c r="E39" s="180"/>
      <c r="F39" s="180"/>
      <c r="G39" s="185"/>
      <c r="H39" s="625"/>
      <c r="I39" s="186"/>
      <c r="J39" s="186"/>
      <c r="K39" s="187"/>
      <c r="L39" s="626"/>
      <c r="M39" s="186"/>
      <c r="N39" s="564"/>
      <c r="O39" s="564"/>
      <c r="P39" s="188"/>
      <c r="Q39" s="188"/>
      <c r="R39" s="185"/>
      <c r="S39" s="182"/>
      <c r="T39" s="625"/>
      <c r="U39" s="188"/>
      <c r="V39" s="188"/>
      <c r="W39" s="185"/>
      <c r="X39" s="182"/>
      <c r="Y39" s="625"/>
      <c r="Z39" s="188"/>
      <c r="AA39" s="188"/>
      <c r="AB39" s="185"/>
      <c r="AC39" s="182"/>
      <c r="AD39" s="625"/>
      <c r="AE39" s="188"/>
      <c r="AF39" s="188"/>
      <c r="AG39" s="185"/>
      <c r="AH39" s="182"/>
      <c r="AI39" s="625"/>
      <c r="AJ39" s="188"/>
      <c r="AK39" s="188"/>
      <c r="AL39" s="185"/>
      <c r="AM39" s="182"/>
      <c r="AN39" s="625"/>
      <c r="AO39" s="188"/>
      <c r="AP39" s="188"/>
      <c r="AQ39" s="185"/>
      <c r="AR39" s="182"/>
      <c r="AS39" s="625"/>
      <c r="AT39" s="188"/>
      <c r="AU39" s="188"/>
      <c r="AV39" s="185"/>
      <c r="AW39" s="182"/>
      <c r="AX39" s="625"/>
    </row>
    <row r="40" spans="2:50" ht="14.25" customHeight="1">
      <c r="B40" s="564"/>
      <c r="C40" s="180">
        <v>14</v>
      </c>
      <c r="D40" s="183"/>
      <c r="E40" s="180"/>
      <c r="F40" s="180"/>
      <c r="G40" s="185"/>
      <c r="H40" s="625"/>
      <c r="I40" s="186"/>
      <c r="J40" s="186"/>
      <c r="K40" s="187"/>
      <c r="L40" s="626"/>
      <c r="M40" s="186"/>
      <c r="N40" s="564"/>
      <c r="O40" s="564"/>
      <c r="P40" s="188"/>
      <c r="Q40" s="188"/>
      <c r="R40" s="185"/>
      <c r="S40" s="182"/>
      <c r="T40" s="625"/>
      <c r="U40" s="188"/>
      <c r="V40" s="188"/>
      <c r="W40" s="185"/>
      <c r="X40" s="182"/>
      <c r="Y40" s="625"/>
      <c r="Z40" s="188"/>
      <c r="AA40" s="188"/>
      <c r="AB40" s="185"/>
      <c r="AC40" s="182"/>
      <c r="AD40" s="625"/>
      <c r="AE40" s="188"/>
      <c r="AF40" s="188"/>
      <c r="AG40" s="185"/>
      <c r="AH40" s="182"/>
      <c r="AI40" s="625"/>
      <c r="AJ40" s="188"/>
      <c r="AK40" s="188"/>
      <c r="AL40" s="185"/>
      <c r="AM40" s="182"/>
      <c r="AN40" s="625"/>
      <c r="AO40" s="188"/>
      <c r="AP40" s="188"/>
      <c r="AQ40" s="185"/>
      <c r="AR40" s="182"/>
      <c r="AS40" s="625"/>
      <c r="AT40" s="188"/>
      <c r="AU40" s="188"/>
      <c r="AV40" s="185"/>
      <c r="AW40" s="182"/>
      <c r="AX40" s="625"/>
    </row>
    <row r="41" spans="2:50" ht="14.25" customHeight="1">
      <c r="B41" s="564"/>
      <c r="C41" s="180">
        <v>15</v>
      </c>
      <c r="D41" s="183"/>
      <c r="E41" s="180"/>
      <c r="F41" s="180"/>
      <c r="G41" s="185"/>
      <c r="H41" s="625"/>
      <c r="I41" s="186"/>
      <c r="J41" s="186"/>
      <c r="K41" s="187"/>
      <c r="L41" s="626"/>
      <c r="M41" s="186"/>
      <c r="N41" s="564"/>
      <c r="O41" s="564"/>
      <c r="P41" s="188"/>
      <c r="Q41" s="188"/>
      <c r="R41" s="185"/>
      <c r="S41" s="182"/>
      <c r="T41" s="625"/>
      <c r="U41" s="188"/>
      <c r="V41" s="188"/>
      <c r="W41" s="185"/>
      <c r="X41" s="182"/>
      <c r="Y41" s="625"/>
      <c r="Z41" s="188"/>
      <c r="AA41" s="188"/>
      <c r="AB41" s="185"/>
      <c r="AC41" s="182"/>
      <c r="AD41" s="625"/>
      <c r="AE41" s="188"/>
      <c r="AF41" s="188"/>
      <c r="AG41" s="185"/>
      <c r="AH41" s="182"/>
      <c r="AI41" s="625"/>
      <c r="AJ41" s="188"/>
      <c r="AK41" s="188"/>
      <c r="AL41" s="185"/>
      <c r="AM41" s="182"/>
      <c r="AN41" s="625"/>
      <c r="AO41" s="188"/>
      <c r="AP41" s="188"/>
      <c r="AQ41" s="185"/>
      <c r="AR41" s="182"/>
      <c r="AS41" s="625"/>
      <c r="AT41" s="188"/>
      <c r="AU41" s="188"/>
      <c r="AV41" s="185"/>
      <c r="AW41" s="182"/>
      <c r="AX41" s="625"/>
    </row>
    <row r="42" spans="2:50" ht="14.25" customHeight="1" collapsed="1">
      <c r="B42" s="646" t="s">
        <v>642</v>
      </c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43"/>
      <c r="N42" s="575" t="s">
        <v>377</v>
      </c>
      <c r="O42" s="575" t="s">
        <v>105</v>
      </c>
      <c r="P42" s="655">
        <f>AT22+1</f>
        <v>46091</v>
      </c>
      <c r="Q42" s="656"/>
      <c r="R42" s="656"/>
      <c r="S42" s="656"/>
      <c r="T42" s="656"/>
      <c r="U42" s="657">
        <f>P42+1</f>
        <v>46092</v>
      </c>
      <c r="V42" s="658"/>
      <c r="W42" s="658"/>
      <c r="X42" s="658"/>
      <c r="Y42" s="658"/>
      <c r="Z42" s="655">
        <f t="shared" ref="Z42" si="30">U42+1</f>
        <v>46093</v>
      </c>
      <c r="AA42" s="656"/>
      <c r="AB42" s="656"/>
      <c r="AC42" s="656"/>
      <c r="AD42" s="656"/>
      <c r="AE42" s="657">
        <f t="shared" ref="AE42" si="31">Z42+1</f>
        <v>46094</v>
      </c>
      <c r="AF42" s="658"/>
      <c r="AG42" s="658"/>
      <c r="AH42" s="658"/>
      <c r="AI42" s="658"/>
      <c r="AJ42" s="647">
        <f t="shared" ref="AJ42" si="32">AE42+1</f>
        <v>46095</v>
      </c>
      <c r="AK42" s="648"/>
      <c r="AL42" s="648"/>
      <c r="AM42" s="648"/>
      <c r="AN42" s="649"/>
      <c r="AO42" s="657">
        <f t="shared" ref="AO42" si="33">AJ42+1</f>
        <v>46096</v>
      </c>
      <c r="AP42" s="658"/>
      <c r="AQ42" s="658"/>
      <c r="AR42" s="658"/>
      <c r="AS42" s="658"/>
      <c r="AT42" s="647">
        <f t="shared" ref="AT42" si="34">AO42+1</f>
        <v>46097</v>
      </c>
      <c r="AU42" s="648"/>
      <c r="AV42" s="648"/>
      <c r="AW42" s="648"/>
      <c r="AX42" s="649"/>
    </row>
    <row r="43" spans="2:50" ht="14.25" customHeight="1">
      <c r="B43" s="644"/>
      <c r="C43" s="644"/>
      <c r="D43" s="644"/>
      <c r="E43" s="644"/>
      <c r="F43" s="644"/>
      <c r="G43" s="644"/>
      <c r="H43" s="644"/>
      <c r="I43" s="644"/>
      <c r="J43" s="644"/>
      <c r="K43" s="644"/>
      <c r="L43" s="644"/>
      <c r="M43" s="645"/>
      <c r="N43" s="577"/>
      <c r="O43" s="577"/>
      <c r="P43" s="650">
        <f>P42</f>
        <v>46091</v>
      </c>
      <c r="Q43" s="650"/>
      <c r="R43" s="650"/>
      <c r="S43" s="650"/>
      <c r="T43" s="650"/>
      <c r="U43" s="651">
        <f>U42</f>
        <v>46092</v>
      </c>
      <c r="V43" s="651"/>
      <c r="W43" s="651"/>
      <c r="X43" s="651"/>
      <c r="Y43" s="651"/>
      <c r="Z43" s="650">
        <f t="shared" ref="Z43" si="35">Z42</f>
        <v>46093</v>
      </c>
      <c r="AA43" s="650"/>
      <c r="AB43" s="650"/>
      <c r="AC43" s="650"/>
      <c r="AD43" s="650"/>
      <c r="AE43" s="651">
        <f t="shared" ref="AE43" si="36">AE42</f>
        <v>46094</v>
      </c>
      <c r="AF43" s="651"/>
      <c r="AG43" s="651"/>
      <c r="AH43" s="651"/>
      <c r="AI43" s="651"/>
      <c r="AJ43" s="652">
        <f t="shared" ref="AJ43" si="37">AJ42</f>
        <v>46095</v>
      </c>
      <c r="AK43" s="653"/>
      <c r="AL43" s="653"/>
      <c r="AM43" s="653"/>
      <c r="AN43" s="654"/>
      <c r="AO43" s="651">
        <f t="shared" ref="AO43" si="38">AO42</f>
        <v>46096</v>
      </c>
      <c r="AP43" s="651"/>
      <c r="AQ43" s="651"/>
      <c r="AR43" s="651"/>
      <c r="AS43" s="651"/>
      <c r="AT43" s="652">
        <f t="shared" ref="AT43" si="39">AT42</f>
        <v>46097</v>
      </c>
      <c r="AU43" s="653"/>
      <c r="AV43" s="653"/>
      <c r="AW43" s="653"/>
      <c r="AX43" s="654"/>
    </row>
    <row r="44" spans="2:50" ht="14.25" customHeight="1">
      <c r="B44" s="564" t="s">
        <v>164</v>
      </c>
      <c r="C44" s="564" t="s">
        <v>159</v>
      </c>
      <c r="D44" s="564"/>
      <c r="E44" s="564" t="s">
        <v>160</v>
      </c>
      <c r="F44" s="564"/>
      <c r="G44" s="564"/>
      <c r="H44" s="564" t="s">
        <v>165</v>
      </c>
      <c r="I44" s="628" t="s">
        <v>378</v>
      </c>
      <c r="J44" s="628"/>
      <c r="K44" s="628"/>
      <c r="L44" s="628" t="s">
        <v>165</v>
      </c>
      <c r="M44" s="628" t="s">
        <v>167</v>
      </c>
      <c r="N44" s="564"/>
      <c r="O44" s="564" t="s">
        <v>166</v>
      </c>
      <c r="P44" s="564" t="s">
        <v>162</v>
      </c>
      <c r="Q44" s="564"/>
      <c r="R44" s="564"/>
      <c r="S44" s="564"/>
      <c r="T44" s="564" t="s">
        <v>165</v>
      </c>
      <c r="U44" s="564" t="s">
        <v>162</v>
      </c>
      <c r="V44" s="564"/>
      <c r="W44" s="564"/>
      <c r="X44" s="564"/>
      <c r="Y44" s="564" t="s">
        <v>165</v>
      </c>
      <c r="Z44" s="564" t="s">
        <v>162</v>
      </c>
      <c r="AA44" s="564"/>
      <c r="AB44" s="564"/>
      <c r="AC44" s="564"/>
      <c r="AD44" s="564" t="s">
        <v>165</v>
      </c>
      <c r="AE44" s="564" t="s">
        <v>162</v>
      </c>
      <c r="AF44" s="564"/>
      <c r="AG44" s="564"/>
      <c r="AH44" s="564"/>
      <c r="AI44" s="564" t="s">
        <v>165</v>
      </c>
      <c r="AJ44" s="564" t="s">
        <v>162</v>
      </c>
      <c r="AK44" s="564"/>
      <c r="AL44" s="564"/>
      <c r="AM44" s="564"/>
      <c r="AN44" s="564" t="s">
        <v>165</v>
      </c>
      <c r="AO44" s="564" t="s">
        <v>162</v>
      </c>
      <c r="AP44" s="564"/>
      <c r="AQ44" s="564"/>
      <c r="AR44" s="564"/>
      <c r="AS44" s="564" t="s">
        <v>165</v>
      </c>
      <c r="AT44" s="564" t="s">
        <v>162</v>
      </c>
      <c r="AU44" s="564"/>
      <c r="AV44" s="564"/>
      <c r="AW44" s="564"/>
      <c r="AX44" s="564" t="s">
        <v>165</v>
      </c>
    </row>
    <row r="45" spans="2:50" ht="14.25" customHeight="1">
      <c r="B45" s="564"/>
      <c r="C45" s="564"/>
      <c r="D45" s="564"/>
      <c r="E45" s="564" t="s">
        <v>379</v>
      </c>
      <c r="F45" s="564"/>
      <c r="G45" s="564"/>
      <c r="H45" s="564"/>
      <c r="I45" s="628" t="s">
        <v>379</v>
      </c>
      <c r="J45" s="628"/>
      <c r="K45" s="628"/>
      <c r="L45" s="628"/>
      <c r="M45" s="628"/>
      <c r="N45" s="564"/>
      <c r="O45" s="564"/>
      <c r="P45" s="564" t="s">
        <v>380</v>
      </c>
      <c r="Q45" s="564"/>
      <c r="R45" s="564"/>
      <c r="S45" s="564"/>
      <c r="T45" s="564"/>
      <c r="U45" s="564" t="s">
        <v>380</v>
      </c>
      <c r="V45" s="564"/>
      <c r="W45" s="564"/>
      <c r="X45" s="564"/>
      <c r="Y45" s="564"/>
      <c r="Z45" s="564" t="s">
        <v>380</v>
      </c>
      <c r="AA45" s="564"/>
      <c r="AB45" s="564"/>
      <c r="AC45" s="564"/>
      <c r="AD45" s="564"/>
      <c r="AE45" s="564" t="s">
        <v>380</v>
      </c>
      <c r="AF45" s="564"/>
      <c r="AG45" s="564"/>
      <c r="AH45" s="564"/>
      <c r="AI45" s="564"/>
      <c r="AJ45" s="564" t="s">
        <v>380</v>
      </c>
      <c r="AK45" s="564"/>
      <c r="AL45" s="564"/>
      <c r="AM45" s="564"/>
      <c r="AN45" s="564"/>
      <c r="AO45" s="564" t="s">
        <v>380</v>
      </c>
      <c r="AP45" s="564"/>
      <c r="AQ45" s="564"/>
      <c r="AR45" s="564"/>
      <c r="AS45" s="564"/>
      <c r="AT45" s="564" t="s">
        <v>380</v>
      </c>
      <c r="AU45" s="564"/>
      <c r="AV45" s="564"/>
      <c r="AW45" s="564"/>
      <c r="AX45" s="564"/>
    </row>
    <row r="46" spans="2:50" ht="14.25" customHeight="1">
      <c r="B46" s="564"/>
      <c r="C46" s="564"/>
      <c r="D46" s="564"/>
      <c r="E46" s="180" t="s">
        <v>161</v>
      </c>
      <c r="F46" s="180" t="s">
        <v>381</v>
      </c>
      <c r="G46" s="180" t="s">
        <v>163</v>
      </c>
      <c r="H46" s="564"/>
      <c r="I46" s="181" t="s">
        <v>161</v>
      </c>
      <c r="J46" s="181" t="s">
        <v>381</v>
      </c>
      <c r="K46" s="181" t="s">
        <v>163</v>
      </c>
      <c r="L46" s="628"/>
      <c r="M46" s="628"/>
      <c r="N46" s="564"/>
      <c r="O46" s="564"/>
      <c r="P46" s="180" t="s">
        <v>161</v>
      </c>
      <c r="Q46" s="180" t="s">
        <v>381</v>
      </c>
      <c r="R46" s="180" t="s">
        <v>163</v>
      </c>
      <c r="S46" s="182" t="s">
        <v>167</v>
      </c>
      <c r="T46" s="564"/>
      <c r="U46" s="180" t="s">
        <v>161</v>
      </c>
      <c r="V46" s="180" t="s">
        <v>381</v>
      </c>
      <c r="W46" s="180" t="s">
        <v>163</v>
      </c>
      <c r="X46" s="182" t="s">
        <v>167</v>
      </c>
      <c r="Y46" s="564"/>
      <c r="Z46" s="180" t="s">
        <v>161</v>
      </c>
      <c r="AA46" s="180" t="s">
        <v>381</v>
      </c>
      <c r="AB46" s="180" t="s">
        <v>163</v>
      </c>
      <c r="AC46" s="182" t="s">
        <v>167</v>
      </c>
      <c r="AD46" s="564"/>
      <c r="AE46" s="180" t="s">
        <v>161</v>
      </c>
      <c r="AF46" s="180" t="s">
        <v>381</v>
      </c>
      <c r="AG46" s="180" t="s">
        <v>163</v>
      </c>
      <c r="AH46" s="182" t="s">
        <v>167</v>
      </c>
      <c r="AI46" s="564"/>
      <c r="AJ46" s="180" t="s">
        <v>161</v>
      </c>
      <c r="AK46" s="180" t="s">
        <v>381</v>
      </c>
      <c r="AL46" s="180" t="s">
        <v>163</v>
      </c>
      <c r="AM46" s="182" t="s">
        <v>167</v>
      </c>
      <c r="AN46" s="564"/>
      <c r="AO46" s="180" t="s">
        <v>161</v>
      </c>
      <c r="AP46" s="180" t="s">
        <v>381</v>
      </c>
      <c r="AQ46" s="180" t="s">
        <v>163</v>
      </c>
      <c r="AR46" s="182" t="s">
        <v>167</v>
      </c>
      <c r="AS46" s="564"/>
      <c r="AT46" s="180" t="s">
        <v>161</v>
      </c>
      <c r="AU46" s="180" t="s">
        <v>381</v>
      </c>
      <c r="AV46" s="180" t="s">
        <v>163</v>
      </c>
      <c r="AW46" s="182" t="s">
        <v>167</v>
      </c>
      <c r="AX46" s="564"/>
    </row>
    <row r="47" spans="2:50" ht="14.25" customHeight="1">
      <c r="B47" s="564" t="s">
        <v>385</v>
      </c>
      <c r="C47" s="180">
        <v>1</v>
      </c>
      <c r="D47" s="183"/>
      <c r="E47" s="180"/>
      <c r="F47" s="180"/>
      <c r="G47" s="185"/>
      <c r="H47" s="625"/>
      <c r="I47" s="186"/>
      <c r="J47" s="186"/>
      <c r="K47" s="187"/>
      <c r="L47" s="626" t="str">
        <f>IFERROR(AVERAGE(K47:K61),"-")</f>
        <v>-</v>
      </c>
      <c r="M47" s="186" t="e">
        <f>RANK(K47, K$47:$K$61)</f>
        <v>#N/A</v>
      </c>
      <c r="N47" s="564"/>
      <c r="O47" s="564"/>
      <c r="P47" s="188"/>
      <c r="Q47" s="188"/>
      <c r="R47" s="185"/>
      <c r="S47" s="182"/>
      <c r="T47" s="625"/>
      <c r="U47" s="188"/>
      <c r="V47" s="188"/>
      <c r="W47" s="185"/>
      <c r="X47" s="182"/>
      <c r="Y47" s="625"/>
      <c r="Z47" s="188"/>
      <c r="AA47" s="188"/>
      <c r="AB47" s="185"/>
      <c r="AC47" s="182"/>
      <c r="AD47" s="625"/>
      <c r="AE47" s="188"/>
      <c r="AF47" s="188"/>
      <c r="AG47" s="185"/>
      <c r="AH47" s="182"/>
      <c r="AI47" s="625"/>
      <c r="AJ47" s="188"/>
      <c r="AK47" s="188"/>
      <c r="AL47" s="185"/>
      <c r="AM47" s="182"/>
      <c r="AN47" s="625"/>
      <c r="AO47" s="188"/>
      <c r="AP47" s="188"/>
      <c r="AQ47" s="185"/>
      <c r="AR47" s="182"/>
      <c r="AS47" s="625"/>
      <c r="AT47" s="188"/>
      <c r="AU47" s="188"/>
      <c r="AV47" s="185"/>
      <c r="AW47" s="182"/>
      <c r="AX47" s="625"/>
    </row>
    <row r="48" spans="2:50" ht="14.25" customHeight="1">
      <c r="B48" s="564"/>
      <c r="C48" s="180">
        <v>2</v>
      </c>
      <c r="D48" s="183"/>
      <c r="E48" s="180"/>
      <c r="F48" s="180"/>
      <c r="G48" s="185"/>
      <c r="H48" s="625"/>
      <c r="I48" s="186"/>
      <c r="J48" s="186"/>
      <c r="K48" s="187"/>
      <c r="L48" s="626"/>
      <c r="M48" s="186"/>
      <c r="N48" s="564"/>
      <c r="O48" s="564"/>
      <c r="P48" s="188"/>
      <c r="Q48" s="188"/>
      <c r="R48" s="185"/>
      <c r="S48" s="182"/>
      <c r="T48" s="625"/>
      <c r="U48" s="188"/>
      <c r="V48" s="188"/>
      <c r="W48" s="185"/>
      <c r="X48" s="182"/>
      <c r="Y48" s="625"/>
      <c r="Z48" s="188"/>
      <c r="AA48" s="188"/>
      <c r="AB48" s="185"/>
      <c r="AC48" s="182"/>
      <c r="AD48" s="625"/>
      <c r="AE48" s="188"/>
      <c r="AF48" s="188"/>
      <c r="AG48" s="185"/>
      <c r="AH48" s="182"/>
      <c r="AI48" s="625"/>
      <c r="AJ48" s="188"/>
      <c r="AK48" s="188"/>
      <c r="AL48" s="185"/>
      <c r="AM48" s="182"/>
      <c r="AN48" s="625"/>
      <c r="AO48" s="188"/>
      <c r="AP48" s="188"/>
      <c r="AQ48" s="185"/>
      <c r="AR48" s="182"/>
      <c r="AS48" s="625"/>
      <c r="AT48" s="188"/>
      <c r="AU48" s="188"/>
      <c r="AV48" s="185"/>
      <c r="AW48" s="182"/>
      <c r="AX48" s="625"/>
    </row>
    <row r="49" spans="2:50" ht="14.25" customHeight="1">
      <c r="B49" s="564"/>
      <c r="C49" s="180">
        <v>3</v>
      </c>
      <c r="D49" s="183"/>
      <c r="E49" s="180"/>
      <c r="F49" s="180"/>
      <c r="G49" s="185"/>
      <c r="H49" s="625"/>
      <c r="I49" s="186"/>
      <c r="J49" s="186"/>
      <c r="K49" s="187"/>
      <c r="L49" s="626"/>
      <c r="M49" s="186"/>
      <c r="N49" s="564"/>
      <c r="O49" s="564"/>
      <c r="P49" s="188"/>
      <c r="Q49" s="188"/>
      <c r="R49" s="185"/>
      <c r="S49" s="182"/>
      <c r="T49" s="625"/>
      <c r="U49" s="188"/>
      <c r="V49" s="188"/>
      <c r="W49" s="185"/>
      <c r="X49" s="182"/>
      <c r="Y49" s="625"/>
      <c r="Z49" s="188"/>
      <c r="AA49" s="188"/>
      <c r="AB49" s="185"/>
      <c r="AC49" s="182"/>
      <c r="AD49" s="625"/>
      <c r="AE49" s="188"/>
      <c r="AF49" s="188"/>
      <c r="AG49" s="185"/>
      <c r="AH49" s="182"/>
      <c r="AI49" s="625"/>
      <c r="AJ49" s="188"/>
      <c r="AK49" s="188"/>
      <c r="AL49" s="185"/>
      <c r="AM49" s="182"/>
      <c r="AN49" s="625"/>
      <c r="AO49" s="188"/>
      <c r="AP49" s="188"/>
      <c r="AQ49" s="185"/>
      <c r="AR49" s="182"/>
      <c r="AS49" s="625"/>
      <c r="AT49" s="188"/>
      <c r="AU49" s="188"/>
      <c r="AV49" s="185"/>
      <c r="AW49" s="182"/>
      <c r="AX49" s="625"/>
    </row>
    <row r="50" spans="2:50" ht="14.25" customHeight="1">
      <c r="B50" s="564"/>
      <c r="C50" s="180">
        <v>4</v>
      </c>
      <c r="D50" s="183"/>
      <c r="E50" s="180"/>
      <c r="F50" s="180"/>
      <c r="G50" s="185"/>
      <c r="H50" s="625"/>
      <c r="I50" s="186"/>
      <c r="J50" s="186"/>
      <c r="K50" s="187"/>
      <c r="L50" s="626"/>
      <c r="M50" s="186"/>
      <c r="N50" s="564"/>
      <c r="O50" s="564"/>
      <c r="P50" s="188"/>
      <c r="Q50" s="188"/>
      <c r="R50" s="185"/>
      <c r="S50" s="182"/>
      <c r="T50" s="625"/>
      <c r="U50" s="188"/>
      <c r="V50" s="188"/>
      <c r="W50" s="185"/>
      <c r="X50" s="182"/>
      <c r="Y50" s="625"/>
      <c r="Z50" s="188"/>
      <c r="AA50" s="188"/>
      <c r="AB50" s="185"/>
      <c r="AC50" s="182"/>
      <c r="AD50" s="625"/>
      <c r="AE50" s="188"/>
      <c r="AF50" s="188"/>
      <c r="AG50" s="185"/>
      <c r="AH50" s="182"/>
      <c r="AI50" s="625"/>
      <c r="AJ50" s="188"/>
      <c r="AK50" s="188"/>
      <c r="AL50" s="185"/>
      <c r="AM50" s="182"/>
      <c r="AN50" s="625"/>
      <c r="AO50" s="188"/>
      <c r="AP50" s="188"/>
      <c r="AQ50" s="185"/>
      <c r="AR50" s="182"/>
      <c r="AS50" s="625"/>
      <c r="AT50" s="188"/>
      <c r="AU50" s="188"/>
      <c r="AV50" s="185"/>
      <c r="AW50" s="182"/>
      <c r="AX50" s="625"/>
    </row>
    <row r="51" spans="2:50" ht="14.25" customHeight="1">
      <c r="B51" s="564"/>
      <c r="C51" s="180">
        <v>5</v>
      </c>
      <c r="D51" s="183"/>
      <c r="E51" s="180"/>
      <c r="F51" s="180"/>
      <c r="G51" s="185"/>
      <c r="H51" s="625"/>
      <c r="I51" s="186"/>
      <c r="J51" s="186"/>
      <c r="K51" s="187"/>
      <c r="L51" s="626"/>
      <c r="M51" s="186"/>
      <c r="N51" s="564"/>
      <c r="O51" s="564"/>
      <c r="P51" s="188"/>
      <c r="Q51" s="188"/>
      <c r="R51" s="185"/>
      <c r="S51" s="182"/>
      <c r="T51" s="625"/>
      <c r="U51" s="188"/>
      <c r="V51" s="188"/>
      <c r="W51" s="185"/>
      <c r="X51" s="182"/>
      <c r="Y51" s="625"/>
      <c r="Z51" s="188"/>
      <c r="AA51" s="188"/>
      <c r="AB51" s="185"/>
      <c r="AC51" s="182"/>
      <c r="AD51" s="625"/>
      <c r="AE51" s="188"/>
      <c r="AF51" s="188"/>
      <c r="AG51" s="185"/>
      <c r="AH51" s="182"/>
      <c r="AI51" s="625"/>
      <c r="AJ51" s="188"/>
      <c r="AK51" s="188"/>
      <c r="AL51" s="185"/>
      <c r="AM51" s="182"/>
      <c r="AN51" s="625"/>
      <c r="AO51" s="188"/>
      <c r="AP51" s="188"/>
      <c r="AQ51" s="185"/>
      <c r="AR51" s="182"/>
      <c r="AS51" s="625"/>
      <c r="AT51" s="188"/>
      <c r="AU51" s="188"/>
      <c r="AV51" s="185"/>
      <c r="AW51" s="182"/>
      <c r="AX51" s="625"/>
    </row>
    <row r="52" spans="2:50" ht="14.25" customHeight="1">
      <c r="B52" s="564"/>
      <c r="C52" s="180">
        <v>6</v>
      </c>
      <c r="D52" s="183"/>
      <c r="E52" s="180"/>
      <c r="F52" s="180"/>
      <c r="G52" s="185"/>
      <c r="H52" s="625"/>
      <c r="I52" s="186"/>
      <c r="J52" s="186"/>
      <c r="K52" s="187"/>
      <c r="L52" s="626"/>
      <c r="M52" s="186"/>
      <c r="N52" s="564"/>
      <c r="O52" s="564"/>
      <c r="P52" s="188"/>
      <c r="Q52" s="188"/>
      <c r="R52" s="185"/>
      <c r="S52" s="182"/>
      <c r="T52" s="625"/>
      <c r="U52" s="188"/>
      <c r="V52" s="188"/>
      <c r="W52" s="185"/>
      <c r="X52" s="182"/>
      <c r="Y52" s="625"/>
      <c r="Z52" s="188"/>
      <c r="AA52" s="188"/>
      <c r="AB52" s="185"/>
      <c r="AC52" s="182"/>
      <c r="AD52" s="625"/>
      <c r="AE52" s="188"/>
      <c r="AF52" s="188"/>
      <c r="AG52" s="185"/>
      <c r="AH52" s="182"/>
      <c r="AI52" s="625"/>
      <c r="AJ52" s="188"/>
      <c r="AK52" s="188"/>
      <c r="AL52" s="185"/>
      <c r="AM52" s="182"/>
      <c r="AN52" s="625"/>
      <c r="AO52" s="188"/>
      <c r="AP52" s="188"/>
      <c r="AQ52" s="185"/>
      <c r="AR52" s="182"/>
      <c r="AS52" s="625"/>
      <c r="AT52" s="188"/>
      <c r="AU52" s="188"/>
      <c r="AV52" s="185"/>
      <c r="AW52" s="182"/>
      <c r="AX52" s="625"/>
    </row>
    <row r="53" spans="2:50" ht="14.25" customHeight="1">
      <c r="B53" s="564"/>
      <c r="C53" s="180">
        <v>7</v>
      </c>
      <c r="D53" s="183"/>
      <c r="E53" s="180"/>
      <c r="F53" s="180"/>
      <c r="G53" s="185"/>
      <c r="H53" s="625"/>
      <c r="I53" s="186"/>
      <c r="J53" s="186"/>
      <c r="K53" s="187"/>
      <c r="L53" s="626"/>
      <c r="M53" s="186"/>
      <c r="N53" s="564"/>
      <c r="O53" s="564"/>
      <c r="P53" s="188"/>
      <c r="Q53" s="188"/>
      <c r="R53" s="185"/>
      <c r="S53" s="182"/>
      <c r="T53" s="625"/>
      <c r="U53" s="188"/>
      <c r="V53" s="188"/>
      <c r="W53" s="185"/>
      <c r="X53" s="182"/>
      <c r="Y53" s="625"/>
      <c r="Z53" s="188"/>
      <c r="AA53" s="188"/>
      <c r="AB53" s="185"/>
      <c r="AC53" s="182"/>
      <c r="AD53" s="625"/>
      <c r="AE53" s="188"/>
      <c r="AF53" s="188"/>
      <c r="AG53" s="185"/>
      <c r="AH53" s="182"/>
      <c r="AI53" s="625"/>
      <c r="AJ53" s="188"/>
      <c r="AK53" s="188"/>
      <c r="AL53" s="185"/>
      <c r="AM53" s="182"/>
      <c r="AN53" s="625"/>
      <c r="AO53" s="188"/>
      <c r="AP53" s="188"/>
      <c r="AQ53" s="185"/>
      <c r="AR53" s="182"/>
      <c r="AS53" s="625"/>
      <c r="AT53" s="188"/>
      <c r="AU53" s="188"/>
      <c r="AV53" s="185"/>
      <c r="AW53" s="182"/>
      <c r="AX53" s="625"/>
    </row>
    <row r="54" spans="2:50" ht="14.25" customHeight="1">
      <c r="B54" s="564"/>
      <c r="C54" s="180">
        <v>8</v>
      </c>
      <c r="D54" s="183"/>
      <c r="E54" s="180"/>
      <c r="F54" s="180"/>
      <c r="G54" s="185"/>
      <c r="H54" s="625"/>
      <c r="I54" s="186"/>
      <c r="J54" s="186"/>
      <c r="K54" s="187"/>
      <c r="L54" s="626"/>
      <c r="M54" s="186"/>
      <c r="N54" s="564"/>
      <c r="O54" s="564"/>
      <c r="P54" s="188"/>
      <c r="Q54" s="188"/>
      <c r="R54" s="185"/>
      <c r="S54" s="182"/>
      <c r="T54" s="625"/>
      <c r="U54" s="188"/>
      <c r="V54" s="188"/>
      <c r="W54" s="185"/>
      <c r="X54" s="182"/>
      <c r="Y54" s="625"/>
      <c r="Z54" s="188"/>
      <c r="AA54" s="188"/>
      <c r="AB54" s="185"/>
      <c r="AC54" s="182"/>
      <c r="AD54" s="625"/>
      <c r="AE54" s="188"/>
      <c r="AF54" s="188"/>
      <c r="AG54" s="185"/>
      <c r="AH54" s="182"/>
      <c r="AI54" s="625"/>
      <c r="AJ54" s="188"/>
      <c r="AK54" s="188"/>
      <c r="AL54" s="185"/>
      <c r="AM54" s="182"/>
      <c r="AN54" s="625"/>
      <c r="AO54" s="188"/>
      <c r="AP54" s="188"/>
      <c r="AQ54" s="185"/>
      <c r="AR54" s="182"/>
      <c r="AS54" s="625"/>
      <c r="AT54" s="188"/>
      <c r="AU54" s="188"/>
      <c r="AV54" s="185"/>
      <c r="AW54" s="182"/>
      <c r="AX54" s="625"/>
    </row>
    <row r="55" spans="2:50" ht="14.25" customHeight="1">
      <c r="B55" s="564"/>
      <c r="C55" s="180">
        <v>9</v>
      </c>
      <c r="D55" s="183"/>
      <c r="E55" s="180"/>
      <c r="F55" s="180"/>
      <c r="G55" s="185"/>
      <c r="H55" s="625"/>
      <c r="I55" s="186"/>
      <c r="J55" s="186"/>
      <c r="K55" s="187"/>
      <c r="L55" s="626"/>
      <c r="M55" s="186"/>
      <c r="N55" s="564"/>
      <c r="O55" s="564"/>
      <c r="P55" s="188"/>
      <c r="Q55" s="188"/>
      <c r="R55" s="185"/>
      <c r="S55" s="182"/>
      <c r="T55" s="625"/>
      <c r="U55" s="188"/>
      <c r="V55" s="188"/>
      <c r="W55" s="185"/>
      <c r="X55" s="182"/>
      <c r="Y55" s="625"/>
      <c r="Z55" s="188"/>
      <c r="AA55" s="188"/>
      <c r="AB55" s="185"/>
      <c r="AC55" s="182"/>
      <c r="AD55" s="625"/>
      <c r="AE55" s="188"/>
      <c r="AF55" s="188"/>
      <c r="AG55" s="185"/>
      <c r="AH55" s="182"/>
      <c r="AI55" s="625"/>
      <c r="AJ55" s="188"/>
      <c r="AK55" s="188"/>
      <c r="AL55" s="185"/>
      <c r="AM55" s="182"/>
      <c r="AN55" s="625"/>
      <c r="AO55" s="188"/>
      <c r="AP55" s="188"/>
      <c r="AQ55" s="185"/>
      <c r="AR55" s="182"/>
      <c r="AS55" s="625"/>
      <c r="AT55" s="188"/>
      <c r="AU55" s="188"/>
      <c r="AV55" s="185"/>
      <c r="AW55" s="182"/>
      <c r="AX55" s="625"/>
    </row>
    <row r="56" spans="2:50" ht="14.25" customHeight="1">
      <c r="B56" s="564"/>
      <c r="C56" s="180">
        <v>10</v>
      </c>
      <c r="D56" s="183"/>
      <c r="E56" s="180"/>
      <c r="F56" s="180"/>
      <c r="G56" s="185"/>
      <c r="H56" s="625"/>
      <c r="I56" s="186"/>
      <c r="J56" s="186"/>
      <c r="K56" s="187"/>
      <c r="L56" s="626"/>
      <c r="M56" s="186"/>
      <c r="N56" s="564"/>
      <c r="O56" s="564"/>
      <c r="P56" s="188"/>
      <c r="Q56" s="188"/>
      <c r="R56" s="185"/>
      <c r="S56" s="182"/>
      <c r="T56" s="625"/>
      <c r="U56" s="188"/>
      <c r="V56" s="188"/>
      <c r="W56" s="185"/>
      <c r="X56" s="182"/>
      <c r="Y56" s="625"/>
      <c r="Z56" s="188"/>
      <c r="AA56" s="188"/>
      <c r="AB56" s="185"/>
      <c r="AC56" s="182"/>
      <c r="AD56" s="625"/>
      <c r="AE56" s="188"/>
      <c r="AF56" s="188"/>
      <c r="AG56" s="185"/>
      <c r="AH56" s="182"/>
      <c r="AI56" s="625"/>
      <c r="AJ56" s="188"/>
      <c r="AK56" s="188"/>
      <c r="AL56" s="185"/>
      <c r="AM56" s="182"/>
      <c r="AN56" s="625"/>
      <c r="AO56" s="188"/>
      <c r="AP56" s="188"/>
      <c r="AQ56" s="185"/>
      <c r="AR56" s="182"/>
      <c r="AS56" s="625"/>
      <c r="AT56" s="188"/>
      <c r="AU56" s="188"/>
      <c r="AV56" s="185"/>
      <c r="AW56" s="182"/>
      <c r="AX56" s="625"/>
    </row>
    <row r="57" spans="2:50" ht="14.25" customHeight="1">
      <c r="B57" s="564"/>
      <c r="C57" s="180">
        <v>11</v>
      </c>
      <c r="D57" s="183"/>
      <c r="E57" s="180"/>
      <c r="F57" s="180"/>
      <c r="G57" s="185"/>
      <c r="H57" s="625"/>
      <c r="I57" s="186"/>
      <c r="J57" s="186"/>
      <c r="K57" s="187"/>
      <c r="L57" s="626"/>
      <c r="M57" s="186"/>
      <c r="N57" s="564"/>
      <c r="O57" s="564"/>
      <c r="P57" s="188"/>
      <c r="Q57" s="188"/>
      <c r="R57" s="185"/>
      <c r="S57" s="182"/>
      <c r="T57" s="625"/>
      <c r="U57" s="188"/>
      <c r="V57" s="188"/>
      <c r="W57" s="185"/>
      <c r="X57" s="182"/>
      <c r="Y57" s="625"/>
      <c r="Z57" s="188"/>
      <c r="AA57" s="188"/>
      <c r="AB57" s="185"/>
      <c r="AC57" s="182"/>
      <c r="AD57" s="625"/>
      <c r="AE57" s="188"/>
      <c r="AF57" s="188"/>
      <c r="AG57" s="185"/>
      <c r="AH57" s="182"/>
      <c r="AI57" s="625"/>
      <c r="AJ57" s="188"/>
      <c r="AK57" s="188"/>
      <c r="AL57" s="185"/>
      <c r="AM57" s="182"/>
      <c r="AN57" s="625"/>
      <c r="AO57" s="188"/>
      <c r="AP57" s="188"/>
      <c r="AQ57" s="185"/>
      <c r="AR57" s="182"/>
      <c r="AS57" s="625"/>
      <c r="AT57" s="188"/>
      <c r="AU57" s="188"/>
      <c r="AV57" s="185"/>
      <c r="AW57" s="182"/>
      <c r="AX57" s="625"/>
    </row>
    <row r="58" spans="2:50" ht="14.25" customHeight="1">
      <c r="B58" s="564"/>
      <c r="C58" s="180">
        <v>12</v>
      </c>
      <c r="D58" s="183"/>
      <c r="E58" s="180"/>
      <c r="F58" s="180"/>
      <c r="G58" s="185"/>
      <c r="H58" s="625"/>
      <c r="I58" s="186"/>
      <c r="J58" s="186"/>
      <c r="K58" s="187"/>
      <c r="L58" s="626"/>
      <c r="M58" s="186"/>
      <c r="N58" s="564"/>
      <c r="O58" s="564"/>
      <c r="P58" s="188"/>
      <c r="Q58" s="188"/>
      <c r="R58" s="185"/>
      <c r="S58" s="182"/>
      <c r="T58" s="625"/>
      <c r="U58" s="188"/>
      <c r="V58" s="188"/>
      <c r="W58" s="185"/>
      <c r="X58" s="182"/>
      <c r="Y58" s="625"/>
      <c r="Z58" s="188"/>
      <c r="AA58" s="188"/>
      <c r="AB58" s="185"/>
      <c r="AC58" s="182"/>
      <c r="AD58" s="625"/>
      <c r="AE58" s="188"/>
      <c r="AF58" s="188"/>
      <c r="AG58" s="185"/>
      <c r="AH58" s="182"/>
      <c r="AI58" s="625"/>
      <c r="AJ58" s="188"/>
      <c r="AK58" s="188"/>
      <c r="AL58" s="185"/>
      <c r="AM58" s="182"/>
      <c r="AN58" s="625"/>
      <c r="AO58" s="188"/>
      <c r="AP58" s="188"/>
      <c r="AQ58" s="185"/>
      <c r="AR58" s="182"/>
      <c r="AS58" s="625"/>
      <c r="AT58" s="188"/>
      <c r="AU58" s="188"/>
      <c r="AV58" s="185"/>
      <c r="AW58" s="182"/>
      <c r="AX58" s="625"/>
    </row>
    <row r="59" spans="2:50" ht="14.25" customHeight="1">
      <c r="B59" s="564"/>
      <c r="C59" s="180">
        <v>13</v>
      </c>
      <c r="D59" s="183"/>
      <c r="E59" s="180"/>
      <c r="F59" s="180"/>
      <c r="G59" s="185"/>
      <c r="H59" s="625"/>
      <c r="I59" s="186"/>
      <c r="J59" s="186"/>
      <c r="K59" s="187"/>
      <c r="L59" s="626"/>
      <c r="M59" s="186"/>
      <c r="N59" s="564"/>
      <c r="O59" s="564"/>
      <c r="P59" s="188"/>
      <c r="Q59" s="188"/>
      <c r="R59" s="185"/>
      <c r="S59" s="182"/>
      <c r="T59" s="625"/>
      <c r="U59" s="188"/>
      <c r="V59" s="188"/>
      <c r="W59" s="185"/>
      <c r="X59" s="182"/>
      <c r="Y59" s="625"/>
      <c r="Z59" s="188"/>
      <c r="AA59" s="188"/>
      <c r="AB59" s="185"/>
      <c r="AC59" s="182"/>
      <c r="AD59" s="625"/>
      <c r="AE59" s="188"/>
      <c r="AF59" s="188"/>
      <c r="AG59" s="185"/>
      <c r="AH59" s="182"/>
      <c r="AI59" s="625"/>
      <c r="AJ59" s="188"/>
      <c r="AK59" s="188"/>
      <c r="AL59" s="185"/>
      <c r="AM59" s="182"/>
      <c r="AN59" s="625"/>
      <c r="AO59" s="188"/>
      <c r="AP59" s="188"/>
      <c r="AQ59" s="185"/>
      <c r="AR59" s="182"/>
      <c r="AS59" s="625"/>
      <c r="AT59" s="188"/>
      <c r="AU59" s="188"/>
      <c r="AV59" s="185"/>
      <c r="AW59" s="182"/>
      <c r="AX59" s="625"/>
    </row>
    <row r="60" spans="2:50" ht="14.25" customHeight="1">
      <c r="B60" s="564"/>
      <c r="C60" s="180">
        <v>14</v>
      </c>
      <c r="D60" s="183"/>
      <c r="E60" s="180"/>
      <c r="F60" s="180"/>
      <c r="G60" s="185"/>
      <c r="H60" s="625"/>
      <c r="I60" s="186"/>
      <c r="J60" s="186"/>
      <c r="K60" s="187"/>
      <c r="L60" s="626"/>
      <c r="M60" s="186"/>
      <c r="N60" s="564"/>
      <c r="O60" s="564"/>
      <c r="P60" s="188"/>
      <c r="Q60" s="188"/>
      <c r="R60" s="185"/>
      <c r="S60" s="182"/>
      <c r="T60" s="625"/>
      <c r="U60" s="188"/>
      <c r="V60" s="188"/>
      <c r="W60" s="185"/>
      <c r="X60" s="182"/>
      <c r="Y60" s="625"/>
      <c r="Z60" s="188"/>
      <c r="AA60" s="188"/>
      <c r="AB60" s="185"/>
      <c r="AC60" s="182"/>
      <c r="AD60" s="625"/>
      <c r="AE60" s="188"/>
      <c r="AF60" s="188"/>
      <c r="AG60" s="185"/>
      <c r="AH60" s="182"/>
      <c r="AI60" s="625"/>
      <c r="AJ60" s="188"/>
      <c r="AK60" s="188"/>
      <c r="AL60" s="185"/>
      <c r="AM60" s="182"/>
      <c r="AN60" s="625"/>
      <c r="AO60" s="188"/>
      <c r="AP60" s="188"/>
      <c r="AQ60" s="185"/>
      <c r="AR60" s="182"/>
      <c r="AS60" s="625"/>
      <c r="AT60" s="188"/>
      <c r="AU60" s="188"/>
      <c r="AV60" s="185"/>
      <c r="AW60" s="182"/>
      <c r="AX60" s="625"/>
    </row>
    <row r="61" spans="2:50" ht="14.25" customHeight="1">
      <c r="B61" s="564"/>
      <c r="C61" s="180">
        <v>15</v>
      </c>
      <c r="D61" s="183"/>
      <c r="E61" s="180"/>
      <c r="F61" s="180"/>
      <c r="G61" s="185"/>
      <c r="H61" s="625"/>
      <c r="I61" s="186"/>
      <c r="J61" s="186"/>
      <c r="K61" s="187"/>
      <c r="L61" s="626"/>
      <c r="M61" s="186"/>
      <c r="N61" s="564"/>
      <c r="O61" s="564"/>
      <c r="P61" s="188"/>
      <c r="Q61" s="188"/>
      <c r="R61" s="185"/>
      <c r="S61" s="182"/>
      <c r="T61" s="625"/>
      <c r="U61" s="188"/>
      <c r="V61" s="188"/>
      <c r="W61" s="185"/>
      <c r="X61" s="182"/>
      <c r="Y61" s="625"/>
      <c r="Z61" s="188"/>
      <c r="AA61" s="188"/>
      <c r="AB61" s="185"/>
      <c r="AC61" s="182"/>
      <c r="AD61" s="625"/>
      <c r="AE61" s="188"/>
      <c r="AF61" s="188"/>
      <c r="AG61" s="185"/>
      <c r="AH61" s="182"/>
      <c r="AI61" s="625"/>
      <c r="AJ61" s="188"/>
      <c r="AK61" s="188"/>
      <c r="AL61" s="185"/>
      <c r="AM61" s="182"/>
      <c r="AN61" s="625"/>
      <c r="AO61" s="188"/>
      <c r="AP61" s="188"/>
      <c r="AQ61" s="185"/>
      <c r="AR61" s="182"/>
      <c r="AS61" s="625"/>
      <c r="AT61" s="188"/>
      <c r="AU61" s="188"/>
      <c r="AV61" s="185"/>
      <c r="AW61" s="182"/>
      <c r="AX61" s="625"/>
    </row>
    <row r="62" spans="2:50" ht="14.25" customHeight="1" collapsed="1">
      <c r="B62" s="641" t="s">
        <v>644</v>
      </c>
      <c r="C62" s="642"/>
      <c r="D62" s="642"/>
      <c r="E62" s="642"/>
      <c r="F62" s="642"/>
      <c r="G62" s="642"/>
      <c r="H62" s="642"/>
      <c r="I62" s="642"/>
      <c r="J62" s="642"/>
      <c r="K62" s="642"/>
      <c r="L62" s="642"/>
      <c r="M62" s="643"/>
      <c r="N62" s="575" t="s">
        <v>377</v>
      </c>
      <c r="O62" s="575" t="s">
        <v>105</v>
      </c>
      <c r="P62" s="655">
        <f>AT42+1</f>
        <v>46098</v>
      </c>
      <c r="Q62" s="656"/>
      <c r="R62" s="656"/>
      <c r="S62" s="656"/>
      <c r="T62" s="656"/>
      <c r="U62" s="657">
        <f>P62+1</f>
        <v>46099</v>
      </c>
      <c r="V62" s="658"/>
      <c r="W62" s="658"/>
      <c r="X62" s="658"/>
      <c r="Y62" s="658"/>
      <c r="Z62" s="655">
        <f t="shared" ref="Z62" si="40">U62+1</f>
        <v>46100</v>
      </c>
      <c r="AA62" s="656"/>
      <c r="AB62" s="656"/>
      <c r="AC62" s="656"/>
      <c r="AD62" s="656"/>
      <c r="AE62" s="657">
        <f t="shared" ref="AE62" si="41">Z62+1</f>
        <v>46101</v>
      </c>
      <c r="AF62" s="658"/>
      <c r="AG62" s="658"/>
      <c r="AH62" s="658"/>
      <c r="AI62" s="658"/>
      <c r="AJ62" s="647">
        <f t="shared" ref="AJ62" si="42">AE62+1</f>
        <v>46102</v>
      </c>
      <c r="AK62" s="648"/>
      <c r="AL62" s="648"/>
      <c r="AM62" s="648"/>
      <c r="AN62" s="649"/>
      <c r="AO62" s="657">
        <f t="shared" ref="AO62" si="43">AJ62+1</f>
        <v>46103</v>
      </c>
      <c r="AP62" s="658"/>
      <c r="AQ62" s="658"/>
      <c r="AR62" s="658"/>
      <c r="AS62" s="658"/>
      <c r="AT62" s="647">
        <f t="shared" ref="AT62" si="44">AO62+1</f>
        <v>46104</v>
      </c>
      <c r="AU62" s="648"/>
      <c r="AV62" s="648"/>
      <c r="AW62" s="648"/>
      <c r="AX62" s="649"/>
    </row>
    <row r="63" spans="2:50" ht="14.25" customHeight="1">
      <c r="B63" s="644"/>
      <c r="C63" s="644"/>
      <c r="D63" s="644"/>
      <c r="E63" s="644"/>
      <c r="F63" s="644"/>
      <c r="G63" s="644"/>
      <c r="H63" s="644"/>
      <c r="I63" s="644"/>
      <c r="J63" s="644"/>
      <c r="K63" s="644"/>
      <c r="L63" s="644"/>
      <c r="M63" s="645"/>
      <c r="N63" s="577"/>
      <c r="O63" s="577"/>
      <c r="P63" s="650">
        <f>P62</f>
        <v>46098</v>
      </c>
      <c r="Q63" s="650"/>
      <c r="R63" s="650"/>
      <c r="S63" s="650"/>
      <c r="T63" s="650"/>
      <c r="U63" s="651">
        <f>U62</f>
        <v>46099</v>
      </c>
      <c r="V63" s="651"/>
      <c r="W63" s="651"/>
      <c r="X63" s="651"/>
      <c r="Y63" s="651"/>
      <c r="Z63" s="650">
        <f t="shared" ref="Z63" si="45">Z62</f>
        <v>46100</v>
      </c>
      <c r="AA63" s="650"/>
      <c r="AB63" s="650"/>
      <c r="AC63" s="650"/>
      <c r="AD63" s="650"/>
      <c r="AE63" s="651">
        <f t="shared" ref="AE63" si="46">AE62</f>
        <v>46101</v>
      </c>
      <c r="AF63" s="651"/>
      <c r="AG63" s="651"/>
      <c r="AH63" s="651"/>
      <c r="AI63" s="651"/>
      <c r="AJ63" s="652">
        <f t="shared" ref="AJ63" si="47">AJ62</f>
        <v>46102</v>
      </c>
      <c r="AK63" s="653"/>
      <c r="AL63" s="653"/>
      <c r="AM63" s="653"/>
      <c r="AN63" s="654"/>
      <c r="AO63" s="651">
        <f t="shared" ref="AO63" si="48">AO62</f>
        <v>46103</v>
      </c>
      <c r="AP63" s="651"/>
      <c r="AQ63" s="651"/>
      <c r="AR63" s="651"/>
      <c r="AS63" s="651"/>
      <c r="AT63" s="652">
        <f t="shared" ref="AT63" si="49">AT62</f>
        <v>46104</v>
      </c>
      <c r="AU63" s="653"/>
      <c r="AV63" s="653"/>
      <c r="AW63" s="653"/>
      <c r="AX63" s="654"/>
    </row>
    <row r="64" spans="2:50" ht="14.25" customHeight="1">
      <c r="B64" s="564" t="s">
        <v>164</v>
      </c>
      <c r="C64" s="564" t="s">
        <v>159</v>
      </c>
      <c r="D64" s="564"/>
      <c r="E64" s="564" t="s">
        <v>160</v>
      </c>
      <c r="F64" s="564"/>
      <c r="G64" s="564"/>
      <c r="H64" s="564" t="s">
        <v>165</v>
      </c>
      <c r="I64" s="628" t="s">
        <v>378</v>
      </c>
      <c r="J64" s="628"/>
      <c r="K64" s="628"/>
      <c r="L64" s="628" t="s">
        <v>165</v>
      </c>
      <c r="M64" s="628" t="s">
        <v>167</v>
      </c>
      <c r="N64" s="564"/>
      <c r="O64" s="564" t="s">
        <v>166</v>
      </c>
      <c r="P64" s="564" t="s">
        <v>162</v>
      </c>
      <c r="Q64" s="564"/>
      <c r="R64" s="564"/>
      <c r="S64" s="564"/>
      <c r="T64" s="564" t="s">
        <v>165</v>
      </c>
      <c r="U64" s="564" t="s">
        <v>162</v>
      </c>
      <c r="V64" s="564"/>
      <c r="W64" s="564"/>
      <c r="X64" s="564"/>
      <c r="Y64" s="564" t="s">
        <v>165</v>
      </c>
      <c r="Z64" s="564" t="s">
        <v>162</v>
      </c>
      <c r="AA64" s="564"/>
      <c r="AB64" s="564"/>
      <c r="AC64" s="564"/>
      <c r="AD64" s="564" t="s">
        <v>165</v>
      </c>
      <c r="AE64" s="564" t="s">
        <v>162</v>
      </c>
      <c r="AF64" s="564"/>
      <c r="AG64" s="564"/>
      <c r="AH64" s="564"/>
      <c r="AI64" s="564" t="s">
        <v>165</v>
      </c>
      <c r="AJ64" s="564" t="s">
        <v>162</v>
      </c>
      <c r="AK64" s="564"/>
      <c r="AL64" s="564"/>
      <c r="AM64" s="564"/>
      <c r="AN64" s="564" t="s">
        <v>165</v>
      </c>
      <c r="AO64" s="564" t="s">
        <v>162</v>
      </c>
      <c r="AP64" s="564"/>
      <c r="AQ64" s="564"/>
      <c r="AR64" s="564"/>
      <c r="AS64" s="564" t="s">
        <v>165</v>
      </c>
      <c r="AT64" s="564" t="s">
        <v>162</v>
      </c>
      <c r="AU64" s="564"/>
      <c r="AV64" s="564"/>
      <c r="AW64" s="564"/>
      <c r="AX64" s="564" t="s">
        <v>165</v>
      </c>
    </row>
    <row r="65" spans="2:50" ht="14.25" customHeight="1">
      <c r="B65" s="564"/>
      <c r="C65" s="564"/>
      <c r="D65" s="564"/>
      <c r="E65" s="564" t="s">
        <v>379</v>
      </c>
      <c r="F65" s="564"/>
      <c r="G65" s="564"/>
      <c r="H65" s="564"/>
      <c r="I65" s="628" t="s">
        <v>379</v>
      </c>
      <c r="J65" s="628"/>
      <c r="K65" s="628"/>
      <c r="L65" s="628"/>
      <c r="M65" s="628"/>
      <c r="N65" s="564"/>
      <c r="O65" s="564"/>
      <c r="P65" s="564" t="s">
        <v>380</v>
      </c>
      <c r="Q65" s="564"/>
      <c r="R65" s="564"/>
      <c r="S65" s="564"/>
      <c r="T65" s="564"/>
      <c r="U65" s="564" t="s">
        <v>380</v>
      </c>
      <c r="V65" s="564"/>
      <c r="W65" s="564"/>
      <c r="X65" s="564"/>
      <c r="Y65" s="564"/>
      <c r="Z65" s="564" t="s">
        <v>380</v>
      </c>
      <c r="AA65" s="564"/>
      <c r="AB65" s="564"/>
      <c r="AC65" s="564"/>
      <c r="AD65" s="564"/>
      <c r="AE65" s="564" t="s">
        <v>380</v>
      </c>
      <c r="AF65" s="564"/>
      <c r="AG65" s="564"/>
      <c r="AH65" s="564"/>
      <c r="AI65" s="564"/>
      <c r="AJ65" s="564" t="s">
        <v>380</v>
      </c>
      <c r="AK65" s="564"/>
      <c r="AL65" s="564"/>
      <c r="AM65" s="564"/>
      <c r="AN65" s="564"/>
      <c r="AO65" s="564" t="s">
        <v>380</v>
      </c>
      <c r="AP65" s="564"/>
      <c r="AQ65" s="564"/>
      <c r="AR65" s="564"/>
      <c r="AS65" s="564"/>
      <c r="AT65" s="564" t="s">
        <v>380</v>
      </c>
      <c r="AU65" s="564"/>
      <c r="AV65" s="564"/>
      <c r="AW65" s="564"/>
      <c r="AX65" s="564"/>
    </row>
    <row r="66" spans="2:50" ht="14.25" customHeight="1">
      <c r="B66" s="564"/>
      <c r="C66" s="564"/>
      <c r="D66" s="564"/>
      <c r="E66" s="180" t="s">
        <v>161</v>
      </c>
      <c r="F66" s="180" t="s">
        <v>381</v>
      </c>
      <c r="G66" s="180" t="s">
        <v>163</v>
      </c>
      <c r="H66" s="564"/>
      <c r="I66" s="181" t="s">
        <v>161</v>
      </c>
      <c r="J66" s="181" t="s">
        <v>381</v>
      </c>
      <c r="K66" s="181" t="s">
        <v>163</v>
      </c>
      <c r="L66" s="628"/>
      <c r="M66" s="628"/>
      <c r="N66" s="564"/>
      <c r="O66" s="564"/>
      <c r="P66" s="180" t="s">
        <v>161</v>
      </c>
      <c r="Q66" s="180" t="s">
        <v>381</v>
      </c>
      <c r="R66" s="180" t="s">
        <v>163</v>
      </c>
      <c r="S66" s="182" t="s">
        <v>167</v>
      </c>
      <c r="T66" s="564"/>
      <c r="U66" s="180" t="s">
        <v>161</v>
      </c>
      <c r="V66" s="180" t="s">
        <v>381</v>
      </c>
      <c r="W66" s="180" t="s">
        <v>163</v>
      </c>
      <c r="X66" s="182" t="s">
        <v>167</v>
      </c>
      <c r="Y66" s="564"/>
      <c r="Z66" s="180" t="s">
        <v>161</v>
      </c>
      <c r="AA66" s="180" t="s">
        <v>381</v>
      </c>
      <c r="AB66" s="180" t="s">
        <v>163</v>
      </c>
      <c r="AC66" s="182" t="s">
        <v>167</v>
      </c>
      <c r="AD66" s="564"/>
      <c r="AE66" s="180" t="s">
        <v>161</v>
      </c>
      <c r="AF66" s="180" t="s">
        <v>381</v>
      </c>
      <c r="AG66" s="180" t="s">
        <v>163</v>
      </c>
      <c r="AH66" s="182" t="s">
        <v>167</v>
      </c>
      <c r="AI66" s="564"/>
      <c r="AJ66" s="180" t="s">
        <v>161</v>
      </c>
      <c r="AK66" s="180" t="s">
        <v>381</v>
      </c>
      <c r="AL66" s="180" t="s">
        <v>163</v>
      </c>
      <c r="AM66" s="182" t="s">
        <v>167</v>
      </c>
      <c r="AN66" s="564"/>
      <c r="AO66" s="180" t="s">
        <v>161</v>
      </c>
      <c r="AP66" s="180" t="s">
        <v>381</v>
      </c>
      <c r="AQ66" s="180" t="s">
        <v>163</v>
      </c>
      <c r="AR66" s="182" t="s">
        <v>167</v>
      </c>
      <c r="AS66" s="564"/>
      <c r="AT66" s="180" t="s">
        <v>161</v>
      </c>
      <c r="AU66" s="180" t="s">
        <v>381</v>
      </c>
      <c r="AV66" s="180" t="s">
        <v>163</v>
      </c>
      <c r="AW66" s="182" t="s">
        <v>167</v>
      </c>
      <c r="AX66" s="564"/>
    </row>
    <row r="67" spans="2:50" ht="14.25" customHeight="1">
      <c r="B67" s="564" t="s">
        <v>385</v>
      </c>
      <c r="C67" s="180">
        <v>1</v>
      </c>
      <c r="D67" s="183"/>
      <c r="E67" s="180"/>
      <c r="F67" s="180"/>
      <c r="G67" s="185"/>
      <c r="H67" s="625"/>
      <c r="I67" s="186"/>
      <c r="J67" s="186"/>
      <c r="K67" s="187"/>
      <c r="L67" s="626" t="str">
        <f>IFERROR(AVERAGE(K67:K81),"-")</f>
        <v>-</v>
      </c>
      <c r="M67" s="186" t="e">
        <f>RANK(K67, K$67:$K$81)</f>
        <v>#N/A</v>
      </c>
      <c r="N67" s="564"/>
      <c r="O67" s="564"/>
      <c r="P67" s="188"/>
      <c r="Q67" s="188"/>
      <c r="R67" s="185"/>
      <c r="S67" s="182"/>
      <c r="T67" s="625"/>
      <c r="U67" s="188"/>
      <c r="V67" s="188"/>
      <c r="W67" s="185"/>
      <c r="X67" s="182"/>
      <c r="Y67" s="625"/>
      <c r="Z67" s="188"/>
      <c r="AA67" s="188"/>
      <c r="AB67" s="185"/>
      <c r="AC67" s="182"/>
      <c r="AD67" s="625"/>
      <c r="AE67" s="188"/>
      <c r="AF67" s="188"/>
      <c r="AG67" s="185"/>
      <c r="AH67" s="182"/>
      <c r="AI67" s="625"/>
      <c r="AJ67" s="188"/>
      <c r="AK67" s="188"/>
      <c r="AL67" s="185"/>
      <c r="AM67" s="182"/>
      <c r="AN67" s="625"/>
      <c r="AO67" s="188"/>
      <c r="AP67" s="188"/>
      <c r="AQ67" s="185"/>
      <c r="AR67" s="182"/>
      <c r="AS67" s="578"/>
      <c r="AT67" s="188"/>
      <c r="AU67" s="188"/>
      <c r="AV67" s="185"/>
      <c r="AW67" s="182"/>
      <c r="AX67" s="625"/>
    </row>
    <row r="68" spans="2:50" ht="14.25" customHeight="1">
      <c r="B68" s="564"/>
      <c r="C68" s="180">
        <v>2</v>
      </c>
      <c r="D68" s="183"/>
      <c r="E68" s="180"/>
      <c r="F68" s="180"/>
      <c r="G68" s="185"/>
      <c r="H68" s="625"/>
      <c r="I68" s="186"/>
      <c r="J68" s="186"/>
      <c r="K68" s="187"/>
      <c r="L68" s="626"/>
      <c r="M68" s="186"/>
      <c r="N68" s="564"/>
      <c r="O68" s="564"/>
      <c r="P68" s="188"/>
      <c r="Q68" s="188"/>
      <c r="R68" s="185"/>
      <c r="S68" s="182"/>
      <c r="T68" s="625"/>
      <c r="U68" s="188"/>
      <c r="V68" s="188"/>
      <c r="W68" s="185"/>
      <c r="X68" s="182"/>
      <c r="Y68" s="625"/>
      <c r="Z68" s="188"/>
      <c r="AA68" s="188"/>
      <c r="AB68" s="185"/>
      <c r="AC68" s="182"/>
      <c r="AD68" s="625"/>
      <c r="AE68" s="188"/>
      <c r="AF68" s="188"/>
      <c r="AG68" s="185"/>
      <c r="AH68" s="182"/>
      <c r="AI68" s="625"/>
      <c r="AJ68" s="188"/>
      <c r="AK68" s="188"/>
      <c r="AL68" s="185"/>
      <c r="AM68" s="182"/>
      <c r="AN68" s="625"/>
      <c r="AO68" s="188"/>
      <c r="AP68" s="188"/>
      <c r="AQ68" s="185"/>
      <c r="AR68" s="182"/>
      <c r="AS68" s="579"/>
      <c r="AT68" s="188"/>
      <c r="AU68" s="188"/>
      <c r="AV68" s="185"/>
      <c r="AW68" s="182"/>
      <c r="AX68" s="625"/>
    </row>
    <row r="69" spans="2:50" ht="14.25" customHeight="1">
      <c r="B69" s="564"/>
      <c r="C69" s="180">
        <v>3</v>
      </c>
      <c r="D69" s="183"/>
      <c r="E69" s="180"/>
      <c r="F69" s="180"/>
      <c r="G69" s="185"/>
      <c r="H69" s="625"/>
      <c r="I69" s="186"/>
      <c r="J69" s="186"/>
      <c r="K69" s="187"/>
      <c r="L69" s="626"/>
      <c r="M69" s="186"/>
      <c r="N69" s="564"/>
      <c r="O69" s="564"/>
      <c r="P69" s="188"/>
      <c r="Q69" s="188"/>
      <c r="R69" s="185"/>
      <c r="S69" s="182"/>
      <c r="T69" s="625"/>
      <c r="U69" s="188"/>
      <c r="V69" s="188"/>
      <c r="W69" s="185"/>
      <c r="X69" s="182"/>
      <c r="Y69" s="625"/>
      <c r="Z69" s="188"/>
      <c r="AA69" s="188"/>
      <c r="AB69" s="185"/>
      <c r="AC69" s="182"/>
      <c r="AD69" s="625"/>
      <c r="AE69" s="188"/>
      <c r="AF69" s="188"/>
      <c r="AG69" s="185"/>
      <c r="AH69" s="182"/>
      <c r="AI69" s="625"/>
      <c r="AJ69" s="188"/>
      <c r="AK69" s="188"/>
      <c r="AL69" s="185"/>
      <c r="AM69" s="182"/>
      <c r="AN69" s="625"/>
      <c r="AO69" s="188"/>
      <c r="AP69" s="188"/>
      <c r="AQ69" s="185"/>
      <c r="AR69" s="182"/>
      <c r="AS69" s="579"/>
      <c r="AT69" s="188"/>
      <c r="AU69" s="188"/>
      <c r="AV69" s="185"/>
      <c r="AW69" s="182"/>
      <c r="AX69" s="625"/>
    </row>
    <row r="70" spans="2:50" ht="14.25" customHeight="1">
      <c r="B70" s="564"/>
      <c r="C70" s="180">
        <v>4</v>
      </c>
      <c r="D70" s="183"/>
      <c r="E70" s="180"/>
      <c r="F70" s="180"/>
      <c r="G70" s="185"/>
      <c r="H70" s="625"/>
      <c r="I70" s="186"/>
      <c r="J70" s="186"/>
      <c r="K70" s="187"/>
      <c r="L70" s="626"/>
      <c r="M70" s="186"/>
      <c r="N70" s="564"/>
      <c r="O70" s="564"/>
      <c r="P70" s="188"/>
      <c r="Q70" s="188"/>
      <c r="R70" s="185"/>
      <c r="S70" s="182"/>
      <c r="T70" s="625"/>
      <c r="U70" s="188"/>
      <c r="V70" s="188"/>
      <c r="W70" s="185"/>
      <c r="X70" s="182"/>
      <c r="Y70" s="625"/>
      <c r="Z70" s="188"/>
      <c r="AA70" s="188"/>
      <c r="AB70" s="185"/>
      <c r="AC70" s="182"/>
      <c r="AD70" s="625"/>
      <c r="AE70" s="188"/>
      <c r="AF70" s="188"/>
      <c r="AG70" s="185"/>
      <c r="AH70" s="182"/>
      <c r="AI70" s="625"/>
      <c r="AJ70" s="188"/>
      <c r="AK70" s="188"/>
      <c r="AL70" s="185"/>
      <c r="AM70" s="182"/>
      <c r="AN70" s="625"/>
      <c r="AO70" s="188"/>
      <c r="AP70" s="188"/>
      <c r="AQ70" s="185"/>
      <c r="AR70" s="182"/>
      <c r="AS70" s="579"/>
      <c r="AT70" s="188"/>
      <c r="AU70" s="188"/>
      <c r="AV70" s="185"/>
      <c r="AW70" s="182"/>
      <c r="AX70" s="625"/>
    </row>
    <row r="71" spans="2:50" ht="14.25" customHeight="1">
      <c r="B71" s="564"/>
      <c r="C71" s="180">
        <v>5</v>
      </c>
      <c r="D71" s="183"/>
      <c r="E71" s="180"/>
      <c r="F71" s="180"/>
      <c r="G71" s="185"/>
      <c r="H71" s="625"/>
      <c r="I71" s="186"/>
      <c r="J71" s="186"/>
      <c r="K71" s="187"/>
      <c r="L71" s="626"/>
      <c r="M71" s="186"/>
      <c r="N71" s="564"/>
      <c r="O71" s="564"/>
      <c r="P71" s="188"/>
      <c r="Q71" s="188"/>
      <c r="R71" s="185"/>
      <c r="S71" s="182"/>
      <c r="T71" s="625"/>
      <c r="U71" s="188"/>
      <c r="V71" s="188"/>
      <c r="W71" s="185"/>
      <c r="X71" s="182"/>
      <c r="Y71" s="625"/>
      <c r="Z71" s="188"/>
      <c r="AA71" s="188"/>
      <c r="AB71" s="185"/>
      <c r="AC71" s="182"/>
      <c r="AD71" s="625"/>
      <c r="AE71" s="188"/>
      <c r="AF71" s="188"/>
      <c r="AG71" s="185"/>
      <c r="AH71" s="182"/>
      <c r="AI71" s="625"/>
      <c r="AJ71" s="188"/>
      <c r="AK71" s="188"/>
      <c r="AL71" s="185"/>
      <c r="AM71" s="182"/>
      <c r="AN71" s="625"/>
      <c r="AO71" s="188"/>
      <c r="AP71" s="188"/>
      <c r="AQ71" s="185"/>
      <c r="AR71" s="182"/>
      <c r="AS71" s="579"/>
      <c r="AT71" s="188"/>
      <c r="AU71" s="188"/>
      <c r="AV71" s="185"/>
      <c r="AW71" s="182"/>
      <c r="AX71" s="625"/>
    </row>
    <row r="72" spans="2:50" ht="14.25" customHeight="1">
      <c r="B72" s="564"/>
      <c r="C72" s="180">
        <v>6</v>
      </c>
      <c r="D72" s="183"/>
      <c r="E72" s="180"/>
      <c r="F72" s="180"/>
      <c r="G72" s="185"/>
      <c r="H72" s="625"/>
      <c r="I72" s="186"/>
      <c r="J72" s="186"/>
      <c r="K72" s="187"/>
      <c r="L72" s="626"/>
      <c r="M72" s="186"/>
      <c r="N72" s="564"/>
      <c r="O72" s="564"/>
      <c r="P72" s="188"/>
      <c r="Q72" s="188"/>
      <c r="R72" s="185"/>
      <c r="S72" s="182"/>
      <c r="T72" s="625"/>
      <c r="U72" s="188"/>
      <c r="V72" s="188"/>
      <c r="W72" s="185"/>
      <c r="X72" s="182"/>
      <c r="Y72" s="625"/>
      <c r="Z72" s="188"/>
      <c r="AA72" s="188"/>
      <c r="AB72" s="185"/>
      <c r="AC72" s="182"/>
      <c r="AD72" s="625"/>
      <c r="AE72" s="188"/>
      <c r="AF72" s="188"/>
      <c r="AG72" s="185"/>
      <c r="AH72" s="182"/>
      <c r="AI72" s="625"/>
      <c r="AJ72" s="188"/>
      <c r="AK72" s="188"/>
      <c r="AL72" s="185"/>
      <c r="AM72" s="182"/>
      <c r="AN72" s="625"/>
      <c r="AO72" s="188"/>
      <c r="AP72" s="188"/>
      <c r="AQ72" s="185"/>
      <c r="AR72" s="182"/>
      <c r="AS72" s="579"/>
      <c r="AT72" s="188"/>
      <c r="AU72" s="188"/>
      <c r="AV72" s="185"/>
      <c r="AW72" s="182"/>
      <c r="AX72" s="625"/>
    </row>
    <row r="73" spans="2:50" ht="14.25" customHeight="1">
      <c r="B73" s="564"/>
      <c r="C73" s="180">
        <v>7</v>
      </c>
      <c r="D73" s="183"/>
      <c r="E73" s="180"/>
      <c r="F73" s="180"/>
      <c r="G73" s="185"/>
      <c r="H73" s="625"/>
      <c r="I73" s="186"/>
      <c r="J73" s="186"/>
      <c r="K73" s="187"/>
      <c r="L73" s="626"/>
      <c r="M73" s="186"/>
      <c r="N73" s="564"/>
      <c r="O73" s="564"/>
      <c r="P73" s="188"/>
      <c r="Q73" s="188"/>
      <c r="R73" s="185"/>
      <c r="S73" s="182"/>
      <c r="T73" s="625"/>
      <c r="U73" s="188"/>
      <c r="V73" s="188"/>
      <c r="W73" s="185"/>
      <c r="X73" s="182"/>
      <c r="Y73" s="625"/>
      <c r="Z73" s="188"/>
      <c r="AA73" s="188"/>
      <c r="AB73" s="185"/>
      <c r="AC73" s="182"/>
      <c r="AD73" s="625"/>
      <c r="AE73" s="188"/>
      <c r="AF73" s="188"/>
      <c r="AG73" s="185"/>
      <c r="AH73" s="182"/>
      <c r="AI73" s="625"/>
      <c r="AJ73" s="188"/>
      <c r="AK73" s="188"/>
      <c r="AL73" s="185"/>
      <c r="AM73" s="182"/>
      <c r="AN73" s="625"/>
      <c r="AO73" s="188"/>
      <c r="AP73" s="188"/>
      <c r="AQ73" s="185"/>
      <c r="AR73" s="182"/>
      <c r="AS73" s="579"/>
      <c r="AT73" s="188"/>
      <c r="AU73" s="188"/>
      <c r="AV73" s="185"/>
      <c r="AW73" s="182"/>
      <c r="AX73" s="625"/>
    </row>
    <row r="74" spans="2:50" ht="14.25" customHeight="1">
      <c r="B74" s="564"/>
      <c r="C74" s="180">
        <v>8</v>
      </c>
      <c r="D74" s="183"/>
      <c r="E74" s="180"/>
      <c r="F74" s="180"/>
      <c r="G74" s="185"/>
      <c r="H74" s="625"/>
      <c r="I74" s="186"/>
      <c r="J74" s="186"/>
      <c r="K74" s="187"/>
      <c r="L74" s="626"/>
      <c r="M74" s="186"/>
      <c r="N74" s="564"/>
      <c r="O74" s="564"/>
      <c r="P74" s="188"/>
      <c r="Q74" s="188"/>
      <c r="R74" s="185"/>
      <c r="S74" s="182"/>
      <c r="T74" s="625"/>
      <c r="U74" s="188"/>
      <c r="V74" s="188"/>
      <c r="W74" s="185"/>
      <c r="X74" s="182"/>
      <c r="Y74" s="625"/>
      <c r="Z74" s="188"/>
      <c r="AA74" s="188"/>
      <c r="AB74" s="185"/>
      <c r="AC74" s="182"/>
      <c r="AD74" s="625"/>
      <c r="AE74" s="188"/>
      <c r="AF74" s="188"/>
      <c r="AG74" s="185"/>
      <c r="AH74" s="182"/>
      <c r="AI74" s="625"/>
      <c r="AJ74" s="188"/>
      <c r="AK74" s="188"/>
      <c r="AL74" s="185"/>
      <c r="AM74" s="182"/>
      <c r="AN74" s="625"/>
      <c r="AO74" s="188"/>
      <c r="AP74" s="188"/>
      <c r="AQ74" s="185"/>
      <c r="AR74" s="182"/>
      <c r="AS74" s="579"/>
      <c r="AT74" s="188"/>
      <c r="AU74" s="188"/>
      <c r="AV74" s="185"/>
      <c r="AW74" s="182"/>
      <c r="AX74" s="625"/>
    </row>
    <row r="75" spans="2:50" ht="14.25" customHeight="1">
      <c r="B75" s="564"/>
      <c r="C75" s="180">
        <v>9</v>
      </c>
      <c r="D75" s="183"/>
      <c r="E75" s="180"/>
      <c r="F75" s="180"/>
      <c r="G75" s="185"/>
      <c r="H75" s="625"/>
      <c r="I75" s="186"/>
      <c r="J75" s="186"/>
      <c r="K75" s="187"/>
      <c r="L75" s="626"/>
      <c r="M75" s="186"/>
      <c r="N75" s="564"/>
      <c r="O75" s="564"/>
      <c r="P75" s="188"/>
      <c r="Q75" s="188"/>
      <c r="R75" s="185"/>
      <c r="S75" s="182"/>
      <c r="T75" s="625"/>
      <c r="U75" s="188"/>
      <c r="V75" s="188"/>
      <c r="W75" s="185"/>
      <c r="X75" s="182"/>
      <c r="Y75" s="625"/>
      <c r="Z75" s="188"/>
      <c r="AA75" s="188"/>
      <c r="AB75" s="185"/>
      <c r="AC75" s="182"/>
      <c r="AD75" s="625"/>
      <c r="AE75" s="188"/>
      <c r="AF75" s="188"/>
      <c r="AG75" s="185"/>
      <c r="AH75" s="182"/>
      <c r="AI75" s="625"/>
      <c r="AJ75" s="188"/>
      <c r="AK75" s="188"/>
      <c r="AL75" s="185"/>
      <c r="AM75" s="182"/>
      <c r="AN75" s="625"/>
      <c r="AO75" s="188"/>
      <c r="AP75" s="188"/>
      <c r="AQ75" s="185"/>
      <c r="AR75" s="182"/>
      <c r="AS75" s="579"/>
      <c r="AT75" s="188"/>
      <c r="AU75" s="188"/>
      <c r="AV75" s="185"/>
      <c r="AW75" s="182"/>
      <c r="AX75" s="625"/>
    </row>
    <row r="76" spans="2:50" ht="14.25" customHeight="1">
      <c r="B76" s="564"/>
      <c r="C76" s="180">
        <v>10</v>
      </c>
      <c r="D76" s="183"/>
      <c r="E76" s="180"/>
      <c r="F76" s="180"/>
      <c r="G76" s="185"/>
      <c r="H76" s="625"/>
      <c r="I76" s="186"/>
      <c r="J76" s="186"/>
      <c r="K76" s="187"/>
      <c r="L76" s="626"/>
      <c r="M76" s="186"/>
      <c r="N76" s="564"/>
      <c r="O76" s="564"/>
      <c r="P76" s="188"/>
      <c r="Q76" s="188"/>
      <c r="R76" s="185"/>
      <c r="S76" s="182"/>
      <c r="T76" s="625"/>
      <c r="U76" s="188"/>
      <c r="V76" s="188"/>
      <c r="W76" s="185"/>
      <c r="X76" s="182"/>
      <c r="Y76" s="625"/>
      <c r="Z76" s="188"/>
      <c r="AA76" s="188"/>
      <c r="AB76" s="185"/>
      <c r="AC76" s="182"/>
      <c r="AD76" s="625"/>
      <c r="AE76" s="188"/>
      <c r="AF76" s="188"/>
      <c r="AG76" s="185"/>
      <c r="AH76" s="182"/>
      <c r="AI76" s="625"/>
      <c r="AJ76" s="188"/>
      <c r="AK76" s="188"/>
      <c r="AL76" s="185"/>
      <c r="AM76" s="182"/>
      <c r="AN76" s="625"/>
      <c r="AO76" s="188"/>
      <c r="AP76" s="188"/>
      <c r="AQ76" s="185"/>
      <c r="AR76" s="182"/>
      <c r="AS76" s="579"/>
      <c r="AT76" s="188"/>
      <c r="AU76" s="188"/>
      <c r="AV76" s="185"/>
      <c r="AW76" s="182"/>
      <c r="AX76" s="625"/>
    </row>
    <row r="77" spans="2:50" ht="14.25" customHeight="1">
      <c r="B77" s="564"/>
      <c r="C77" s="180">
        <v>11</v>
      </c>
      <c r="D77" s="183"/>
      <c r="E77" s="180"/>
      <c r="F77" s="180"/>
      <c r="G77" s="185"/>
      <c r="H77" s="625"/>
      <c r="I77" s="186"/>
      <c r="J77" s="186"/>
      <c r="K77" s="187"/>
      <c r="L77" s="626"/>
      <c r="M77" s="186"/>
      <c r="N77" s="564"/>
      <c r="O77" s="564"/>
      <c r="P77" s="188"/>
      <c r="Q77" s="188"/>
      <c r="R77" s="185"/>
      <c r="S77" s="182"/>
      <c r="T77" s="625"/>
      <c r="U77" s="188"/>
      <c r="V77" s="188"/>
      <c r="W77" s="185"/>
      <c r="X77" s="182"/>
      <c r="Y77" s="625"/>
      <c r="Z77" s="188"/>
      <c r="AA77" s="188"/>
      <c r="AB77" s="185"/>
      <c r="AC77" s="182"/>
      <c r="AD77" s="625"/>
      <c r="AE77" s="188"/>
      <c r="AF77" s="188"/>
      <c r="AG77" s="185"/>
      <c r="AH77" s="182"/>
      <c r="AI77" s="625"/>
      <c r="AJ77" s="188"/>
      <c r="AK77" s="188"/>
      <c r="AL77" s="185"/>
      <c r="AM77" s="182"/>
      <c r="AN77" s="625"/>
      <c r="AO77" s="188"/>
      <c r="AP77" s="188"/>
      <c r="AQ77" s="185"/>
      <c r="AR77" s="182"/>
      <c r="AS77" s="579"/>
      <c r="AT77" s="188"/>
      <c r="AU77" s="188"/>
      <c r="AV77" s="185"/>
      <c r="AW77" s="182"/>
      <c r="AX77" s="625"/>
    </row>
    <row r="78" spans="2:50" ht="14.25" customHeight="1">
      <c r="B78" s="564"/>
      <c r="C78" s="180">
        <v>12</v>
      </c>
      <c r="D78" s="183"/>
      <c r="E78" s="180"/>
      <c r="F78" s="180"/>
      <c r="G78" s="185"/>
      <c r="H78" s="625"/>
      <c r="I78" s="186"/>
      <c r="J78" s="186"/>
      <c r="K78" s="187"/>
      <c r="L78" s="626"/>
      <c r="M78" s="186"/>
      <c r="N78" s="564"/>
      <c r="O78" s="564"/>
      <c r="P78" s="188"/>
      <c r="Q78" s="188"/>
      <c r="R78" s="185"/>
      <c r="S78" s="182"/>
      <c r="T78" s="625"/>
      <c r="U78" s="188"/>
      <c r="V78" s="188"/>
      <c r="W78" s="185"/>
      <c r="X78" s="182"/>
      <c r="Y78" s="625"/>
      <c r="Z78" s="188"/>
      <c r="AA78" s="188"/>
      <c r="AB78" s="185"/>
      <c r="AC78" s="182"/>
      <c r="AD78" s="625"/>
      <c r="AE78" s="188"/>
      <c r="AF78" s="188"/>
      <c r="AG78" s="185"/>
      <c r="AH78" s="182"/>
      <c r="AI78" s="625"/>
      <c r="AJ78" s="188"/>
      <c r="AK78" s="188"/>
      <c r="AL78" s="185"/>
      <c r="AM78" s="182"/>
      <c r="AN78" s="625"/>
      <c r="AO78" s="188"/>
      <c r="AP78" s="188"/>
      <c r="AQ78" s="185"/>
      <c r="AR78" s="182"/>
      <c r="AS78" s="579"/>
      <c r="AT78" s="188"/>
      <c r="AU78" s="188"/>
      <c r="AV78" s="185"/>
      <c r="AW78" s="182"/>
      <c r="AX78" s="625"/>
    </row>
    <row r="79" spans="2:50" ht="14.25" customHeight="1">
      <c r="B79" s="564"/>
      <c r="C79" s="180">
        <v>13</v>
      </c>
      <c r="D79" s="183"/>
      <c r="E79" s="180"/>
      <c r="F79" s="180"/>
      <c r="G79" s="185"/>
      <c r="H79" s="625"/>
      <c r="I79" s="186"/>
      <c r="J79" s="186"/>
      <c r="K79" s="187"/>
      <c r="L79" s="626"/>
      <c r="M79" s="186"/>
      <c r="N79" s="564"/>
      <c r="O79" s="564"/>
      <c r="P79" s="188"/>
      <c r="Q79" s="188"/>
      <c r="R79" s="185"/>
      <c r="S79" s="182"/>
      <c r="T79" s="625"/>
      <c r="U79" s="188"/>
      <c r="V79" s="188"/>
      <c r="W79" s="185"/>
      <c r="X79" s="182"/>
      <c r="Y79" s="625"/>
      <c r="Z79" s="188"/>
      <c r="AA79" s="188"/>
      <c r="AB79" s="185"/>
      <c r="AC79" s="182"/>
      <c r="AD79" s="625"/>
      <c r="AE79" s="188"/>
      <c r="AF79" s="188"/>
      <c r="AG79" s="185"/>
      <c r="AH79" s="182"/>
      <c r="AI79" s="625"/>
      <c r="AJ79" s="188"/>
      <c r="AK79" s="188"/>
      <c r="AL79" s="185"/>
      <c r="AM79" s="182"/>
      <c r="AN79" s="625"/>
      <c r="AO79" s="188"/>
      <c r="AP79" s="188"/>
      <c r="AQ79" s="185"/>
      <c r="AR79" s="182"/>
      <c r="AS79" s="579"/>
      <c r="AT79" s="188"/>
      <c r="AU79" s="188"/>
      <c r="AV79" s="185"/>
      <c r="AW79" s="182"/>
      <c r="AX79" s="625"/>
    </row>
    <row r="80" spans="2:50" ht="14.25" customHeight="1">
      <c r="B80" s="564"/>
      <c r="C80" s="180">
        <v>14</v>
      </c>
      <c r="D80" s="183"/>
      <c r="E80" s="180"/>
      <c r="F80" s="180"/>
      <c r="G80" s="185"/>
      <c r="H80" s="625"/>
      <c r="I80" s="186"/>
      <c r="J80" s="186"/>
      <c r="K80" s="187"/>
      <c r="L80" s="626"/>
      <c r="M80" s="186"/>
      <c r="N80" s="564"/>
      <c r="O80" s="564"/>
      <c r="P80" s="188"/>
      <c r="Q80" s="188"/>
      <c r="R80" s="185"/>
      <c r="S80" s="182"/>
      <c r="T80" s="625"/>
      <c r="U80" s="188"/>
      <c r="V80" s="188"/>
      <c r="W80" s="185"/>
      <c r="X80" s="182"/>
      <c r="Y80" s="625"/>
      <c r="Z80" s="188"/>
      <c r="AA80" s="188"/>
      <c r="AB80" s="185"/>
      <c r="AC80" s="182"/>
      <c r="AD80" s="625"/>
      <c r="AE80" s="188"/>
      <c r="AF80" s="188"/>
      <c r="AG80" s="185"/>
      <c r="AH80" s="182"/>
      <c r="AI80" s="625"/>
      <c r="AJ80" s="188"/>
      <c r="AK80" s="188"/>
      <c r="AL80" s="185"/>
      <c r="AM80" s="182"/>
      <c r="AN80" s="625"/>
      <c r="AO80" s="188"/>
      <c r="AP80" s="188"/>
      <c r="AQ80" s="185"/>
      <c r="AR80" s="182"/>
      <c r="AS80" s="579"/>
      <c r="AT80" s="188"/>
      <c r="AU80" s="188"/>
      <c r="AV80" s="185"/>
      <c r="AW80" s="182"/>
      <c r="AX80" s="625"/>
    </row>
    <row r="81" spans="2:50" ht="14.25" customHeight="1">
      <c r="B81" s="564"/>
      <c r="C81" s="180">
        <v>15</v>
      </c>
      <c r="D81" s="183"/>
      <c r="E81" s="180"/>
      <c r="F81" s="180"/>
      <c r="G81" s="185"/>
      <c r="H81" s="625"/>
      <c r="I81" s="186"/>
      <c r="J81" s="186"/>
      <c r="K81" s="187"/>
      <c r="L81" s="626"/>
      <c r="M81" s="186"/>
      <c r="N81" s="564"/>
      <c r="O81" s="564"/>
      <c r="P81" s="188"/>
      <c r="Q81" s="188"/>
      <c r="R81" s="185"/>
      <c r="S81" s="182"/>
      <c r="T81" s="625"/>
      <c r="U81" s="188"/>
      <c r="V81" s="188"/>
      <c r="W81" s="185"/>
      <c r="X81" s="182"/>
      <c r="Y81" s="625"/>
      <c r="Z81" s="188"/>
      <c r="AA81" s="188"/>
      <c r="AB81" s="185"/>
      <c r="AC81" s="182"/>
      <c r="AD81" s="625"/>
      <c r="AE81" s="188"/>
      <c r="AF81" s="188"/>
      <c r="AG81" s="185"/>
      <c r="AH81" s="182"/>
      <c r="AI81" s="625"/>
      <c r="AJ81" s="188"/>
      <c r="AK81" s="188"/>
      <c r="AL81" s="185"/>
      <c r="AM81" s="182"/>
      <c r="AN81" s="625"/>
      <c r="AO81" s="188"/>
      <c r="AP81" s="188"/>
      <c r="AQ81" s="185"/>
      <c r="AR81" s="182"/>
      <c r="AS81" s="580"/>
      <c r="AT81" s="188"/>
      <c r="AU81" s="188"/>
      <c r="AV81" s="185"/>
      <c r="AW81" s="182"/>
      <c r="AX81" s="625"/>
    </row>
    <row r="82" spans="2:50" ht="14.25" customHeight="1" collapsed="1">
      <c r="B82" s="641" t="s">
        <v>645</v>
      </c>
      <c r="C82" s="642"/>
      <c r="D82" s="642"/>
      <c r="E82" s="642"/>
      <c r="F82" s="642"/>
      <c r="G82" s="642"/>
      <c r="H82" s="642"/>
      <c r="I82" s="642"/>
      <c r="J82" s="642"/>
      <c r="K82" s="642"/>
      <c r="L82" s="642"/>
      <c r="M82" s="643"/>
      <c r="N82" s="575" t="s">
        <v>377</v>
      </c>
      <c r="O82" s="575" t="s">
        <v>105</v>
      </c>
      <c r="P82" s="655">
        <f>AT62+1</f>
        <v>46105</v>
      </c>
      <c r="Q82" s="656"/>
      <c r="R82" s="656"/>
      <c r="S82" s="656"/>
      <c r="T82" s="656"/>
      <c r="U82" s="657">
        <f>P82+1</f>
        <v>46106</v>
      </c>
      <c r="V82" s="658"/>
      <c r="W82" s="658"/>
      <c r="X82" s="658"/>
      <c r="Y82" s="658"/>
      <c r="Z82" s="655">
        <f t="shared" ref="Z82" si="50">U82+1</f>
        <v>46107</v>
      </c>
      <c r="AA82" s="656"/>
      <c r="AB82" s="656"/>
      <c r="AC82" s="656"/>
      <c r="AD82" s="656"/>
      <c r="AE82" s="657">
        <f t="shared" ref="AE82" si="51">Z82+1</f>
        <v>46108</v>
      </c>
      <c r="AF82" s="658"/>
      <c r="AG82" s="658"/>
      <c r="AH82" s="658"/>
      <c r="AI82" s="658"/>
      <c r="AJ82" s="647">
        <f t="shared" ref="AJ82" si="52">AE82+1</f>
        <v>46109</v>
      </c>
      <c r="AK82" s="648"/>
      <c r="AL82" s="648"/>
      <c r="AM82" s="648"/>
      <c r="AN82" s="649"/>
      <c r="AO82" s="657">
        <f t="shared" ref="AO82" si="53">AJ82+1</f>
        <v>46110</v>
      </c>
      <c r="AP82" s="658"/>
      <c r="AQ82" s="658"/>
      <c r="AR82" s="658"/>
      <c r="AS82" s="658"/>
      <c r="AT82" s="647">
        <f t="shared" ref="AT82" si="54">AO82+1</f>
        <v>46111</v>
      </c>
      <c r="AU82" s="648"/>
      <c r="AV82" s="648"/>
      <c r="AW82" s="648"/>
      <c r="AX82" s="649"/>
    </row>
    <row r="83" spans="2:50" ht="14.25" customHeight="1">
      <c r="B83" s="644"/>
      <c r="C83" s="644"/>
      <c r="D83" s="644"/>
      <c r="E83" s="644"/>
      <c r="F83" s="644"/>
      <c r="G83" s="644"/>
      <c r="H83" s="644"/>
      <c r="I83" s="644"/>
      <c r="J83" s="644"/>
      <c r="K83" s="644"/>
      <c r="L83" s="644"/>
      <c r="M83" s="645"/>
      <c r="N83" s="577"/>
      <c r="O83" s="577"/>
      <c r="P83" s="650">
        <f>P82</f>
        <v>46105</v>
      </c>
      <c r="Q83" s="650"/>
      <c r="R83" s="650"/>
      <c r="S83" s="650"/>
      <c r="T83" s="650"/>
      <c r="U83" s="651">
        <f>U82</f>
        <v>46106</v>
      </c>
      <c r="V83" s="651"/>
      <c r="W83" s="651"/>
      <c r="X83" s="651"/>
      <c r="Y83" s="651"/>
      <c r="Z83" s="650">
        <f t="shared" ref="Z83" si="55">Z82</f>
        <v>46107</v>
      </c>
      <c r="AA83" s="650"/>
      <c r="AB83" s="650"/>
      <c r="AC83" s="650"/>
      <c r="AD83" s="650"/>
      <c r="AE83" s="651">
        <f t="shared" ref="AE83" si="56">AE82</f>
        <v>46108</v>
      </c>
      <c r="AF83" s="651"/>
      <c r="AG83" s="651"/>
      <c r="AH83" s="651"/>
      <c r="AI83" s="651"/>
      <c r="AJ83" s="652">
        <f t="shared" ref="AJ83" si="57">AJ82</f>
        <v>46109</v>
      </c>
      <c r="AK83" s="653"/>
      <c r="AL83" s="653"/>
      <c r="AM83" s="653"/>
      <c r="AN83" s="654"/>
      <c r="AO83" s="651">
        <f t="shared" ref="AO83" si="58">AO82</f>
        <v>46110</v>
      </c>
      <c r="AP83" s="651"/>
      <c r="AQ83" s="651"/>
      <c r="AR83" s="651"/>
      <c r="AS83" s="651"/>
      <c r="AT83" s="652">
        <f t="shared" ref="AT83" si="59">AT82</f>
        <v>46111</v>
      </c>
      <c r="AU83" s="653"/>
      <c r="AV83" s="653"/>
      <c r="AW83" s="653"/>
      <c r="AX83" s="654"/>
    </row>
    <row r="84" spans="2:50" ht="14.25" customHeight="1">
      <c r="B84" s="564" t="s">
        <v>164</v>
      </c>
      <c r="C84" s="564" t="s">
        <v>159</v>
      </c>
      <c r="D84" s="564"/>
      <c r="E84" s="564" t="s">
        <v>160</v>
      </c>
      <c r="F84" s="564"/>
      <c r="G84" s="564"/>
      <c r="H84" s="564" t="s">
        <v>165</v>
      </c>
      <c r="I84" s="628" t="s">
        <v>378</v>
      </c>
      <c r="J84" s="628"/>
      <c r="K84" s="628"/>
      <c r="L84" s="628" t="s">
        <v>165</v>
      </c>
      <c r="M84" s="628" t="s">
        <v>167</v>
      </c>
      <c r="N84" s="564"/>
      <c r="O84" s="564" t="s">
        <v>166</v>
      </c>
      <c r="P84" s="564" t="s">
        <v>162</v>
      </c>
      <c r="Q84" s="564"/>
      <c r="R84" s="564"/>
      <c r="S84" s="564"/>
      <c r="T84" s="564" t="s">
        <v>165</v>
      </c>
      <c r="U84" s="564" t="s">
        <v>162</v>
      </c>
      <c r="V84" s="564"/>
      <c r="W84" s="564"/>
      <c r="X84" s="564"/>
      <c r="Y84" s="564" t="s">
        <v>165</v>
      </c>
      <c r="Z84" s="564" t="s">
        <v>162</v>
      </c>
      <c r="AA84" s="564"/>
      <c r="AB84" s="564"/>
      <c r="AC84" s="564"/>
      <c r="AD84" s="564" t="s">
        <v>165</v>
      </c>
      <c r="AE84" s="564" t="s">
        <v>162</v>
      </c>
      <c r="AF84" s="564"/>
      <c r="AG84" s="564"/>
      <c r="AH84" s="564"/>
      <c r="AI84" s="564" t="s">
        <v>165</v>
      </c>
      <c r="AJ84" s="564" t="s">
        <v>162</v>
      </c>
      <c r="AK84" s="564"/>
      <c r="AL84" s="564"/>
      <c r="AM84" s="564"/>
      <c r="AN84" s="564" t="s">
        <v>165</v>
      </c>
      <c r="AO84" s="564" t="s">
        <v>162</v>
      </c>
      <c r="AP84" s="564"/>
      <c r="AQ84" s="564"/>
      <c r="AR84" s="564"/>
      <c r="AS84" s="564" t="s">
        <v>165</v>
      </c>
      <c r="AT84" s="564" t="s">
        <v>162</v>
      </c>
      <c r="AU84" s="564"/>
      <c r="AV84" s="564"/>
      <c r="AW84" s="564"/>
      <c r="AX84" s="564" t="s">
        <v>165</v>
      </c>
    </row>
    <row r="85" spans="2:50" ht="14.25" customHeight="1">
      <c r="B85" s="564"/>
      <c r="C85" s="564"/>
      <c r="D85" s="564"/>
      <c r="E85" s="564" t="s">
        <v>379</v>
      </c>
      <c r="F85" s="564"/>
      <c r="G85" s="564"/>
      <c r="H85" s="564"/>
      <c r="I85" s="628" t="s">
        <v>379</v>
      </c>
      <c r="J85" s="628"/>
      <c r="K85" s="628"/>
      <c r="L85" s="628"/>
      <c r="M85" s="628"/>
      <c r="N85" s="564"/>
      <c r="O85" s="564"/>
      <c r="P85" s="564" t="s">
        <v>380</v>
      </c>
      <c r="Q85" s="564"/>
      <c r="R85" s="564"/>
      <c r="S85" s="564"/>
      <c r="T85" s="564"/>
      <c r="U85" s="564" t="s">
        <v>380</v>
      </c>
      <c r="V85" s="564"/>
      <c r="W85" s="564"/>
      <c r="X85" s="564"/>
      <c r="Y85" s="564"/>
      <c r="Z85" s="564" t="s">
        <v>380</v>
      </c>
      <c r="AA85" s="564"/>
      <c r="AB85" s="564"/>
      <c r="AC85" s="564"/>
      <c r="AD85" s="564"/>
      <c r="AE85" s="564" t="s">
        <v>380</v>
      </c>
      <c r="AF85" s="564"/>
      <c r="AG85" s="564"/>
      <c r="AH85" s="564"/>
      <c r="AI85" s="564"/>
      <c r="AJ85" s="564" t="s">
        <v>380</v>
      </c>
      <c r="AK85" s="564"/>
      <c r="AL85" s="564"/>
      <c r="AM85" s="564"/>
      <c r="AN85" s="564"/>
      <c r="AO85" s="564" t="s">
        <v>380</v>
      </c>
      <c r="AP85" s="564"/>
      <c r="AQ85" s="564"/>
      <c r="AR85" s="564"/>
      <c r="AS85" s="564"/>
      <c r="AT85" s="564" t="s">
        <v>380</v>
      </c>
      <c r="AU85" s="564"/>
      <c r="AV85" s="564"/>
      <c r="AW85" s="564"/>
      <c r="AX85" s="564"/>
    </row>
    <row r="86" spans="2:50" ht="14.25" customHeight="1">
      <c r="B86" s="564"/>
      <c r="C86" s="564"/>
      <c r="D86" s="564"/>
      <c r="E86" s="180" t="s">
        <v>161</v>
      </c>
      <c r="F86" s="180" t="s">
        <v>381</v>
      </c>
      <c r="G86" s="180" t="s">
        <v>163</v>
      </c>
      <c r="H86" s="564"/>
      <c r="I86" s="181" t="s">
        <v>161</v>
      </c>
      <c r="J86" s="181" t="s">
        <v>381</v>
      </c>
      <c r="K86" s="181" t="s">
        <v>163</v>
      </c>
      <c r="L86" s="628"/>
      <c r="M86" s="628"/>
      <c r="N86" s="564"/>
      <c r="O86" s="564"/>
      <c r="P86" s="180" t="s">
        <v>161</v>
      </c>
      <c r="Q86" s="180" t="s">
        <v>381</v>
      </c>
      <c r="R86" s="180" t="s">
        <v>163</v>
      </c>
      <c r="S86" s="182" t="s">
        <v>167</v>
      </c>
      <c r="T86" s="564"/>
      <c r="U86" s="180" t="s">
        <v>161</v>
      </c>
      <c r="V86" s="180" t="s">
        <v>381</v>
      </c>
      <c r="W86" s="180" t="s">
        <v>163</v>
      </c>
      <c r="X86" s="182" t="s">
        <v>167</v>
      </c>
      <c r="Y86" s="564"/>
      <c r="Z86" s="180" t="s">
        <v>161</v>
      </c>
      <c r="AA86" s="180" t="s">
        <v>381</v>
      </c>
      <c r="AB86" s="180" t="s">
        <v>163</v>
      </c>
      <c r="AC86" s="182" t="s">
        <v>167</v>
      </c>
      <c r="AD86" s="564"/>
      <c r="AE86" s="180" t="s">
        <v>161</v>
      </c>
      <c r="AF86" s="180" t="s">
        <v>381</v>
      </c>
      <c r="AG86" s="180" t="s">
        <v>163</v>
      </c>
      <c r="AH86" s="182" t="s">
        <v>167</v>
      </c>
      <c r="AI86" s="564"/>
      <c r="AJ86" s="180" t="s">
        <v>161</v>
      </c>
      <c r="AK86" s="180" t="s">
        <v>381</v>
      </c>
      <c r="AL86" s="180" t="s">
        <v>163</v>
      </c>
      <c r="AM86" s="182" t="s">
        <v>167</v>
      </c>
      <c r="AN86" s="564"/>
      <c r="AO86" s="180" t="s">
        <v>161</v>
      </c>
      <c r="AP86" s="180" t="s">
        <v>381</v>
      </c>
      <c r="AQ86" s="180" t="s">
        <v>163</v>
      </c>
      <c r="AR86" s="182" t="s">
        <v>167</v>
      </c>
      <c r="AS86" s="564"/>
      <c r="AT86" s="180" t="s">
        <v>161</v>
      </c>
      <c r="AU86" s="180" t="s">
        <v>381</v>
      </c>
      <c r="AV86" s="180" t="s">
        <v>163</v>
      </c>
      <c r="AW86" s="182" t="s">
        <v>167</v>
      </c>
      <c r="AX86" s="564"/>
    </row>
    <row r="87" spans="2:50" ht="14.25" customHeight="1">
      <c r="B87" s="564" t="s">
        <v>385</v>
      </c>
      <c r="C87" s="180">
        <v>1</v>
      </c>
      <c r="D87" s="183"/>
      <c r="E87" s="180"/>
      <c r="F87" s="180"/>
      <c r="G87" s="185"/>
      <c r="H87" s="625"/>
      <c r="I87" s="186"/>
      <c r="J87" s="186"/>
      <c r="K87" s="187"/>
      <c r="L87" s="626" t="str">
        <f>IFERROR(AVERAGE(K87:K101),"-")</f>
        <v>-</v>
      </c>
      <c r="M87" s="186" t="e">
        <f>RANK(K87, K$87:$K$101)</f>
        <v>#N/A</v>
      </c>
      <c r="N87" s="564"/>
      <c r="O87" s="564"/>
      <c r="P87" s="188"/>
      <c r="Q87" s="188"/>
      <c r="R87" s="185"/>
      <c r="S87" s="182"/>
      <c r="T87" s="625"/>
      <c r="U87" s="188"/>
      <c r="V87" s="188"/>
      <c r="W87" s="185"/>
      <c r="X87" s="182"/>
      <c r="Y87" s="625"/>
      <c r="Z87" s="188"/>
      <c r="AA87" s="188"/>
      <c r="AB87" s="185"/>
      <c r="AC87" s="182"/>
      <c r="AD87" s="625"/>
      <c r="AE87" s="188"/>
      <c r="AF87" s="188"/>
      <c r="AG87" s="185"/>
      <c r="AH87" s="182"/>
      <c r="AI87" s="625"/>
      <c r="AJ87" s="188"/>
      <c r="AK87" s="188"/>
      <c r="AL87" s="185"/>
      <c r="AM87" s="182"/>
      <c r="AN87" s="625"/>
      <c r="AO87" s="188"/>
      <c r="AP87" s="188"/>
      <c r="AQ87" s="185"/>
      <c r="AR87" s="182"/>
      <c r="AS87" s="625"/>
      <c r="AT87" s="188"/>
      <c r="AU87" s="188"/>
      <c r="AV87" s="185"/>
      <c r="AW87" s="182"/>
      <c r="AX87" s="625"/>
    </row>
    <row r="88" spans="2:50" ht="14.25" customHeight="1">
      <c r="B88" s="564"/>
      <c r="C88" s="180">
        <v>2</v>
      </c>
      <c r="D88" s="183"/>
      <c r="E88" s="180"/>
      <c r="F88" s="180"/>
      <c r="G88" s="185"/>
      <c r="H88" s="625"/>
      <c r="I88" s="186"/>
      <c r="J88" s="186"/>
      <c r="K88" s="187"/>
      <c r="L88" s="626"/>
      <c r="M88" s="186" t="e">
        <f>RANK(K88, K$87:$K$101)</f>
        <v>#N/A</v>
      </c>
      <c r="N88" s="564"/>
      <c r="O88" s="564"/>
      <c r="P88" s="188"/>
      <c r="Q88" s="188"/>
      <c r="R88" s="185"/>
      <c r="S88" s="182"/>
      <c r="T88" s="625"/>
      <c r="U88" s="188"/>
      <c r="V88" s="188"/>
      <c r="W88" s="185"/>
      <c r="X88" s="182"/>
      <c r="Y88" s="625"/>
      <c r="Z88" s="188"/>
      <c r="AA88" s="188"/>
      <c r="AB88" s="185"/>
      <c r="AC88" s="182"/>
      <c r="AD88" s="625"/>
      <c r="AE88" s="188"/>
      <c r="AF88" s="188"/>
      <c r="AG88" s="185"/>
      <c r="AH88" s="182"/>
      <c r="AI88" s="625"/>
      <c r="AJ88" s="188"/>
      <c r="AK88" s="188"/>
      <c r="AL88" s="185"/>
      <c r="AM88" s="182"/>
      <c r="AN88" s="625"/>
      <c r="AO88" s="188"/>
      <c r="AP88" s="188"/>
      <c r="AQ88" s="185"/>
      <c r="AR88" s="182"/>
      <c r="AS88" s="625"/>
      <c r="AT88" s="188"/>
      <c r="AU88" s="188"/>
      <c r="AV88" s="185"/>
      <c r="AW88" s="182"/>
      <c r="AX88" s="625"/>
    </row>
    <row r="89" spans="2:50" ht="14.25" customHeight="1">
      <c r="B89" s="564"/>
      <c r="C89" s="180">
        <v>3</v>
      </c>
      <c r="D89" s="183"/>
      <c r="E89" s="180"/>
      <c r="F89" s="180"/>
      <c r="G89" s="185"/>
      <c r="H89" s="625"/>
      <c r="I89" s="186"/>
      <c r="J89" s="186"/>
      <c r="K89" s="187"/>
      <c r="L89" s="626"/>
      <c r="M89" s="186"/>
      <c r="N89" s="564"/>
      <c r="O89" s="564"/>
      <c r="P89" s="188"/>
      <c r="Q89" s="188"/>
      <c r="R89" s="185"/>
      <c r="S89" s="182"/>
      <c r="T89" s="625"/>
      <c r="U89" s="188"/>
      <c r="V89" s="188"/>
      <c r="W89" s="185"/>
      <c r="X89" s="182"/>
      <c r="Y89" s="625"/>
      <c r="Z89" s="188"/>
      <c r="AA89" s="188"/>
      <c r="AB89" s="185"/>
      <c r="AC89" s="182"/>
      <c r="AD89" s="625"/>
      <c r="AE89" s="188"/>
      <c r="AF89" s="188"/>
      <c r="AG89" s="185"/>
      <c r="AH89" s="182"/>
      <c r="AI89" s="625"/>
      <c r="AJ89" s="188"/>
      <c r="AK89" s="188"/>
      <c r="AL89" s="185"/>
      <c r="AM89" s="182"/>
      <c r="AN89" s="625"/>
      <c r="AO89" s="188"/>
      <c r="AP89" s="188"/>
      <c r="AQ89" s="185"/>
      <c r="AR89" s="182"/>
      <c r="AS89" s="625"/>
      <c r="AT89" s="188"/>
      <c r="AU89" s="188"/>
      <c r="AV89" s="185"/>
      <c r="AW89" s="182"/>
      <c r="AX89" s="625"/>
    </row>
    <row r="90" spans="2:50" ht="14.25" customHeight="1">
      <c r="B90" s="564"/>
      <c r="C90" s="180">
        <v>4</v>
      </c>
      <c r="D90" s="183"/>
      <c r="E90" s="180"/>
      <c r="F90" s="180"/>
      <c r="G90" s="185"/>
      <c r="H90" s="625"/>
      <c r="I90" s="186"/>
      <c r="J90" s="186"/>
      <c r="K90" s="187"/>
      <c r="L90" s="626"/>
      <c r="M90" s="186"/>
      <c r="N90" s="564"/>
      <c r="O90" s="564"/>
      <c r="P90" s="188"/>
      <c r="Q90" s="188"/>
      <c r="R90" s="185"/>
      <c r="S90" s="182"/>
      <c r="T90" s="625"/>
      <c r="U90" s="188"/>
      <c r="V90" s="188"/>
      <c r="W90" s="185"/>
      <c r="X90" s="182"/>
      <c r="Y90" s="625"/>
      <c r="Z90" s="188"/>
      <c r="AA90" s="188"/>
      <c r="AB90" s="185"/>
      <c r="AC90" s="182"/>
      <c r="AD90" s="625"/>
      <c r="AE90" s="188"/>
      <c r="AF90" s="188"/>
      <c r="AG90" s="185"/>
      <c r="AH90" s="182"/>
      <c r="AI90" s="625"/>
      <c r="AJ90" s="188"/>
      <c r="AK90" s="188"/>
      <c r="AL90" s="185"/>
      <c r="AM90" s="182"/>
      <c r="AN90" s="625"/>
      <c r="AO90" s="188"/>
      <c r="AP90" s="188"/>
      <c r="AQ90" s="185"/>
      <c r="AR90" s="182"/>
      <c r="AS90" s="625"/>
      <c r="AT90" s="188"/>
      <c r="AU90" s="188"/>
      <c r="AV90" s="185"/>
      <c r="AW90" s="182"/>
      <c r="AX90" s="625"/>
    </row>
    <row r="91" spans="2:50" ht="14.25" customHeight="1">
      <c r="B91" s="564"/>
      <c r="C91" s="180">
        <v>5</v>
      </c>
      <c r="D91" s="183"/>
      <c r="E91" s="180"/>
      <c r="F91" s="180"/>
      <c r="G91" s="185"/>
      <c r="H91" s="625"/>
      <c r="I91" s="186"/>
      <c r="J91" s="186"/>
      <c r="K91" s="187"/>
      <c r="L91" s="626"/>
      <c r="M91" s="186"/>
      <c r="N91" s="564"/>
      <c r="O91" s="564"/>
      <c r="P91" s="188"/>
      <c r="Q91" s="188"/>
      <c r="R91" s="185"/>
      <c r="S91" s="182"/>
      <c r="T91" s="625"/>
      <c r="U91" s="188"/>
      <c r="V91" s="188"/>
      <c r="W91" s="185"/>
      <c r="X91" s="182"/>
      <c r="Y91" s="625"/>
      <c r="Z91" s="188"/>
      <c r="AA91" s="188"/>
      <c r="AB91" s="185"/>
      <c r="AC91" s="182"/>
      <c r="AD91" s="625"/>
      <c r="AE91" s="188"/>
      <c r="AF91" s="188"/>
      <c r="AG91" s="185"/>
      <c r="AH91" s="182"/>
      <c r="AI91" s="625"/>
      <c r="AJ91" s="188"/>
      <c r="AK91" s="188"/>
      <c r="AL91" s="185"/>
      <c r="AM91" s="182"/>
      <c r="AN91" s="625"/>
      <c r="AO91" s="188"/>
      <c r="AP91" s="188"/>
      <c r="AQ91" s="185"/>
      <c r="AR91" s="182"/>
      <c r="AS91" s="625"/>
      <c r="AT91" s="188"/>
      <c r="AU91" s="188"/>
      <c r="AV91" s="185"/>
      <c r="AW91" s="182"/>
      <c r="AX91" s="625"/>
    </row>
    <row r="92" spans="2:50" ht="14.25" customHeight="1">
      <c r="B92" s="564"/>
      <c r="C92" s="180">
        <v>6</v>
      </c>
      <c r="D92" s="183"/>
      <c r="E92" s="180"/>
      <c r="F92" s="180"/>
      <c r="G92" s="185"/>
      <c r="H92" s="625"/>
      <c r="I92" s="186"/>
      <c r="J92" s="186"/>
      <c r="K92" s="187"/>
      <c r="L92" s="626"/>
      <c r="M92" s="186"/>
      <c r="N92" s="564"/>
      <c r="O92" s="564"/>
      <c r="P92" s="188"/>
      <c r="Q92" s="188"/>
      <c r="R92" s="185"/>
      <c r="S92" s="182"/>
      <c r="T92" s="625"/>
      <c r="U92" s="188"/>
      <c r="V92" s="188"/>
      <c r="W92" s="185"/>
      <c r="X92" s="182"/>
      <c r="Y92" s="625"/>
      <c r="Z92" s="188"/>
      <c r="AA92" s="188"/>
      <c r="AB92" s="185"/>
      <c r="AC92" s="182"/>
      <c r="AD92" s="625"/>
      <c r="AE92" s="188"/>
      <c r="AF92" s="188"/>
      <c r="AG92" s="185"/>
      <c r="AH92" s="182"/>
      <c r="AI92" s="625"/>
      <c r="AJ92" s="188"/>
      <c r="AK92" s="188"/>
      <c r="AL92" s="185"/>
      <c r="AM92" s="182"/>
      <c r="AN92" s="625"/>
      <c r="AO92" s="188"/>
      <c r="AP92" s="188"/>
      <c r="AQ92" s="185"/>
      <c r="AR92" s="182"/>
      <c r="AS92" s="625"/>
      <c r="AT92" s="188"/>
      <c r="AU92" s="188"/>
      <c r="AV92" s="185"/>
      <c r="AW92" s="182"/>
      <c r="AX92" s="625"/>
    </row>
    <row r="93" spans="2:50" ht="14.25" customHeight="1">
      <c r="B93" s="564"/>
      <c r="C93" s="180">
        <v>7</v>
      </c>
      <c r="D93" s="183"/>
      <c r="E93" s="180"/>
      <c r="F93" s="180"/>
      <c r="G93" s="185"/>
      <c r="H93" s="625"/>
      <c r="I93" s="186"/>
      <c r="J93" s="186"/>
      <c r="K93" s="187"/>
      <c r="L93" s="626"/>
      <c r="M93" s="186"/>
      <c r="N93" s="564"/>
      <c r="O93" s="564"/>
      <c r="P93" s="188"/>
      <c r="Q93" s="188"/>
      <c r="R93" s="185"/>
      <c r="S93" s="182"/>
      <c r="T93" s="625"/>
      <c r="U93" s="188"/>
      <c r="V93" s="188"/>
      <c r="W93" s="185"/>
      <c r="X93" s="182"/>
      <c r="Y93" s="625"/>
      <c r="Z93" s="188"/>
      <c r="AA93" s="188"/>
      <c r="AB93" s="185"/>
      <c r="AC93" s="182"/>
      <c r="AD93" s="625"/>
      <c r="AE93" s="188"/>
      <c r="AF93" s="188"/>
      <c r="AG93" s="185"/>
      <c r="AH93" s="182"/>
      <c r="AI93" s="625"/>
      <c r="AJ93" s="188"/>
      <c r="AK93" s="188"/>
      <c r="AL93" s="185"/>
      <c r="AM93" s="182"/>
      <c r="AN93" s="625"/>
      <c r="AO93" s="188"/>
      <c r="AP93" s="188"/>
      <c r="AQ93" s="185"/>
      <c r="AR93" s="182"/>
      <c r="AS93" s="625"/>
      <c r="AT93" s="188"/>
      <c r="AU93" s="188"/>
      <c r="AV93" s="185"/>
      <c r="AW93" s="182"/>
      <c r="AX93" s="625"/>
    </row>
    <row r="94" spans="2:50" ht="14.25" customHeight="1">
      <c r="B94" s="564"/>
      <c r="C94" s="180">
        <v>8</v>
      </c>
      <c r="D94" s="183"/>
      <c r="E94" s="180"/>
      <c r="F94" s="180"/>
      <c r="G94" s="185"/>
      <c r="H94" s="625"/>
      <c r="I94" s="186"/>
      <c r="J94" s="186"/>
      <c r="K94" s="187"/>
      <c r="L94" s="626"/>
      <c r="M94" s="186"/>
      <c r="N94" s="564"/>
      <c r="O94" s="564"/>
      <c r="P94" s="188"/>
      <c r="Q94" s="188"/>
      <c r="R94" s="185"/>
      <c r="S94" s="182"/>
      <c r="T94" s="625"/>
      <c r="U94" s="188"/>
      <c r="V94" s="188"/>
      <c r="W94" s="185"/>
      <c r="X94" s="182"/>
      <c r="Y94" s="625"/>
      <c r="Z94" s="188"/>
      <c r="AA94" s="188"/>
      <c r="AB94" s="185"/>
      <c r="AC94" s="182"/>
      <c r="AD94" s="625"/>
      <c r="AE94" s="188"/>
      <c r="AF94" s="188"/>
      <c r="AG94" s="185"/>
      <c r="AH94" s="182"/>
      <c r="AI94" s="625"/>
      <c r="AJ94" s="188"/>
      <c r="AK94" s="188"/>
      <c r="AL94" s="185"/>
      <c r="AM94" s="182"/>
      <c r="AN94" s="625"/>
      <c r="AO94" s="188"/>
      <c r="AP94" s="188"/>
      <c r="AQ94" s="185"/>
      <c r="AR94" s="182"/>
      <c r="AS94" s="625"/>
      <c r="AT94" s="188"/>
      <c r="AU94" s="188"/>
      <c r="AV94" s="185"/>
      <c r="AW94" s="182"/>
      <c r="AX94" s="625"/>
    </row>
    <row r="95" spans="2:50" ht="14.25" customHeight="1">
      <c r="B95" s="564"/>
      <c r="C95" s="180">
        <v>9</v>
      </c>
      <c r="D95" s="183"/>
      <c r="E95" s="180"/>
      <c r="F95" s="180"/>
      <c r="G95" s="185"/>
      <c r="H95" s="625"/>
      <c r="I95" s="186"/>
      <c r="J95" s="186"/>
      <c r="K95" s="187"/>
      <c r="L95" s="626"/>
      <c r="M95" s="186"/>
      <c r="N95" s="564"/>
      <c r="O95" s="564"/>
      <c r="P95" s="188"/>
      <c r="Q95" s="188"/>
      <c r="R95" s="185"/>
      <c r="S95" s="182"/>
      <c r="T95" s="625"/>
      <c r="U95" s="188"/>
      <c r="V95" s="188"/>
      <c r="W95" s="185"/>
      <c r="X95" s="182"/>
      <c r="Y95" s="625"/>
      <c r="Z95" s="188"/>
      <c r="AA95" s="188"/>
      <c r="AB95" s="185"/>
      <c r="AC95" s="182"/>
      <c r="AD95" s="625"/>
      <c r="AE95" s="188"/>
      <c r="AF95" s="188"/>
      <c r="AG95" s="185"/>
      <c r="AH95" s="182"/>
      <c r="AI95" s="625"/>
      <c r="AJ95" s="188"/>
      <c r="AK95" s="188"/>
      <c r="AL95" s="185"/>
      <c r="AM95" s="182"/>
      <c r="AN95" s="625"/>
      <c r="AO95" s="188"/>
      <c r="AP95" s="188"/>
      <c r="AQ95" s="185"/>
      <c r="AR95" s="182"/>
      <c r="AS95" s="625"/>
      <c r="AT95" s="188"/>
      <c r="AU95" s="188"/>
      <c r="AV95" s="185"/>
      <c r="AW95" s="182"/>
      <c r="AX95" s="625"/>
    </row>
    <row r="96" spans="2:50" ht="14.25" customHeight="1">
      <c r="B96" s="564"/>
      <c r="C96" s="180">
        <v>10</v>
      </c>
      <c r="D96" s="183"/>
      <c r="E96" s="180"/>
      <c r="F96" s="180"/>
      <c r="G96" s="185"/>
      <c r="H96" s="625"/>
      <c r="I96" s="186"/>
      <c r="J96" s="186"/>
      <c r="K96" s="187"/>
      <c r="L96" s="626"/>
      <c r="M96" s="186"/>
      <c r="N96" s="564"/>
      <c r="O96" s="564"/>
      <c r="P96" s="188"/>
      <c r="Q96" s="188"/>
      <c r="R96" s="185"/>
      <c r="S96" s="182"/>
      <c r="T96" s="625"/>
      <c r="U96" s="188"/>
      <c r="V96" s="188"/>
      <c r="W96" s="185"/>
      <c r="X96" s="182"/>
      <c r="Y96" s="625"/>
      <c r="Z96" s="188"/>
      <c r="AA96" s="188"/>
      <c r="AB96" s="185"/>
      <c r="AC96" s="182"/>
      <c r="AD96" s="625"/>
      <c r="AE96" s="188"/>
      <c r="AF96" s="188"/>
      <c r="AG96" s="185"/>
      <c r="AH96" s="182"/>
      <c r="AI96" s="625"/>
      <c r="AJ96" s="188"/>
      <c r="AK96" s="188"/>
      <c r="AL96" s="185"/>
      <c r="AM96" s="182"/>
      <c r="AN96" s="625"/>
      <c r="AO96" s="188"/>
      <c r="AP96" s="188"/>
      <c r="AQ96" s="185"/>
      <c r="AR96" s="182"/>
      <c r="AS96" s="625"/>
      <c r="AT96" s="188"/>
      <c r="AU96" s="188"/>
      <c r="AV96" s="185"/>
      <c r="AW96" s="182"/>
      <c r="AX96" s="625"/>
    </row>
    <row r="97" spans="2:50" ht="14.25" customHeight="1">
      <c r="B97" s="564"/>
      <c r="C97" s="180">
        <v>11</v>
      </c>
      <c r="D97" s="183"/>
      <c r="E97" s="180"/>
      <c r="F97" s="180"/>
      <c r="G97" s="185"/>
      <c r="H97" s="625"/>
      <c r="I97" s="186"/>
      <c r="J97" s="186"/>
      <c r="K97" s="187"/>
      <c r="L97" s="626"/>
      <c r="M97" s="186"/>
      <c r="N97" s="564"/>
      <c r="O97" s="564"/>
      <c r="P97" s="188"/>
      <c r="Q97" s="188"/>
      <c r="R97" s="185"/>
      <c r="S97" s="182"/>
      <c r="T97" s="625"/>
      <c r="U97" s="188"/>
      <c r="V97" s="188"/>
      <c r="W97" s="185"/>
      <c r="X97" s="182"/>
      <c r="Y97" s="625"/>
      <c r="Z97" s="188"/>
      <c r="AA97" s="188"/>
      <c r="AB97" s="185"/>
      <c r="AC97" s="182"/>
      <c r="AD97" s="625"/>
      <c r="AE97" s="188"/>
      <c r="AF97" s="188"/>
      <c r="AG97" s="185"/>
      <c r="AH97" s="182"/>
      <c r="AI97" s="625"/>
      <c r="AJ97" s="188"/>
      <c r="AK97" s="188"/>
      <c r="AL97" s="185"/>
      <c r="AM97" s="182"/>
      <c r="AN97" s="625"/>
      <c r="AO97" s="188"/>
      <c r="AP97" s="188"/>
      <c r="AQ97" s="185"/>
      <c r="AR97" s="182"/>
      <c r="AS97" s="625"/>
      <c r="AT97" s="188"/>
      <c r="AU97" s="188"/>
      <c r="AV97" s="185"/>
      <c r="AW97" s="182"/>
      <c r="AX97" s="625"/>
    </row>
    <row r="98" spans="2:50" ht="14.25" customHeight="1">
      <c r="B98" s="564"/>
      <c r="C98" s="180">
        <v>12</v>
      </c>
      <c r="D98" s="183"/>
      <c r="E98" s="180"/>
      <c r="F98" s="180"/>
      <c r="G98" s="185"/>
      <c r="H98" s="625"/>
      <c r="I98" s="186"/>
      <c r="J98" s="186"/>
      <c r="K98" s="187"/>
      <c r="L98" s="626"/>
      <c r="M98" s="186"/>
      <c r="N98" s="564"/>
      <c r="O98" s="564"/>
      <c r="P98" s="188"/>
      <c r="Q98" s="188"/>
      <c r="R98" s="185"/>
      <c r="S98" s="182"/>
      <c r="T98" s="625"/>
      <c r="U98" s="188"/>
      <c r="V98" s="188"/>
      <c r="W98" s="185"/>
      <c r="X98" s="182"/>
      <c r="Y98" s="625"/>
      <c r="Z98" s="188"/>
      <c r="AA98" s="188"/>
      <c r="AB98" s="185"/>
      <c r="AC98" s="182"/>
      <c r="AD98" s="625"/>
      <c r="AE98" s="188"/>
      <c r="AF98" s="188"/>
      <c r="AG98" s="185"/>
      <c r="AH98" s="182"/>
      <c r="AI98" s="625"/>
      <c r="AJ98" s="188"/>
      <c r="AK98" s="188"/>
      <c r="AL98" s="185"/>
      <c r="AM98" s="182"/>
      <c r="AN98" s="625"/>
      <c r="AO98" s="188"/>
      <c r="AP98" s="188"/>
      <c r="AQ98" s="185"/>
      <c r="AR98" s="182"/>
      <c r="AS98" s="625"/>
      <c r="AT98" s="188"/>
      <c r="AU98" s="188"/>
      <c r="AV98" s="185"/>
      <c r="AW98" s="182"/>
      <c r="AX98" s="625"/>
    </row>
    <row r="99" spans="2:50" ht="14.25" customHeight="1">
      <c r="B99" s="564"/>
      <c r="C99" s="180">
        <v>13</v>
      </c>
      <c r="D99" s="183"/>
      <c r="E99" s="180"/>
      <c r="F99" s="180"/>
      <c r="G99" s="185"/>
      <c r="H99" s="625"/>
      <c r="I99" s="186"/>
      <c r="J99" s="186"/>
      <c r="K99" s="187"/>
      <c r="L99" s="626"/>
      <c r="M99" s="186"/>
      <c r="N99" s="564"/>
      <c r="O99" s="564"/>
      <c r="P99" s="188"/>
      <c r="Q99" s="188"/>
      <c r="R99" s="185"/>
      <c r="S99" s="182"/>
      <c r="T99" s="625"/>
      <c r="U99" s="188"/>
      <c r="V99" s="188"/>
      <c r="W99" s="185"/>
      <c r="X99" s="182"/>
      <c r="Y99" s="625"/>
      <c r="Z99" s="188"/>
      <c r="AA99" s="188"/>
      <c r="AB99" s="185"/>
      <c r="AC99" s="182"/>
      <c r="AD99" s="625"/>
      <c r="AE99" s="188"/>
      <c r="AF99" s="188"/>
      <c r="AG99" s="185"/>
      <c r="AH99" s="182"/>
      <c r="AI99" s="625"/>
      <c r="AJ99" s="188"/>
      <c r="AK99" s="188"/>
      <c r="AL99" s="185"/>
      <c r="AM99" s="182"/>
      <c r="AN99" s="625"/>
      <c r="AO99" s="188"/>
      <c r="AP99" s="188"/>
      <c r="AQ99" s="185"/>
      <c r="AR99" s="182"/>
      <c r="AS99" s="625"/>
      <c r="AT99" s="188"/>
      <c r="AU99" s="188"/>
      <c r="AV99" s="185"/>
      <c r="AW99" s="182"/>
      <c r="AX99" s="625"/>
    </row>
    <row r="100" spans="2:50" ht="14.25" customHeight="1">
      <c r="B100" s="564"/>
      <c r="C100" s="180">
        <v>14</v>
      </c>
      <c r="D100" s="183"/>
      <c r="E100" s="180"/>
      <c r="F100" s="180"/>
      <c r="G100" s="185"/>
      <c r="H100" s="625"/>
      <c r="I100" s="186"/>
      <c r="J100" s="186"/>
      <c r="K100" s="187"/>
      <c r="L100" s="626"/>
      <c r="M100" s="186"/>
      <c r="N100" s="564"/>
      <c r="O100" s="564"/>
      <c r="P100" s="188"/>
      <c r="Q100" s="188"/>
      <c r="R100" s="185"/>
      <c r="S100" s="182"/>
      <c r="T100" s="625"/>
      <c r="U100" s="188"/>
      <c r="V100" s="188"/>
      <c r="W100" s="185"/>
      <c r="X100" s="182"/>
      <c r="Y100" s="625"/>
      <c r="Z100" s="188"/>
      <c r="AA100" s="188"/>
      <c r="AB100" s="185"/>
      <c r="AC100" s="182"/>
      <c r="AD100" s="625"/>
      <c r="AE100" s="188"/>
      <c r="AF100" s="188"/>
      <c r="AG100" s="185"/>
      <c r="AH100" s="182"/>
      <c r="AI100" s="625"/>
      <c r="AJ100" s="188"/>
      <c r="AK100" s="188"/>
      <c r="AL100" s="185"/>
      <c r="AM100" s="182"/>
      <c r="AN100" s="625"/>
      <c r="AO100" s="188"/>
      <c r="AP100" s="188"/>
      <c r="AQ100" s="185"/>
      <c r="AR100" s="182"/>
      <c r="AS100" s="625"/>
      <c r="AT100" s="188"/>
      <c r="AU100" s="188"/>
      <c r="AV100" s="185"/>
      <c r="AW100" s="182"/>
      <c r="AX100" s="625"/>
    </row>
    <row r="101" spans="2:50" ht="14.25" customHeight="1">
      <c r="B101" s="564"/>
      <c r="C101" s="180">
        <v>15</v>
      </c>
      <c r="D101" s="183"/>
      <c r="E101" s="180"/>
      <c r="F101" s="180"/>
      <c r="G101" s="185"/>
      <c r="H101" s="625"/>
      <c r="I101" s="186"/>
      <c r="J101" s="186"/>
      <c r="K101" s="187"/>
      <c r="L101" s="626"/>
      <c r="M101" s="186"/>
      <c r="N101" s="564"/>
      <c r="O101" s="564"/>
      <c r="P101" s="188"/>
      <c r="Q101" s="188"/>
      <c r="R101" s="185"/>
      <c r="S101" s="182"/>
      <c r="T101" s="625"/>
      <c r="U101" s="188"/>
      <c r="V101" s="188"/>
      <c r="W101" s="185"/>
      <c r="X101" s="182"/>
      <c r="Y101" s="625"/>
      <c r="Z101" s="188"/>
      <c r="AA101" s="188"/>
      <c r="AB101" s="185"/>
      <c r="AC101" s="182"/>
      <c r="AD101" s="625"/>
      <c r="AE101" s="188"/>
      <c r="AF101" s="188"/>
      <c r="AG101" s="185"/>
      <c r="AH101" s="182"/>
      <c r="AI101" s="625"/>
      <c r="AJ101" s="188"/>
      <c r="AK101" s="188"/>
      <c r="AL101" s="185"/>
      <c r="AM101" s="182"/>
      <c r="AN101" s="625"/>
      <c r="AO101" s="188"/>
      <c r="AP101" s="188"/>
      <c r="AQ101" s="185"/>
      <c r="AR101" s="182"/>
      <c r="AS101" s="625"/>
      <c r="AT101" s="188"/>
      <c r="AU101" s="188"/>
      <c r="AV101" s="185"/>
      <c r="AW101" s="182"/>
      <c r="AX101" s="625"/>
    </row>
    <row r="102" spans="2:50" ht="14.25" customHeight="1" collapsed="1">
      <c r="B102" s="641" t="s">
        <v>646</v>
      </c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3"/>
      <c r="N102" s="575" t="s">
        <v>377</v>
      </c>
      <c r="O102" s="575" t="s">
        <v>105</v>
      </c>
      <c r="P102" s="655">
        <f>AT82+1</f>
        <v>46112</v>
      </c>
      <c r="Q102" s="656"/>
      <c r="R102" s="656"/>
      <c r="S102" s="656"/>
      <c r="T102" s="656"/>
      <c r="U102" s="657">
        <f>P102+1</f>
        <v>46113</v>
      </c>
      <c r="V102" s="658"/>
      <c r="W102" s="658"/>
      <c r="X102" s="658"/>
      <c r="Y102" s="658"/>
      <c r="Z102" s="655">
        <f t="shared" ref="Z102" si="60">U102+1</f>
        <v>46114</v>
      </c>
      <c r="AA102" s="656"/>
      <c r="AB102" s="656"/>
      <c r="AC102" s="656"/>
      <c r="AD102" s="656"/>
      <c r="AE102" s="657">
        <f t="shared" ref="AE102" si="61">Z102+1</f>
        <v>46115</v>
      </c>
      <c r="AF102" s="658"/>
      <c r="AG102" s="658"/>
      <c r="AH102" s="658"/>
      <c r="AI102" s="658"/>
      <c r="AJ102" s="647">
        <f t="shared" ref="AJ102" si="62">AE102+1</f>
        <v>46116</v>
      </c>
      <c r="AK102" s="648"/>
      <c r="AL102" s="648"/>
      <c r="AM102" s="648"/>
      <c r="AN102" s="649"/>
      <c r="AO102" s="657">
        <f t="shared" ref="AO102" si="63">AJ102+1</f>
        <v>46117</v>
      </c>
      <c r="AP102" s="658"/>
      <c r="AQ102" s="658"/>
      <c r="AR102" s="658"/>
      <c r="AS102" s="658"/>
      <c r="AT102" s="647">
        <f t="shared" ref="AT102" si="64">AO102+1</f>
        <v>46118</v>
      </c>
      <c r="AU102" s="648"/>
      <c r="AV102" s="648"/>
      <c r="AW102" s="648"/>
      <c r="AX102" s="649"/>
    </row>
    <row r="103" spans="2:50" ht="14.25" customHeight="1">
      <c r="B103" s="644"/>
      <c r="C103" s="644"/>
      <c r="D103" s="644"/>
      <c r="E103" s="644"/>
      <c r="F103" s="644"/>
      <c r="G103" s="644"/>
      <c r="H103" s="644"/>
      <c r="I103" s="644"/>
      <c r="J103" s="644"/>
      <c r="K103" s="644"/>
      <c r="L103" s="644"/>
      <c r="M103" s="645"/>
      <c r="N103" s="577"/>
      <c r="O103" s="577"/>
      <c r="P103" s="650">
        <f>P102</f>
        <v>46112</v>
      </c>
      <c r="Q103" s="650"/>
      <c r="R103" s="650"/>
      <c r="S103" s="650"/>
      <c r="T103" s="650"/>
      <c r="U103" s="651">
        <f>U102</f>
        <v>46113</v>
      </c>
      <c r="V103" s="651"/>
      <c r="W103" s="651"/>
      <c r="X103" s="651"/>
      <c r="Y103" s="651"/>
      <c r="Z103" s="650">
        <f t="shared" ref="Z103" si="65">Z102</f>
        <v>46114</v>
      </c>
      <c r="AA103" s="650"/>
      <c r="AB103" s="650"/>
      <c r="AC103" s="650"/>
      <c r="AD103" s="650"/>
      <c r="AE103" s="651">
        <f t="shared" ref="AE103" si="66">AE102</f>
        <v>46115</v>
      </c>
      <c r="AF103" s="651"/>
      <c r="AG103" s="651"/>
      <c r="AH103" s="651"/>
      <c r="AI103" s="651"/>
      <c r="AJ103" s="652">
        <f t="shared" ref="AJ103" si="67">AJ102</f>
        <v>46116</v>
      </c>
      <c r="AK103" s="653"/>
      <c r="AL103" s="653"/>
      <c r="AM103" s="653"/>
      <c r="AN103" s="654"/>
      <c r="AO103" s="651">
        <f t="shared" ref="AO103" si="68">AO102</f>
        <v>46117</v>
      </c>
      <c r="AP103" s="651"/>
      <c r="AQ103" s="651"/>
      <c r="AR103" s="651"/>
      <c r="AS103" s="651"/>
      <c r="AT103" s="652">
        <f t="shared" ref="AT103" si="69">AT102</f>
        <v>46118</v>
      </c>
      <c r="AU103" s="653"/>
      <c r="AV103" s="653"/>
      <c r="AW103" s="653"/>
      <c r="AX103" s="654"/>
    </row>
    <row r="104" spans="2:50" ht="14.25" customHeight="1">
      <c r="B104" s="564" t="s">
        <v>164</v>
      </c>
      <c r="C104" s="564" t="s">
        <v>159</v>
      </c>
      <c r="D104" s="564"/>
      <c r="E104" s="564" t="s">
        <v>160</v>
      </c>
      <c r="F104" s="564"/>
      <c r="G104" s="564"/>
      <c r="H104" s="564" t="s">
        <v>165</v>
      </c>
      <c r="I104" s="628" t="s">
        <v>378</v>
      </c>
      <c r="J104" s="628"/>
      <c r="K104" s="628"/>
      <c r="L104" s="628" t="s">
        <v>165</v>
      </c>
      <c r="M104" s="628" t="s">
        <v>167</v>
      </c>
      <c r="N104" s="564"/>
      <c r="O104" s="564" t="s">
        <v>166</v>
      </c>
      <c r="P104" s="564" t="s">
        <v>162</v>
      </c>
      <c r="Q104" s="564"/>
      <c r="R104" s="564"/>
      <c r="S104" s="564"/>
      <c r="T104" s="564" t="s">
        <v>165</v>
      </c>
      <c r="U104" s="564" t="s">
        <v>162</v>
      </c>
      <c r="V104" s="564"/>
      <c r="W104" s="564"/>
      <c r="X104" s="564"/>
      <c r="Y104" s="564" t="s">
        <v>165</v>
      </c>
      <c r="Z104" s="564" t="s">
        <v>162</v>
      </c>
      <c r="AA104" s="564"/>
      <c r="AB104" s="564"/>
      <c r="AC104" s="564"/>
      <c r="AD104" s="564" t="s">
        <v>165</v>
      </c>
      <c r="AE104" s="564" t="s">
        <v>162</v>
      </c>
      <c r="AF104" s="564"/>
      <c r="AG104" s="564"/>
      <c r="AH104" s="564"/>
      <c r="AI104" s="564" t="s">
        <v>165</v>
      </c>
      <c r="AJ104" s="564" t="s">
        <v>162</v>
      </c>
      <c r="AK104" s="564"/>
      <c r="AL104" s="564"/>
      <c r="AM104" s="564"/>
      <c r="AN104" s="564" t="s">
        <v>165</v>
      </c>
      <c r="AO104" s="564" t="s">
        <v>162</v>
      </c>
      <c r="AP104" s="564"/>
      <c r="AQ104" s="564"/>
      <c r="AR104" s="564"/>
      <c r="AS104" s="564" t="s">
        <v>165</v>
      </c>
      <c r="AT104" s="564" t="s">
        <v>162</v>
      </c>
      <c r="AU104" s="564"/>
      <c r="AV104" s="564"/>
      <c r="AW104" s="564"/>
      <c r="AX104" s="564" t="s">
        <v>165</v>
      </c>
    </row>
    <row r="105" spans="2:50" ht="14.25" customHeight="1">
      <c r="B105" s="564"/>
      <c r="C105" s="564"/>
      <c r="D105" s="564"/>
      <c r="E105" s="564" t="s">
        <v>379</v>
      </c>
      <c r="F105" s="564"/>
      <c r="G105" s="564"/>
      <c r="H105" s="564"/>
      <c r="I105" s="628" t="s">
        <v>379</v>
      </c>
      <c r="J105" s="628"/>
      <c r="K105" s="628"/>
      <c r="L105" s="628"/>
      <c r="M105" s="628"/>
      <c r="N105" s="564"/>
      <c r="O105" s="564"/>
      <c r="P105" s="564" t="s">
        <v>380</v>
      </c>
      <c r="Q105" s="564"/>
      <c r="R105" s="564"/>
      <c r="S105" s="564"/>
      <c r="T105" s="564"/>
      <c r="U105" s="564" t="s">
        <v>380</v>
      </c>
      <c r="V105" s="564"/>
      <c r="W105" s="564"/>
      <c r="X105" s="564"/>
      <c r="Y105" s="564"/>
      <c r="Z105" s="564" t="s">
        <v>380</v>
      </c>
      <c r="AA105" s="564"/>
      <c r="AB105" s="564"/>
      <c r="AC105" s="564"/>
      <c r="AD105" s="564"/>
      <c r="AE105" s="564" t="s">
        <v>380</v>
      </c>
      <c r="AF105" s="564"/>
      <c r="AG105" s="564"/>
      <c r="AH105" s="564"/>
      <c r="AI105" s="564"/>
      <c r="AJ105" s="564" t="s">
        <v>380</v>
      </c>
      <c r="AK105" s="564"/>
      <c r="AL105" s="564"/>
      <c r="AM105" s="564"/>
      <c r="AN105" s="564"/>
      <c r="AO105" s="564" t="s">
        <v>380</v>
      </c>
      <c r="AP105" s="564"/>
      <c r="AQ105" s="564"/>
      <c r="AR105" s="564"/>
      <c r="AS105" s="564"/>
      <c r="AT105" s="564" t="s">
        <v>380</v>
      </c>
      <c r="AU105" s="564"/>
      <c r="AV105" s="564"/>
      <c r="AW105" s="564"/>
      <c r="AX105" s="564"/>
    </row>
    <row r="106" spans="2:50" ht="14.25" customHeight="1">
      <c r="B106" s="564"/>
      <c r="C106" s="564"/>
      <c r="D106" s="564"/>
      <c r="E106" s="180" t="s">
        <v>161</v>
      </c>
      <c r="F106" s="180" t="s">
        <v>381</v>
      </c>
      <c r="G106" s="180" t="s">
        <v>163</v>
      </c>
      <c r="H106" s="564"/>
      <c r="I106" s="181" t="s">
        <v>161</v>
      </c>
      <c r="J106" s="181" t="s">
        <v>381</v>
      </c>
      <c r="K106" s="181" t="s">
        <v>163</v>
      </c>
      <c r="L106" s="628"/>
      <c r="M106" s="628"/>
      <c r="N106" s="564"/>
      <c r="O106" s="564"/>
      <c r="P106" s="180" t="s">
        <v>161</v>
      </c>
      <c r="Q106" s="180" t="s">
        <v>381</v>
      </c>
      <c r="R106" s="180" t="s">
        <v>163</v>
      </c>
      <c r="S106" s="182" t="s">
        <v>167</v>
      </c>
      <c r="T106" s="564"/>
      <c r="U106" s="180" t="s">
        <v>161</v>
      </c>
      <c r="V106" s="180" t="s">
        <v>381</v>
      </c>
      <c r="W106" s="180" t="s">
        <v>163</v>
      </c>
      <c r="X106" s="182" t="s">
        <v>167</v>
      </c>
      <c r="Y106" s="564"/>
      <c r="Z106" s="180" t="s">
        <v>161</v>
      </c>
      <c r="AA106" s="180" t="s">
        <v>381</v>
      </c>
      <c r="AB106" s="180" t="s">
        <v>163</v>
      </c>
      <c r="AC106" s="182" t="s">
        <v>167</v>
      </c>
      <c r="AD106" s="564"/>
      <c r="AE106" s="180" t="s">
        <v>161</v>
      </c>
      <c r="AF106" s="180" t="s">
        <v>381</v>
      </c>
      <c r="AG106" s="180" t="s">
        <v>163</v>
      </c>
      <c r="AH106" s="182" t="s">
        <v>167</v>
      </c>
      <c r="AI106" s="564"/>
      <c r="AJ106" s="180" t="s">
        <v>161</v>
      </c>
      <c r="AK106" s="180" t="s">
        <v>381</v>
      </c>
      <c r="AL106" s="180" t="s">
        <v>163</v>
      </c>
      <c r="AM106" s="182" t="s">
        <v>167</v>
      </c>
      <c r="AN106" s="564"/>
      <c r="AO106" s="180" t="s">
        <v>161</v>
      </c>
      <c r="AP106" s="180" t="s">
        <v>381</v>
      </c>
      <c r="AQ106" s="180" t="s">
        <v>163</v>
      </c>
      <c r="AR106" s="182" t="s">
        <v>167</v>
      </c>
      <c r="AS106" s="564"/>
      <c r="AT106" s="180" t="s">
        <v>161</v>
      </c>
      <c r="AU106" s="180" t="s">
        <v>381</v>
      </c>
      <c r="AV106" s="180" t="s">
        <v>163</v>
      </c>
      <c r="AW106" s="182" t="s">
        <v>167</v>
      </c>
      <c r="AX106" s="564"/>
    </row>
    <row r="107" spans="2:50" ht="14.25" customHeight="1">
      <c r="B107" s="564" t="s">
        <v>385</v>
      </c>
      <c r="C107" s="180">
        <v>1</v>
      </c>
      <c r="D107" s="183"/>
      <c r="E107" s="180"/>
      <c r="F107" s="180"/>
      <c r="G107" s="185"/>
      <c r="H107" s="625"/>
      <c r="I107" s="186"/>
      <c r="J107" s="186"/>
      <c r="K107" s="187"/>
      <c r="L107" s="626" t="str">
        <f>IFERROR(AVERAGE(K107:K121),"-")</f>
        <v>-</v>
      </c>
      <c r="M107" s="186" t="e">
        <f>RANK(K107, K$87:$K$101)</f>
        <v>#N/A</v>
      </c>
      <c r="N107" s="564"/>
      <c r="O107" s="564"/>
      <c r="P107" s="188"/>
      <c r="Q107" s="188"/>
      <c r="R107" s="185"/>
      <c r="S107" s="182"/>
      <c r="T107" s="625"/>
      <c r="U107" s="188"/>
      <c r="V107" s="188"/>
      <c r="W107" s="185"/>
      <c r="X107" s="182"/>
      <c r="Y107" s="625"/>
      <c r="Z107" s="188"/>
      <c r="AA107" s="188"/>
      <c r="AB107" s="185"/>
      <c r="AC107" s="182"/>
      <c r="AD107" s="625"/>
      <c r="AE107" s="188"/>
      <c r="AF107" s="188"/>
      <c r="AG107" s="185"/>
      <c r="AH107" s="182"/>
      <c r="AI107" s="625"/>
      <c r="AJ107" s="188"/>
      <c r="AK107" s="188"/>
      <c r="AL107" s="185"/>
      <c r="AM107" s="182"/>
      <c r="AN107" s="625"/>
      <c r="AO107" s="188"/>
      <c r="AP107" s="188"/>
      <c r="AQ107" s="185"/>
      <c r="AR107" s="182"/>
      <c r="AS107" s="625"/>
      <c r="AT107" s="188"/>
      <c r="AU107" s="188"/>
      <c r="AV107" s="185"/>
      <c r="AW107" s="182"/>
      <c r="AX107" s="625"/>
    </row>
    <row r="108" spans="2:50" ht="14.25" customHeight="1">
      <c r="B108" s="564"/>
      <c r="C108" s="180">
        <v>2</v>
      </c>
      <c r="D108" s="183"/>
      <c r="E108" s="180"/>
      <c r="F108" s="180"/>
      <c r="G108" s="185"/>
      <c r="H108" s="625"/>
      <c r="I108" s="186"/>
      <c r="J108" s="186"/>
      <c r="K108" s="187"/>
      <c r="L108" s="626"/>
      <c r="M108" s="186" t="e">
        <f>RANK(K108, K$87:$K$101)</f>
        <v>#N/A</v>
      </c>
      <c r="N108" s="564"/>
      <c r="O108" s="564"/>
      <c r="P108" s="188"/>
      <c r="Q108" s="188"/>
      <c r="R108" s="185"/>
      <c r="S108" s="182"/>
      <c r="T108" s="625"/>
      <c r="U108" s="188"/>
      <c r="V108" s="188"/>
      <c r="W108" s="185"/>
      <c r="X108" s="182"/>
      <c r="Y108" s="625"/>
      <c r="Z108" s="188"/>
      <c r="AA108" s="188"/>
      <c r="AB108" s="185"/>
      <c r="AC108" s="182"/>
      <c r="AD108" s="625"/>
      <c r="AE108" s="188"/>
      <c r="AF108" s="188"/>
      <c r="AG108" s="185"/>
      <c r="AH108" s="182"/>
      <c r="AI108" s="625"/>
      <c r="AJ108" s="188"/>
      <c r="AK108" s="188"/>
      <c r="AL108" s="185"/>
      <c r="AM108" s="182"/>
      <c r="AN108" s="625"/>
      <c r="AO108" s="188"/>
      <c r="AP108" s="188"/>
      <c r="AQ108" s="185"/>
      <c r="AR108" s="182"/>
      <c r="AS108" s="625"/>
      <c r="AT108" s="188"/>
      <c r="AU108" s="188"/>
      <c r="AV108" s="185"/>
      <c r="AW108" s="182"/>
      <c r="AX108" s="625"/>
    </row>
    <row r="109" spans="2:50" ht="14.25" customHeight="1">
      <c r="B109" s="564"/>
      <c r="C109" s="180">
        <v>3</v>
      </c>
      <c r="D109" s="183"/>
      <c r="E109" s="180"/>
      <c r="F109" s="180"/>
      <c r="G109" s="185"/>
      <c r="H109" s="625"/>
      <c r="I109" s="186"/>
      <c r="J109" s="186"/>
      <c r="K109" s="187"/>
      <c r="L109" s="626"/>
      <c r="M109" s="186"/>
      <c r="N109" s="564"/>
      <c r="O109" s="564"/>
      <c r="P109" s="188"/>
      <c r="Q109" s="188"/>
      <c r="R109" s="185"/>
      <c r="S109" s="182"/>
      <c r="T109" s="625"/>
      <c r="U109" s="188"/>
      <c r="V109" s="188"/>
      <c r="W109" s="185"/>
      <c r="X109" s="182"/>
      <c r="Y109" s="625"/>
      <c r="Z109" s="188"/>
      <c r="AA109" s="188"/>
      <c r="AB109" s="185"/>
      <c r="AC109" s="182"/>
      <c r="AD109" s="625"/>
      <c r="AE109" s="188"/>
      <c r="AF109" s="188"/>
      <c r="AG109" s="185"/>
      <c r="AH109" s="182"/>
      <c r="AI109" s="625"/>
      <c r="AJ109" s="188"/>
      <c r="AK109" s="188"/>
      <c r="AL109" s="185"/>
      <c r="AM109" s="182"/>
      <c r="AN109" s="625"/>
      <c r="AO109" s="188"/>
      <c r="AP109" s="188"/>
      <c r="AQ109" s="185"/>
      <c r="AR109" s="182"/>
      <c r="AS109" s="625"/>
      <c r="AT109" s="188"/>
      <c r="AU109" s="188"/>
      <c r="AV109" s="185"/>
      <c r="AW109" s="182"/>
      <c r="AX109" s="625"/>
    </row>
    <row r="110" spans="2:50" ht="14.25" customHeight="1">
      <c r="B110" s="564"/>
      <c r="C110" s="180">
        <v>4</v>
      </c>
      <c r="D110" s="183"/>
      <c r="E110" s="180"/>
      <c r="F110" s="180"/>
      <c r="G110" s="185"/>
      <c r="H110" s="625"/>
      <c r="I110" s="186"/>
      <c r="J110" s="186"/>
      <c r="K110" s="187"/>
      <c r="L110" s="626"/>
      <c r="M110" s="186"/>
      <c r="N110" s="564"/>
      <c r="O110" s="564"/>
      <c r="P110" s="188"/>
      <c r="Q110" s="188"/>
      <c r="R110" s="185"/>
      <c r="S110" s="182"/>
      <c r="T110" s="625"/>
      <c r="U110" s="188"/>
      <c r="V110" s="188"/>
      <c r="W110" s="185"/>
      <c r="X110" s="182"/>
      <c r="Y110" s="625"/>
      <c r="Z110" s="188"/>
      <c r="AA110" s="188"/>
      <c r="AB110" s="185"/>
      <c r="AC110" s="182"/>
      <c r="AD110" s="625"/>
      <c r="AE110" s="188"/>
      <c r="AF110" s="188"/>
      <c r="AG110" s="185"/>
      <c r="AH110" s="182"/>
      <c r="AI110" s="625"/>
      <c r="AJ110" s="188"/>
      <c r="AK110" s="188"/>
      <c r="AL110" s="185"/>
      <c r="AM110" s="182"/>
      <c r="AN110" s="625"/>
      <c r="AO110" s="188"/>
      <c r="AP110" s="188"/>
      <c r="AQ110" s="185"/>
      <c r="AR110" s="182"/>
      <c r="AS110" s="625"/>
      <c r="AT110" s="188"/>
      <c r="AU110" s="188"/>
      <c r="AV110" s="185"/>
      <c r="AW110" s="182"/>
      <c r="AX110" s="625"/>
    </row>
    <row r="111" spans="2:50" ht="14.25" customHeight="1">
      <c r="B111" s="564"/>
      <c r="C111" s="180">
        <v>5</v>
      </c>
      <c r="D111" s="183"/>
      <c r="E111" s="180"/>
      <c r="F111" s="180"/>
      <c r="G111" s="185"/>
      <c r="H111" s="625"/>
      <c r="I111" s="186"/>
      <c r="J111" s="186"/>
      <c r="K111" s="187"/>
      <c r="L111" s="626"/>
      <c r="M111" s="186"/>
      <c r="N111" s="564"/>
      <c r="O111" s="564"/>
      <c r="P111" s="188"/>
      <c r="Q111" s="188"/>
      <c r="R111" s="185"/>
      <c r="S111" s="182"/>
      <c r="T111" s="625"/>
      <c r="U111" s="188"/>
      <c r="V111" s="188"/>
      <c r="W111" s="185"/>
      <c r="X111" s="182"/>
      <c r="Y111" s="625"/>
      <c r="Z111" s="188"/>
      <c r="AA111" s="188"/>
      <c r="AB111" s="185"/>
      <c r="AC111" s="182"/>
      <c r="AD111" s="625"/>
      <c r="AE111" s="188"/>
      <c r="AF111" s="188"/>
      <c r="AG111" s="185"/>
      <c r="AH111" s="182"/>
      <c r="AI111" s="625"/>
      <c r="AJ111" s="188"/>
      <c r="AK111" s="188"/>
      <c r="AL111" s="185"/>
      <c r="AM111" s="182"/>
      <c r="AN111" s="625"/>
      <c r="AO111" s="188"/>
      <c r="AP111" s="188"/>
      <c r="AQ111" s="185"/>
      <c r="AR111" s="182"/>
      <c r="AS111" s="625"/>
      <c r="AT111" s="188"/>
      <c r="AU111" s="188"/>
      <c r="AV111" s="185"/>
      <c r="AW111" s="182"/>
      <c r="AX111" s="625"/>
    </row>
    <row r="112" spans="2:50" ht="14.25" customHeight="1">
      <c r="B112" s="564"/>
      <c r="C112" s="180">
        <v>6</v>
      </c>
      <c r="D112" s="183"/>
      <c r="E112" s="180"/>
      <c r="F112" s="180"/>
      <c r="G112" s="185"/>
      <c r="H112" s="625"/>
      <c r="I112" s="186"/>
      <c r="J112" s="186"/>
      <c r="K112" s="187"/>
      <c r="L112" s="626"/>
      <c r="M112" s="186"/>
      <c r="N112" s="564"/>
      <c r="O112" s="564"/>
      <c r="P112" s="188"/>
      <c r="Q112" s="188"/>
      <c r="R112" s="185"/>
      <c r="S112" s="182"/>
      <c r="T112" s="625"/>
      <c r="U112" s="188"/>
      <c r="V112" s="188"/>
      <c r="W112" s="185"/>
      <c r="X112" s="182"/>
      <c r="Y112" s="625"/>
      <c r="Z112" s="188"/>
      <c r="AA112" s="188"/>
      <c r="AB112" s="185"/>
      <c r="AC112" s="182"/>
      <c r="AD112" s="625"/>
      <c r="AE112" s="188"/>
      <c r="AF112" s="188"/>
      <c r="AG112" s="185"/>
      <c r="AH112" s="182"/>
      <c r="AI112" s="625"/>
      <c r="AJ112" s="188"/>
      <c r="AK112" s="188"/>
      <c r="AL112" s="185"/>
      <c r="AM112" s="182"/>
      <c r="AN112" s="625"/>
      <c r="AO112" s="188"/>
      <c r="AP112" s="188"/>
      <c r="AQ112" s="185"/>
      <c r="AR112" s="182"/>
      <c r="AS112" s="625"/>
      <c r="AT112" s="188"/>
      <c r="AU112" s="188"/>
      <c r="AV112" s="185"/>
      <c r="AW112" s="182"/>
      <c r="AX112" s="625"/>
    </row>
    <row r="113" spans="2:50" ht="14.25" customHeight="1">
      <c r="B113" s="564"/>
      <c r="C113" s="180">
        <v>7</v>
      </c>
      <c r="D113" s="183"/>
      <c r="E113" s="180"/>
      <c r="F113" s="180"/>
      <c r="G113" s="185"/>
      <c r="H113" s="625"/>
      <c r="I113" s="186"/>
      <c r="J113" s="186"/>
      <c r="K113" s="187"/>
      <c r="L113" s="626"/>
      <c r="M113" s="186"/>
      <c r="N113" s="564"/>
      <c r="O113" s="564"/>
      <c r="P113" s="188"/>
      <c r="Q113" s="188"/>
      <c r="R113" s="185"/>
      <c r="S113" s="182"/>
      <c r="T113" s="625"/>
      <c r="U113" s="188"/>
      <c r="V113" s="188"/>
      <c r="W113" s="185"/>
      <c r="X113" s="182"/>
      <c r="Y113" s="625"/>
      <c r="Z113" s="188"/>
      <c r="AA113" s="188"/>
      <c r="AB113" s="185"/>
      <c r="AC113" s="182"/>
      <c r="AD113" s="625"/>
      <c r="AE113" s="188"/>
      <c r="AF113" s="188"/>
      <c r="AG113" s="185"/>
      <c r="AH113" s="182"/>
      <c r="AI113" s="625"/>
      <c r="AJ113" s="188"/>
      <c r="AK113" s="188"/>
      <c r="AL113" s="185"/>
      <c r="AM113" s="182"/>
      <c r="AN113" s="625"/>
      <c r="AO113" s="188"/>
      <c r="AP113" s="188"/>
      <c r="AQ113" s="185"/>
      <c r="AR113" s="182"/>
      <c r="AS113" s="625"/>
      <c r="AT113" s="188"/>
      <c r="AU113" s="188"/>
      <c r="AV113" s="185"/>
      <c r="AW113" s="182"/>
      <c r="AX113" s="625"/>
    </row>
    <row r="114" spans="2:50" ht="14.25" customHeight="1">
      <c r="B114" s="564"/>
      <c r="C114" s="180">
        <v>8</v>
      </c>
      <c r="D114" s="183"/>
      <c r="E114" s="180"/>
      <c r="F114" s="180"/>
      <c r="G114" s="185"/>
      <c r="H114" s="625"/>
      <c r="I114" s="186"/>
      <c r="J114" s="186"/>
      <c r="K114" s="187"/>
      <c r="L114" s="626"/>
      <c r="M114" s="186"/>
      <c r="N114" s="564"/>
      <c r="O114" s="564"/>
      <c r="P114" s="188"/>
      <c r="Q114" s="188"/>
      <c r="R114" s="185"/>
      <c r="S114" s="182"/>
      <c r="T114" s="625"/>
      <c r="U114" s="188"/>
      <c r="V114" s="188"/>
      <c r="W114" s="185"/>
      <c r="X114" s="182"/>
      <c r="Y114" s="625"/>
      <c r="Z114" s="188"/>
      <c r="AA114" s="188"/>
      <c r="AB114" s="185"/>
      <c r="AC114" s="182"/>
      <c r="AD114" s="625"/>
      <c r="AE114" s="188"/>
      <c r="AF114" s="188"/>
      <c r="AG114" s="185"/>
      <c r="AH114" s="182"/>
      <c r="AI114" s="625"/>
      <c r="AJ114" s="188"/>
      <c r="AK114" s="188"/>
      <c r="AL114" s="185"/>
      <c r="AM114" s="182"/>
      <c r="AN114" s="625"/>
      <c r="AO114" s="188"/>
      <c r="AP114" s="188"/>
      <c r="AQ114" s="185"/>
      <c r="AR114" s="182"/>
      <c r="AS114" s="625"/>
      <c r="AT114" s="188"/>
      <c r="AU114" s="188"/>
      <c r="AV114" s="185"/>
      <c r="AW114" s="182"/>
      <c r="AX114" s="625"/>
    </row>
    <row r="115" spans="2:50" ht="14.25" customHeight="1">
      <c r="B115" s="564"/>
      <c r="C115" s="180">
        <v>9</v>
      </c>
      <c r="D115" s="183"/>
      <c r="E115" s="180"/>
      <c r="F115" s="180"/>
      <c r="G115" s="185"/>
      <c r="H115" s="625"/>
      <c r="I115" s="186"/>
      <c r="J115" s="186"/>
      <c r="K115" s="187"/>
      <c r="L115" s="626"/>
      <c r="M115" s="186"/>
      <c r="N115" s="564"/>
      <c r="O115" s="564"/>
      <c r="P115" s="188"/>
      <c r="Q115" s="188"/>
      <c r="R115" s="185"/>
      <c r="S115" s="182"/>
      <c r="T115" s="625"/>
      <c r="U115" s="188"/>
      <c r="V115" s="188"/>
      <c r="W115" s="185"/>
      <c r="X115" s="182"/>
      <c r="Y115" s="625"/>
      <c r="Z115" s="188"/>
      <c r="AA115" s="188"/>
      <c r="AB115" s="185"/>
      <c r="AC115" s="182"/>
      <c r="AD115" s="625"/>
      <c r="AE115" s="188"/>
      <c r="AF115" s="188"/>
      <c r="AG115" s="185"/>
      <c r="AH115" s="182"/>
      <c r="AI115" s="625"/>
      <c r="AJ115" s="188"/>
      <c r="AK115" s="188"/>
      <c r="AL115" s="185"/>
      <c r="AM115" s="182"/>
      <c r="AN115" s="625"/>
      <c r="AO115" s="188"/>
      <c r="AP115" s="188"/>
      <c r="AQ115" s="185"/>
      <c r="AR115" s="182"/>
      <c r="AS115" s="625"/>
      <c r="AT115" s="188"/>
      <c r="AU115" s="188"/>
      <c r="AV115" s="185"/>
      <c r="AW115" s="182"/>
      <c r="AX115" s="625"/>
    </row>
    <row r="116" spans="2:50" ht="14.25" customHeight="1">
      <c r="B116" s="564"/>
      <c r="C116" s="180">
        <v>10</v>
      </c>
      <c r="D116" s="183"/>
      <c r="E116" s="180"/>
      <c r="F116" s="180"/>
      <c r="G116" s="185"/>
      <c r="H116" s="625"/>
      <c r="I116" s="186"/>
      <c r="J116" s="186"/>
      <c r="K116" s="187"/>
      <c r="L116" s="626"/>
      <c r="M116" s="186"/>
      <c r="N116" s="564"/>
      <c r="O116" s="564"/>
      <c r="P116" s="188"/>
      <c r="Q116" s="188"/>
      <c r="R116" s="185"/>
      <c r="S116" s="182"/>
      <c r="T116" s="625"/>
      <c r="U116" s="188"/>
      <c r="V116" s="188"/>
      <c r="W116" s="185"/>
      <c r="X116" s="182"/>
      <c r="Y116" s="625"/>
      <c r="Z116" s="188"/>
      <c r="AA116" s="188"/>
      <c r="AB116" s="185"/>
      <c r="AC116" s="182"/>
      <c r="AD116" s="625"/>
      <c r="AE116" s="188"/>
      <c r="AF116" s="188"/>
      <c r="AG116" s="185"/>
      <c r="AH116" s="182"/>
      <c r="AI116" s="625"/>
      <c r="AJ116" s="188"/>
      <c r="AK116" s="188"/>
      <c r="AL116" s="185"/>
      <c r="AM116" s="182"/>
      <c r="AN116" s="625"/>
      <c r="AO116" s="188"/>
      <c r="AP116" s="188"/>
      <c r="AQ116" s="185"/>
      <c r="AR116" s="182"/>
      <c r="AS116" s="625"/>
      <c r="AT116" s="188"/>
      <c r="AU116" s="188"/>
      <c r="AV116" s="185"/>
      <c r="AW116" s="182"/>
      <c r="AX116" s="625"/>
    </row>
    <row r="117" spans="2:50" ht="14.25" customHeight="1">
      <c r="B117" s="564"/>
      <c r="C117" s="180">
        <v>11</v>
      </c>
      <c r="D117" s="183"/>
      <c r="E117" s="180"/>
      <c r="F117" s="180"/>
      <c r="G117" s="185"/>
      <c r="H117" s="625"/>
      <c r="I117" s="186"/>
      <c r="J117" s="186"/>
      <c r="K117" s="187"/>
      <c r="L117" s="626"/>
      <c r="M117" s="186"/>
      <c r="N117" s="564"/>
      <c r="O117" s="564"/>
      <c r="P117" s="188"/>
      <c r="Q117" s="188"/>
      <c r="R117" s="185"/>
      <c r="S117" s="182"/>
      <c r="T117" s="625"/>
      <c r="U117" s="188"/>
      <c r="V117" s="188"/>
      <c r="W117" s="185"/>
      <c r="X117" s="182"/>
      <c r="Y117" s="625"/>
      <c r="Z117" s="188"/>
      <c r="AA117" s="188"/>
      <c r="AB117" s="185"/>
      <c r="AC117" s="182"/>
      <c r="AD117" s="625"/>
      <c r="AE117" s="188"/>
      <c r="AF117" s="188"/>
      <c r="AG117" s="185"/>
      <c r="AH117" s="182"/>
      <c r="AI117" s="625"/>
      <c r="AJ117" s="188"/>
      <c r="AK117" s="188"/>
      <c r="AL117" s="185"/>
      <c r="AM117" s="182"/>
      <c r="AN117" s="625"/>
      <c r="AO117" s="188"/>
      <c r="AP117" s="188"/>
      <c r="AQ117" s="185"/>
      <c r="AR117" s="182"/>
      <c r="AS117" s="625"/>
      <c r="AT117" s="188"/>
      <c r="AU117" s="188"/>
      <c r="AV117" s="185"/>
      <c r="AW117" s="182"/>
      <c r="AX117" s="625"/>
    </row>
    <row r="118" spans="2:50" ht="14.25" customHeight="1">
      <c r="B118" s="564"/>
      <c r="C118" s="180">
        <v>12</v>
      </c>
      <c r="D118" s="183"/>
      <c r="E118" s="180"/>
      <c r="F118" s="180"/>
      <c r="G118" s="185"/>
      <c r="H118" s="625"/>
      <c r="I118" s="186"/>
      <c r="J118" s="186"/>
      <c r="K118" s="187"/>
      <c r="L118" s="626"/>
      <c r="M118" s="186"/>
      <c r="N118" s="564"/>
      <c r="O118" s="564"/>
      <c r="P118" s="188"/>
      <c r="Q118" s="188"/>
      <c r="R118" s="185"/>
      <c r="S118" s="182"/>
      <c r="T118" s="625"/>
      <c r="U118" s="188"/>
      <c r="V118" s="188"/>
      <c r="W118" s="185"/>
      <c r="X118" s="182"/>
      <c r="Y118" s="625"/>
      <c r="Z118" s="188"/>
      <c r="AA118" s="188"/>
      <c r="AB118" s="185"/>
      <c r="AC118" s="182"/>
      <c r="AD118" s="625"/>
      <c r="AE118" s="188"/>
      <c r="AF118" s="188"/>
      <c r="AG118" s="185"/>
      <c r="AH118" s="182"/>
      <c r="AI118" s="625"/>
      <c r="AJ118" s="188"/>
      <c r="AK118" s="188"/>
      <c r="AL118" s="185"/>
      <c r="AM118" s="182"/>
      <c r="AN118" s="625"/>
      <c r="AO118" s="188"/>
      <c r="AP118" s="188"/>
      <c r="AQ118" s="185"/>
      <c r="AR118" s="182"/>
      <c r="AS118" s="625"/>
      <c r="AT118" s="188"/>
      <c r="AU118" s="188"/>
      <c r="AV118" s="185"/>
      <c r="AW118" s="182"/>
      <c r="AX118" s="625"/>
    </row>
    <row r="119" spans="2:50" ht="14.25" customHeight="1">
      <c r="B119" s="564"/>
      <c r="C119" s="180">
        <v>13</v>
      </c>
      <c r="D119" s="183"/>
      <c r="E119" s="180"/>
      <c r="F119" s="180"/>
      <c r="G119" s="185"/>
      <c r="H119" s="625"/>
      <c r="I119" s="186"/>
      <c r="J119" s="186"/>
      <c r="K119" s="187"/>
      <c r="L119" s="626"/>
      <c r="M119" s="186"/>
      <c r="N119" s="564"/>
      <c r="O119" s="564"/>
      <c r="P119" s="188"/>
      <c r="Q119" s="188"/>
      <c r="R119" s="185"/>
      <c r="S119" s="182"/>
      <c r="T119" s="625"/>
      <c r="U119" s="188"/>
      <c r="V119" s="188"/>
      <c r="W119" s="185"/>
      <c r="X119" s="182"/>
      <c r="Y119" s="625"/>
      <c r="Z119" s="188"/>
      <c r="AA119" s="188"/>
      <c r="AB119" s="185"/>
      <c r="AC119" s="182"/>
      <c r="AD119" s="625"/>
      <c r="AE119" s="188"/>
      <c r="AF119" s="188"/>
      <c r="AG119" s="185"/>
      <c r="AH119" s="182"/>
      <c r="AI119" s="625"/>
      <c r="AJ119" s="188"/>
      <c r="AK119" s="188"/>
      <c r="AL119" s="185"/>
      <c r="AM119" s="182"/>
      <c r="AN119" s="625"/>
      <c r="AO119" s="188"/>
      <c r="AP119" s="188"/>
      <c r="AQ119" s="185"/>
      <c r="AR119" s="182"/>
      <c r="AS119" s="625"/>
      <c r="AT119" s="188"/>
      <c r="AU119" s="188"/>
      <c r="AV119" s="185"/>
      <c r="AW119" s="182"/>
      <c r="AX119" s="625"/>
    </row>
    <row r="120" spans="2:50" ht="14.25" customHeight="1">
      <c r="B120" s="564"/>
      <c r="C120" s="180">
        <v>14</v>
      </c>
      <c r="D120" s="183"/>
      <c r="E120" s="180"/>
      <c r="F120" s="180"/>
      <c r="G120" s="185"/>
      <c r="H120" s="625"/>
      <c r="I120" s="186"/>
      <c r="J120" s="186"/>
      <c r="K120" s="187"/>
      <c r="L120" s="626"/>
      <c r="M120" s="186"/>
      <c r="N120" s="564"/>
      <c r="O120" s="564"/>
      <c r="P120" s="188"/>
      <c r="Q120" s="188"/>
      <c r="R120" s="185"/>
      <c r="S120" s="182"/>
      <c r="T120" s="625"/>
      <c r="U120" s="188"/>
      <c r="V120" s="188"/>
      <c r="W120" s="185"/>
      <c r="X120" s="182"/>
      <c r="Y120" s="625"/>
      <c r="Z120" s="188"/>
      <c r="AA120" s="188"/>
      <c r="AB120" s="185"/>
      <c r="AC120" s="182"/>
      <c r="AD120" s="625"/>
      <c r="AE120" s="188"/>
      <c r="AF120" s="188"/>
      <c r="AG120" s="185"/>
      <c r="AH120" s="182"/>
      <c r="AI120" s="625"/>
      <c r="AJ120" s="188"/>
      <c r="AK120" s="188"/>
      <c r="AL120" s="185"/>
      <c r="AM120" s="182"/>
      <c r="AN120" s="625"/>
      <c r="AO120" s="188"/>
      <c r="AP120" s="188"/>
      <c r="AQ120" s="185"/>
      <c r="AR120" s="182"/>
      <c r="AS120" s="625"/>
      <c r="AT120" s="188"/>
      <c r="AU120" s="188"/>
      <c r="AV120" s="185"/>
      <c r="AW120" s="182"/>
      <c r="AX120" s="625"/>
    </row>
    <row r="121" spans="2:50" ht="14.25" customHeight="1">
      <c r="B121" s="564"/>
      <c r="C121" s="180">
        <v>15</v>
      </c>
      <c r="D121" s="183"/>
      <c r="E121" s="180"/>
      <c r="F121" s="180"/>
      <c r="G121" s="185"/>
      <c r="H121" s="625"/>
      <c r="I121" s="186"/>
      <c r="J121" s="186"/>
      <c r="K121" s="187"/>
      <c r="L121" s="626"/>
      <c r="M121" s="186"/>
      <c r="N121" s="564"/>
      <c r="O121" s="564"/>
      <c r="P121" s="188"/>
      <c r="Q121" s="188"/>
      <c r="R121" s="185"/>
      <c r="S121" s="182"/>
      <c r="T121" s="625"/>
      <c r="U121" s="188"/>
      <c r="V121" s="188"/>
      <c r="W121" s="185"/>
      <c r="X121" s="182"/>
      <c r="Y121" s="625"/>
      <c r="Z121" s="188"/>
      <c r="AA121" s="188"/>
      <c r="AB121" s="185"/>
      <c r="AC121" s="182"/>
      <c r="AD121" s="625"/>
      <c r="AE121" s="188"/>
      <c r="AF121" s="188"/>
      <c r="AG121" s="185"/>
      <c r="AH121" s="182"/>
      <c r="AI121" s="625"/>
      <c r="AJ121" s="188"/>
      <c r="AK121" s="188"/>
      <c r="AL121" s="185"/>
      <c r="AM121" s="182"/>
      <c r="AN121" s="625"/>
      <c r="AO121" s="188"/>
      <c r="AP121" s="188"/>
      <c r="AQ121" s="185"/>
      <c r="AR121" s="182"/>
      <c r="AS121" s="625"/>
      <c r="AT121" s="188"/>
      <c r="AU121" s="188"/>
      <c r="AV121" s="185"/>
      <c r="AW121" s="182"/>
      <c r="AX121" s="625"/>
    </row>
  </sheetData>
  <mergeCells count="354"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N7:AN21"/>
    <mergeCell ref="AS7:AS21"/>
    <mergeCell ref="AJ4:AM4"/>
    <mergeCell ref="AN4:AN6"/>
    <mergeCell ref="AO4:AR4"/>
    <mergeCell ref="AS4:AS6"/>
    <mergeCell ref="AT4:AW4"/>
    <mergeCell ref="AX4:AX6"/>
    <mergeCell ref="AX7:AX21"/>
    <mergeCell ref="P4:S4"/>
    <mergeCell ref="T4:T6"/>
    <mergeCell ref="U4:X4"/>
    <mergeCell ref="Y4:Y6"/>
    <mergeCell ref="Z4:AC4"/>
    <mergeCell ref="AD4:AD6"/>
    <mergeCell ref="AE4:AH4"/>
    <mergeCell ref="AI4:AI6"/>
    <mergeCell ref="B7:B21"/>
    <mergeCell ref="H7:H21"/>
    <mergeCell ref="L7:L21"/>
    <mergeCell ref="T7:T21"/>
    <mergeCell ref="Y7:Y21"/>
    <mergeCell ref="AD7:AD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I7:AI21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FFFFCC"/>
  </sheetPr>
  <dimension ref="A1:AX121"/>
  <sheetViews>
    <sheetView zoomScaleNormal="100" workbookViewId="0">
      <pane xSplit="13" ySplit="1" topLeftCell="N89" activePane="bottomRight" state="frozen"/>
      <selection activeCell="L95" sqref="L95"/>
      <selection pane="topRight" activeCell="L95" sqref="L95"/>
      <selection pane="bottomLeft" activeCell="L95" sqref="L95"/>
      <selection pane="bottomRight" activeCell="AW107" sqref="AW107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51" width="9" style="78" customWidth="1"/>
    <col min="52" max="16384" width="8.81640625" style="78"/>
  </cols>
  <sheetData>
    <row r="1" spans="1:50" ht="24.5">
      <c r="A1" s="74"/>
      <c r="B1" s="367" t="s">
        <v>647</v>
      </c>
      <c r="C1" s="175">
        <f>AVERAGE(L27,L47,L67,L87)</f>
        <v>83.044478559400275</v>
      </c>
    </row>
    <row r="2" spans="1:50" collapsed="1">
      <c r="B2" s="641" t="s">
        <v>557</v>
      </c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59"/>
      <c r="N2" s="575" t="s">
        <v>377</v>
      </c>
      <c r="O2" s="575" t="s">
        <v>105</v>
      </c>
      <c r="P2" s="647">
        <v>46077</v>
      </c>
      <c r="Q2" s="648"/>
      <c r="R2" s="648"/>
      <c r="S2" s="648"/>
      <c r="T2" s="649"/>
      <c r="U2" s="662">
        <f>P2+1</f>
        <v>46078</v>
      </c>
      <c r="V2" s="663"/>
      <c r="W2" s="663"/>
      <c r="X2" s="663"/>
      <c r="Y2" s="664"/>
      <c r="Z2" s="647">
        <f t="shared" ref="Z2" si="0">U2+1</f>
        <v>46079</v>
      </c>
      <c r="AA2" s="648"/>
      <c r="AB2" s="648"/>
      <c r="AC2" s="648"/>
      <c r="AD2" s="649"/>
      <c r="AE2" s="662">
        <f t="shared" ref="AE2" si="1">Z2+1</f>
        <v>46080</v>
      </c>
      <c r="AF2" s="663"/>
      <c r="AG2" s="663"/>
      <c r="AH2" s="663"/>
      <c r="AI2" s="664"/>
      <c r="AJ2" s="647">
        <f t="shared" ref="AJ2" si="2">AE2+1</f>
        <v>46081</v>
      </c>
      <c r="AK2" s="648"/>
      <c r="AL2" s="648"/>
      <c r="AM2" s="648"/>
      <c r="AN2" s="649"/>
      <c r="AO2" s="662">
        <f t="shared" ref="AO2" si="3">AJ2+1</f>
        <v>46082</v>
      </c>
      <c r="AP2" s="663"/>
      <c r="AQ2" s="663"/>
      <c r="AR2" s="663"/>
      <c r="AS2" s="664"/>
      <c r="AT2" s="647">
        <f t="shared" ref="AT2" si="4">AO2+1</f>
        <v>46083</v>
      </c>
      <c r="AU2" s="648"/>
      <c r="AV2" s="648"/>
      <c r="AW2" s="648"/>
      <c r="AX2" s="649"/>
    </row>
    <row r="3" spans="1:50" ht="14.25" customHeight="1"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  <c r="M3" s="661"/>
      <c r="N3" s="577"/>
      <c r="O3" s="577"/>
      <c r="P3" s="652">
        <f>P2</f>
        <v>46077</v>
      </c>
      <c r="Q3" s="653"/>
      <c r="R3" s="653"/>
      <c r="S3" s="653"/>
      <c r="T3" s="654"/>
      <c r="U3" s="665">
        <f>U2</f>
        <v>46078</v>
      </c>
      <c r="V3" s="666"/>
      <c r="W3" s="666"/>
      <c r="X3" s="666"/>
      <c r="Y3" s="667"/>
      <c r="Z3" s="652">
        <f t="shared" ref="Z3" si="5">Z2</f>
        <v>46079</v>
      </c>
      <c r="AA3" s="653"/>
      <c r="AB3" s="653"/>
      <c r="AC3" s="653"/>
      <c r="AD3" s="654"/>
      <c r="AE3" s="665">
        <f t="shared" ref="AE3" si="6">AE2</f>
        <v>46080</v>
      </c>
      <c r="AF3" s="666"/>
      <c r="AG3" s="666"/>
      <c r="AH3" s="666"/>
      <c r="AI3" s="667"/>
      <c r="AJ3" s="652">
        <f t="shared" ref="AJ3" si="7">AJ2</f>
        <v>46081</v>
      </c>
      <c r="AK3" s="653"/>
      <c r="AL3" s="653"/>
      <c r="AM3" s="653"/>
      <c r="AN3" s="654"/>
      <c r="AO3" s="665">
        <f t="shared" ref="AO3" si="8">AO2</f>
        <v>46082</v>
      </c>
      <c r="AP3" s="666"/>
      <c r="AQ3" s="666"/>
      <c r="AR3" s="666"/>
      <c r="AS3" s="667"/>
      <c r="AT3" s="652">
        <f t="shared" ref="AT3" si="9">AT2</f>
        <v>46083</v>
      </c>
      <c r="AU3" s="653"/>
      <c r="AV3" s="653"/>
      <c r="AW3" s="653"/>
      <c r="AX3" s="654"/>
    </row>
    <row r="4" spans="1:50" ht="14.25" customHeight="1">
      <c r="B4" s="575" t="s">
        <v>164</v>
      </c>
      <c r="C4" s="605" t="s">
        <v>159</v>
      </c>
      <c r="D4" s="606"/>
      <c r="E4" s="590" t="s">
        <v>160</v>
      </c>
      <c r="F4" s="591"/>
      <c r="G4" s="592"/>
      <c r="H4" s="575" t="s">
        <v>165</v>
      </c>
      <c r="I4" s="593" t="s">
        <v>378</v>
      </c>
      <c r="J4" s="594"/>
      <c r="K4" s="595"/>
      <c r="L4" s="611" t="s">
        <v>165</v>
      </c>
      <c r="M4" s="611" t="s">
        <v>167</v>
      </c>
      <c r="N4" s="575"/>
      <c r="O4" s="575" t="s">
        <v>166</v>
      </c>
      <c r="P4" s="590" t="s">
        <v>162</v>
      </c>
      <c r="Q4" s="591"/>
      <c r="R4" s="591"/>
      <c r="S4" s="592"/>
      <c r="T4" s="575" t="s">
        <v>165</v>
      </c>
      <c r="U4" s="590" t="s">
        <v>162</v>
      </c>
      <c r="V4" s="591"/>
      <c r="W4" s="591"/>
      <c r="X4" s="592"/>
      <c r="Y4" s="575" t="s">
        <v>165</v>
      </c>
      <c r="Z4" s="590" t="s">
        <v>162</v>
      </c>
      <c r="AA4" s="591"/>
      <c r="AB4" s="591"/>
      <c r="AC4" s="592"/>
      <c r="AD4" s="575" t="s">
        <v>165</v>
      </c>
      <c r="AE4" s="590" t="s">
        <v>162</v>
      </c>
      <c r="AF4" s="591"/>
      <c r="AG4" s="591"/>
      <c r="AH4" s="592"/>
      <c r="AI4" s="575" t="s">
        <v>165</v>
      </c>
      <c r="AJ4" s="590" t="s">
        <v>162</v>
      </c>
      <c r="AK4" s="591"/>
      <c r="AL4" s="591"/>
      <c r="AM4" s="592"/>
      <c r="AN4" s="575" t="s">
        <v>165</v>
      </c>
      <c r="AO4" s="590" t="s">
        <v>162</v>
      </c>
      <c r="AP4" s="591"/>
      <c r="AQ4" s="591"/>
      <c r="AR4" s="592"/>
      <c r="AS4" s="575" t="s">
        <v>165</v>
      </c>
      <c r="AT4" s="590" t="s">
        <v>162</v>
      </c>
      <c r="AU4" s="591"/>
      <c r="AV4" s="591"/>
      <c r="AW4" s="592"/>
      <c r="AX4" s="575" t="s">
        <v>165</v>
      </c>
    </row>
    <row r="5" spans="1:50" ht="14.25" customHeight="1">
      <c r="B5" s="576"/>
      <c r="C5" s="607"/>
      <c r="D5" s="608"/>
      <c r="E5" s="590" t="s">
        <v>379</v>
      </c>
      <c r="F5" s="591"/>
      <c r="G5" s="592"/>
      <c r="H5" s="576"/>
      <c r="I5" s="593" t="s">
        <v>379</v>
      </c>
      <c r="J5" s="594"/>
      <c r="K5" s="595"/>
      <c r="L5" s="612"/>
      <c r="M5" s="612"/>
      <c r="N5" s="576"/>
      <c r="O5" s="576"/>
      <c r="P5" s="590" t="s">
        <v>380</v>
      </c>
      <c r="Q5" s="591"/>
      <c r="R5" s="591"/>
      <c r="S5" s="592"/>
      <c r="T5" s="576"/>
      <c r="U5" s="590" t="s">
        <v>380</v>
      </c>
      <c r="V5" s="591"/>
      <c r="W5" s="591"/>
      <c r="X5" s="592"/>
      <c r="Y5" s="576"/>
      <c r="Z5" s="590" t="s">
        <v>380</v>
      </c>
      <c r="AA5" s="591"/>
      <c r="AB5" s="591"/>
      <c r="AC5" s="592"/>
      <c r="AD5" s="576"/>
      <c r="AE5" s="590" t="s">
        <v>380</v>
      </c>
      <c r="AF5" s="591"/>
      <c r="AG5" s="591"/>
      <c r="AH5" s="592"/>
      <c r="AI5" s="576"/>
      <c r="AJ5" s="590" t="s">
        <v>380</v>
      </c>
      <c r="AK5" s="591"/>
      <c r="AL5" s="591"/>
      <c r="AM5" s="592"/>
      <c r="AN5" s="576"/>
      <c r="AO5" s="590" t="s">
        <v>380</v>
      </c>
      <c r="AP5" s="591"/>
      <c r="AQ5" s="591"/>
      <c r="AR5" s="592"/>
      <c r="AS5" s="576"/>
      <c r="AT5" s="590" t="s">
        <v>380</v>
      </c>
      <c r="AU5" s="591"/>
      <c r="AV5" s="591"/>
      <c r="AW5" s="592"/>
      <c r="AX5" s="576"/>
    </row>
    <row r="6" spans="1:50" ht="14.25" customHeight="1">
      <c r="B6" s="577"/>
      <c r="C6" s="609"/>
      <c r="D6" s="610"/>
      <c r="E6" s="180" t="s">
        <v>161</v>
      </c>
      <c r="F6" s="180" t="s">
        <v>381</v>
      </c>
      <c r="G6" s="180" t="s">
        <v>163</v>
      </c>
      <c r="H6" s="577"/>
      <c r="I6" s="181" t="s">
        <v>161</v>
      </c>
      <c r="J6" s="181" t="s">
        <v>381</v>
      </c>
      <c r="K6" s="181" t="s">
        <v>163</v>
      </c>
      <c r="L6" s="613"/>
      <c r="M6" s="613"/>
      <c r="N6" s="576"/>
      <c r="O6" s="576"/>
      <c r="P6" s="180" t="s">
        <v>161</v>
      </c>
      <c r="Q6" s="180" t="s">
        <v>381</v>
      </c>
      <c r="R6" s="180" t="s">
        <v>163</v>
      </c>
      <c r="S6" s="182" t="s">
        <v>167</v>
      </c>
      <c r="T6" s="577"/>
      <c r="U6" s="180" t="s">
        <v>161</v>
      </c>
      <c r="V6" s="180" t="s">
        <v>381</v>
      </c>
      <c r="W6" s="180" t="s">
        <v>163</v>
      </c>
      <c r="X6" s="182" t="s">
        <v>167</v>
      </c>
      <c r="Y6" s="577"/>
      <c r="Z6" s="180" t="s">
        <v>161</v>
      </c>
      <c r="AA6" s="180" t="s">
        <v>381</v>
      </c>
      <c r="AB6" s="180" t="s">
        <v>163</v>
      </c>
      <c r="AC6" s="182" t="s">
        <v>167</v>
      </c>
      <c r="AD6" s="577"/>
      <c r="AE6" s="180" t="s">
        <v>161</v>
      </c>
      <c r="AF6" s="180" t="s">
        <v>381</v>
      </c>
      <c r="AG6" s="180" t="s">
        <v>163</v>
      </c>
      <c r="AH6" s="182" t="s">
        <v>167</v>
      </c>
      <c r="AI6" s="577"/>
      <c r="AJ6" s="180" t="s">
        <v>161</v>
      </c>
      <c r="AK6" s="180" t="s">
        <v>381</v>
      </c>
      <c r="AL6" s="180" t="s">
        <v>163</v>
      </c>
      <c r="AM6" s="182" t="s">
        <v>167</v>
      </c>
      <c r="AN6" s="577"/>
      <c r="AO6" s="180" t="s">
        <v>161</v>
      </c>
      <c r="AP6" s="180" t="s">
        <v>381</v>
      </c>
      <c r="AQ6" s="180" t="s">
        <v>163</v>
      </c>
      <c r="AR6" s="182" t="s">
        <v>167</v>
      </c>
      <c r="AS6" s="577"/>
      <c r="AT6" s="180" t="s">
        <v>161</v>
      </c>
      <c r="AU6" s="180" t="s">
        <v>381</v>
      </c>
      <c r="AV6" s="180" t="s">
        <v>163</v>
      </c>
      <c r="AW6" s="182" t="s">
        <v>167</v>
      </c>
      <c r="AX6" s="577"/>
    </row>
    <row r="7" spans="1:50">
      <c r="B7" s="564" t="s">
        <v>144</v>
      </c>
      <c r="C7" s="180">
        <v>1</v>
      </c>
      <c r="D7" s="183" t="s">
        <v>364</v>
      </c>
      <c r="E7" s="180">
        <v>13</v>
      </c>
      <c r="F7" s="180">
        <v>1200</v>
      </c>
      <c r="G7" s="185">
        <f t="shared" ref="G7:G8" si="10">F7/E7</f>
        <v>92.307692307692307</v>
      </c>
      <c r="H7" s="625">
        <f>AVERAGE(G7:G21)</f>
        <v>87.062937062937067</v>
      </c>
      <c r="I7" s="186">
        <f>AVERAGE(P7,U7,Z7,AE7,AJ7,AO7,AT7)</f>
        <v>13</v>
      </c>
      <c r="J7" s="186">
        <f>AVERAGE(Q7,V7,AA7,AF7,AK7,AP7,AU7)</f>
        <v>1079.6038104741228</v>
      </c>
      <c r="K7" s="187">
        <f>AVERAGE(R7,W7,AB7,AG7,AL7,AQ7,AV7)</f>
        <v>83.046446959547907</v>
      </c>
      <c r="L7" s="626">
        <f>IFERROR(AVERAGE(K7:K21),"-")</f>
        <v>78.042646380467062</v>
      </c>
      <c r="M7" s="186">
        <f>RANK(K7, K$7:$K$21)</f>
        <v>1</v>
      </c>
      <c r="N7" s="576"/>
      <c r="O7" s="576"/>
      <c r="P7" s="188">
        <v>13</v>
      </c>
      <c r="Q7" s="188">
        <v>1079.5746356833397</v>
      </c>
      <c r="R7" s="185">
        <f>IFERROR(Q7/P7,"")</f>
        <v>83.04420274487228</v>
      </c>
      <c r="S7" s="182">
        <f>RANK(R7, R$7:R$21)</f>
        <v>1</v>
      </c>
      <c r="T7" s="625">
        <f>AVERAGE(R7:R21)</f>
        <v>78.034160741638317</v>
      </c>
      <c r="U7" s="188">
        <v>13</v>
      </c>
      <c r="V7" s="188">
        <v>1079.5629299878592</v>
      </c>
      <c r="W7" s="185">
        <f t="shared" ref="W7:W8" si="11">IFERROR(V7/U7,"")</f>
        <v>83.043302306758406</v>
      </c>
      <c r="X7" s="182">
        <f>RANK(W7, W$7:W$21)</f>
        <v>1</v>
      </c>
      <c r="Y7" s="625">
        <f>AVERAGE(W7:W21)</f>
        <v>78.035550477195869</v>
      </c>
      <c r="Z7" s="188">
        <v>13</v>
      </c>
      <c r="AA7" s="188">
        <v>1079.596412556054</v>
      </c>
      <c r="AB7" s="185">
        <f t="shared" ref="AB7:AB8" si="12">IFERROR(AA7/Z7,"")</f>
        <v>83.045877888927237</v>
      </c>
      <c r="AC7" s="182">
        <f>RANK(AB7, AB$7:AB$21)</f>
        <v>1</v>
      </c>
      <c r="AD7" s="625">
        <f>AVERAGE(AB7:AB21)</f>
        <v>78.042514259659384</v>
      </c>
      <c r="AE7" s="188">
        <v>13</v>
      </c>
      <c r="AF7" s="188">
        <v>1079.5906765207505</v>
      </c>
      <c r="AG7" s="185">
        <f>IFERROR(AF7/AE7,"")</f>
        <v>83.045436655442344</v>
      </c>
      <c r="AH7" s="182">
        <f>RANK(AG7, AG$7:AG$21)</f>
        <v>1</v>
      </c>
      <c r="AI7" s="625">
        <f>AVERAGE(AG7:AG21)</f>
        <v>78.046805519049002</v>
      </c>
      <c r="AJ7" s="188">
        <v>13</v>
      </c>
      <c r="AK7" s="188">
        <v>1079.6195173507135</v>
      </c>
      <c r="AL7" s="185">
        <f t="shared" ref="AL7:AL8" si="13">IFERROR(AK7/AJ7,"")</f>
        <v>83.047655180824123</v>
      </c>
      <c r="AM7" s="182">
        <f>RANK(AL7, AL$7:AL$21)</f>
        <v>1</v>
      </c>
      <c r="AN7" s="625">
        <f>AVERAGE(AL7:AL21)</f>
        <v>78.051320894335134</v>
      </c>
      <c r="AO7" s="188">
        <v>13</v>
      </c>
      <c r="AP7" s="188">
        <v>1079.6277145811794</v>
      </c>
      <c r="AQ7" s="185">
        <f t="shared" ref="AQ7" si="14">IFERROR(AP7/AO7,"")</f>
        <v>83.048285737013799</v>
      </c>
      <c r="AR7" s="182">
        <f>RANK(AQ7, AQ$7:AQ$21)</f>
        <v>1</v>
      </c>
      <c r="AS7" s="625">
        <f>AVERAGE(AQ7:AQ21)</f>
        <v>83.048285737013799</v>
      </c>
      <c r="AT7" s="188">
        <v>13</v>
      </c>
      <c r="AU7" s="188">
        <v>1079.6547866389644</v>
      </c>
      <c r="AV7" s="185">
        <f t="shared" ref="AV7" si="15">IFERROR(AU7/AT7,"")</f>
        <v>83.050368202997262</v>
      </c>
      <c r="AW7" s="182">
        <f>RANK(AV7, AV$7:AV$21)</f>
        <v>1</v>
      </c>
      <c r="AX7" s="625">
        <f>AVERAGE(AV7:AV21)</f>
        <v>83.050368202997262</v>
      </c>
    </row>
    <row r="8" spans="1:50">
      <c r="B8" s="564"/>
      <c r="C8" s="180">
        <v>2</v>
      </c>
      <c r="D8" s="183" t="s">
        <v>469</v>
      </c>
      <c r="E8" s="180">
        <v>22</v>
      </c>
      <c r="F8" s="180">
        <v>1800</v>
      </c>
      <c r="G8" s="185">
        <f t="shared" si="10"/>
        <v>81.818181818181813</v>
      </c>
      <c r="H8" s="625"/>
      <c r="I8" s="186">
        <f t="shared" ref="I8:K8" si="16">AVERAGE(P8,U8,Z8,AE8,AJ8,AO8,AT8)</f>
        <v>22</v>
      </c>
      <c r="J8" s="186">
        <f t="shared" si="16"/>
        <v>1606.8546076304967</v>
      </c>
      <c r="K8" s="187">
        <f t="shared" si="16"/>
        <v>73.038845801386202</v>
      </c>
      <c r="L8" s="626"/>
      <c r="M8" s="186">
        <f>RANK(K8, K$7:$K$21)</f>
        <v>2</v>
      </c>
      <c r="N8" s="576"/>
      <c r="O8" s="576"/>
      <c r="P8" s="188">
        <v>22</v>
      </c>
      <c r="Q8" s="188">
        <v>1606.530612244896</v>
      </c>
      <c r="R8" s="185">
        <f t="shared" ref="R8" si="17">IFERROR(Q8/P8,"")</f>
        <v>73.024118738404368</v>
      </c>
      <c r="S8" s="182">
        <f>RANK(R8, R$7:R$21)</f>
        <v>2</v>
      </c>
      <c r="T8" s="625"/>
      <c r="U8" s="188">
        <v>22</v>
      </c>
      <c r="V8" s="188">
        <v>1606.6115702479335</v>
      </c>
      <c r="W8" s="185">
        <f t="shared" si="11"/>
        <v>73.027798647633347</v>
      </c>
      <c r="X8" s="182">
        <f>RANK(W8, W$7:W$21)</f>
        <v>2</v>
      </c>
      <c r="Y8" s="625"/>
      <c r="Z8" s="188">
        <v>22</v>
      </c>
      <c r="AA8" s="188">
        <v>1606.8613138686142</v>
      </c>
      <c r="AB8" s="185">
        <f t="shared" si="12"/>
        <v>73.039150630391546</v>
      </c>
      <c r="AC8" s="182">
        <f>RANK(AB8, AB$7:AB$21)</f>
        <v>2</v>
      </c>
      <c r="AD8" s="625"/>
      <c r="AE8" s="188">
        <v>22</v>
      </c>
      <c r="AF8" s="188">
        <v>1607.0598364184243</v>
      </c>
      <c r="AG8" s="185">
        <f t="shared" ref="AG8" si="18">IFERROR(AF8/AE8,"")</f>
        <v>73.048174382655645</v>
      </c>
      <c r="AH8" s="182">
        <f>RANK(AG8, AG$7:AG$21)</f>
        <v>2</v>
      </c>
      <c r="AI8" s="625"/>
      <c r="AJ8" s="188">
        <v>22</v>
      </c>
      <c r="AK8" s="188">
        <v>1607.2097053726152</v>
      </c>
      <c r="AL8" s="185">
        <f t="shared" si="13"/>
        <v>73.054986607846146</v>
      </c>
      <c r="AM8" s="182">
        <f>RANK(AL8, AL$7:AL$21)</f>
        <v>2</v>
      </c>
      <c r="AN8" s="625"/>
      <c r="AO8" s="188"/>
      <c r="AP8" s="188"/>
      <c r="AQ8" s="185"/>
      <c r="AR8" s="182"/>
      <c r="AS8" s="625"/>
      <c r="AT8" s="188"/>
      <c r="AU8" s="188"/>
      <c r="AV8" s="185"/>
      <c r="AW8" s="182"/>
      <c r="AX8" s="625"/>
    </row>
    <row r="9" spans="1:50">
      <c r="B9" s="564"/>
      <c r="C9" s="180">
        <v>3</v>
      </c>
      <c r="D9" s="183"/>
      <c r="E9" s="180"/>
      <c r="F9" s="180"/>
      <c r="G9" s="185"/>
      <c r="H9" s="625"/>
      <c r="I9" s="186"/>
      <c r="J9" s="186"/>
      <c r="K9" s="187"/>
      <c r="L9" s="626"/>
      <c r="M9" s="186"/>
      <c r="N9" s="576"/>
      <c r="O9" s="576"/>
      <c r="P9" s="188"/>
      <c r="Q9" s="188"/>
      <c r="R9" s="185"/>
      <c r="S9" s="182"/>
      <c r="T9" s="625"/>
      <c r="U9" s="188"/>
      <c r="V9" s="188"/>
      <c r="W9" s="185"/>
      <c r="X9" s="182"/>
      <c r="Y9" s="625"/>
      <c r="Z9" s="188"/>
      <c r="AA9" s="188"/>
      <c r="AB9" s="185"/>
      <c r="AC9" s="182"/>
      <c r="AD9" s="625"/>
      <c r="AE9" s="188"/>
      <c r="AF9" s="188"/>
      <c r="AG9" s="185"/>
      <c r="AH9" s="182"/>
      <c r="AI9" s="625"/>
      <c r="AJ9" s="188"/>
      <c r="AK9" s="188"/>
      <c r="AL9" s="185"/>
      <c r="AM9" s="182"/>
      <c r="AN9" s="625"/>
      <c r="AO9" s="188"/>
      <c r="AP9" s="188"/>
      <c r="AQ9" s="185"/>
      <c r="AR9" s="182"/>
      <c r="AS9" s="625"/>
      <c r="AT9" s="188"/>
      <c r="AU9" s="188"/>
      <c r="AV9" s="185"/>
      <c r="AW9" s="182"/>
      <c r="AX9" s="625"/>
    </row>
    <row r="10" spans="1:50">
      <c r="B10" s="564"/>
      <c r="C10" s="180">
        <v>4</v>
      </c>
      <c r="D10" s="183"/>
      <c r="E10" s="180"/>
      <c r="F10" s="180"/>
      <c r="G10" s="185"/>
      <c r="H10" s="625"/>
      <c r="I10" s="186"/>
      <c r="J10" s="186"/>
      <c r="K10" s="187"/>
      <c r="L10" s="626"/>
      <c r="M10" s="186"/>
      <c r="N10" s="576"/>
      <c r="O10" s="576"/>
      <c r="P10" s="188"/>
      <c r="Q10" s="188"/>
      <c r="R10" s="185"/>
      <c r="S10" s="182"/>
      <c r="T10" s="625"/>
      <c r="U10" s="188"/>
      <c r="V10" s="188"/>
      <c r="W10" s="185"/>
      <c r="X10" s="182"/>
      <c r="Y10" s="625"/>
      <c r="Z10" s="188"/>
      <c r="AA10" s="188"/>
      <c r="AB10" s="185"/>
      <c r="AC10" s="182"/>
      <c r="AD10" s="625"/>
      <c r="AE10" s="188"/>
      <c r="AF10" s="188"/>
      <c r="AG10" s="185"/>
      <c r="AH10" s="182"/>
      <c r="AI10" s="625"/>
      <c r="AJ10" s="188"/>
      <c r="AK10" s="188"/>
      <c r="AL10" s="185"/>
      <c r="AM10" s="182"/>
      <c r="AN10" s="625"/>
      <c r="AO10" s="188"/>
      <c r="AP10" s="188"/>
      <c r="AQ10" s="185"/>
      <c r="AR10" s="182"/>
      <c r="AS10" s="625"/>
      <c r="AT10" s="188"/>
      <c r="AU10" s="188"/>
      <c r="AV10" s="185"/>
      <c r="AW10" s="182"/>
      <c r="AX10" s="625"/>
    </row>
    <row r="11" spans="1:50">
      <c r="B11" s="564"/>
      <c r="C11" s="180">
        <v>5</v>
      </c>
      <c r="D11" s="183"/>
      <c r="E11" s="180"/>
      <c r="F11" s="180"/>
      <c r="G11" s="185"/>
      <c r="H11" s="625"/>
      <c r="I11" s="186"/>
      <c r="J11" s="186"/>
      <c r="K11" s="187"/>
      <c r="L11" s="626"/>
      <c r="M11" s="186"/>
      <c r="N11" s="576"/>
      <c r="O11" s="576"/>
      <c r="P11" s="188"/>
      <c r="Q11" s="188"/>
      <c r="R11" s="185"/>
      <c r="S11" s="182"/>
      <c r="T11" s="625"/>
      <c r="U11" s="188"/>
      <c r="V11" s="188"/>
      <c r="W11" s="185"/>
      <c r="X11" s="182"/>
      <c r="Y11" s="625"/>
      <c r="Z11" s="188"/>
      <c r="AA11" s="188"/>
      <c r="AB11" s="185"/>
      <c r="AC11" s="182"/>
      <c r="AD11" s="625"/>
      <c r="AE11" s="188"/>
      <c r="AF11" s="188"/>
      <c r="AG11" s="185"/>
      <c r="AH11" s="182"/>
      <c r="AI11" s="625"/>
      <c r="AJ11" s="188"/>
      <c r="AK11" s="188"/>
      <c r="AL11" s="185"/>
      <c r="AM11" s="182"/>
      <c r="AN11" s="625"/>
      <c r="AO11" s="188"/>
      <c r="AP11" s="188"/>
      <c r="AQ11" s="185"/>
      <c r="AR11" s="182"/>
      <c r="AS11" s="625"/>
      <c r="AT11" s="188"/>
      <c r="AU11" s="188"/>
      <c r="AV11" s="185"/>
      <c r="AW11" s="182"/>
      <c r="AX11" s="625"/>
    </row>
    <row r="12" spans="1:50">
      <c r="B12" s="564"/>
      <c r="C12" s="180">
        <v>6</v>
      </c>
      <c r="D12" s="183"/>
      <c r="E12" s="180"/>
      <c r="F12" s="180"/>
      <c r="G12" s="185"/>
      <c r="H12" s="625"/>
      <c r="I12" s="186"/>
      <c r="J12" s="186"/>
      <c r="K12" s="187"/>
      <c r="L12" s="626"/>
      <c r="M12" s="186"/>
      <c r="N12" s="576"/>
      <c r="O12" s="576"/>
      <c r="P12" s="188"/>
      <c r="Q12" s="188"/>
      <c r="R12" s="185"/>
      <c r="S12" s="182"/>
      <c r="T12" s="625"/>
      <c r="U12" s="188"/>
      <c r="V12" s="188"/>
      <c r="W12" s="185"/>
      <c r="X12" s="182"/>
      <c r="Y12" s="625"/>
      <c r="Z12" s="188"/>
      <c r="AA12" s="188"/>
      <c r="AB12" s="185"/>
      <c r="AC12" s="182"/>
      <c r="AD12" s="625"/>
      <c r="AE12" s="188"/>
      <c r="AF12" s="188"/>
      <c r="AG12" s="185"/>
      <c r="AH12" s="182"/>
      <c r="AI12" s="625"/>
      <c r="AJ12" s="188"/>
      <c r="AK12" s="188"/>
      <c r="AL12" s="185"/>
      <c r="AM12" s="182"/>
      <c r="AN12" s="625"/>
      <c r="AO12" s="188"/>
      <c r="AP12" s="188"/>
      <c r="AQ12" s="185"/>
      <c r="AR12" s="182"/>
      <c r="AS12" s="625"/>
      <c r="AT12" s="188"/>
      <c r="AU12" s="188"/>
      <c r="AV12" s="185"/>
      <c r="AW12" s="182"/>
      <c r="AX12" s="625"/>
    </row>
    <row r="13" spans="1:50">
      <c r="B13" s="564"/>
      <c r="C13" s="180">
        <v>7</v>
      </c>
      <c r="D13" s="183"/>
      <c r="E13" s="180"/>
      <c r="F13" s="180"/>
      <c r="G13" s="185"/>
      <c r="H13" s="625"/>
      <c r="I13" s="186"/>
      <c r="J13" s="186"/>
      <c r="K13" s="187"/>
      <c r="L13" s="626"/>
      <c r="M13" s="186"/>
      <c r="N13" s="576"/>
      <c r="O13" s="576"/>
      <c r="P13" s="188"/>
      <c r="Q13" s="188"/>
      <c r="R13" s="185"/>
      <c r="S13" s="182"/>
      <c r="T13" s="625"/>
      <c r="U13" s="188"/>
      <c r="V13" s="188"/>
      <c r="W13" s="185"/>
      <c r="X13" s="182"/>
      <c r="Y13" s="625"/>
      <c r="Z13" s="188"/>
      <c r="AA13" s="188"/>
      <c r="AB13" s="185"/>
      <c r="AC13" s="182"/>
      <c r="AD13" s="625"/>
      <c r="AE13" s="188"/>
      <c r="AF13" s="188"/>
      <c r="AG13" s="185"/>
      <c r="AH13" s="182"/>
      <c r="AI13" s="625"/>
      <c r="AJ13" s="188"/>
      <c r="AK13" s="188"/>
      <c r="AL13" s="185"/>
      <c r="AM13" s="182"/>
      <c r="AN13" s="625"/>
      <c r="AO13" s="188"/>
      <c r="AP13" s="188"/>
      <c r="AQ13" s="185"/>
      <c r="AR13" s="182"/>
      <c r="AS13" s="625"/>
      <c r="AT13" s="188"/>
      <c r="AU13" s="188"/>
      <c r="AV13" s="185"/>
      <c r="AW13" s="182"/>
      <c r="AX13" s="625"/>
    </row>
    <row r="14" spans="1:50">
      <c r="B14" s="564"/>
      <c r="C14" s="180">
        <v>8</v>
      </c>
      <c r="D14" s="183"/>
      <c r="E14" s="180"/>
      <c r="F14" s="180"/>
      <c r="G14" s="185"/>
      <c r="H14" s="625"/>
      <c r="I14" s="186"/>
      <c r="J14" s="186"/>
      <c r="K14" s="187"/>
      <c r="L14" s="626"/>
      <c r="M14" s="186"/>
      <c r="N14" s="576"/>
      <c r="O14" s="576"/>
      <c r="P14" s="188"/>
      <c r="Q14" s="188"/>
      <c r="R14" s="185"/>
      <c r="S14" s="182"/>
      <c r="T14" s="625"/>
      <c r="U14" s="188"/>
      <c r="V14" s="188"/>
      <c r="W14" s="185"/>
      <c r="X14" s="182"/>
      <c r="Y14" s="625"/>
      <c r="Z14" s="188"/>
      <c r="AA14" s="188"/>
      <c r="AB14" s="185"/>
      <c r="AC14" s="182"/>
      <c r="AD14" s="625"/>
      <c r="AE14" s="188"/>
      <c r="AF14" s="188"/>
      <c r="AG14" s="185"/>
      <c r="AH14" s="182"/>
      <c r="AI14" s="625"/>
      <c r="AJ14" s="188"/>
      <c r="AK14" s="188"/>
      <c r="AL14" s="185"/>
      <c r="AM14" s="182"/>
      <c r="AN14" s="625"/>
      <c r="AO14" s="188"/>
      <c r="AP14" s="188"/>
      <c r="AQ14" s="185"/>
      <c r="AR14" s="182"/>
      <c r="AS14" s="625"/>
      <c r="AT14" s="188"/>
      <c r="AU14" s="188"/>
      <c r="AV14" s="185"/>
      <c r="AW14" s="182"/>
      <c r="AX14" s="625"/>
    </row>
    <row r="15" spans="1:50">
      <c r="B15" s="564"/>
      <c r="C15" s="180">
        <v>9</v>
      </c>
      <c r="D15" s="183"/>
      <c r="E15" s="180"/>
      <c r="F15" s="180"/>
      <c r="G15" s="185"/>
      <c r="H15" s="625"/>
      <c r="I15" s="186"/>
      <c r="J15" s="186"/>
      <c r="K15" s="187"/>
      <c r="L15" s="626"/>
      <c r="M15" s="186"/>
      <c r="N15" s="576"/>
      <c r="O15" s="576"/>
      <c r="P15" s="188"/>
      <c r="Q15" s="188"/>
      <c r="R15" s="185"/>
      <c r="S15" s="182"/>
      <c r="T15" s="625"/>
      <c r="U15" s="188"/>
      <c r="V15" s="188"/>
      <c r="W15" s="185"/>
      <c r="X15" s="182"/>
      <c r="Y15" s="625"/>
      <c r="Z15" s="188"/>
      <c r="AA15" s="188"/>
      <c r="AB15" s="185"/>
      <c r="AC15" s="182"/>
      <c r="AD15" s="625"/>
      <c r="AE15" s="188"/>
      <c r="AF15" s="188"/>
      <c r="AG15" s="185"/>
      <c r="AH15" s="182"/>
      <c r="AI15" s="625"/>
      <c r="AJ15" s="188"/>
      <c r="AK15" s="188"/>
      <c r="AL15" s="185"/>
      <c r="AM15" s="182"/>
      <c r="AN15" s="625"/>
      <c r="AO15" s="188"/>
      <c r="AP15" s="188"/>
      <c r="AQ15" s="185"/>
      <c r="AR15" s="182"/>
      <c r="AS15" s="625"/>
      <c r="AT15" s="188"/>
      <c r="AU15" s="188"/>
      <c r="AV15" s="185"/>
      <c r="AW15" s="182"/>
      <c r="AX15" s="625"/>
    </row>
    <row r="16" spans="1:50">
      <c r="B16" s="564"/>
      <c r="C16" s="180">
        <v>10</v>
      </c>
      <c r="D16" s="183"/>
      <c r="E16" s="180"/>
      <c r="F16" s="180"/>
      <c r="G16" s="185"/>
      <c r="H16" s="625"/>
      <c r="I16" s="186"/>
      <c r="J16" s="186"/>
      <c r="K16" s="187"/>
      <c r="L16" s="626"/>
      <c r="M16" s="186"/>
      <c r="N16" s="576"/>
      <c r="O16" s="576"/>
      <c r="P16" s="188"/>
      <c r="Q16" s="188"/>
      <c r="R16" s="185"/>
      <c r="S16" s="182"/>
      <c r="T16" s="625"/>
      <c r="U16" s="188"/>
      <c r="V16" s="188"/>
      <c r="W16" s="185"/>
      <c r="X16" s="182"/>
      <c r="Y16" s="625"/>
      <c r="Z16" s="188"/>
      <c r="AA16" s="188"/>
      <c r="AB16" s="185"/>
      <c r="AC16" s="182"/>
      <c r="AD16" s="625"/>
      <c r="AE16" s="188"/>
      <c r="AF16" s="188"/>
      <c r="AG16" s="185"/>
      <c r="AH16" s="182"/>
      <c r="AI16" s="625"/>
      <c r="AJ16" s="188"/>
      <c r="AK16" s="188"/>
      <c r="AL16" s="185"/>
      <c r="AM16" s="182"/>
      <c r="AN16" s="625"/>
      <c r="AO16" s="188"/>
      <c r="AP16" s="188"/>
      <c r="AQ16" s="185"/>
      <c r="AR16" s="182"/>
      <c r="AS16" s="625"/>
      <c r="AT16" s="188"/>
      <c r="AU16" s="188"/>
      <c r="AV16" s="185"/>
      <c r="AW16" s="182"/>
      <c r="AX16" s="625"/>
    </row>
    <row r="17" spans="2:50">
      <c r="B17" s="564"/>
      <c r="C17" s="180">
        <v>11</v>
      </c>
      <c r="D17" s="183"/>
      <c r="E17" s="180"/>
      <c r="F17" s="180"/>
      <c r="G17" s="185"/>
      <c r="H17" s="625"/>
      <c r="I17" s="186"/>
      <c r="J17" s="186"/>
      <c r="K17" s="187"/>
      <c r="L17" s="626"/>
      <c r="M17" s="186"/>
      <c r="N17" s="576"/>
      <c r="O17" s="576"/>
      <c r="P17" s="188"/>
      <c r="Q17" s="188"/>
      <c r="R17" s="185"/>
      <c r="S17" s="182"/>
      <c r="T17" s="625"/>
      <c r="U17" s="188"/>
      <c r="V17" s="188"/>
      <c r="W17" s="185"/>
      <c r="X17" s="182"/>
      <c r="Y17" s="625"/>
      <c r="Z17" s="188"/>
      <c r="AA17" s="188"/>
      <c r="AB17" s="185"/>
      <c r="AC17" s="182"/>
      <c r="AD17" s="625"/>
      <c r="AE17" s="188"/>
      <c r="AF17" s="188"/>
      <c r="AG17" s="185"/>
      <c r="AH17" s="182"/>
      <c r="AI17" s="625"/>
      <c r="AJ17" s="188"/>
      <c r="AK17" s="188"/>
      <c r="AL17" s="185"/>
      <c r="AM17" s="182"/>
      <c r="AN17" s="625"/>
      <c r="AO17" s="188"/>
      <c r="AP17" s="188"/>
      <c r="AQ17" s="185"/>
      <c r="AR17" s="182"/>
      <c r="AS17" s="625"/>
      <c r="AT17" s="188"/>
      <c r="AU17" s="188"/>
      <c r="AV17" s="185"/>
      <c r="AW17" s="182"/>
      <c r="AX17" s="625"/>
    </row>
    <row r="18" spans="2:50">
      <c r="B18" s="564"/>
      <c r="C18" s="180">
        <v>12</v>
      </c>
      <c r="D18" s="183"/>
      <c r="E18" s="180"/>
      <c r="F18" s="180"/>
      <c r="G18" s="185"/>
      <c r="H18" s="625"/>
      <c r="I18" s="186"/>
      <c r="J18" s="186"/>
      <c r="K18" s="187"/>
      <c r="L18" s="626"/>
      <c r="M18" s="186"/>
      <c r="N18" s="576"/>
      <c r="O18" s="576"/>
      <c r="P18" s="188"/>
      <c r="Q18" s="188"/>
      <c r="R18" s="185"/>
      <c r="S18" s="182"/>
      <c r="T18" s="625"/>
      <c r="U18" s="188"/>
      <c r="V18" s="188"/>
      <c r="W18" s="185"/>
      <c r="X18" s="182"/>
      <c r="Y18" s="625"/>
      <c r="Z18" s="188"/>
      <c r="AA18" s="188"/>
      <c r="AB18" s="185"/>
      <c r="AC18" s="182"/>
      <c r="AD18" s="625"/>
      <c r="AE18" s="188"/>
      <c r="AF18" s="188"/>
      <c r="AG18" s="185"/>
      <c r="AH18" s="182"/>
      <c r="AI18" s="625"/>
      <c r="AJ18" s="188"/>
      <c r="AK18" s="188"/>
      <c r="AL18" s="185"/>
      <c r="AM18" s="182"/>
      <c r="AN18" s="625"/>
      <c r="AO18" s="188"/>
      <c r="AP18" s="188"/>
      <c r="AQ18" s="185"/>
      <c r="AR18" s="182"/>
      <c r="AS18" s="625"/>
      <c r="AT18" s="188"/>
      <c r="AU18" s="188"/>
      <c r="AV18" s="185"/>
      <c r="AW18" s="182"/>
      <c r="AX18" s="625"/>
    </row>
    <row r="19" spans="2:50">
      <c r="B19" s="564"/>
      <c r="C19" s="180">
        <v>13</v>
      </c>
      <c r="D19" s="183"/>
      <c r="E19" s="180"/>
      <c r="F19" s="180"/>
      <c r="G19" s="185"/>
      <c r="H19" s="625"/>
      <c r="I19" s="186"/>
      <c r="J19" s="186"/>
      <c r="K19" s="187"/>
      <c r="L19" s="626"/>
      <c r="M19" s="186"/>
      <c r="N19" s="576"/>
      <c r="O19" s="576"/>
      <c r="P19" s="188"/>
      <c r="Q19" s="188"/>
      <c r="R19" s="185"/>
      <c r="S19" s="182"/>
      <c r="T19" s="625"/>
      <c r="U19" s="188"/>
      <c r="V19" s="188"/>
      <c r="W19" s="185"/>
      <c r="X19" s="182"/>
      <c r="Y19" s="625"/>
      <c r="Z19" s="188"/>
      <c r="AA19" s="188"/>
      <c r="AB19" s="185"/>
      <c r="AC19" s="182"/>
      <c r="AD19" s="625"/>
      <c r="AE19" s="188"/>
      <c r="AF19" s="188"/>
      <c r="AG19" s="185"/>
      <c r="AH19" s="182"/>
      <c r="AI19" s="625"/>
      <c r="AJ19" s="188"/>
      <c r="AK19" s="188"/>
      <c r="AL19" s="185"/>
      <c r="AM19" s="182"/>
      <c r="AN19" s="625"/>
      <c r="AO19" s="188"/>
      <c r="AP19" s="188"/>
      <c r="AQ19" s="185"/>
      <c r="AR19" s="182"/>
      <c r="AS19" s="625"/>
      <c r="AT19" s="188"/>
      <c r="AU19" s="188"/>
      <c r="AV19" s="185"/>
      <c r="AW19" s="182"/>
      <c r="AX19" s="625"/>
    </row>
    <row r="20" spans="2:50">
      <c r="B20" s="564"/>
      <c r="C20" s="180">
        <v>14</v>
      </c>
      <c r="D20" s="183"/>
      <c r="E20" s="180"/>
      <c r="F20" s="180"/>
      <c r="G20" s="185"/>
      <c r="H20" s="625"/>
      <c r="I20" s="186"/>
      <c r="J20" s="186"/>
      <c r="K20" s="187"/>
      <c r="L20" s="626"/>
      <c r="M20" s="186"/>
      <c r="N20" s="576"/>
      <c r="O20" s="576"/>
      <c r="P20" s="188"/>
      <c r="Q20" s="188"/>
      <c r="R20" s="185"/>
      <c r="S20" s="182"/>
      <c r="T20" s="625"/>
      <c r="U20" s="188"/>
      <c r="V20" s="188"/>
      <c r="W20" s="185"/>
      <c r="X20" s="182"/>
      <c r="Y20" s="625"/>
      <c r="Z20" s="188"/>
      <c r="AA20" s="188"/>
      <c r="AB20" s="185"/>
      <c r="AC20" s="182"/>
      <c r="AD20" s="625"/>
      <c r="AE20" s="188"/>
      <c r="AF20" s="188"/>
      <c r="AG20" s="185"/>
      <c r="AH20" s="182"/>
      <c r="AI20" s="625"/>
      <c r="AJ20" s="188"/>
      <c r="AK20" s="188"/>
      <c r="AL20" s="185"/>
      <c r="AM20" s="182"/>
      <c r="AN20" s="625"/>
      <c r="AO20" s="188"/>
      <c r="AP20" s="188"/>
      <c r="AQ20" s="185"/>
      <c r="AR20" s="182"/>
      <c r="AS20" s="625"/>
      <c r="AT20" s="188"/>
      <c r="AU20" s="188"/>
      <c r="AV20" s="185"/>
      <c r="AW20" s="182"/>
      <c r="AX20" s="625"/>
    </row>
    <row r="21" spans="2:50">
      <c r="B21" s="564"/>
      <c r="C21" s="180">
        <v>15</v>
      </c>
      <c r="D21" s="183"/>
      <c r="E21" s="180"/>
      <c r="F21" s="180"/>
      <c r="G21" s="185"/>
      <c r="H21" s="625"/>
      <c r="I21" s="186"/>
      <c r="J21" s="186"/>
      <c r="K21" s="187"/>
      <c r="L21" s="626"/>
      <c r="M21" s="186"/>
      <c r="N21" s="577"/>
      <c r="O21" s="577"/>
      <c r="P21" s="188"/>
      <c r="Q21" s="188"/>
      <c r="R21" s="185"/>
      <c r="S21" s="182"/>
      <c r="T21" s="625"/>
      <c r="U21" s="188"/>
      <c r="V21" s="188"/>
      <c r="W21" s="185"/>
      <c r="X21" s="182"/>
      <c r="Y21" s="625"/>
      <c r="Z21" s="188"/>
      <c r="AA21" s="188"/>
      <c r="AB21" s="185"/>
      <c r="AC21" s="182"/>
      <c r="AD21" s="625"/>
      <c r="AE21" s="188"/>
      <c r="AF21" s="188"/>
      <c r="AG21" s="185"/>
      <c r="AH21" s="182"/>
      <c r="AI21" s="625"/>
      <c r="AJ21" s="188"/>
      <c r="AK21" s="188"/>
      <c r="AL21" s="185"/>
      <c r="AM21" s="182"/>
      <c r="AN21" s="625"/>
      <c r="AO21" s="188"/>
      <c r="AP21" s="188"/>
      <c r="AQ21" s="185"/>
      <c r="AR21" s="182"/>
      <c r="AS21" s="625"/>
      <c r="AT21" s="188"/>
      <c r="AU21" s="188"/>
      <c r="AV21" s="185"/>
      <c r="AW21" s="182"/>
      <c r="AX21" s="625"/>
    </row>
    <row r="22" spans="2:50" ht="14.25" customHeight="1">
      <c r="B22" s="646" t="s">
        <v>641</v>
      </c>
      <c r="C22" s="642"/>
      <c r="D22" s="642"/>
      <c r="E22" s="642"/>
      <c r="F22" s="642"/>
      <c r="G22" s="642"/>
      <c r="H22" s="642"/>
      <c r="I22" s="642"/>
      <c r="J22" s="642"/>
      <c r="K22" s="642"/>
      <c r="L22" s="642"/>
      <c r="M22" s="643"/>
      <c r="N22" s="575" t="s">
        <v>377</v>
      </c>
      <c r="O22" s="575" t="s">
        <v>105</v>
      </c>
      <c r="P22" s="655">
        <v>46084</v>
      </c>
      <c r="Q22" s="656"/>
      <c r="R22" s="656"/>
      <c r="S22" s="656"/>
      <c r="T22" s="656"/>
      <c r="U22" s="657">
        <v>46085</v>
      </c>
      <c r="V22" s="658"/>
      <c r="W22" s="658"/>
      <c r="X22" s="658"/>
      <c r="Y22" s="658"/>
      <c r="Z22" s="655">
        <v>46086</v>
      </c>
      <c r="AA22" s="656"/>
      <c r="AB22" s="656"/>
      <c r="AC22" s="656"/>
      <c r="AD22" s="656"/>
      <c r="AE22" s="657">
        <v>46087</v>
      </c>
      <c r="AF22" s="658"/>
      <c r="AG22" s="658"/>
      <c r="AH22" s="658"/>
      <c r="AI22" s="658"/>
      <c r="AJ22" s="647">
        <v>46088</v>
      </c>
      <c r="AK22" s="648"/>
      <c r="AL22" s="648"/>
      <c r="AM22" s="648"/>
      <c r="AN22" s="649"/>
      <c r="AO22" s="657">
        <v>46089</v>
      </c>
      <c r="AP22" s="658"/>
      <c r="AQ22" s="658"/>
      <c r="AR22" s="658"/>
      <c r="AS22" s="658"/>
      <c r="AT22" s="647">
        <v>46090</v>
      </c>
      <c r="AU22" s="648"/>
      <c r="AV22" s="648"/>
      <c r="AW22" s="648"/>
      <c r="AX22" s="649"/>
    </row>
    <row r="23" spans="2:50" ht="14.25" customHeight="1">
      <c r="B23" s="644"/>
      <c r="C23" s="644"/>
      <c r="D23" s="644"/>
      <c r="E23" s="644"/>
      <c r="F23" s="644"/>
      <c r="G23" s="644"/>
      <c r="H23" s="644"/>
      <c r="I23" s="644"/>
      <c r="J23" s="644"/>
      <c r="K23" s="644"/>
      <c r="L23" s="644"/>
      <c r="M23" s="645"/>
      <c r="N23" s="577"/>
      <c r="O23" s="577"/>
      <c r="P23" s="650">
        <v>46084</v>
      </c>
      <c r="Q23" s="650"/>
      <c r="R23" s="650"/>
      <c r="S23" s="650"/>
      <c r="T23" s="650"/>
      <c r="U23" s="651">
        <v>46085</v>
      </c>
      <c r="V23" s="651"/>
      <c r="W23" s="651"/>
      <c r="X23" s="651"/>
      <c r="Y23" s="651"/>
      <c r="Z23" s="650">
        <v>46086</v>
      </c>
      <c r="AA23" s="650"/>
      <c r="AB23" s="650"/>
      <c r="AC23" s="650"/>
      <c r="AD23" s="650"/>
      <c r="AE23" s="651">
        <v>46087</v>
      </c>
      <c r="AF23" s="651"/>
      <c r="AG23" s="651"/>
      <c r="AH23" s="651"/>
      <c r="AI23" s="651"/>
      <c r="AJ23" s="652">
        <v>46088</v>
      </c>
      <c r="AK23" s="653"/>
      <c r="AL23" s="653"/>
      <c r="AM23" s="653"/>
      <c r="AN23" s="654"/>
      <c r="AO23" s="651">
        <v>46089</v>
      </c>
      <c r="AP23" s="651"/>
      <c r="AQ23" s="651"/>
      <c r="AR23" s="651"/>
      <c r="AS23" s="651"/>
      <c r="AT23" s="652">
        <v>46090</v>
      </c>
      <c r="AU23" s="653"/>
      <c r="AV23" s="653"/>
      <c r="AW23" s="653"/>
      <c r="AX23" s="654"/>
    </row>
    <row r="24" spans="2:50" ht="14.25" customHeight="1">
      <c r="B24" s="564" t="s">
        <v>164</v>
      </c>
      <c r="C24" s="564" t="s">
        <v>159</v>
      </c>
      <c r="D24" s="564"/>
      <c r="E24" s="564" t="s">
        <v>160</v>
      </c>
      <c r="F24" s="564"/>
      <c r="G24" s="564"/>
      <c r="H24" s="564" t="s">
        <v>165</v>
      </c>
      <c r="I24" s="628" t="s">
        <v>378</v>
      </c>
      <c r="J24" s="628"/>
      <c r="K24" s="628"/>
      <c r="L24" s="628" t="s">
        <v>165</v>
      </c>
      <c r="M24" s="628" t="s">
        <v>167</v>
      </c>
      <c r="N24" s="564"/>
      <c r="O24" s="564" t="s">
        <v>166</v>
      </c>
      <c r="P24" s="564" t="s">
        <v>162</v>
      </c>
      <c r="Q24" s="564"/>
      <c r="R24" s="564"/>
      <c r="S24" s="564"/>
      <c r="T24" s="564" t="s">
        <v>165</v>
      </c>
      <c r="U24" s="564" t="s">
        <v>162</v>
      </c>
      <c r="V24" s="564"/>
      <c r="W24" s="564"/>
      <c r="X24" s="564"/>
      <c r="Y24" s="564" t="s">
        <v>165</v>
      </c>
      <c r="Z24" s="564" t="s">
        <v>162</v>
      </c>
      <c r="AA24" s="564"/>
      <c r="AB24" s="564"/>
      <c r="AC24" s="564"/>
      <c r="AD24" s="564" t="s">
        <v>165</v>
      </c>
      <c r="AE24" s="564" t="s">
        <v>162</v>
      </c>
      <c r="AF24" s="564"/>
      <c r="AG24" s="564"/>
      <c r="AH24" s="564"/>
      <c r="AI24" s="564" t="s">
        <v>165</v>
      </c>
      <c r="AJ24" s="564" t="s">
        <v>162</v>
      </c>
      <c r="AK24" s="564"/>
      <c r="AL24" s="564"/>
      <c r="AM24" s="564"/>
      <c r="AN24" s="564" t="s">
        <v>165</v>
      </c>
      <c r="AO24" s="564" t="s">
        <v>162</v>
      </c>
      <c r="AP24" s="564"/>
      <c r="AQ24" s="564"/>
      <c r="AR24" s="564"/>
      <c r="AS24" s="564" t="s">
        <v>165</v>
      </c>
      <c r="AT24" s="564" t="s">
        <v>162</v>
      </c>
      <c r="AU24" s="564"/>
      <c r="AV24" s="564"/>
      <c r="AW24" s="564"/>
      <c r="AX24" s="564" t="s">
        <v>165</v>
      </c>
    </row>
    <row r="25" spans="2:50" ht="14.25" customHeight="1">
      <c r="B25" s="564"/>
      <c r="C25" s="564"/>
      <c r="D25" s="564"/>
      <c r="E25" s="564" t="s">
        <v>379</v>
      </c>
      <c r="F25" s="564"/>
      <c r="G25" s="564"/>
      <c r="H25" s="564"/>
      <c r="I25" s="628" t="s">
        <v>379</v>
      </c>
      <c r="J25" s="628"/>
      <c r="K25" s="628"/>
      <c r="L25" s="628"/>
      <c r="M25" s="628"/>
      <c r="N25" s="564"/>
      <c r="O25" s="564"/>
      <c r="P25" s="564" t="s">
        <v>380</v>
      </c>
      <c r="Q25" s="564"/>
      <c r="R25" s="564"/>
      <c r="S25" s="564"/>
      <c r="T25" s="564"/>
      <c r="U25" s="564" t="s">
        <v>380</v>
      </c>
      <c r="V25" s="564"/>
      <c r="W25" s="564"/>
      <c r="X25" s="564"/>
      <c r="Y25" s="564"/>
      <c r="Z25" s="564" t="s">
        <v>380</v>
      </c>
      <c r="AA25" s="564"/>
      <c r="AB25" s="564"/>
      <c r="AC25" s="564"/>
      <c r="AD25" s="564"/>
      <c r="AE25" s="564" t="s">
        <v>380</v>
      </c>
      <c r="AF25" s="564"/>
      <c r="AG25" s="564"/>
      <c r="AH25" s="564"/>
      <c r="AI25" s="564"/>
      <c r="AJ25" s="564" t="s">
        <v>380</v>
      </c>
      <c r="AK25" s="564"/>
      <c r="AL25" s="564"/>
      <c r="AM25" s="564"/>
      <c r="AN25" s="564"/>
      <c r="AO25" s="564" t="s">
        <v>380</v>
      </c>
      <c r="AP25" s="564"/>
      <c r="AQ25" s="564"/>
      <c r="AR25" s="564"/>
      <c r="AS25" s="564"/>
      <c r="AT25" s="564" t="s">
        <v>380</v>
      </c>
      <c r="AU25" s="564"/>
      <c r="AV25" s="564"/>
      <c r="AW25" s="564"/>
      <c r="AX25" s="564"/>
    </row>
    <row r="26" spans="2:50" ht="14.25" customHeight="1">
      <c r="B26" s="564"/>
      <c r="C26" s="564"/>
      <c r="D26" s="564"/>
      <c r="E26" s="180" t="s">
        <v>161</v>
      </c>
      <c r="F26" s="180" t="s">
        <v>381</v>
      </c>
      <c r="G26" s="180" t="s">
        <v>163</v>
      </c>
      <c r="H26" s="564"/>
      <c r="I26" s="181" t="s">
        <v>161</v>
      </c>
      <c r="J26" s="181" t="s">
        <v>381</v>
      </c>
      <c r="K26" s="181" t="s">
        <v>163</v>
      </c>
      <c r="L26" s="628"/>
      <c r="M26" s="628"/>
      <c r="N26" s="564"/>
      <c r="O26" s="564"/>
      <c r="P26" s="180" t="s">
        <v>161</v>
      </c>
      <c r="Q26" s="180" t="s">
        <v>381</v>
      </c>
      <c r="R26" s="180" t="s">
        <v>163</v>
      </c>
      <c r="S26" s="182" t="s">
        <v>167</v>
      </c>
      <c r="T26" s="564"/>
      <c r="U26" s="180" t="s">
        <v>161</v>
      </c>
      <c r="V26" s="180" t="s">
        <v>381</v>
      </c>
      <c r="W26" s="180" t="s">
        <v>163</v>
      </c>
      <c r="X26" s="182" t="s">
        <v>167</v>
      </c>
      <c r="Y26" s="564"/>
      <c r="Z26" s="180" t="s">
        <v>161</v>
      </c>
      <c r="AA26" s="180" t="s">
        <v>381</v>
      </c>
      <c r="AB26" s="180" t="s">
        <v>163</v>
      </c>
      <c r="AC26" s="182" t="s">
        <v>167</v>
      </c>
      <c r="AD26" s="564"/>
      <c r="AE26" s="180" t="s">
        <v>161</v>
      </c>
      <c r="AF26" s="180" t="s">
        <v>381</v>
      </c>
      <c r="AG26" s="180" t="s">
        <v>163</v>
      </c>
      <c r="AH26" s="182" t="s">
        <v>167</v>
      </c>
      <c r="AI26" s="564"/>
      <c r="AJ26" s="180" t="s">
        <v>161</v>
      </c>
      <c r="AK26" s="180" t="s">
        <v>381</v>
      </c>
      <c r="AL26" s="180" t="s">
        <v>163</v>
      </c>
      <c r="AM26" s="182" t="s">
        <v>167</v>
      </c>
      <c r="AN26" s="564"/>
      <c r="AO26" s="180" t="s">
        <v>161</v>
      </c>
      <c r="AP26" s="180" t="s">
        <v>381</v>
      </c>
      <c r="AQ26" s="180" t="s">
        <v>163</v>
      </c>
      <c r="AR26" s="182" t="s">
        <v>167</v>
      </c>
      <c r="AS26" s="564"/>
      <c r="AT26" s="180" t="s">
        <v>161</v>
      </c>
      <c r="AU26" s="180" t="s">
        <v>381</v>
      </c>
      <c r="AV26" s="180" t="s">
        <v>163</v>
      </c>
      <c r="AW26" s="182" t="s">
        <v>167</v>
      </c>
      <c r="AX26" s="564"/>
    </row>
    <row r="27" spans="2:50" ht="14.25" customHeight="1">
      <c r="B27" s="564" t="s">
        <v>144</v>
      </c>
      <c r="C27" s="180">
        <v>1</v>
      </c>
      <c r="D27" s="183" t="s">
        <v>364</v>
      </c>
      <c r="E27" s="180">
        <v>13</v>
      </c>
      <c r="F27" s="180">
        <v>1200</v>
      </c>
      <c r="G27" s="185">
        <f t="shared" ref="G27" si="19">F27/E27</f>
        <v>92.307692307692307</v>
      </c>
      <c r="H27" s="625">
        <f>AVERAGE(G27:G41)</f>
        <v>92.307692307692307</v>
      </c>
      <c r="I27" s="186">
        <f>AVERAGE(P27,U27,Z27,AE27,AJ27,AO27,AT27)</f>
        <v>13</v>
      </c>
      <c r="J27" s="186">
        <f>AVERAGE(Q27,V27,AA27,AF27,AK27,AP27,AU27)</f>
        <v>1079.6284586101483</v>
      </c>
      <c r="K27" s="187">
        <f>AVERAGE(R27,W27,AB27,AG27,AL27,AQ27,AV27)</f>
        <v>83.048342970011419</v>
      </c>
      <c r="L27" s="626">
        <f>IFERROR(AVERAGE(K27:K41),"-")</f>
        <v>83.048342970011419</v>
      </c>
      <c r="M27" s="186">
        <f>RANK(K27, K$27:$K$41)</f>
        <v>1</v>
      </c>
      <c r="N27" s="564"/>
      <c r="O27" s="564"/>
      <c r="P27" s="188">
        <v>13</v>
      </c>
      <c r="Q27" s="188">
        <v>1079.6318391000511</v>
      </c>
      <c r="R27" s="185">
        <f>IFERROR(Q27/P27,"")</f>
        <v>83.048603007696244</v>
      </c>
      <c r="S27" s="182">
        <f>RANK(R27, R$27:R$41)</f>
        <v>1</v>
      </c>
      <c r="T27" s="625">
        <f>AVERAGE(R27:R41)</f>
        <v>83.048603007696244</v>
      </c>
      <c r="U27" s="188">
        <v>13</v>
      </c>
      <c r="V27" s="188">
        <v>1079.6591447056967</v>
      </c>
      <c r="W27" s="185">
        <f t="shared" ref="W27" si="20">IFERROR(V27/U27,"")</f>
        <v>83.050703438899745</v>
      </c>
      <c r="X27" s="182">
        <f>RANK(W27, W$27:W$41)</f>
        <v>1</v>
      </c>
      <c r="Y27" s="625">
        <f>AVERAGE(W27:W41)</f>
        <v>83.050703438899745</v>
      </c>
      <c r="Z27" s="188">
        <v>13</v>
      </c>
      <c r="AA27" s="188">
        <v>1079.6377054679638</v>
      </c>
      <c r="AB27" s="185">
        <f t="shared" ref="AB27" si="21">IFERROR(AA27/Z27,"")</f>
        <v>83.049054266766447</v>
      </c>
      <c r="AC27" s="182">
        <f>RANK(AB27, AB$27:AB$41)</f>
        <v>1</v>
      </c>
      <c r="AD27" s="625">
        <f>AVERAGE(AB27:AB41)</f>
        <v>83.049054266766447</v>
      </c>
      <c r="AE27" s="188">
        <v>13</v>
      </c>
      <c r="AF27" s="188">
        <v>1079.6264268419231</v>
      </c>
      <c r="AG27" s="185">
        <f>IFERROR(AF27/AE27,"")</f>
        <v>83.048186680147936</v>
      </c>
      <c r="AH27" s="182">
        <f>RANK(AG27, AG$27:AG$41)</f>
        <v>1</v>
      </c>
      <c r="AI27" s="625">
        <f>AVERAGE(AG27:AG41)</f>
        <v>83.048186680147936</v>
      </c>
      <c r="AJ27" s="188">
        <v>13</v>
      </c>
      <c r="AK27" s="188">
        <v>1079.6367916596603</v>
      </c>
      <c r="AL27" s="185">
        <f t="shared" ref="AL27" si="22">IFERROR(AK27/AJ27,"")</f>
        <v>83.048983973820015</v>
      </c>
      <c r="AM27" s="182">
        <f>RANK(AL27, AL$27:AL$41)</f>
        <v>1</v>
      </c>
      <c r="AN27" s="625">
        <f>AVERAGE(AL27:AL41)</f>
        <v>83.048983973820015</v>
      </c>
      <c r="AO27" s="188">
        <v>13</v>
      </c>
      <c r="AP27" s="188">
        <v>1079.6283551273229</v>
      </c>
      <c r="AQ27" s="185">
        <f t="shared" ref="AQ27" si="23">IFERROR(AP27/AO27,"")</f>
        <v>83.048335009794073</v>
      </c>
      <c r="AR27" s="182">
        <f>RANK(AQ27, AQ$27:AQ$41)</f>
        <v>1</v>
      </c>
      <c r="AS27" s="625">
        <f>AVERAGE(AQ27:AQ41)</f>
        <v>83.048335009794073</v>
      </c>
      <c r="AT27" s="188">
        <v>13</v>
      </c>
      <c r="AU27" s="188">
        <v>1079.578947368421</v>
      </c>
      <c r="AV27" s="185">
        <f t="shared" ref="AV27" si="24">IFERROR(AU27/AT27,"")</f>
        <v>83.044534412955471</v>
      </c>
      <c r="AW27" s="182">
        <f>RANK(AV27, AV$27:AV$41)</f>
        <v>1</v>
      </c>
      <c r="AX27" s="625">
        <f>AVERAGE(AV27:AV41)</f>
        <v>83.044534412955471</v>
      </c>
    </row>
    <row r="28" spans="2:50" ht="14.25" customHeight="1">
      <c r="B28" s="564"/>
      <c r="C28" s="180">
        <v>2</v>
      </c>
      <c r="D28" s="183"/>
      <c r="E28" s="180"/>
      <c r="F28" s="180"/>
      <c r="G28" s="185"/>
      <c r="H28" s="625"/>
      <c r="I28" s="186"/>
      <c r="J28" s="186"/>
      <c r="K28" s="187"/>
      <c r="L28" s="626"/>
      <c r="M28" s="186"/>
      <c r="N28" s="564"/>
      <c r="O28" s="564"/>
      <c r="P28" s="188"/>
      <c r="Q28" s="188"/>
      <c r="R28" s="185"/>
      <c r="S28" s="182"/>
      <c r="T28" s="625"/>
      <c r="U28" s="188"/>
      <c r="V28" s="188"/>
      <c r="W28" s="185"/>
      <c r="X28" s="182"/>
      <c r="Y28" s="625"/>
      <c r="Z28" s="188"/>
      <c r="AA28" s="188"/>
      <c r="AB28" s="185"/>
      <c r="AC28" s="182"/>
      <c r="AD28" s="625"/>
      <c r="AE28" s="188"/>
      <c r="AF28" s="188"/>
      <c r="AG28" s="185"/>
      <c r="AH28" s="182"/>
      <c r="AI28" s="625"/>
      <c r="AJ28" s="188"/>
      <c r="AK28" s="188"/>
      <c r="AL28" s="185"/>
      <c r="AM28" s="182"/>
      <c r="AN28" s="625"/>
      <c r="AO28" s="188"/>
      <c r="AP28" s="188"/>
      <c r="AQ28" s="185"/>
      <c r="AR28" s="182"/>
      <c r="AS28" s="625"/>
      <c r="AT28" s="188"/>
      <c r="AU28" s="188"/>
      <c r="AV28" s="185"/>
      <c r="AW28" s="182"/>
      <c r="AX28" s="625"/>
    </row>
    <row r="29" spans="2:50" ht="14.25" customHeight="1">
      <c r="B29" s="564"/>
      <c r="C29" s="180">
        <v>3</v>
      </c>
      <c r="D29" s="183"/>
      <c r="E29" s="180"/>
      <c r="F29" s="180"/>
      <c r="G29" s="185"/>
      <c r="H29" s="625"/>
      <c r="I29" s="186"/>
      <c r="J29" s="186"/>
      <c r="K29" s="187"/>
      <c r="L29" s="626"/>
      <c r="M29" s="186"/>
      <c r="N29" s="564"/>
      <c r="O29" s="564"/>
      <c r="P29" s="188"/>
      <c r="Q29" s="188"/>
      <c r="R29" s="185"/>
      <c r="S29" s="182"/>
      <c r="T29" s="625"/>
      <c r="U29" s="188"/>
      <c r="V29" s="188"/>
      <c r="W29" s="185"/>
      <c r="X29" s="182"/>
      <c r="Y29" s="625"/>
      <c r="Z29" s="188"/>
      <c r="AA29" s="188"/>
      <c r="AB29" s="185"/>
      <c r="AC29" s="182"/>
      <c r="AD29" s="625"/>
      <c r="AE29" s="188"/>
      <c r="AF29" s="188"/>
      <c r="AG29" s="185"/>
      <c r="AH29" s="182"/>
      <c r="AI29" s="625"/>
      <c r="AJ29" s="188"/>
      <c r="AK29" s="188"/>
      <c r="AL29" s="185"/>
      <c r="AM29" s="182"/>
      <c r="AN29" s="625"/>
      <c r="AO29" s="188"/>
      <c r="AP29" s="188"/>
      <c r="AQ29" s="185"/>
      <c r="AR29" s="182"/>
      <c r="AS29" s="625"/>
      <c r="AT29" s="188"/>
      <c r="AU29" s="188"/>
      <c r="AV29" s="185"/>
      <c r="AW29" s="182"/>
      <c r="AX29" s="625"/>
    </row>
    <row r="30" spans="2:50" ht="14.25" customHeight="1">
      <c r="B30" s="564"/>
      <c r="C30" s="180">
        <v>4</v>
      </c>
      <c r="D30" s="183"/>
      <c r="E30" s="180"/>
      <c r="F30" s="180"/>
      <c r="G30" s="185"/>
      <c r="H30" s="625"/>
      <c r="I30" s="186"/>
      <c r="J30" s="186"/>
      <c r="K30" s="187"/>
      <c r="L30" s="626"/>
      <c r="M30" s="186"/>
      <c r="N30" s="564"/>
      <c r="O30" s="564"/>
      <c r="P30" s="188"/>
      <c r="Q30" s="188"/>
      <c r="R30" s="185"/>
      <c r="S30" s="182"/>
      <c r="T30" s="625"/>
      <c r="U30" s="188"/>
      <c r="V30" s="188"/>
      <c r="W30" s="185"/>
      <c r="X30" s="182"/>
      <c r="Y30" s="625"/>
      <c r="Z30" s="188"/>
      <c r="AA30" s="188"/>
      <c r="AB30" s="185"/>
      <c r="AC30" s="182"/>
      <c r="AD30" s="625"/>
      <c r="AE30" s="188"/>
      <c r="AF30" s="188"/>
      <c r="AG30" s="185"/>
      <c r="AH30" s="182"/>
      <c r="AI30" s="625"/>
      <c r="AJ30" s="188"/>
      <c r="AK30" s="188"/>
      <c r="AL30" s="185"/>
      <c r="AM30" s="182"/>
      <c r="AN30" s="625"/>
      <c r="AO30" s="188"/>
      <c r="AP30" s="188"/>
      <c r="AQ30" s="185"/>
      <c r="AR30" s="182"/>
      <c r="AS30" s="625"/>
      <c r="AT30" s="188"/>
      <c r="AU30" s="188"/>
      <c r="AV30" s="185"/>
      <c r="AW30" s="182"/>
      <c r="AX30" s="625"/>
    </row>
    <row r="31" spans="2:50" ht="14.25" customHeight="1">
      <c r="B31" s="564"/>
      <c r="C31" s="180">
        <v>5</v>
      </c>
      <c r="D31" s="183"/>
      <c r="E31" s="180"/>
      <c r="F31" s="180"/>
      <c r="G31" s="185"/>
      <c r="H31" s="625"/>
      <c r="I31" s="186"/>
      <c r="J31" s="186"/>
      <c r="K31" s="187"/>
      <c r="L31" s="626"/>
      <c r="M31" s="186"/>
      <c r="N31" s="564"/>
      <c r="O31" s="564"/>
      <c r="P31" s="188"/>
      <c r="Q31" s="188"/>
      <c r="R31" s="185"/>
      <c r="S31" s="182"/>
      <c r="T31" s="625"/>
      <c r="U31" s="188"/>
      <c r="V31" s="188"/>
      <c r="W31" s="185"/>
      <c r="X31" s="182"/>
      <c r="Y31" s="625"/>
      <c r="Z31" s="188"/>
      <c r="AA31" s="188"/>
      <c r="AB31" s="185"/>
      <c r="AC31" s="182"/>
      <c r="AD31" s="625"/>
      <c r="AE31" s="188"/>
      <c r="AF31" s="188"/>
      <c r="AG31" s="185"/>
      <c r="AH31" s="182"/>
      <c r="AI31" s="625"/>
      <c r="AJ31" s="188"/>
      <c r="AK31" s="188"/>
      <c r="AL31" s="185"/>
      <c r="AM31" s="182"/>
      <c r="AN31" s="625"/>
      <c r="AO31" s="188"/>
      <c r="AP31" s="188"/>
      <c r="AQ31" s="185"/>
      <c r="AR31" s="182"/>
      <c r="AS31" s="625"/>
      <c r="AT31" s="188"/>
      <c r="AU31" s="188"/>
      <c r="AV31" s="185"/>
      <c r="AW31" s="182"/>
      <c r="AX31" s="625"/>
    </row>
    <row r="32" spans="2:50" ht="14.25" customHeight="1">
      <c r="B32" s="564"/>
      <c r="C32" s="180">
        <v>6</v>
      </c>
      <c r="D32" s="183"/>
      <c r="E32" s="180"/>
      <c r="F32" s="180"/>
      <c r="G32" s="185"/>
      <c r="H32" s="625"/>
      <c r="I32" s="186"/>
      <c r="J32" s="186"/>
      <c r="K32" s="187"/>
      <c r="L32" s="626"/>
      <c r="M32" s="186"/>
      <c r="N32" s="564"/>
      <c r="O32" s="564"/>
      <c r="P32" s="188"/>
      <c r="Q32" s="188"/>
      <c r="R32" s="185"/>
      <c r="S32" s="182"/>
      <c r="T32" s="625"/>
      <c r="U32" s="188"/>
      <c r="V32" s="188"/>
      <c r="W32" s="185"/>
      <c r="X32" s="182"/>
      <c r="Y32" s="625"/>
      <c r="Z32" s="188"/>
      <c r="AA32" s="188"/>
      <c r="AB32" s="185"/>
      <c r="AC32" s="182"/>
      <c r="AD32" s="625"/>
      <c r="AE32" s="188"/>
      <c r="AF32" s="188"/>
      <c r="AG32" s="185"/>
      <c r="AH32" s="182"/>
      <c r="AI32" s="625"/>
      <c r="AJ32" s="188"/>
      <c r="AK32" s="188"/>
      <c r="AL32" s="185"/>
      <c r="AM32" s="182"/>
      <c r="AN32" s="625"/>
      <c r="AO32" s="188"/>
      <c r="AP32" s="188"/>
      <c r="AQ32" s="185"/>
      <c r="AR32" s="182"/>
      <c r="AS32" s="625"/>
      <c r="AT32" s="188"/>
      <c r="AU32" s="188"/>
      <c r="AV32" s="185"/>
      <c r="AW32" s="182"/>
      <c r="AX32" s="625"/>
    </row>
    <row r="33" spans="2:50" ht="14.25" customHeight="1">
      <c r="B33" s="564"/>
      <c r="C33" s="180">
        <v>7</v>
      </c>
      <c r="D33" s="183"/>
      <c r="E33" s="180"/>
      <c r="F33" s="180"/>
      <c r="G33" s="185"/>
      <c r="H33" s="625"/>
      <c r="I33" s="186"/>
      <c r="J33" s="186"/>
      <c r="K33" s="187"/>
      <c r="L33" s="626"/>
      <c r="M33" s="186"/>
      <c r="N33" s="564"/>
      <c r="O33" s="564"/>
      <c r="P33" s="188"/>
      <c r="Q33" s="188"/>
      <c r="R33" s="185"/>
      <c r="S33" s="182"/>
      <c r="T33" s="625"/>
      <c r="U33" s="188"/>
      <c r="V33" s="188"/>
      <c r="W33" s="185"/>
      <c r="X33" s="182"/>
      <c r="Y33" s="625"/>
      <c r="Z33" s="188"/>
      <c r="AA33" s="188"/>
      <c r="AB33" s="185"/>
      <c r="AC33" s="182"/>
      <c r="AD33" s="625"/>
      <c r="AE33" s="188"/>
      <c r="AF33" s="188"/>
      <c r="AG33" s="185"/>
      <c r="AH33" s="182"/>
      <c r="AI33" s="625"/>
      <c r="AJ33" s="188"/>
      <c r="AK33" s="188"/>
      <c r="AL33" s="185"/>
      <c r="AM33" s="182"/>
      <c r="AN33" s="625"/>
      <c r="AO33" s="188"/>
      <c r="AP33" s="188"/>
      <c r="AQ33" s="185"/>
      <c r="AR33" s="182"/>
      <c r="AS33" s="625"/>
      <c r="AT33" s="188"/>
      <c r="AU33" s="188"/>
      <c r="AV33" s="185"/>
      <c r="AW33" s="182"/>
      <c r="AX33" s="625"/>
    </row>
    <row r="34" spans="2:50" ht="14.25" customHeight="1">
      <c r="B34" s="564"/>
      <c r="C34" s="180">
        <v>8</v>
      </c>
      <c r="D34" s="183"/>
      <c r="E34" s="180"/>
      <c r="F34" s="180"/>
      <c r="G34" s="185"/>
      <c r="H34" s="625"/>
      <c r="I34" s="186"/>
      <c r="J34" s="186"/>
      <c r="K34" s="187"/>
      <c r="L34" s="626"/>
      <c r="M34" s="186"/>
      <c r="N34" s="564"/>
      <c r="O34" s="564"/>
      <c r="P34" s="188"/>
      <c r="Q34" s="188"/>
      <c r="R34" s="185"/>
      <c r="S34" s="182"/>
      <c r="T34" s="625"/>
      <c r="U34" s="188"/>
      <c r="V34" s="188"/>
      <c r="W34" s="185"/>
      <c r="X34" s="182"/>
      <c r="Y34" s="625"/>
      <c r="Z34" s="188"/>
      <c r="AA34" s="188"/>
      <c r="AB34" s="185"/>
      <c r="AC34" s="182"/>
      <c r="AD34" s="625"/>
      <c r="AE34" s="188"/>
      <c r="AF34" s="188"/>
      <c r="AG34" s="185"/>
      <c r="AH34" s="182"/>
      <c r="AI34" s="625"/>
      <c r="AJ34" s="188"/>
      <c r="AK34" s="188"/>
      <c r="AL34" s="185"/>
      <c r="AM34" s="182"/>
      <c r="AN34" s="625"/>
      <c r="AO34" s="188"/>
      <c r="AP34" s="188"/>
      <c r="AQ34" s="185"/>
      <c r="AR34" s="182"/>
      <c r="AS34" s="625"/>
      <c r="AT34" s="188"/>
      <c r="AU34" s="188"/>
      <c r="AV34" s="185"/>
      <c r="AW34" s="182"/>
      <c r="AX34" s="625"/>
    </row>
    <row r="35" spans="2:50" ht="14.25" customHeight="1">
      <c r="B35" s="564"/>
      <c r="C35" s="180">
        <v>9</v>
      </c>
      <c r="D35" s="183"/>
      <c r="E35" s="180"/>
      <c r="F35" s="180"/>
      <c r="G35" s="185"/>
      <c r="H35" s="625"/>
      <c r="I35" s="186"/>
      <c r="J35" s="186"/>
      <c r="K35" s="187"/>
      <c r="L35" s="626"/>
      <c r="M35" s="186"/>
      <c r="N35" s="564"/>
      <c r="O35" s="564"/>
      <c r="P35" s="188"/>
      <c r="Q35" s="188"/>
      <c r="R35" s="185"/>
      <c r="S35" s="182"/>
      <c r="T35" s="625"/>
      <c r="U35" s="188"/>
      <c r="V35" s="188"/>
      <c r="W35" s="185"/>
      <c r="X35" s="182"/>
      <c r="Y35" s="625"/>
      <c r="Z35" s="188"/>
      <c r="AA35" s="188"/>
      <c r="AB35" s="185"/>
      <c r="AC35" s="182"/>
      <c r="AD35" s="625"/>
      <c r="AE35" s="188"/>
      <c r="AF35" s="188"/>
      <c r="AG35" s="185"/>
      <c r="AH35" s="182"/>
      <c r="AI35" s="625"/>
      <c r="AJ35" s="188"/>
      <c r="AK35" s="188"/>
      <c r="AL35" s="185"/>
      <c r="AM35" s="182"/>
      <c r="AN35" s="625"/>
      <c r="AO35" s="188"/>
      <c r="AP35" s="188"/>
      <c r="AQ35" s="185"/>
      <c r="AR35" s="182"/>
      <c r="AS35" s="625"/>
      <c r="AT35" s="188"/>
      <c r="AU35" s="188"/>
      <c r="AV35" s="185"/>
      <c r="AW35" s="182"/>
      <c r="AX35" s="625"/>
    </row>
    <row r="36" spans="2:50" ht="14.25" customHeight="1">
      <c r="B36" s="564"/>
      <c r="C36" s="180">
        <v>10</v>
      </c>
      <c r="D36" s="183"/>
      <c r="E36" s="180"/>
      <c r="F36" s="180"/>
      <c r="G36" s="185"/>
      <c r="H36" s="625"/>
      <c r="I36" s="186"/>
      <c r="J36" s="186"/>
      <c r="K36" s="187"/>
      <c r="L36" s="626"/>
      <c r="M36" s="186"/>
      <c r="N36" s="564"/>
      <c r="O36" s="564"/>
      <c r="P36" s="188"/>
      <c r="Q36" s="188"/>
      <c r="R36" s="185"/>
      <c r="S36" s="182"/>
      <c r="T36" s="625"/>
      <c r="U36" s="188"/>
      <c r="V36" s="188"/>
      <c r="W36" s="185"/>
      <c r="X36" s="182"/>
      <c r="Y36" s="625"/>
      <c r="Z36" s="188"/>
      <c r="AA36" s="188"/>
      <c r="AB36" s="185"/>
      <c r="AC36" s="182"/>
      <c r="AD36" s="625"/>
      <c r="AE36" s="188"/>
      <c r="AF36" s="188"/>
      <c r="AG36" s="185"/>
      <c r="AH36" s="182"/>
      <c r="AI36" s="625"/>
      <c r="AJ36" s="188"/>
      <c r="AK36" s="188"/>
      <c r="AL36" s="185"/>
      <c r="AM36" s="182"/>
      <c r="AN36" s="625"/>
      <c r="AO36" s="188"/>
      <c r="AP36" s="188"/>
      <c r="AQ36" s="185"/>
      <c r="AR36" s="182"/>
      <c r="AS36" s="625"/>
      <c r="AT36" s="188"/>
      <c r="AU36" s="188"/>
      <c r="AV36" s="185"/>
      <c r="AW36" s="182"/>
      <c r="AX36" s="625"/>
    </row>
    <row r="37" spans="2:50" ht="14.25" customHeight="1">
      <c r="B37" s="564"/>
      <c r="C37" s="180">
        <v>11</v>
      </c>
      <c r="D37" s="183"/>
      <c r="E37" s="180"/>
      <c r="F37" s="180"/>
      <c r="G37" s="185"/>
      <c r="H37" s="625"/>
      <c r="I37" s="186"/>
      <c r="J37" s="186"/>
      <c r="K37" s="187"/>
      <c r="L37" s="626"/>
      <c r="M37" s="186"/>
      <c r="N37" s="564"/>
      <c r="O37" s="564"/>
      <c r="P37" s="188"/>
      <c r="Q37" s="188"/>
      <c r="R37" s="185"/>
      <c r="S37" s="182"/>
      <c r="T37" s="625"/>
      <c r="U37" s="188"/>
      <c r="V37" s="188"/>
      <c r="W37" s="185"/>
      <c r="X37" s="182"/>
      <c r="Y37" s="625"/>
      <c r="Z37" s="188"/>
      <c r="AA37" s="188"/>
      <c r="AB37" s="185"/>
      <c r="AC37" s="182"/>
      <c r="AD37" s="625"/>
      <c r="AE37" s="188"/>
      <c r="AF37" s="188"/>
      <c r="AG37" s="185"/>
      <c r="AH37" s="182"/>
      <c r="AI37" s="625"/>
      <c r="AJ37" s="188"/>
      <c r="AK37" s="188"/>
      <c r="AL37" s="185"/>
      <c r="AM37" s="182"/>
      <c r="AN37" s="625"/>
      <c r="AO37" s="188"/>
      <c r="AP37" s="188"/>
      <c r="AQ37" s="185"/>
      <c r="AR37" s="182"/>
      <c r="AS37" s="625"/>
      <c r="AT37" s="188"/>
      <c r="AU37" s="188"/>
      <c r="AV37" s="185"/>
      <c r="AW37" s="182"/>
      <c r="AX37" s="625"/>
    </row>
    <row r="38" spans="2:50" ht="14.25" customHeight="1">
      <c r="B38" s="564"/>
      <c r="C38" s="180">
        <v>12</v>
      </c>
      <c r="D38" s="183"/>
      <c r="E38" s="180"/>
      <c r="F38" s="180"/>
      <c r="G38" s="185"/>
      <c r="H38" s="625"/>
      <c r="I38" s="186"/>
      <c r="J38" s="186"/>
      <c r="K38" s="187"/>
      <c r="L38" s="626"/>
      <c r="M38" s="186"/>
      <c r="N38" s="564"/>
      <c r="O38" s="564"/>
      <c r="P38" s="188"/>
      <c r="Q38" s="188"/>
      <c r="R38" s="185"/>
      <c r="S38" s="182"/>
      <c r="T38" s="625"/>
      <c r="U38" s="188"/>
      <c r="V38" s="188"/>
      <c r="W38" s="185"/>
      <c r="X38" s="182"/>
      <c r="Y38" s="625"/>
      <c r="Z38" s="188"/>
      <c r="AA38" s="188"/>
      <c r="AB38" s="185"/>
      <c r="AC38" s="182"/>
      <c r="AD38" s="625"/>
      <c r="AE38" s="188"/>
      <c r="AF38" s="188"/>
      <c r="AG38" s="185"/>
      <c r="AH38" s="182"/>
      <c r="AI38" s="625"/>
      <c r="AJ38" s="188"/>
      <c r="AK38" s="188"/>
      <c r="AL38" s="185"/>
      <c r="AM38" s="182"/>
      <c r="AN38" s="625"/>
      <c r="AO38" s="188"/>
      <c r="AP38" s="188"/>
      <c r="AQ38" s="185"/>
      <c r="AR38" s="182"/>
      <c r="AS38" s="625"/>
      <c r="AT38" s="188"/>
      <c r="AU38" s="188"/>
      <c r="AV38" s="185"/>
      <c r="AW38" s="182"/>
      <c r="AX38" s="625"/>
    </row>
    <row r="39" spans="2:50" ht="14.25" customHeight="1">
      <c r="B39" s="564"/>
      <c r="C39" s="180">
        <v>13</v>
      </c>
      <c r="D39" s="183"/>
      <c r="E39" s="180"/>
      <c r="F39" s="180"/>
      <c r="G39" s="185"/>
      <c r="H39" s="625"/>
      <c r="I39" s="186"/>
      <c r="J39" s="186"/>
      <c r="K39" s="187"/>
      <c r="L39" s="626"/>
      <c r="M39" s="186"/>
      <c r="N39" s="564"/>
      <c r="O39" s="564"/>
      <c r="P39" s="188"/>
      <c r="Q39" s="188"/>
      <c r="R39" s="185"/>
      <c r="S39" s="182"/>
      <c r="T39" s="625"/>
      <c r="U39" s="188"/>
      <c r="V39" s="188"/>
      <c r="W39" s="185"/>
      <c r="X39" s="182"/>
      <c r="Y39" s="625"/>
      <c r="Z39" s="188"/>
      <c r="AA39" s="188"/>
      <c r="AB39" s="185"/>
      <c r="AC39" s="182"/>
      <c r="AD39" s="625"/>
      <c r="AE39" s="188"/>
      <c r="AF39" s="188"/>
      <c r="AG39" s="185"/>
      <c r="AH39" s="182"/>
      <c r="AI39" s="625"/>
      <c r="AJ39" s="188"/>
      <c r="AK39" s="188"/>
      <c r="AL39" s="185"/>
      <c r="AM39" s="182"/>
      <c r="AN39" s="625"/>
      <c r="AO39" s="188"/>
      <c r="AP39" s="188"/>
      <c r="AQ39" s="185"/>
      <c r="AR39" s="182"/>
      <c r="AS39" s="625"/>
      <c r="AT39" s="188"/>
      <c r="AU39" s="188"/>
      <c r="AV39" s="185"/>
      <c r="AW39" s="182"/>
      <c r="AX39" s="625"/>
    </row>
    <row r="40" spans="2:50" ht="14.25" customHeight="1">
      <c r="B40" s="564"/>
      <c r="C40" s="180">
        <v>14</v>
      </c>
      <c r="D40" s="183"/>
      <c r="E40" s="180"/>
      <c r="F40" s="180"/>
      <c r="G40" s="185"/>
      <c r="H40" s="625"/>
      <c r="I40" s="186"/>
      <c r="J40" s="186"/>
      <c r="K40" s="187"/>
      <c r="L40" s="626"/>
      <c r="M40" s="186"/>
      <c r="N40" s="564"/>
      <c r="O40" s="564"/>
      <c r="P40" s="188"/>
      <c r="Q40" s="188"/>
      <c r="R40" s="185"/>
      <c r="S40" s="182"/>
      <c r="T40" s="625"/>
      <c r="U40" s="188"/>
      <c r="V40" s="188"/>
      <c r="W40" s="185"/>
      <c r="X40" s="182"/>
      <c r="Y40" s="625"/>
      <c r="Z40" s="188"/>
      <c r="AA40" s="188"/>
      <c r="AB40" s="185"/>
      <c r="AC40" s="182"/>
      <c r="AD40" s="625"/>
      <c r="AE40" s="188"/>
      <c r="AF40" s="188"/>
      <c r="AG40" s="185"/>
      <c r="AH40" s="182"/>
      <c r="AI40" s="625"/>
      <c r="AJ40" s="188"/>
      <c r="AK40" s="188"/>
      <c r="AL40" s="185"/>
      <c r="AM40" s="182"/>
      <c r="AN40" s="625"/>
      <c r="AO40" s="188"/>
      <c r="AP40" s="188"/>
      <c r="AQ40" s="185"/>
      <c r="AR40" s="182"/>
      <c r="AS40" s="625"/>
      <c r="AT40" s="188"/>
      <c r="AU40" s="188"/>
      <c r="AV40" s="185"/>
      <c r="AW40" s="182"/>
      <c r="AX40" s="625"/>
    </row>
    <row r="41" spans="2:50" ht="14.25" customHeight="1">
      <c r="B41" s="564"/>
      <c r="C41" s="180">
        <v>15</v>
      </c>
      <c r="D41" s="183"/>
      <c r="E41" s="180"/>
      <c r="F41" s="180"/>
      <c r="G41" s="185"/>
      <c r="H41" s="625"/>
      <c r="I41" s="186"/>
      <c r="J41" s="186"/>
      <c r="K41" s="187"/>
      <c r="L41" s="626"/>
      <c r="M41" s="186"/>
      <c r="N41" s="564"/>
      <c r="O41" s="564"/>
      <c r="P41" s="188"/>
      <c r="Q41" s="188"/>
      <c r="R41" s="185"/>
      <c r="S41" s="182"/>
      <c r="T41" s="625"/>
      <c r="U41" s="188"/>
      <c r="V41" s="188"/>
      <c r="W41" s="185"/>
      <c r="X41" s="182"/>
      <c r="Y41" s="625"/>
      <c r="Z41" s="188"/>
      <c r="AA41" s="188"/>
      <c r="AB41" s="185"/>
      <c r="AC41" s="182"/>
      <c r="AD41" s="625"/>
      <c r="AE41" s="188"/>
      <c r="AF41" s="188"/>
      <c r="AG41" s="185"/>
      <c r="AH41" s="182"/>
      <c r="AI41" s="625"/>
      <c r="AJ41" s="188"/>
      <c r="AK41" s="188"/>
      <c r="AL41" s="185"/>
      <c r="AM41" s="182"/>
      <c r="AN41" s="625"/>
      <c r="AO41" s="188"/>
      <c r="AP41" s="188"/>
      <c r="AQ41" s="185"/>
      <c r="AR41" s="182"/>
      <c r="AS41" s="625"/>
      <c r="AT41" s="188"/>
      <c r="AU41" s="188"/>
      <c r="AV41" s="185"/>
      <c r="AW41" s="182"/>
      <c r="AX41" s="625"/>
    </row>
    <row r="42" spans="2:50" ht="14.25" customHeight="1" collapsed="1">
      <c r="B42" s="646" t="s">
        <v>642</v>
      </c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43"/>
      <c r="N42" s="575" t="s">
        <v>377</v>
      </c>
      <c r="O42" s="575" t="s">
        <v>105</v>
      </c>
      <c r="P42" s="655">
        <f>AT22+1</f>
        <v>46091</v>
      </c>
      <c r="Q42" s="656"/>
      <c r="R42" s="656"/>
      <c r="S42" s="656"/>
      <c r="T42" s="656"/>
      <c r="U42" s="657">
        <f>P42+1</f>
        <v>46092</v>
      </c>
      <c r="V42" s="658"/>
      <c r="W42" s="658"/>
      <c r="X42" s="658"/>
      <c r="Y42" s="658"/>
      <c r="Z42" s="655">
        <f t="shared" ref="Z42" si="25">U42+1</f>
        <v>46093</v>
      </c>
      <c r="AA42" s="656"/>
      <c r="AB42" s="656"/>
      <c r="AC42" s="656"/>
      <c r="AD42" s="656"/>
      <c r="AE42" s="657">
        <f t="shared" ref="AE42" si="26">Z42+1</f>
        <v>46094</v>
      </c>
      <c r="AF42" s="658"/>
      <c r="AG42" s="658"/>
      <c r="AH42" s="658"/>
      <c r="AI42" s="658"/>
      <c r="AJ42" s="647">
        <f t="shared" ref="AJ42" si="27">AE42+1</f>
        <v>46095</v>
      </c>
      <c r="AK42" s="648"/>
      <c r="AL42" s="648"/>
      <c r="AM42" s="648"/>
      <c r="AN42" s="649"/>
      <c r="AO42" s="657">
        <f t="shared" ref="AO42" si="28">AJ42+1</f>
        <v>46096</v>
      </c>
      <c r="AP42" s="658"/>
      <c r="AQ42" s="658"/>
      <c r="AR42" s="658"/>
      <c r="AS42" s="658"/>
      <c r="AT42" s="647">
        <f t="shared" ref="AT42" si="29">AO42+1</f>
        <v>46097</v>
      </c>
      <c r="AU42" s="648"/>
      <c r="AV42" s="648"/>
      <c r="AW42" s="648"/>
      <c r="AX42" s="649"/>
    </row>
    <row r="43" spans="2:50" ht="14.25" customHeight="1">
      <c r="B43" s="644"/>
      <c r="C43" s="644"/>
      <c r="D43" s="644"/>
      <c r="E43" s="644"/>
      <c r="F43" s="644"/>
      <c r="G43" s="644"/>
      <c r="H43" s="644"/>
      <c r="I43" s="644"/>
      <c r="J43" s="644"/>
      <c r="K43" s="644"/>
      <c r="L43" s="644"/>
      <c r="M43" s="645"/>
      <c r="N43" s="577"/>
      <c r="O43" s="577"/>
      <c r="P43" s="650">
        <f>P42</f>
        <v>46091</v>
      </c>
      <c r="Q43" s="650"/>
      <c r="R43" s="650"/>
      <c r="S43" s="650"/>
      <c r="T43" s="650"/>
      <c r="U43" s="651">
        <f>U42</f>
        <v>46092</v>
      </c>
      <c r="V43" s="651"/>
      <c r="W43" s="651"/>
      <c r="X43" s="651"/>
      <c r="Y43" s="651"/>
      <c r="Z43" s="650">
        <f t="shared" ref="Z43" si="30">Z42</f>
        <v>46093</v>
      </c>
      <c r="AA43" s="650"/>
      <c r="AB43" s="650"/>
      <c r="AC43" s="650"/>
      <c r="AD43" s="650"/>
      <c r="AE43" s="651">
        <f t="shared" ref="AE43" si="31">AE42</f>
        <v>46094</v>
      </c>
      <c r="AF43" s="651"/>
      <c r="AG43" s="651"/>
      <c r="AH43" s="651"/>
      <c r="AI43" s="651"/>
      <c r="AJ43" s="652">
        <f t="shared" ref="AJ43" si="32">AJ42</f>
        <v>46095</v>
      </c>
      <c r="AK43" s="653"/>
      <c r="AL43" s="653"/>
      <c r="AM43" s="653"/>
      <c r="AN43" s="654"/>
      <c r="AO43" s="651">
        <f t="shared" ref="AO43" si="33">AO42</f>
        <v>46096</v>
      </c>
      <c r="AP43" s="651"/>
      <c r="AQ43" s="651"/>
      <c r="AR43" s="651"/>
      <c r="AS43" s="651"/>
      <c r="AT43" s="652">
        <f t="shared" ref="AT43" si="34">AT42</f>
        <v>46097</v>
      </c>
      <c r="AU43" s="653"/>
      <c r="AV43" s="653"/>
      <c r="AW43" s="653"/>
      <c r="AX43" s="654"/>
    </row>
    <row r="44" spans="2:50" ht="14.25" customHeight="1">
      <c r="B44" s="564" t="s">
        <v>164</v>
      </c>
      <c r="C44" s="564" t="s">
        <v>159</v>
      </c>
      <c r="D44" s="564"/>
      <c r="E44" s="564" t="s">
        <v>160</v>
      </c>
      <c r="F44" s="564"/>
      <c r="G44" s="564"/>
      <c r="H44" s="564" t="s">
        <v>165</v>
      </c>
      <c r="I44" s="628" t="s">
        <v>378</v>
      </c>
      <c r="J44" s="628"/>
      <c r="K44" s="628"/>
      <c r="L44" s="628" t="s">
        <v>165</v>
      </c>
      <c r="M44" s="628" t="s">
        <v>167</v>
      </c>
      <c r="N44" s="564"/>
      <c r="O44" s="564" t="s">
        <v>166</v>
      </c>
      <c r="P44" s="564" t="s">
        <v>162</v>
      </c>
      <c r="Q44" s="564"/>
      <c r="R44" s="564"/>
      <c r="S44" s="564"/>
      <c r="T44" s="564" t="s">
        <v>165</v>
      </c>
      <c r="U44" s="564" t="s">
        <v>162</v>
      </c>
      <c r="V44" s="564"/>
      <c r="W44" s="564"/>
      <c r="X44" s="564"/>
      <c r="Y44" s="564" t="s">
        <v>165</v>
      </c>
      <c r="Z44" s="564" t="s">
        <v>162</v>
      </c>
      <c r="AA44" s="564"/>
      <c r="AB44" s="564"/>
      <c r="AC44" s="564"/>
      <c r="AD44" s="564" t="s">
        <v>165</v>
      </c>
      <c r="AE44" s="564" t="s">
        <v>162</v>
      </c>
      <c r="AF44" s="564"/>
      <c r="AG44" s="564"/>
      <c r="AH44" s="564"/>
      <c r="AI44" s="564" t="s">
        <v>165</v>
      </c>
      <c r="AJ44" s="564" t="s">
        <v>162</v>
      </c>
      <c r="AK44" s="564"/>
      <c r="AL44" s="564"/>
      <c r="AM44" s="564"/>
      <c r="AN44" s="564" t="s">
        <v>165</v>
      </c>
      <c r="AO44" s="564" t="s">
        <v>162</v>
      </c>
      <c r="AP44" s="564"/>
      <c r="AQ44" s="564"/>
      <c r="AR44" s="564"/>
      <c r="AS44" s="564" t="s">
        <v>165</v>
      </c>
      <c r="AT44" s="564" t="s">
        <v>162</v>
      </c>
      <c r="AU44" s="564"/>
      <c r="AV44" s="564"/>
      <c r="AW44" s="564"/>
      <c r="AX44" s="564" t="s">
        <v>165</v>
      </c>
    </row>
    <row r="45" spans="2:50" ht="14.25" customHeight="1">
      <c r="B45" s="564"/>
      <c r="C45" s="564"/>
      <c r="D45" s="564"/>
      <c r="E45" s="564" t="s">
        <v>379</v>
      </c>
      <c r="F45" s="564"/>
      <c r="G45" s="564"/>
      <c r="H45" s="564"/>
      <c r="I45" s="628" t="s">
        <v>379</v>
      </c>
      <c r="J45" s="628"/>
      <c r="K45" s="628"/>
      <c r="L45" s="628"/>
      <c r="M45" s="628"/>
      <c r="N45" s="564"/>
      <c r="O45" s="564"/>
      <c r="P45" s="564" t="s">
        <v>380</v>
      </c>
      <c r="Q45" s="564"/>
      <c r="R45" s="564"/>
      <c r="S45" s="564"/>
      <c r="T45" s="564"/>
      <c r="U45" s="564" t="s">
        <v>380</v>
      </c>
      <c r="V45" s="564"/>
      <c r="W45" s="564"/>
      <c r="X45" s="564"/>
      <c r="Y45" s="564"/>
      <c r="Z45" s="564" t="s">
        <v>380</v>
      </c>
      <c r="AA45" s="564"/>
      <c r="AB45" s="564"/>
      <c r="AC45" s="564"/>
      <c r="AD45" s="564"/>
      <c r="AE45" s="564" t="s">
        <v>380</v>
      </c>
      <c r="AF45" s="564"/>
      <c r="AG45" s="564"/>
      <c r="AH45" s="564"/>
      <c r="AI45" s="564"/>
      <c r="AJ45" s="564" t="s">
        <v>380</v>
      </c>
      <c r="AK45" s="564"/>
      <c r="AL45" s="564"/>
      <c r="AM45" s="564"/>
      <c r="AN45" s="564"/>
      <c r="AO45" s="564" t="s">
        <v>380</v>
      </c>
      <c r="AP45" s="564"/>
      <c r="AQ45" s="564"/>
      <c r="AR45" s="564"/>
      <c r="AS45" s="564"/>
      <c r="AT45" s="564" t="s">
        <v>380</v>
      </c>
      <c r="AU45" s="564"/>
      <c r="AV45" s="564"/>
      <c r="AW45" s="564"/>
      <c r="AX45" s="564"/>
    </row>
    <row r="46" spans="2:50" ht="14.25" customHeight="1">
      <c r="B46" s="564"/>
      <c r="C46" s="564"/>
      <c r="D46" s="564"/>
      <c r="E46" s="180" t="s">
        <v>161</v>
      </c>
      <c r="F46" s="180" t="s">
        <v>381</v>
      </c>
      <c r="G46" s="180" t="s">
        <v>163</v>
      </c>
      <c r="H46" s="564"/>
      <c r="I46" s="181" t="s">
        <v>161</v>
      </c>
      <c r="J46" s="181" t="s">
        <v>381</v>
      </c>
      <c r="K46" s="181" t="s">
        <v>163</v>
      </c>
      <c r="L46" s="628"/>
      <c r="M46" s="628"/>
      <c r="N46" s="564"/>
      <c r="O46" s="564"/>
      <c r="P46" s="180" t="s">
        <v>161</v>
      </c>
      <c r="Q46" s="180" t="s">
        <v>381</v>
      </c>
      <c r="R46" s="180" t="s">
        <v>163</v>
      </c>
      <c r="S46" s="182" t="s">
        <v>167</v>
      </c>
      <c r="T46" s="564"/>
      <c r="U46" s="180" t="s">
        <v>161</v>
      </c>
      <c r="V46" s="180" t="s">
        <v>381</v>
      </c>
      <c r="W46" s="180" t="s">
        <v>163</v>
      </c>
      <c r="X46" s="182" t="s">
        <v>167</v>
      </c>
      <c r="Y46" s="564"/>
      <c r="Z46" s="180" t="s">
        <v>161</v>
      </c>
      <c r="AA46" s="180" t="s">
        <v>381</v>
      </c>
      <c r="AB46" s="180" t="s">
        <v>163</v>
      </c>
      <c r="AC46" s="182" t="s">
        <v>167</v>
      </c>
      <c r="AD46" s="564"/>
      <c r="AE46" s="180" t="s">
        <v>161</v>
      </c>
      <c r="AF46" s="180" t="s">
        <v>381</v>
      </c>
      <c r="AG46" s="180" t="s">
        <v>163</v>
      </c>
      <c r="AH46" s="182" t="s">
        <v>167</v>
      </c>
      <c r="AI46" s="564"/>
      <c r="AJ46" s="180" t="s">
        <v>161</v>
      </c>
      <c r="AK46" s="180" t="s">
        <v>381</v>
      </c>
      <c r="AL46" s="180" t="s">
        <v>163</v>
      </c>
      <c r="AM46" s="182" t="s">
        <v>167</v>
      </c>
      <c r="AN46" s="564"/>
      <c r="AO46" s="180" t="s">
        <v>161</v>
      </c>
      <c r="AP46" s="180" t="s">
        <v>381</v>
      </c>
      <c r="AQ46" s="180" t="s">
        <v>163</v>
      </c>
      <c r="AR46" s="182" t="s">
        <v>167</v>
      </c>
      <c r="AS46" s="564"/>
      <c r="AT46" s="180" t="s">
        <v>161</v>
      </c>
      <c r="AU46" s="180" t="s">
        <v>381</v>
      </c>
      <c r="AV46" s="180" t="s">
        <v>163</v>
      </c>
      <c r="AW46" s="182" t="s">
        <v>167</v>
      </c>
      <c r="AX46" s="564"/>
    </row>
    <row r="47" spans="2:50" ht="14.25" customHeight="1">
      <c r="B47" s="564" t="s">
        <v>144</v>
      </c>
      <c r="C47" s="180">
        <v>1</v>
      </c>
      <c r="D47" s="183" t="s">
        <v>364</v>
      </c>
      <c r="E47" s="180">
        <v>13</v>
      </c>
      <c r="F47" s="180">
        <v>1200</v>
      </c>
      <c r="G47" s="185">
        <f t="shared" ref="G47" si="35">F47/E47</f>
        <v>92.307692307692307</v>
      </c>
      <c r="H47" s="625">
        <f>AVERAGE(G47:G61)</f>
        <v>92.307692307692307</v>
      </c>
      <c r="I47" s="186">
        <f>AVERAGE(P47,U47,Z47,AE47,AJ47,AO47,AT47)</f>
        <v>13</v>
      </c>
      <c r="J47" s="186">
        <f>AVERAGE(Q47,V47,AA47,AF47,AK47,AP47,AU47)</f>
        <v>1079.53422725718</v>
      </c>
      <c r="K47" s="187">
        <f>AVERAGE(R47,W47,AB47,AG47,AL47,AQ47,AV47)</f>
        <v>83.04109440439845</v>
      </c>
      <c r="L47" s="626">
        <f>IFERROR(AVERAGE(K47:K61),"-")</f>
        <v>83.04109440439845</v>
      </c>
      <c r="M47" s="186">
        <f>RANK(K47, K$47:$K$61)</f>
        <v>1</v>
      </c>
      <c r="N47" s="564"/>
      <c r="O47" s="564"/>
      <c r="P47" s="188">
        <v>13</v>
      </c>
      <c r="Q47" s="188">
        <v>1079.5611540024381</v>
      </c>
      <c r="R47" s="185">
        <f>IFERROR(Q47/P47,"")</f>
        <v>83.043165692495236</v>
      </c>
      <c r="S47" s="182">
        <f>RANK(R47, R$47:R$61)</f>
        <v>1</v>
      </c>
      <c r="T47" s="625">
        <f>AVERAGE(R47:R61)</f>
        <v>83.043165692495236</v>
      </c>
      <c r="U47" s="188">
        <v>13</v>
      </c>
      <c r="V47" s="188">
        <v>1079.5059469350408</v>
      </c>
      <c r="W47" s="185">
        <f t="shared" ref="W47" si="36">IFERROR(V47/U47,"")</f>
        <v>83.038918995003144</v>
      </c>
      <c r="X47" s="182">
        <f>RANK(W47, W$47:W$61)</f>
        <v>1</v>
      </c>
      <c r="Y47" s="625">
        <f>AVERAGE(W47:W61)</f>
        <v>83.038918995003144</v>
      </c>
      <c r="Z47" s="188">
        <v>13</v>
      </c>
      <c r="AA47" s="188">
        <v>1079.502533394749</v>
      </c>
      <c r="AB47" s="185">
        <f t="shared" ref="AB47" si="37">IFERROR(AA47/Z47,"")</f>
        <v>83.038656414980693</v>
      </c>
      <c r="AC47" s="182">
        <f>RANK(AB47, AB$47:AB$61)</f>
        <v>1</v>
      </c>
      <c r="AD47" s="625">
        <f>AVERAGE(AB47:AB61)</f>
        <v>83.038656414980693</v>
      </c>
      <c r="AE47" s="188">
        <v>13</v>
      </c>
      <c r="AF47" s="188">
        <v>1079.5386586928662</v>
      </c>
      <c r="AG47" s="185">
        <f>IFERROR(AF47/AE47,"")</f>
        <v>83.041435284066637</v>
      </c>
      <c r="AH47" s="182">
        <f>RANK(AG47, AG$47:AG$61)</f>
        <v>1</v>
      </c>
      <c r="AI47" s="625">
        <f>AVERAGE(AG47:AG61)</f>
        <v>83.041435284066637</v>
      </c>
      <c r="AJ47" s="188">
        <v>13</v>
      </c>
      <c r="AK47" s="188">
        <v>1079.526523454625</v>
      </c>
      <c r="AL47" s="185">
        <f t="shared" ref="AL47" si="38">IFERROR(AK47/AJ47,"")</f>
        <v>83.040501804201924</v>
      </c>
      <c r="AM47" s="182">
        <f>RANK(AL47, AL$47:AL$61)</f>
        <v>1</v>
      </c>
      <c r="AN47" s="625">
        <f>AVERAGE(AL47:AL61)</f>
        <v>83.040501804201924</v>
      </c>
      <c r="AO47" s="188">
        <v>13</v>
      </c>
      <c r="AP47" s="188">
        <v>1079.5564681724845</v>
      </c>
      <c r="AQ47" s="185">
        <f t="shared" ref="AQ47" si="39">IFERROR(AP47/AO47,"")</f>
        <v>83.042805244037268</v>
      </c>
      <c r="AR47" s="182">
        <f>RANK(AQ47, AQ$47:AQ$61)</f>
        <v>1</v>
      </c>
      <c r="AS47" s="625">
        <f>AVERAGE(AQ47:AQ61)</f>
        <v>83.042805244037268</v>
      </c>
      <c r="AT47" s="188">
        <v>13</v>
      </c>
      <c r="AU47" s="188">
        <v>1079.5483061480554</v>
      </c>
      <c r="AV47" s="185">
        <f t="shared" ref="AV47" si="40">IFERROR(AU47/AT47,"")</f>
        <v>83.042177396004263</v>
      </c>
      <c r="AW47" s="182">
        <f>RANK(AV47, AV$47:AV$61)</f>
        <v>1</v>
      </c>
      <c r="AX47" s="625">
        <f>AVERAGE(AV47:AV61)</f>
        <v>83.042177396004263</v>
      </c>
    </row>
    <row r="48" spans="2:50" ht="14.25" customHeight="1">
      <c r="B48" s="564"/>
      <c r="C48" s="180">
        <v>2</v>
      </c>
      <c r="D48" s="183"/>
      <c r="E48" s="180"/>
      <c r="F48" s="180"/>
      <c r="G48" s="185"/>
      <c r="H48" s="625"/>
      <c r="I48" s="186"/>
      <c r="J48" s="186"/>
      <c r="K48" s="187"/>
      <c r="L48" s="626"/>
      <c r="M48" s="186"/>
      <c r="N48" s="564"/>
      <c r="O48" s="564"/>
      <c r="P48" s="188"/>
      <c r="Q48" s="188"/>
      <c r="R48" s="185"/>
      <c r="S48" s="182"/>
      <c r="T48" s="625"/>
      <c r="U48" s="188"/>
      <c r="V48" s="188"/>
      <c r="W48" s="185"/>
      <c r="X48" s="182"/>
      <c r="Y48" s="625"/>
      <c r="Z48" s="188"/>
      <c r="AA48" s="188"/>
      <c r="AB48" s="185"/>
      <c r="AC48" s="182"/>
      <c r="AD48" s="625"/>
      <c r="AE48" s="188"/>
      <c r="AF48" s="188"/>
      <c r="AG48" s="185"/>
      <c r="AH48" s="182"/>
      <c r="AI48" s="625"/>
      <c r="AJ48" s="188"/>
      <c r="AK48" s="188"/>
      <c r="AL48" s="185"/>
      <c r="AM48" s="182"/>
      <c r="AN48" s="625"/>
      <c r="AO48" s="188"/>
      <c r="AP48" s="188"/>
      <c r="AQ48" s="185"/>
      <c r="AR48" s="182"/>
      <c r="AS48" s="625"/>
      <c r="AT48" s="188"/>
      <c r="AU48" s="188"/>
      <c r="AV48" s="185"/>
      <c r="AW48" s="182"/>
      <c r="AX48" s="625"/>
    </row>
    <row r="49" spans="2:50" ht="14.25" customHeight="1">
      <c r="B49" s="564"/>
      <c r="C49" s="180">
        <v>3</v>
      </c>
      <c r="D49" s="183"/>
      <c r="E49" s="180"/>
      <c r="F49" s="180"/>
      <c r="G49" s="185"/>
      <c r="H49" s="625"/>
      <c r="I49" s="186"/>
      <c r="J49" s="186"/>
      <c r="K49" s="187"/>
      <c r="L49" s="626"/>
      <c r="M49" s="186"/>
      <c r="N49" s="564"/>
      <c r="O49" s="564"/>
      <c r="P49" s="188"/>
      <c r="Q49" s="188"/>
      <c r="R49" s="185"/>
      <c r="S49" s="182"/>
      <c r="T49" s="625"/>
      <c r="U49" s="188"/>
      <c r="V49" s="188"/>
      <c r="W49" s="185"/>
      <c r="X49" s="182"/>
      <c r="Y49" s="625"/>
      <c r="Z49" s="188"/>
      <c r="AA49" s="188"/>
      <c r="AB49" s="185"/>
      <c r="AC49" s="182"/>
      <c r="AD49" s="625"/>
      <c r="AE49" s="188"/>
      <c r="AF49" s="188"/>
      <c r="AG49" s="185"/>
      <c r="AH49" s="182"/>
      <c r="AI49" s="625"/>
      <c r="AJ49" s="188"/>
      <c r="AK49" s="188"/>
      <c r="AL49" s="185"/>
      <c r="AM49" s="182"/>
      <c r="AN49" s="625"/>
      <c r="AO49" s="188"/>
      <c r="AP49" s="188"/>
      <c r="AQ49" s="185"/>
      <c r="AR49" s="182"/>
      <c r="AS49" s="625"/>
      <c r="AT49" s="188"/>
      <c r="AU49" s="188"/>
      <c r="AV49" s="185"/>
      <c r="AW49" s="182"/>
      <c r="AX49" s="625"/>
    </row>
    <row r="50" spans="2:50" ht="14.25" customHeight="1">
      <c r="B50" s="564"/>
      <c r="C50" s="180">
        <v>4</v>
      </c>
      <c r="D50" s="183"/>
      <c r="E50" s="180"/>
      <c r="F50" s="180"/>
      <c r="G50" s="185"/>
      <c r="H50" s="625"/>
      <c r="I50" s="186"/>
      <c r="J50" s="186"/>
      <c r="K50" s="187"/>
      <c r="L50" s="626"/>
      <c r="M50" s="186"/>
      <c r="N50" s="564"/>
      <c r="O50" s="564"/>
      <c r="P50" s="188"/>
      <c r="Q50" s="188"/>
      <c r="R50" s="185"/>
      <c r="S50" s="182"/>
      <c r="T50" s="625"/>
      <c r="U50" s="188"/>
      <c r="V50" s="188"/>
      <c r="W50" s="185"/>
      <c r="X50" s="182"/>
      <c r="Y50" s="625"/>
      <c r="Z50" s="188"/>
      <c r="AA50" s="188"/>
      <c r="AB50" s="185"/>
      <c r="AC50" s="182"/>
      <c r="AD50" s="625"/>
      <c r="AE50" s="188"/>
      <c r="AF50" s="188"/>
      <c r="AG50" s="185"/>
      <c r="AH50" s="182"/>
      <c r="AI50" s="625"/>
      <c r="AJ50" s="188"/>
      <c r="AK50" s="188"/>
      <c r="AL50" s="185"/>
      <c r="AM50" s="182"/>
      <c r="AN50" s="625"/>
      <c r="AO50" s="188"/>
      <c r="AP50" s="188"/>
      <c r="AQ50" s="185"/>
      <c r="AR50" s="182"/>
      <c r="AS50" s="625"/>
      <c r="AT50" s="188"/>
      <c r="AU50" s="188"/>
      <c r="AV50" s="185"/>
      <c r="AW50" s="182"/>
      <c r="AX50" s="625"/>
    </row>
    <row r="51" spans="2:50" ht="14.25" customHeight="1">
      <c r="B51" s="564"/>
      <c r="C51" s="180">
        <v>5</v>
      </c>
      <c r="D51" s="183"/>
      <c r="E51" s="180"/>
      <c r="F51" s="180"/>
      <c r="G51" s="185"/>
      <c r="H51" s="625"/>
      <c r="I51" s="186"/>
      <c r="J51" s="186"/>
      <c r="K51" s="187"/>
      <c r="L51" s="626"/>
      <c r="M51" s="186"/>
      <c r="N51" s="564"/>
      <c r="O51" s="564"/>
      <c r="P51" s="188"/>
      <c r="Q51" s="188"/>
      <c r="R51" s="185"/>
      <c r="S51" s="182"/>
      <c r="T51" s="625"/>
      <c r="U51" s="188"/>
      <c r="V51" s="188"/>
      <c r="W51" s="185"/>
      <c r="X51" s="182"/>
      <c r="Y51" s="625"/>
      <c r="Z51" s="188"/>
      <c r="AA51" s="188"/>
      <c r="AB51" s="185"/>
      <c r="AC51" s="182"/>
      <c r="AD51" s="625"/>
      <c r="AE51" s="188"/>
      <c r="AF51" s="188"/>
      <c r="AG51" s="185"/>
      <c r="AH51" s="182"/>
      <c r="AI51" s="625"/>
      <c r="AJ51" s="188"/>
      <c r="AK51" s="188"/>
      <c r="AL51" s="185"/>
      <c r="AM51" s="182"/>
      <c r="AN51" s="625"/>
      <c r="AO51" s="188"/>
      <c r="AP51" s="188"/>
      <c r="AQ51" s="185"/>
      <c r="AR51" s="182"/>
      <c r="AS51" s="625"/>
      <c r="AT51" s="188"/>
      <c r="AU51" s="188"/>
      <c r="AV51" s="185"/>
      <c r="AW51" s="182"/>
      <c r="AX51" s="625"/>
    </row>
    <row r="52" spans="2:50" ht="14.25" customHeight="1">
      <c r="B52" s="564"/>
      <c r="C52" s="180">
        <v>6</v>
      </c>
      <c r="D52" s="183"/>
      <c r="E52" s="180"/>
      <c r="F52" s="180"/>
      <c r="G52" s="185"/>
      <c r="H52" s="625"/>
      <c r="I52" s="186"/>
      <c r="J52" s="186"/>
      <c r="K52" s="187"/>
      <c r="L52" s="626"/>
      <c r="M52" s="186"/>
      <c r="N52" s="564"/>
      <c r="O52" s="564"/>
      <c r="P52" s="188"/>
      <c r="Q52" s="188"/>
      <c r="R52" s="185"/>
      <c r="S52" s="182"/>
      <c r="T52" s="625"/>
      <c r="U52" s="188"/>
      <c r="V52" s="188"/>
      <c r="W52" s="185"/>
      <c r="X52" s="182"/>
      <c r="Y52" s="625"/>
      <c r="Z52" s="188"/>
      <c r="AA52" s="188"/>
      <c r="AB52" s="185"/>
      <c r="AC52" s="182"/>
      <c r="AD52" s="625"/>
      <c r="AE52" s="188"/>
      <c r="AF52" s="188"/>
      <c r="AG52" s="185"/>
      <c r="AH52" s="182"/>
      <c r="AI52" s="625"/>
      <c r="AJ52" s="188"/>
      <c r="AK52" s="188"/>
      <c r="AL52" s="185"/>
      <c r="AM52" s="182"/>
      <c r="AN52" s="625"/>
      <c r="AO52" s="188"/>
      <c r="AP52" s="188"/>
      <c r="AQ52" s="185"/>
      <c r="AR52" s="182"/>
      <c r="AS52" s="625"/>
      <c r="AT52" s="188"/>
      <c r="AU52" s="188"/>
      <c r="AV52" s="185"/>
      <c r="AW52" s="182"/>
      <c r="AX52" s="625"/>
    </row>
    <row r="53" spans="2:50" ht="14.25" customHeight="1">
      <c r="B53" s="564"/>
      <c r="C53" s="180">
        <v>7</v>
      </c>
      <c r="D53" s="183"/>
      <c r="E53" s="180"/>
      <c r="F53" s="180"/>
      <c r="G53" s="185"/>
      <c r="H53" s="625"/>
      <c r="I53" s="186"/>
      <c r="J53" s="186"/>
      <c r="K53" s="187"/>
      <c r="L53" s="626"/>
      <c r="M53" s="186"/>
      <c r="N53" s="564"/>
      <c r="O53" s="564"/>
      <c r="P53" s="188"/>
      <c r="Q53" s="188"/>
      <c r="R53" s="185"/>
      <c r="S53" s="182"/>
      <c r="T53" s="625"/>
      <c r="U53" s="188"/>
      <c r="V53" s="188"/>
      <c r="W53" s="185"/>
      <c r="X53" s="182"/>
      <c r="Y53" s="625"/>
      <c r="Z53" s="188"/>
      <c r="AA53" s="188"/>
      <c r="AB53" s="185"/>
      <c r="AC53" s="182"/>
      <c r="AD53" s="625"/>
      <c r="AE53" s="188"/>
      <c r="AF53" s="188"/>
      <c r="AG53" s="185"/>
      <c r="AH53" s="182"/>
      <c r="AI53" s="625"/>
      <c r="AJ53" s="188"/>
      <c r="AK53" s="188"/>
      <c r="AL53" s="185"/>
      <c r="AM53" s="182"/>
      <c r="AN53" s="625"/>
      <c r="AO53" s="188"/>
      <c r="AP53" s="188"/>
      <c r="AQ53" s="185"/>
      <c r="AR53" s="182"/>
      <c r="AS53" s="625"/>
      <c r="AT53" s="188"/>
      <c r="AU53" s="188"/>
      <c r="AV53" s="185"/>
      <c r="AW53" s="182"/>
      <c r="AX53" s="625"/>
    </row>
    <row r="54" spans="2:50" ht="14.25" customHeight="1">
      <c r="B54" s="564"/>
      <c r="C54" s="180">
        <v>8</v>
      </c>
      <c r="D54" s="183"/>
      <c r="E54" s="180"/>
      <c r="F54" s="180"/>
      <c r="G54" s="185"/>
      <c r="H54" s="625"/>
      <c r="I54" s="186"/>
      <c r="J54" s="186"/>
      <c r="K54" s="187"/>
      <c r="L54" s="626"/>
      <c r="M54" s="186"/>
      <c r="N54" s="564"/>
      <c r="O54" s="564"/>
      <c r="P54" s="188"/>
      <c r="Q54" s="188"/>
      <c r="R54" s="185"/>
      <c r="S54" s="182"/>
      <c r="T54" s="625"/>
      <c r="U54" s="188"/>
      <c r="V54" s="188"/>
      <c r="W54" s="185"/>
      <c r="X54" s="182"/>
      <c r="Y54" s="625"/>
      <c r="Z54" s="188"/>
      <c r="AA54" s="188"/>
      <c r="AB54" s="185"/>
      <c r="AC54" s="182"/>
      <c r="AD54" s="625"/>
      <c r="AE54" s="188"/>
      <c r="AF54" s="188"/>
      <c r="AG54" s="185"/>
      <c r="AH54" s="182"/>
      <c r="AI54" s="625"/>
      <c r="AJ54" s="188"/>
      <c r="AK54" s="188"/>
      <c r="AL54" s="185"/>
      <c r="AM54" s="182"/>
      <c r="AN54" s="625"/>
      <c r="AO54" s="188"/>
      <c r="AP54" s="188"/>
      <c r="AQ54" s="185"/>
      <c r="AR54" s="182"/>
      <c r="AS54" s="625"/>
      <c r="AT54" s="188"/>
      <c r="AU54" s="188"/>
      <c r="AV54" s="185"/>
      <c r="AW54" s="182"/>
      <c r="AX54" s="625"/>
    </row>
    <row r="55" spans="2:50" ht="14.25" customHeight="1">
      <c r="B55" s="564"/>
      <c r="C55" s="180">
        <v>9</v>
      </c>
      <c r="D55" s="183"/>
      <c r="E55" s="180"/>
      <c r="F55" s="180"/>
      <c r="G55" s="185"/>
      <c r="H55" s="625"/>
      <c r="I55" s="186"/>
      <c r="J55" s="186"/>
      <c r="K55" s="187"/>
      <c r="L55" s="626"/>
      <c r="M55" s="186"/>
      <c r="N55" s="564"/>
      <c r="O55" s="564"/>
      <c r="P55" s="188"/>
      <c r="Q55" s="188"/>
      <c r="R55" s="185"/>
      <c r="S55" s="182"/>
      <c r="T55" s="625"/>
      <c r="U55" s="188"/>
      <c r="V55" s="188"/>
      <c r="W55" s="185"/>
      <c r="X55" s="182"/>
      <c r="Y55" s="625"/>
      <c r="Z55" s="188"/>
      <c r="AA55" s="188"/>
      <c r="AB55" s="185"/>
      <c r="AC55" s="182"/>
      <c r="AD55" s="625"/>
      <c r="AE55" s="188"/>
      <c r="AF55" s="188"/>
      <c r="AG55" s="185"/>
      <c r="AH55" s="182"/>
      <c r="AI55" s="625"/>
      <c r="AJ55" s="188"/>
      <c r="AK55" s="188"/>
      <c r="AL55" s="185"/>
      <c r="AM55" s="182"/>
      <c r="AN55" s="625"/>
      <c r="AO55" s="188"/>
      <c r="AP55" s="188"/>
      <c r="AQ55" s="185"/>
      <c r="AR55" s="182"/>
      <c r="AS55" s="625"/>
      <c r="AT55" s="188"/>
      <c r="AU55" s="188"/>
      <c r="AV55" s="185"/>
      <c r="AW55" s="182"/>
      <c r="AX55" s="625"/>
    </row>
    <row r="56" spans="2:50" ht="14.25" customHeight="1">
      <c r="B56" s="564"/>
      <c r="C56" s="180">
        <v>10</v>
      </c>
      <c r="D56" s="183"/>
      <c r="E56" s="180"/>
      <c r="F56" s="180"/>
      <c r="G56" s="185"/>
      <c r="H56" s="625"/>
      <c r="I56" s="186"/>
      <c r="J56" s="186"/>
      <c r="K56" s="187"/>
      <c r="L56" s="626"/>
      <c r="M56" s="186"/>
      <c r="N56" s="564"/>
      <c r="O56" s="564"/>
      <c r="P56" s="188"/>
      <c r="Q56" s="188"/>
      <c r="R56" s="185"/>
      <c r="S56" s="182"/>
      <c r="T56" s="625"/>
      <c r="U56" s="188"/>
      <c r="V56" s="188"/>
      <c r="W56" s="185"/>
      <c r="X56" s="182"/>
      <c r="Y56" s="625"/>
      <c r="Z56" s="188"/>
      <c r="AA56" s="188"/>
      <c r="AB56" s="185"/>
      <c r="AC56" s="182"/>
      <c r="AD56" s="625"/>
      <c r="AE56" s="188"/>
      <c r="AF56" s="188"/>
      <c r="AG56" s="185"/>
      <c r="AH56" s="182"/>
      <c r="AI56" s="625"/>
      <c r="AJ56" s="188"/>
      <c r="AK56" s="188"/>
      <c r="AL56" s="185"/>
      <c r="AM56" s="182"/>
      <c r="AN56" s="625"/>
      <c r="AO56" s="188"/>
      <c r="AP56" s="188"/>
      <c r="AQ56" s="185"/>
      <c r="AR56" s="182"/>
      <c r="AS56" s="625"/>
      <c r="AT56" s="188"/>
      <c r="AU56" s="188"/>
      <c r="AV56" s="185"/>
      <c r="AW56" s="182"/>
      <c r="AX56" s="625"/>
    </row>
    <row r="57" spans="2:50" ht="14.25" customHeight="1">
      <c r="B57" s="564"/>
      <c r="C57" s="180">
        <v>11</v>
      </c>
      <c r="D57" s="183"/>
      <c r="E57" s="180"/>
      <c r="F57" s="180"/>
      <c r="G57" s="185"/>
      <c r="H57" s="625"/>
      <c r="I57" s="186"/>
      <c r="J57" s="186"/>
      <c r="K57" s="187"/>
      <c r="L57" s="626"/>
      <c r="M57" s="186"/>
      <c r="N57" s="564"/>
      <c r="O57" s="564"/>
      <c r="P57" s="188"/>
      <c r="Q57" s="188"/>
      <c r="R57" s="185"/>
      <c r="S57" s="182"/>
      <c r="T57" s="625"/>
      <c r="U57" s="188"/>
      <c r="V57" s="188"/>
      <c r="W57" s="185"/>
      <c r="X57" s="182"/>
      <c r="Y57" s="625"/>
      <c r="Z57" s="188"/>
      <c r="AA57" s="188"/>
      <c r="AB57" s="185"/>
      <c r="AC57" s="182"/>
      <c r="AD57" s="625"/>
      <c r="AE57" s="188"/>
      <c r="AF57" s="188"/>
      <c r="AG57" s="185"/>
      <c r="AH57" s="182"/>
      <c r="AI57" s="625"/>
      <c r="AJ57" s="188"/>
      <c r="AK57" s="188"/>
      <c r="AL57" s="185"/>
      <c r="AM57" s="182"/>
      <c r="AN57" s="625"/>
      <c r="AO57" s="188"/>
      <c r="AP57" s="188"/>
      <c r="AQ57" s="185"/>
      <c r="AR57" s="182"/>
      <c r="AS57" s="625"/>
      <c r="AT57" s="188"/>
      <c r="AU57" s="188"/>
      <c r="AV57" s="185"/>
      <c r="AW57" s="182"/>
      <c r="AX57" s="625"/>
    </row>
    <row r="58" spans="2:50" ht="14.25" customHeight="1">
      <c r="B58" s="564"/>
      <c r="C58" s="180">
        <v>12</v>
      </c>
      <c r="D58" s="183"/>
      <c r="E58" s="180"/>
      <c r="F58" s="180"/>
      <c r="G58" s="185"/>
      <c r="H58" s="625"/>
      <c r="I58" s="186"/>
      <c r="J58" s="186"/>
      <c r="K58" s="187"/>
      <c r="L58" s="626"/>
      <c r="M58" s="186"/>
      <c r="N58" s="564"/>
      <c r="O58" s="564"/>
      <c r="P58" s="188"/>
      <c r="Q58" s="188"/>
      <c r="R58" s="185"/>
      <c r="S58" s="182"/>
      <c r="T58" s="625"/>
      <c r="U58" s="188"/>
      <c r="V58" s="188"/>
      <c r="W58" s="185"/>
      <c r="X58" s="182"/>
      <c r="Y58" s="625"/>
      <c r="Z58" s="188"/>
      <c r="AA58" s="188"/>
      <c r="AB58" s="185"/>
      <c r="AC58" s="182"/>
      <c r="AD58" s="625"/>
      <c r="AE58" s="188"/>
      <c r="AF58" s="188"/>
      <c r="AG58" s="185"/>
      <c r="AH58" s="182"/>
      <c r="AI58" s="625"/>
      <c r="AJ58" s="188"/>
      <c r="AK58" s="188"/>
      <c r="AL58" s="185"/>
      <c r="AM58" s="182"/>
      <c r="AN58" s="625"/>
      <c r="AO58" s="188"/>
      <c r="AP58" s="188"/>
      <c r="AQ58" s="185"/>
      <c r="AR58" s="182"/>
      <c r="AS58" s="625"/>
      <c r="AT58" s="188"/>
      <c r="AU58" s="188"/>
      <c r="AV58" s="185"/>
      <c r="AW58" s="182"/>
      <c r="AX58" s="625"/>
    </row>
    <row r="59" spans="2:50" ht="14.25" customHeight="1">
      <c r="B59" s="564"/>
      <c r="C59" s="180">
        <v>13</v>
      </c>
      <c r="D59" s="183"/>
      <c r="E59" s="180"/>
      <c r="F59" s="180"/>
      <c r="G59" s="185"/>
      <c r="H59" s="625"/>
      <c r="I59" s="186"/>
      <c r="J59" s="186"/>
      <c r="K59" s="187"/>
      <c r="L59" s="626"/>
      <c r="M59" s="186"/>
      <c r="N59" s="564"/>
      <c r="O59" s="564"/>
      <c r="P59" s="188"/>
      <c r="Q59" s="188"/>
      <c r="R59" s="185"/>
      <c r="S59" s="182"/>
      <c r="T59" s="625"/>
      <c r="U59" s="188"/>
      <c r="V59" s="188"/>
      <c r="W59" s="185"/>
      <c r="X59" s="182"/>
      <c r="Y59" s="625"/>
      <c r="Z59" s="188"/>
      <c r="AA59" s="188"/>
      <c r="AB59" s="185"/>
      <c r="AC59" s="182"/>
      <c r="AD59" s="625"/>
      <c r="AE59" s="188"/>
      <c r="AF59" s="188"/>
      <c r="AG59" s="185"/>
      <c r="AH59" s="182"/>
      <c r="AI59" s="625"/>
      <c r="AJ59" s="188"/>
      <c r="AK59" s="188"/>
      <c r="AL59" s="185"/>
      <c r="AM59" s="182"/>
      <c r="AN59" s="625"/>
      <c r="AO59" s="188"/>
      <c r="AP59" s="188"/>
      <c r="AQ59" s="185"/>
      <c r="AR59" s="182"/>
      <c r="AS59" s="625"/>
      <c r="AT59" s="188"/>
      <c r="AU59" s="188"/>
      <c r="AV59" s="185"/>
      <c r="AW59" s="182"/>
      <c r="AX59" s="625"/>
    </row>
    <row r="60" spans="2:50" ht="14.25" customHeight="1">
      <c r="B60" s="564"/>
      <c r="C60" s="180">
        <v>14</v>
      </c>
      <c r="D60" s="183"/>
      <c r="E60" s="180"/>
      <c r="F60" s="180"/>
      <c r="G60" s="185"/>
      <c r="H60" s="625"/>
      <c r="I60" s="186"/>
      <c r="J60" s="186"/>
      <c r="K60" s="187"/>
      <c r="L60" s="626"/>
      <c r="M60" s="186"/>
      <c r="N60" s="564"/>
      <c r="O60" s="564"/>
      <c r="P60" s="188"/>
      <c r="Q60" s="188"/>
      <c r="R60" s="185"/>
      <c r="S60" s="182"/>
      <c r="T60" s="625"/>
      <c r="U60" s="188"/>
      <c r="V60" s="188"/>
      <c r="W60" s="185"/>
      <c r="X60" s="182"/>
      <c r="Y60" s="625"/>
      <c r="Z60" s="188"/>
      <c r="AA60" s="188"/>
      <c r="AB60" s="185"/>
      <c r="AC60" s="182"/>
      <c r="AD60" s="625"/>
      <c r="AE60" s="188"/>
      <c r="AF60" s="188"/>
      <c r="AG60" s="185"/>
      <c r="AH60" s="182"/>
      <c r="AI60" s="625"/>
      <c r="AJ60" s="188"/>
      <c r="AK60" s="188"/>
      <c r="AL60" s="185"/>
      <c r="AM60" s="182"/>
      <c r="AN60" s="625"/>
      <c r="AO60" s="188"/>
      <c r="AP60" s="188"/>
      <c r="AQ60" s="185"/>
      <c r="AR60" s="182"/>
      <c r="AS60" s="625"/>
      <c r="AT60" s="188"/>
      <c r="AU60" s="188"/>
      <c r="AV60" s="185"/>
      <c r="AW60" s="182"/>
      <c r="AX60" s="625"/>
    </row>
    <row r="61" spans="2:50" ht="14.25" customHeight="1">
      <c r="B61" s="564"/>
      <c r="C61" s="180">
        <v>15</v>
      </c>
      <c r="D61" s="183"/>
      <c r="E61" s="180"/>
      <c r="F61" s="180"/>
      <c r="G61" s="185"/>
      <c r="H61" s="625"/>
      <c r="I61" s="186"/>
      <c r="J61" s="186"/>
      <c r="K61" s="187"/>
      <c r="L61" s="626"/>
      <c r="M61" s="186"/>
      <c r="N61" s="564"/>
      <c r="O61" s="564"/>
      <c r="P61" s="188"/>
      <c r="Q61" s="188"/>
      <c r="R61" s="185"/>
      <c r="S61" s="182"/>
      <c r="T61" s="625"/>
      <c r="U61" s="188"/>
      <c r="V61" s="188"/>
      <c r="W61" s="185"/>
      <c r="X61" s="182"/>
      <c r="Y61" s="625"/>
      <c r="Z61" s="188"/>
      <c r="AA61" s="188"/>
      <c r="AB61" s="185"/>
      <c r="AC61" s="182"/>
      <c r="AD61" s="625"/>
      <c r="AE61" s="188"/>
      <c r="AF61" s="188"/>
      <c r="AG61" s="185"/>
      <c r="AH61" s="182"/>
      <c r="AI61" s="625"/>
      <c r="AJ61" s="188"/>
      <c r="AK61" s="188"/>
      <c r="AL61" s="185"/>
      <c r="AM61" s="182"/>
      <c r="AN61" s="625"/>
      <c r="AO61" s="188"/>
      <c r="AP61" s="188"/>
      <c r="AQ61" s="185"/>
      <c r="AR61" s="182"/>
      <c r="AS61" s="625"/>
      <c r="AT61" s="188"/>
      <c r="AU61" s="188"/>
      <c r="AV61" s="185"/>
      <c r="AW61" s="182"/>
      <c r="AX61" s="625"/>
    </row>
    <row r="62" spans="2:50" ht="14.25" customHeight="1" collapsed="1">
      <c r="B62" s="641" t="s">
        <v>644</v>
      </c>
      <c r="C62" s="642"/>
      <c r="D62" s="642"/>
      <c r="E62" s="642"/>
      <c r="F62" s="642"/>
      <c r="G62" s="642"/>
      <c r="H62" s="642"/>
      <c r="I62" s="642"/>
      <c r="J62" s="642"/>
      <c r="K62" s="642"/>
      <c r="L62" s="642"/>
      <c r="M62" s="643"/>
      <c r="N62" s="575" t="s">
        <v>377</v>
      </c>
      <c r="O62" s="575" t="s">
        <v>105</v>
      </c>
      <c r="P62" s="655">
        <f>AT42+1</f>
        <v>46098</v>
      </c>
      <c r="Q62" s="656"/>
      <c r="R62" s="656"/>
      <c r="S62" s="656"/>
      <c r="T62" s="656"/>
      <c r="U62" s="657">
        <f>P62+1</f>
        <v>46099</v>
      </c>
      <c r="V62" s="658"/>
      <c r="W62" s="658"/>
      <c r="X62" s="658"/>
      <c r="Y62" s="658"/>
      <c r="Z62" s="655">
        <f t="shared" ref="Z62" si="41">U62+1</f>
        <v>46100</v>
      </c>
      <c r="AA62" s="656"/>
      <c r="AB62" s="656"/>
      <c r="AC62" s="656"/>
      <c r="AD62" s="656"/>
      <c r="AE62" s="657">
        <f t="shared" ref="AE62" si="42">Z62+1</f>
        <v>46101</v>
      </c>
      <c r="AF62" s="658"/>
      <c r="AG62" s="658"/>
      <c r="AH62" s="658"/>
      <c r="AI62" s="658"/>
      <c r="AJ62" s="647">
        <f t="shared" ref="AJ62" si="43">AE62+1</f>
        <v>46102</v>
      </c>
      <c r="AK62" s="648"/>
      <c r="AL62" s="648"/>
      <c r="AM62" s="648"/>
      <c r="AN62" s="649"/>
      <c r="AO62" s="657">
        <f t="shared" ref="AO62" si="44">AJ62+1</f>
        <v>46103</v>
      </c>
      <c r="AP62" s="658"/>
      <c r="AQ62" s="658"/>
      <c r="AR62" s="658"/>
      <c r="AS62" s="658"/>
      <c r="AT62" s="647">
        <f t="shared" ref="AT62" si="45">AO62+1</f>
        <v>46104</v>
      </c>
      <c r="AU62" s="648"/>
      <c r="AV62" s="648"/>
      <c r="AW62" s="648"/>
      <c r="AX62" s="649"/>
    </row>
    <row r="63" spans="2:50" ht="14.25" customHeight="1">
      <c r="B63" s="644"/>
      <c r="C63" s="644"/>
      <c r="D63" s="644"/>
      <c r="E63" s="644"/>
      <c r="F63" s="644"/>
      <c r="G63" s="644"/>
      <c r="H63" s="644"/>
      <c r="I63" s="644"/>
      <c r="J63" s="644"/>
      <c r="K63" s="644"/>
      <c r="L63" s="644"/>
      <c r="M63" s="645"/>
      <c r="N63" s="577"/>
      <c r="O63" s="577"/>
      <c r="P63" s="650">
        <f>P62</f>
        <v>46098</v>
      </c>
      <c r="Q63" s="650"/>
      <c r="R63" s="650"/>
      <c r="S63" s="650"/>
      <c r="T63" s="650"/>
      <c r="U63" s="651">
        <f>U62</f>
        <v>46099</v>
      </c>
      <c r="V63" s="651"/>
      <c r="W63" s="651"/>
      <c r="X63" s="651"/>
      <c r="Y63" s="651"/>
      <c r="Z63" s="650">
        <f t="shared" ref="Z63" si="46">Z62</f>
        <v>46100</v>
      </c>
      <c r="AA63" s="650"/>
      <c r="AB63" s="650"/>
      <c r="AC63" s="650"/>
      <c r="AD63" s="650"/>
      <c r="AE63" s="651">
        <f t="shared" ref="AE63" si="47">AE62</f>
        <v>46101</v>
      </c>
      <c r="AF63" s="651"/>
      <c r="AG63" s="651"/>
      <c r="AH63" s="651"/>
      <c r="AI63" s="651"/>
      <c r="AJ63" s="652">
        <f t="shared" ref="AJ63" si="48">AJ62</f>
        <v>46102</v>
      </c>
      <c r="AK63" s="653"/>
      <c r="AL63" s="653"/>
      <c r="AM63" s="653"/>
      <c r="AN63" s="654"/>
      <c r="AO63" s="651">
        <f t="shared" ref="AO63" si="49">AO62</f>
        <v>46103</v>
      </c>
      <c r="AP63" s="651"/>
      <c r="AQ63" s="651"/>
      <c r="AR63" s="651"/>
      <c r="AS63" s="651"/>
      <c r="AT63" s="652">
        <f t="shared" ref="AT63" si="50">AT62</f>
        <v>46104</v>
      </c>
      <c r="AU63" s="653"/>
      <c r="AV63" s="653"/>
      <c r="AW63" s="653"/>
      <c r="AX63" s="654"/>
    </row>
    <row r="64" spans="2:50" ht="14.25" customHeight="1">
      <c r="B64" s="564" t="s">
        <v>164</v>
      </c>
      <c r="C64" s="564" t="s">
        <v>159</v>
      </c>
      <c r="D64" s="564"/>
      <c r="E64" s="564" t="s">
        <v>160</v>
      </c>
      <c r="F64" s="564"/>
      <c r="G64" s="564"/>
      <c r="H64" s="564" t="s">
        <v>165</v>
      </c>
      <c r="I64" s="628" t="s">
        <v>378</v>
      </c>
      <c r="J64" s="628"/>
      <c r="K64" s="628"/>
      <c r="L64" s="628" t="s">
        <v>165</v>
      </c>
      <c r="M64" s="628" t="s">
        <v>167</v>
      </c>
      <c r="N64" s="564"/>
      <c r="O64" s="564" t="s">
        <v>166</v>
      </c>
      <c r="P64" s="564" t="s">
        <v>162</v>
      </c>
      <c r="Q64" s="564"/>
      <c r="R64" s="564"/>
      <c r="S64" s="564"/>
      <c r="T64" s="564" t="s">
        <v>165</v>
      </c>
      <c r="U64" s="564" t="s">
        <v>162</v>
      </c>
      <c r="V64" s="564"/>
      <c r="W64" s="564"/>
      <c r="X64" s="564"/>
      <c r="Y64" s="564" t="s">
        <v>165</v>
      </c>
      <c r="Z64" s="564" t="s">
        <v>162</v>
      </c>
      <c r="AA64" s="564"/>
      <c r="AB64" s="564"/>
      <c r="AC64" s="564"/>
      <c r="AD64" s="564" t="s">
        <v>165</v>
      </c>
      <c r="AE64" s="564" t="s">
        <v>162</v>
      </c>
      <c r="AF64" s="564"/>
      <c r="AG64" s="564"/>
      <c r="AH64" s="564"/>
      <c r="AI64" s="564" t="s">
        <v>165</v>
      </c>
      <c r="AJ64" s="564" t="s">
        <v>162</v>
      </c>
      <c r="AK64" s="564"/>
      <c r="AL64" s="564"/>
      <c r="AM64" s="564"/>
      <c r="AN64" s="564" t="s">
        <v>165</v>
      </c>
      <c r="AO64" s="564" t="s">
        <v>162</v>
      </c>
      <c r="AP64" s="564"/>
      <c r="AQ64" s="564"/>
      <c r="AR64" s="564"/>
      <c r="AS64" s="564" t="s">
        <v>165</v>
      </c>
      <c r="AT64" s="564" t="s">
        <v>162</v>
      </c>
      <c r="AU64" s="564"/>
      <c r="AV64" s="564"/>
      <c r="AW64" s="564"/>
      <c r="AX64" s="564" t="s">
        <v>165</v>
      </c>
    </row>
    <row r="65" spans="2:50" ht="14.25" customHeight="1">
      <c r="B65" s="564"/>
      <c r="C65" s="564"/>
      <c r="D65" s="564"/>
      <c r="E65" s="564" t="s">
        <v>379</v>
      </c>
      <c r="F65" s="564"/>
      <c r="G65" s="564"/>
      <c r="H65" s="564"/>
      <c r="I65" s="628" t="s">
        <v>379</v>
      </c>
      <c r="J65" s="628"/>
      <c r="K65" s="628"/>
      <c r="L65" s="628"/>
      <c r="M65" s="628"/>
      <c r="N65" s="564"/>
      <c r="O65" s="564"/>
      <c r="P65" s="564" t="s">
        <v>380</v>
      </c>
      <c r="Q65" s="564"/>
      <c r="R65" s="564"/>
      <c r="S65" s="564"/>
      <c r="T65" s="564"/>
      <c r="U65" s="564" t="s">
        <v>380</v>
      </c>
      <c r="V65" s="564"/>
      <c r="W65" s="564"/>
      <c r="X65" s="564"/>
      <c r="Y65" s="564"/>
      <c r="Z65" s="564" t="s">
        <v>380</v>
      </c>
      <c r="AA65" s="564"/>
      <c r="AB65" s="564"/>
      <c r="AC65" s="564"/>
      <c r="AD65" s="564"/>
      <c r="AE65" s="564" t="s">
        <v>380</v>
      </c>
      <c r="AF65" s="564"/>
      <c r="AG65" s="564"/>
      <c r="AH65" s="564"/>
      <c r="AI65" s="564"/>
      <c r="AJ65" s="564" t="s">
        <v>380</v>
      </c>
      <c r="AK65" s="564"/>
      <c r="AL65" s="564"/>
      <c r="AM65" s="564"/>
      <c r="AN65" s="564"/>
      <c r="AO65" s="564" t="s">
        <v>380</v>
      </c>
      <c r="AP65" s="564"/>
      <c r="AQ65" s="564"/>
      <c r="AR65" s="564"/>
      <c r="AS65" s="564"/>
      <c r="AT65" s="564" t="s">
        <v>380</v>
      </c>
      <c r="AU65" s="564"/>
      <c r="AV65" s="564"/>
      <c r="AW65" s="564"/>
      <c r="AX65" s="564"/>
    </row>
    <row r="66" spans="2:50" ht="14.25" customHeight="1">
      <c r="B66" s="564"/>
      <c r="C66" s="564"/>
      <c r="D66" s="564"/>
      <c r="E66" s="180" t="s">
        <v>161</v>
      </c>
      <c r="F66" s="180" t="s">
        <v>381</v>
      </c>
      <c r="G66" s="180" t="s">
        <v>163</v>
      </c>
      <c r="H66" s="564"/>
      <c r="I66" s="181" t="s">
        <v>161</v>
      </c>
      <c r="J66" s="181" t="s">
        <v>381</v>
      </c>
      <c r="K66" s="181" t="s">
        <v>163</v>
      </c>
      <c r="L66" s="628"/>
      <c r="M66" s="628"/>
      <c r="N66" s="564"/>
      <c r="O66" s="564"/>
      <c r="P66" s="180" t="s">
        <v>161</v>
      </c>
      <c r="Q66" s="180" t="s">
        <v>381</v>
      </c>
      <c r="R66" s="180" t="s">
        <v>163</v>
      </c>
      <c r="S66" s="182" t="s">
        <v>167</v>
      </c>
      <c r="T66" s="564"/>
      <c r="U66" s="180" t="s">
        <v>161</v>
      </c>
      <c r="V66" s="180" t="s">
        <v>381</v>
      </c>
      <c r="W66" s="180" t="s">
        <v>163</v>
      </c>
      <c r="X66" s="182" t="s">
        <v>167</v>
      </c>
      <c r="Y66" s="564"/>
      <c r="Z66" s="180" t="s">
        <v>161</v>
      </c>
      <c r="AA66" s="180" t="s">
        <v>381</v>
      </c>
      <c r="AB66" s="180" t="s">
        <v>163</v>
      </c>
      <c r="AC66" s="182" t="s">
        <v>167</v>
      </c>
      <c r="AD66" s="564"/>
      <c r="AE66" s="180" t="s">
        <v>161</v>
      </c>
      <c r="AF66" s="180" t="s">
        <v>381</v>
      </c>
      <c r="AG66" s="180" t="s">
        <v>163</v>
      </c>
      <c r="AH66" s="182" t="s">
        <v>167</v>
      </c>
      <c r="AI66" s="564"/>
      <c r="AJ66" s="180" t="s">
        <v>161</v>
      </c>
      <c r="AK66" s="180" t="s">
        <v>381</v>
      </c>
      <c r="AL66" s="180" t="s">
        <v>163</v>
      </c>
      <c r="AM66" s="182" t="s">
        <v>167</v>
      </c>
      <c r="AN66" s="564"/>
      <c r="AO66" s="180" t="s">
        <v>161</v>
      </c>
      <c r="AP66" s="180" t="s">
        <v>381</v>
      </c>
      <c r="AQ66" s="180" t="s">
        <v>163</v>
      </c>
      <c r="AR66" s="182" t="s">
        <v>167</v>
      </c>
      <c r="AS66" s="564"/>
      <c r="AT66" s="180" t="s">
        <v>161</v>
      </c>
      <c r="AU66" s="180" t="s">
        <v>381</v>
      </c>
      <c r="AV66" s="180" t="s">
        <v>163</v>
      </c>
      <c r="AW66" s="182" t="s">
        <v>167</v>
      </c>
      <c r="AX66" s="564"/>
    </row>
    <row r="67" spans="2:50" ht="14.25" customHeight="1">
      <c r="B67" s="564" t="s">
        <v>144</v>
      </c>
      <c r="C67" s="180">
        <v>1</v>
      </c>
      <c r="D67" s="183" t="s">
        <v>364</v>
      </c>
      <c r="E67" s="180">
        <v>13</v>
      </c>
      <c r="F67" s="180">
        <v>1200</v>
      </c>
      <c r="G67" s="185">
        <f t="shared" ref="G67" si="51">F67/E67</f>
        <v>92.307692307692307</v>
      </c>
      <c r="H67" s="625">
        <f>AVERAGE(G67:G81)</f>
        <v>92.307692307692307</v>
      </c>
      <c r="I67" s="186">
        <f>AVERAGE(P67,U67,Z67,AE67,AJ67,AO67,AT67)</f>
        <v>13</v>
      </c>
      <c r="J67" s="186">
        <f>AVERAGE(Q67,V67,AA67,AF67,AK67,AP67,AU67)</f>
        <v>1079.5446896529716</v>
      </c>
      <c r="K67" s="187">
        <f>AVERAGE(R67,W67,AB67,AG67,AL67,AQ67,AV67)</f>
        <v>83.041899204074753</v>
      </c>
      <c r="L67" s="626">
        <f>IFERROR(AVERAGE(K67:K81),"-")</f>
        <v>83.041899204074753</v>
      </c>
      <c r="M67" s="186">
        <f>RANK(K67, K$67:$K$81)</f>
        <v>1</v>
      </c>
      <c r="N67" s="564"/>
      <c r="O67" s="564"/>
      <c r="P67" s="188">
        <v>13</v>
      </c>
      <c r="Q67" s="188">
        <v>1079.5643404598629</v>
      </c>
      <c r="R67" s="185">
        <f>IFERROR(Q67/P67,"")</f>
        <v>83.043410804604846</v>
      </c>
      <c r="S67" s="182">
        <f>RANK(R67, R$67:R$81)</f>
        <v>1</v>
      </c>
      <c r="T67" s="625">
        <f>AVERAGE(R67:R81)</f>
        <v>83.043410804604846</v>
      </c>
      <c r="U67" s="188">
        <v>13</v>
      </c>
      <c r="V67" s="188">
        <v>1079.5736281089614</v>
      </c>
      <c r="W67" s="185">
        <f t="shared" ref="W67" si="52">IFERROR(V67/U67,"")</f>
        <v>83.044125239150873</v>
      </c>
      <c r="X67" s="182">
        <f>RANK(W67, W$67:W$81)</f>
        <v>1</v>
      </c>
      <c r="Y67" s="625">
        <f>AVERAGE(W67:W81)</f>
        <v>83.044125239150873</v>
      </c>
      <c r="Z67" s="188">
        <v>13</v>
      </c>
      <c r="AA67" s="188">
        <v>1079.5776300351974</v>
      </c>
      <c r="AB67" s="185">
        <f t="shared" ref="AB67" si="53">IFERROR(AA67/Z67,"")</f>
        <v>83.044433079630579</v>
      </c>
      <c r="AC67" s="182">
        <f>RANK(AB67, AB$67:AB$81)</f>
        <v>1</v>
      </c>
      <c r="AD67" s="625">
        <f>AVERAGE(AB67:AB81)</f>
        <v>83.044433079630579</v>
      </c>
      <c r="AE67" s="188">
        <v>13</v>
      </c>
      <c r="AF67" s="188">
        <v>1079.5185020062418</v>
      </c>
      <c r="AG67" s="185">
        <f>IFERROR(AF67/AE67,"")</f>
        <v>83.039884769710909</v>
      </c>
      <c r="AH67" s="182">
        <f>RANK(AG67, AG$67:AG$81)</f>
        <v>1</v>
      </c>
      <c r="AI67" s="625">
        <f>AVERAGE(AG67:AG81)</f>
        <v>83.039884769710909</v>
      </c>
      <c r="AJ67" s="188">
        <v>13</v>
      </c>
      <c r="AK67" s="188">
        <v>1079.524857017158</v>
      </c>
      <c r="AL67" s="185">
        <f t="shared" ref="AL67" si="54">IFERROR(AK67/AJ67,"")</f>
        <v>83.040373616704457</v>
      </c>
      <c r="AM67" s="182">
        <f>RANK(AL67, AL$67:AL$81)</f>
        <v>1</v>
      </c>
      <c r="AN67" s="625">
        <f>AVERAGE(AL67:AL81)</f>
        <v>83.040373616704457</v>
      </c>
      <c r="AO67" s="188">
        <v>13</v>
      </c>
      <c r="AP67" s="188">
        <v>1079.5256916996054</v>
      </c>
      <c r="AQ67" s="185">
        <f t="shared" ref="AQ67" si="55">IFERROR(AP67/AO67,"")</f>
        <v>83.040437823046574</v>
      </c>
      <c r="AR67" s="182">
        <f>RANK(AQ67, AQ$67:AQ$81)</f>
        <v>1</v>
      </c>
      <c r="AS67" s="625">
        <f>AVERAGE(AQ67:AQ81)</f>
        <v>83.040437823046574</v>
      </c>
      <c r="AT67" s="188">
        <v>13</v>
      </c>
      <c r="AU67" s="188">
        <v>1079.5281782437751</v>
      </c>
      <c r="AV67" s="185">
        <f t="shared" ref="AV67" si="56">IFERROR(AU67/AT67,"")</f>
        <v>83.040629095675001</v>
      </c>
      <c r="AW67" s="182">
        <f>RANK(AV67, AV$67:AV$81)</f>
        <v>1</v>
      </c>
      <c r="AX67" s="625">
        <f>AVERAGE(AV67:AV81)</f>
        <v>83.040629095675001</v>
      </c>
    </row>
    <row r="68" spans="2:50" ht="14.25" customHeight="1">
      <c r="B68" s="564"/>
      <c r="C68" s="180">
        <v>2</v>
      </c>
      <c r="D68" s="183"/>
      <c r="E68" s="180"/>
      <c r="F68" s="180"/>
      <c r="G68" s="185"/>
      <c r="H68" s="625"/>
      <c r="I68" s="186"/>
      <c r="J68" s="186"/>
      <c r="K68" s="187"/>
      <c r="L68" s="626"/>
      <c r="M68" s="186"/>
      <c r="N68" s="564"/>
      <c r="O68" s="564"/>
      <c r="P68" s="188"/>
      <c r="Q68" s="188"/>
      <c r="R68" s="185"/>
      <c r="S68" s="182"/>
      <c r="T68" s="625"/>
      <c r="U68" s="188"/>
      <c r="V68" s="188"/>
      <c r="W68" s="185"/>
      <c r="X68" s="182"/>
      <c r="Y68" s="625"/>
      <c r="Z68" s="188"/>
      <c r="AA68" s="188"/>
      <c r="AB68" s="185"/>
      <c r="AC68" s="182"/>
      <c r="AD68" s="625"/>
      <c r="AE68" s="188"/>
      <c r="AF68" s="188"/>
      <c r="AG68" s="185"/>
      <c r="AH68" s="182"/>
      <c r="AI68" s="625"/>
      <c r="AJ68" s="188"/>
      <c r="AK68" s="188"/>
      <c r="AL68" s="185"/>
      <c r="AM68" s="182"/>
      <c r="AN68" s="625"/>
      <c r="AO68" s="188"/>
      <c r="AP68" s="188"/>
      <c r="AQ68" s="185"/>
      <c r="AR68" s="182"/>
      <c r="AS68" s="625"/>
      <c r="AT68" s="188"/>
      <c r="AU68" s="188"/>
      <c r="AV68" s="185"/>
      <c r="AW68" s="182"/>
      <c r="AX68" s="625"/>
    </row>
    <row r="69" spans="2:50" ht="14.25" customHeight="1">
      <c r="B69" s="564"/>
      <c r="C69" s="180">
        <v>3</v>
      </c>
      <c r="D69" s="183"/>
      <c r="E69" s="180"/>
      <c r="F69" s="180"/>
      <c r="G69" s="185"/>
      <c r="H69" s="625"/>
      <c r="I69" s="186"/>
      <c r="J69" s="186"/>
      <c r="K69" s="187"/>
      <c r="L69" s="626"/>
      <c r="M69" s="186"/>
      <c r="N69" s="564"/>
      <c r="O69" s="564"/>
      <c r="P69" s="188"/>
      <c r="Q69" s="188"/>
      <c r="R69" s="185"/>
      <c r="S69" s="182"/>
      <c r="T69" s="625"/>
      <c r="U69" s="188"/>
      <c r="V69" s="188"/>
      <c r="W69" s="185"/>
      <c r="X69" s="182"/>
      <c r="Y69" s="625"/>
      <c r="Z69" s="188"/>
      <c r="AA69" s="188"/>
      <c r="AB69" s="185"/>
      <c r="AC69" s="182"/>
      <c r="AD69" s="625"/>
      <c r="AE69" s="188"/>
      <c r="AF69" s="188"/>
      <c r="AG69" s="185"/>
      <c r="AH69" s="182"/>
      <c r="AI69" s="625"/>
      <c r="AJ69" s="188"/>
      <c r="AK69" s="188"/>
      <c r="AL69" s="185"/>
      <c r="AM69" s="182"/>
      <c r="AN69" s="625"/>
      <c r="AO69" s="188"/>
      <c r="AP69" s="188"/>
      <c r="AQ69" s="185"/>
      <c r="AR69" s="182"/>
      <c r="AS69" s="625"/>
      <c r="AT69" s="188"/>
      <c r="AU69" s="188"/>
      <c r="AV69" s="185"/>
      <c r="AW69" s="182"/>
      <c r="AX69" s="625"/>
    </row>
    <row r="70" spans="2:50" ht="14.25" customHeight="1">
      <c r="B70" s="564"/>
      <c r="C70" s="180">
        <v>4</v>
      </c>
      <c r="D70" s="183"/>
      <c r="E70" s="180"/>
      <c r="F70" s="180"/>
      <c r="G70" s="185"/>
      <c r="H70" s="625"/>
      <c r="I70" s="186"/>
      <c r="J70" s="186"/>
      <c r="K70" s="187"/>
      <c r="L70" s="626"/>
      <c r="M70" s="186"/>
      <c r="N70" s="564"/>
      <c r="O70" s="564"/>
      <c r="P70" s="188"/>
      <c r="Q70" s="188"/>
      <c r="R70" s="185"/>
      <c r="S70" s="182"/>
      <c r="T70" s="625"/>
      <c r="U70" s="188"/>
      <c r="V70" s="188"/>
      <c r="W70" s="185"/>
      <c r="X70" s="182"/>
      <c r="Y70" s="625"/>
      <c r="Z70" s="188"/>
      <c r="AA70" s="188"/>
      <c r="AB70" s="185"/>
      <c r="AC70" s="182"/>
      <c r="AD70" s="625"/>
      <c r="AE70" s="188"/>
      <c r="AF70" s="188"/>
      <c r="AG70" s="185"/>
      <c r="AH70" s="182"/>
      <c r="AI70" s="625"/>
      <c r="AJ70" s="188"/>
      <c r="AK70" s="188"/>
      <c r="AL70" s="185"/>
      <c r="AM70" s="182"/>
      <c r="AN70" s="625"/>
      <c r="AO70" s="188"/>
      <c r="AP70" s="188"/>
      <c r="AQ70" s="185"/>
      <c r="AR70" s="182"/>
      <c r="AS70" s="625"/>
      <c r="AT70" s="188"/>
      <c r="AU70" s="188"/>
      <c r="AV70" s="185"/>
      <c r="AW70" s="182"/>
      <c r="AX70" s="625"/>
    </row>
    <row r="71" spans="2:50" ht="14.25" customHeight="1">
      <c r="B71" s="564"/>
      <c r="C71" s="180">
        <v>5</v>
      </c>
      <c r="D71" s="183"/>
      <c r="E71" s="180"/>
      <c r="F71" s="180"/>
      <c r="G71" s="185"/>
      <c r="H71" s="625"/>
      <c r="I71" s="186"/>
      <c r="J71" s="186"/>
      <c r="K71" s="187"/>
      <c r="L71" s="626"/>
      <c r="M71" s="186"/>
      <c r="N71" s="564"/>
      <c r="O71" s="564"/>
      <c r="P71" s="188"/>
      <c r="Q71" s="188"/>
      <c r="R71" s="185"/>
      <c r="S71" s="182"/>
      <c r="T71" s="625"/>
      <c r="U71" s="188"/>
      <c r="V71" s="188"/>
      <c r="W71" s="185"/>
      <c r="X71" s="182"/>
      <c r="Y71" s="625"/>
      <c r="Z71" s="188"/>
      <c r="AA71" s="188"/>
      <c r="AB71" s="185"/>
      <c r="AC71" s="182"/>
      <c r="AD71" s="625"/>
      <c r="AE71" s="188"/>
      <c r="AF71" s="188"/>
      <c r="AG71" s="185"/>
      <c r="AH71" s="182"/>
      <c r="AI71" s="625"/>
      <c r="AJ71" s="188"/>
      <c r="AK71" s="188"/>
      <c r="AL71" s="185"/>
      <c r="AM71" s="182"/>
      <c r="AN71" s="625"/>
      <c r="AO71" s="188"/>
      <c r="AP71" s="188"/>
      <c r="AQ71" s="185"/>
      <c r="AR71" s="182"/>
      <c r="AS71" s="625"/>
      <c r="AT71" s="188"/>
      <c r="AU71" s="188"/>
      <c r="AV71" s="185"/>
      <c r="AW71" s="182"/>
      <c r="AX71" s="625"/>
    </row>
    <row r="72" spans="2:50" ht="14.25" customHeight="1">
      <c r="B72" s="564"/>
      <c r="C72" s="180">
        <v>6</v>
      </c>
      <c r="D72" s="183"/>
      <c r="E72" s="180"/>
      <c r="F72" s="180"/>
      <c r="G72" s="185"/>
      <c r="H72" s="625"/>
      <c r="I72" s="186"/>
      <c r="J72" s="186"/>
      <c r="K72" s="187"/>
      <c r="L72" s="626"/>
      <c r="M72" s="186"/>
      <c r="N72" s="564"/>
      <c r="O72" s="564"/>
      <c r="P72" s="188"/>
      <c r="Q72" s="188"/>
      <c r="R72" s="185"/>
      <c r="S72" s="182"/>
      <c r="T72" s="625"/>
      <c r="U72" s="188"/>
      <c r="V72" s="188"/>
      <c r="W72" s="185"/>
      <c r="X72" s="182"/>
      <c r="Y72" s="625"/>
      <c r="Z72" s="188"/>
      <c r="AA72" s="188"/>
      <c r="AB72" s="185"/>
      <c r="AC72" s="182"/>
      <c r="AD72" s="625"/>
      <c r="AE72" s="188"/>
      <c r="AF72" s="188"/>
      <c r="AG72" s="185"/>
      <c r="AH72" s="182"/>
      <c r="AI72" s="625"/>
      <c r="AJ72" s="188"/>
      <c r="AK72" s="188"/>
      <c r="AL72" s="185"/>
      <c r="AM72" s="182"/>
      <c r="AN72" s="625"/>
      <c r="AO72" s="188"/>
      <c r="AP72" s="188"/>
      <c r="AQ72" s="185"/>
      <c r="AR72" s="182"/>
      <c r="AS72" s="625"/>
      <c r="AT72" s="188"/>
      <c r="AU72" s="188"/>
      <c r="AV72" s="185"/>
      <c r="AW72" s="182"/>
      <c r="AX72" s="625"/>
    </row>
    <row r="73" spans="2:50" ht="14.25" customHeight="1">
      <c r="B73" s="564"/>
      <c r="C73" s="180">
        <v>7</v>
      </c>
      <c r="D73" s="183"/>
      <c r="E73" s="180"/>
      <c r="F73" s="180"/>
      <c r="G73" s="185"/>
      <c r="H73" s="625"/>
      <c r="I73" s="186"/>
      <c r="J73" s="186"/>
      <c r="K73" s="187"/>
      <c r="L73" s="626"/>
      <c r="M73" s="186"/>
      <c r="N73" s="564"/>
      <c r="O73" s="564"/>
      <c r="P73" s="188"/>
      <c r="Q73" s="188"/>
      <c r="R73" s="185"/>
      <c r="S73" s="182"/>
      <c r="T73" s="625"/>
      <c r="U73" s="188"/>
      <c r="V73" s="188"/>
      <c r="W73" s="185"/>
      <c r="X73" s="182"/>
      <c r="Y73" s="625"/>
      <c r="Z73" s="188"/>
      <c r="AA73" s="188"/>
      <c r="AB73" s="185"/>
      <c r="AC73" s="182"/>
      <c r="AD73" s="625"/>
      <c r="AE73" s="188"/>
      <c r="AF73" s="188"/>
      <c r="AG73" s="185"/>
      <c r="AH73" s="182"/>
      <c r="AI73" s="625"/>
      <c r="AJ73" s="188"/>
      <c r="AK73" s="188"/>
      <c r="AL73" s="185"/>
      <c r="AM73" s="182"/>
      <c r="AN73" s="625"/>
      <c r="AO73" s="188"/>
      <c r="AP73" s="188"/>
      <c r="AQ73" s="185"/>
      <c r="AR73" s="182"/>
      <c r="AS73" s="625"/>
      <c r="AT73" s="188"/>
      <c r="AU73" s="188"/>
      <c r="AV73" s="185"/>
      <c r="AW73" s="182"/>
      <c r="AX73" s="625"/>
    </row>
    <row r="74" spans="2:50" ht="14.25" customHeight="1">
      <c r="B74" s="564"/>
      <c r="C74" s="180">
        <v>8</v>
      </c>
      <c r="D74" s="183"/>
      <c r="E74" s="180"/>
      <c r="F74" s="180"/>
      <c r="G74" s="185"/>
      <c r="H74" s="625"/>
      <c r="I74" s="186"/>
      <c r="J74" s="186"/>
      <c r="K74" s="187"/>
      <c r="L74" s="626"/>
      <c r="M74" s="186"/>
      <c r="N74" s="564"/>
      <c r="O74" s="564"/>
      <c r="P74" s="188"/>
      <c r="Q74" s="188"/>
      <c r="R74" s="185"/>
      <c r="S74" s="182"/>
      <c r="T74" s="625"/>
      <c r="U74" s="188"/>
      <c r="V74" s="188"/>
      <c r="W74" s="185"/>
      <c r="X74" s="182"/>
      <c r="Y74" s="625"/>
      <c r="Z74" s="188"/>
      <c r="AA74" s="188"/>
      <c r="AB74" s="185"/>
      <c r="AC74" s="182"/>
      <c r="AD74" s="625"/>
      <c r="AE74" s="188"/>
      <c r="AF74" s="188"/>
      <c r="AG74" s="185"/>
      <c r="AH74" s="182"/>
      <c r="AI74" s="625"/>
      <c r="AJ74" s="188"/>
      <c r="AK74" s="188"/>
      <c r="AL74" s="185"/>
      <c r="AM74" s="182"/>
      <c r="AN74" s="625"/>
      <c r="AO74" s="188"/>
      <c r="AP74" s="188"/>
      <c r="AQ74" s="185"/>
      <c r="AR74" s="182"/>
      <c r="AS74" s="625"/>
      <c r="AT74" s="188"/>
      <c r="AU74" s="188"/>
      <c r="AV74" s="185"/>
      <c r="AW74" s="182"/>
      <c r="AX74" s="625"/>
    </row>
    <row r="75" spans="2:50" ht="14.25" customHeight="1">
      <c r="B75" s="564"/>
      <c r="C75" s="180">
        <v>9</v>
      </c>
      <c r="D75" s="183"/>
      <c r="E75" s="180"/>
      <c r="F75" s="180"/>
      <c r="G75" s="185"/>
      <c r="H75" s="625"/>
      <c r="I75" s="186"/>
      <c r="J75" s="186"/>
      <c r="K75" s="187"/>
      <c r="L75" s="626"/>
      <c r="M75" s="186"/>
      <c r="N75" s="564"/>
      <c r="O75" s="564"/>
      <c r="P75" s="188"/>
      <c r="Q75" s="188"/>
      <c r="R75" s="185"/>
      <c r="S75" s="182"/>
      <c r="T75" s="625"/>
      <c r="U75" s="188"/>
      <c r="V75" s="188"/>
      <c r="W75" s="185"/>
      <c r="X75" s="182"/>
      <c r="Y75" s="625"/>
      <c r="Z75" s="188"/>
      <c r="AA75" s="188"/>
      <c r="AB75" s="185"/>
      <c r="AC75" s="182"/>
      <c r="AD75" s="625"/>
      <c r="AE75" s="188"/>
      <c r="AF75" s="188"/>
      <c r="AG75" s="185"/>
      <c r="AH75" s="182"/>
      <c r="AI75" s="625"/>
      <c r="AJ75" s="188"/>
      <c r="AK75" s="188"/>
      <c r="AL75" s="185"/>
      <c r="AM75" s="182"/>
      <c r="AN75" s="625"/>
      <c r="AO75" s="188"/>
      <c r="AP75" s="188"/>
      <c r="AQ75" s="185"/>
      <c r="AR75" s="182"/>
      <c r="AS75" s="625"/>
      <c r="AT75" s="188"/>
      <c r="AU75" s="188"/>
      <c r="AV75" s="185"/>
      <c r="AW75" s="182"/>
      <c r="AX75" s="625"/>
    </row>
    <row r="76" spans="2:50" ht="14.25" customHeight="1">
      <c r="B76" s="564"/>
      <c r="C76" s="180">
        <v>10</v>
      </c>
      <c r="D76" s="183"/>
      <c r="E76" s="180"/>
      <c r="F76" s="180"/>
      <c r="G76" s="185"/>
      <c r="H76" s="625"/>
      <c r="I76" s="186"/>
      <c r="J76" s="186"/>
      <c r="K76" s="187"/>
      <c r="L76" s="626"/>
      <c r="M76" s="186"/>
      <c r="N76" s="564"/>
      <c r="O76" s="564"/>
      <c r="P76" s="188"/>
      <c r="Q76" s="188"/>
      <c r="R76" s="185"/>
      <c r="S76" s="182"/>
      <c r="T76" s="625"/>
      <c r="U76" s="188"/>
      <c r="V76" s="188"/>
      <c r="W76" s="185"/>
      <c r="X76" s="182"/>
      <c r="Y76" s="625"/>
      <c r="Z76" s="188"/>
      <c r="AA76" s="188"/>
      <c r="AB76" s="185"/>
      <c r="AC76" s="182"/>
      <c r="AD76" s="625"/>
      <c r="AE76" s="188"/>
      <c r="AF76" s="188"/>
      <c r="AG76" s="185"/>
      <c r="AH76" s="182"/>
      <c r="AI76" s="625"/>
      <c r="AJ76" s="188"/>
      <c r="AK76" s="188"/>
      <c r="AL76" s="185"/>
      <c r="AM76" s="182"/>
      <c r="AN76" s="625"/>
      <c r="AO76" s="188"/>
      <c r="AP76" s="188"/>
      <c r="AQ76" s="185"/>
      <c r="AR76" s="182"/>
      <c r="AS76" s="625"/>
      <c r="AT76" s="188"/>
      <c r="AU76" s="188"/>
      <c r="AV76" s="185"/>
      <c r="AW76" s="182"/>
      <c r="AX76" s="625"/>
    </row>
    <row r="77" spans="2:50" ht="14.25" customHeight="1">
      <c r="B77" s="564"/>
      <c r="C77" s="180">
        <v>11</v>
      </c>
      <c r="D77" s="183"/>
      <c r="E77" s="180"/>
      <c r="F77" s="180"/>
      <c r="G77" s="185"/>
      <c r="H77" s="625"/>
      <c r="I77" s="186"/>
      <c r="J77" s="186"/>
      <c r="K77" s="187"/>
      <c r="L77" s="626"/>
      <c r="M77" s="186"/>
      <c r="N77" s="564"/>
      <c r="O77" s="564"/>
      <c r="P77" s="188"/>
      <c r="Q77" s="188"/>
      <c r="R77" s="185"/>
      <c r="S77" s="182"/>
      <c r="T77" s="625"/>
      <c r="U77" s="188"/>
      <c r="V77" s="188"/>
      <c r="W77" s="185"/>
      <c r="X77" s="182"/>
      <c r="Y77" s="625"/>
      <c r="Z77" s="188"/>
      <c r="AA77" s="188"/>
      <c r="AB77" s="185"/>
      <c r="AC77" s="182"/>
      <c r="AD77" s="625"/>
      <c r="AE77" s="188"/>
      <c r="AF77" s="188"/>
      <c r="AG77" s="185"/>
      <c r="AH77" s="182"/>
      <c r="AI77" s="625"/>
      <c r="AJ77" s="188"/>
      <c r="AK77" s="188"/>
      <c r="AL77" s="185"/>
      <c r="AM77" s="182"/>
      <c r="AN77" s="625"/>
      <c r="AO77" s="188"/>
      <c r="AP77" s="188"/>
      <c r="AQ77" s="185"/>
      <c r="AR77" s="182"/>
      <c r="AS77" s="625"/>
      <c r="AT77" s="188"/>
      <c r="AU77" s="188"/>
      <c r="AV77" s="185"/>
      <c r="AW77" s="182"/>
      <c r="AX77" s="625"/>
    </row>
    <row r="78" spans="2:50" ht="14.25" customHeight="1">
      <c r="B78" s="564"/>
      <c r="C78" s="180">
        <v>12</v>
      </c>
      <c r="D78" s="183"/>
      <c r="E78" s="180"/>
      <c r="F78" s="180"/>
      <c r="G78" s="185"/>
      <c r="H78" s="625"/>
      <c r="I78" s="186"/>
      <c r="J78" s="186"/>
      <c r="K78" s="187"/>
      <c r="L78" s="626"/>
      <c r="M78" s="186"/>
      <c r="N78" s="564"/>
      <c r="O78" s="564"/>
      <c r="P78" s="188"/>
      <c r="Q78" s="188"/>
      <c r="R78" s="185"/>
      <c r="S78" s="182"/>
      <c r="T78" s="625"/>
      <c r="U78" s="188"/>
      <c r="V78" s="188"/>
      <c r="W78" s="185"/>
      <c r="X78" s="182"/>
      <c r="Y78" s="625"/>
      <c r="Z78" s="188"/>
      <c r="AA78" s="188"/>
      <c r="AB78" s="185"/>
      <c r="AC78" s="182"/>
      <c r="AD78" s="625"/>
      <c r="AE78" s="188"/>
      <c r="AF78" s="188"/>
      <c r="AG78" s="185"/>
      <c r="AH78" s="182"/>
      <c r="AI78" s="625"/>
      <c r="AJ78" s="188"/>
      <c r="AK78" s="188"/>
      <c r="AL78" s="185"/>
      <c r="AM78" s="182"/>
      <c r="AN78" s="625"/>
      <c r="AO78" s="188"/>
      <c r="AP78" s="188"/>
      <c r="AQ78" s="185"/>
      <c r="AR78" s="182"/>
      <c r="AS78" s="625"/>
      <c r="AT78" s="188"/>
      <c r="AU78" s="188"/>
      <c r="AV78" s="185"/>
      <c r="AW78" s="182"/>
      <c r="AX78" s="625"/>
    </row>
    <row r="79" spans="2:50" ht="14.25" customHeight="1">
      <c r="B79" s="564"/>
      <c r="C79" s="180">
        <v>13</v>
      </c>
      <c r="D79" s="183"/>
      <c r="E79" s="180"/>
      <c r="F79" s="180"/>
      <c r="G79" s="185"/>
      <c r="H79" s="625"/>
      <c r="I79" s="186"/>
      <c r="J79" s="186"/>
      <c r="K79" s="187"/>
      <c r="L79" s="626"/>
      <c r="M79" s="186"/>
      <c r="N79" s="564"/>
      <c r="O79" s="564"/>
      <c r="P79" s="188"/>
      <c r="Q79" s="188"/>
      <c r="R79" s="185"/>
      <c r="S79" s="182"/>
      <c r="T79" s="625"/>
      <c r="U79" s="188"/>
      <c r="V79" s="188"/>
      <c r="W79" s="185"/>
      <c r="X79" s="182"/>
      <c r="Y79" s="625"/>
      <c r="Z79" s="188"/>
      <c r="AA79" s="188"/>
      <c r="AB79" s="185"/>
      <c r="AC79" s="182"/>
      <c r="AD79" s="625"/>
      <c r="AE79" s="188"/>
      <c r="AF79" s="188"/>
      <c r="AG79" s="185"/>
      <c r="AH79" s="182"/>
      <c r="AI79" s="625"/>
      <c r="AJ79" s="188"/>
      <c r="AK79" s="188"/>
      <c r="AL79" s="185"/>
      <c r="AM79" s="182"/>
      <c r="AN79" s="625"/>
      <c r="AO79" s="188"/>
      <c r="AP79" s="188"/>
      <c r="AQ79" s="185"/>
      <c r="AR79" s="182"/>
      <c r="AS79" s="625"/>
      <c r="AT79" s="188"/>
      <c r="AU79" s="188"/>
      <c r="AV79" s="185"/>
      <c r="AW79" s="182"/>
      <c r="AX79" s="625"/>
    </row>
    <row r="80" spans="2:50" ht="14.25" customHeight="1">
      <c r="B80" s="564"/>
      <c r="C80" s="180">
        <v>14</v>
      </c>
      <c r="D80" s="183"/>
      <c r="E80" s="180"/>
      <c r="F80" s="180"/>
      <c r="G80" s="185"/>
      <c r="H80" s="625"/>
      <c r="I80" s="186"/>
      <c r="J80" s="186"/>
      <c r="K80" s="187"/>
      <c r="L80" s="626"/>
      <c r="M80" s="186"/>
      <c r="N80" s="564"/>
      <c r="O80" s="564"/>
      <c r="P80" s="188"/>
      <c r="Q80" s="188"/>
      <c r="R80" s="185"/>
      <c r="S80" s="182"/>
      <c r="T80" s="625"/>
      <c r="U80" s="188"/>
      <c r="V80" s="188"/>
      <c r="W80" s="185"/>
      <c r="X80" s="182"/>
      <c r="Y80" s="625"/>
      <c r="Z80" s="188"/>
      <c r="AA80" s="188"/>
      <c r="AB80" s="185"/>
      <c r="AC80" s="182"/>
      <c r="AD80" s="625"/>
      <c r="AE80" s="188"/>
      <c r="AF80" s="188"/>
      <c r="AG80" s="185"/>
      <c r="AH80" s="182"/>
      <c r="AI80" s="625"/>
      <c r="AJ80" s="188"/>
      <c r="AK80" s="188"/>
      <c r="AL80" s="185"/>
      <c r="AM80" s="182"/>
      <c r="AN80" s="625"/>
      <c r="AO80" s="188"/>
      <c r="AP80" s="188"/>
      <c r="AQ80" s="185"/>
      <c r="AR80" s="182"/>
      <c r="AS80" s="625"/>
      <c r="AT80" s="188"/>
      <c r="AU80" s="188"/>
      <c r="AV80" s="185"/>
      <c r="AW80" s="182"/>
      <c r="AX80" s="625"/>
    </row>
    <row r="81" spans="2:50" ht="14.25" customHeight="1">
      <c r="B81" s="564"/>
      <c r="C81" s="180">
        <v>15</v>
      </c>
      <c r="D81" s="183"/>
      <c r="E81" s="180"/>
      <c r="F81" s="180"/>
      <c r="G81" s="185"/>
      <c r="H81" s="625"/>
      <c r="I81" s="186"/>
      <c r="J81" s="186"/>
      <c r="K81" s="187"/>
      <c r="L81" s="626"/>
      <c r="M81" s="186"/>
      <c r="N81" s="564"/>
      <c r="O81" s="564"/>
      <c r="P81" s="188"/>
      <c r="Q81" s="188"/>
      <c r="R81" s="185"/>
      <c r="S81" s="182"/>
      <c r="T81" s="625"/>
      <c r="U81" s="188"/>
      <c r="V81" s="188"/>
      <c r="W81" s="185"/>
      <c r="X81" s="182"/>
      <c r="Y81" s="625"/>
      <c r="Z81" s="188"/>
      <c r="AA81" s="188"/>
      <c r="AB81" s="185"/>
      <c r="AC81" s="182"/>
      <c r="AD81" s="625"/>
      <c r="AE81" s="188"/>
      <c r="AF81" s="188"/>
      <c r="AG81" s="185"/>
      <c r="AH81" s="182"/>
      <c r="AI81" s="625"/>
      <c r="AJ81" s="188"/>
      <c r="AK81" s="188"/>
      <c r="AL81" s="185"/>
      <c r="AM81" s="182"/>
      <c r="AN81" s="625"/>
      <c r="AO81" s="188"/>
      <c r="AP81" s="188"/>
      <c r="AQ81" s="185"/>
      <c r="AR81" s="182"/>
      <c r="AS81" s="625"/>
      <c r="AT81" s="188"/>
      <c r="AU81" s="188"/>
      <c r="AV81" s="185"/>
      <c r="AW81" s="182"/>
      <c r="AX81" s="625"/>
    </row>
    <row r="82" spans="2:50" ht="14.25" customHeight="1" collapsed="1">
      <c r="B82" s="641" t="s">
        <v>645</v>
      </c>
      <c r="C82" s="642"/>
      <c r="D82" s="642"/>
      <c r="E82" s="642"/>
      <c r="F82" s="642"/>
      <c r="G82" s="642"/>
      <c r="H82" s="642"/>
      <c r="I82" s="642"/>
      <c r="J82" s="642"/>
      <c r="K82" s="642"/>
      <c r="L82" s="642"/>
      <c r="M82" s="643"/>
      <c r="N82" s="575" t="s">
        <v>377</v>
      </c>
      <c r="O82" s="575" t="s">
        <v>105</v>
      </c>
      <c r="P82" s="655">
        <f>AT62+1</f>
        <v>46105</v>
      </c>
      <c r="Q82" s="656"/>
      <c r="R82" s="656"/>
      <c r="S82" s="656"/>
      <c r="T82" s="656"/>
      <c r="U82" s="657">
        <f>P82+1</f>
        <v>46106</v>
      </c>
      <c r="V82" s="658"/>
      <c r="W82" s="658"/>
      <c r="X82" s="658"/>
      <c r="Y82" s="658"/>
      <c r="Z82" s="655">
        <f t="shared" ref="Z82" si="57">U82+1</f>
        <v>46107</v>
      </c>
      <c r="AA82" s="656"/>
      <c r="AB82" s="656"/>
      <c r="AC82" s="656"/>
      <c r="AD82" s="656"/>
      <c r="AE82" s="657">
        <f t="shared" ref="AE82" si="58">Z82+1</f>
        <v>46108</v>
      </c>
      <c r="AF82" s="658"/>
      <c r="AG82" s="658"/>
      <c r="AH82" s="658"/>
      <c r="AI82" s="658"/>
      <c r="AJ82" s="647">
        <f t="shared" ref="AJ82" si="59">AE82+1</f>
        <v>46109</v>
      </c>
      <c r="AK82" s="648"/>
      <c r="AL82" s="648"/>
      <c r="AM82" s="648"/>
      <c r="AN82" s="649"/>
      <c r="AO82" s="657">
        <f t="shared" ref="AO82" si="60">AJ82+1</f>
        <v>46110</v>
      </c>
      <c r="AP82" s="658"/>
      <c r="AQ82" s="658"/>
      <c r="AR82" s="658"/>
      <c r="AS82" s="658"/>
      <c r="AT82" s="647">
        <f t="shared" ref="AT82" si="61">AO82+1</f>
        <v>46111</v>
      </c>
      <c r="AU82" s="648"/>
      <c r="AV82" s="648"/>
      <c r="AW82" s="648"/>
      <c r="AX82" s="649"/>
    </row>
    <row r="83" spans="2:50" ht="14.25" customHeight="1">
      <c r="B83" s="644"/>
      <c r="C83" s="644"/>
      <c r="D83" s="644"/>
      <c r="E83" s="644"/>
      <c r="F83" s="644"/>
      <c r="G83" s="644"/>
      <c r="H83" s="644"/>
      <c r="I83" s="644"/>
      <c r="J83" s="644"/>
      <c r="K83" s="644"/>
      <c r="L83" s="644"/>
      <c r="M83" s="645"/>
      <c r="N83" s="577"/>
      <c r="O83" s="577"/>
      <c r="P83" s="650">
        <f>P82</f>
        <v>46105</v>
      </c>
      <c r="Q83" s="650"/>
      <c r="R83" s="650"/>
      <c r="S83" s="650"/>
      <c r="T83" s="650"/>
      <c r="U83" s="651">
        <f>U82</f>
        <v>46106</v>
      </c>
      <c r="V83" s="651"/>
      <c r="W83" s="651"/>
      <c r="X83" s="651"/>
      <c r="Y83" s="651"/>
      <c r="Z83" s="650">
        <f t="shared" ref="Z83" si="62">Z82</f>
        <v>46107</v>
      </c>
      <c r="AA83" s="650"/>
      <c r="AB83" s="650"/>
      <c r="AC83" s="650"/>
      <c r="AD83" s="650"/>
      <c r="AE83" s="651">
        <f t="shared" ref="AE83" si="63">AE82</f>
        <v>46108</v>
      </c>
      <c r="AF83" s="651"/>
      <c r="AG83" s="651"/>
      <c r="AH83" s="651"/>
      <c r="AI83" s="651"/>
      <c r="AJ83" s="652">
        <f t="shared" ref="AJ83" si="64">AJ82</f>
        <v>46109</v>
      </c>
      <c r="AK83" s="653"/>
      <c r="AL83" s="653"/>
      <c r="AM83" s="653"/>
      <c r="AN83" s="654"/>
      <c r="AO83" s="651">
        <f t="shared" ref="AO83" si="65">AO82</f>
        <v>46110</v>
      </c>
      <c r="AP83" s="651"/>
      <c r="AQ83" s="651"/>
      <c r="AR83" s="651"/>
      <c r="AS83" s="651"/>
      <c r="AT83" s="652">
        <f t="shared" ref="AT83" si="66">AT82</f>
        <v>46111</v>
      </c>
      <c r="AU83" s="653"/>
      <c r="AV83" s="653"/>
      <c r="AW83" s="653"/>
      <c r="AX83" s="654"/>
    </row>
    <row r="84" spans="2:50" ht="14.25" customHeight="1">
      <c r="B84" s="564" t="s">
        <v>164</v>
      </c>
      <c r="C84" s="564" t="s">
        <v>159</v>
      </c>
      <c r="D84" s="564"/>
      <c r="E84" s="564" t="s">
        <v>160</v>
      </c>
      <c r="F84" s="564"/>
      <c r="G84" s="564"/>
      <c r="H84" s="564" t="s">
        <v>165</v>
      </c>
      <c r="I84" s="628" t="s">
        <v>378</v>
      </c>
      <c r="J84" s="628"/>
      <c r="K84" s="628"/>
      <c r="L84" s="628" t="s">
        <v>165</v>
      </c>
      <c r="M84" s="628" t="s">
        <v>167</v>
      </c>
      <c r="N84" s="564"/>
      <c r="O84" s="564" t="s">
        <v>166</v>
      </c>
      <c r="P84" s="564" t="s">
        <v>162</v>
      </c>
      <c r="Q84" s="564"/>
      <c r="R84" s="564"/>
      <c r="S84" s="564"/>
      <c r="T84" s="564" t="s">
        <v>165</v>
      </c>
      <c r="U84" s="564" t="s">
        <v>162</v>
      </c>
      <c r="V84" s="564"/>
      <c r="W84" s="564"/>
      <c r="X84" s="564"/>
      <c r="Y84" s="564" t="s">
        <v>165</v>
      </c>
      <c r="Z84" s="564" t="s">
        <v>162</v>
      </c>
      <c r="AA84" s="564"/>
      <c r="AB84" s="564"/>
      <c r="AC84" s="564"/>
      <c r="AD84" s="564" t="s">
        <v>165</v>
      </c>
      <c r="AE84" s="564" t="s">
        <v>162</v>
      </c>
      <c r="AF84" s="564"/>
      <c r="AG84" s="564"/>
      <c r="AH84" s="564"/>
      <c r="AI84" s="564" t="s">
        <v>165</v>
      </c>
      <c r="AJ84" s="564" t="s">
        <v>162</v>
      </c>
      <c r="AK84" s="564"/>
      <c r="AL84" s="564"/>
      <c r="AM84" s="564"/>
      <c r="AN84" s="564" t="s">
        <v>165</v>
      </c>
      <c r="AO84" s="564" t="s">
        <v>162</v>
      </c>
      <c r="AP84" s="564"/>
      <c r="AQ84" s="564"/>
      <c r="AR84" s="564"/>
      <c r="AS84" s="564" t="s">
        <v>165</v>
      </c>
      <c r="AT84" s="564" t="s">
        <v>162</v>
      </c>
      <c r="AU84" s="564"/>
      <c r="AV84" s="564"/>
      <c r="AW84" s="564"/>
      <c r="AX84" s="564" t="s">
        <v>165</v>
      </c>
    </row>
    <row r="85" spans="2:50" ht="14.25" customHeight="1">
      <c r="B85" s="564"/>
      <c r="C85" s="564"/>
      <c r="D85" s="564"/>
      <c r="E85" s="564" t="s">
        <v>379</v>
      </c>
      <c r="F85" s="564"/>
      <c r="G85" s="564"/>
      <c r="H85" s="564"/>
      <c r="I85" s="628" t="s">
        <v>379</v>
      </c>
      <c r="J85" s="628"/>
      <c r="K85" s="628"/>
      <c r="L85" s="628"/>
      <c r="M85" s="628"/>
      <c r="N85" s="564"/>
      <c r="O85" s="564"/>
      <c r="P85" s="564" t="s">
        <v>380</v>
      </c>
      <c r="Q85" s="564"/>
      <c r="R85" s="564"/>
      <c r="S85" s="564"/>
      <c r="T85" s="564"/>
      <c r="U85" s="564" t="s">
        <v>380</v>
      </c>
      <c r="V85" s="564"/>
      <c r="W85" s="564"/>
      <c r="X85" s="564"/>
      <c r="Y85" s="564"/>
      <c r="Z85" s="564" t="s">
        <v>380</v>
      </c>
      <c r="AA85" s="564"/>
      <c r="AB85" s="564"/>
      <c r="AC85" s="564"/>
      <c r="AD85" s="564"/>
      <c r="AE85" s="564" t="s">
        <v>380</v>
      </c>
      <c r="AF85" s="564"/>
      <c r="AG85" s="564"/>
      <c r="AH85" s="564"/>
      <c r="AI85" s="564"/>
      <c r="AJ85" s="564" t="s">
        <v>380</v>
      </c>
      <c r="AK85" s="564"/>
      <c r="AL85" s="564"/>
      <c r="AM85" s="564"/>
      <c r="AN85" s="564"/>
      <c r="AO85" s="564" t="s">
        <v>380</v>
      </c>
      <c r="AP85" s="564"/>
      <c r="AQ85" s="564"/>
      <c r="AR85" s="564"/>
      <c r="AS85" s="564"/>
      <c r="AT85" s="564" t="s">
        <v>380</v>
      </c>
      <c r="AU85" s="564"/>
      <c r="AV85" s="564"/>
      <c r="AW85" s="564"/>
      <c r="AX85" s="564"/>
    </row>
    <row r="86" spans="2:50" ht="14.25" customHeight="1">
      <c r="B86" s="564"/>
      <c r="C86" s="564"/>
      <c r="D86" s="564"/>
      <c r="E86" s="180" t="s">
        <v>161</v>
      </c>
      <c r="F86" s="180" t="s">
        <v>381</v>
      </c>
      <c r="G86" s="180" t="s">
        <v>163</v>
      </c>
      <c r="H86" s="564"/>
      <c r="I86" s="181" t="s">
        <v>161</v>
      </c>
      <c r="J86" s="181" t="s">
        <v>381</v>
      </c>
      <c r="K86" s="181" t="s">
        <v>163</v>
      </c>
      <c r="L86" s="628"/>
      <c r="M86" s="628"/>
      <c r="N86" s="564"/>
      <c r="O86" s="564"/>
      <c r="P86" s="180" t="s">
        <v>161</v>
      </c>
      <c r="Q86" s="180" t="s">
        <v>381</v>
      </c>
      <c r="R86" s="180" t="s">
        <v>163</v>
      </c>
      <c r="S86" s="182" t="s">
        <v>167</v>
      </c>
      <c r="T86" s="564"/>
      <c r="U86" s="180" t="s">
        <v>161</v>
      </c>
      <c r="V86" s="180" t="s">
        <v>381</v>
      </c>
      <c r="W86" s="180" t="s">
        <v>163</v>
      </c>
      <c r="X86" s="182" t="s">
        <v>167</v>
      </c>
      <c r="Y86" s="564"/>
      <c r="Z86" s="180" t="s">
        <v>161</v>
      </c>
      <c r="AA86" s="180" t="s">
        <v>381</v>
      </c>
      <c r="AB86" s="180" t="s">
        <v>163</v>
      </c>
      <c r="AC86" s="182" t="s">
        <v>167</v>
      </c>
      <c r="AD86" s="564"/>
      <c r="AE86" s="180" t="s">
        <v>161</v>
      </c>
      <c r="AF86" s="180" t="s">
        <v>381</v>
      </c>
      <c r="AG86" s="180" t="s">
        <v>163</v>
      </c>
      <c r="AH86" s="182" t="s">
        <v>167</v>
      </c>
      <c r="AI86" s="564"/>
      <c r="AJ86" s="180" t="s">
        <v>161</v>
      </c>
      <c r="AK86" s="180" t="s">
        <v>381</v>
      </c>
      <c r="AL86" s="180" t="s">
        <v>163</v>
      </c>
      <c r="AM86" s="182" t="s">
        <v>167</v>
      </c>
      <c r="AN86" s="564"/>
      <c r="AO86" s="180" t="s">
        <v>161</v>
      </c>
      <c r="AP86" s="180" t="s">
        <v>381</v>
      </c>
      <c r="AQ86" s="180" t="s">
        <v>163</v>
      </c>
      <c r="AR86" s="182" t="s">
        <v>167</v>
      </c>
      <c r="AS86" s="564"/>
      <c r="AT86" s="180" t="s">
        <v>161</v>
      </c>
      <c r="AU86" s="180" t="s">
        <v>381</v>
      </c>
      <c r="AV86" s="180" t="s">
        <v>163</v>
      </c>
      <c r="AW86" s="182" t="s">
        <v>167</v>
      </c>
      <c r="AX86" s="564"/>
    </row>
    <row r="87" spans="2:50" ht="14.25" customHeight="1">
      <c r="B87" s="564" t="s">
        <v>144</v>
      </c>
      <c r="C87" s="180">
        <v>1</v>
      </c>
      <c r="D87" s="183" t="s">
        <v>364</v>
      </c>
      <c r="E87" s="180">
        <v>13</v>
      </c>
      <c r="F87" s="180">
        <v>1200</v>
      </c>
      <c r="G87" s="185">
        <f t="shared" ref="G87" si="67">F87/E87</f>
        <v>92.307692307692307</v>
      </c>
      <c r="H87" s="625">
        <f>AVERAGE(G87:G101)</f>
        <v>92.307692307692307</v>
      </c>
      <c r="I87" s="186">
        <f>AVERAGE(P87,U87,Z87,AE87,AJ87,AO87,AT87)</f>
        <v>13</v>
      </c>
      <c r="J87" s="186">
        <f>AVERAGE(Q87,V87,AA87,AF87,AK87,AP87,AU87)</f>
        <v>1079.605509568514</v>
      </c>
      <c r="K87" s="187">
        <f>AVERAGE(R87,W87,AB87,AG87,AL87,AQ87,AV87)</f>
        <v>83.046577659116465</v>
      </c>
      <c r="L87" s="626">
        <f>IFERROR(AVERAGE(K87:K101),"-")</f>
        <v>83.046577659116465</v>
      </c>
      <c r="M87" s="186">
        <f>RANK(K87, K$87:$K$101)</f>
        <v>1</v>
      </c>
      <c r="N87" s="564"/>
      <c r="O87" s="564"/>
      <c r="P87" s="188">
        <v>13</v>
      </c>
      <c r="Q87" s="188">
        <v>1079.5590036749695</v>
      </c>
      <c r="R87" s="185">
        <f>IFERROR(Q87/P87,"")</f>
        <v>83.04300028268996</v>
      </c>
      <c r="S87" s="182">
        <f>RANK(R87, R$87:R$101)</f>
        <v>1</v>
      </c>
      <c r="T87" s="625">
        <f>AVERAGE(R87:R101)</f>
        <v>83.04300028268996</v>
      </c>
      <c r="U87" s="188">
        <v>13</v>
      </c>
      <c r="V87" s="188">
        <v>1079.5968645016799</v>
      </c>
      <c r="W87" s="185">
        <f t="shared" ref="W87" si="68">IFERROR(V87/U87,"")</f>
        <v>83.045912653975378</v>
      </c>
      <c r="X87" s="182">
        <f>RANK(W87, W$87:W$101)</f>
        <v>1</v>
      </c>
      <c r="Y87" s="625">
        <f>AVERAGE(W87:W101)</f>
        <v>83.045912653975378</v>
      </c>
      <c r="Z87" s="188">
        <v>13</v>
      </c>
      <c r="AA87" s="188">
        <v>1079.5962616822428</v>
      </c>
      <c r="AB87" s="185">
        <f t="shared" ref="AB87" si="69">IFERROR(AA87/Z87,"")</f>
        <v>83.045866283249453</v>
      </c>
      <c r="AC87" s="182">
        <f>RANK(AB87, AB$87:AB$101)</f>
        <v>1</v>
      </c>
      <c r="AD87" s="625">
        <f>AVERAGE(AB87:AB101)</f>
        <v>83.045866283249453</v>
      </c>
      <c r="AE87" s="188">
        <v>13</v>
      </c>
      <c r="AF87" s="188">
        <v>1079.6283551273229</v>
      </c>
      <c r="AG87" s="185">
        <f>IFERROR(AF87/AE87,"")</f>
        <v>83.048335009794073</v>
      </c>
      <c r="AH87" s="182">
        <f>RANK(AG87, AG$87:AG$101)</f>
        <v>1</v>
      </c>
      <c r="AI87" s="625">
        <f>AVERAGE(AG87:AG101)</f>
        <v>83.048335009794073</v>
      </c>
      <c r="AJ87" s="188">
        <v>13</v>
      </c>
      <c r="AK87" s="188">
        <v>1079.6084828711253</v>
      </c>
      <c r="AL87" s="185">
        <f t="shared" ref="AL87" si="70">IFERROR(AK87/AJ87,"")</f>
        <v>83.046806374701944</v>
      </c>
      <c r="AM87" s="182">
        <f>RANK(AL87, AL$87:AL$101)</f>
        <v>1</v>
      </c>
      <c r="AN87" s="625">
        <f>AVERAGE(AL87:AL101)</f>
        <v>83.046806374701944</v>
      </c>
      <c r="AO87" s="188">
        <v>13</v>
      </c>
      <c r="AP87" s="188">
        <v>1079.6056235165233</v>
      </c>
      <c r="AQ87" s="185">
        <f t="shared" ref="AQ87" si="71">IFERROR(AP87/AO87,"")</f>
        <v>83.04658642434795</v>
      </c>
      <c r="AR87" s="182">
        <f>RANK(AQ87, AQ$87:AQ$101)</f>
        <v>1</v>
      </c>
      <c r="AS87" s="625">
        <f>AVERAGE(AQ87:AQ101)</f>
        <v>83.04658642434795</v>
      </c>
      <c r="AT87" s="188">
        <v>13</v>
      </c>
      <c r="AU87" s="188">
        <v>1079.6439756057357</v>
      </c>
      <c r="AV87" s="185">
        <f t="shared" ref="AV87" si="72">IFERROR(AU87/AT87,"")</f>
        <v>83.049536585056586</v>
      </c>
      <c r="AW87" s="182">
        <f>RANK(AV87, AV$87:AV$101)</f>
        <v>1</v>
      </c>
      <c r="AX87" s="625">
        <f>AVERAGE(AV87:AV101)</f>
        <v>83.049536585056586</v>
      </c>
    </row>
    <row r="88" spans="2:50" ht="14.25" customHeight="1">
      <c r="B88" s="564"/>
      <c r="C88" s="180">
        <v>2</v>
      </c>
      <c r="D88" s="183"/>
      <c r="E88" s="180"/>
      <c r="F88" s="180"/>
      <c r="G88" s="185"/>
      <c r="H88" s="625"/>
      <c r="I88" s="186"/>
      <c r="J88" s="186"/>
      <c r="K88" s="187"/>
      <c r="L88" s="626"/>
      <c r="M88" s="186"/>
      <c r="N88" s="564"/>
      <c r="O88" s="564"/>
      <c r="P88" s="188"/>
      <c r="Q88" s="188"/>
      <c r="R88" s="185"/>
      <c r="S88" s="182"/>
      <c r="T88" s="625"/>
      <c r="U88" s="188"/>
      <c r="V88" s="188"/>
      <c r="W88" s="185"/>
      <c r="X88" s="182"/>
      <c r="Y88" s="625"/>
      <c r="Z88" s="188"/>
      <c r="AA88" s="188"/>
      <c r="AB88" s="185"/>
      <c r="AC88" s="182"/>
      <c r="AD88" s="625"/>
      <c r="AE88" s="188"/>
      <c r="AF88" s="188"/>
      <c r="AG88" s="185"/>
      <c r="AH88" s="182"/>
      <c r="AI88" s="625"/>
      <c r="AJ88" s="188"/>
      <c r="AK88" s="188"/>
      <c r="AL88" s="185"/>
      <c r="AM88" s="182"/>
      <c r="AN88" s="625"/>
      <c r="AO88" s="188"/>
      <c r="AP88" s="188"/>
      <c r="AQ88" s="185"/>
      <c r="AR88" s="182"/>
      <c r="AS88" s="625"/>
      <c r="AT88" s="188"/>
      <c r="AU88" s="188"/>
      <c r="AV88" s="185"/>
      <c r="AW88" s="182"/>
      <c r="AX88" s="625"/>
    </row>
    <row r="89" spans="2:50" ht="14.25" customHeight="1">
      <c r="B89" s="564"/>
      <c r="C89" s="180">
        <v>3</v>
      </c>
      <c r="D89" s="183"/>
      <c r="E89" s="180"/>
      <c r="F89" s="180"/>
      <c r="G89" s="185"/>
      <c r="H89" s="625"/>
      <c r="I89" s="186"/>
      <c r="J89" s="186"/>
      <c r="K89" s="187"/>
      <c r="L89" s="626"/>
      <c r="M89" s="186"/>
      <c r="N89" s="564"/>
      <c r="O89" s="564"/>
      <c r="P89" s="188"/>
      <c r="Q89" s="188"/>
      <c r="R89" s="185"/>
      <c r="S89" s="182"/>
      <c r="T89" s="625"/>
      <c r="U89" s="188"/>
      <c r="V89" s="188"/>
      <c r="W89" s="185"/>
      <c r="X89" s="182"/>
      <c r="Y89" s="625"/>
      <c r="Z89" s="188"/>
      <c r="AA89" s="188"/>
      <c r="AB89" s="185"/>
      <c r="AC89" s="182"/>
      <c r="AD89" s="625"/>
      <c r="AE89" s="188"/>
      <c r="AF89" s="188"/>
      <c r="AG89" s="185"/>
      <c r="AH89" s="182"/>
      <c r="AI89" s="625"/>
      <c r="AJ89" s="188"/>
      <c r="AK89" s="188"/>
      <c r="AL89" s="185"/>
      <c r="AM89" s="182"/>
      <c r="AN89" s="625"/>
      <c r="AO89" s="188"/>
      <c r="AP89" s="188"/>
      <c r="AQ89" s="185"/>
      <c r="AR89" s="182"/>
      <c r="AS89" s="625"/>
      <c r="AT89" s="188"/>
      <c r="AU89" s="188"/>
      <c r="AV89" s="185"/>
      <c r="AW89" s="182"/>
      <c r="AX89" s="625"/>
    </row>
    <row r="90" spans="2:50" ht="14.25" customHeight="1">
      <c r="B90" s="564"/>
      <c r="C90" s="180">
        <v>4</v>
      </c>
      <c r="D90" s="183"/>
      <c r="E90" s="180"/>
      <c r="F90" s="180"/>
      <c r="G90" s="185"/>
      <c r="H90" s="625"/>
      <c r="I90" s="186"/>
      <c r="J90" s="186"/>
      <c r="K90" s="187"/>
      <c r="L90" s="626"/>
      <c r="M90" s="186"/>
      <c r="N90" s="564"/>
      <c r="O90" s="564"/>
      <c r="P90" s="188"/>
      <c r="Q90" s="188"/>
      <c r="R90" s="185"/>
      <c r="S90" s="182"/>
      <c r="T90" s="625"/>
      <c r="U90" s="188"/>
      <c r="V90" s="188"/>
      <c r="W90" s="185"/>
      <c r="X90" s="182"/>
      <c r="Y90" s="625"/>
      <c r="Z90" s="188"/>
      <c r="AA90" s="188"/>
      <c r="AB90" s="185"/>
      <c r="AC90" s="182"/>
      <c r="AD90" s="625"/>
      <c r="AE90" s="188"/>
      <c r="AF90" s="188"/>
      <c r="AG90" s="185"/>
      <c r="AH90" s="182"/>
      <c r="AI90" s="625"/>
      <c r="AJ90" s="188"/>
      <c r="AK90" s="188"/>
      <c r="AL90" s="185"/>
      <c r="AM90" s="182"/>
      <c r="AN90" s="625"/>
      <c r="AO90" s="188"/>
      <c r="AP90" s="188"/>
      <c r="AQ90" s="185"/>
      <c r="AR90" s="182"/>
      <c r="AS90" s="625"/>
      <c r="AT90" s="188"/>
      <c r="AU90" s="188"/>
      <c r="AV90" s="185"/>
      <c r="AW90" s="182"/>
      <c r="AX90" s="625"/>
    </row>
    <row r="91" spans="2:50" ht="14.25" customHeight="1">
      <c r="B91" s="564"/>
      <c r="C91" s="180">
        <v>5</v>
      </c>
      <c r="D91" s="183"/>
      <c r="E91" s="180"/>
      <c r="F91" s="180"/>
      <c r="G91" s="185"/>
      <c r="H91" s="625"/>
      <c r="I91" s="186"/>
      <c r="J91" s="186"/>
      <c r="K91" s="187"/>
      <c r="L91" s="626"/>
      <c r="M91" s="186"/>
      <c r="N91" s="564"/>
      <c r="O91" s="564"/>
      <c r="P91" s="188"/>
      <c r="Q91" s="188"/>
      <c r="R91" s="185"/>
      <c r="S91" s="182"/>
      <c r="T91" s="625"/>
      <c r="U91" s="188"/>
      <c r="V91" s="188"/>
      <c r="W91" s="185"/>
      <c r="X91" s="182"/>
      <c r="Y91" s="625"/>
      <c r="Z91" s="188"/>
      <c r="AA91" s="188"/>
      <c r="AB91" s="185"/>
      <c r="AC91" s="182"/>
      <c r="AD91" s="625"/>
      <c r="AE91" s="188"/>
      <c r="AF91" s="188"/>
      <c r="AG91" s="185"/>
      <c r="AH91" s="182"/>
      <c r="AI91" s="625"/>
      <c r="AJ91" s="188"/>
      <c r="AK91" s="188"/>
      <c r="AL91" s="185"/>
      <c r="AM91" s="182"/>
      <c r="AN91" s="625"/>
      <c r="AO91" s="188"/>
      <c r="AP91" s="188"/>
      <c r="AQ91" s="185"/>
      <c r="AR91" s="182"/>
      <c r="AS91" s="625"/>
      <c r="AT91" s="188"/>
      <c r="AU91" s="188"/>
      <c r="AV91" s="185"/>
      <c r="AW91" s="182"/>
      <c r="AX91" s="625"/>
    </row>
    <row r="92" spans="2:50" ht="14.25" customHeight="1">
      <c r="B92" s="564"/>
      <c r="C92" s="180">
        <v>6</v>
      </c>
      <c r="D92" s="183"/>
      <c r="E92" s="180"/>
      <c r="F92" s="180"/>
      <c r="G92" s="185"/>
      <c r="H92" s="625"/>
      <c r="I92" s="186"/>
      <c r="J92" s="186"/>
      <c r="K92" s="187"/>
      <c r="L92" s="626"/>
      <c r="M92" s="186"/>
      <c r="N92" s="564"/>
      <c r="O92" s="564"/>
      <c r="P92" s="188"/>
      <c r="Q92" s="188"/>
      <c r="R92" s="185"/>
      <c r="S92" s="182"/>
      <c r="T92" s="625"/>
      <c r="U92" s="188"/>
      <c r="V92" s="188"/>
      <c r="W92" s="185"/>
      <c r="X92" s="182"/>
      <c r="Y92" s="625"/>
      <c r="Z92" s="188"/>
      <c r="AA92" s="188"/>
      <c r="AB92" s="185"/>
      <c r="AC92" s="182"/>
      <c r="AD92" s="625"/>
      <c r="AE92" s="188"/>
      <c r="AF92" s="188"/>
      <c r="AG92" s="185"/>
      <c r="AH92" s="182"/>
      <c r="AI92" s="625"/>
      <c r="AJ92" s="188"/>
      <c r="AK92" s="188"/>
      <c r="AL92" s="185"/>
      <c r="AM92" s="182"/>
      <c r="AN92" s="625"/>
      <c r="AO92" s="188"/>
      <c r="AP92" s="188"/>
      <c r="AQ92" s="185"/>
      <c r="AR92" s="182"/>
      <c r="AS92" s="625"/>
      <c r="AT92" s="188"/>
      <c r="AU92" s="188"/>
      <c r="AV92" s="185"/>
      <c r="AW92" s="182"/>
      <c r="AX92" s="625"/>
    </row>
    <row r="93" spans="2:50" ht="14.25" customHeight="1">
      <c r="B93" s="564"/>
      <c r="C93" s="180">
        <v>7</v>
      </c>
      <c r="D93" s="183"/>
      <c r="E93" s="180"/>
      <c r="F93" s="180"/>
      <c r="G93" s="185"/>
      <c r="H93" s="625"/>
      <c r="I93" s="186"/>
      <c r="J93" s="186"/>
      <c r="K93" s="187"/>
      <c r="L93" s="626"/>
      <c r="M93" s="186"/>
      <c r="N93" s="564"/>
      <c r="O93" s="564"/>
      <c r="P93" s="188"/>
      <c r="Q93" s="188"/>
      <c r="R93" s="185"/>
      <c r="S93" s="182"/>
      <c r="T93" s="625"/>
      <c r="U93" s="188"/>
      <c r="V93" s="188"/>
      <c r="W93" s="185"/>
      <c r="X93" s="182"/>
      <c r="Y93" s="625"/>
      <c r="Z93" s="188"/>
      <c r="AA93" s="188"/>
      <c r="AB93" s="185"/>
      <c r="AC93" s="182"/>
      <c r="AD93" s="625"/>
      <c r="AE93" s="188"/>
      <c r="AF93" s="188"/>
      <c r="AG93" s="185"/>
      <c r="AH93" s="182"/>
      <c r="AI93" s="625"/>
      <c r="AJ93" s="188"/>
      <c r="AK93" s="188"/>
      <c r="AL93" s="185"/>
      <c r="AM93" s="182"/>
      <c r="AN93" s="625"/>
      <c r="AO93" s="188"/>
      <c r="AP93" s="188"/>
      <c r="AQ93" s="185"/>
      <c r="AR93" s="182"/>
      <c r="AS93" s="625"/>
      <c r="AT93" s="188"/>
      <c r="AU93" s="188"/>
      <c r="AV93" s="185"/>
      <c r="AW93" s="182"/>
      <c r="AX93" s="625"/>
    </row>
    <row r="94" spans="2:50" ht="14.25" customHeight="1">
      <c r="B94" s="564"/>
      <c r="C94" s="180">
        <v>8</v>
      </c>
      <c r="D94" s="183"/>
      <c r="E94" s="180"/>
      <c r="F94" s="180"/>
      <c r="G94" s="185"/>
      <c r="H94" s="625"/>
      <c r="I94" s="186"/>
      <c r="J94" s="186"/>
      <c r="K94" s="187"/>
      <c r="L94" s="626"/>
      <c r="M94" s="186"/>
      <c r="N94" s="564"/>
      <c r="O94" s="564"/>
      <c r="P94" s="188"/>
      <c r="Q94" s="188"/>
      <c r="R94" s="185"/>
      <c r="S94" s="182"/>
      <c r="T94" s="625"/>
      <c r="U94" s="188"/>
      <c r="V94" s="188"/>
      <c r="W94" s="185"/>
      <c r="X94" s="182"/>
      <c r="Y94" s="625"/>
      <c r="Z94" s="188"/>
      <c r="AA94" s="188"/>
      <c r="AB94" s="185"/>
      <c r="AC94" s="182"/>
      <c r="AD94" s="625"/>
      <c r="AE94" s="188"/>
      <c r="AF94" s="188"/>
      <c r="AG94" s="185"/>
      <c r="AH94" s="182"/>
      <c r="AI94" s="625"/>
      <c r="AJ94" s="188"/>
      <c r="AK94" s="188"/>
      <c r="AL94" s="185"/>
      <c r="AM94" s="182"/>
      <c r="AN94" s="625"/>
      <c r="AO94" s="188"/>
      <c r="AP94" s="188"/>
      <c r="AQ94" s="185"/>
      <c r="AR94" s="182"/>
      <c r="AS94" s="625"/>
      <c r="AT94" s="188"/>
      <c r="AU94" s="188"/>
      <c r="AV94" s="185"/>
      <c r="AW94" s="182"/>
      <c r="AX94" s="625"/>
    </row>
    <row r="95" spans="2:50" ht="14.25" customHeight="1">
      <c r="B95" s="564"/>
      <c r="C95" s="180">
        <v>9</v>
      </c>
      <c r="D95" s="183"/>
      <c r="E95" s="180"/>
      <c r="F95" s="180"/>
      <c r="G95" s="185"/>
      <c r="H95" s="625"/>
      <c r="I95" s="186"/>
      <c r="J95" s="186"/>
      <c r="K95" s="187"/>
      <c r="L95" s="626"/>
      <c r="M95" s="186"/>
      <c r="N95" s="564"/>
      <c r="O95" s="564"/>
      <c r="P95" s="188"/>
      <c r="Q95" s="188"/>
      <c r="R95" s="185"/>
      <c r="S95" s="182"/>
      <c r="T95" s="625"/>
      <c r="U95" s="188"/>
      <c r="V95" s="188"/>
      <c r="W95" s="185"/>
      <c r="X95" s="182"/>
      <c r="Y95" s="625"/>
      <c r="Z95" s="188"/>
      <c r="AA95" s="188"/>
      <c r="AB95" s="185"/>
      <c r="AC95" s="182"/>
      <c r="AD95" s="625"/>
      <c r="AE95" s="188"/>
      <c r="AF95" s="188"/>
      <c r="AG95" s="185"/>
      <c r="AH95" s="182"/>
      <c r="AI95" s="625"/>
      <c r="AJ95" s="188"/>
      <c r="AK95" s="188"/>
      <c r="AL95" s="185"/>
      <c r="AM95" s="182"/>
      <c r="AN95" s="625"/>
      <c r="AO95" s="188"/>
      <c r="AP95" s="188"/>
      <c r="AQ95" s="185"/>
      <c r="AR95" s="182"/>
      <c r="AS95" s="625"/>
      <c r="AT95" s="188"/>
      <c r="AU95" s="188"/>
      <c r="AV95" s="185"/>
      <c r="AW95" s="182"/>
      <c r="AX95" s="625"/>
    </row>
    <row r="96" spans="2:50" ht="14.25" customHeight="1">
      <c r="B96" s="564"/>
      <c r="C96" s="180">
        <v>10</v>
      </c>
      <c r="D96" s="183"/>
      <c r="E96" s="180"/>
      <c r="F96" s="180"/>
      <c r="G96" s="185"/>
      <c r="H96" s="625"/>
      <c r="I96" s="186"/>
      <c r="J96" s="186"/>
      <c r="K96" s="187"/>
      <c r="L96" s="626"/>
      <c r="M96" s="186"/>
      <c r="N96" s="564"/>
      <c r="O96" s="564"/>
      <c r="P96" s="188"/>
      <c r="Q96" s="188"/>
      <c r="R96" s="185"/>
      <c r="S96" s="182"/>
      <c r="T96" s="625"/>
      <c r="U96" s="188"/>
      <c r="V96" s="188"/>
      <c r="W96" s="185"/>
      <c r="X96" s="182"/>
      <c r="Y96" s="625"/>
      <c r="Z96" s="188"/>
      <c r="AA96" s="188"/>
      <c r="AB96" s="185"/>
      <c r="AC96" s="182"/>
      <c r="AD96" s="625"/>
      <c r="AE96" s="188"/>
      <c r="AF96" s="188"/>
      <c r="AG96" s="185"/>
      <c r="AH96" s="182"/>
      <c r="AI96" s="625"/>
      <c r="AJ96" s="188"/>
      <c r="AK96" s="188"/>
      <c r="AL96" s="185"/>
      <c r="AM96" s="182"/>
      <c r="AN96" s="625"/>
      <c r="AO96" s="188"/>
      <c r="AP96" s="188"/>
      <c r="AQ96" s="185"/>
      <c r="AR96" s="182"/>
      <c r="AS96" s="625"/>
      <c r="AT96" s="188"/>
      <c r="AU96" s="188"/>
      <c r="AV96" s="185"/>
      <c r="AW96" s="182"/>
      <c r="AX96" s="625"/>
    </row>
    <row r="97" spans="2:50" ht="14.25" customHeight="1">
      <c r="B97" s="564"/>
      <c r="C97" s="180">
        <v>11</v>
      </c>
      <c r="D97" s="183"/>
      <c r="E97" s="180"/>
      <c r="F97" s="180"/>
      <c r="G97" s="185"/>
      <c r="H97" s="625"/>
      <c r="I97" s="186"/>
      <c r="J97" s="186"/>
      <c r="K97" s="187"/>
      <c r="L97" s="626"/>
      <c r="M97" s="186"/>
      <c r="N97" s="564"/>
      <c r="O97" s="564"/>
      <c r="P97" s="188"/>
      <c r="Q97" s="188"/>
      <c r="R97" s="185"/>
      <c r="S97" s="182"/>
      <c r="T97" s="625"/>
      <c r="U97" s="188"/>
      <c r="V97" s="188"/>
      <c r="W97" s="185"/>
      <c r="X97" s="182"/>
      <c r="Y97" s="625"/>
      <c r="Z97" s="188"/>
      <c r="AA97" s="188"/>
      <c r="AB97" s="185"/>
      <c r="AC97" s="182"/>
      <c r="AD97" s="625"/>
      <c r="AE97" s="188"/>
      <c r="AF97" s="188"/>
      <c r="AG97" s="185"/>
      <c r="AH97" s="182"/>
      <c r="AI97" s="625"/>
      <c r="AJ97" s="188"/>
      <c r="AK97" s="188"/>
      <c r="AL97" s="185"/>
      <c r="AM97" s="182"/>
      <c r="AN97" s="625"/>
      <c r="AO97" s="188"/>
      <c r="AP97" s="188"/>
      <c r="AQ97" s="185"/>
      <c r="AR97" s="182"/>
      <c r="AS97" s="625"/>
      <c r="AT97" s="188"/>
      <c r="AU97" s="188"/>
      <c r="AV97" s="185"/>
      <c r="AW97" s="182"/>
      <c r="AX97" s="625"/>
    </row>
    <row r="98" spans="2:50" ht="14.25" customHeight="1">
      <c r="B98" s="564"/>
      <c r="C98" s="180">
        <v>12</v>
      </c>
      <c r="D98" s="183"/>
      <c r="E98" s="180"/>
      <c r="F98" s="180"/>
      <c r="G98" s="185"/>
      <c r="H98" s="625"/>
      <c r="I98" s="186"/>
      <c r="J98" s="186"/>
      <c r="K98" s="187"/>
      <c r="L98" s="626"/>
      <c r="M98" s="186"/>
      <c r="N98" s="564"/>
      <c r="O98" s="564"/>
      <c r="P98" s="188"/>
      <c r="Q98" s="188"/>
      <c r="R98" s="185"/>
      <c r="S98" s="182"/>
      <c r="T98" s="625"/>
      <c r="U98" s="188"/>
      <c r="V98" s="188"/>
      <c r="W98" s="185"/>
      <c r="X98" s="182"/>
      <c r="Y98" s="625"/>
      <c r="Z98" s="188"/>
      <c r="AA98" s="188"/>
      <c r="AB98" s="185"/>
      <c r="AC98" s="182"/>
      <c r="AD98" s="625"/>
      <c r="AE98" s="188"/>
      <c r="AF98" s="188"/>
      <c r="AG98" s="185"/>
      <c r="AH98" s="182"/>
      <c r="AI98" s="625"/>
      <c r="AJ98" s="188"/>
      <c r="AK98" s="188"/>
      <c r="AL98" s="185"/>
      <c r="AM98" s="182"/>
      <c r="AN98" s="625"/>
      <c r="AO98" s="188"/>
      <c r="AP98" s="188"/>
      <c r="AQ98" s="185"/>
      <c r="AR98" s="182"/>
      <c r="AS98" s="625"/>
      <c r="AT98" s="188"/>
      <c r="AU98" s="188"/>
      <c r="AV98" s="185"/>
      <c r="AW98" s="182"/>
      <c r="AX98" s="625"/>
    </row>
    <row r="99" spans="2:50" ht="14.25" customHeight="1">
      <c r="B99" s="564"/>
      <c r="C99" s="180">
        <v>13</v>
      </c>
      <c r="D99" s="183"/>
      <c r="E99" s="180"/>
      <c r="F99" s="180"/>
      <c r="G99" s="185"/>
      <c r="H99" s="625"/>
      <c r="I99" s="186"/>
      <c r="J99" s="186"/>
      <c r="K99" s="187"/>
      <c r="L99" s="626"/>
      <c r="M99" s="186"/>
      <c r="N99" s="564"/>
      <c r="O99" s="564"/>
      <c r="P99" s="188"/>
      <c r="Q99" s="188"/>
      <c r="R99" s="185"/>
      <c r="S99" s="182"/>
      <c r="T99" s="625"/>
      <c r="U99" s="188"/>
      <c r="V99" s="188"/>
      <c r="W99" s="185"/>
      <c r="X99" s="182"/>
      <c r="Y99" s="625"/>
      <c r="Z99" s="188"/>
      <c r="AA99" s="188"/>
      <c r="AB99" s="185"/>
      <c r="AC99" s="182"/>
      <c r="AD99" s="625"/>
      <c r="AE99" s="188"/>
      <c r="AF99" s="188"/>
      <c r="AG99" s="185"/>
      <c r="AH99" s="182"/>
      <c r="AI99" s="625"/>
      <c r="AJ99" s="188"/>
      <c r="AK99" s="188"/>
      <c r="AL99" s="185"/>
      <c r="AM99" s="182"/>
      <c r="AN99" s="625"/>
      <c r="AO99" s="188"/>
      <c r="AP99" s="188"/>
      <c r="AQ99" s="185"/>
      <c r="AR99" s="182"/>
      <c r="AS99" s="625"/>
      <c r="AT99" s="188"/>
      <c r="AU99" s="188"/>
      <c r="AV99" s="185"/>
      <c r="AW99" s="182"/>
      <c r="AX99" s="625"/>
    </row>
    <row r="100" spans="2:50" ht="14.25" customHeight="1">
      <c r="B100" s="564"/>
      <c r="C100" s="180">
        <v>14</v>
      </c>
      <c r="D100" s="183"/>
      <c r="E100" s="180"/>
      <c r="F100" s="180"/>
      <c r="G100" s="185"/>
      <c r="H100" s="625"/>
      <c r="I100" s="186"/>
      <c r="J100" s="186"/>
      <c r="K100" s="187"/>
      <c r="L100" s="626"/>
      <c r="M100" s="186"/>
      <c r="N100" s="564"/>
      <c r="O100" s="564"/>
      <c r="P100" s="188"/>
      <c r="Q100" s="188"/>
      <c r="R100" s="185"/>
      <c r="S100" s="182"/>
      <c r="T100" s="625"/>
      <c r="U100" s="188"/>
      <c r="V100" s="188"/>
      <c r="W100" s="185"/>
      <c r="X100" s="182"/>
      <c r="Y100" s="625"/>
      <c r="Z100" s="188"/>
      <c r="AA100" s="188"/>
      <c r="AB100" s="185"/>
      <c r="AC100" s="182"/>
      <c r="AD100" s="625"/>
      <c r="AE100" s="188"/>
      <c r="AF100" s="188"/>
      <c r="AG100" s="185"/>
      <c r="AH100" s="182"/>
      <c r="AI100" s="625"/>
      <c r="AJ100" s="188"/>
      <c r="AK100" s="188"/>
      <c r="AL100" s="185"/>
      <c r="AM100" s="182"/>
      <c r="AN100" s="625"/>
      <c r="AO100" s="188"/>
      <c r="AP100" s="188"/>
      <c r="AQ100" s="185"/>
      <c r="AR100" s="182"/>
      <c r="AS100" s="625"/>
      <c r="AT100" s="188"/>
      <c r="AU100" s="188"/>
      <c r="AV100" s="185"/>
      <c r="AW100" s="182"/>
      <c r="AX100" s="625"/>
    </row>
    <row r="101" spans="2:50" ht="14.25" customHeight="1">
      <c r="B101" s="564"/>
      <c r="C101" s="180">
        <v>15</v>
      </c>
      <c r="D101" s="183"/>
      <c r="E101" s="180"/>
      <c r="F101" s="180"/>
      <c r="G101" s="185"/>
      <c r="H101" s="625"/>
      <c r="I101" s="186"/>
      <c r="J101" s="186"/>
      <c r="K101" s="187"/>
      <c r="L101" s="626"/>
      <c r="M101" s="186"/>
      <c r="N101" s="564"/>
      <c r="O101" s="564"/>
      <c r="P101" s="188"/>
      <c r="Q101" s="188"/>
      <c r="R101" s="185"/>
      <c r="S101" s="182"/>
      <c r="T101" s="625"/>
      <c r="U101" s="188"/>
      <c r="V101" s="188"/>
      <c r="W101" s="185"/>
      <c r="X101" s="182"/>
      <c r="Y101" s="625"/>
      <c r="Z101" s="188"/>
      <c r="AA101" s="188"/>
      <c r="AB101" s="185"/>
      <c r="AC101" s="182"/>
      <c r="AD101" s="625"/>
      <c r="AE101" s="188"/>
      <c r="AF101" s="188"/>
      <c r="AG101" s="185"/>
      <c r="AH101" s="182"/>
      <c r="AI101" s="625"/>
      <c r="AJ101" s="188"/>
      <c r="AK101" s="188"/>
      <c r="AL101" s="185"/>
      <c r="AM101" s="182"/>
      <c r="AN101" s="625"/>
      <c r="AO101" s="188"/>
      <c r="AP101" s="188"/>
      <c r="AQ101" s="185"/>
      <c r="AR101" s="182"/>
      <c r="AS101" s="625"/>
      <c r="AT101" s="188"/>
      <c r="AU101" s="188"/>
      <c r="AV101" s="185"/>
      <c r="AW101" s="182"/>
      <c r="AX101" s="625"/>
    </row>
    <row r="102" spans="2:50" ht="14.25" customHeight="1" collapsed="1">
      <c r="B102" s="641" t="s">
        <v>646</v>
      </c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3"/>
      <c r="N102" s="575" t="s">
        <v>377</v>
      </c>
      <c r="O102" s="575" t="s">
        <v>105</v>
      </c>
      <c r="P102" s="655">
        <f>AT82+1</f>
        <v>46112</v>
      </c>
      <c r="Q102" s="656"/>
      <c r="R102" s="656"/>
      <c r="S102" s="656"/>
      <c r="T102" s="656"/>
      <c r="U102" s="657">
        <f>P102+1</f>
        <v>46113</v>
      </c>
      <c r="V102" s="658"/>
      <c r="W102" s="658"/>
      <c r="X102" s="658"/>
      <c r="Y102" s="658"/>
      <c r="Z102" s="655">
        <f t="shared" ref="Z102" si="73">U102+1</f>
        <v>46114</v>
      </c>
      <c r="AA102" s="656"/>
      <c r="AB102" s="656"/>
      <c r="AC102" s="656"/>
      <c r="AD102" s="656"/>
      <c r="AE102" s="657">
        <f t="shared" ref="AE102" si="74">Z102+1</f>
        <v>46115</v>
      </c>
      <c r="AF102" s="658"/>
      <c r="AG102" s="658"/>
      <c r="AH102" s="658"/>
      <c r="AI102" s="658"/>
      <c r="AJ102" s="647">
        <f t="shared" ref="AJ102" si="75">AE102+1</f>
        <v>46116</v>
      </c>
      <c r="AK102" s="648"/>
      <c r="AL102" s="648"/>
      <c r="AM102" s="648"/>
      <c r="AN102" s="649"/>
      <c r="AO102" s="657">
        <f t="shared" ref="AO102" si="76">AJ102+1</f>
        <v>46117</v>
      </c>
      <c r="AP102" s="658"/>
      <c r="AQ102" s="658"/>
      <c r="AR102" s="658"/>
      <c r="AS102" s="658"/>
      <c r="AT102" s="647">
        <f t="shared" ref="AT102" si="77">AO102+1</f>
        <v>46118</v>
      </c>
      <c r="AU102" s="648"/>
      <c r="AV102" s="648"/>
      <c r="AW102" s="648"/>
      <c r="AX102" s="649"/>
    </row>
    <row r="103" spans="2:50" ht="14.25" customHeight="1">
      <c r="B103" s="644"/>
      <c r="C103" s="644"/>
      <c r="D103" s="644"/>
      <c r="E103" s="644"/>
      <c r="F103" s="644"/>
      <c r="G103" s="644"/>
      <c r="H103" s="644"/>
      <c r="I103" s="644"/>
      <c r="J103" s="644"/>
      <c r="K103" s="644"/>
      <c r="L103" s="644"/>
      <c r="M103" s="645"/>
      <c r="N103" s="577"/>
      <c r="O103" s="577"/>
      <c r="P103" s="650">
        <f>P102</f>
        <v>46112</v>
      </c>
      <c r="Q103" s="650"/>
      <c r="R103" s="650"/>
      <c r="S103" s="650"/>
      <c r="T103" s="650"/>
      <c r="U103" s="651">
        <f>U102</f>
        <v>46113</v>
      </c>
      <c r="V103" s="651"/>
      <c r="W103" s="651"/>
      <c r="X103" s="651"/>
      <c r="Y103" s="651"/>
      <c r="Z103" s="650">
        <f t="shared" ref="Z103" si="78">Z102</f>
        <v>46114</v>
      </c>
      <c r="AA103" s="650"/>
      <c r="AB103" s="650"/>
      <c r="AC103" s="650"/>
      <c r="AD103" s="650"/>
      <c r="AE103" s="651">
        <f t="shared" ref="AE103" si="79">AE102</f>
        <v>46115</v>
      </c>
      <c r="AF103" s="651"/>
      <c r="AG103" s="651"/>
      <c r="AH103" s="651"/>
      <c r="AI103" s="651"/>
      <c r="AJ103" s="652">
        <f t="shared" ref="AJ103" si="80">AJ102</f>
        <v>46116</v>
      </c>
      <c r="AK103" s="653"/>
      <c r="AL103" s="653"/>
      <c r="AM103" s="653"/>
      <c r="AN103" s="654"/>
      <c r="AO103" s="651">
        <f t="shared" ref="AO103" si="81">AO102</f>
        <v>46117</v>
      </c>
      <c r="AP103" s="651"/>
      <c r="AQ103" s="651"/>
      <c r="AR103" s="651"/>
      <c r="AS103" s="651"/>
      <c r="AT103" s="652">
        <f t="shared" ref="AT103" si="82">AT102</f>
        <v>46118</v>
      </c>
      <c r="AU103" s="653"/>
      <c r="AV103" s="653"/>
      <c r="AW103" s="653"/>
      <c r="AX103" s="654"/>
    </row>
    <row r="104" spans="2:50" ht="14.25" customHeight="1">
      <c r="B104" s="564" t="s">
        <v>164</v>
      </c>
      <c r="C104" s="564" t="s">
        <v>159</v>
      </c>
      <c r="D104" s="564"/>
      <c r="E104" s="564" t="s">
        <v>160</v>
      </c>
      <c r="F104" s="564"/>
      <c r="G104" s="564"/>
      <c r="H104" s="564" t="s">
        <v>165</v>
      </c>
      <c r="I104" s="628" t="s">
        <v>378</v>
      </c>
      <c r="J104" s="628"/>
      <c r="K104" s="628"/>
      <c r="L104" s="628" t="s">
        <v>165</v>
      </c>
      <c r="M104" s="628" t="s">
        <v>167</v>
      </c>
      <c r="N104" s="564"/>
      <c r="O104" s="564" t="s">
        <v>166</v>
      </c>
      <c r="P104" s="564" t="s">
        <v>162</v>
      </c>
      <c r="Q104" s="564"/>
      <c r="R104" s="564"/>
      <c r="S104" s="564"/>
      <c r="T104" s="564" t="s">
        <v>165</v>
      </c>
      <c r="U104" s="564" t="s">
        <v>162</v>
      </c>
      <c r="V104" s="564"/>
      <c r="W104" s="564"/>
      <c r="X104" s="564"/>
      <c r="Y104" s="564" t="s">
        <v>165</v>
      </c>
      <c r="Z104" s="564" t="s">
        <v>162</v>
      </c>
      <c r="AA104" s="564"/>
      <c r="AB104" s="564"/>
      <c r="AC104" s="564"/>
      <c r="AD104" s="564" t="s">
        <v>165</v>
      </c>
      <c r="AE104" s="564" t="s">
        <v>162</v>
      </c>
      <c r="AF104" s="564"/>
      <c r="AG104" s="564"/>
      <c r="AH104" s="564"/>
      <c r="AI104" s="564" t="s">
        <v>165</v>
      </c>
      <c r="AJ104" s="564" t="s">
        <v>162</v>
      </c>
      <c r="AK104" s="564"/>
      <c r="AL104" s="564"/>
      <c r="AM104" s="564"/>
      <c r="AN104" s="564" t="s">
        <v>165</v>
      </c>
      <c r="AO104" s="564" t="s">
        <v>162</v>
      </c>
      <c r="AP104" s="564"/>
      <c r="AQ104" s="564"/>
      <c r="AR104" s="564"/>
      <c r="AS104" s="564" t="s">
        <v>165</v>
      </c>
      <c r="AT104" s="564" t="s">
        <v>162</v>
      </c>
      <c r="AU104" s="564"/>
      <c r="AV104" s="564"/>
      <c r="AW104" s="564"/>
      <c r="AX104" s="564" t="s">
        <v>165</v>
      </c>
    </row>
    <row r="105" spans="2:50" ht="14.25" customHeight="1">
      <c r="B105" s="564"/>
      <c r="C105" s="564"/>
      <c r="D105" s="564"/>
      <c r="E105" s="564" t="s">
        <v>379</v>
      </c>
      <c r="F105" s="564"/>
      <c r="G105" s="564"/>
      <c r="H105" s="564"/>
      <c r="I105" s="628" t="s">
        <v>379</v>
      </c>
      <c r="J105" s="628"/>
      <c r="K105" s="628"/>
      <c r="L105" s="628"/>
      <c r="M105" s="628"/>
      <c r="N105" s="564"/>
      <c r="O105" s="564"/>
      <c r="P105" s="564" t="s">
        <v>380</v>
      </c>
      <c r="Q105" s="564"/>
      <c r="R105" s="564"/>
      <c r="S105" s="564"/>
      <c r="T105" s="564"/>
      <c r="U105" s="564" t="s">
        <v>380</v>
      </c>
      <c r="V105" s="564"/>
      <c r="W105" s="564"/>
      <c r="X105" s="564"/>
      <c r="Y105" s="564"/>
      <c r="Z105" s="564" t="s">
        <v>380</v>
      </c>
      <c r="AA105" s="564"/>
      <c r="AB105" s="564"/>
      <c r="AC105" s="564"/>
      <c r="AD105" s="564"/>
      <c r="AE105" s="564" t="s">
        <v>380</v>
      </c>
      <c r="AF105" s="564"/>
      <c r="AG105" s="564"/>
      <c r="AH105" s="564"/>
      <c r="AI105" s="564"/>
      <c r="AJ105" s="564" t="s">
        <v>380</v>
      </c>
      <c r="AK105" s="564"/>
      <c r="AL105" s="564"/>
      <c r="AM105" s="564"/>
      <c r="AN105" s="564"/>
      <c r="AO105" s="564" t="s">
        <v>380</v>
      </c>
      <c r="AP105" s="564"/>
      <c r="AQ105" s="564"/>
      <c r="AR105" s="564"/>
      <c r="AS105" s="564"/>
      <c r="AT105" s="564" t="s">
        <v>380</v>
      </c>
      <c r="AU105" s="564"/>
      <c r="AV105" s="564"/>
      <c r="AW105" s="564"/>
      <c r="AX105" s="564"/>
    </row>
    <row r="106" spans="2:50" ht="14.25" customHeight="1">
      <c r="B106" s="564"/>
      <c r="C106" s="564"/>
      <c r="D106" s="564"/>
      <c r="E106" s="180" t="s">
        <v>161</v>
      </c>
      <c r="F106" s="180" t="s">
        <v>381</v>
      </c>
      <c r="G106" s="180" t="s">
        <v>163</v>
      </c>
      <c r="H106" s="564"/>
      <c r="I106" s="181" t="s">
        <v>161</v>
      </c>
      <c r="J106" s="181" t="s">
        <v>381</v>
      </c>
      <c r="K106" s="181" t="s">
        <v>163</v>
      </c>
      <c r="L106" s="628"/>
      <c r="M106" s="628"/>
      <c r="N106" s="564"/>
      <c r="O106" s="564"/>
      <c r="P106" s="180" t="s">
        <v>161</v>
      </c>
      <c r="Q106" s="180" t="s">
        <v>381</v>
      </c>
      <c r="R106" s="180" t="s">
        <v>163</v>
      </c>
      <c r="S106" s="182" t="s">
        <v>167</v>
      </c>
      <c r="T106" s="564"/>
      <c r="U106" s="180" t="s">
        <v>161</v>
      </c>
      <c r="V106" s="180" t="s">
        <v>381</v>
      </c>
      <c r="W106" s="180" t="s">
        <v>163</v>
      </c>
      <c r="X106" s="182" t="s">
        <v>167</v>
      </c>
      <c r="Y106" s="564"/>
      <c r="Z106" s="180" t="s">
        <v>161</v>
      </c>
      <c r="AA106" s="180" t="s">
        <v>381</v>
      </c>
      <c r="AB106" s="180" t="s">
        <v>163</v>
      </c>
      <c r="AC106" s="182" t="s">
        <v>167</v>
      </c>
      <c r="AD106" s="564"/>
      <c r="AE106" s="180" t="s">
        <v>161</v>
      </c>
      <c r="AF106" s="180" t="s">
        <v>381</v>
      </c>
      <c r="AG106" s="180" t="s">
        <v>163</v>
      </c>
      <c r="AH106" s="182" t="s">
        <v>167</v>
      </c>
      <c r="AI106" s="564"/>
      <c r="AJ106" s="180" t="s">
        <v>161</v>
      </c>
      <c r="AK106" s="180" t="s">
        <v>381</v>
      </c>
      <c r="AL106" s="180" t="s">
        <v>163</v>
      </c>
      <c r="AM106" s="182" t="s">
        <v>167</v>
      </c>
      <c r="AN106" s="564"/>
      <c r="AO106" s="180" t="s">
        <v>161</v>
      </c>
      <c r="AP106" s="180" t="s">
        <v>381</v>
      </c>
      <c r="AQ106" s="180" t="s">
        <v>163</v>
      </c>
      <c r="AR106" s="182" t="s">
        <v>167</v>
      </c>
      <c r="AS106" s="564"/>
      <c r="AT106" s="180" t="s">
        <v>161</v>
      </c>
      <c r="AU106" s="180" t="s">
        <v>381</v>
      </c>
      <c r="AV106" s="180" t="s">
        <v>163</v>
      </c>
      <c r="AW106" s="182" t="s">
        <v>167</v>
      </c>
      <c r="AX106" s="564"/>
    </row>
    <row r="107" spans="2:50" ht="14.25" customHeight="1">
      <c r="B107" s="564" t="s">
        <v>144</v>
      </c>
      <c r="C107" s="180">
        <v>1</v>
      </c>
      <c r="D107" s="183" t="s">
        <v>364</v>
      </c>
      <c r="E107" s="180">
        <v>13</v>
      </c>
      <c r="F107" s="180">
        <v>1200</v>
      </c>
      <c r="G107" s="185">
        <f t="shared" ref="G107" si="83">F107/E107</f>
        <v>92.307692307692307</v>
      </c>
      <c r="H107" s="625">
        <f>AVERAGE(G107:G121)</f>
        <v>92.307692307692307</v>
      </c>
      <c r="I107" s="186">
        <f>AVERAGE(P107,U107,Z107,AE107,AJ107,AO107,AT107)</f>
        <v>13</v>
      </c>
      <c r="J107" s="186">
        <f>AVERAGE(Q107,V107,AA107,AF107,AK107,AP107,AU107)</f>
        <v>1079.6277720595806</v>
      </c>
      <c r="K107" s="187">
        <f>AVERAGE(R107,W107,AB107,AG107,AL107,AQ107,AV107)</f>
        <v>83.048290158429268</v>
      </c>
      <c r="L107" s="626">
        <f>IFERROR(AVERAGE(K107:K121),"-")</f>
        <v>83.048290158429268</v>
      </c>
      <c r="M107" s="186">
        <f>RANK(K107, K$107:$K$121)</f>
        <v>1</v>
      </c>
      <c r="N107" s="564"/>
      <c r="O107" s="564"/>
      <c r="P107" s="188">
        <v>13</v>
      </c>
      <c r="Q107" s="188">
        <v>1079.6377054679635</v>
      </c>
      <c r="R107" s="185">
        <f>IFERROR(Q107/P107,"")</f>
        <v>83.049054266766433</v>
      </c>
      <c r="S107" s="182">
        <f>RANK(R107, R$107:R$121)</f>
        <v>1</v>
      </c>
      <c r="T107" s="625">
        <f>AVERAGE(R107:R121)</f>
        <v>83.049054266766433</v>
      </c>
      <c r="U107" s="188">
        <v>13</v>
      </c>
      <c r="V107" s="188">
        <v>1079.6468857282985</v>
      </c>
      <c r="W107" s="185">
        <f t="shared" ref="W107" si="84">IFERROR(V107/U107,"")</f>
        <v>83.049760440638337</v>
      </c>
      <c r="X107" s="182">
        <f>RANK(W107, W$107:W$121)</f>
        <v>1</v>
      </c>
      <c r="Y107" s="625">
        <f>AVERAGE(W107:W121)</f>
        <v>83.049760440638337</v>
      </c>
      <c r="Z107" s="188">
        <v>13</v>
      </c>
      <c r="AA107" s="188">
        <v>1079.6084828711257</v>
      </c>
      <c r="AB107" s="185">
        <f t="shared" ref="AB107" si="85">IFERROR(AA107/Z107,"")</f>
        <v>83.046806374701973</v>
      </c>
      <c r="AC107" s="182">
        <f>RANK(AB107, AB$107:AB$121)</f>
        <v>1</v>
      </c>
      <c r="AD107" s="625">
        <f>AVERAGE(AB107:AB121)</f>
        <v>83.046806374701973</v>
      </c>
      <c r="AE107" s="188">
        <v>13</v>
      </c>
      <c r="AF107" s="188">
        <v>1079.6174960155836</v>
      </c>
      <c r="AG107" s="185">
        <f>IFERROR(AF107/AE107,"")</f>
        <v>83.047499693506424</v>
      </c>
      <c r="AH107" s="182">
        <f>RANK(AG107, AG$107:AG$121)</f>
        <v>1</v>
      </c>
      <c r="AI107" s="625">
        <f>AVERAGE(AG107:AG121)</f>
        <v>83.047499693506424</v>
      </c>
      <c r="AJ107" s="188">
        <v>13</v>
      </c>
      <c r="AK107" s="188">
        <v>1079.6619012835231</v>
      </c>
      <c r="AL107" s="185">
        <f t="shared" ref="AL107" si="86">IFERROR(AK107/AJ107,"")</f>
        <v>83.050915483347936</v>
      </c>
      <c r="AM107" s="182">
        <v>1</v>
      </c>
      <c r="AN107" s="625">
        <f>AVERAGE(AL107:AL121)</f>
        <v>83.050915483347936</v>
      </c>
      <c r="AO107" s="188">
        <v>13</v>
      </c>
      <c r="AP107" s="188">
        <v>1079.6030871003306</v>
      </c>
      <c r="AQ107" s="185">
        <f t="shared" ref="AQ107" si="87">IFERROR(AP107/AO107,"")</f>
        <v>83.046391315410048</v>
      </c>
      <c r="AR107" s="182">
        <v>1</v>
      </c>
      <c r="AS107" s="625">
        <f>AVERAGE(AQ107:AQ121)</f>
        <v>83.046391315410048</v>
      </c>
      <c r="AT107" s="188">
        <v>13</v>
      </c>
      <c r="AU107" s="188">
        <v>1079.6188459502387</v>
      </c>
      <c r="AV107" s="185">
        <f t="shared" ref="AV107" si="88">IFERROR(AU107/AT107,"")</f>
        <v>83.047603534633737</v>
      </c>
      <c r="AW107" s="182">
        <v>1</v>
      </c>
      <c r="AX107" s="625">
        <f>AVERAGE(AV107:AV121)</f>
        <v>83.047603534633737</v>
      </c>
    </row>
    <row r="108" spans="2:50" ht="14.25" customHeight="1">
      <c r="B108" s="564"/>
      <c r="C108" s="180">
        <v>2</v>
      </c>
      <c r="D108" s="183"/>
      <c r="E108" s="180"/>
      <c r="F108" s="180"/>
      <c r="G108" s="185"/>
      <c r="H108" s="625"/>
      <c r="I108" s="186"/>
      <c r="J108" s="186"/>
      <c r="K108" s="187"/>
      <c r="L108" s="626"/>
      <c r="M108" s="186"/>
      <c r="N108" s="564"/>
      <c r="O108" s="564"/>
      <c r="P108" s="188"/>
      <c r="Q108" s="188"/>
      <c r="R108" s="185"/>
      <c r="S108" s="182"/>
      <c r="T108" s="625"/>
      <c r="U108" s="188"/>
      <c r="V108" s="188"/>
      <c r="W108" s="185"/>
      <c r="X108" s="182"/>
      <c r="Y108" s="625"/>
      <c r="Z108" s="188"/>
      <c r="AA108" s="188"/>
      <c r="AB108" s="185"/>
      <c r="AC108" s="182"/>
      <c r="AD108" s="625"/>
      <c r="AE108" s="188"/>
      <c r="AF108" s="188"/>
      <c r="AG108" s="185"/>
      <c r="AH108" s="182"/>
      <c r="AI108" s="625"/>
      <c r="AJ108" s="188"/>
      <c r="AK108" s="188"/>
      <c r="AL108" s="185"/>
      <c r="AM108" s="182"/>
      <c r="AN108" s="625"/>
      <c r="AO108" s="188"/>
      <c r="AP108" s="188"/>
      <c r="AQ108" s="185"/>
      <c r="AR108" s="182"/>
      <c r="AS108" s="625"/>
      <c r="AT108" s="188"/>
      <c r="AU108" s="188"/>
      <c r="AV108" s="185"/>
      <c r="AW108" s="182"/>
      <c r="AX108" s="625"/>
    </row>
    <row r="109" spans="2:50" ht="14.25" customHeight="1">
      <c r="B109" s="564"/>
      <c r="C109" s="180">
        <v>3</v>
      </c>
      <c r="D109" s="183"/>
      <c r="E109" s="180"/>
      <c r="F109" s="180"/>
      <c r="G109" s="185"/>
      <c r="H109" s="625"/>
      <c r="I109" s="186"/>
      <c r="J109" s="186"/>
      <c r="K109" s="187"/>
      <c r="L109" s="626"/>
      <c r="M109" s="186"/>
      <c r="N109" s="564"/>
      <c r="O109" s="564"/>
      <c r="P109" s="188"/>
      <c r="Q109" s="188"/>
      <c r="R109" s="185"/>
      <c r="S109" s="182"/>
      <c r="T109" s="625"/>
      <c r="U109" s="188"/>
      <c r="V109" s="188"/>
      <c r="W109" s="185"/>
      <c r="X109" s="182"/>
      <c r="Y109" s="625"/>
      <c r="Z109" s="188"/>
      <c r="AA109" s="188"/>
      <c r="AB109" s="185"/>
      <c r="AC109" s="182"/>
      <c r="AD109" s="625"/>
      <c r="AE109" s="188"/>
      <c r="AF109" s="188"/>
      <c r="AG109" s="185"/>
      <c r="AH109" s="182"/>
      <c r="AI109" s="625"/>
      <c r="AJ109" s="188"/>
      <c r="AK109" s="188"/>
      <c r="AL109" s="185"/>
      <c r="AM109" s="182"/>
      <c r="AN109" s="625"/>
      <c r="AO109" s="188"/>
      <c r="AP109" s="188"/>
      <c r="AQ109" s="185"/>
      <c r="AR109" s="182"/>
      <c r="AS109" s="625"/>
      <c r="AT109" s="188"/>
      <c r="AU109" s="188"/>
      <c r="AV109" s="185"/>
      <c r="AW109" s="182"/>
      <c r="AX109" s="625"/>
    </row>
    <row r="110" spans="2:50" ht="14.25" customHeight="1">
      <c r="B110" s="564"/>
      <c r="C110" s="180">
        <v>4</v>
      </c>
      <c r="D110" s="183"/>
      <c r="E110" s="180"/>
      <c r="F110" s="180"/>
      <c r="G110" s="185"/>
      <c r="H110" s="625"/>
      <c r="I110" s="186"/>
      <c r="J110" s="186"/>
      <c r="K110" s="187"/>
      <c r="L110" s="626"/>
      <c r="M110" s="186"/>
      <c r="N110" s="564"/>
      <c r="O110" s="564"/>
      <c r="P110" s="188"/>
      <c r="Q110" s="188"/>
      <c r="R110" s="185"/>
      <c r="S110" s="182"/>
      <c r="T110" s="625"/>
      <c r="U110" s="188"/>
      <c r="V110" s="188"/>
      <c r="W110" s="185"/>
      <c r="X110" s="182"/>
      <c r="Y110" s="625"/>
      <c r="Z110" s="188"/>
      <c r="AA110" s="188"/>
      <c r="AB110" s="185"/>
      <c r="AC110" s="182"/>
      <c r="AD110" s="625"/>
      <c r="AE110" s="188"/>
      <c r="AF110" s="188"/>
      <c r="AG110" s="185"/>
      <c r="AH110" s="182"/>
      <c r="AI110" s="625"/>
      <c r="AJ110" s="188"/>
      <c r="AK110" s="188"/>
      <c r="AL110" s="185"/>
      <c r="AM110" s="182"/>
      <c r="AN110" s="625"/>
      <c r="AO110" s="188"/>
      <c r="AP110" s="188"/>
      <c r="AQ110" s="185"/>
      <c r="AR110" s="182"/>
      <c r="AS110" s="625"/>
      <c r="AT110" s="188"/>
      <c r="AU110" s="188"/>
      <c r="AV110" s="185"/>
      <c r="AW110" s="182"/>
      <c r="AX110" s="625"/>
    </row>
    <row r="111" spans="2:50" ht="14.25" customHeight="1">
      <c r="B111" s="564"/>
      <c r="C111" s="180">
        <v>5</v>
      </c>
      <c r="D111" s="183"/>
      <c r="E111" s="180"/>
      <c r="F111" s="180"/>
      <c r="G111" s="185"/>
      <c r="H111" s="625"/>
      <c r="I111" s="186"/>
      <c r="J111" s="186"/>
      <c r="K111" s="187"/>
      <c r="L111" s="626"/>
      <c r="M111" s="186"/>
      <c r="N111" s="564"/>
      <c r="O111" s="564"/>
      <c r="P111" s="188"/>
      <c r="Q111" s="188"/>
      <c r="R111" s="185"/>
      <c r="S111" s="182"/>
      <c r="T111" s="625"/>
      <c r="U111" s="188"/>
      <c r="V111" s="188"/>
      <c r="W111" s="185"/>
      <c r="X111" s="182"/>
      <c r="Y111" s="625"/>
      <c r="Z111" s="188"/>
      <c r="AA111" s="188"/>
      <c r="AB111" s="185"/>
      <c r="AC111" s="182"/>
      <c r="AD111" s="625"/>
      <c r="AE111" s="188"/>
      <c r="AF111" s="188"/>
      <c r="AG111" s="185"/>
      <c r="AH111" s="182"/>
      <c r="AI111" s="625"/>
      <c r="AJ111" s="188"/>
      <c r="AK111" s="188"/>
      <c r="AL111" s="185"/>
      <c r="AM111" s="182"/>
      <c r="AN111" s="625"/>
      <c r="AO111" s="188"/>
      <c r="AP111" s="188"/>
      <c r="AQ111" s="185"/>
      <c r="AR111" s="182"/>
      <c r="AS111" s="625"/>
      <c r="AT111" s="188"/>
      <c r="AU111" s="188"/>
      <c r="AV111" s="185"/>
      <c r="AW111" s="182"/>
      <c r="AX111" s="625"/>
    </row>
    <row r="112" spans="2:50" ht="14.25" customHeight="1">
      <c r="B112" s="564"/>
      <c r="C112" s="180">
        <v>6</v>
      </c>
      <c r="D112" s="183"/>
      <c r="E112" s="180"/>
      <c r="F112" s="180"/>
      <c r="G112" s="185"/>
      <c r="H112" s="625"/>
      <c r="I112" s="186"/>
      <c r="J112" s="186"/>
      <c r="K112" s="187"/>
      <c r="L112" s="626"/>
      <c r="M112" s="186"/>
      <c r="N112" s="564"/>
      <c r="O112" s="564"/>
      <c r="P112" s="188"/>
      <c r="Q112" s="188"/>
      <c r="R112" s="185"/>
      <c r="S112" s="182"/>
      <c r="T112" s="625"/>
      <c r="U112" s="188"/>
      <c r="V112" s="188"/>
      <c r="W112" s="185"/>
      <c r="X112" s="182"/>
      <c r="Y112" s="625"/>
      <c r="Z112" s="188"/>
      <c r="AA112" s="188"/>
      <c r="AB112" s="185"/>
      <c r="AC112" s="182"/>
      <c r="AD112" s="625"/>
      <c r="AE112" s="188"/>
      <c r="AF112" s="188"/>
      <c r="AG112" s="185"/>
      <c r="AH112" s="182"/>
      <c r="AI112" s="625"/>
      <c r="AJ112" s="188"/>
      <c r="AK112" s="188"/>
      <c r="AL112" s="185"/>
      <c r="AM112" s="182"/>
      <c r="AN112" s="625"/>
      <c r="AO112" s="188"/>
      <c r="AP112" s="188"/>
      <c r="AQ112" s="185"/>
      <c r="AR112" s="182"/>
      <c r="AS112" s="625"/>
      <c r="AT112" s="188"/>
      <c r="AU112" s="188"/>
      <c r="AV112" s="185"/>
      <c r="AW112" s="182"/>
      <c r="AX112" s="625"/>
    </row>
    <row r="113" spans="2:50" ht="14.25" customHeight="1">
      <c r="B113" s="564"/>
      <c r="C113" s="180">
        <v>7</v>
      </c>
      <c r="D113" s="183"/>
      <c r="E113" s="180"/>
      <c r="F113" s="180"/>
      <c r="G113" s="185"/>
      <c r="H113" s="625"/>
      <c r="I113" s="186"/>
      <c r="J113" s="186"/>
      <c r="K113" s="187"/>
      <c r="L113" s="626"/>
      <c r="M113" s="186"/>
      <c r="N113" s="564"/>
      <c r="O113" s="564"/>
      <c r="P113" s="188"/>
      <c r="Q113" s="188"/>
      <c r="R113" s="185"/>
      <c r="S113" s="182"/>
      <c r="T113" s="625"/>
      <c r="U113" s="188"/>
      <c r="V113" s="188"/>
      <c r="W113" s="185"/>
      <c r="X113" s="182"/>
      <c r="Y113" s="625"/>
      <c r="Z113" s="188"/>
      <c r="AA113" s="188"/>
      <c r="AB113" s="185"/>
      <c r="AC113" s="182"/>
      <c r="AD113" s="625"/>
      <c r="AE113" s="188"/>
      <c r="AF113" s="188"/>
      <c r="AG113" s="185"/>
      <c r="AH113" s="182"/>
      <c r="AI113" s="625"/>
      <c r="AJ113" s="188"/>
      <c r="AK113" s="188"/>
      <c r="AL113" s="185"/>
      <c r="AM113" s="182"/>
      <c r="AN113" s="625"/>
      <c r="AO113" s="188"/>
      <c r="AP113" s="188"/>
      <c r="AQ113" s="185"/>
      <c r="AR113" s="182"/>
      <c r="AS113" s="625"/>
      <c r="AT113" s="188"/>
      <c r="AU113" s="188"/>
      <c r="AV113" s="185"/>
      <c r="AW113" s="182"/>
      <c r="AX113" s="625"/>
    </row>
    <row r="114" spans="2:50" ht="14.25" customHeight="1">
      <c r="B114" s="564"/>
      <c r="C114" s="180">
        <v>8</v>
      </c>
      <c r="D114" s="183"/>
      <c r="E114" s="180"/>
      <c r="F114" s="180"/>
      <c r="G114" s="185"/>
      <c r="H114" s="625"/>
      <c r="I114" s="186"/>
      <c r="J114" s="186"/>
      <c r="K114" s="187"/>
      <c r="L114" s="626"/>
      <c r="M114" s="186"/>
      <c r="N114" s="564"/>
      <c r="O114" s="564"/>
      <c r="P114" s="188"/>
      <c r="Q114" s="188"/>
      <c r="R114" s="185"/>
      <c r="S114" s="182"/>
      <c r="T114" s="625"/>
      <c r="U114" s="188"/>
      <c r="V114" s="188"/>
      <c r="W114" s="185"/>
      <c r="X114" s="182"/>
      <c r="Y114" s="625"/>
      <c r="Z114" s="188"/>
      <c r="AA114" s="188"/>
      <c r="AB114" s="185"/>
      <c r="AC114" s="182"/>
      <c r="AD114" s="625"/>
      <c r="AE114" s="188"/>
      <c r="AF114" s="188"/>
      <c r="AG114" s="185"/>
      <c r="AH114" s="182"/>
      <c r="AI114" s="625"/>
      <c r="AJ114" s="188"/>
      <c r="AK114" s="188"/>
      <c r="AL114" s="185"/>
      <c r="AM114" s="182"/>
      <c r="AN114" s="625"/>
      <c r="AO114" s="188"/>
      <c r="AP114" s="188"/>
      <c r="AQ114" s="185"/>
      <c r="AR114" s="182"/>
      <c r="AS114" s="625"/>
      <c r="AT114" s="188"/>
      <c r="AU114" s="188"/>
      <c r="AV114" s="185"/>
      <c r="AW114" s="182"/>
      <c r="AX114" s="625"/>
    </row>
    <row r="115" spans="2:50" ht="14.25" customHeight="1">
      <c r="B115" s="564"/>
      <c r="C115" s="180">
        <v>9</v>
      </c>
      <c r="D115" s="183"/>
      <c r="E115" s="180"/>
      <c r="F115" s="180"/>
      <c r="G115" s="185"/>
      <c r="H115" s="625"/>
      <c r="I115" s="186"/>
      <c r="J115" s="186"/>
      <c r="K115" s="187"/>
      <c r="L115" s="626"/>
      <c r="M115" s="186"/>
      <c r="N115" s="564"/>
      <c r="O115" s="564"/>
      <c r="P115" s="188"/>
      <c r="Q115" s="188"/>
      <c r="R115" s="185"/>
      <c r="S115" s="182"/>
      <c r="T115" s="625"/>
      <c r="U115" s="188"/>
      <c r="V115" s="188"/>
      <c r="W115" s="185"/>
      <c r="X115" s="182"/>
      <c r="Y115" s="625"/>
      <c r="Z115" s="188"/>
      <c r="AA115" s="188"/>
      <c r="AB115" s="185"/>
      <c r="AC115" s="182"/>
      <c r="AD115" s="625"/>
      <c r="AE115" s="188"/>
      <c r="AF115" s="188"/>
      <c r="AG115" s="185"/>
      <c r="AH115" s="182"/>
      <c r="AI115" s="625"/>
      <c r="AJ115" s="188"/>
      <c r="AK115" s="188"/>
      <c r="AL115" s="185"/>
      <c r="AM115" s="182"/>
      <c r="AN115" s="625"/>
      <c r="AO115" s="188"/>
      <c r="AP115" s="188"/>
      <c r="AQ115" s="185"/>
      <c r="AR115" s="182"/>
      <c r="AS115" s="625"/>
      <c r="AT115" s="188"/>
      <c r="AU115" s="188"/>
      <c r="AV115" s="185"/>
      <c r="AW115" s="182"/>
      <c r="AX115" s="625"/>
    </row>
    <row r="116" spans="2:50" ht="14.25" customHeight="1">
      <c r="B116" s="564"/>
      <c r="C116" s="180">
        <v>10</v>
      </c>
      <c r="D116" s="183"/>
      <c r="E116" s="180"/>
      <c r="F116" s="180"/>
      <c r="G116" s="185"/>
      <c r="H116" s="625"/>
      <c r="I116" s="186"/>
      <c r="J116" s="186"/>
      <c r="K116" s="187"/>
      <c r="L116" s="626"/>
      <c r="M116" s="186"/>
      <c r="N116" s="564"/>
      <c r="O116" s="564"/>
      <c r="P116" s="188"/>
      <c r="Q116" s="188"/>
      <c r="R116" s="185"/>
      <c r="S116" s="182"/>
      <c r="T116" s="625"/>
      <c r="U116" s="188"/>
      <c r="V116" s="188"/>
      <c r="W116" s="185"/>
      <c r="X116" s="182"/>
      <c r="Y116" s="625"/>
      <c r="Z116" s="188"/>
      <c r="AA116" s="188"/>
      <c r="AB116" s="185"/>
      <c r="AC116" s="182"/>
      <c r="AD116" s="625"/>
      <c r="AE116" s="188"/>
      <c r="AF116" s="188"/>
      <c r="AG116" s="185"/>
      <c r="AH116" s="182"/>
      <c r="AI116" s="625"/>
      <c r="AJ116" s="188"/>
      <c r="AK116" s="188"/>
      <c r="AL116" s="185"/>
      <c r="AM116" s="182"/>
      <c r="AN116" s="625"/>
      <c r="AO116" s="188"/>
      <c r="AP116" s="188"/>
      <c r="AQ116" s="185"/>
      <c r="AR116" s="182"/>
      <c r="AS116" s="625"/>
      <c r="AT116" s="188"/>
      <c r="AU116" s="188"/>
      <c r="AV116" s="185"/>
      <c r="AW116" s="182"/>
      <c r="AX116" s="625"/>
    </row>
    <row r="117" spans="2:50" ht="14.25" customHeight="1">
      <c r="B117" s="564"/>
      <c r="C117" s="180">
        <v>11</v>
      </c>
      <c r="D117" s="183"/>
      <c r="E117" s="180"/>
      <c r="F117" s="180"/>
      <c r="G117" s="185"/>
      <c r="H117" s="625"/>
      <c r="I117" s="186"/>
      <c r="J117" s="186"/>
      <c r="K117" s="187"/>
      <c r="L117" s="626"/>
      <c r="M117" s="186"/>
      <c r="N117" s="564"/>
      <c r="O117" s="564"/>
      <c r="P117" s="188"/>
      <c r="Q117" s="188"/>
      <c r="R117" s="185"/>
      <c r="S117" s="182"/>
      <c r="T117" s="625"/>
      <c r="U117" s="188"/>
      <c r="V117" s="188"/>
      <c r="W117" s="185"/>
      <c r="X117" s="182"/>
      <c r="Y117" s="625"/>
      <c r="Z117" s="188"/>
      <c r="AA117" s="188"/>
      <c r="AB117" s="185"/>
      <c r="AC117" s="182"/>
      <c r="AD117" s="625"/>
      <c r="AE117" s="188"/>
      <c r="AF117" s="188"/>
      <c r="AG117" s="185"/>
      <c r="AH117" s="182"/>
      <c r="AI117" s="625"/>
      <c r="AJ117" s="188"/>
      <c r="AK117" s="188"/>
      <c r="AL117" s="185"/>
      <c r="AM117" s="182"/>
      <c r="AN117" s="625"/>
      <c r="AO117" s="188"/>
      <c r="AP117" s="188"/>
      <c r="AQ117" s="185"/>
      <c r="AR117" s="182"/>
      <c r="AS117" s="625"/>
      <c r="AT117" s="188"/>
      <c r="AU117" s="188"/>
      <c r="AV117" s="185"/>
      <c r="AW117" s="182"/>
      <c r="AX117" s="625"/>
    </row>
    <row r="118" spans="2:50" ht="14.25" customHeight="1">
      <c r="B118" s="564"/>
      <c r="C118" s="180">
        <v>12</v>
      </c>
      <c r="D118" s="183"/>
      <c r="E118" s="180"/>
      <c r="F118" s="180"/>
      <c r="G118" s="185"/>
      <c r="H118" s="625"/>
      <c r="I118" s="186"/>
      <c r="J118" s="186"/>
      <c r="K118" s="187"/>
      <c r="L118" s="626"/>
      <c r="M118" s="186"/>
      <c r="N118" s="564"/>
      <c r="O118" s="564"/>
      <c r="P118" s="188"/>
      <c r="Q118" s="188"/>
      <c r="R118" s="185"/>
      <c r="S118" s="182"/>
      <c r="T118" s="625"/>
      <c r="U118" s="188"/>
      <c r="V118" s="188"/>
      <c r="W118" s="185"/>
      <c r="X118" s="182"/>
      <c r="Y118" s="625"/>
      <c r="Z118" s="188"/>
      <c r="AA118" s="188"/>
      <c r="AB118" s="185"/>
      <c r="AC118" s="182"/>
      <c r="AD118" s="625"/>
      <c r="AE118" s="188"/>
      <c r="AF118" s="188"/>
      <c r="AG118" s="185"/>
      <c r="AH118" s="182"/>
      <c r="AI118" s="625"/>
      <c r="AJ118" s="188"/>
      <c r="AK118" s="188"/>
      <c r="AL118" s="185"/>
      <c r="AM118" s="182"/>
      <c r="AN118" s="625"/>
      <c r="AO118" s="188"/>
      <c r="AP118" s="188"/>
      <c r="AQ118" s="185"/>
      <c r="AR118" s="182"/>
      <c r="AS118" s="625"/>
      <c r="AT118" s="188"/>
      <c r="AU118" s="188"/>
      <c r="AV118" s="185"/>
      <c r="AW118" s="182"/>
      <c r="AX118" s="625"/>
    </row>
    <row r="119" spans="2:50" ht="14.25" customHeight="1">
      <c r="B119" s="564"/>
      <c r="C119" s="180">
        <v>13</v>
      </c>
      <c r="D119" s="183"/>
      <c r="E119" s="180"/>
      <c r="F119" s="180"/>
      <c r="G119" s="185"/>
      <c r="H119" s="625"/>
      <c r="I119" s="186"/>
      <c r="J119" s="186"/>
      <c r="K119" s="187"/>
      <c r="L119" s="626"/>
      <c r="M119" s="186"/>
      <c r="N119" s="564"/>
      <c r="O119" s="564"/>
      <c r="P119" s="188"/>
      <c r="Q119" s="188"/>
      <c r="R119" s="185"/>
      <c r="S119" s="182"/>
      <c r="T119" s="625"/>
      <c r="U119" s="188"/>
      <c r="V119" s="188"/>
      <c r="W119" s="185"/>
      <c r="X119" s="182"/>
      <c r="Y119" s="625"/>
      <c r="Z119" s="188"/>
      <c r="AA119" s="188"/>
      <c r="AB119" s="185"/>
      <c r="AC119" s="182"/>
      <c r="AD119" s="625"/>
      <c r="AE119" s="188"/>
      <c r="AF119" s="188"/>
      <c r="AG119" s="185"/>
      <c r="AH119" s="182"/>
      <c r="AI119" s="625"/>
      <c r="AJ119" s="188"/>
      <c r="AK119" s="188"/>
      <c r="AL119" s="185"/>
      <c r="AM119" s="182"/>
      <c r="AN119" s="625"/>
      <c r="AO119" s="188"/>
      <c r="AP119" s="188"/>
      <c r="AQ119" s="185"/>
      <c r="AR119" s="182"/>
      <c r="AS119" s="625"/>
      <c r="AT119" s="188"/>
      <c r="AU119" s="188"/>
      <c r="AV119" s="185"/>
      <c r="AW119" s="182"/>
      <c r="AX119" s="625"/>
    </row>
    <row r="120" spans="2:50" ht="14.25" customHeight="1">
      <c r="B120" s="564"/>
      <c r="C120" s="180">
        <v>14</v>
      </c>
      <c r="D120" s="183"/>
      <c r="E120" s="180"/>
      <c r="F120" s="180"/>
      <c r="G120" s="185"/>
      <c r="H120" s="625"/>
      <c r="I120" s="186"/>
      <c r="J120" s="186"/>
      <c r="K120" s="187"/>
      <c r="L120" s="626"/>
      <c r="M120" s="186"/>
      <c r="N120" s="564"/>
      <c r="O120" s="564"/>
      <c r="P120" s="188"/>
      <c r="Q120" s="188"/>
      <c r="R120" s="185"/>
      <c r="S120" s="182"/>
      <c r="T120" s="625"/>
      <c r="U120" s="188"/>
      <c r="V120" s="188"/>
      <c r="W120" s="185"/>
      <c r="X120" s="182"/>
      <c r="Y120" s="625"/>
      <c r="Z120" s="188"/>
      <c r="AA120" s="188"/>
      <c r="AB120" s="185"/>
      <c r="AC120" s="182"/>
      <c r="AD120" s="625"/>
      <c r="AE120" s="188"/>
      <c r="AF120" s="188"/>
      <c r="AG120" s="185"/>
      <c r="AH120" s="182"/>
      <c r="AI120" s="625"/>
      <c r="AJ120" s="188"/>
      <c r="AK120" s="188"/>
      <c r="AL120" s="185"/>
      <c r="AM120" s="182"/>
      <c r="AN120" s="625"/>
      <c r="AO120" s="188"/>
      <c r="AP120" s="188"/>
      <c r="AQ120" s="185"/>
      <c r="AR120" s="182"/>
      <c r="AS120" s="625"/>
      <c r="AT120" s="188"/>
      <c r="AU120" s="188"/>
      <c r="AV120" s="185"/>
      <c r="AW120" s="182"/>
      <c r="AX120" s="625"/>
    </row>
    <row r="121" spans="2:50" ht="14.25" customHeight="1">
      <c r="B121" s="564"/>
      <c r="C121" s="180">
        <v>15</v>
      </c>
      <c r="D121" s="183"/>
      <c r="E121" s="180"/>
      <c r="F121" s="180"/>
      <c r="G121" s="185"/>
      <c r="H121" s="625"/>
      <c r="I121" s="186"/>
      <c r="J121" s="186"/>
      <c r="K121" s="187"/>
      <c r="L121" s="626"/>
      <c r="M121" s="186"/>
      <c r="N121" s="564"/>
      <c r="O121" s="564"/>
      <c r="P121" s="188"/>
      <c r="Q121" s="188"/>
      <c r="R121" s="185"/>
      <c r="S121" s="182"/>
      <c r="T121" s="625"/>
      <c r="U121" s="188"/>
      <c r="V121" s="188"/>
      <c r="W121" s="185"/>
      <c r="X121" s="182"/>
      <c r="Y121" s="625"/>
      <c r="Z121" s="188"/>
      <c r="AA121" s="188"/>
      <c r="AB121" s="185"/>
      <c r="AC121" s="182"/>
      <c r="AD121" s="625"/>
      <c r="AE121" s="188"/>
      <c r="AF121" s="188"/>
      <c r="AG121" s="185"/>
      <c r="AH121" s="182"/>
      <c r="AI121" s="625"/>
      <c r="AJ121" s="188"/>
      <c r="AK121" s="188"/>
      <c r="AL121" s="185"/>
      <c r="AM121" s="182"/>
      <c r="AN121" s="625"/>
      <c r="AO121" s="188"/>
      <c r="AP121" s="188"/>
      <c r="AQ121" s="185"/>
      <c r="AR121" s="182"/>
      <c r="AS121" s="625"/>
      <c r="AT121" s="188"/>
      <c r="AU121" s="188"/>
      <c r="AV121" s="185"/>
      <c r="AW121" s="182"/>
      <c r="AX121" s="625"/>
    </row>
  </sheetData>
  <mergeCells count="354"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N7:AN21"/>
    <mergeCell ref="AS7:AS21"/>
    <mergeCell ref="AJ4:AM4"/>
    <mergeCell ref="AN4:AN6"/>
    <mergeCell ref="AO4:AR4"/>
    <mergeCell ref="AS4:AS6"/>
    <mergeCell ref="AT4:AW4"/>
    <mergeCell ref="AX4:AX6"/>
    <mergeCell ref="AX7:AX21"/>
    <mergeCell ref="P4:S4"/>
    <mergeCell ref="T4:T6"/>
    <mergeCell ref="U4:X4"/>
    <mergeCell ref="Y4:Y6"/>
    <mergeCell ref="Z4:AC4"/>
    <mergeCell ref="AD4:AD6"/>
    <mergeCell ref="AE4:AH4"/>
    <mergeCell ref="AI4:AI6"/>
    <mergeCell ref="B7:B21"/>
    <mergeCell ref="H7:H21"/>
    <mergeCell ref="L7:L21"/>
    <mergeCell ref="T7:T21"/>
    <mergeCell ref="Y7:Y21"/>
    <mergeCell ref="AD7:AD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I7:AI21"/>
    <mergeCell ref="AT3:AX3"/>
    <mergeCell ref="AT2:AX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P3:T3"/>
    <mergeCell ref="U3:Y3"/>
    <mergeCell ref="Z3:AD3"/>
    <mergeCell ref="AE3:AI3"/>
    <mergeCell ref="AJ3:AN3"/>
    <mergeCell ref="AO3:AS3"/>
    <mergeCell ref="E65:G65"/>
    <mergeCell ref="I65:K65"/>
    <mergeCell ref="P65:S65"/>
    <mergeCell ref="U65:X65"/>
    <mergeCell ref="Z65:AC65"/>
    <mergeCell ref="AE65:AH65"/>
    <mergeCell ref="AJ65:AM65"/>
    <mergeCell ref="AO65:AR65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B67:B81"/>
    <mergeCell ref="H67:H81"/>
    <mergeCell ref="L67:L81"/>
    <mergeCell ref="P64:S64"/>
    <mergeCell ref="T64:T66"/>
    <mergeCell ref="U64:X64"/>
    <mergeCell ref="Y64:Y66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P63:T63"/>
    <mergeCell ref="U63:Y63"/>
    <mergeCell ref="Z63:AD63"/>
    <mergeCell ref="AE63:AI63"/>
    <mergeCell ref="AJ63:AN63"/>
    <mergeCell ref="AO63:AS63"/>
    <mergeCell ref="AT63:AX63"/>
    <mergeCell ref="AJ44:AM44"/>
    <mergeCell ref="AN44:AN46"/>
    <mergeCell ref="AO44:AR44"/>
    <mergeCell ref="AS44:AS46"/>
    <mergeCell ref="AT44:AW44"/>
    <mergeCell ref="AX44:AX46"/>
    <mergeCell ref="AX47:AX61"/>
    <mergeCell ref="P44:S44"/>
    <mergeCell ref="AT45:AW45"/>
    <mergeCell ref="T44:T46"/>
    <mergeCell ref="U44:X44"/>
    <mergeCell ref="Y44:Y46"/>
    <mergeCell ref="Z44:AC44"/>
    <mergeCell ref="AD44:AD46"/>
    <mergeCell ref="AE44:AH44"/>
    <mergeCell ref="AI44:AI46"/>
    <mergeCell ref="AT62:AX62"/>
    <mergeCell ref="T47:T61"/>
    <mergeCell ref="Y47:Y61"/>
    <mergeCell ref="AD47:AD61"/>
    <mergeCell ref="AI47:AI61"/>
    <mergeCell ref="AN47:AN61"/>
    <mergeCell ref="AS47:AS61"/>
    <mergeCell ref="E45:G45"/>
    <mergeCell ref="I45:K45"/>
    <mergeCell ref="P45:S45"/>
    <mergeCell ref="U45:X45"/>
    <mergeCell ref="Z45:AC45"/>
    <mergeCell ref="AE45:AH45"/>
    <mergeCell ref="AJ45:AM45"/>
    <mergeCell ref="AO45:AR45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B47:B61"/>
    <mergeCell ref="H47:H61"/>
    <mergeCell ref="L47:L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P43:T43"/>
    <mergeCell ref="U43:Y43"/>
    <mergeCell ref="Z43:AD43"/>
    <mergeCell ref="AE43:AI43"/>
    <mergeCell ref="AJ43:AN43"/>
    <mergeCell ref="AO43:AS43"/>
    <mergeCell ref="AT43:AX43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AT42:AX42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X64:AX66"/>
    <mergeCell ref="AT65:AW65"/>
    <mergeCell ref="T67:T81"/>
    <mergeCell ref="Y67:Y81"/>
    <mergeCell ref="AD67:AD81"/>
    <mergeCell ref="AI67:AI81"/>
    <mergeCell ref="AN67:AN81"/>
    <mergeCell ref="AS67:AS81"/>
    <mergeCell ref="AX67:AX81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7:AX10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87:B101"/>
    <mergeCell ref="H87:H101"/>
    <mergeCell ref="L87:L101"/>
    <mergeCell ref="T87:T101"/>
    <mergeCell ref="Y87:Y101"/>
    <mergeCell ref="AD87:AD10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B107:B121"/>
    <mergeCell ref="H107:H121"/>
    <mergeCell ref="L107:L121"/>
    <mergeCell ref="E105:G105"/>
    <mergeCell ref="I105:K105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P105:S105"/>
    <mergeCell ref="U105:X105"/>
    <mergeCell ref="Z105:AC105"/>
    <mergeCell ref="AE105:AH105"/>
    <mergeCell ref="AJ105:AM105"/>
    <mergeCell ref="AO105:AR105"/>
    <mergeCell ref="AT105:AW105"/>
    <mergeCell ref="T107:T121"/>
    <mergeCell ref="Y107:Y121"/>
    <mergeCell ref="AD107:AD121"/>
    <mergeCell ref="AI107:AI121"/>
    <mergeCell ref="AN107:AN121"/>
    <mergeCell ref="AS107:AS121"/>
    <mergeCell ref="AX107:AX121"/>
    <mergeCell ref="AN104:AN106"/>
    <mergeCell ref="AO104:AR104"/>
    <mergeCell ref="AS104:AS106"/>
    <mergeCell ref="AT104:AW104"/>
    <mergeCell ref="AX104:AX106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R158"/>
  <sheetViews>
    <sheetView view="pageBreakPreview" topLeftCell="A127" zoomScale="115" zoomScaleNormal="60" zoomScaleSheetLayoutView="115" workbookViewId="0">
      <selection activeCell="M133" sqref="A133:XFD134"/>
    </sheetView>
  </sheetViews>
  <sheetFormatPr defaultColWidth="12.54296875" defaultRowHeight="15.75" customHeight="1"/>
  <cols>
    <col min="1" max="1" width="6.453125" style="189" customWidth="1"/>
    <col min="2" max="10" width="11.54296875" style="189" customWidth="1"/>
    <col min="11" max="11" width="12.81640625" style="189" customWidth="1"/>
    <col min="12" max="12" width="41.81640625" style="189" customWidth="1"/>
    <col min="13" max="13" width="12.54296875" style="190"/>
    <col min="14" max="16384" width="12.54296875" style="189"/>
  </cols>
  <sheetData>
    <row r="1" spans="1:18" ht="15.75" customHeight="1">
      <c r="A1" s="507" t="s">
        <v>386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189"/>
    </row>
    <row r="2" spans="1:18" s="190" customFormat="1" ht="15.75" customHeight="1">
      <c r="A2" s="507"/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</row>
    <row r="3" spans="1:18" ht="15.75" customHeight="1">
      <c r="A3" s="674" t="s">
        <v>558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  <c r="M3" s="189"/>
    </row>
    <row r="4" spans="1:18" s="190" customFormat="1" ht="15.75" customHeight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</row>
    <row r="5" spans="1:18" s="178" customFormat="1" ht="15.75" customHeight="1">
      <c r="A5" s="672" t="s">
        <v>164</v>
      </c>
      <c r="B5" s="191">
        <v>1</v>
      </c>
      <c r="C5" s="191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ht="16.399999999999999" customHeight="1">
      <c r="A6" s="672"/>
      <c r="B6" s="194" t="s">
        <v>208</v>
      </c>
      <c r="C6" s="194" t="s">
        <v>157</v>
      </c>
      <c r="D6" s="195" t="s">
        <v>209</v>
      </c>
      <c r="E6" s="195" t="s">
        <v>158</v>
      </c>
      <c r="F6" s="195" t="s">
        <v>357</v>
      </c>
      <c r="G6" s="196" t="s">
        <v>137</v>
      </c>
      <c r="H6" s="197" t="s">
        <v>210</v>
      </c>
      <c r="I6" s="196" t="s">
        <v>387</v>
      </c>
      <c r="J6" s="196" t="s">
        <v>143</v>
      </c>
      <c r="K6" s="198"/>
      <c r="L6" s="198"/>
      <c r="N6" s="199"/>
      <c r="O6" s="199"/>
      <c r="P6" s="199"/>
      <c r="Q6" s="199"/>
      <c r="R6" s="199"/>
    </row>
    <row r="7" spans="1:18" s="178" customFormat="1" ht="15.75" customHeight="1">
      <c r="A7" s="673" t="s">
        <v>190</v>
      </c>
      <c r="B7" s="673"/>
      <c r="C7" s="160" t="s">
        <v>47</v>
      </c>
      <c r="D7" s="673" t="s">
        <v>12</v>
      </c>
      <c r="E7" s="675"/>
      <c r="F7" s="675"/>
      <c r="G7" s="160" t="s">
        <v>46</v>
      </c>
      <c r="H7" s="160" t="s">
        <v>388</v>
      </c>
      <c r="I7" s="160" t="s">
        <v>389</v>
      </c>
      <c r="J7" s="160" t="s">
        <v>334</v>
      </c>
      <c r="K7" s="673" t="s">
        <v>51</v>
      </c>
      <c r="L7" s="675"/>
      <c r="M7" s="193"/>
      <c r="P7" s="429"/>
      <c r="Q7" s="429"/>
    </row>
    <row r="8" spans="1:18" ht="15.75" customHeight="1">
      <c r="A8" s="672">
        <v>1</v>
      </c>
      <c r="B8" s="673" t="s">
        <v>390</v>
      </c>
      <c r="C8" s="200">
        <v>1</v>
      </c>
      <c r="D8" s="668" t="s">
        <v>413</v>
      </c>
      <c r="E8" s="669"/>
      <c r="F8" s="669"/>
      <c r="G8" s="200">
        <v>3</v>
      </c>
      <c r="H8" s="202">
        <v>3151.5025959857621</v>
      </c>
      <c r="I8" s="203">
        <v>1050.5008653285875</v>
      </c>
      <c r="J8" s="221">
        <v>0.99800374043820739</v>
      </c>
      <c r="K8" s="682" t="s">
        <v>464</v>
      </c>
      <c r="L8" s="683"/>
      <c r="N8" s="178"/>
      <c r="O8" s="178"/>
      <c r="P8" s="429"/>
      <c r="Q8" s="429"/>
      <c r="R8" s="178"/>
    </row>
    <row r="9" spans="1:18" ht="15.75" customHeight="1">
      <c r="A9" s="672"/>
      <c r="B9" s="673"/>
      <c r="C9" s="200">
        <v>2</v>
      </c>
      <c r="D9" s="668" t="s">
        <v>414</v>
      </c>
      <c r="E9" s="669"/>
      <c r="F9" s="669"/>
      <c r="G9" s="200">
        <v>3</v>
      </c>
      <c r="H9" s="202">
        <v>3145.717812662132</v>
      </c>
      <c r="I9" s="203">
        <v>1048.5726042207104</v>
      </c>
      <c r="J9" s="221">
        <v>1.8892821108761382</v>
      </c>
      <c r="K9" s="682" t="s">
        <v>464</v>
      </c>
      <c r="L9" s="683"/>
      <c r="N9" s="178"/>
      <c r="O9" s="178"/>
      <c r="P9" s="429"/>
      <c r="Q9" s="429"/>
      <c r="R9" s="178"/>
    </row>
    <row r="10" spans="1:18" ht="15.75" customHeight="1">
      <c r="A10" s="672"/>
      <c r="B10" s="673"/>
      <c r="C10" s="200">
        <v>3</v>
      </c>
      <c r="D10" s="668" t="s">
        <v>409</v>
      </c>
      <c r="E10" s="669"/>
      <c r="F10" s="669"/>
      <c r="G10" s="200">
        <v>3</v>
      </c>
      <c r="H10" s="202">
        <v>3145.4611046663422</v>
      </c>
      <c r="I10" s="203">
        <v>1048.487034888781</v>
      </c>
      <c r="J10" s="221">
        <v>1.1858522792836084</v>
      </c>
      <c r="K10" s="682" t="s">
        <v>464</v>
      </c>
      <c r="L10" s="683"/>
      <c r="N10" s="178"/>
      <c r="O10" s="178"/>
      <c r="P10" s="429"/>
      <c r="Q10" s="429"/>
      <c r="R10" s="178"/>
    </row>
    <row r="11" spans="1:18" ht="15.75" customHeight="1">
      <c r="A11" s="672"/>
      <c r="B11" s="673"/>
      <c r="C11" s="200">
        <v>4</v>
      </c>
      <c r="D11" s="668" t="s">
        <v>404</v>
      </c>
      <c r="E11" s="669"/>
      <c r="F11" s="669"/>
      <c r="G11" s="200">
        <v>3</v>
      </c>
      <c r="H11" s="202">
        <v>3144.8670983138668</v>
      </c>
      <c r="I11" s="203">
        <v>1048.2890327712892</v>
      </c>
      <c r="J11" s="221">
        <v>0.31091908523148959</v>
      </c>
      <c r="K11" s="682" t="s">
        <v>464</v>
      </c>
      <c r="L11" s="683"/>
      <c r="N11" s="178"/>
      <c r="O11" s="178"/>
      <c r="P11" s="429"/>
      <c r="Q11" s="429"/>
      <c r="R11" s="178"/>
    </row>
    <row r="12" spans="1:18" ht="15.75" customHeight="1">
      <c r="A12" s="672"/>
      <c r="B12" s="673"/>
      <c r="C12" s="200">
        <v>5</v>
      </c>
      <c r="D12" s="668" t="s">
        <v>402</v>
      </c>
      <c r="E12" s="669"/>
      <c r="F12" s="669"/>
      <c r="G12" s="200">
        <v>3</v>
      </c>
      <c r="H12" s="202">
        <v>3144.8244057808597</v>
      </c>
      <c r="I12" s="203">
        <v>1048.2748019269532</v>
      </c>
      <c r="J12" s="221">
        <v>1.150350176365464</v>
      </c>
      <c r="K12" s="682" t="s">
        <v>464</v>
      </c>
      <c r="L12" s="683"/>
      <c r="N12" s="178"/>
      <c r="O12" s="178"/>
      <c r="P12" s="429"/>
      <c r="Q12" s="429"/>
      <c r="R12" s="178"/>
    </row>
    <row r="13" spans="1:18" ht="15.75" customHeight="1">
      <c r="A13" s="672"/>
      <c r="B13" s="673"/>
      <c r="C13" s="204" t="s">
        <v>206</v>
      </c>
      <c r="D13" s="669" t="s">
        <v>478</v>
      </c>
      <c r="E13" s="669"/>
      <c r="F13" s="669"/>
      <c r="G13" s="201">
        <v>12</v>
      </c>
      <c r="H13" s="205">
        <v>3124.7330231823698</v>
      </c>
      <c r="I13" s="206">
        <v>260.39441859853076</v>
      </c>
      <c r="J13" s="221">
        <v>1.1132084215716986E-2</v>
      </c>
      <c r="K13" s="682" t="s">
        <v>464</v>
      </c>
      <c r="L13" s="683"/>
      <c r="N13" s="178"/>
      <c r="O13" s="178"/>
      <c r="P13" s="429"/>
      <c r="Q13" s="429"/>
      <c r="R13" s="178"/>
    </row>
    <row r="14" spans="1:18" ht="15.75" customHeight="1">
      <c r="A14" s="672"/>
      <c r="B14" s="673"/>
      <c r="C14" s="204" t="s">
        <v>211</v>
      </c>
      <c r="D14" s="669" t="s">
        <v>481</v>
      </c>
      <c r="E14" s="669"/>
      <c r="F14" s="669"/>
      <c r="G14" s="201">
        <v>12</v>
      </c>
      <c r="H14" s="205">
        <v>3126.1142403960889</v>
      </c>
      <c r="I14" s="206">
        <v>260.50952003300745</v>
      </c>
      <c r="J14" s="221">
        <v>0.118425166316797</v>
      </c>
      <c r="K14" s="682" t="s">
        <v>464</v>
      </c>
      <c r="L14" s="683"/>
      <c r="N14" s="178"/>
      <c r="O14" s="178"/>
      <c r="P14" s="429"/>
      <c r="Q14" s="429"/>
      <c r="R14" s="178"/>
    </row>
    <row r="15" spans="1:18" ht="15.75" customHeight="1">
      <c r="A15" s="672"/>
      <c r="B15" s="673"/>
      <c r="C15" s="204" t="s">
        <v>207</v>
      </c>
      <c r="D15" s="669" t="s">
        <v>508</v>
      </c>
      <c r="E15" s="669"/>
      <c r="F15" s="669"/>
      <c r="G15" s="201">
        <v>5</v>
      </c>
      <c r="H15" s="205">
        <v>2672.8639634656934</v>
      </c>
      <c r="I15" s="206">
        <v>534.57279269313858</v>
      </c>
      <c r="J15" s="221">
        <v>0.38090491557761652</v>
      </c>
      <c r="K15" s="682" t="s">
        <v>464</v>
      </c>
      <c r="L15" s="683"/>
      <c r="N15" s="178"/>
      <c r="O15" s="178"/>
      <c r="P15" s="429"/>
      <c r="Q15" s="429"/>
      <c r="R15" s="178"/>
    </row>
    <row r="16" spans="1:18" ht="15.75" customHeight="1">
      <c r="A16" s="672"/>
      <c r="B16" s="673"/>
      <c r="C16" s="204" t="s">
        <v>212</v>
      </c>
      <c r="D16" s="669" t="s">
        <v>546</v>
      </c>
      <c r="E16" s="669"/>
      <c r="F16" s="669"/>
      <c r="G16" s="201">
        <v>5</v>
      </c>
      <c r="H16" s="205">
        <v>2961.9073064467134</v>
      </c>
      <c r="I16" s="206">
        <v>592.38146128934284</v>
      </c>
      <c r="J16" s="221">
        <v>0.30355909834895556</v>
      </c>
      <c r="K16" s="682" t="s">
        <v>464</v>
      </c>
      <c r="L16" s="683"/>
      <c r="M16" s="189"/>
      <c r="N16" s="178"/>
      <c r="O16" s="178"/>
      <c r="P16" s="429"/>
      <c r="Q16" s="429"/>
      <c r="R16" s="178"/>
    </row>
    <row r="17" spans="1:18" ht="15.75" customHeight="1">
      <c r="A17" s="672"/>
      <c r="B17" s="673"/>
      <c r="C17" s="204" t="s">
        <v>213</v>
      </c>
      <c r="D17" s="669" t="s">
        <v>348</v>
      </c>
      <c r="E17" s="669"/>
      <c r="F17" s="669"/>
      <c r="G17" s="201">
        <v>5</v>
      </c>
      <c r="H17" s="205">
        <v>2966.8362262437013</v>
      </c>
      <c r="I17" s="206">
        <v>593.36724524874023</v>
      </c>
      <c r="J17" s="221"/>
      <c r="K17" s="682" t="s">
        <v>464</v>
      </c>
      <c r="L17" s="683"/>
      <c r="M17" s="189"/>
      <c r="N17" s="178"/>
      <c r="O17" s="178"/>
      <c r="P17" s="429"/>
      <c r="Q17" s="429"/>
      <c r="R17" s="178"/>
    </row>
    <row r="18" spans="1:18" s="199" customFormat="1" ht="15.75" customHeight="1">
      <c r="A18" s="670" t="s">
        <v>190</v>
      </c>
      <c r="B18" s="670"/>
      <c r="C18" s="207" t="s">
        <v>47</v>
      </c>
      <c r="D18" s="670" t="s">
        <v>12</v>
      </c>
      <c r="E18" s="671"/>
      <c r="F18" s="671"/>
      <c r="G18" s="207" t="s">
        <v>46</v>
      </c>
      <c r="H18" s="207" t="s">
        <v>388</v>
      </c>
      <c r="I18" s="207" t="s">
        <v>389</v>
      </c>
      <c r="J18" s="160" t="s">
        <v>334</v>
      </c>
      <c r="K18" s="670" t="s">
        <v>51</v>
      </c>
      <c r="L18" s="671"/>
      <c r="M18" s="208"/>
      <c r="N18" s="178"/>
      <c r="O18" s="178"/>
      <c r="P18" s="429"/>
      <c r="Q18" s="429"/>
      <c r="R18" s="178"/>
    </row>
    <row r="19" spans="1:18" ht="15.75" customHeight="1">
      <c r="A19" s="672">
        <v>2</v>
      </c>
      <c r="B19" s="673" t="s">
        <v>157</v>
      </c>
      <c r="C19" s="200">
        <v>1</v>
      </c>
      <c r="D19" s="668" t="s">
        <v>473</v>
      </c>
      <c r="E19" s="669"/>
      <c r="F19" s="669"/>
      <c r="G19" s="200">
        <v>6</v>
      </c>
      <c r="H19" s="202">
        <v>2340.7791755617664</v>
      </c>
      <c r="I19" s="203">
        <v>390.12986259362782</v>
      </c>
      <c r="J19" s="221">
        <v>5.5121468637025828E-2</v>
      </c>
      <c r="K19" s="682" t="s">
        <v>464</v>
      </c>
      <c r="L19" s="683"/>
      <c r="M19" s="189"/>
      <c r="N19" s="178"/>
      <c r="O19" s="178"/>
      <c r="P19" s="429"/>
      <c r="Q19" s="429"/>
      <c r="R19" s="178"/>
    </row>
    <row r="20" spans="1:18" ht="15.75" customHeight="1">
      <c r="A20" s="672"/>
      <c r="B20" s="673"/>
      <c r="C20" s="200">
        <v>2</v>
      </c>
      <c r="D20" s="668" t="s">
        <v>477</v>
      </c>
      <c r="E20" s="669"/>
      <c r="F20" s="669"/>
      <c r="G20" s="200">
        <v>6</v>
      </c>
      <c r="H20" s="202">
        <v>2340.4750418364006</v>
      </c>
      <c r="I20" s="203">
        <v>390.07917363940015</v>
      </c>
      <c r="J20" s="221">
        <v>3.5630782576106412E-2</v>
      </c>
      <c r="K20" s="682" t="s">
        <v>464</v>
      </c>
      <c r="L20" s="683"/>
      <c r="M20" s="189"/>
      <c r="N20" s="178"/>
      <c r="O20" s="178"/>
      <c r="P20" s="429"/>
      <c r="Q20" s="429"/>
      <c r="R20" s="178"/>
    </row>
    <row r="21" spans="1:18" ht="15.75" customHeight="1">
      <c r="A21" s="672"/>
      <c r="B21" s="673"/>
      <c r="C21" s="200">
        <v>3</v>
      </c>
      <c r="D21" s="668" t="s">
        <v>350</v>
      </c>
      <c r="E21" s="669"/>
      <c r="F21" s="669"/>
      <c r="G21" s="200">
        <v>11</v>
      </c>
      <c r="H21" s="202">
        <v>3176.7163075012372</v>
      </c>
      <c r="I21" s="203">
        <v>288.79239159102161</v>
      </c>
      <c r="J21" s="221">
        <v>0.2403465732757013</v>
      </c>
      <c r="K21" s="682" t="s">
        <v>464</v>
      </c>
      <c r="L21" s="683"/>
      <c r="M21" s="189"/>
      <c r="N21" s="178"/>
      <c r="O21" s="178"/>
      <c r="P21" s="429"/>
      <c r="Q21" s="429"/>
      <c r="R21" s="178"/>
    </row>
    <row r="22" spans="1:18" ht="15.75" customHeight="1">
      <c r="A22" s="672"/>
      <c r="B22" s="673"/>
      <c r="C22" s="200">
        <v>4</v>
      </c>
      <c r="D22" s="668" t="s">
        <v>353</v>
      </c>
      <c r="E22" s="669"/>
      <c r="F22" s="669"/>
      <c r="G22" s="200">
        <v>11</v>
      </c>
      <c r="H22" s="202">
        <v>3175.7552502853882</v>
      </c>
      <c r="I22" s="203">
        <v>288.70502275321712</v>
      </c>
      <c r="J22" s="221">
        <v>0.21001208550404726</v>
      </c>
      <c r="K22" s="682" t="s">
        <v>464</v>
      </c>
      <c r="L22" s="683"/>
      <c r="M22" s="189"/>
      <c r="N22" s="178"/>
      <c r="O22" s="178"/>
      <c r="P22" s="429"/>
      <c r="Q22" s="429"/>
      <c r="R22" s="178"/>
    </row>
    <row r="23" spans="1:18" ht="15.75" customHeight="1">
      <c r="A23" s="672"/>
      <c r="B23" s="673"/>
      <c r="C23" s="200">
        <v>5</v>
      </c>
      <c r="D23" s="668" t="s">
        <v>354</v>
      </c>
      <c r="E23" s="669"/>
      <c r="F23" s="669"/>
      <c r="G23" s="200">
        <v>12</v>
      </c>
      <c r="H23" s="202">
        <v>3140.4784835398241</v>
      </c>
      <c r="I23" s="203">
        <v>261.70654029498536</v>
      </c>
      <c r="J23" s="221">
        <v>1.6532435550402624E-2</v>
      </c>
      <c r="K23" s="682" t="s">
        <v>464</v>
      </c>
      <c r="L23" s="683"/>
      <c r="M23" s="189"/>
      <c r="N23" s="178"/>
      <c r="O23" s="178"/>
      <c r="P23" s="429"/>
      <c r="Q23" s="429"/>
      <c r="R23" s="178"/>
    </row>
    <row r="24" spans="1:18" ht="15.75" customHeight="1">
      <c r="A24" s="672"/>
      <c r="B24" s="673"/>
      <c r="C24" s="204" t="s">
        <v>206</v>
      </c>
      <c r="D24" s="668" t="s">
        <v>355</v>
      </c>
      <c r="E24" s="669"/>
      <c r="F24" s="669"/>
      <c r="G24" s="200">
        <v>12</v>
      </c>
      <c r="H24" s="202">
        <v>3140.1752295223955</v>
      </c>
      <c r="I24" s="203">
        <v>261.68126912686631</v>
      </c>
      <c r="J24" s="221">
        <v>3.8163180500646376E-2</v>
      </c>
      <c r="K24" s="682" t="s">
        <v>464</v>
      </c>
      <c r="L24" s="683"/>
      <c r="M24" s="189"/>
      <c r="N24" s="178"/>
      <c r="O24" s="178"/>
      <c r="P24" s="429"/>
      <c r="Q24" s="429"/>
      <c r="R24" s="178"/>
    </row>
    <row r="25" spans="1:18" ht="15.75" customHeight="1">
      <c r="A25" s="672"/>
      <c r="B25" s="673"/>
      <c r="C25" s="204" t="s">
        <v>211</v>
      </c>
      <c r="D25" s="668" t="s">
        <v>352</v>
      </c>
      <c r="E25" s="669"/>
      <c r="F25" s="669"/>
      <c r="G25" s="200">
        <v>12</v>
      </c>
      <c r="H25" s="202">
        <v>3140.2425559193284</v>
      </c>
      <c r="I25" s="203">
        <v>261.68687965994411</v>
      </c>
      <c r="J25" s="221">
        <v>4.5472799177844081E-2</v>
      </c>
      <c r="K25" s="682" t="s">
        <v>464</v>
      </c>
      <c r="L25" s="683"/>
      <c r="M25" s="189"/>
      <c r="N25" s="178"/>
      <c r="O25" s="178"/>
      <c r="P25" s="429"/>
      <c r="Q25" s="429"/>
      <c r="R25" s="178"/>
    </row>
    <row r="26" spans="1:18" ht="15.75" customHeight="1">
      <c r="A26" s="672"/>
      <c r="B26" s="673"/>
      <c r="C26" s="204" t="s">
        <v>207</v>
      </c>
      <c r="D26" s="668" t="s">
        <v>351</v>
      </c>
      <c r="E26" s="669"/>
      <c r="F26" s="669"/>
      <c r="G26" s="200">
        <v>12</v>
      </c>
      <c r="H26" s="202">
        <v>3140.3171460477215</v>
      </c>
      <c r="I26" s="203">
        <v>261.69309550397674</v>
      </c>
      <c r="J26" s="221">
        <v>-1.7487447121197874E-2</v>
      </c>
      <c r="K26" s="682" t="s">
        <v>464</v>
      </c>
      <c r="L26" s="683"/>
      <c r="M26" s="189"/>
      <c r="O26" s="178"/>
      <c r="P26" s="429"/>
      <c r="Q26" s="429"/>
      <c r="R26" s="178"/>
    </row>
    <row r="27" spans="1:18" ht="15.75" customHeight="1">
      <c r="A27" s="672"/>
      <c r="B27" s="673"/>
      <c r="C27" s="204" t="s">
        <v>212</v>
      </c>
      <c r="D27" s="668"/>
      <c r="E27" s="669"/>
      <c r="F27" s="669"/>
      <c r="G27" s="200"/>
      <c r="H27" s="202"/>
      <c r="I27" s="203"/>
      <c r="J27" s="221"/>
      <c r="K27" s="682"/>
      <c r="L27" s="683"/>
      <c r="M27" s="189"/>
      <c r="N27" s="178"/>
      <c r="O27" s="178"/>
      <c r="P27" s="429"/>
      <c r="Q27" s="429"/>
      <c r="R27" s="178"/>
    </row>
    <row r="28" spans="1:18" ht="15.75" customHeight="1">
      <c r="A28" s="672"/>
      <c r="B28" s="673"/>
      <c r="C28" s="204" t="s">
        <v>213</v>
      </c>
      <c r="D28" s="668"/>
      <c r="E28" s="669"/>
      <c r="F28" s="669"/>
      <c r="G28" s="200"/>
      <c r="H28" s="202"/>
      <c r="I28" s="203"/>
      <c r="J28" s="221"/>
      <c r="K28" s="682"/>
      <c r="L28" s="683"/>
      <c r="M28" s="189"/>
      <c r="N28" s="178"/>
      <c r="O28" s="178"/>
      <c r="P28" s="429"/>
      <c r="Q28" s="429"/>
      <c r="R28" s="178"/>
    </row>
    <row r="29" spans="1:18" ht="15.75" customHeight="1">
      <c r="A29" s="674" t="s">
        <v>617</v>
      </c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  <c r="M29" s="189"/>
    </row>
    <row r="30" spans="1:18" s="190" customFormat="1" ht="15.75" customHeight="1">
      <c r="A30" s="674"/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</row>
    <row r="31" spans="1:18" s="178" customFormat="1" ht="15.75" customHeight="1">
      <c r="A31" s="672" t="s">
        <v>164</v>
      </c>
      <c r="B31" s="191">
        <v>1</v>
      </c>
      <c r="C31" s="191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ht="16.399999999999999" customHeight="1">
      <c r="A32" s="672"/>
      <c r="B32" s="194" t="s">
        <v>208</v>
      </c>
      <c r="C32" s="194" t="s">
        <v>157</v>
      </c>
      <c r="D32" s="195" t="s">
        <v>209</v>
      </c>
      <c r="E32" s="195" t="s">
        <v>158</v>
      </c>
      <c r="F32" s="195" t="s">
        <v>357</v>
      </c>
      <c r="G32" s="196" t="s">
        <v>137</v>
      </c>
      <c r="H32" s="197" t="s">
        <v>210</v>
      </c>
      <c r="I32" s="196" t="s">
        <v>387</v>
      </c>
      <c r="J32" s="196" t="s">
        <v>143</v>
      </c>
      <c r="K32" s="198"/>
      <c r="L32" s="198"/>
      <c r="N32" s="199"/>
      <c r="O32" s="199"/>
      <c r="P32" s="199"/>
      <c r="Q32" s="199"/>
      <c r="R32" s="199"/>
    </row>
    <row r="33" spans="1:18" s="178" customFormat="1" ht="15.75" customHeight="1">
      <c r="A33" s="673" t="s">
        <v>190</v>
      </c>
      <c r="B33" s="673"/>
      <c r="C33" s="160" t="s">
        <v>47</v>
      </c>
      <c r="D33" s="673" t="s">
        <v>12</v>
      </c>
      <c r="E33" s="675"/>
      <c r="F33" s="675"/>
      <c r="G33" s="160" t="s">
        <v>46</v>
      </c>
      <c r="H33" s="160" t="s">
        <v>388</v>
      </c>
      <c r="I33" s="160" t="s">
        <v>389</v>
      </c>
      <c r="J33" s="160" t="s">
        <v>334</v>
      </c>
      <c r="K33" s="673" t="s">
        <v>51</v>
      </c>
      <c r="L33" s="675"/>
      <c r="M33" s="193"/>
      <c r="P33" s="429"/>
      <c r="Q33" s="429"/>
    </row>
    <row r="34" spans="1:18" ht="15.75" customHeight="1">
      <c r="A34" s="672">
        <v>1</v>
      </c>
      <c r="B34" s="673" t="s">
        <v>390</v>
      </c>
      <c r="C34" s="200">
        <v>1</v>
      </c>
      <c r="D34" s="668" t="s">
        <v>413</v>
      </c>
      <c r="E34" s="669"/>
      <c r="F34" s="669"/>
      <c r="G34" s="200">
        <v>3</v>
      </c>
      <c r="H34" s="202">
        <v>3167.771001744572</v>
      </c>
      <c r="I34" s="203">
        <v>1055.9236672481907</v>
      </c>
      <c r="J34" s="221">
        <f>I34-I8</f>
        <v>5.4228019196032164</v>
      </c>
      <c r="K34" s="680" t="s">
        <v>464</v>
      </c>
      <c r="L34" s="681"/>
      <c r="N34" s="178"/>
      <c r="O34" s="178"/>
      <c r="P34" s="429"/>
      <c r="Q34" s="429"/>
      <c r="R34" s="178"/>
    </row>
    <row r="35" spans="1:18" ht="15.75" customHeight="1">
      <c r="A35" s="672"/>
      <c r="B35" s="673"/>
      <c r="C35" s="200">
        <v>2</v>
      </c>
      <c r="D35" s="668" t="s">
        <v>404</v>
      </c>
      <c r="E35" s="669"/>
      <c r="F35" s="669"/>
      <c r="G35" s="200">
        <v>3</v>
      </c>
      <c r="H35" s="202">
        <v>3167.323229649618</v>
      </c>
      <c r="I35" s="203">
        <v>1055.7744098832061</v>
      </c>
      <c r="J35" s="221">
        <f>I35-I11</f>
        <v>7.4853771119169323</v>
      </c>
      <c r="K35" s="680" t="s">
        <v>464</v>
      </c>
      <c r="L35" s="681"/>
      <c r="N35" s="178"/>
      <c r="O35" s="178"/>
      <c r="P35" s="429"/>
      <c r="Q35" s="429"/>
      <c r="R35" s="178"/>
    </row>
    <row r="36" spans="1:18" ht="15.75" customHeight="1">
      <c r="A36" s="672"/>
      <c r="B36" s="673"/>
      <c r="C36" s="200">
        <v>3</v>
      </c>
      <c r="D36" s="668" t="s">
        <v>409</v>
      </c>
      <c r="E36" s="669"/>
      <c r="F36" s="669"/>
      <c r="G36" s="200">
        <v>3</v>
      </c>
      <c r="H36" s="202">
        <v>3166.0366728768618</v>
      </c>
      <c r="I36" s="203">
        <v>1055.3455576256206</v>
      </c>
      <c r="J36" s="221">
        <f>I36-I10</f>
        <v>6.8585227368396318</v>
      </c>
      <c r="K36" s="680" t="s">
        <v>464</v>
      </c>
      <c r="L36" s="681"/>
      <c r="N36" s="178"/>
      <c r="O36" s="178"/>
      <c r="P36" s="429"/>
      <c r="Q36" s="429"/>
      <c r="R36" s="178"/>
    </row>
    <row r="37" spans="1:18" ht="15.75" customHeight="1">
      <c r="A37" s="672"/>
      <c r="B37" s="673"/>
      <c r="C37" s="200">
        <v>4</v>
      </c>
      <c r="D37" s="668" t="s">
        <v>402</v>
      </c>
      <c r="E37" s="669"/>
      <c r="F37" s="669"/>
      <c r="G37" s="200">
        <v>3</v>
      </c>
      <c r="H37" s="202">
        <v>3165.7280020541752</v>
      </c>
      <c r="I37" s="203">
        <v>1055.2426673513914</v>
      </c>
      <c r="J37" s="221">
        <f>I37-I12</f>
        <v>6.9678654244382869</v>
      </c>
      <c r="K37" s="680" t="s">
        <v>464</v>
      </c>
      <c r="L37" s="681"/>
      <c r="N37" s="178"/>
      <c r="O37" s="178"/>
      <c r="P37" s="429"/>
      <c r="Q37" s="429"/>
      <c r="R37" s="178"/>
    </row>
    <row r="38" spans="1:18" ht="15.75" customHeight="1">
      <c r="A38" s="672"/>
      <c r="B38" s="673"/>
      <c r="C38" s="200">
        <v>5</v>
      </c>
      <c r="D38" s="668" t="s">
        <v>405</v>
      </c>
      <c r="E38" s="669"/>
      <c r="F38" s="669"/>
      <c r="G38" s="200">
        <v>3</v>
      </c>
      <c r="H38" s="202">
        <v>3165.6881640293664</v>
      </c>
      <c r="I38" s="203">
        <v>1055.2293880097889</v>
      </c>
      <c r="J38" s="221"/>
      <c r="K38" s="678" t="s">
        <v>464</v>
      </c>
      <c r="L38" s="679"/>
      <c r="N38" s="178"/>
      <c r="O38" s="178"/>
      <c r="P38" s="429"/>
      <c r="Q38" s="429"/>
      <c r="R38" s="178"/>
    </row>
    <row r="39" spans="1:18" ht="15.75" customHeight="1">
      <c r="A39" s="672"/>
      <c r="B39" s="673"/>
      <c r="C39" s="204" t="s">
        <v>206</v>
      </c>
      <c r="D39" s="669" t="s">
        <v>481</v>
      </c>
      <c r="E39" s="669"/>
      <c r="F39" s="669"/>
      <c r="G39" s="201">
        <v>12</v>
      </c>
      <c r="H39" s="205">
        <v>3125.3274077745223</v>
      </c>
      <c r="I39" s="206">
        <v>260.44395064787687</v>
      </c>
      <c r="J39" s="221">
        <f>I39-I14</f>
        <v>-6.5569385130572755E-2</v>
      </c>
      <c r="K39" s="678" t="s">
        <v>464</v>
      </c>
      <c r="L39" s="679"/>
      <c r="N39" s="178"/>
      <c r="O39" s="178"/>
      <c r="P39" s="429"/>
      <c r="Q39" s="429"/>
      <c r="R39" s="178"/>
    </row>
    <row r="40" spans="1:18" ht="15.75" customHeight="1">
      <c r="A40" s="672"/>
      <c r="B40" s="673"/>
      <c r="C40" s="204" t="s">
        <v>211</v>
      </c>
      <c r="D40" s="669" t="s">
        <v>478</v>
      </c>
      <c r="E40" s="669"/>
      <c r="F40" s="669"/>
      <c r="G40" s="201">
        <v>12</v>
      </c>
      <c r="H40" s="205">
        <v>3125.5738828987805</v>
      </c>
      <c r="I40" s="206">
        <v>260.4644902415651</v>
      </c>
      <c r="J40" s="221">
        <f>I40-I13</f>
        <v>7.0071643034339104E-2</v>
      </c>
      <c r="K40" s="678" t="s">
        <v>464</v>
      </c>
      <c r="L40" s="679"/>
      <c r="N40" s="178"/>
      <c r="O40" s="178"/>
      <c r="P40" s="429"/>
      <c r="Q40" s="429"/>
      <c r="R40" s="178"/>
    </row>
    <row r="41" spans="1:18" ht="15.75" customHeight="1">
      <c r="A41" s="672"/>
      <c r="B41" s="673"/>
      <c r="C41" s="204" t="s">
        <v>207</v>
      </c>
      <c r="D41" s="669" t="s">
        <v>508</v>
      </c>
      <c r="E41" s="669"/>
      <c r="F41" s="669"/>
      <c r="G41" s="201">
        <v>5</v>
      </c>
      <c r="H41" s="205">
        <v>2675.4744607503339</v>
      </c>
      <c r="I41" s="206">
        <v>535.09489215006681</v>
      </c>
      <c r="J41" s="221">
        <f>I41-I15</f>
        <v>0.52209945692823112</v>
      </c>
      <c r="K41" s="678" t="s">
        <v>464</v>
      </c>
      <c r="L41" s="679"/>
      <c r="N41" s="178"/>
      <c r="O41" s="178"/>
      <c r="P41" s="429"/>
      <c r="Q41" s="429"/>
      <c r="R41" s="178"/>
    </row>
    <row r="42" spans="1:18" ht="15.75" customHeight="1">
      <c r="A42" s="672"/>
      <c r="B42" s="673"/>
      <c r="C42" s="204" t="s">
        <v>212</v>
      </c>
      <c r="D42" s="669" t="s">
        <v>546</v>
      </c>
      <c r="E42" s="669"/>
      <c r="F42" s="669"/>
      <c r="G42" s="201">
        <v>5</v>
      </c>
      <c r="H42" s="205">
        <v>2964.5826230600937</v>
      </c>
      <c r="I42" s="206">
        <v>592.91652461201863</v>
      </c>
      <c r="J42" s="221">
        <f>I42-I16</f>
        <v>0.53506332267579637</v>
      </c>
      <c r="K42" s="678" t="s">
        <v>464</v>
      </c>
      <c r="L42" s="679"/>
      <c r="M42" s="189"/>
      <c r="N42" s="178"/>
      <c r="O42" s="178"/>
      <c r="P42" s="429"/>
      <c r="Q42" s="429"/>
      <c r="R42" s="178"/>
    </row>
    <row r="43" spans="1:18" ht="15.75" customHeight="1">
      <c r="A43" s="672"/>
      <c r="B43" s="673"/>
      <c r="C43" s="204" t="s">
        <v>213</v>
      </c>
      <c r="D43" s="669" t="s">
        <v>348</v>
      </c>
      <c r="E43" s="669"/>
      <c r="F43" s="669"/>
      <c r="G43" s="201">
        <v>5</v>
      </c>
      <c r="H43" s="205">
        <v>2964.8007328399135</v>
      </c>
      <c r="I43" s="206">
        <v>592.96014656798263</v>
      </c>
      <c r="J43" s="221">
        <f>I43-I17</f>
        <v>-0.40709868075759914</v>
      </c>
      <c r="K43" s="678" t="s">
        <v>464</v>
      </c>
      <c r="L43" s="679"/>
      <c r="M43" s="189"/>
      <c r="N43" s="178"/>
      <c r="O43" s="178"/>
      <c r="P43" s="429"/>
      <c r="Q43" s="429"/>
      <c r="R43" s="178"/>
    </row>
    <row r="44" spans="1:18" s="199" customFormat="1" ht="15.75" customHeight="1">
      <c r="A44" s="670" t="s">
        <v>190</v>
      </c>
      <c r="B44" s="670"/>
      <c r="C44" s="207" t="s">
        <v>47</v>
      </c>
      <c r="D44" s="670" t="s">
        <v>12</v>
      </c>
      <c r="E44" s="671"/>
      <c r="F44" s="671"/>
      <c r="G44" s="207" t="s">
        <v>46</v>
      </c>
      <c r="H44" s="207" t="s">
        <v>388</v>
      </c>
      <c r="I44" s="207" t="s">
        <v>389</v>
      </c>
      <c r="J44" s="160" t="s">
        <v>334</v>
      </c>
      <c r="K44" s="676" t="s">
        <v>50</v>
      </c>
      <c r="L44" s="677"/>
      <c r="M44" s="208"/>
      <c r="N44" s="178"/>
      <c r="O44" s="178"/>
      <c r="P44" s="429"/>
      <c r="Q44" s="429"/>
      <c r="R44" s="178"/>
    </row>
    <row r="45" spans="1:18" ht="15.75" customHeight="1">
      <c r="A45" s="672">
        <v>2</v>
      </c>
      <c r="B45" s="673" t="s">
        <v>157</v>
      </c>
      <c r="C45" s="200">
        <v>1</v>
      </c>
      <c r="D45" s="668" t="s">
        <v>473</v>
      </c>
      <c r="E45" s="669"/>
      <c r="F45" s="669"/>
      <c r="G45" s="200">
        <v>6</v>
      </c>
      <c r="H45" s="202">
        <v>2340.5029751062966</v>
      </c>
      <c r="I45" s="203">
        <v>390.08382918438281</v>
      </c>
      <c r="J45" s="221">
        <f>I45-I19</f>
        <v>-4.6033409245012535E-2</v>
      </c>
      <c r="K45" s="678" t="s">
        <v>464</v>
      </c>
      <c r="L45" s="679"/>
      <c r="M45" s="189"/>
      <c r="N45" s="178"/>
      <c r="O45" s="178"/>
      <c r="P45" s="429"/>
      <c r="Q45" s="429"/>
      <c r="R45" s="178"/>
    </row>
    <row r="46" spans="1:18" ht="15.75" customHeight="1">
      <c r="A46" s="672"/>
      <c r="B46" s="673"/>
      <c r="C46" s="200">
        <v>2</v>
      </c>
      <c r="D46" s="668" t="s">
        <v>477</v>
      </c>
      <c r="E46" s="669"/>
      <c r="F46" s="669"/>
      <c r="G46" s="200">
        <v>6</v>
      </c>
      <c r="H46" s="202">
        <v>2339.4672358219859</v>
      </c>
      <c r="I46" s="203">
        <v>389.91120597033097</v>
      </c>
      <c r="J46" s="221">
        <f>I46-I20</f>
        <v>-0.16796766906918492</v>
      </c>
      <c r="K46" s="678" t="s">
        <v>464</v>
      </c>
      <c r="L46" s="679"/>
      <c r="M46" s="189"/>
      <c r="N46" s="178"/>
      <c r="O46" s="178"/>
      <c r="P46" s="429"/>
      <c r="Q46" s="429"/>
      <c r="R46" s="178"/>
    </row>
    <row r="47" spans="1:18" ht="15.75" customHeight="1">
      <c r="A47" s="672"/>
      <c r="B47" s="673"/>
      <c r="C47" s="200">
        <v>3</v>
      </c>
      <c r="D47" s="668" t="s">
        <v>643</v>
      </c>
      <c r="E47" s="669"/>
      <c r="F47" s="669"/>
      <c r="G47" s="200">
        <v>6</v>
      </c>
      <c r="H47" s="202">
        <v>2157.9351813714316</v>
      </c>
      <c r="I47" s="203">
        <v>359.65586356190533</v>
      </c>
      <c r="J47" s="221"/>
      <c r="K47" s="684" t="s">
        <v>661</v>
      </c>
      <c r="L47" s="679"/>
      <c r="M47" s="189"/>
      <c r="N47" s="178"/>
      <c r="O47" s="178"/>
      <c r="P47" s="429"/>
      <c r="Q47" s="429"/>
      <c r="R47" s="178"/>
    </row>
    <row r="48" spans="1:18" ht="15.75" customHeight="1">
      <c r="A48" s="672"/>
      <c r="B48" s="673"/>
      <c r="C48" s="200">
        <v>4</v>
      </c>
      <c r="D48" s="668" t="s">
        <v>350</v>
      </c>
      <c r="E48" s="669"/>
      <c r="F48" s="669"/>
      <c r="G48" s="200">
        <v>11</v>
      </c>
      <c r="H48" s="202">
        <v>3179.5741948856157</v>
      </c>
      <c r="I48" s="203">
        <v>289.05219953505599</v>
      </c>
      <c r="J48" s="221">
        <f>I48-I21</f>
        <v>0.25980794403437812</v>
      </c>
      <c r="K48" s="678" t="s">
        <v>464</v>
      </c>
      <c r="L48" s="679"/>
      <c r="M48" s="189"/>
      <c r="N48" s="178"/>
      <c r="O48" s="178"/>
      <c r="P48" s="429"/>
      <c r="Q48" s="429"/>
      <c r="R48" s="178"/>
    </row>
    <row r="49" spans="1:18" ht="15.75" customHeight="1">
      <c r="A49" s="672"/>
      <c r="B49" s="673"/>
      <c r="C49" s="200">
        <v>5</v>
      </c>
      <c r="D49" s="668" t="s">
        <v>353</v>
      </c>
      <c r="E49" s="669"/>
      <c r="F49" s="669"/>
      <c r="G49" s="200">
        <v>11</v>
      </c>
      <c r="H49" s="202">
        <v>3178.1239547700047</v>
      </c>
      <c r="I49" s="203">
        <v>288.92035952454586</v>
      </c>
      <c r="J49" s="221">
        <f>I49-I22</f>
        <v>0.21533677132873663</v>
      </c>
      <c r="K49" s="678" t="s">
        <v>464</v>
      </c>
      <c r="L49" s="679"/>
      <c r="M49" s="189"/>
      <c r="N49" s="178"/>
      <c r="O49" s="178"/>
      <c r="P49" s="429"/>
      <c r="Q49" s="429"/>
      <c r="R49" s="178"/>
    </row>
    <row r="50" spans="1:18" ht="15.75" customHeight="1">
      <c r="A50" s="672"/>
      <c r="B50" s="673"/>
      <c r="C50" s="204" t="s">
        <v>206</v>
      </c>
      <c r="D50" s="668" t="s">
        <v>355</v>
      </c>
      <c r="E50" s="669"/>
      <c r="F50" s="669"/>
      <c r="G50" s="200">
        <v>12</v>
      </c>
      <c r="H50" s="202">
        <v>3140.3480793049034</v>
      </c>
      <c r="I50" s="203">
        <v>261.69567327540864</v>
      </c>
      <c r="J50" s="221">
        <f>I50-I24</f>
        <v>1.4404148542325856E-2</v>
      </c>
      <c r="K50" s="678" t="s">
        <v>464</v>
      </c>
      <c r="L50" s="679"/>
      <c r="M50" s="189"/>
      <c r="N50" s="178"/>
      <c r="O50" s="178"/>
      <c r="P50" s="429"/>
      <c r="Q50" s="429"/>
      <c r="R50" s="178"/>
    </row>
    <row r="51" spans="1:18" ht="15.75" customHeight="1">
      <c r="A51" s="672"/>
      <c r="B51" s="673"/>
      <c r="C51" s="204" t="s">
        <v>211</v>
      </c>
      <c r="D51" s="668" t="s">
        <v>354</v>
      </c>
      <c r="E51" s="669"/>
      <c r="F51" s="669"/>
      <c r="G51" s="200">
        <v>12</v>
      </c>
      <c r="H51" s="202">
        <v>3140.4591580967085</v>
      </c>
      <c r="I51" s="203">
        <v>261.70492984139236</v>
      </c>
      <c r="J51" s="221">
        <f>I51-I23</f>
        <v>-1.6104535930026032E-3</v>
      </c>
      <c r="K51" s="678" t="s">
        <v>464</v>
      </c>
      <c r="L51" s="679"/>
      <c r="M51" s="189"/>
      <c r="N51" s="178"/>
      <c r="O51" s="178"/>
      <c r="P51" s="429"/>
      <c r="Q51" s="429"/>
      <c r="R51" s="178"/>
    </row>
    <row r="52" spans="1:18" ht="15.75" customHeight="1">
      <c r="A52" s="672"/>
      <c r="B52" s="673"/>
      <c r="C52" s="204" t="s">
        <v>207</v>
      </c>
      <c r="D52" s="668" t="s">
        <v>352</v>
      </c>
      <c r="E52" s="669"/>
      <c r="F52" s="669"/>
      <c r="G52" s="200">
        <v>12</v>
      </c>
      <c r="H52" s="202">
        <v>3140.592584662857</v>
      </c>
      <c r="I52" s="203">
        <v>261.71604872190477</v>
      </c>
      <c r="J52" s="221">
        <f>I52-I25</f>
        <v>2.9169061960658382E-2</v>
      </c>
      <c r="K52" s="678" t="s">
        <v>464</v>
      </c>
      <c r="L52" s="679"/>
      <c r="M52" s="189"/>
      <c r="O52" s="178"/>
      <c r="P52" s="429"/>
      <c r="Q52" s="429"/>
      <c r="R52" s="178"/>
    </row>
    <row r="53" spans="1:18" ht="15.75" customHeight="1">
      <c r="A53" s="672"/>
      <c r="B53" s="673"/>
      <c r="C53" s="204" t="s">
        <v>212</v>
      </c>
      <c r="D53" s="668" t="s">
        <v>351</v>
      </c>
      <c r="E53" s="669"/>
      <c r="F53" s="669"/>
      <c r="G53" s="200">
        <v>12</v>
      </c>
      <c r="H53" s="202">
        <v>3140.7340611393556</v>
      </c>
      <c r="I53" s="203">
        <v>261.72783842827965</v>
      </c>
      <c r="J53" s="221">
        <f>I53-I26</f>
        <v>3.4742924302918254E-2</v>
      </c>
      <c r="K53" s="678" t="s">
        <v>464</v>
      </c>
      <c r="L53" s="679"/>
      <c r="M53" s="189"/>
      <c r="N53" s="178"/>
      <c r="O53" s="178"/>
      <c r="P53" s="429"/>
      <c r="Q53" s="429"/>
      <c r="R53" s="178"/>
    </row>
    <row r="54" spans="1:18" ht="15.75" customHeight="1">
      <c r="A54" s="672"/>
      <c r="B54" s="673"/>
      <c r="C54" s="204" t="s">
        <v>213</v>
      </c>
      <c r="D54" s="668"/>
      <c r="E54" s="669"/>
      <c r="F54" s="669"/>
      <c r="G54" s="200"/>
      <c r="H54" s="202"/>
      <c r="I54" s="203"/>
      <c r="J54" s="221"/>
      <c r="K54" s="682"/>
      <c r="L54" s="683"/>
      <c r="M54" s="189"/>
      <c r="N54" s="178"/>
      <c r="O54" s="178"/>
      <c r="P54" s="429"/>
      <c r="Q54" s="429"/>
      <c r="R54" s="178"/>
    </row>
    <row r="55" spans="1:18" ht="15.75" customHeight="1">
      <c r="A55" s="674" t="s">
        <v>694</v>
      </c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  <c r="M55" s="189"/>
    </row>
    <row r="56" spans="1:18" s="190" customFormat="1" ht="15.75" customHeight="1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</row>
    <row r="57" spans="1:18" s="178" customFormat="1" ht="15.75" customHeight="1">
      <c r="A57" s="672" t="s">
        <v>164</v>
      </c>
      <c r="B57" s="191">
        <v>1</v>
      </c>
      <c r="C57" s="191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ht="16.399999999999999" customHeight="1">
      <c r="A58" s="672"/>
      <c r="B58" s="194" t="s">
        <v>208</v>
      </c>
      <c r="C58" s="194" t="s">
        <v>157</v>
      </c>
      <c r="D58" s="195" t="s">
        <v>209</v>
      </c>
      <c r="E58" s="195" t="s">
        <v>158</v>
      </c>
      <c r="F58" s="195" t="s">
        <v>357</v>
      </c>
      <c r="G58" s="196" t="s">
        <v>137</v>
      </c>
      <c r="H58" s="197" t="s">
        <v>210</v>
      </c>
      <c r="I58" s="196" t="s">
        <v>387</v>
      </c>
      <c r="J58" s="196" t="s">
        <v>143</v>
      </c>
      <c r="K58" s="198"/>
      <c r="L58" s="198"/>
      <c r="N58" s="199"/>
      <c r="O58" s="199"/>
      <c r="P58" s="199"/>
      <c r="Q58" s="199"/>
      <c r="R58" s="199"/>
    </row>
    <row r="59" spans="1:18" s="178" customFormat="1" ht="15.75" customHeight="1">
      <c r="A59" s="673" t="s">
        <v>190</v>
      </c>
      <c r="B59" s="673"/>
      <c r="C59" s="160" t="s">
        <v>47</v>
      </c>
      <c r="D59" s="673" t="s">
        <v>12</v>
      </c>
      <c r="E59" s="675"/>
      <c r="F59" s="675"/>
      <c r="G59" s="160" t="s">
        <v>46</v>
      </c>
      <c r="H59" s="160" t="s">
        <v>388</v>
      </c>
      <c r="I59" s="160" t="s">
        <v>389</v>
      </c>
      <c r="J59" s="160" t="s">
        <v>334</v>
      </c>
      <c r="K59" s="673" t="s">
        <v>51</v>
      </c>
      <c r="L59" s="675"/>
      <c r="M59" s="193"/>
      <c r="P59" s="429"/>
      <c r="Q59" s="429"/>
    </row>
    <row r="60" spans="1:18" ht="15.75" customHeight="1">
      <c r="A60" s="672">
        <v>1</v>
      </c>
      <c r="B60" s="673" t="s">
        <v>390</v>
      </c>
      <c r="C60" s="200">
        <v>1</v>
      </c>
      <c r="D60" s="668" t="s">
        <v>472</v>
      </c>
      <c r="E60" s="669"/>
      <c r="F60" s="669"/>
      <c r="G60" s="200">
        <v>3</v>
      </c>
      <c r="H60" s="202">
        <v>3177.6779505253103</v>
      </c>
      <c r="I60" s="203">
        <v>1059.2259835084367</v>
      </c>
      <c r="J60" s="221"/>
      <c r="K60" s="668" t="s">
        <v>703</v>
      </c>
      <c r="L60" s="669"/>
      <c r="N60" s="178"/>
      <c r="O60" s="178"/>
      <c r="P60" s="429"/>
      <c r="Q60" s="429"/>
      <c r="R60" s="178"/>
    </row>
    <row r="61" spans="1:18" ht="15.75" customHeight="1">
      <c r="A61" s="672"/>
      <c r="B61" s="673"/>
      <c r="C61" s="200">
        <v>2</v>
      </c>
      <c r="D61" s="668" t="s">
        <v>404</v>
      </c>
      <c r="E61" s="669"/>
      <c r="F61" s="669"/>
      <c r="G61" s="200">
        <v>3</v>
      </c>
      <c r="H61" s="202">
        <v>3172.4913234419359</v>
      </c>
      <c r="I61" s="203">
        <v>1057.4971078139788</v>
      </c>
      <c r="J61" s="221">
        <f>I61-I34</f>
        <v>1.5734405657881325</v>
      </c>
      <c r="K61" s="668" t="s">
        <v>464</v>
      </c>
      <c r="L61" s="669"/>
      <c r="N61" s="178"/>
      <c r="O61" s="178"/>
      <c r="P61" s="429"/>
      <c r="Q61" s="429"/>
      <c r="R61" s="178"/>
    </row>
    <row r="62" spans="1:18" ht="15.75" customHeight="1">
      <c r="A62" s="672"/>
      <c r="B62" s="673"/>
      <c r="C62" s="200">
        <v>3</v>
      </c>
      <c r="D62" s="668" t="s">
        <v>409</v>
      </c>
      <c r="E62" s="669"/>
      <c r="F62" s="669"/>
      <c r="G62" s="200">
        <v>3</v>
      </c>
      <c r="H62" s="202">
        <v>3171.0523926590872</v>
      </c>
      <c r="I62" s="203">
        <v>1057.0174642196957</v>
      </c>
      <c r="J62" s="221">
        <f>I62-I36</f>
        <v>1.6719065940751534</v>
      </c>
      <c r="K62" s="668" t="s">
        <v>464</v>
      </c>
      <c r="L62" s="669"/>
      <c r="N62" s="178"/>
      <c r="O62" s="178"/>
      <c r="P62" s="429"/>
      <c r="Q62" s="429"/>
      <c r="R62" s="178"/>
    </row>
    <row r="63" spans="1:18" ht="15.75" customHeight="1">
      <c r="A63" s="672"/>
      <c r="B63" s="673"/>
      <c r="C63" s="200">
        <v>4</v>
      </c>
      <c r="D63" s="668" t="s">
        <v>402</v>
      </c>
      <c r="E63" s="669"/>
      <c r="F63" s="669"/>
      <c r="G63" s="200">
        <v>3</v>
      </c>
      <c r="H63" s="202">
        <v>3170.7851536646263</v>
      </c>
      <c r="I63" s="203">
        <v>1056.9283845548755</v>
      </c>
      <c r="J63" s="221">
        <f>I63-I37</f>
        <v>1.685717203484046</v>
      </c>
      <c r="K63" s="668" t="s">
        <v>464</v>
      </c>
      <c r="L63" s="669"/>
      <c r="N63" s="178"/>
      <c r="O63" s="178"/>
      <c r="P63" s="429"/>
      <c r="Q63" s="429"/>
      <c r="R63" s="178"/>
    </row>
    <row r="64" spans="1:18" ht="15.75" customHeight="1">
      <c r="A64" s="672"/>
      <c r="B64" s="673"/>
      <c r="C64" s="200">
        <v>5</v>
      </c>
      <c r="D64" s="668" t="s">
        <v>413</v>
      </c>
      <c r="E64" s="669"/>
      <c r="F64" s="669"/>
      <c r="G64" s="200">
        <v>3</v>
      </c>
      <c r="H64" s="202">
        <v>3170.591702827895</v>
      </c>
      <c r="I64" s="203">
        <v>1056.8639009426315</v>
      </c>
      <c r="J64" s="221">
        <f>I64-I34</f>
        <v>0.94023369444084892</v>
      </c>
      <c r="K64" s="668" t="s">
        <v>464</v>
      </c>
      <c r="L64" s="669"/>
      <c r="N64" s="178"/>
      <c r="O64" s="178"/>
      <c r="P64" s="429"/>
      <c r="Q64" s="429"/>
      <c r="R64" s="178"/>
    </row>
    <row r="65" spans="1:18" ht="15.75" customHeight="1">
      <c r="A65" s="672"/>
      <c r="B65" s="673"/>
      <c r="C65" s="204" t="s">
        <v>206</v>
      </c>
      <c r="D65" s="669" t="s">
        <v>693</v>
      </c>
      <c r="E65" s="669"/>
      <c r="F65" s="669"/>
      <c r="G65" s="201">
        <v>12</v>
      </c>
      <c r="H65" s="205">
        <v>2949.9999999999982</v>
      </c>
      <c r="I65" s="206">
        <v>245.83333333333317</v>
      </c>
      <c r="J65" s="221"/>
      <c r="K65" s="668" t="s">
        <v>704</v>
      </c>
      <c r="L65" s="669"/>
      <c r="N65" s="178"/>
      <c r="O65" s="178"/>
      <c r="P65" s="429"/>
      <c r="Q65" s="429"/>
      <c r="R65" s="178"/>
    </row>
    <row r="66" spans="1:18" ht="15.75" customHeight="1">
      <c r="A66" s="672"/>
      <c r="B66" s="673"/>
      <c r="C66" s="204" t="s">
        <v>211</v>
      </c>
      <c r="D66" s="669" t="s">
        <v>481</v>
      </c>
      <c r="E66" s="669"/>
      <c r="F66" s="669"/>
      <c r="G66" s="201">
        <v>12</v>
      </c>
      <c r="H66" s="205">
        <v>3125.7623454179907</v>
      </c>
      <c r="I66" s="206">
        <v>260.48019545149924</v>
      </c>
      <c r="J66" s="221">
        <f>I66-I39</f>
        <v>3.6244803622366817E-2</v>
      </c>
      <c r="K66" s="668" t="s">
        <v>464</v>
      </c>
      <c r="L66" s="669"/>
      <c r="N66" s="178"/>
      <c r="O66" s="178"/>
      <c r="P66" s="429"/>
      <c r="Q66" s="429"/>
      <c r="R66" s="178"/>
    </row>
    <row r="67" spans="1:18" ht="15.75" customHeight="1">
      <c r="A67" s="672"/>
      <c r="B67" s="673"/>
      <c r="C67" s="204" t="s">
        <v>207</v>
      </c>
      <c r="D67" s="669" t="s">
        <v>478</v>
      </c>
      <c r="E67" s="669"/>
      <c r="F67" s="669"/>
      <c r="G67" s="201">
        <v>12</v>
      </c>
      <c r="H67" s="205">
        <v>3126.2370529698005</v>
      </c>
      <c r="I67" s="206">
        <v>260.51975441415004</v>
      </c>
      <c r="J67" s="221">
        <f>I67-I40</f>
        <v>5.5264172584941207E-2</v>
      </c>
      <c r="K67" s="668" t="s">
        <v>464</v>
      </c>
      <c r="L67" s="669"/>
      <c r="N67" s="178"/>
      <c r="O67" s="178"/>
      <c r="P67" s="429"/>
      <c r="Q67" s="429"/>
      <c r="R67" s="178"/>
    </row>
    <row r="68" spans="1:18" ht="15.75" customHeight="1">
      <c r="A68" s="672"/>
      <c r="B68" s="673"/>
      <c r="C68" s="204" t="s">
        <v>212</v>
      </c>
      <c r="D68" s="669" t="s">
        <v>508</v>
      </c>
      <c r="E68" s="669"/>
      <c r="F68" s="669"/>
      <c r="G68" s="201">
        <v>5</v>
      </c>
      <c r="H68" s="205">
        <v>2678.924003080328</v>
      </c>
      <c r="I68" s="206">
        <v>535.78480061606558</v>
      </c>
      <c r="J68" s="221">
        <f>I68-I41</f>
        <v>0.68990846599876932</v>
      </c>
      <c r="K68" s="668" t="s">
        <v>464</v>
      </c>
      <c r="L68" s="669"/>
      <c r="M68" s="189"/>
      <c r="N68" s="178"/>
      <c r="O68" s="178"/>
      <c r="P68" s="429"/>
      <c r="Q68" s="429"/>
      <c r="R68" s="178"/>
    </row>
    <row r="69" spans="1:18" ht="15.75" customHeight="1">
      <c r="A69" s="672"/>
      <c r="B69" s="673"/>
      <c r="C69" s="204" t="s">
        <v>213</v>
      </c>
      <c r="D69" s="669" t="s">
        <v>348</v>
      </c>
      <c r="E69" s="669"/>
      <c r="F69" s="669"/>
      <c r="G69" s="201">
        <v>5</v>
      </c>
      <c r="H69" s="205">
        <v>2938.4857255156794</v>
      </c>
      <c r="I69" s="206">
        <v>587.69714510313599</v>
      </c>
      <c r="J69" s="221">
        <f>I69-I43</f>
        <v>-5.2630014648466386</v>
      </c>
      <c r="K69" s="668" t="s">
        <v>705</v>
      </c>
      <c r="L69" s="669"/>
      <c r="M69" s="189"/>
      <c r="N69" s="178"/>
      <c r="O69" s="178"/>
      <c r="P69" s="429"/>
      <c r="Q69" s="429"/>
      <c r="R69" s="178"/>
    </row>
    <row r="70" spans="1:18" s="199" customFormat="1" ht="15.75" customHeight="1">
      <c r="A70" s="670" t="s">
        <v>190</v>
      </c>
      <c r="B70" s="670"/>
      <c r="C70" s="207" t="s">
        <v>47</v>
      </c>
      <c r="D70" s="670" t="s">
        <v>12</v>
      </c>
      <c r="E70" s="671"/>
      <c r="F70" s="671"/>
      <c r="G70" s="207" t="s">
        <v>46</v>
      </c>
      <c r="H70" s="207" t="s">
        <v>388</v>
      </c>
      <c r="I70" s="207" t="s">
        <v>389</v>
      </c>
      <c r="J70" s="160" t="s">
        <v>334</v>
      </c>
      <c r="K70" s="670" t="s">
        <v>50</v>
      </c>
      <c r="L70" s="671"/>
      <c r="M70" s="208"/>
      <c r="N70" s="189"/>
      <c r="O70" s="178"/>
      <c r="P70" s="429"/>
      <c r="Q70" s="429"/>
      <c r="R70" s="178"/>
    </row>
    <row r="71" spans="1:18" ht="15.75" customHeight="1">
      <c r="A71" s="672">
        <v>2</v>
      </c>
      <c r="B71" s="673" t="s">
        <v>157</v>
      </c>
      <c r="C71" s="200">
        <v>1</v>
      </c>
      <c r="D71" s="668" t="s">
        <v>473</v>
      </c>
      <c r="E71" s="669"/>
      <c r="F71" s="669"/>
      <c r="G71" s="200">
        <v>6</v>
      </c>
      <c r="H71" s="202">
        <v>2340.6637433298197</v>
      </c>
      <c r="I71" s="203">
        <v>390.11062388830322</v>
      </c>
      <c r="J71" s="221">
        <f>I71-I45</f>
        <v>2.6794703920415941E-2</v>
      </c>
      <c r="K71" s="668" t="s">
        <v>464</v>
      </c>
      <c r="L71" s="669"/>
      <c r="M71" s="189"/>
      <c r="N71" s="178"/>
      <c r="O71" s="178"/>
      <c r="P71" s="429"/>
      <c r="Q71" s="429"/>
      <c r="R71" s="178"/>
    </row>
    <row r="72" spans="1:18" ht="15.75" customHeight="1">
      <c r="A72" s="672"/>
      <c r="B72" s="673"/>
      <c r="C72" s="200">
        <v>2</v>
      </c>
      <c r="D72" s="668" t="s">
        <v>477</v>
      </c>
      <c r="E72" s="669"/>
      <c r="F72" s="669"/>
      <c r="G72" s="200">
        <v>6</v>
      </c>
      <c r="H72" s="202">
        <v>2340.2584151214692</v>
      </c>
      <c r="I72" s="203">
        <v>390.04306918691145</v>
      </c>
      <c r="J72" s="221">
        <f>I72-I46</f>
        <v>0.13186321658048428</v>
      </c>
      <c r="K72" s="668" t="s">
        <v>464</v>
      </c>
      <c r="L72" s="669"/>
      <c r="M72" s="189"/>
      <c r="N72" s="178"/>
      <c r="O72" s="178"/>
      <c r="P72" s="429"/>
      <c r="Q72" s="429"/>
      <c r="R72" s="178"/>
    </row>
    <row r="73" spans="1:18" ht="15.75" customHeight="1">
      <c r="A73" s="672"/>
      <c r="B73" s="673"/>
      <c r="C73" s="200">
        <v>3</v>
      </c>
      <c r="D73" s="668" t="s">
        <v>643</v>
      </c>
      <c r="E73" s="669"/>
      <c r="F73" s="669"/>
      <c r="G73" s="200">
        <v>6</v>
      </c>
      <c r="H73" s="202">
        <v>2255.9336598473474</v>
      </c>
      <c r="I73" s="203">
        <v>375.98894330789125</v>
      </c>
      <c r="J73" s="221">
        <f>I73-I47</f>
        <v>16.333079745985913</v>
      </c>
      <c r="K73" s="668" t="s">
        <v>706</v>
      </c>
      <c r="L73" s="669"/>
      <c r="M73" s="189"/>
      <c r="N73" s="178"/>
      <c r="O73" s="178"/>
      <c r="P73" s="429"/>
      <c r="Q73" s="429"/>
      <c r="R73" s="178"/>
    </row>
    <row r="74" spans="1:18" ht="15.75" customHeight="1">
      <c r="A74" s="672"/>
      <c r="B74" s="673"/>
      <c r="C74" s="200">
        <v>4</v>
      </c>
      <c r="D74" s="668" t="s">
        <v>350</v>
      </c>
      <c r="E74" s="669"/>
      <c r="F74" s="669"/>
      <c r="G74" s="200">
        <v>11</v>
      </c>
      <c r="H74" s="202">
        <v>3179.9871084852971</v>
      </c>
      <c r="I74" s="203">
        <v>289.08973713502695</v>
      </c>
      <c r="J74" s="221">
        <f>I74-I48</f>
        <v>3.75375999709604E-2</v>
      </c>
      <c r="K74" s="668" t="s">
        <v>464</v>
      </c>
      <c r="L74" s="669"/>
      <c r="M74" s="189"/>
      <c r="N74" s="178"/>
      <c r="O74" s="178"/>
      <c r="P74" s="429"/>
      <c r="Q74" s="429"/>
      <c r="R74" s="178"/>
    </row>
    <row r="75" spans="1:18" ht="15.75" customHeight="1">
      <c r="A75" s="672"/>
      <c r="B75" s="673"/>
      <c r="C75" s="200">
        <v>5</v>
      </c>
      <c r="D75" s="668" t="s">
        <v>353</v>
      </c>
      <c r="E75" s="669"/>
      <c r="F75" s="669"/>
      <c r="G75" s="200">
        <v>11</v>
      </c>
      <c r="H75" s="202">
        <v>3179.5608941714227</v>
      </c>
      <c r="I75" s="203">
        <v>289.05099037922025</v>
      </c>
      <c r="J75" s="221">
        <f>I75-I49</f>
        <v>0.1306308546743935</v>
      </c>
      <c r="K75" s="668" t="s">
        <v>464</v>
      </c>
      <c r="L75" s="669"/>
      <c r="M75" s="189"/>
      <c r="N75" s="178"/>
      <c r="O75" s="178"/>
      <c r="P75" s="429"/>
      <c r="Q75" s="429"/>
      <c r="R75" s="178"/>
    </row>
    <row r="76" spans="1:18" ht="15.75" customHeight="1">
      <c r="A76" s="672"/>
      <c r="B76" s="673"/>
      <c r="C76" s="204" t="s">
        <v>206</v>
      </c>
      <c r="D76" s="668" t="s">
        <v>352</v>
      </c>
      <c r="E76" s="669"/>
      <c r="F76" s="669"/>
      <c r="G76" s="200">
        <v>12</v>
      </c>
      <c r="H76" s="202">
        <v>3142.0087501891198</v>
      </c>
      <c r="I76" s="203">
        <v>261.83406251575997</v>
      </c>
      <c r="J76" s="221">
        <f>I76-I52</f>
        <v>0.11801379385519795</v>
      </c>
      <c r="K76" s="668" t="s">
        <v>464</v>
      </c>
      <c r="L76" s="669"/>
      <c r="M76" s="189"/>
      <c r="N76" s="178"/>
      <c r="O76" s="178"/>
      <c r="P76" s="429"/>
      <c r="Q76" s="429"/>
      <c r="R76" s="178"/>
    </row>
    <row r="77" spans="1:18" ht="15.75" customHeight="1">
      <c r="A77" s="672"/>
      <c r="B77" s="673"/>
      <c r="C77" s="204" t="s">
        <v>211</v>
      </c>
      <c r="D77" s="668" t="s">
        <v>354</v>
      </c>
      <c r="E77" s="669"/>
      <c r="F77" s="669"/>
      <c r="G77" s="200">
        <v>12</v>
      </c>
      <c r="H77" s="202">
        <v>3143.1317409717935</v>
      </c>
      <c r="I77" s="203">
        <v>261.92764508098281</v>
      </c>
      <c r="J77" s="221">
        <f>I77-I51</f>
        <v>0.2227152395904568</v>
      </c>
      <c r="K77" s="668" t="s">
        <v>464</v>
      </c>
      <c r="L77" s="669"/>
      <c r="M77" s="189"/>
      <c r="N77" s="178"/>
      <c r="O77" s="178"/>
      <c r="P77" s="429"/>
      <c r="Q77" s="429"/>
      <c r="R77" s="178"/>
    </row>
    <row r="78" spans="1:18" ht="15.75" customHeight="1">
      <c r="A78" s="672"/>
      <c r="B78" s="673"/>
      <c r="C78" s="204" t="s">
        <v>207</v>
      </c>
      <c r="D78" s="668" t="s">
        <v>351</v>
      </c>
      <c r="E78" s="669"/>
      <c r="F78" s="669"/>
      <c r="G78" s="200">
        <v>12</v>
      </c>
      <c r="H78" s="202">
        <v>3143.4466145566539</v>
      </c>
      <c r="I78" s="203">
        <v>261.95388454638783</v>
      </c>
      <c r="J78" s="221">
        <f>I78-I53</f>
        <v>0.22604611810817232</v>
      </c>
      <c r="K78" s="668" t="s">
        <v>464</v>
      </c>
      <c r="L78" s="669"/>
      <c r="M78" s="189"/>
      <c r="N78" s="178"/>
      <c r="O78" s="178"/>
      <c r="P78" s="429"/>
      <c r="Q78" s="429"/>
      <c r="R78" s="178"/>
    </row>
    <row r="79" spans="1:18" ht="15.75" customHeight="1">
      <c r="A79" s="672"/>
      <c r="B79" s="673"/>
      <c r="C79" s="204" t="s">
        <v>212</v>
      </c>
      <c r="D79" s="668" t="s">
        <v>355</v>
      </c>
      <c r="E79" s="669"/>
      <c r="F79" s="669"/>
      <c r="G79" s="200">
        <v>12</v>
      </c>
      <c r="H79" s="202">
        <v>3143.8961050313437</v>
      </c>
      <c r="I79" s="203">
        <v>261.99134208594529</v>
      </c>
      <c r="J79" s="221">
        <f>I79-I50</f>
        <v>0.29566881053665384</v>
      </c>
      <c r="K79" s="668" t="s">
        <v>464</v>
      </c>
      <c r="L79" s="669"/>
      <c r="M79" s="189"/>
      <c r="N79" s="178"/>
      <c r="O79" s="178"/>
      <c r="P79" s="429"/>
      <c r="Q79" s="429"/>
      <c r="R79" s="178"/>
    </row>
    <row r="80" spans="1:18" ht="15.75" customHeight="1">
      <c r="A80" s="672"/>
      <c r="B80" s="673"/>
      <c r="C80" s="204" t="s">
        <v>213</v>
      </c>
      <c r="D80" s="668"/>
      <c r="E80" s="669"/>
      <c r="F80" s="669"/>
      <c r="G80" s="200"/>
      <c r="H80" s="202"/>
      <c r="I80" s="203"/>
      <c r="J80" s="200"/>
      <c r="K80" s="668"/>
      <c r="L80" s="669"/>
      <c r="M80" s="189"/>
      <c r="N80" s="178"/>
      <c r="O80" s="178"/>
      <c r="P80" s="429"/>
      <c r="Q80" s="429"/>
      <c r="R80" s="178"/>
    </row>
    <row r="81" spans="1:18" ht="15.75" customHeight="1">
      <c r="A81" s="674" t="s">
        <v>702</v>
      </c>
      <c r="B81" s="674"/>
      <c r="C81" s="674"/>
      <c r="D81" s="674"/>
      <c r="E81" s="674"/>
      <c r="F81" s="674"/>
      <c r="G81" s="674"/>
      <c r="H81" s="674"/>
      <c r="I81" s="674"/>
      <c r="J81" s="674"/>
      <c r="K81" s="674"/>
      <c r="L81" s="674"/>
      <c r="M81" s="189"/>
    </row>
    <row r="82" spans="1:18" s="190" customFormat="1" ht="15.75" customHeight="1">
      <c r="A82" s="674"/>
      <c r="B82" s="674"/>
      <c r="C82" s="674"/>
      <c r="D82" s="674"/>
      <c r="E82" s="674"/>
      <c r="F82" s="674"/>
      <c r="G82" s="674"/>
      <c r="H82" s="674"/>
      <c r="I82" s="674"/>
      <c r="J82" s="674"/>
      <c r="K82" s="674"/>
      <c r="L82" s="674"/>
    </row>
    <row r="83" spans="1:18" s="178" customFormat="1" ht="15.75" customHeight="1">
      <c r="A83" s="672" t="s">
        <v>164</v>
      </c>
      <c r="B83" s="191">
        <v>1</v>
      </c>
      <c r="C83" s="191">
        <v>2</v>
      </c>
      <c r="D83" s="170">
        <v>3</v>
      </c>
      <c r="E83" s="170">
        <v>4</v>
      </c>
      <c r="F83" s="170">
        <v>5</v>
      </c>
      <c r="G83" s="170">
        <v>6</v>
      </c>
      <c r="H83" s="170">
        <v>7</v>
      </c>
      <c r="I83" s="170">
        <v>8</v>
      </c>
      <c r="J83" s="170">
        <v>9</v>
      </c>
      <c r="K83" s="192"/>
      <c r="L83" s="192"/>
      <c r="M83" s="193"/>
    </row>
    <row r="84" spans="1:18" ht="16.399999999999999" customHeight="1">
      <c r="A84" s="672"/>
      <c r="B84" s="194" t="s">
        <v>208</v>
      </c>
      <c r="C84" s="194" t="s">
        <v>157</v>
      </c>
      <c r="D84" s="195" t="s">
        <v>209</v>
      </c>
      <c r="E84" s="195" t="s">
        <v>158</v>
      </c>
      <c r="F84" s="195" t="s">
        <v>357</v>
      </c>
      <c r="G84" s="196" t="s">
        <v>137</v>
      </c>
      <c r="H84" s="197" t="s">
        <v>210</v>
      </c>
      <c r="I84" s="196" t="s">
        <v>387</v>
      </c>
      <c r="J84" s="196" t="s">
        <v>143</v>
      </c>
      <c r="K84" s="198"/>
      <c r="L84" s="198"/>
      <c r="N84" s="199"/>
      <c r="O84" s="199"/>
      <c r="P84" s="199"/>
      <c r="Q84" s="199"/>
      <c r="R84" s="199"/>
    </row>
    <row r="85" spans="1:18" s="178" customFormat="1" ht="15.75" customHeight="1">
      <c r="A85" s="673" t="s">
        <v>190</v>
      </c>
      <c r="B85" s="673"/>
      <c r="C85" s="160" t="s">
        <v>47</v>
      </c>
      <c r="D85" s="673" t="s">
        <v>12</v>
      </c>
      <c r="E85" s="675"/>
      <c r="F85" s="675"/>
      <c r="G85" s="160" t="s">
        <v>46</v>
      </c>
      <c r="H85" s="160" t="s">
        <v>388</v>
      </c>
      <c r="I85" s="160" t="s">
        <v>389</v>
      </c>
      <c r="J85" s="160" t="s">
        <v>334</v>
      </c>
      <c r="K85" s="673" t="s">
        <v>51</v>
      </c>
      <c r="L85" s="675"/>
      <c r="M85" s="193"/>
      <c r="P85" s="429"/>
      <c r="Q85" s="429"/>
    </row>
    <row r="86" spans="1:18" ht="15.75" customHeight="1">
      <c r="A86" s="672">
        <v>1</v>
      </c>
      <c r="B86" s="673" t="s">
        <v>390</v>
      </c>
      <c r="C86" s="200">
        <v>1</v>
      </c>
      <c r="D86" s="668" t="s">
        <v>472</v>
      </c>
      <c r="E86" s="669"/>
      <c r="F86" s="669"/>
      <c r="G86" s="200">
        <v>3</v>
      </c>
      <c r="H86" s="202">
        <v>3177.4330415884897</v>
      </c>
      <c r="I86" s="203">
        <v>1059.1443471961632</v>
      </c>
      <c r="J86" s="221">
        <f>I86-I60</f>
        <v>-8.1636312273531075E-2</v>
      </c>
      <c r="K86" s="668" t="s">
        <v>464</v>
      </c>
      <c r="L86" s="669"/>
      <c r="N86" s="178"/>
      <c r="O86" s="178"/>
      <c r="P86" s="429"/>
      <c r="Q86" s="429"/>
      <c r="R86" s="178"/>
    </row>
    <row r="87" spans="1:18" ht="15.75" customHeight="1">
      <c r="A87" s="672"/>
      <c r="B87" s="673"/>
      <c r="C87" s="200">
        <v>2</v>
      </c>
      <c r="D87" s="668" t="s">
        <v>404</v>
      </c>
      <c r="E87" s="669"/>
      <c r="F87" s="669"/>
      <c r="G87" s="200">
        <v>3</v>
      </c>
      <c r="H87" s="202">
        <v>3175.2957834125568</v>
      </c>
      <c r="I87" s="203">
        <v>1058.4319278041855</v>
      </c>
      <c r="J87" s="221">
        <f>I87-I61</f>
        <v>0.93481999020673356</v>
      </c>
      <c r="K87" s="668" t="s">
        <v>464</v>
      </c>
      <c r="L87" s="669"/>
      <c r="N87" s="178"/>
      <c r="O87" s="178"/>
      <c r="P87" s="429"/>
      <c r="Q87" s="429"/>
      <c r="R87" s="178"/>
    </row>
    <row r="88" spans="1:18" ht="15.75" customHeight="1">
      <c r="A88" s="672"/>
      <c r="B88" s="673"/>
      <c r="C88" s="200">
        <v>3</v>
      </c>
      <c r="D88" s="668" t="s">
        <v>409</v>
      </c>
      <c r="E88" s="669"/>
      <c r="F88" s="669"/>
      <c r="G88" s="200">
        <v>3</v>
      </c>
      <c r="H88" s="202">
        <v>3175.1030416358312</v>
      </c>
      <c r="I88" s="203">
        <v>1058.3676805452772</v>
      </c>
      <c r="J88" s="221">
        <f>I88-I62</f>
        <v>1.3502163255814139</v>
      </c>
      <c r="K88" s="668" t="s">
        <v>464</v>
      </c>
      <c r="L88" s="669"/>
      <c r="N88" s="178"/>
      <c r="O88" s="178"/>
      <c r="P88" s="429"/>
      <c r="Q88" s="429"/>
      <c r="R88" s="178"/>
    </row>
    <row r="89" spans="1:18" ht="15.75" customHeight="1">
      <c r="A89" s="672"/>
      <c r="B89" s="673"/>
      <c r="C89" s="200">
        <v>4</v>
      </c>
      <c r="D89" s="668" t="s">
        <v>402</v>
      </c>
      <c r="E89" s="669"/>
      <c r="F89" s="669"/>
      <c r="G89" s="200">
        <v>3</v>
      </c>
      <c r="H89" s="202">
        <v>3172.6987352596466</v>
      </c>
      <c r="I89" s="203">
        <v>1057.5662450865489</v>
      </c>
      <c r="J89" s="221">
        <f>I89-I63</f>
        <v>0.63786053167336831</v>
      </c>
      <c r="K89" s="668" t="s">
        <v>464</v>
      </c>
      <c r="L89" s="669"/>
      <c r="N89" s="178"/>
      <c r="O89" s="178"/>
      <c r="P89" s="429"/>
      <c r="Q89" s="429"/>
      <c r="R89" s="178"/>
    </row>
    <row r="90" spans="1:18" ht="15.75" customHeight="1">
      <c r="A90" s="672"/>
      <c r="B90" s="673"/>
      <c r="C90" s="200">
        <v>5</v>
      </c>
      <c r="D90" s="668" t="s">
        <v>414</v>
      </c>
      <c r="E90" s="669"/>
      <c r="F90" s="669"/>
      <c r="G90" s="200">
        <v>3</v>
      </c>
      <c r="H90" s="202">
        <v>3171.518869892273</v>
      </c>
      <c r="I90" s="203">
        <v>1057.1729566307577</v>
      </c>
      <c r="J90" s="221"/>
      <c r="K90" s="668" t="s">
        <v>464</v>
      </c>
      <c r="L90" s="669"/>
      <c r="N90" s="178"/>
      <c r="O90" s="178"/>
      <c r="P90" s="429"/>
      <c r="Q90" s="429"/>
      <c r="R90" s="178"/>
    </row>
    <row r="91" spans="1:18" ht="15.75" customHeight="1">
      <c r="A91" s="672"/>
      <c r="B91" s="673"/>
      <c r="C91" s="204" t="s">
        <v>206</v>
      </c>
      <c r="D91" s="669" t="s">
        <v>478</v>
      </c>
      <c r="E91" s="669"/>
      <c r="F91" s="669"/>
      <c r="G91" s="201">
        <v>12</v>
      </c>
      <c r="H91" s="205">
        <v>3125.7631920960157</v>
      </c>
      <c r="I91" s="206">
        <v>260.48026600800137</v>
      </c>
      <c r="J91" s="221">
        <f>I91-I67</f>
        <v>-3.9488406148677768E-2</v>
      </c>
      <c r="K91" s="668" t="s">
        <v>464</v>
      </c>
      <c r="L91" s="669"/>
      <c r="N91" s="178"/>
      <c r="O91" s="178"/>
      <c r="P91" s="429"/>
      <c r="Q91" s="429"/>
      <c r="R91" s="178"/>
    </row>
    <row r="92" spans="1:18" ht="15.75" customHeight="1">
      <c r="A92" s="672"/>
      <c r="B92" s="673"/>
      <c r="C92" s="204" t="s">
        <v>211</v>
      </c>
      <c r="D92" s="669" t="s">
        <v>481</v>
      </c>
      <c r="E92" s="669"/>
      <c r="F92" s="669"/>
      <c r="G92" s="201">
        <v>12</v>
      </c>
      <c r="H92" s="205">
        <v>3126.0166342900679</v>
      </c>
      <c r="I92" s="206">
        <v>260.50138619083901</v>
      </c>
      <c r="J92" s="221">
        <f>I92-I66</f>
        <v>2.1190739339772335E-2</v>
      </c>
      <c r="K92" s="668" t="s">
        <v>464</v>
      </c>
      <c r="L92" s="669"/>
      <c r="N92" s="178"/>
      <c r="O92" s="178"/>
      <c r="P92" s="429"/>
      <c r="Q92" s="429"/>
      <c r="R92" s="178"/>
    </row>
    <row r="93" spans="1:18" ht="15.75" customHeight="1">
      <c r="A93" s="672"/>
      <c r="B93" s="673"/>
      <c r="C93" s="204" t="s">
        <v>207</v>
      </c>
      <c r="D93" s="669" t="s">
        <v>693</v>
      </c>
      <c r="E93" s="669"/>
      <c r="F93" s="669"/>
      <c r="G93" s="201">
        <v>12</v>
      </c>
      <c r="H93" s="205">
        <v>3163.7515183994392</v>
      </c>
      <c r="I93" s="206">
        <v>263.64595986661993</v>
      </c>
      <c r="J93" s="221">
        <f>I93-I65</f>
        <v>17.81262653328676</v>
      </c>
      <c r="K93" s="668" t="s">
        <v>706</v>
      </c>
      <c r="L93" s="669"/>
      <c r="N93" s="178"/>
      <c r="O93" s="178"/>
      <c r="P93" s="429"/>
      <c r="Q93" s="429"/>
      <c r="R93" s="178"/>
    </row>
    <row r="94" spans="1:18" ht="15.75" customHeight="1">
      <c r="A94" s="672"/>
      <c r="B94" s="673"/>
      <c r="C94" s="204" t="s">
        <v>212</v>
      </c>
      <c r="D94" s="669" t="s">
        <v>508</v>
      </c>
      <c r="E94" s="669"/>
      <c r="F94" s="669"/>
      <c r="G94" s="201">
        <v>5</v>
      </c>
      <c r="H94" s="205">
        <v>2681.6096272164873</v>
      </c>
      <c r="I94" s="206">
        <v>536.32192544329735</v>
      </c>
      <c r="J94" s="221">
        <f>I94-I68</f>
        <v>0.53712482723176436</v>
      </c>
      <c r="K94" s="668" t="s">
        <v>464</v>
      </c>
      <c r="L94" s="669"/>
      <c r="M94" s="189"/>
      <c r="N94" s="178"/>
      <c r="O94" s="178"/>
      <c r="P94" s="429"/>
      <c r="Q94" s="429"/>
      <c r="R94" s="178"/>
    </row>
    <row r="95" spans="1:18" ht="15.75" customHeight="1">
      <c r="A95" s="672"/>
      <c r="B95" s="673"/>
      <c r="C95" s="204" t="s">
        <v>213</v>
      </c>
      <c r="D95" s="669" t="s">
        <v>348</v>
      </c>
      <c r="E95" s="669"/>
      <c r="F95" s="669"/>
      <c r="G95" s="201">
        <v>5</v>
      </c>
      <c r="H95" s="205">
        <v>2937.3799119847968</v>
      </c>
      <c r="I95" s="206">
        <v>587.47598239695924</v>
      </c>
      <c r="J95" s="221">
        <f>I95-I69</f>
        <v>-0.22116270617675582</v>
      </c>
      <c r="K95" s="668" t="s">
        <v>464</v>
      </c>
      <c r="L95" s="669"/>
      <c r="M95" s="189"/>
      <c r="N95" s="178"/>
      <c r="O95" s="178"/>
      <c r="P95" s="429"/>
      <c r="Q95" s="429"/>
      <c r="R95" s="178"/>
    </row>
    <row r="96" spans="1:18" s="199" customFormat="1" ht="15.75" customHeight="1">
      <c r="A96" s="670" t="s">
        <v>190</v>
      </c>
      <c r="B96" s="670"/>
      <c r="C96" s="207" t="s">
        <v>47</v>
      </c>
      <c r="D96" s="670" t="s">
        <v>12</v>
      </c>
      <c r="E96" s="671"/>
      <c r="F96" s="671"/>
      <c r="G96" s="207" t="s">
        <v>46</v>
      </c>
      <c r="H96" s="207" t="s">
        <v>388</v>
      </c>
      <c r="I96" s="207" t="s">
        <v>389</v>
      </c>
      <c r="J96" s="160" t="s">
        <v>334</v>
      </c>
      <c r="K96" s="670" t="s">
        <v>51</v>
      </c>
      <c r="L96" s="671"/>
      <c r="M96" s="208"/>
      <c r="N96" s="189"/>
      <c r="O96" s="178"/>
      <c r="P96" s="429"/>
      <c r="Q96" s="429"/>
      <c r="R96" s="178"/>
    </row>
    <row r="97" spans="1:18" ht="15.75" customHeight="1">
      <c r="A97" s="672">
        <v>2</v>
      </c>
      <c r="B97" s="673" t="s">
        <v>157</v>
      </c>
      <c r="C97" s="200">
        <v>1</v>
      </c>
      <c r="D97" s="668" t="s">
        <v>473</v>
      </c>
      <c r="E97" s="669"/>
      <c r="F97" s="669"/>
      <c r="G97" s="200">
        <v>6</v>
      </c>
      <c r="H97" s="202">
        <v>2340.8138486083012</v>
      </c>
      <c r="I97" s="203">
        <v>390.13564143471683</v>
      </c>
      <c r="J97" s="221">
        <f>I97-I71</f>
        <v>2.5017546413607761E-2</v>
      </c>
      <c r="K97" s="668" t="s">
        <v>464</v>
      </c>
      <c r="L97" s="669"/>
      <c r="M97" s="189"/>
      <c r="N97" s="178"/>
      <c r="O97" s="178"/>
      <c r="P97" s="429"/>
      <c r="Q97" s="429"/>
      <c r="R97" s="178"/>
    </row>
    <row r="98" spans="1:18" ht="15.75" customHeight="1">
      <c r="A98" s="672"/>
      <c r="B98" s="673"/>
      <c r="C98" s="200">
        <v>2</v>
      </c>
      <c r="D98" s="668" t="s">
        <v>477</v>
      </c>
      <c r="E98" s="669"/>
      <c r="F98" s="669"/>
      <c r="G98" s="200">
        <v>6</v>
      </c>
      <c r="H98" s="202">
        <v>2339.8856461762698</v>
      </c>
      <c r="I98" s="203">
        <v>389.98094102937824</v>
      </c>
      <c r="J98" s="221">
        <f>I98-I72</f>
        <v>-6.2128157533209105E-2</v>
      </c>
      <c r="K98" s="668" t="s">
        <v>464</v>
      </c>
      <c r="L98" s="669"/>
      <c r="M98" s="189"/>
      <c r="N98" s="178"/>
      <c r="O98" s="178"/>
      <c r="P98" s="429"/>
      <c r="Q98" s="429"/>
      <c r="R98" s="178"/>
    </row>
    <row r="99" spans="1:18" ht="15.75" customHeight="1">
      <c r="A99" s="672"/>
      <c r="B99" s="673"/>
      <c r="C99" s="200">
        <v>3</v>
      </c>
      <c r="D99" s="668" t="s">
        <v>643</v>
      </c>
      <c r="E99" s="669"/>
      <c r="F99" s="669"/>
      <c r="G99" s="200">
        <v>6</v>
      </c>
      <c r="H99" s="202">
        <v>2257.1588524696658</v>
      </c>
      <c r="I99" s="203">
        <v>376.19314207827762</v>
      </c>
      <c r="J99" s="221">
        <f>I99-I73</f>
        <v>0.20419877038636969</v>
      </c>
      <c r="K99" s="668" t="s">
        <v>464</v>
      </c>
      <c r="L99" s="669"/>
      <c r="M99" s="189"/>
      <c r="N99" s="178"/>
      <c r="O99" s="178"/>
      <c r="P99" s="429"/>
      <c r="Q99" s="429"/>
      <c r="R99" s="178"/>
    </row>
    <row r="100" spans="1:18" ht="15.75" customHeight="1">
      <c r="A100" s="672"/>
      <c r="B100" s="673"/>
      <c r="C100" s="200">
        <v>4</v>
      </c>
      <c r="D100" s="668" t="s">
        <v>751</v>
      </c>
      <c r="E100" s="669"/>
      <c r="F100" s="669"/>
      <c r="G100" s="200">
        <v>6</v>
      </c>
      <c r="H100" s="202">
        <v>2173.8704676577358</v>
      </c>
      <c r="I100" s="203">
        <v>362.31174460962268</v>
      </c>
      <c r="J100" s="221"/>
      <c r="K100" s="668" t="s">
        <v>704</v>
      </c>
      <c r="L100" s="669"/>
      <c r="M100" s="189"/>
      <c r="N100" s="178"/>
      <c r="O100" s="178"/>
      <c r="P100" s="429"/>
      <c r="Q100" s="429"/>
      <c r="R100" s="178"/>
    </row>
    <row r="101" spans="1:18" ht="15.75" customHeight="1">
      <c r="A101" s="672"/>
      <c r="B101" s="673"/>
      <c r="C101" s="200">
        <v>5</v>
      </c>
      <c r="D101" s="668" t="s">
        <v>350</v>
      </c>
      <c r="E101" s="669"/>
      <c r="F101" s="669"/>
      <c r="G101" s="200">
        <v>11</v>
      </c>
      <c r="H101" s="202">
        <v>3181.9535912030046</v>
      </c>
      <c r="I101" s="203">
        <v>289.26850829118223</v>
      </c>
      <c r="J101" s="221">
        <f>I101-I74</f>
        <v>0.17877115615527828</v>
      </c>
      <c r="K101" s="668" t="s">
        <v>464</v>
      </c>
      <c r="L101" s="669"/>
      <c r="M101" s="189"/>
      <c r="N101" s="178"/>
      <c r="O101" s="178"/>
      <c r="P101" s="429"/>
      <c r="Q101" s="429"/>
      <c r="R101" s="178"/>
    </row>
    <row r="102" spans="1:18" ht="15.75" customHeight="1">
      <c r="A102" s="672"/>
      <c r="B102" s="673"/>
      <c r="C102" s="204" t="s">
        <v>206</v>
      </c>
      <c r="D102" s="668" t="s">
        <v>352</v>
      </c>
      <c r="E102" s="669"/>
      <c r="F102" s="669"/>
      <c r="G102" s="200">
        <v>12</v>
      </c>
      <c r="H102" s="202">
        <v>3144.7361668576959</v>
      </c>
      <c r="I102" s="203">
        <v>262.06134723814131</v>
      </c>
      <c r="J102" s="221">
        <f>I102-I76</f>
        <v>0.22728472238134145</v>
      </c>
      <c r="K102" s="668" t="s">
        <v>464</v>
      </c>
      <c r="L102" s="669"/>
      <c r="M102" s="189"/>
      <c r="N102" s="178"/>
      <c r="O102" s="178"/>
      <c r="P102" s="429"/>
      <c r="Q102" s="429"/>
      <c r="R102" s="178"/>
    </row>
    <row r="103" spans="1:18" ht="15.75" customHeight="1">
      <c r="A103" s="672"/>
      <c r="B103" s="673"/>
      <c r="C103" s="204" t="s">
        <v>211</v>
      </c>
      <c r="D103" s="668" t="s">
        <v>351</v>
      </c>
      <c r="E103" s="669"/>
      <c r="F103" s="669"/>
      <c r="G103" s="200">
        <v>12</v>
      </c>
      <c r="H103" s="202">
        <v>3144.9294501172294</v>
      </c>
      <c r="I103" s="203">
        <v>262.07745417643577</v>
      </c>
      <c r="J103" s="221">
        <f>I103-I78</f>
        <v>0.12356963004793897</v>
      </c>
      <c r="K103" s="668" t="s">
        <v>464</v>
      </c>
      <c r="L103" s="669"/>
      <c r="M103" s="189"/>
      <c r="N103" s="178"/>
      <c r="O103" s="178"/>
      <c r="P103" s="429"/>
      <c r="Q103" s="429"/>
      <c r="R103" s="178"/>
    </row>
    <row r="104" spans="1:18" ht="15.75" customHeight="1">
      <c r="A104" s="672"/>
      <c r="B104" s="673"/>
      <c r="C104" s="204" t="s">
        <v>207</v>
      </c>
      <c r="D104" s="668" t="s">
        <v>355</v>
      </c>
      <c r="E104" s="669"/>
      <c r="F104" s="669"/>
      <c r="G104" s="200">
        <v>12</v>
      </c>
      <c r="H104" s="202">
        <v>3145.528580848681</v>
      </c>
      <c r="I104" s="203">
        <v>262.12738173739007</v>
      </c>
      <c r="J104" s="221">
        <f>I104-I79</f>
        <v>0.1360396514447757</v>
      </c>
      <c r="K104" s="668" t="s">
        <v>464</v>
      </c>
      <c r="L104" s="669"/>
      <c r="M104" s="189"/>
      <c r="N104" s="178"/>
      <c r="O104" s="178"/>
      <c r="P104" s="429"/>
      <c r="Q104" s="429"/>
      <c r="R104" s="178"/>
    </row>
    <row r="105" spans="1:18" ht="15.75" customHeight="1">
      <c r="A105" s="672"/>
      <c r="B105" s="673"/>
      <c r="C105" s="204" t="s">
        <v>212</v>
      </c>
      <c r="D105" s="668" t="s">
        <v>354</v>
      </c>
      <c r="E105" s="669"/>
      <c r="F105" s="669"/>
      <c r="G105" s="200">
        <v>12</v>
      </c>
      <c r="H105" s="202">
        <v>3146.048125434555</v>
      </c>
      <c r="I105" s="203">
        <v>262.17067711954627</v>
      </c>
      <c r="J105" s="221">
        <f>I105-I77</f>
        <v>0.2430320385634559</v>
      </c>
      <c r="K105" s="668" t="s">
        <v>464</v>
      </c>
      <c r="L105" s="669"/>
      <c r="M105" s="189"/>
      <c r="N105" s="178"/>
      <c r="O105" s="178"/>
      <c r="P105" s="429"/>
      <c r="Q105" s="429"/>
      <c r="R105" s="178"/>
    </row>
    <row r="106" spans="1:18" ht="15.75" customHeight="1">
      <c r="A106" s="672"/>
      <c r="B106" s="673"/>
      <c r="C106" s="204" t="s">
        <v>213</v>
      </c>
      <c r="D106" s="668" t="s">
        <v>353</v>
      </c>
      <c r="E106" s="669"/>
      <c r="F106" s="669"/>
      <c r="G106" s="200">
        <v>11</v>
      </c>
      <c r="H106" s="202">
        <v>3180.5466240098281</v>
      </c>
      <c r="I106" s="203">
        <v>289.14060218271158</v>
      </c>
      <c r="J106" s="221">
        <f>I106-I75</f>
        <v>8.9611803491322917E-2</v>
      </c>
      <c r="K106" s="668" t="s">
        <v>464</v>
      </c>
      <c r="L106" s="669"/>
      <c r="M106" s="189"/>
      <c r="N106" s="178"/>
      <c r="O106" s="178"/>
      <c r="P106" s="429"/>
      <c r="Q106" s="429"/>
      <c r="R106" s="178"/>
    </row>
    <row r="107" spans="1:18" ht="15.75" customHeight="1">
      <c r="A107" s="674" t="s">
        <v>767</v>
      </c>
      <c r="B107" s="674"/>
      <c r="C107" s="674"/>
      <c r="D107" s="674"/>
      <c r="E107" s="674"/>
      <c r="F107" s="674"/>
      <c r="G107" s="674"/>
      <c r="H107" s="674"/>
      <c r="I107" s="674"/>
      <c r="J107" s="674"/>
      <c r="K107" s="674"/>
      <c r="L107" s="674"/>
      <c r="M107" s="189"/>
    </row>
    <row r="108" spans="1:18" s="190" customFormat="1" ht="15.75" customHeight="1">
      <c r="A108" s="674"/>
      <c r="B108" s="674"/>
      <c r="C108" s="674"/>
      <c r="D108" s="674"/>
      <c r="E108" s="674"/>
      <c r="F108" s="674"/>
      <c r="G108" s="674"/>
      <c r="H108" s="674"/>
      <c r="I108" s="674"/>
      <c r="J108" s="674"/>
      <c r="K108" s="674"/>
      <c r="L108" s="674"/>
    </row>
    <row r="109" spans="1:18" s="178" customFormat="1" ht="15.75" customHeight="1">
      <c r="A109" s="672" t="s">
        <v>164</v>
      </c>
      <c r="B109" s="191">
        <v>1</v>
      </c>
      <c r="C109" s="191">
        <v>2</v>
      </c>
      <c r="D109" s="170">
        <v>3</v>
      </c>
      <c r="E109" s="170">
        <v>4</v>
      </c>
      <c r="F109" s="170">
        <v>5</v>
      </c>
      <c r="G109" s="170">
        <v>6</v>
      </c>
      <c r="H109" s="170">
        <v>7</v>
      </c>
      <c r="I109" s="170">
        <v>8</v>
      </c>
      <c r="J109" s="170">
        <v>9</v>
      </c>
      <c r="K109" s="192"/>
      <c r="L109" s="192"/>
      <c r="M109" s="193"/>
    </row>
    <row r="110" spans="1:18" ht="16.399999999999999" customHeight="1">
      <c r="A110" s="672"/>
      <c r="B110" s="194" t="s">
        <v>208</v>
      </c>
      <c r="C110" s="194" t="s">
        <v>157</v>
      </c>
      <c r="D110" s="195" t="s">
        <v>209</v>
      </c>
      <c r="E110" s="195" t="s">
        <v>158</v>
      </c>
      <c r="F110" s="195" t="s">
        <v>357</v>
      </c>
      <c r="G110" s="196" t="s">
        <v>137</v>
      </c>
      <c r="H110" s="197" t="s">
        <v>210</v>
      </c>
      <c r="I110" s="196" t="s">
        <v>387</v>
      </c>
      <c r="J110" s="196" t="s">
        <v>143</v>
      </c>
      <c r="K110" s="198"/>
      <c r="L110" s="198"/>
      <c r="N110" s="199"/>
      <c r="O110" s="199"/>
      <c r="P110" s="199"/>
      <c r="Q110" s="199"/>
      <c r="R110" s="199"/>
    </row>
    <row r="111" spans="1:18" s="178" customFormat="1" ht="15.75" customHeight="1">
      <c r="A111" s="673" t="s">
        <v>190</v>
      </c>
      <c r="B111" s="673"/>
      <c r="C111" s="160" t="s">
        <v>47</v>
      </c>
      <c r="D111" s="673" t="s">
        <v>12</v>
      </c>
      <c r="E111" s="675"/>
      <c r="F111" s="675"/>
      <c r="G111" s="160" t="s">
        <v>46</v>
      </c>
      <c r="H111" s="160" t="s">
        <v>388</v>
      </c>
      <c r="I111" s="160" t="s">
        <v>389</v>
      </c>
      <c r="J111" s="160" t="s">
        <v>334</v>
      </c>
      <c r="K111" s="673" t="s">
        <v>51</v>
      </c>
      <c r="L111" s="675"/>
      <c r="M111" s="193"/>
      <c r="P111" s="429"/>
      <c r="Q111" s="429"/>
    </row>
    <row r="112" spans="1:18" ht="15.75" customHeight="1">
      <c r="A112" s="672">
        <v>1</v>
      </c>
      <c r="B112" s="673" t="s">
        <v>390</v>
      </c>
      <c r="C112" s="200">
        <v>1</v>
      </c>
      <c r="D112" s="668" t="s">
        <v>404</v>
      </c>
      <c r="E112" s="669"/>
      <c r="F112" s="669"/>
      <c r="G112" s="200">
        <v>3</v>
      </c>
      <c r="H112" s="202">
        <v>3177.1046237746014</v>
      </c>
      <c r="I112" s="203">
        <v>1059.0348745915339</v>
      </c>
      <c r="J112" s="221">
        <f>I112-I87</f>
        <v>0.6029467873484009</v>
      </c>
      <c r="K112" s="668" t="s">
        <v>464</v>
      </c>
      <c r="L112" s="669"/>
      <c r="N112" s="178"/>
      <c r="O112" s="178"/>
      <c r="P112" s="429"/>
      <c r="Q112" s="429"/>
      <c r="R112" s="178"/>
    </row>
    <row r="113" spans="1:18" ht="15.75" customHeight="1">
      <c r="A113" s="672"/>
      <c r="B113" s="673"/>
      <c r="C113" s="200">
        <v>2</v>
      </c>
      <c r="D113" s="668" t="s">
        <v>409</v>
      </c>
      <c r="E113" s="669"/>
      <c r="F113" s="669"/>
      <c r="G113" s="200">
        <v>3</v>
      </c>
      <c r="H113" s="202">
        <v>3175.6578312410775</v>
      </c>
      <c r="I113" s="203">
        <v>1058.5526104136923</v>
      </c>
      <c r="J113" s="221">
        <f>I113-I88</f>
        <v>0.18492986841511083</v>
      </c>
      <c r="K113" s="668" t="s">
        <v>464</v>
      </c>
      <c r="L113" s="669"/>
      <c r="N113" s="178"/>
      <c r="O113" s="178"/>
      <c r="P113" s="429"/>
      <c r="Q113" s="429"/>
      <c r="R113" s="178"/>
    </row>
    <row r="114" spans="1:18" ht="15.75" customHeight="1">
      <c r="A114" s="672"/>
      <c r="B114" s="673"/>
      <c r="C114" s="200">
        <v>3</v>
      </c>
      <c r="D114" s="668" t="s">
        <v>414</v>
      </c>
      <c r="E114" s="669"/>
      <c r="F114" s="669"/>
      <c r="G114" s="200">
        <v>3</v>
      </c>
      <c r="H114" s="202">
        <v>3174.8072215353018</v>
      </c>
      <c r="I114" s="203">
        <v>1058.2690738451006</v>
      </c>
      <c r="J114" s="221">
        <f>I114-I90</f>
        <v>1.0961172143429394</v>
      </c>
      <c r="K114" s="668" t="s">
        <v>464</v>
      </c>
      <c r="L114" s="669"/>
      <c r="N114" s="178"/>
      <c r="O114" s="178"/>
      <c r="P114" s="429"/>
      <c r="Q114" s="429"/>
      <c r="R114" s="178"/>
    </row>
    <row r="115" spans="1:18" ht="15.75" customHeight="1">
      <c r="A115" s="672"/>
      <c r="B115" s="673"/>
      <c r="C115" s="200">
        <v>4</v>
      </c>
      <c r="D115" s="668" t="s">
        <v>472</v>
      </c>
      <c r="E115" s="669"/>
      <c r="F115" s="669"/>
      <c r="G115" s="200">
        <v>3</v>
      </c>
      <c r="H115" s="202">
        <v>3174.7694005613434</v>
      </c>
      <c r="I115" s="203">
        <v>1058.2564668537811</v>
      </c>
      <c r="J115" s="221">
        <f>I115-I86</f>
        <v>-0.88788034238200453</v>
      </c>
      <c r="K115" s="668" t="s">
        <v>464</v>
      </c>
      <c r="L115" s="669"/>
      <c r="N115" s="178"/>
      <c r="O115" s="178"/>
      <c r="P115" s="429"/>
      <c r="Q115" s="429"/>
      <c r="R115" s="178"/>
    </row>
    <row r="116" spans="1:18" ht="15.75" customHeight="1">
      <c r="A116" s="672"/>
      <c r="B116" s="673"/>
      <c r="C116" s="200">
        <v>5</v>
      </c>
      <c r="D116" s="668" t="s">
        <v>402</v>
      </c>
      <c r="E116" s="669"/>
      <c r="F116" s="669"/>
      <c r="G116" s="200">
        <v>3</v>
      </c>
      <c r="H116" s="202">
        <v>3174.2762730459431</v>
      </c>
      <c r="I116" s="203">
        <v>1058.0920910153143</v>
      </c>
      <c r="J116" s="221">
        <f>I116-I89</f>
        <v>0.52584592876542047</v>
      </c>
      <c r="K116" s="668" t="s">
        <v>464</v>
      </c>
      <c r="L116" s="669"/>
      <c r="N116" s="178"/>
      <c r="O116" s="178"/>
      <c r="P116" s="429"/>
      <c r="Q116" s="429"/>
      <c r="R116" s="178"/>
    </row>
    <row r="117" spans="1:18" ht="15.75" customHeight="1">
      <c r="A117" s="672"/>
      <c r="B117" s="673"/>
      <c r="C117" s="204" t="s">
        <v>206</v>
      </c>
      <c r="D117" s="669" t="s">
        <v>775</v>
      </c>
      <c r="E117" s="669"/>
      <c r="F117" s="669"/>
      <c r="G117" s="201">
        <v>13</v>
      </c>
      <c r="H117" s="205">
        <v>2955.6756756756777</v>
      </c>
      <c r="I117" s="206">
        <v>227.35966735966753</v>
      </c>
      <c r="J117" s="221"/>
      <c r="K117" s="668" t="s">
        <v>704</v>
      </c>
      <c r="L117" s="669"/>
      <c r="N117" s="178"/>
      <c r="O117" s="178"/>
      <c r="P117" s="429"/>
      <c r="Q117" s="429"/>
      <c r="R117" s="178"/>
    </row>
    <row r="118" spans="1:18" ht="15.75" customHeight="1">
      <c r="A118" s="672"/>
      <c r="B118" s="673"/>
      <c r="C118" s="204" t="s">
        <v>211</v>
      </c>
      <c r="D118" s="669" t="s">
        <v>481</v>
      </c>
      <c r="E118" s="669"/>
      <c r="F118" s="669"/>
      <c r="G118" s="201">
        <v>12</v>
      </c>
      <c r="H118" s="205">
        <v>3125.8216356895105</v>
      </c>
      <c r="I118" s="206">
        <v>260.48513630745919</v>
      </c>
      <c r="J118" s="221">
        <f>I118-I92</f>
        <v>-1.6249883379828134E-2</v>
      </c>
      <c r="K118" s="668" t="s">
        <v>464</v>
      </c>
      <c r="L118" s="669"/>
      <c r="N118" s="178"/>
      <c r="O118" s="178"/>
      <c r="P118" s="429"/>
      <c r="Q118" s="429"/>
      <c r="R118" s="178"/>
    </row>
    <row r="119" spans="1:18" ht="15.75" customHeight="1">
      <c r="A119" s="672"/>
      <c r="B119" s="673"/>
      <c r="C119" s="204" t="s">
        <v>207</v>
      </c>
      <c r="D119" s="669" t="s">
        <v>478</v>
      </c>
      <c r="E119" s="669"/>
      <c r="F119" s="669"/>
      <c r="G119" s="201">
        <v>12</v>
      </c>
      <c r="H119" s="205">
        <v>3126.1883758935555</v>
      </c>
      <c r="I119" s="206">
        <v>260.51569799112957</v>
      </c>
      <c r="J119" s="221">
        <f>I119-I91</f>
        <v>3.5431983128205502E-2</v>
      </c>
      <c r="K119" s="668" t="s">
        <v>464</v>
      </c>
      <c r="L119" s="669"/>
      <c r="N119" s="178"/>
      <c r="O119" s="178"/>
      <c r="P119" s="429"/>
      <c r="Q119" s="429"/>
      <c r="R119" s="178"/>
    </row>
    <row r="120" spans="1:18" ht="15.75" customHeight="1">
      <c r="A120" s="672"/>
      <c r="B120" s="673"/>
      <c r="C120" s="204" t="s">
        <v>212</v>
      </c>
      <c r="D120" s="669" t="s">
        <v>693</v>
      </c>
      <c r="E120" s="669"/>
      <c r="F120" s="669"/>
      <c r="G120" s="201">
        <v>12</v>
      </c>
      <c r="H120" s="205">
        <v>3251.0123780855206</v>
      </c>
      <c r="I120" s="206">
        <v>270.91769817379338</v>
      </c>
      <c r="J120" s="221">
        <f>I120-I93</f>
        <v>7.2717383071734503</v>
      </c>
      <c r="K120" s="668" t="s">
        <v>706</v>
      </c>
      <c r="L120" s="669"/>
      <c r="M120" s="189"/>
      <c r="N120" s="178"/>
      <c r="O120" s="178"/>
      <c r="P120" s="429"/>
      <c r="Q120" s="429"/>
      <c r="R120" s="178"/>
    </row>
    <row r="121" spans="1:18" ht="15.75" customHeight="1">
      <c r="A121" s="672"/>
      <c r="B121" s="673"/>
      <c r="C121" s="204" t="s">
        <v>213</v>
      </c>
      <c r="D121" s="669" t="s">
        <v>508</v>
      </c>
      <c r="E121" s="669"/>
      <c r="F121" s="669"/>
      <c r="G121" s="201">
        <v>5</v>
      </c>
      <c r="H121" s="205">
        <v>2682.594611382563</v>
      </c>
      <c r="I121" s="206">
        <v>536.51892227651263</v>
      </c>
      <c r="J121" s="221">
        <f>I121-I94</f>
        <v>0.19699683321528028</v>
      </c>
      <c r="K121" s="668" t="s">
        <v>464</v>
      </c>
      <c r="L121" s="669"/>
      <c r="M121" s="189"/>
      <c r="N121" s="178"/>
      <c r="O121" s="178"/>
      <c r="P121" s="429"/>
      <c r="Q121" s="429"/>
      <c r="R121" s="178"/>
    </row>
    <row r="122" spans="1:18" s="199" customFormat="1" ht="15.75" customHeight="1">
      <c r="A122" s="670" t="s">
        <v>190</v>
      </c>
      <c r="B122" s="670"/>
      <c r="C122" s="207" t="s">
        <v>47</v>
      </c>
      <c r="D122" s="670" t="s">
        <v>12</v>
      </c>
      <c r="E122" s="671"/>
      <c r="F122" s="671"/>
      <c r="G122" s="207" t="s">
        <v>46</v>
      </c>
      <c r="H122" s="207" t="s">
        <v>388</v>
      </c>
      <c r="I122" s="207" t="s">
        <v>389</v>
      </c>
      <c r="J122" s="160" t="s">
        <v>334</v>
      </c>
      <c r="K122" s="670" t="s">
        <v>51</v>
      </c>
      <c r="L122" s="671"/>
      <c r="M122" s="208"/>
      <c r="N122" s="189"/>
      <c r="O122" s="178"/>
      <c r="P122" s="429"/>
      <c r="Q122" s="429"/>
      <c r="R122" s="178"/>
    </row>
    <row r="123" spans="1:18" ht="15.75" customHeight="1">
      <c r="A123" s="672">
        <v>2</v>
      </c>
      <c r="B123" s="673" t="s">
        <v>157</v>
      </c>
      <c r="C123" s="200">
        <v>1</v>
      </c>
      <c r="D123" s="668" t="s">
        <v>477</v>
      </c>
      <c r="E123" s="669"/>
      <c r="F123" s="669"/>
      <c r="G123" s="200">
        <v>6</v>
      </c>
      <c r="H123" s="202">
        <v>2340.4936784736988</v>
      </c>
      <c r="I123" s="203">
        <v>390.0822797456164</v>
      </c>
      <c r="J123" s="221">
        <f>I123-I98</f>
        <v>0.10133871623816049</v>
      </c>
      <c r="K123" s="668" t="s">
        <v>464</v>
      </c>
      <c r="L123" s="669"/>
      <c r="M123" s="189"/>
      <c r="N123" s="178"/>
      <c r="O123" s="178"/>
      <c r="P123" s="429"/>
      <c r="Q123" s="429"/>
      <c r="R123" s="178"/>
    </row>
    <row r="124" spans="1:18" ht="15.75" customHeight="1">
      <c r="A124" s="672"/>
      <c r="B124" s="673"/>
      <c r="C124" s="200">
        <v>2</v>
      </c>
      <c r="D124" s="668" t="s">
        <v>473</v>
      </c>
      <c r="E124" s="669"/>
      <c r="F124" s="669"/>
      <c r="G124" s="200">
        <v>6</v>
      </c>
      <c r="H124" s="202">
        <v>2340.1621919284512</v>
      </c>
      <c r="I124" s="203">
        <v>390.02703198807518</v>
      </c>
      <c r="J124" s="221">
        <f>I124-I97</f>
        <v>-0.10860944664165118</v>
      </c>
      <c r="K124" s="668" t="s">
        <v>464</v>
      </c>
      <c r="L124" s="669"/>
      <c r="M124" s="189"/>
      <c r="N124" s="178"/>
      <c r="O124" s="178"/>
      <c r="P124" s="429"/>
      <c r="Q124" s="429"/>
      <c r="R124" s="178"/>
    </row>
    <row r="125" spans="1:18" ht="15.75" customHeight="1">
      <c r="A125" s="672"/>
      <c r="B125" s="673"/>
      <c r="C125" s="200">
        <v>3</v>
      </c>
      <c r="D125" s="668" t="s">
        <v>643</v>
      </c>
      <c r="E125" s="669"/>
      <c r="F125" s="669"/>
      <c r="G125" s="200">
        <v>6</v>
      </c>
      <c r="H125" s="202">
        <v>2257.9484433249049</v>
      </c>
      <c r="I125" s="203">
        <v>376.32474055415088</v>
      </c>
      <c r="J125" s="221">
        <f>I125-I99</f>
        <v>0.13159847587326112</v>
      </c>
      <c r="K125" s="668" t="s">
        <v>464</v>
      </c>
      <c r="L125" s="669"/>
      <c r="M125" s="189"/>
      <c r="N125" s="178"/>
      <c r="O125" s="178"/>
      <c r="P125" s="429"/>
      <c r="Q125" s="429"/>
      <c r="R125" s="178"/>
    </row>
    <row r="126" spans="1:18" ht="15.75" customHeight="1">
      <c r="A126" s="672"/>
      <c r="B126" s="673"/>
      <c r="C126" s="200">
        <v>4</v>
      </c>
      <c r="D126" s="668" t="s">
        <v>751</v>
      </c>
      <c r="E126" s="669"/>
      <c r="F126" s="669"/>
      <c r="G126" s="200">
        <v>6</v>
      </c>
      <c r="H126" s="202">
        <v>2256.8942145802989</v>
      </c>
      <c r="I126" s="203">
        <v>376.14903576338321</v>
      </c>
      <c r="J126" s="221">
        <f>I126-I100</f>
        <v>13.837291153760532</v>
      </c>
      <c r="K126" s="668" t="s">
        <v>706</v>
      </c>
      <c r="L126" s="669"/>
      <c r="M126" s="189"/>
      <c r="N126" s="178"/>
      <c r="O126" s="178"/>
      <c r="P126" s="429"/>
      <c r="Q126" s="429"/>
      <c r="R126" s="178"/>
    </row>
    <row r="127" spans="1:18" ht="15.75" customHeight="1">
      <c r="A127" s="672"/>
      <c r="B127" s="673"/>
      <c r="C127" s="200">
        <v>5</v>
      </c>
      <c r="D127" s="668" t="s">
        <v>353</v>
      </c>
      <c r="E127" s="669"/>
      <c r="F127" s="669"/>
      <c r="G127" s="200">
        <v>11</v>
      </c>
      <c r="H127" s="202">
        <v>3181.9715560079048</v>
      </c>
      <c r="I127" s="203">
        <v>289.27014145526408</v>
      </c>
      <c r="J127" s="221">
        <f>I127-I106</f>
        <v>0.12953927255250619</v>
      </c>
      <c r="K127" s="668" t="s">
        <v>464</v>
      </c>
      <c r="L127" s="669"/>
      <c r="M127" s="189"/>
      <c r="N127" s="178"/>
      <c r="O127" s="178"/>
      <c r="P127" s="429"/>
      <c r="Q127" s="429"/>
      <c r="R127" s="178"/>
    </row>
    <row r="128" spans="1:18" ht="15.75" customHeight="1">
      <c r="A128" s="672"/>
      <c r="B128" s="673"/>
      <c r="C128" s="204" t="s">
        <v>206</v>
      </c>
      <c r="D128" s="668" t="s">
        <v>354</v>
      </c>
      <c r="E128" s="669"/>
      <c r="F128" s="669"/>
      <c r="G128" s="200">
        <v>12</v>
      </c>
      <c r="H128" s="202">
        <v>3145.9305028549143</v>
      </c>
      <c r="I128" s="203">
        <v>262.16087523790958</v>
      </c>
      <c r="J128" s="221">
        <f>I128-I105</f>
        <v>-9.8018816366902684E-3</v>
      </c>
      <c r="K128" s="668" t="s">
        <v>464</v>
      </c>
      <c r="L128" s="669"/>
      <c r="M128" s="189"/>
      <c r="N128" s="178"/>
      <c r="O128" s="178"/>
      <c r="P128" s="429"/>
      <c r="Q128" s="429"/>
      <c r="R128" s="178"/>
    </row>
    <row r="129" spans="1:18" ht="15.75" customHeight="1">
      <c r="A129" s="672"/>
      <c r="B129" s="673"/>
      <c r="C129" s="204" t="s">
        <v>211</v>
      </c>
      <c r="D129" s="668" t="s">
        <v>351</v>
      </c>
      <c r="E129" s="669"/>
      <c r="F129" s="669"/>
      <c r="G129" s="200">
        <v>12</v>
      </c>
      <c r="H129" s="202">
        <v>3146.8970624773501</v>
      </c>
      <c r="I129" s="203">
        <v>262.24142187311253</v>
      </c>
      <c r="J129" s="221">
        <f>I129-I103</f>
        <v>0.16396769667676381</v>
      </c>
      <c r="K129" s="668" t="s">
        <v>464</v>
      </c>
      <c r="L129" s="669"/>
      <c r="M129" s="189"/>
      <c r="N129" s="178"/>
      <c r="O129" s="178"/>
      <c r="P129" s="429"/>
      <c r="Q129" s="429"/>
      <c r="R129" s="178"/>
    </row>
    <row r="130" spans="1:18" ht="15.75" customHeight="1">
      <c r="A130" s="672"/>
      <c r="B130" s="673"/>
      <c r="C130" s="204" t="s">
        <v>207</v>
      </c>
      <c r="D130" s="668" t="s">
        <v>355</v>
      </c>
      <c r="E130" s="669"/>
      <c r="F130" s="669"/>
      <c r="G130" s="200">
        <v>12</v>
      </c>
      <c r="H130" s="202">
        <v>3147.0122255305882</v>
      </c>
      <c r="I130" s="203">
        <v>262.25101879421567</v>
      </c>
      <c r="J130" s="221">
        <f>I130-I104</f>
        <v>0.12363705682560067</v>
      </c>
      <c r="K130" s="668" t="s">
        <v>464</v>
      </c>
      <c r="L130" s="669"/>
      <c r="M130" s="189"/>
      <c r="N130" s="178"/>
      <c r="O130" s="178"/>
      <c r="P130" s="429"/>
      <c r="Q130" s="429"/>
      <c r="R130" s="178"/>
    </row>
    <row r="131" spans="1:18" ht="15.75" customHeight="1">
      <c r="A131" s="672"/>
      <c r="B131" s="673"/>
      <c r="C131" s="204" t="s">
        <v>212</v>
      </c>
      <c r="D131" s="668" t="s">
        <v>352</v>
      </c>
      <c r="E131" s="669"/>
      <c r="F131" s="669"/>
      <c r="G131" s="200">
        <v>12</v>
      </c>
      <c r="H131" s="202">
        <v>3147.2025907979855</v>
      </c>
      <c r="I131" s="203">
        <v>262.26688256649885</v>
      </c>
      <c r="J131" s="221">
        <f>I131-I102</f>
        <v>0.2055353283575414</v>
      </c>
      <c r="K131" s="668" t="s">
        <v>464</v>
      </c>
      <c r="L131" s="669"/>
      <c r="M131" s="189"/>
      <c r="N131" s="178"/>
      <c r="O131" s="178"/>
      <c r="P131" s="429"/>
      <c r="Q131" s="429"/>
      <c r="R131" s="178"/>
    </row>
    <row r="132" spans="1:18" ht="15.75" customHeight="1">
      <c r="A132" s="672"/>
      <c r="B132" s="673"/>
      <c r="C132" s="204" t="s">
        <v>213</v>
      </c>
      <c r="D132" s="668" t="s">
        <v>350</v>
      </c>
      <c r="E132" s="669"/>
      <c r="F132" s="669"/>
      <c r="G132" s="200">
        <v>11</v>
      </c>
      <c r="H132" s="202">
        <v>3181.8658539227231</v>
      </c>
      <c r="I132" s="203">
        <v>289.26053217479301</v>
      </c>
      <c r="J132" s="221">
        <f>I132-I101</f>
        <v>-7.9761163892158038E-3</v>
      </c>
      <c r="K132" s="668" t="s">
        <v>464</v>
      </c>
      <c r="L132" s="669"/>
      <c r="M132" s="189"/>
      <c r="N132" s="178"/>
      <c r="O132" s="178"/>
      <c r="P132" s="429"/>
      <c r="Q132" s="429"/>
      <c r="R132" s="178"/>
    </row>
    <row r="133" spans="1:18" ht="15.75" customHeight="1">
      <c r="A133" s="674" t="s">
        <v>844</v>
      </c>
      <c r="B133" s="674"/>
      <c r="C133" s="674"/>
      <c r="D133" s="674"/>
      <c r="E133" s="674"/>
      <c r="F133" s="674"/>
      <c r="G133" s="674"/>
      <c r="H133" s="674"/>
      <c r="I133" s="674"/>
      <c r="J133" s="674"/>
      <c r="K133" s="674"/>
      <c r="L133" s="674"/>
      <c r="M133" s="189"/>
    </row>
    <row r="134" spans="1:18" s="190" customFormat="1" ht="15.75" customHeight="1">
      <c r="A134" s="674"/>
      <c r="B134" s="674"/>
      <c r="C134" s="674"/>
      <c r="D134" s="674"/>
      <c r="E134" s="674"/>
      <c r="F134" s="674"/>
      <c r="G134" s="674"/>
      <c r="H134" s="674"/>
      <c r="I134" s="674"/>
      <c r="J134" s="674"/>
      <c r="K134" s="674"/>
      <c r="L134" s="674"/>
    </row>
    <row r="135" spans="1:18" s="178" customFormat="1" ht="15.75" customHeight="1">
      <c r="A135" s="672" t="s">
        <v>164</v>
      </c>
      <c r="B135" s="191">
        <v>1</v>
      </c>
      <c r="C135" s="191">
        <v>2</v>
      </c>
      <c r="D135" s="170">
        <v>3</v>
      </c>
      <c r="E135" s="170">
        <v>4</v>
      </c>
      <c r="F135" s="170">
        <v>5</v>
      </c>
      <c r="G135" s="170">
        <v>6</v>
      </c>
      <c r="H135" s="170">
        <v>7</v>
      </c>
      <c r="I135" s="170">
        <v>8</v>
      </c>
      <c r="J135" s="170">
        <v>9</v>
      </c>
      <c r="K135" s="192"/>
      <c r="L135" s="192"/>
      <c r="M135" s="193"/>
    </row>
    <row r="136" spans="1:18" ht="16.399999999999999" customHeight="1">
      <c r="A136" s="672"/>
      <c r="B136" s="194" t="s">
        <v>208</v>
      </c>
      <c r="C136" s="194" t="s">
        <v>157</v>
      </c>
      <c r="D136" s="195" t="s">
        <v>209</v>
      </c>
      <c r="E136" s="195" t="s">
        <v>158</v>
      </c>
      <c r="F136" s="195" t="s">
        <v>357</v>
      </c>
      <c r="G136" s="196" t="s">
        <v>137</v>
      </c>
      <c r="H136" s="197" t="s">
        <v>210</v>
      </c>
      <c r="I136" s="196" t="s">
        <v>387</v>
      </c>
      <c r="J136" s="196" t="s">
        <v>143</v>
      </c>
      <c r="K136" s="198"/>
      <c r="L136" s="198"/>
      <c r="N136" s="199"/>
      <c r="O136" s="199"/>
      <c r="P136" s="199"/>
      <c r="Q136" s="199"/>
      <c r="R136" s="199"/>
    </row>
    <row r="137" spans="1:18" s="178" customFormat="1" ht="15.75" customHeight="1">
      <c r="A137" s="673" t="s">
        <v>190</v>
      </c>
      <c r="B137" s="673"/>
      <c r="C137" s="160" t="s">
        <v>47</v>
      </c>
      <c r="D137" s="673" t="s">
        <v>12</v>
      </c>
      <c r="E137" s="675"/>
      <c r="F137" s="675"/>
      <c r="G137" s="160" t="s">
        <v>46</v>
      </c>
      <c r="H137" s="160" t="s">
        <v>388</v>
      </c>
      <c r="I137" s="160" t="s">
        <v>389</v>
      </c>
      <c r="J137" s="160" t="s">
        <v>334</v>
      </c>
      <c r="K137" s="673" t="s">
        <v>51</v>
      </c>
      <c r="L137" s="675"/>
      <c r="M137" s="193"/>
      <c r="P137" s="429"/>
      <c r="Q137" s="429"/>
    </row>
    <row r="138" spans="1:18" ht="15.75" customHeight="1">
      <c r="A138" s="672">
        <v>1</v>
      </c>
      <c r="B138" s="673" t="s">
        <v>390</v>
      </c>
      <c r="C138" s="200">
        <v>1</v>
      </c>
      <c r="D138" s="668" t="s">
        <v>472</v>
      </c>
      <c r="E138" s="669"/>
      <c r="F138" s="669"/>
      <c r="G138" s="200">
        <v>3</v>
      </c>
      <c r="H138" s="202">
        <v>3180.9857471046348</v>
      </c>
      <c r="I138" s="203">
        <v>1060.3285823682113</v>
      </c>
      <c r="J138" s="221">
        <f>I138-I115</f>
        <v>2.072115514430152</v>
      </c>
      <c r="K138" s="668"/>
      <c r="L138" s="669"/>
      <c r="N138" s="178"/>
      <c r="O138" s="178"/>
      <c r="P138" s="429"/>
      <c r="Q138" s="429"/>
      <c r="R138" s="178"/>
    </row>
    <row r="139" spans="1:18" ht="15.75" customHeight="1">
      <c r="A139" s="672"/>
      <c r="B139" s="673"/>
      <c r="C139" s="200">
        <v>2</v>
      </c>
      <c r="D139" s="668" t="s">
        <v>404</v>
      </c>
      <c r="E139" s="669"/>
      <c r="F139" s="669"/>
      <c r="G139" s="200">
        <v>3</v>
      </c>
      <c r="H139" s="202">
        <v>3178.836210245116</v>
      </c>
      <c r="I139" s="203">
        <v>1059.612070081705</v>
      </c>
      <c r="J139" s="221">
        <f>I139-I112</f>
        <v>0.57719549017110694</v>
      </c>
      <c r="K139" s="668"/>
      <c r="L139" s="669"/>
      <c r="N139" s="178"/>
      <c r="O139" s="178"/>
      <c r="P139" s="429"/>
      <c r="Q139" s="429"/>
      <c r="R139" s="178"/>
    </row>
    <row r="140" spans="1:18" ht="15.75" customHeight="1">
      <c r="A140" s="672"/>
      <c r="B140" s="673"/>
      <c r="C140" s="200">
        <v>3</v>
      </c>
      <c r="D140" s="668" t="s">
        <v>414</v>
      </c>
      <c r="E140" s="669"/>
      <c r="F140" s="669"/>
      <c r="G140" s="200">
        <v>3</v>
      </c>
      <c r="H140" s="202">
        <v>3177.4049349391148</v>
      </c>
      <c r="I140" s="203">
        <v>1059.1349783130386</v>
      </c>
      <c r="J140" s="221">
        <f>I140-I114</f>
        <v>0.86590446793798037</v>
      </c>
      <c r="K140" s="668"/>
      <c r="L140" s="669"/>
      <c r="N140" s="178"/>
      <c r="O140" s="178"/>
      <c r="P140" s="429"/>
      <c r="Q140" s="429"/>
      <c r="R140" s="178"/>
    </row>
    <row r="141" spans="1:18" ht="15.75" customHeight="1">
      <c r="A141" s="672"/>
      <c r="B141" s="673"/>
      <c r="C141" s="200">
        <v>4</v>
      </c>
      <c r="D141" s="668" t="s">
        <v>409</v>
      </c>
      <c r="E141" s="669"/>
      <c r="F141" s="669"/>
      <c r="G141" s="200">
        <v>3</v>
      </c>
      <c r="H141" s="202">
        <v>3176.4997092153685</v>
      </c>
      <c r="I141" s="203">
        <v>1058.8332364051228</v>
      </c>
      <c r="J141" s="221">
        <f>I141-I113</f>
        <v>0.28062599143049738</v>
      </c>
      <c r="K141" s="668"/>
      <c r="L141" s="669"/>
      <c r="O141" s="178"/>
      <c r="P141" s="429"/>
      <c r="Q141" s="429"/>
      <c r="R141" s="178"/>
    </row>
    <row r="142" spans="1:18" ht="15.75" customHeight="1">
      <c r="A142" s="672"/>
      <c r="B142" s="673"/>
      <c r="C142" s="200">
        <v>5</v>
      </c>
      <c r="D142" s="668" t="s">
        <v>413</v>
      </c>
      <c r="E142" s="669"/>
      <c r="F142" s="669"/>
      <c r="G142" s="200">
        <v>3</v>
      </c>
      <c r="H142" s="202">
        <v>3175.6429731826256</v>
      </c>
      <c r="I142" s="203">
        <v>1058.5476577275419</v>
      </c>
      <c r="J142" s="221"/>
      <c r="K142" s="668"/>
      <c r="L142" s="669"/>
      <c r="N142" s="178"/>
      <c r="O142" s="178"/>
      <c r="P142" s="429"/>
      <c r="Q142" s="429"/>
      <c r="R142" s="178"/>
    </row>
    <row r="143" spans="1:18" ht="15.75" customHeight="1">
      <c r="A143" s="672"/>
      <c r="B143" s="673"/>
      <c r="C143" s="204" t="s">
        <v>206</v>
      </c>
      <c r="D143" s="669" t="s">
        <v>775</v>
      </c>
      <c r="E143" s="669"/>
      <c r="F143" s="669"/>
      <c r="G143" s="201">
        <v>13</v>
      </c>
      <c r="H143" s="205">
        <v>3172.7093415088698</v>
      </c>
      <c r="I143" s="206">
        <v>244.05456473145145</v>
      </c>
      <c r="J143" s="221">
        <f>I143-I117</f>
        <v>16.694897371783924</v>
      </c>
      <c r="K143" s="668"/>
      <c r="L143" s="669"/>
      <c r="N143" s="178"/>
      <c r="O143" s="178"/>
      <c r="P143" s="429"/>
      <c r="Q143" s="429"/>
      <c r="R143" s="178"/>
    </row>
    <row r="144" spans="1:18" ht="15.75" customHeight="1">
      <c r="A144" s="672"/>
      <c r="B144" s="673"/>
      <c r="C144" s="204" t="s">
        <v>211</v>
      </c>
      <c r="D144" s="669" t="s">
        <v>478</v>
      </c>
      <c r="E144" s="669"/>
      <c r="F144" s="669"/>
      <c r="G144" s="201">
        <v>12</v>
      </c>
      <c r="H144" s="205">
        <v>3124.514992674005</v>
      </c>
      <c r="I144" s="206">
        <v>260.3762493895004</v>
      </c>
      <c r="J144" s="221">
        <f>I144-I119</f>
        <v>-0.13944860162916939</v>
      </c>
      <c r="K144" s="668"/>
      <c r="L144" s="669"/>
      <c r="N144" s="178"/>
      <c r="O144" s="178"/>
      <c r="P144" s="429"/>
      <c r="Q144" s="429"/>
      <c r="R144" s="178"/>
    </row>
    <row r="145" spans="1:18" ht="15.75" customHeight="1">
      <c r="A145" s="672"/>
      <c r="B145" s="673"/>
      <c r="C145" s="204" t="s">
        <v>207</v>
      </c>
      <c r="D145" s="669" t="s">
        <v>481</v>
      </c>
      <c r="E145" s="669"/>
      <c r="F145" s="669"/>
      <c r="G145" s="201">
        <v>12</v>
      </c>
      <c r="H145" s="205">
        <v>3125.1402780743629</v>
      </c>
      <c r="I145" s="206">
        <v>260.42835650619696</v>
      </c>
      <c r="J145" s="221">
        <f>I145-I118</f>
        <v>-5.6779801262223373E-2</v>
      </c>
      <c r="K145" s="668"/>
      <c r="L145" s="669"/>
      <c r="N145" s="178"/>
      <c r="O145" s="178"/>
      <c r="P145" s="429"/>
      <c r="Q145" s="429"/>
      <c r="R145" s="178"/>
    </row>
    <row r="146" spans="1:18" ht="15.75" customHeight="1">
      <c r="A146" s="672"/>
      <c r="B146" s="673"/>
      <c r="C146" s="204" t="s">
        <v>212</v>
      </c>
      <c r="D146" s="669" t="s">
        <v>693</v>
      </c>
      <c r="E146" s="669"/>
      <c r="F146" s="669"/>
      <c r="G146" s="201">
        <v>12</v>
      </c>
      <c r="H146" s="205">
        <v>3252.2426521270168</v>
      </c>
      <c r="I146" s="206">
        <v>271.02022101058475</v>
      </c>
      <c r="J146" s="221">
        <f>I146-I120</f>
        <v>0.10252283679136553</v>
      </c>
      <c r="K146" s="668"/>
      <c r="L146" s="669"/>
      <c r="M146" s="189"/>
      <c r="N146" s="178"/>
      <c r="O146" s="178"/>
      <c r="P146" s="429"/>
      <c r="Q146" s="429"/>
      <c r="R146" s="178"/>
    </row>
    <row r="147" spans="1:18" ht="15.75" customHeight="1">
      <c r="A147" s="672"/>
      <c r="B147" s="673"/>
      <c r="C147" s="204" t="s">
        <v>213</v>
      </c>
      <c r="D147" s="669" t="s">
        <v>842</v>
      </c>
      <c r="E147" s="669"/>
      <c r="F147" s="669"/>
      <c r="G147" s="201">
        <v>5</v>
      </c>
      <c r="H147" s="205">
        <v>2460.0856142171519</v>
      </c>
      <c r="I147" s="206">
        <v>492.0171228434304</v>
      </c>
      <c r="J147" s="221"/>
      <c r="K147" s="668"/>
      <c r="L147" s="669"/>
      <c r="M147" s="189"/>
      <c r="N147" s="178"/>
      <c r="O147" s="178"/>
      <c r="P147" s="429"/>
      <c r="Q147" s="429"/>
      <c r="R147" s="178"/>
    </row>
    <row r="148" spans="1:18" s="199" customFormat="1" ht="15.75" customHeight="1">
      <c r="A148" s="670" t="s">
        <v>190</v>
      </c>
      <c r="B148" s="670"/>
      <c r="C148" s="207" t="s">
        <v>47</v>
      </c>
      <c r="D148" s="670" t="s">
        <v>12</v>
      </c>
      <c r="E148" s="671"/>
      <c r="F148" s="671"/>
      <c r="G148" s="207" t="s">
        <v>46</v>
      </c>
      <c r="H148" s="207" t="s">
        <v>388</v>
      </c>
      <c r="I148" s="207" t="s">
        <v>389</v>
      </c>
      <c r="J148" s="160" t="s">
        <v>334</v>
      </c>
      <c r="K148" s="670" t="s">
        <v>51</v>
      </c>
      <c r="L148" s="671"/>
      <c r="M148" s="208"/>
      <c r="N148" s="178"/>
      <c r="O148" s="178"/>
      <c r="P148" s="429"/>
      <c r="Q148" s="429"/>
      <c r="R148" s="178"/>
    </row>
    <row r="149" spans="1:18" ht="15.75" customHeight="1">
      <c r="A149" s="672">
        <v>2</v>
      </c>
      <c r="B149" s="673" t="s">
        <v>157</v>
      </c>
      <c r="C149" s="200">
        <v>1</v>
      </c>
      <c r="D149" s="668" t="s">
        <v>477</v>
      </c>
      <c r="E149" s="669"/>
      <c r="F149" s="669"/>
      <c r="G149" s="200">
        <v>6</v>
      </c>
      <c r="H149" s="202">
        <v>2340.6250136555805</v>
      </c>
      <c r="I149" s="203">
        <v>390.10416894259663</v>
      </c>
      <c r="J149" s="221">
        <f t="shared" ref="J149:J154" si="0">I149-I123</f>
        <v>2.1889196980225734E-2</v>
      </c>
      <c r="K149" s="668"/>
      <c r="L149" s="669"/>
      <c r="M149" s="189"/>
      <c r="N149" s="178"/>
      <c r="O149" s="178"/>
      <c r="P149" s="429"/>
      <c r="Q149" s="429"/>
      <c r="R149" s="178"/>
    </row>
    <row r="150" spans="1:18" ht="15.75" customHeight="1">
      <c r="A150" s="672"/>
      <c r="B150" s="673"/>
      <c r="C150" s="200">
        <v>2</v>
      </c>
      <c r="D150" s="668" t="s">
        <v>473</v>
      </c>
      <c r="E150" s="669"/>
      <c r="F150" s="669"/>
      <c r="G150" s="200">
        <v>6</v>
      </c>
      <c r="H150" s="202">
        <v>2340.3482577837344</v>
      </c>
      <c r="I150" s="203">
        <v>390.05804296395581</v>
      </c>
      <c r="J150" s="221">
        <f t="shared" si="0"/>
        <v>3.1010975880633396E-2</v>
      </c>
      <c r="K150" s="668"/>
      <c r="L150" s="669"/>
      <c r="M150" s="189"/>
      <c r="N150" s="178"/>
      <c r="O150" s="178"/>
      <c r="P150" s="429"/>
      <c r="Q150" s="429"/>
      <c r="R150" s="178"/>
    </row>
    <row r="151" spans="1:18" ht="15.75" customHeight="1">
      <c r="A151" s="672"/>
      <c r="B151" s="673"/>
      <c r="C151" s="200">
        <v>3</v>
      </c>
      <c r="D151" s="668" t="s">
        <v>643</v>
      </c>
      <c r="E151" s="669"/>
      <c r="F151" s="669"/>
      <c r="G151" s="200">
        <v>6</v>
      </c>
      <c r="H151" s="202">
        <v>2258.8431108831473</v>
      </c>
      <c r="I151" s="203">
        <v>376.47385181385789</v>
      </c>
      <c r="J151" s="221">
        <f t="shared" si="0"/>
        <v>0.14911125970701278</v>
      </c>
      <c r="K151" s="668"/>
      <c r="L151" s="669"/>
      <c r="M151" s="189"/>
      <c r="N151" s="178"/>
      <c r="O151" s="178"/>
      <c r="P151" s="429"/>
      <c r="Q151" s="429"/>
      <c r="R151" s="178"/>
    </row>
    <row r="152" spans="1:18" ht="15.75" customHeight="1">
      <c r="A152" s="672"/>
      <c r="B152" s="673"/>
      <c r="C152" s="200">
        <v>4</v>
      </c>
      <c r="D152" s="668" t="s">
        <v>751</v>
      </c>
      <c r="E152" s="669"/>
      <c r="F152" s="669"/>
      <c r="G152" s="200">
        <v>6</v>
      </c>
      <c r="H152" s="202">
        <v>2258.6161131123072</v>
      </c>
      <c r="I152" s="203">
        <v>376.43601885205123</v>
      </c>
      <c r="J152" s="221">
        <f t="shared" si="0"/>
        <v>0.28698308866802336</v>
      </c>
      <c r="K152" s="668"/>
      <c r="L152" s="669"/>
      <c r="M152" s="189"/>
      <c r="O152" s="178"/>
      <c r="P152" s="429"/>
      <c r="Q152" s="429"/>
      <c r="R152" s="178"/>
    </row>
    <row r="153" spans="1:18" ht="15.75" customHeight="1">
      <c r="A153" s="672"/>
      <c r="B153" s="673"/>
      <c r="C153" s="200">
        <v>5</v>
      </c>
      <c r="D153" s="668" t="s">
        <v>353</v>
      </c>
      <c r="E153" s="669"/>
      <c r="F153" s="669"/>
      <c r="G153" s="200">
        <v>11</v>
      </c>
      <c r="H153" s="202">
        <v>3183.4538237188617</v>
      </c>
      <c r="I153" s="203">
        <v>289.40489306535113</v>
      </c>
      <c r="J153" s="221">
        <f t="shared" si="0"/>
        <v>0.13475161008705072</v>
      </c>
      <c r="K153" s="668"/>
      <c r="L153" s="669"/>
      <c r="M153" s="189"/>
      <c r="N153" s="178"/>
      <c r="O153" s="178"/>
      <c r="P153" s="429"/>
      <c r="Q153" s="429"/>
      <c r="R153" s="178"/>
    </row>
    <row r="154" spans="1:18" ht="15.75" customHeight="1">
      <c r="A154" s="672"/>
      <c r="B154" s="673"/>
      <c r="C154" s="204" t="s">
        <v>206</v>
      </c>
      <c r="D154" s="668" t="s">
        <v>354</v>
      </c>
      <c r="E154" s="669"/>
      <c r="F154" s="669"/>
      <c r="G154" s="200">
        <v>12</v>
      </c>
      <c r="H154" s="202">
        <v>3146.4360593420611</v>
      </c>
      <c r="I154" s="203">
        <v>262.20300494517176</v>
      </c>
      <c r="J154" s="221">
        <f t="shared" si="0"/>
        <v>4.2129707262176908E-2</v>
      </c>
      <c r="K154" s="668"/>
      <c r="L154" s="669"/>
      <c r="M154" s="189"/>
      <c r="N154" s="178"/>
      <c r="O154" s="178"/>
      <c r="P154" s="429"/>
      <c r="Q154" s="429"/>
      <c r="R154" s="178"/>
    </row>
    <row r="155" spans="1:18" ht="15.75" customHeight="1">
      <c r="A155" s="672"/>
      <c r="B155" s="673"/>
      <c r="C155" s="204" t="s">
        <v>211</v>
      </c>
      <c r="D155" s="668" t="s">
        <v>355</v>
      </c>
      <c r="E155" s="669"/>
      <c r="F155" s="669"/>
      <c r="G155" s="200">
        <v>12</v>
      </c>
      <c r="H155" s="202">
        <v>3147.0489006986536</v>
      </c>
      <c r="I155" s="203">
        <v>262.25407505822119</v>
      </c>
      <c r="J155" s="221">
        <f>I155-I130</f>
        <v>3.0562640055222801E-3</v>
      </c>
      <c r="K155" s="668"/>
      <c r="L155" s="669"/>
      <c r="M155" s="189"/>
      <c r="N155" s="178"/>
      <c r="O155" s="178"/>
      <c r="P155" s="429"/>
      <c r="Q155" s="429"/>
      <c r="R155" s="178"/>
    </row>
    <row r="156" spans="1:18" ht="15.75" customHeight="1">
      <c r="A156" s="672"/>
      <c r="B156" s="673"/>
      <c r="C156" s="204" t="s">
        <v>207</v>
      </c>
      <c r="D156" s="668" t="s">
        <v>351</v>
      </c>
      <c r="E156" s="669"/>
      <c r="F156" s="669"/>
      <c r="G156" s="200">
        <v>12</v>
      </c>
      <c r="H156" s="202">
        <v>3147.1343289887091</v>
      </c>
      <c r="I156" s="203">
        <v>262.26119408239236</v>
      </c>
      <c r="J156" s="221">
        <f>I156-I129</f>
        <v>1.9772209279835806E-2</v>
      </c>
      <c r="K156" s="668"/>
      <c r="L156" s="669"/>
      <c r="M156" s="189"/>
      <c r="N156" s="178"/>
      <c r="O156" s="178"/>
      <c r="P156" s="429"/>
      <c r="Q156" s="429"/>
      <c r="R156" s="178"/>
    </row>
    <row r="157" spans="1:18" ht="15.75" customHeight="1">
      <c r="A157" s="672"/>
      <c r="B157" s="673"/>
      <c r="C157" s="204" t="s">
        <v>212</v>
      </c>
      <c r="D157" s="668" t="s">
        <v>352</v>
      </c>
      <c r="E157" s="669"/>
      <c r="F157" s="669"/>
      <c r="G157" s="200">
        <v>12</v>
      </c>
      <c r="H157" s="202">
        <v>3147.3181783382001</v>
      </c>
      <c r="I157" s="203">
        <v>262.27651486151672</v>
      </c>
      <c r="J157" s="221">
        <f>I157-I131</f>
        <v>9.6322950178659994E-3</v>
      </c>
      <c r="K157" s="668"/>
      <c r="L157" s="669"/>
      <c r="M157" s="189"/>
      <c r="N157" s="178"/>
      <c r="O157" s="178"/>
      <c r="P157" s="429"/>
      <c r="Q157" s="429"/>
      <c r="R157" s="178"/>
    </row>
    <row r="158" spans="1:18" ht="15.75" customHeight="1">
      <c r="A158" s="672"/>
      <c r="B158" s="673"/>
      <c r="C158" s="204" t="s">
        <v>213</v>
      </c>
      <c r="D158" s="668" t="s">
        <v>350</v>
      </c>
      <c r="E158" s="669"/>
      <c r="F158" s="669"/>
      <c r="G158" s="200">
        <v>11</v>
      </c>
      <c r="H158" s="202">
        <v>3182.7206885116507</v>
      </c>
      <c r="I158" s="203">
        <v>289.33824441015003</v>
      </c>
      <c r="J158" s="221">
        <f>I158-I132</f>
        <v>7.7712235357012105E-2</v>
      </c>
      <c r="K158" s="668"/>
      <c r="L158" s="669"/>
      <c r="M158" s="189"/>
      <c r="N158" s="178"/>
      <c r="O158" s="178"/>
      <c r="P158" s="429"/>
      <c r="Q158" s="429"/>
      <c r="R158" s="178"/>
    </row>
  </sheetData>
  <mergeCells count="313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8:F78"/>
    <mergeCell ref="K78:L78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A34:A43"/>
    <mergeCell ref="B34:B43"/>
    <mergeCell ref="D34:F34"/>
    <mergeCell ref="D35:F35"/>
    <mergeCell ref="D36:F36"/>
    <mergeCell ref="D37:F37"/>
    <mergeCell ref="D38:F38"/>
    <mergeCell ref="D39:F39"/>
    <mergeCell ref="D40:F40"/>
    <mergeCell ref="D41:F41"/>
    <mergeCell ref="A55:L56"/>
    <mergeCell ref="A57:A58"/>
    <mergeCell ref="A59:B59"/>
    <mergeCell ref="D59:F59"/>
    <mergeCell ref="K59:L59"/>
    <mergeCell ref="K54:L54"/>
    <mergeCell ref="D77:F77"/>
    <mergeCell ref="K77:L77"/>
    <mergeCell ref="K47:L47"/>
    <mergeCell ref="K48:L48"/>
    <mergeCell ref="K49:L49"/>
    <mergeCell ref="K50:L50"/>
    <mergeCell ref="A18:B18"/>
    <mergeCell ref="D18:F18"/>
    <mergeCell ref="K18:L18"/>
    <mergeCell ref="A19:A28"/>
    <mergeCell ref="K26:L26"/>
    <mergeCell ref="A29:L30"/>
    <mergeCell ref="A31:A32"/>
    <mergeCell ref="A33:B33"/>
    <mergeCell ref="D33:F33"/>
    <mergeCell ref="K33:L33"/>
    <mergeCell ref="A1:L2"/>
    <mergeCell ref="K14:L14"/>
    <mergeCell ref="D15:F15"/>
    <mergeCell ref="K15:L15"/>
    <mergeCell ref="D16:F16"/>
    <mergeCell ref="D12:F12"/>
    <mergeCell ref="K12:L12"/>
    <mergeCell ref="D13:F13"/>
    <mergeCell ref="K13:L13"/>
    <mergeCell ref="D14:F14"/>
    <mergeCell ref="K16:L1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7:F17"/>
    <mergeCell ref="K17:L17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K27:L27"/>
    <mergeCell ref="D28:F28"/>
    <mergeCell ref="K28:L28"/>
    <mergeCell ref="D25:F25"/>
    <mergeCell ref="K25:L25"/>
    <mergeCell ref="D26:F26"/>
    <mergeCell ref="D42:F42"/>
    <mergeCell ref="D43:F43"/>
    <mergeCell ref="K34:L34"/>
    <mergeCell ref="K35:L35"/>
    <mergeCell ref="K36:L36"/>
    <mergeCell ref="K37:L37"/>
    <mergeCell ref="K38:L38"/>
    <mergeCell ref="K39:L39"/>
    <mergeCell ref="K40:L40"/>
    <mergeCell ref="K42:L42"/>
    <mergeCell ref="K43:L43"/>
    <mergeCell ref="K41:L41"/>
    <mergeCell ref="K144:L144"/>
    <mergeCell ref="D145:F145"/>
    <mergeCell ref="K145:L145"/>
    <mergeCell ref="D146:F146"/>
    <mergeCell ref="K44:L44"/>
    <mergeCell ref="A45:A54"/>
    <mergeCell ref="B45:B5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A44:B44"/>
    <mergeCell ref="D44:F44"/>
    <mergeCell ref="K53:L53"/>
    <mergeCell ref="K51:L51"/>
    <mergeCell ref="K52:L52"/>
    <mergeCell ref="K45:L45"/>
    <mergeCell ref="K46:L46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92D050"/>
    <outlinePr summaryBelow="0" summaryRight="0"/>
  </sheetPr>
  <dimension ref="A1:R158"/>
  <sheetViews>
    <sheetView view="pageBreakPreview" topLeftCell="A131" zoomScale="115" zoomScaleNormal="60" zoomScaleSheetLayoutView="115" workbookViewId="0">
      <selection activeCell="M133" sqref="A133:XFD134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7" t="s">
        <v>386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99"/>
    </row>
    <row r="2" spans="1:18" s="100" customFormat="1" ht="15.75" customHeight="1">
      <c r="A2" s="507"/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N2" s="190"/>
      <c r="O2" s="190"/>
      <c r="P2" s="190"/>
      <c r="Q2" s="190"/>
      <c r="R2" s="190"/>
    </row>
    <row r="3" spans="1:18" s="189" customFormat="1" ht="15.75" customHeight="1">
      <c r="A3" s="674" t="s">
        <v>558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</row>
    <row r="4" spans="1:18" s="190" customFormat="1" ht="15.75" customHeight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</row>
    <row r="5" spans="1:18" s="178" customFormat="1" ht="16.399999999999999" customHeight="1">
      <c r="A5" s="672" t="s">
        <v>164</v>
      </c>
      <c r="B5" s="170">
        <v>1</v>
      </c>
      <c r="C5" s="170">
        <v>2</v>
      </c>
      <c r="D5" s="191">
        <v>3</v>
      </c>
      <c r="E5" s="191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s="189" customFormat="1" ht="16.399999999999999" customHeight="1">
      <c r="A6" s="672"/>
      <c r="B6" s="195" t="s">
        <v>208</v>
      </c>
      <c r="C6" s="195" t="s">
        <v>157</v>
      </c>
      <c r="D6" s="194" t="s">
        <v>209</v>
      </c>
      <c r="E6" s="194" t="s">
        <v>158</v>
      </c>
      <c r="F6" s="195" t="s">
        <v>357</v>
      </c>
      <c r="G6" s="196" t="s">
        <v>137</v>
      </c>
      <c r="H6" s="197" t="s">
        <v>210</v>
      </c>
      <c r="I6" s="196" t="s">
        <v>387</v>
      </c>
      <c r="J6" s="196" t="s">
        <v>143</v>
      </c>
      <c r="K6" s="198"/>
      <c r="L6" s="198"/>
      <c r="M6" s="190"/>
      <c r="N6" s="199"/>
      <c r="O6" s="199"/>
      <c r="P6" s="199"/>
      <c r="Q6" s="199"/>
      <c r="R6" s="199"/>
    </row>
    <row r="7" spans="1:18" s="178" customFormat="1" ht="15.75" customHeight="1">
      <c r="A7" s="673" t="s">
        <v>190</v>
      </c>
      <c r="B7" s="673"/>
      <c r="C7" s="160" t="s">
        <v>47</v>
      </c>
      <c r="D7" s="673" t="s">
        <v>12</v>
      </c>
      <c r="E7" s="675"/>
      <c r="F7" s="675"/>
      <c r="G7" s="160" t="s">
        <v>46</v>
      </c>
      <c r="H7" s="160" t="s">
        <v>388</v>
      </c>
      <c r="I7" s="160" t="s">
        <v>389</v>
      </c>
      <c r="J7" s="160" t="s">
        <v>334</v>
      </c>
      <c r="K7" s="673" t="s">
        <v>51</v>
      </c>
      <c r="L7" s="675"/>
      <c r="M7" s="193"/>
      <c r="N7" s="189"/>
      <c r="O7" s="199"/>
      <c r="P7" s="430"/>
      <c r="Q7" s="430"/>
      <c r="R7" s="199"/>
    </row>
    <row r="8" spans="1:18" s="189" customFormat="1" ht="15.75" customHeight="1">
      <c r="A8" s="672">
        <v>3</v>
      </c>
      <c r="B8" s="673" t="s">
        <v>391</v>
      </c>
      <c r="C8" s="200">
        <v>1</v>
      </c>
      <c r="D8" s="668" t="s">
        <v>608</v>
      </c>
      <c r="E8" s="669"/>
      <c r="F8" s="669"/>
      <c r="G8" s="200">
        <v>6</v>
      </c>
      <c r="H8" s="202">
        <v>3096.0077200792798</v>
      </c>
      <c r="I8" s="203">
        <v>516.00128667987997</v>
      </c>
      <c r="J8" s="221"/>
      <c r="K8" s="686" t="s">
        <v>612</v>
      </c>
      <c r="L8" s="683"/>
      <c r="M8" s="190"/>
      <c r="O8" s="199"/>
      <c r="P8" s="430"/>
      <c r="Q8" s="430"/>
      <c r="R8" s="199"/>
    </row>
    <row r="9" spans="1:18" s="189" customFormat="1" ht="15.75" customHeight="1">
      <c r="A9" s="672"/>
      <c r="B9" s="673"/>
      <c r="C9" s="200">
        <v>2</v>
      </c>
      <c r="D9" s="668" t="s">
        <v>356</v>
      </c>
      <c r="E9" s="669"/>
      <c r="F9" s="669"/>
      <c r="G9" s="200">
        <v>21.571428571428573</v>
      </c>
      <c r="H9" s="202">
        <v>2565.6296690448612</v>
      </c>
      <c r="I9" s="203">
        <v>118.92391952790344</v>
      </c>
      <c r="J9" s="221">
        <v>0.38561758991831141</v>
      </c>
      <c r="K9" s="682" t="s">
        <v>464</v>
      </c>
      <c r="L9" s="683"/>
      <c r="M9" s="190"/>
      <c r="O9" s="199"/>
      <c r="P9" s="430"/>
      <c r="Q9" s="430"/>
      <c r="R9" s="199"/>
    </row>
    <row r="10" spans="1:18" s="189" customFormat="1" ht="15.75" customHeight="1">
      <c r="A10" s="672"/>
      <c r="B10" s="673"/>
      <c r="C10" s="200">
        <v>3</v>
      </c>
      <c r="D10" s="668"/>
      <c r="E10" s="669"/>
      <c r="F10" s="669"/>
      <c r="G10" s="200"/>
      <c r="H10" s="202"/>
      <c r="I10" s="203"/>
      <c r="J10" s="221"/>
      <c r="K10" s="682"/>
      <c r="L10" s="683"/>
      <c r="M10" s="190"/>
      <c r="O10" s="199"/>
      <c r="P10" s="430"/>
      <c r="Q10" s="430"/>
      <c r="R10" s="199"/>
    </row>
    <row r="11" spans="1:18" s="189" customFormat="1" ht="15.75" customHeight="1">
      <c r="A11" s="672"/>
      <c r="B11" s="673"/>
      <c r="C11" s="200">
        <v>4</v>
      </c>
      <c r="D11" s="668"/>
      <c r="E11" s="669"/>
      <c r="F11" s="669"/>
      <c r="G11" s="200"/>
      <c r="H11" s="202"/>
      <c r="I11" s="203"/>
      <c r="J11" s="200"/>
      <c r="K11" s="668"/>
      <c r="L11" s="669"/>
      <c r="M11" s="190"/>
      <c r="O11" s="199"/>
      <c r="P11" s="430"/>
      <c r="Q11" s="430"/>
      <c r="R11" s="199"/>
    </row>
    <row r="12" spans="1:18" s="189" customFormat="1" ht="15.75" customHeight="1">
      <c r="A12" s="672"/>
      <c r="B12" s="673"/>
      <c r="C12" s="200">
        <v>5</v>
      </c>
      <c r="D12" s="668"/>
      <c r="E12" s="669"/>
      <c r="F12" s="669"/>
      <c r="G12" s="200"/>
      <c r="H12" s="202"/>
      <c r="I12" s="203"/>
      <c r="J12" s="200"/>
      <c r="K12" s="668"/>
      <c r="L12" s="669"/>
      <c r="M12" s="190"/>
      <c r="O12" s="199"/>
      <c r="P12" s="430"/>
      <c r="Q12" s="430"/>
      <c r="R12" s="199"/>
    </row>
    <row r="13" spans="1:18" s="189" customFormat="1" ht="15.75" customHeight="1">
      <c r="A13" s="672"/>
      <c r="B13" s="673"/>
      <c r="C13" s="204" t="s">
        <v>206</v>
      </c>
      <c r="D13" s="668"/>
      <c r="E13" s="669"/>
      <c r="F13" s="669"/>
      <c r="G13" s="200"/>
      <c r="H13" s="202"/>
      <c r="I13" s="203"/>
      <c r="J13" s="200"/>
      <c r="K13" s="668"/>
      <c r="L13" s="669"/>
      <c r="M13" s="190"/>
      <c r="O13" s="199"/>
      <c r="P13" s="430"/>
      <c r="Q13" s="430"/>
      <c r="R13" s="199"/>
    </row>
    <row r="14" spans="1:18" s="189" customFormat="1" ht="15.75" customHeight="1">
      <c r="A14" s="672"/>
      <c r="B14" s="673"/>
      <c r="C14" s="204" t="s">
        <v>211</v>
      </c>
      <c r="D14" s="668"/>
      <c r="E14" s="669"/>
      <c r="F14" s="669"/>
      <c r="G14" s="200"/>
      <c r="H14" s="202"/>
      <c r="I14" s="203"/>
      <c r="J14" s="200"/>
      <c r="K14" s="668"/>
      <c r="L14" s="669"/>
      <c r="M14" s="190"/>
      <c r="N14" s="178"/>
      <c r="O14" s="178"/>
      <c r="P14" s="429"/>
      <c r="Q14" s="429"/>
      <c r="R14" s="178"/>
    </row>
    <row r="15" spans="1:18" s="189" customFormat="1" ht="15.75" customHeight="1">
      <c r="A15" s="672"/>
      <c r="B15" s="673"/>
      <c r="C15" s="204" t="s">
        <v>207</v>
      </c>
      <c r="D15" s="668"/>
      <c r="E15" s="669"/>
      <c r="F15" s="669"/>
      <c r="G15" s="202"/>
      <c r="H15" s="202"/>
      <c r="I15" s="203"/>
      <c r="J15" s="200"/>
      <c r="K15" s="668"/>
      <c r="L15" s="669"/>
      <c r="M15" s="190"/>
      <c r="O15" s="199"/>
      <c r="P15" s="430"/>
      <c r="Q15" s="430"/>
      <c r="R15" s="199"/>
    </row>
    <row r="16" spans="1:18" s="189" customFormat="1" ht="15.75" customHeight="1">
      <c r="A16" s="672"/>
      <c r="B16" s="673"/>
      <c r="C16" s="204" t="s">
        <v>212</v>
      </c>
      <c r="D16" s="668"/>
      <c r="E16" s="669"/>
      <c r="F16" s="669"/>
      <c r="G16" s="200"/>
      <c r="H16" s="202"/>
      <c r="I16" s="203"/>
      <c r="J16" s="200"/>
      <c r="K16" s="668"/>
      <c r="L16" s="669"/>
      <c r="O16" s="199"/>
      <c r="P16" s="430"/>
      <c r="Q16" s="430"/>
      <c r="R16" s="199"/>
    </row>
    <row r="17" spans="1:18" s="189" customFormat="1" ht="15.75" customHeight="1">
      <c r="A17" s="672"/>
      <c r="B17" s="673"/>
      <c r="C17" s="204" t="s">
        <v>213</v>
      </c>
      <c r="D17" s="668"/>
      <c r="E17" s="669"/>
      <c r="F17" s="669"/>
      <c r="G17" s="200"/>
      <c r="H17" s="202"/>
      <c r="I17" s="203"/>
      <c r="J17" s="200"/>
      <c r="K17" s="668"/>
      <c r="L17" s="669"/>
      <c r="O17" s="199"/>
      <c r="P17" s="430"/>
      <c r="Q17" s="430"/>
      <c r="R17" s="199"/>
    </row>
    <row r="18" spans="1:18" s="199" customFormat="1" ht="15.75" customHeight="1">
      <c r="A18" s="670" t="s">
        <v>190</v>
      </c>
      <c r="B18" s="670"/>
      <c r="C18" s="207" t="s">
        <v>47</v>
      </c>
      <c r="D18" s="670" t="s">
        <v>12</v>
      </c>
      <c r="E18" s="671"/>
      <c r="F18" s="671"/>
      <c r="G18" s="207" t="s">
        <v>46</v>
      </c>
      <c r="H18" s="207" t="s">
        <v>388</v>
      </c>
      <c r="I18" s="207" t="s">
        <v>389</v>
      </c>
      <c r="J18" s="160" t="s">
        <v>334</v>
      </c>
      <c r="K18" s="670" t="s">
        <v>51</v>
      </c>
      <c r="L18" s="671"/>
      <c r="M18" s="208"/>
      <c r="N18" s="189"/>
      <c r="P18" s="430"/>
      <c r="Q18" s="430"/>
    </row>
    <row r="19" spans="1:18" s="189" customFormat="1" ht="15.75" customHeight="1">
      <c r="A19" s="672">
        <v>4</v>
      </c>
      <c r="B19" s="673" t="s">
        <v>158</v>
      </c>
      <c r="C19" s="200">
        <v>1</v>
      </c>
      <c r="D19" s="668" t="s">
        <v>537</v>
      </c>
      <c r="E19" s="669"/>
      <c r="F19" s="669"/>
      <c r="G19" s="200">
        <v>6</v>
      </c>
      <c r="H19" s="202">
        <v>2961.6510978447559</v>
      </c>
      <c r="I19" s="203">
        <v>493.60851630745941</v>
      </c>
      <c r="J19" s="221">
        <v>7.9404761283342395E-2</v>
      </c>
      <c r="K19" s="682" t="s">
        <v>464</v>
      </c>
      <c r="L19" s="683"/>
      <c r="N19" s="199"/>
      <c r="O19" s="199"/>
      <c r="P19" s="430"/>
      <c r="Q19" s="430"/>
      <c r="R19" s="199"/>
    </row>
    <row r="20" spans="1:18" s="189" customFormat="1" ht="15.75" customHeight="1">
      <c r="A20" s="672"/>
      <c r="B20" s="673"/>
      <c r="C20" s="200">
        <v>2</v>
      </c>
      <c r="D20" s="668" t="s">
        <v>609</v>
      </c>
      <c r="E20" s="669"/>
      <c r="F20" s="669"/>
      <c r="G20" s="200">
        <v>6</v>
      </c>
      <c r="H20" s="202">
        <v>2812.7557149413815</v>
      </c>
      <c r="I20" s="203">
        <v>468.79261915689705</v>
      </c>
      <c r="J20" s="200"/>
      <c r="K20" s="685" t="s">
        <v>613</v>
      </c>
      <c r="L20" s="669"/>
      <c r="O20" s="199"/>
      <c r="P20" s="430"/>
      <c r="Q20" s="430"/>
      <c r="R20" s="199"/>
    </row>
    <row r="21" spans="1:18" s="189" customFormat="1" ht="15.75" customHeight="1">
      <c r="A21" s="672"/>
      <c r="B21" s="673"/>
      <c r="C21" s="200">
        <v>3</v>
      </c>
      <c r="D21" s="668"/>
      <c r="E21" s="669"/>
      <c r="F21" s="669"/>
      <c r="G21" s="200"/>
      <c r="H21" s="202"/>
      <c r="I21" s="203"/>
      <c r="J21" s="200"/>
      <c r="K21" s="668"/>
      <c r="L21" s="669"/>
      <c r="O21" s="199"/>
      <c r="P21" s="430"/>
      <c r="Q21" s="430"/>
      <c r="R21" s="199"/>
    </row>
    <row r="22" spans="1:18" s="189" customFormat="1" ht="15.75" customHeight="1">
      <c r="A22" s="672"/>
      <c r="B22" s="673"/>
      <c r="C22" s="200">
        <v>4</v>
      </c>
      <c r="D22" s="668"/>
      <c r="E22" s="669"/>
      <c r="F22" s="669"/>
      <c r="G22" s="200"/>
      <c r="H22" s="202"/>
      <c r="I22" s="203"/>
      <c r="J22" s="200"/>
      <c r="K22" s="668"/>
      <c r="L22" s="669"/>
      <c r="O22" s="199"/>
      <c r="P22" s="430"/>
      <c r="Q22" s="430"/>
      <c r="R22" s="199"/>
    </row>
    <row r="23" spans="1:18" s="189" customFormat="1" ht="15.75" customHeight="1">
      <c r="A23" s="672"/>
      <c r="B23" s="673"/>
      <c r="C23" s="200">
        <v>5</v>
      </c>
      <c r="D23" s="668"/>
      <c r="E23" s="669"/>
      <c r="F23" s="669"/>
      <c r="G23" s="200"/>
      <c r="H23" s="202"/>
      <c r="I23" s="203"/>
      <c r="J23" s="200"/>
      <c r="K23" s="668"/>
      <c r="L23" s="669"/>
      <c r="O23" s="199"/>
      <c r="P23" s="430"/>
      <c r="Q23" s="430"/>
      <c r="R23" s="199"/>
    </row>
    <row r="24" spans="1:18" s="189" customFormat="1" ht="15.75" customHeight="1">
      <c r="A24" s="672"/>
      <c r="B24" s="673"/>
      <c r="C24" s="204" t="s">
        <v>206</v>
      </c>
      <c r="D24" s="668"/>
      <c r="E24" s="669"/>
      <c r="F24" s="669"/>
      <c r="G24" s="200"/>
      <c r="H24" s="202"/>
      <c r="I24" s="203"/>
      <c r="J24" s="200"/>
      <c r="K24" s="668"/>
      <c r="L24" s="669"/>
      <c r="O24" s="199"/>
      <c r="P24" s="430"/>
      <c r="Q24" s="430"/>
      <c r="R24" s="199"/>
    </row>
    <row r="25" spans="1:18" s="189" customFormat="1" ht="15.75" customHeight="1">
      <c r="A25" s="672"/>
      <c r="B25" s="673"/>
      <c r="C25" s="204" t="s">
        <v>211</v>
      </c>
      <c r="D25" s="668"/>
      <c r="E25" s="669"/>
      <c r="F25" s="669"/>
      <c r="G25" s="200"/>
      <c r="H25" s="202"/>
      <c r="I25" s="203"/>
      <c r="J25" s="200"/>
      <c r="K25" s="668"/>
      <c r="L25" s="669"/>
      <c r="O25" s="199"/>
      <c r="P25" s="430"/>
      <c r="Q25" s="430"/>
      <c r="R25" s="199"/>
    </row>
    <row r="26" spans="1:18" s="189" customFormat="1" ht="15.75" customHeight="1">
      <c r="A26" s="672"/>
      <c r="B26" s="673"/>
      <c r="C26" s="204" t="s">
        <v>207</v>
      </c>
      <c r="D26" s="668"/>
      <c r="E26" s="669"/>
      <c r="F26" s="669"/>
      <c r="G26" s="200"/>
      <c r="H26" s="202"/>
      <c r="I26" s="203"/>
      <c r="J26" s="200"/>
      <c r="K26" s="668"/>
      <c r="L26" s="669"/>
      <c r="O26" s="199"/>
      <c r="P26" s="430"/>
      <c r="Q26" s="430"/>
      <c r="R26" s="199"/>
    </row>
    <row r="27" spans="1:18" s="189" customFormat="1" ht="15.75" customHeight="1">
      <c r="A27" s="672"/>
      <c r="B27" s="673"/>
      <c r="C27" s="204" t="s">
        <v>212</v>
      </c>
      <c r="D27" s="668"/>
      <c r="E27" s="669"/>
      <c r="F27" s="669"/>
      <c r="G27" s="200"/>
      <c r="H27" s="202"/>
      <c r="I27" s="203"/>
      <c r="J27" s="200"/>
      <c r="K27" s="668"/>
      <c r="L27" s="669"/>
      <c r="O27" s="199"/>
      <c r="P27" s="430"/>
      <c r="Q27" s="430"/>
      <c r="R27" s="199"/>
    </row>
    <row r="28" spans="1:18" s="189" customFormat="1" ht="15.75" customHeight="1">
      <c r="A28" s="672"/>
      <c r="B28" s="673"/>
      <c r="C28" s="204" t="s">
        <v>213</v>
      </c>
      <c r="D28" s="668"/>
      <c r="E28" s="669"/>
      <c r="F28" s="669"/>
      <c r="G28" s="200"/>
      <c r="H28" s="202"/>
      <c r="I28" s="203"/>
      <c r="J28" s="200"/>
      <c r="K28" s="668"/>
      <c r="L28" s="669"/>
      <c r="O28" s="199"/>
      <c r="P28" s="430"/>
      <c r="Q28" s="430"/>
      <c r="R28" s="199"/>
    </row>
    <row r="29" spans="1:18" s="189" customFormat="1" ht="15.75" customHeight="1">
      <c r="A29" s="674" t="s">
        <v>617</v>
      </c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</row>
    <row r="30" spans="1:18" s="190" customFormat="1" ht="15.75" customHeight="1">
      <c r="A30" s="674"/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</row>
    <row r="31" spans="1:18" s="178" customFormat="1" ht="16.399999999999999" customHeight="1">
      <c r="A31" s="672" t="s">
        <v>164</v>
      </c>
      <c r="B31" s="170">
        <v>1</v>
      </c>
      <c r="C31" s="170">
        <v>2</v>
      </c>
      <c r="D31" s="191">
        <v>3</v>
      </c>
      <c r="E31" s="191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s="189" customFormat="1" ht="16.399999999999999" customHeight="1">
      <c r="A32" s="672"/>
      <c r="B32" s="195" t="s">
        <v>208</v>
      </c>
      <c r="C32" s="195" t="s">
        <v>157</v>
      </c>
      <c r="D32" s="194" t="s">
        <v>209</v>
      </c>
      <c r="E32" s="194" t="s">
        <v>158</v>
      </c>
      <c r="F32" s="195" t="s">
        <v>357</v>
      </c>
      <c r="G32" s="196" t="s">
        <v>137</v>
      </c>
      <c r="H32" s="197" t="s">
        <v>210</v>
      </c>
      <c r="I32" s="196" t="s">
        <v>387</v>
      </c>
      <c r="J32" s="196" t="s">
        <v>143</v>
      </c>
      <c r="K32" s="198"/>
      <c r="L32" s="198"/>
      <c r="M32" s="190"/>
      <c r="N32" s="199"/>
      <c r="O32" s="199"/>
      <c r="P32" s="199"/>
      <c r="Q32" s="199"/>
      <c r="R32" s="199"/>
    </row>
    <row r="33" spans="1:18" s="178" customFormat="1" ht="15.75" customHeight="1">
      <c r="A33" s="673" t="s">
        <v>190</v>
      </c>
      <c r="B33" s="673"/>
      <c r="C33" s="160" t="s">
        <v>47</v>
      </c>
      <c r="D33" s="673" t="s">
        <v>12</v>
      </c>
      <c r="E33" s="675"/>
      <c r="F33" s="675"/>
      <c r="G33" s="160" t="s">
        <v>46</v>
      </c>
      <c r="H33" s="160" t="s">
        <v>388</v>
      </c>
      <c r="I33" s="160" t="s">
        <v>389</v>
      </c>
      <c r="J33" s="160" t="s">
        <v>334</v>
      </c>
      <c r="K33" s="673" t="s">
        <v>51</v>
      </c>
      <c r="L33" s="675"/>
      <c r="M33" s="193"/>
      <c r="N33" s="189"/>
      <c r="O33" s="199"/>
      <c r="P33" s="430"/>
      <c r="Q33" s="430"/>
      <c r="R33" s="199"/>
    </row>
    <row r="34" spans="1:18" s="189" customFormat="1" ht="15.75" customHeight="1">
      <c r="A34" s="672">
        <v>3</v>
      </c>
      <c r="B34" s="673" t="s">
        <v>391</v>
      </c>
      <c r="C34" s="200">
        <v>1</v>
      </c>
      <c r="D34" s="668" t="s">
        <v>608</v>
      </c>
      <c r="E34" s="669"/>
      <c r="F34" s="669"/>
      <c r="G34" s="200">
        <v>6</v>
      </c>
      <c r="H34" s="202">
        <v>3251.0623903457367</v>
      </c>
      <c r="I34" s="203">
        <v>541.84373172428934</v>
      </c>
      <c r="J34" s="221">
        <f>I34-I8</f>
        <v>25.842445044409374</v>
      </c>
      <c r="K34" s="678" t="s">
        <v>464</v>
      </c>
      <c r="L34" s="679"/>
      <c r="M34" s="190"/>
      <c r="O34" s="199"/>
      <c r="P34" s="430"/>
      <c r="Q34" s="430"/>
      <c r="R34" s="199"/>
    </row>
    <row r="35" spans="1:18" s="189" customFormat="1" ht="15.75" customHeight="1">
      <c r="A35" s="672"/>
      <c r="B35" s="673"/>
      <c r="C35" s="200">
        <v>2</v>
      </c>
      <c r="D35" s="668" t="s">
        <v>356</v>
      </c>
      <c r="E35" s="669"/>
      <c r="F35" s="669"/>
      <c r="G35" s="200">
        <v>22.142857142857142</v>
      </c>
      <c r="H35" s="202">
        <v>2655.1279573822417</v>
      </c>
      <c r="I35" s="203">
        <v>119.8627617492419</v>
      </c>
      <c r="J35" s="221">
        <f>I35-I9</f>
        <v>0.93884222133846151</v>
      </c>
      <c r="K35" s="678" t="s">
        <v>464</v>
      </c>
      <c r="L35" s="679"/>
      <c r="M35" s="190"/>
      <c r="O35" s="199"/>
      <c r="P35" s="430"/>
      <c r="Q35" s="430"/>
      <c r="R35" s="199"/>
    </row>
    <row r="36" spans="1:18" s="189" customFormat="1" ht="15.75" customHeight="1">
      <c r="A36" s="672"/>
      <c r="B36" s="673"/>
      <c r="C36" s="200">
        <v>3</v>
      </c>
      <c r="D36" s="668"/>
      <c r="E36" s="669"/>
      <c r="F36" s="669"/>
      <c r="G36" s="200"/>
      <c r="H36" s="202"/>
      <c r="I36" s="203"/>
      <c r="J36" s="221"/>
      <c r="K36" s="682"/>
      <c r="L36" s="683"/>
      <c r="M36" s="190"/>
      <c r="O36" s="199"/>
      <c r="P36" s="430"/>
      <c r="Q36" s="430"/>
      <c r="R36" s="199"/>
    </row>
    <row r="37" spans="1:18" s="189" customFormat="1" ht="15.75" customHeight="1">
      <c r="A37" s="672"/>
      <c r="B37" s="673"/>
      <c r="C37" s="200">
        <v>4</v>
      </c>
      <c r="D37" s="668"/>
      <c r="E37" s="669"/>
      <c r="F37" s="669"/>
      <c r="G37" s="200"/>
      <c r="H37" s="202"/>
      <c r="I37" s="203"/>
      <c r="J37" s="200"/>
      <c r="K37" s="668"/>
      <c r="L37" s="669"/>
      <c r="M37" s="190"/>
      <c r="O37" s="199"/>
      <c r="P37" s="430"/>
      <c r="Q37" s="430"/>
      <c r="R37" s="199"/>
    </row>
    <row r="38" spans="1:18" s="189" customFormat="1" ht="15.75" customHeight="1">
      <c r="A38" s="672"/>
      <c r="B38" s="673"/>
      <c r="C38" s="200">
        <v>5</v>
      </c>
      <c r="D38" s="668"/>
      <c r="E38" s="669"/>
      <c r="F38" s="669"/>
      <c r="G38" s="200"/>
      <c r="H38" s="202"/>
      <c r="I38" s="203"/>
      <c r="J38" s="200"/>
      <c r="K38" s="668"/>
      <c r="L38" s="669"/>
      <c r="M38" s="190"/>
      <c r="O38" s="199"/>
      <c r="P38" s="430"/>
      <c r="Q38" s="430"/>
      <c r="R38" s="199"/>
    </row>
    <row r="39" spans="1:18" s="189" customFormat="1" ht="15.75" customHeight="1">
      <c r="A39" s="672"/>
      <c r="B39" s="673"/>
      <c r="C39" s="204" t="s">
        <v>206</v>
      </c>
      <c r="D39" s="668"/>
      <c r="E39" s="669"/>
      <c r="F39" s="669"/>
      <c r="G39" s="200"/>
      <c r="H39" s="202"/>
      <c r="I39" s="203"/>
      <c r="J39" s="200"/>
      <c r="K39" s="668"/>
      <c r="L39" s="669"/>
      <c r="M39" s="190"/>
      <c r="O39" s="199"/>
      <c r="P39" s="430"/>
      <c r="Q39" s="430"/>
      <c r="R39" s="199"/>
    </row>
    <row r="40" spans="1:18" s="189" customFormat="1" ht="15.75" customHeight="1">
      <c r="A40" s="672"/>
      <c r="B40" s="673"/>
      <c r="C40" s="204" t="s">
        <v>211</v>
      </c>
      <c r="D40" s="668"/>
      <c r="E40" s="669"/>
      <c r="F40" s="669"/>
      <c r="G40" s="200"/>
      <c r="H40" s="202"/>
      <c r="I40" s="203"/>
      <c r="J40" s="200"/>
      <c r="K40" s="668"/>
      <c r="L40" s="669"/>
      <c r="M40" s="190"/>
      <c r="N40" s="178"/>
      <c r="O40" s="178"/>
      <c r="P40" s="429"/>
      <c r="Q40" s="429"/>
      <c r="R40" s="178"/>
    </row>
    <row r="41" spans="1:18" s="189" customFormat="1" ht="15.75" customHeight="1">
      <c r="A41" s="672"/>
      <c r="B41" s="673"/>
      <c r="C41" s="204" t="s">
        <v>207</v>
      </c>
      <c r="D41" s="668"/>
      <c r="E41" s="669"/>
      <c r="F41" s="669"/>
      <c r="G41" s="202"/>
      <c r="H41" s="202"/>
      <c r="I41" s="203"/>
      <c r="J41" s="200"/>
      <c r="K41" s="668"/>
      <c r="L41" s="669"/>
      <c r="M41" s="190"/>
      <c r="O41" s="199"/>
      <c r="P41" s="430"/>
      <c r="Q41" s="430"/>
      <c r="R41" s="199"/>
    </row>
    <row r="42" spans="1:18" s="189" customFormat="1" ht="15.75" customHeight="1">
      <c r="A42" s="672"/>
      <c r="B42" s="673"/>
      <c r="C42" s="204" t="s">
        <v>212</v>
      </c>
      <c r="D42" s="668"/>
      <c r="E42" s="669"/>
      <c r="F42" s="669"/>
      <c r="G42" s="200"/>
      <c r="H42" s="202"/>
      <c r="I42" s="203"/>
      <c r="J42" s="200"/>
      <c r="K42" s="668"/>
      <c r="L42" s="669"/>
      <c r="O42" s="199"/>
      <c r="P42" s="430"/>
      <c r="Q42" s="430"/>
      <c r="R42" s="199"/>
    </row>
    <row r="43" spans="1:18" s="189" customFormat="1" ht="15.75" customHeight="1">
      <c r="A43" s="672"/>
      <c r="B43" s="673"/>
      <c r="C43" s="204" t="s">
        <v>213</v>
      </c>
      <c r="D43" s="668"/>
      <c r="E43" s="669"/>
      <c r="F43" s="669"/>
      <c r="G43" s="200"/>
      <c r="H43" s="202"/>
      <c r="I43" s="203"/>
      <c r="J43" s="200"/>
      <c r="K43" s="668"/>
      <c r="L43" s="669"/>
      <c r="O43" s="199"/>
      <c r="P43" s="430"/>
      <c r="Q43" s="430"/>
      <c r="R43" s="199"/>
    </row>
    <row r="44" spans="1:18" s="199" customFormat="1" ht="15.75" customHeight="1">
      <c r="A44" s="670" t="s">
        <v>190</v>
      </c>
      <c r="B44" s="670"/>
      <c r="C44" s="207" t="s">
        <v>47</v>
      </c>
      <c r="D44" s="670" t="s">
        <v>12</v>
      </c>
      <c r="E44" s="671"/>
      <c r="F44" s="671"/>
      <c r="G44" s="207" t="s">
        <v>46</v>
      </c>
      <c r="H44" s="207" t="s">
        <v>388</v>
      </c>
      <c r="I44" s="207" t="s">
        <v>389</v>
      </c>
      <c r="J44" s="160" t="s">
        <v>334</v>
      </c>
      <c r="K44" s="670" t="s">
        <v>51</v>
      </c>
      <c r="L44" s="671"/>
      <c r="M44" s="208"/>
      <c r="N44" s="189"/>
      <c r="P44" s="430"/>
      <c r="Q44" s="430"/>
    </row>
    <row r="45" spans="1:18" s="189" customFormat="1" ht="15.75" customHeight="1">
      <c r="A45" s="672">
        <v>4</v>
      </c>
      <c r="B45" s="673" t="s">
        <v>158</v>
      </c>
      <c r="C45" s="200">
        <v>1</v>
      </c>
      <c r="D45" s="668" t="s">
        <v>609</v>
      </c>
      <c r="E45" s="669"/>
      <c r="F45" s="669"/>
      <c r="G45" s="200">
        <v>6</v>
      </c>
      <c r="H45" s="202">
        <v>2962.5124191531067</v>
      </c>
      <c r="I45" s="203">
        <v>493.75206985885114</v>
      </c>
      <c r="J45" s="221">
        <f>I45-I20</f>
        <v>24.959450701954097</v>
      </c>
      <c r="K45" s="678" t="s">
        <v>464</v>
      </c>
      <c r="L45" s="679"/>
      <c r="N45" s="199"/>
      <c r="O45" s="199"/>
      <c r="P45" s="430"/>
      <c r="Q45" s="430"/>
      <c r="R45" s="199"/>
    </row>
    <row r="46" spans="1:18" s="189" customFormat="1" ht="15.75" customHeight="1">
      <c r="A46" s="672"/>
      <c r="B46" s="673"/>
      <c r="C46" s="200">
        <v>2</v>
      </c>
      <c r="D46" s="668" t="s">
        <v>537</v>
      </c>
      <c r="E46" s="669"/>
      <c r="F46" s="669"/>
      <c r="G46" s="200">
        <v>6</v>
      </c>
      <c r="H46" s="202">
        <v>2961.9147244211053</v>
      </c>
      <c r="I46" s="203">
        <v>493.65245407018432</v>
      </c>
      <c r="J46" s="221">
        <f>I46-I19</f>
        <v>4.393776272490868E-2</v>
      </c>
      <c r="K46" s="678" t="s">
        <v>464</v>
      </c>
      <c r="L46" s="679"/>
      <c r="O46" s="199"/>
      <c r="P46" s="430"/>
      <c r="Q46" s="430"/>
      <c r="R46" s="199"/>
    </row>
    <row r="47" spans="1:18" s="189" customFormat="1" ht="15.75" customHeight="1">
      <c r="A47" s="672"/>
      <c r="B47" s="673"/>
      <c r="C47" s="200">
        <v>3</v>
      </c>
      <c r="D47" s="668"/>
      <c r="E47" s="669"/>
      <c r="F47" s="669"/>
      <c r="G47" s="200"/>
      <c r="H47" s="202"/>
      <c r="I47" s="203"/>
      <c r="J47" s="200"/>
      <c r="K47" s="668"/>
      <c r="L47" s="669"/>
      <c r="O47" s="199"/>
      <c r="P47" s="430"/>
      <c r="Q47" s="430"/>
      <c r="R47" s="199"/>
    </row>
    <row r="48" spans="1:18" s="189" customFormat="1" ht="15.75" customHeight="1">
      <c r="A48" s="672"/>
      <c r="B48" s="673"/>
      <c r="C48" s="200">
        <v>4</v>
      </c>
      <c r="D48" s="668"/>
      <c r="E48" s="669"/>
      <c r="F48" s="669"/>
      <c r="G48" s="200"/>
      <c r="H48" s="202"/>
      <c r="I48" s="203"/>
      <c r="J48" s="200"/>
      <c r="K48" s="668"/>
      <c r="L48" s="669"/>
      <c r="O48" s="199"/>
      <c r="P48" s="430"/>
      <c r="Q48" s="430"/>
      <c r="R48" s="199"/>
    </row>
    <row r="49" spans="1:18" s="189" customFormat="1" ht="15.75" customHeight="1">
      <c r="A49" s="672"/>
      <c r="B49" s="673"/>
      <c r="C49" s="200">
        <v>5</v>
      </c>
      <c r="D49" s="668"/>
      <c r="E49" s="669"/>
      <c r="F49" s="669"/>
      <c r="G49" s="200"/>
      <c r="H49" s="202"/>
      <c r="I49" s="203"/>
      <c r="J49" s="200"/>
      <c r="K49" s="668"/>
      <c r="L49" s="669"/>
      <c r="O49" s="199"/>
      <c r="P49" s="430"/>
      <c r="Q49" s="430"/>
      <c r="R49" s="199"/>
    </row>
    <row r="50" spans="1:18" s="189" customFormat="1" ht="15.75" customHeight="1">
      <c r="A50" s="672"/>
      <c r="B50" s="673"/>
      <c r="C50" s="204" t="s">
        <v>206</v>
      </c>
      <c r="D50" s="668"/>
      <c r="E50" s="669"/>
      <c r="F50" s="669"/>
      <c r="G50" s="200"/>
      <c r="H50" s="202"/>
      <c r="I50" s="203"/>
      <c r="J50" s="200"/>
      <c r="K50" s="668"/>
      <c r="L50" s="669"/>
      <c r="O50" s="199"/>
      <c r="P50" s="430"/>
      <c r="Q50" s="430"/>
      <c r="R50" s="199"/>
    </row>
    <row r="51" spans="1:18" s="189" customFormat="1" ht="15.75" customHeight="1">
      <c r="A51" s="672"/>
      <c r="B51" s="673"/>
      <c r="C51" s="204" t="s">
        <v>211</v>
      </c>
      <c r="D51" s="668"/>
      <c r="E51" s="669"/>
      <c r="F51" s="669"/>
      <c r="G51" s="200"/>
      <c r="H51" s="202"/>
      <c r="I51" s="203"/>
      <c r="J51" s="200"/>
      <c r="K51" s="668"/>
      <c r="L51" s="669"/>
      <c r="O51" s="199"/>
      <c r="P51" s="430"/>
      <c r="Q51" s="430"/>
      <c r="R51" s="199"/>
    </row>
    <row r="52" spans="1:18" s="189" customFormat="1" ht="15.75" customHeight="1">
      <c r="A52" s="672"/>
      <c r="B52" s="673"/>
      <c r="C52" s="204" t="s">
        <v>207</v>
      </c>
      <c r="D52" s="668"/>
      <c r="E52" s="669"/>
      <c r="F52" s="669"/>
      <c r="G52" s="200"/>
      <c r="H52" s="202"/>
      <c r="I52" s="203"/>
      <c r="J52" s="200"/>
      <c r="K52" s="668"/>
      <c r="L52" s="669"/>
      <c r="O52" s="199"/>
      <c r="P52" s="430"/>
      <c r="Q52" s="430"/>
      <c r="R52" s="199"/>
    </row>
    <row r="53" spans="1:18" s="189" customFormat="1" ht="15.75" customHeight="1">
      <c r="A53" s="672"/>
      <c r="B53" s="673"/>
      <c r="C53" s="204" t="s">
        <v>212</v>
      </c>
      <c r="D53" s="668"/>
      <c r="E53" s="669"/>
      <c r="F53" s="669"/>
      <c r="G53" s="200"/>
      <c r="H53" s="202"/>
      <c r="I53" s="203"/>
      <c r="J53" s="200"/>
      <c r="K53" s="668"/>
      <c r="L53" s="669"/>
      <c r="O53" s="199"/>
      <c r="P53" s="430"/>
      <c r="Q53" s="430"/>
      <c r="R53" s="199"/>
    </row>
    <row r="54" spans="1:18" s="189" customFormat="1" ht="15.75" customHeight="1">
      <c r="A54" s="672"/>
      <c r="B54" s="673"/>
      <c r="C54" s="204" t="s">
        <v>213</v>
      </c>
      <c r="D54" s="668"/>
      <c r="E54" s="669"/>
      <c r="F54" s="669"/>
      <c r="G54" s="200"/>
      <c r="H54" s="202"/>
      <c r="I54" s="203"/>
      <c r="J54" s="200"/>
      <c r="K54" s="668"/>
      <c r="L54" s="669"/>
      <c r="O54" s="199"/>
      <c r="P54" s="430"/>
      <c r="Q54" s="430"/>
      <c r="R54" s="199"/>
    </row>
    <row r="55" spans="1:18" s="189" customFormat="1" ht="15.75" customHeight="1">
      <c r="A55" s="674" t="s">
        <v>694</v>
      </c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</row>
    <row r="56" spans="1:18" s="190" customFormat="1" ht="15.75" customHeight="1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</row>
    <row r="57" spans="1:18" s="178" customFormat="1" ht="16.399999999999999" customHeight="1">
      <c r="A57" s="672" t="s">
        <v>164</v>
      </c>
      <c r="B57" s="170">
        <v>1</v>
      </c>
      <c r="C57" s="170">
        <v>2</v>
      </c>
      <c r="D57" s="191">
        <v>3</v>
      </c>
      <c r="E57" s="191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s="189" customFormat="1" ht="16.399999999999999" customHeight="1">
      <c r="A58" s="672"/>
      <c r="B58" s="195" t="s">
        <v>208</v>
      </c>
      <c r="C58" s="195" t="s">
        <v>157</v>
      </c>
      <c r="D58" s="194" t="s">
        <v>209</v>
      </c>
      <c r="E58" s="194" t="s">
        <v>158</v>
      </c>
      <c r="F58" s="195" t="s">
        <v>357</v>
      </c>
      <c r="G58" s="196" t="s">
        <v>137</v>
      </c>
      <c r="H58" s="197" t="s">
        <v>210</v>
      </c>
      <c r="I58" s="196" t="s">
        <v>387</v>
      </c>
      <c r="J58" s="196" t="s">
        <v>143</v>
      </c>
      <c r="K58" s="198"/>
      <c r="L58" s="198"/>
      <c r="M58" s="190"/>
      <c r="N58" s="199"/>
      <c r="O58" s="199"/>
      <c r="P58" s="199"/>
      <c r="Q58" s="199"/>
      <c r="R58" s="199"/>
    </row>
    <row r="59" spans="1:18" s="178" customFormat="1" ht="15.75" customHeight="1">
      <c r="A59" s="673" t="s">
        <v>190</v>
      </c>
      <c r="B59" s="673"/>
      <c r="C59" s="160" t="s">
        <v>47</v>
      </c>
      <c r="D59" s="673" t="s">
        <v>12</v>
      </c>
      <c r="E59" s="675"/>
      <c r="F59" s="675"/>
      <c r="G59" s="160" t="s">
        <v>46</v>
      </c>
      <c r="H59" s="160" t="s">
        <v>388</v>
      </c>
      <c r="I59" s="160" t="s">
        <v>389</v>
      </c>
      <c r="J59" s="160" t="s">
        <v>334</v>
      </c>
      <c r="K59" s="673" t="s">
        <v>51</v>
      </c>
      <c r="L59" s="675"/>
      <c r="M59" s="193"/>
      <c r="N59" s="189"/>
      <c r="O59" s="199"/>
      <c r="P59" s="430"/>
      <c r="Q59" s="430"/>
      <c r="R59" s="199"/>
    </row>
    <row r="60" spans="1:18" s="189" customFormat="1" ht="15.75" customHeight="1">
      <c r="A60" s="672">
        <v>3</v>
      </c>
      <c r="B60" s="673" t="s">
        <v>391</v>
      </c>
      <c r="C60" s="200">
        <v>1</v>
      </c>
      <c r="D60" s="668" t="s">
        <v>608</v>
      </c>
      <c r="E60" s="669"/>
      <c r="F60" s="669"/>
      <c r="G60" s="200">
        <v>6</v>
      </c>
      <c r="H60" s="202">
        <v>3254.7107293069198</v>
      </c>
      <c r="I60" s="203">
        <v>542.45178821781997</v>
      </c>
      <c r="J60" s="221">
        <f>I60-I34</f>
        <v>0.60805649353062563</v>
      </c>
      <c r="K60" s="668" t="s">
        <v>464</v>
      </c>
      <c r="L60" s="669"/>
      <c r="M60" s="190"/>
      <c r="O60" s="199"/>
      <c r="P60" s="430"/>
      <c r="Q60" s="430"/>
      <c r="R60" s="199"/>
    </row>
    <row r="61" spans="1:18" s="189" customFormat="1" ht="15.75" customHeight="1">
      <c r="A61" s="672"/>
      <c r="B61" s="673"/>
      <c r="C61" s="200">
        <v>2</v>
      </c>
      <c r="D61" s="668" t="s">
        <v>356</v>
      </c>
      <c r="E61" s="669"/>
      <c r="F61" s="669"/>
      <c r="G61" s="200">
        <v>21.285714285714285</v>
      </c>
      <c r="H61" s="202">
        <v>2527.1463476756776</v>
      </c>
      <c r="I61" s="203">
        <v>118.69219281611004</v>
      </c>
      <c r="J61" s="221">
        <f>I61-I35</f>
        <v>-1.1705689331318609</v>
      </c>
      <c r="K61" s="668" t="s">
        <v>707</v>
      </c>
      <c r="L61" s="669"/>
      <c r="M61" s="190"/>
      <c r="O61" s="199"/>
      <c r="P61" s="430"/>
      <c r="Q61" s="430"/>
      <c r="R61" s="199"/>
    </row>
    <row r="62" spans="1:18" s="189" customFormat="1" ht="15.75" customHeight="1">
      <c r="A62" s="672"/>
      <c r="B62" s="673"/>
      <c r="C62" s="200">
        <v>3</v>
      </c>
      <c r="D62" s="668"/>
      <c r="E62" s="669"/>
      <c r="F62" s="669"/>
      <c r="G62" s="200"/>
      <c r="H62" s="202"/>
      <c r="I62" s="203"/>
      <c r="J62" s="200"/>
      <c r="K62" s="668"/>
      <c r="L62" s="669"/>
      <c r="M62" s="190"/>
      <c r="O62" s="199"/>
      <c r="P62" s="430"/>
      <c r="Q62" s="430"/>
      <c r="R62" s="199"/>
    </row>
    <row r="63" spans="1:18" s="189" customFormat="1" ht="15.75" customHeight="1">
      <c r="A63" s="672"/>
      <c r="B63" s="673"/>
      <c r="C63" s="200">
        <v>4</v>
      </c>
      <c r="D63" s="668"/>
      <c r="E63" s="669"/>
      <c r="F63" s="669"/>
      <c r="G63" s="200"/>
      <c r="H63" s="202"/>
      <c r="I63" s="203"/>
      <c r="J63" s="200"/>
      <c r="K63" s="668"/>
      <c r="L63" s="669"/>
      <c r="M63" s="190"/>
      <c r="O63" s="199"/>
      <c r="P63" s="430"/>
      <c r="Q63" s="430"/>
      <c r="R63" s="199"/>
    </row>
    <row r="64" spans="1:18" s="189" customFormat="1" ht="15.75" customHeight="1">
      <c r="A64" s="672"/>
      <c r="B64" s="673"/>
      <c r="C64" s="200">
        <v>5</v>
      </c>
      <c r="D64" s="668"/>
      <c r="E64" s="669"/>
      <c r="F64" s="669"/>
      <c r="G64" s="200"/>
      <c r="H64" s="202"/>
      <c r="I64" s="203"/>
      <c r="J64" s="200"/>
      <c r="K64" s="668"/>
      <c r="L64" s="669"/>
      <c r="M64" s="190"/>
      <c r="O64" s="199"/>
      <c r="P64" s="430"/>
      <c r="Q64" s="430"/>
      <c r="R64" s="199"/>
    </row>
    <row r="65" spans="1:18" s="189" customFormat="1" ht="15.75" customHeight="1">
      <c r="A65" s="672"/>
      <c r="B65" s="673"/>
      <c r="C65" s="204" t="s">
        <v>206</v>
      </c>
      <c r="D65" s="668"/>
      <c r="E65" s="669"/>
      <c r="F65" s="669"/>
      <c r="G65" s="200"/>
      <c r="H65" s="202"/>
      <c r="I65" s="203"/>
      <c r="J65" s="200"/>
      <c r="K65" s="668"/>
      <c r="L65" s="669"/>
      <c r="M65" s="190"/>
      <c r="O65" s="199"/>
      <c r="P65" s="430"/>
      <c r="Q65" s="430"/>
      <c r="R65" s="199"/>
    </row>
    <row r="66" spans="1:18" s="189" customFormat="1" ht="15.75" customHeight="1">
      <c r="A66" s="672"/>
      <c r="B66" s="673"/>
      <c r="C66" s="204" t="s">
        <v>211</v>
      </c>
      <c r="D66" s="668"/>
      <c r="E66" s="669"/>
      <c r="F66" s="669"/>
      <c r="G66" s="200"/>
      <c r="H66" s="202"/>
      <c r="I66" s="203"/>
      <c r="J66" s="200"/>
      <c r="K66" s="668"/>
      <c r="L66" s="669"/>
      <c r="M66" s="190"/>
      <c r="N66" s="178"/>
      <c r="O66" s="178"/>
      <c r="P66" s="429"/>
      <c r="Q66" s="429"/>
      <c r="R66" s="178"/>
    </row>
    <row r="67" spans="1:18" s="189" customFormat="1" ht="15.75" customHeight="1">
      <c r="A67" s="672"/>
      <c r="B67" s="673"/>
      <c r="C67" s="204" t="s">
        <v>207</v>
      </c>
      <c r="D67" s="668"/>
      <c r="E67" s="669"/>
      <c r="F67" s="669"/>
      <c r="G67" s="202"/>
      <c r="H67" s="202"/>
      <c r="I67" s="203"/>
      <c r="J67" s="200"/>
      <c r="K67" s="668"/>
      <c r="L67" s="669"/>
      <c r="M67" s="190"/>
      <c r="O67" s="199"/>
      <c r="P67" s="430"/>
      <c r="Q67" s="430"/>
      <c r="R67" s="199"/>
    </row>
    <row r="68" spans="1:18" s="189" customFormat="1" ht="15.75" customHeight="1">
      <c r="A68" s="672"/>
      <c r="B68" s="673"/>
      <c r="C68" s="204" t="s">
        <v>212</v>
      </c>
      <c r="D68" s="668"/>
      <c r="E68" s="669"/>
      <c r="F68" s="669"/>
      <c r="G68" s="200"/>
      <c r="H68" s="202"/>
      <c r="I68" s="203"/>
      <c r="J68" s="200"/>
      <c r="K68" s="668"/>
      <c r="L68" s="669"/>
      <c r="O68" s="199"/>
      <c r="P68" s="430"/>
      <c r="Q68" s="430"/>
      <c r="R68" s="199"/>
    </row>
    <row r="69" spans="1:18" s="189" customFormat="1" ht="15.75" customHeight="1">
      <c r="A69" s="672"/>
      <c r="B69" s="673"/>
      <c r="C69" s="204" t="s">
        <v>213</v>
      </c>
      <c r="D69" s="668"/>
      <c r="E69" s="669"/>
      <c r="F69" s="669"/>
      <c r="G69" s="200"/>
      <c r="H69" s="202"/>
      <c r="I69" s="203"/>
      <c r="J69" s="200"/>
      <c r="K69" s="668"/>
      <c r="L69" s="669"/>
      <c r="O69" s="199"/>
      <c r="P69" s="430"/>
      <c r="Q69" s="430"/>
      <c r="R69" s="199"/>
    </row>
    <row r="70" spans="1:18" s="199" customFormat="1" ht="15.75" customHeight="1">
      <c r="A70" s="670" t="s">
        <v>190</v>
      </c>
      <c r="B70" s="670"/>
      <c r="C70" s="207" t="s">
        <v>47</v>
      </c>
      <c r="D70" s="670" t="s">
        <v>12</v>
      </c>
      <c r="E70" s="671"/>
      <c r="F70" s="671"/>
      <c r="G70" s="207" t="s">
        <v>46</v>
      </c>
      <c r="H70" s="207" t="s">
        <v>388</v>
      </c>
      <c r="I70" s="207" t="s">
        <v>389</v>
      </c>
      <c r="J70" s="160" t="s">
        <v>334</v>
      </c>
      <c r="K70" s="670" t="s">
        <v>50</v>
      </c>
      <c r="L70" s="671"/>
      <c r="M70" s="208"/>
      <c r="N70" s="189"/>
      <c r="P70" s="430"/>
      <c r="Q70" s="430"/>
    </row>
    <row r="71" spans="1:18" s="189" customFormat="1" ht="15.75" customHeight="1">
      <c r="A71" s="672">
        <v>4</v>
      </c>
      <c r="B71" s="673" t="s">
        <v>158</v>
      </c>
      <c r="C71" s="200">
        <v>1</v>
      </c>
      <c r="D71" s="668" t="s">
        <v>537</v>
      </c>
      <c r="E71" s="669"/>
      <c r="F71" s="669"/>
      <c r="G71" s="200">
        <v>6</v>
      </c>
      <c r="H71" s="202">
        <v>2964.6210004782311</v>
      </c>
      <c r="I71" s="203">
        <v>494.10350007970516</v>
      </c>
      <c r="J71" s="221">
        <f>I71-I46</f>
        <v>0.45104600952083729</v>
      </c>
      <c r="K71" s="668" t="s">
        <v>464</v>
      </c>
      <c r="L71" s="669"/>
      <c r="N71" s="199"/>
      <c r="O71" s="199"/>
      <c r="P71" s="430"/>
      <c r="Q71" s="430"/>
      <c r="R71" s="199"/>
    </row>
    <row r="72" spans="1:18" s="189" customFormat="1" ht="15.75" customHeight="1">
      <c r="A72" s="672"/>
      <c r="B72" s="673"/>
      <c r="C72" s="200">
        <v>2</v>
      </c>
      <c r="D72" s="668" t="s">
        <v>609</v>
      </c>
      <c r="E72" s="669"/>
      <c r="F72" s="669"/>
      <c r="G72" s="200">
        <v>6</v>
      </c>
      <c r="H72" s="202">
        <v>2964.1816558590085</v>
      </c>
      <c r="I72" s="203">
        <v>494.0302759765014</v>
      </c>
      <c r="J72" s="221">
        <f>I72-I45</f>
        <v>0.2782061176502566</v>
      </c>
      <c r="K72" s="668" t="s">
        <v>464</v>
      </c>
      <c r="L72" s="669"/>
      <c r="O72" s="199"/>
      <c r="P72" s="430"/>
      <c r="Q72" s="430"/>
      <c r="R72" s="199"/>
    </row>
    <row r="73" spans="1:18" s="189" customFormat="1" ht="15.75" customHeight="1">
      <c r="A73" s="672"/>
      <c r="B73" s="673"/>
      <c r="C73" s="200">
        <v>3</v>
      </c>
      <c r="D73" s="668"/>
      <c r="E73" s="669"/>
      <c r="F73" s="669"/>
      <c r="G73" s="200"/>
      <c r="H73" s="202"/>
      <c r="I73" s="203"/>
      <c r="J73" s="200"/>
      <c r="K73" s="668"/>
      <c r="L73" s="669"/>
      <c r="O73" s="199"/>
      <c r="P73" s="430"/>
      <c r="Q73" s="430"/>
      <c r="R73" s="199"/>
    </row>
    <row r="74" spans="1:18" s="189" customFormat="1" ht="15.75" customHeight="1">
      <c r="A74" s="672"/>
      <c r="B74" s="673"/>
      <c r="C74" s="200">
        <v>4</v>
      </c>
      <c r="D74" s="668"/>
      <c r="E74" s="669"/>
      <c r="F74" s="669"/>
      <c r="G74" s="200"/>
      <c r="H74" s="202"/>
      <c r="I74" s="203"/>
      <c r="J74" s="200"/>
      <c r="K74" s="668"/>
      <c r="L74" s="669"/>
      <c r="O74" s="199"/>
      <c r="P74" s="430"/>
      <c r="Q74" s="430"/>
      <c r="R74" s="199"/>
    </row>
    <row r="75" spans="1:18" s="189" customFormat="1" ht="15.75" customHeight="1">
      <c r="A75" s="672"/>
      <c r="B75" s="673"/>
      <c r="C75" s="200">
        <v>5</v>
      </c>
      <c r="D75" s="668"/>
      <c r="E75" s="669"/>
      <c r="F75" s="669"/>
      <c r="G75" s="200"/>
      <c r="H75" s="202"/>
      <c r="I75" s="203"/>
      <c r="J75" s="200"/>
      <c r="K75" s="668"/>
      <c r="L75" s="669"/>
      <c r="O75" s="199"/>
      <c r="P75" s="430"/>
      <c r="Q75" s="430"/>
      <c r="R75" s="199"/>
    </row>
    <row r="76" spans="1:18" s="189" customFormat="1" ht="15.75" customHeight="1">
      <c r="A76" s="672"/>
      <c r="B76" s="673"/>
      <c r="C76" s="204" t="s">
        <v>206</v>
      </c>
      <c r="D76" s="668"/>
      <c r="E76" s="669"/>
      <c r="F76" s="669"/>
      <c r="G76" s="200"/>
      <c r="H76" s="202"/>
      <c r="I76" s="203"/>
      <c r="J76" s="200"/>
      <c r="K76" s="668"/>
      <c r="L76" s="669"/>
      <c r="O76" s="199"/>
      <c r="P76" s="430"/>
      <c r="Q76" s="430"/>
      <c r="R76" s="199"/>
    </row>
    <row r="77" spans="1:18" s="189" customFormat="1" ht="15.75" customHeight="1">
      <c r="A77" s="672"/>
      <c r="B77" s="673"/>
      <c r="C77" s="204" t="s">
        <v>211</v>
      </c>
      <c r="D77" s="668"/>
      <c r="E77" s="669"/>
      <c r="F77" s="669"/>
      <c r="G77" s="200"/>
      <c r="H77" s="202"/>
      <c r="I77" s="203"/>
      <c r="J77" s="200"/>
      <c r="K77" s="668"/>
      <c r="L77" s="669"/>
      <c r="O77" s="199"/>
      <c r="P77" s="430"/>
      <c r="Q77" s="430"/>
      <c r="R77" s="199"/>
    </row>
    <row r="78" spans="1:18" s="189" customFormat="1" ht="15.75" customHeight="1">
      <c r="A78" s="672"/>
      <c r="B78" s="673"/>
      <c r="C78" s="204" t="s">
        <v>207</v>
      </c>
      <c r="D78" s="668"/>
      <c r="E78" s="669"/>
      <c r="F78" s="669"/>
      <c r="G78" s="200"/>
      <c r="H78" s="202"/>
      <c r="I78" s="203"/>
      <c r="J78" s="200"/>
      <c r="K78" s="668"/>
      <c r="L78" s="669"/>
      <c r="O78" s="199"/>
      <c r="P78" s="430"/>
      <c r="Q78" s="430"/>
      <c r="R78" s="199"/>
    </row>
    <row r="79" spans="1:18" s="189" customFormat="1" ht="15.75" customHeight="1">
      <c r="A79" s="672"/>
      <c r="B79" s="673"/>
      <c r="C79" s="204" t="s">
        <v>212</v>
      </c>
      <c r="D79" s="668"/>
      <c r="E79" s="669"/>
      <c r="F79" s="669"/>
      <c r="G79" s="200"/>
      <c r="H79" s="202"/>
      <c r="I79" s="203"/>
      <c r="J79" s="200"/>
      <c r="K79" s="668"/>
      <c r="L79" s="669"/>
      <c r="O79" s="199"/>
      <c r="P79" s="430"/>
      <c r="Q79" s="430"/>
      <c r="R79" s="199"/>
    </row>
    <row r="80" spans="1:18" s="189" customFormat="1" ht="15.75" customHeight="1">
      <c r="A80" s="672"/>
      <c r="B80" s="673"/>
      <c r="C80" s="204" t="s">
        <v>213</v>
      </c>
      <c r="D80" s="668"/>
      <c r="E80" s="669"/>
      <c r="F80" s="669"/>
      <c r="G80" s="200"/>
      <c r="H80" s="202"/>
      <c r="I80" s="203"/>
      <c r="J80" s="200"/>
      <c r="K80" s="668"/>
      <c r="L80" s="669"/>
      <c r="O80" s="199"/>
      <c r="P80" s="430"/>
      <c r="Q80" s="430"/>
      <c r="R80" s="199"/>
    </row>
    <row r="81" spans="1:18" s="189" customFormat="1" ht="15.75" customHeight="1">
      <c r="A81" s="674" t="s">
        <v>702</v>
      </c>
      <c r="B81" s="674"/>
      <c r="C81" s="674"/>
      <c r="D81" s="674"/>
      <c r="E81" s="674"/>
      <c r="F81" s="674"/>
      <c r="G81" s="674"/>
      <c r="H81" s="674"/>
      <c r="I81" s="674"/>
      <c r="J81" s="674"/>
      <c r="K81" s="674"/>
      <c r="L81" s="674"/>
    </row>
    <row r="82" spans="1:18" s="190" customFormat="1" ht="15.75" customHeight="1">
      <c r="A82" s="674"/>
      <c r="B82" s="674"/>
      <c r="C82" s="674"/>
      <c r="D82" s="674"/>
      <c r="E82" s="674"/>
      <c r="F82" s="674"/>
      <c r="G82" s="674"/>
      <c r="H82" s="674"/>
      <c r="I82" s="674"/>
      <c r="J82" s="674"/>
      <c r="K82" s="674"/>
      <c r="L82" s="674"/>
    </row>
    <row r="83" spans="1:18" s="178" customFormat="1" ht="16.399999999999999" customHeight="1">
      <c r="A83" s="672" t="s">
        <v>164</v>
      </c>
      <c r="B83" s="170">
        <v>1</v>
      </c>
      <c r="C83" s="170">
        <v>2</v>
      </c>
      <c r="D83" s="191">
        <v>3</v>
      </c>
      <c r="E83" s="191">
        <v>4</v>
      </c>
      <c r="F83" s="170">
        <v>5</v>
      </c>
      <c r="G83" s="170">
        <v>6</v>
      </c>
      <c r="H83" s="170">
        <v>7</v>
      </c>
      <c r="I83" s="170">
        <v>8</v>
      </c>
      <c r="J83" s="170">
        <v>9</v>
      </c>
      <c r="K83" s="192"/>
      <c r="L83" s="192"/>
      <c r="M83" s="193"/>
    </row>
    <row r="84" spans="1:18" s="189" customFormat="1" ht="16.399999999999999" customHeight="1">
      <c r="A84" s="672"/>
      <c r="B84" s="195" t="s">
        <v>208</v>
      </c>
      <c r="C84" s="195" t="s">
        <v>157</v>
      </c>
      <c r="D84" s="194" t="s">
        <v>209</v>
      </c>
      <c r="E84" s="194" t="s">
        <v>158</v>
      </c>
      <c r="F84" s="195" t="s">
        <v>357</v>
      </c>
      <c r="G84" s="196" t="s">
        <v>137</v>
      </c>
      <c r="H84" s="197" t="s">
        <v>210</v>
      </c>
      <c r="I84" s="196" t="s">
        <v>387</v>
      </c>
      <c r="J84" s="196" t="s">
        <v>143</v>
      </c>
      <c r="K84" s="198"/>
      <c r="L84" s="198"/>
      <c r="M84" s="190"/>
      <c r="N84" s="199"/>
      <c r="O84" s="199"/>
      <c r="P84" s="199"/>
      <c r="Q84" s="199"/>
      <c r="R84" s="199"/>
    </row>
    <row r="85" spans="1:18" s="178" customFormat="1" ht="15.75" customHeight="1">
      <c r="A85" s="673" t="s">
        <v>190</v>
      </c>
      <c r="B85" s="673"/>
      <c r="C85" s="160" t="s">
        <v>47</v>
      </c>
      <c r="D85" s="673" t="s">
        <v>12</v>
      </c>
      <c r="E85" s="675"/>
      <c r="F85" s="675"/>
      <c r="G85" s="160" t="s">
        <v>46</v>
      </c>
      <c r="H85" s="160" t="s">
        <v>388</v>
      </c>
      <c r="I85" s="160" t="s">
        <v>389</v>
      </c>
      <c r="J85" s="160" t="s">
        <v>334</v>
      </c>
      <c r="K85" s="673" t="s">
        <v>51</v>
      </c>
      <c r="L85" s="675"/>
      <c r="M85" s="193"/>
      <c r="N85" s="189"/>
      <c r="O85" s="199"/>
      <c r="P85" s="430"/>
      <c r="Q85" s="430"/>
      <c r="R85" s="199"/>
    </row>
    <row r="86" spans="1:18" s="189" customFormat="1" ht="15.75" customHeight="1">
      <c r="A86" s="672">
        <v>3</v>
      </c>
      <c r="B86" s="673" t="s">
        <v>391</v>
      </c>
      <c r="C86" s="200">
        <v>1</v>
      </c>
      <c r="D86" s="668" t="s">
        <v>608</v>
      </c>
      <c r="E86" s="669"/>
      <c r="F86" s="669"/>
      <c r="G86" s="200">
        <v>6</v>
      </c>
      <c r="H86" s="202">
        <v>3261.5664826040374</v>
      </c>
      <c r="I86" s="203">
        <v>543.59441376733969</v>
      </c>
      <c r="J86" s="221">
        <f>I86-I60</f>
        <v>1.1426255495197211</v>
      </c>
      <c r="K86" s="668" t="s">
        <v>464</v>
      </c>
      <c r="L86" s="669"/>
      <c r="M86" s="190"/>
      <c r="O86" s="199"/>
      <c r="P86" s="430"/>
      <c r="Q86" s="430"/>
      <c r="R86" s="199"/>
    </row>
    <row r="87" spans="1:18" s="189" customFormat="1" ht="15.75" customHeight="1">
      <c r="A87" s="672"/>
      <c r="B87" s="673"/>
      <c r="C87" s="200">
        <v>2</v>
      </c>
      <c r="D87" s="668" t="s">
        <v>356</v>
      </c>
      <c r="E87" s="669"/>
      <c r="F87" s="669"/>
      <c r="G87" s="200">
        <v>22</v>
      </c>
      <c r="H87" s="202">
        <v>2628.6806364993768</v>
      </c>
      <c r="I87" s="203">
        <v>119.48548347724441</v>
      </c>
      <c r="J87" s="221">
        <f>I87-I61</f>
        <v>0.79329066113437818</v>
      </c>
      <c r="K87" s="668" t="s">
        <v>464</v>
      </c>
      <c r="L87" s="669"/>
      <c r="M87" s="190"/>
      <c r="O87" s="199"/>
      <c r="P87" s="430"/>
      <c r="Q87" s="430"/>
      <c r="R87" s="199"/>
    </row>
    <row r="88" spans="1:18" s="189" customFormat="1" ht="15.75" customHeight="1">
      <c r="A88" s="672"/>
      <c r="B88" s="673"/>
      <c r="C88" s="200">
        <v>3</v>
      </c>
      <c r="D88" s="668"/>
      <c r="E88" s="669"/>
      <c r="F88" s="669"/>
      <c r="G88" s="200"/>
      <c r="H88" s="202"/>
      <c r="I88" s="203"/>
      <c r="J88" s="200"/>
      <c r="K88" s="668"/>
      <c r="L88" s="669"/>
      <c r="M88" s="190"/>
      <c r="O88" s="199"/>
      <c r="P88" s="430"/>
      <c r="Q88" s="430"/>
      <c r="R88" s="199"/>
    </row>
    <row r="89" spans="1:18" s="189" customFormat="1" ht="15.75" customHeight="1">
      <c r="A89" s="672"/>
      <c r="B89" s="673"/>
      <c r="C89" s="200">
        <v>4</v>
      </c>
      <c r="D89" s="668"/>
      <c r="E89" s="669"/>
      <c r="F89" s="669"/>
      <c r="G89" s="200"/>
      <c r="H89" s="202"/>
      <c r="I89" s="203"/>
      <c r="J89" s="200"/>
      <c r="K89" s="668"/>
      <c r="L89" s="669"/>
      <c r="M89" s="190"/>
      <c r="O89" s="199"/>
      <c r="P89" s="430"/>
      <c r="Q89" s="430"/>
      <c r="R89" s="199"/>
    </row>
    <row r="90" spans="1:18" s="189" customFormat="1" ht="15.75" customHeight="1">
      <c r="A90" s="672"/>
      <c r="B90" s="673"/>
      <c r="C90" s="200">
        <v>5</v>
      </c>
      <c r="D90" s="668"/>
      <c r="E90" s="669"/>
      <c r="F90" s="669"/>
      <c r="G90" s="200"/>
      <c r="H90" s="202"/>
      <c r="I90" s="203"/>
      <c r="J90" s="200"/>
      <c r="K90" s="668"/>
      <c r="L90" s="669"/>
      <c r="M90" s="190"/>
      <c r="O90" s="199"/>
      <c r="P90" s="430"/>
      <c r="Q90" s="430"/>
      <c r="R90" s="199"/>
    </row>
    <row r="91" spans="1:18" s="189" customFormat="1" ht="15.75" customHeight="1">
      <c r="A91" s="672"/>
      <c r="B91" s="673"/>
      <c r="C91" s="204" t="s">
        <v>206</v>
      </c>
      <c r="D91" s="668"/>
      <c r="E91" s="669"/>
      <c r="F91" s="669"/>
      <c r="G91" s="200"/>
      <c r="H91" s="202"/>
      <c r="I91" s="203"/>
      <c r="J91" s="200"/>
      <c r="K91" s="668"/>
      <c r="L91" s="669"/>
      <c r="M91" s="190"/>
      <c r="O91" s="199"/>
      <c r="P91" s="430"/>
      <c r="Q91" s="430"/>
      <c r="R91" s="199"/>
    </row>
    <row r="92" spans="1:18" s="189" customFormat="1" ht="15.75" customHeight="1">
      <c r="A92" s="672"/>
      <c r="B92" s="673"/>
      <c r="C92" s="204" t="s">
        <v>211</v>
      </c>
      <c r="D92" s="668"/>
      <c r="E92" s="669"/>
      <c r="F92" s="669"/>
      <c r="G92" s="200"/>
      <c r="H92" s="202"/>
      <c r="I92" s="203"/>
      <c r="J92" s="200"/>
      <c r="K92" s="668"/>
      <c r="L92" s="669"/>
      <c r="M92" s="190"/>
      <c r="N92" s="178"/>
      <c r="O92" s="178"/>
      <c r="P92" s="429"/>
      <c r="Q92" s="429"/>
      <c r="R92" s="178"/>
    </row>
    <row r="93" spans="1:18" s="189" customFormat="1" ht="15.75" customHeight="1">
      <c r="A93" s="672"/>
      <c r="B93" s="673"/>
      <c r="C93" s="204" t="s">
        <v>207</v>
      </c>
      <c r="D93" s="668"/>
      <c r="E93" s="669"/>
      <c r="F93" s="669"/>
      <c r="G93" s="202"/>
      <c r="H93" s="202"/>
      <c r="I93" s="203"/>
      <c r="J93" s="200"/>
      <c r="K93" s="668"/>
      <c r="L93" s="669"/>
      <c r="M93" s="190"/>
      <c r="O93" s="199"/>
      <c r="P93" s="430"/>
      <c r="Q93" s="430"/>
      <c r="R93" s="199"/>
    </row>
    <row r="94" spans="1:18" s="189" customFormat="1" ht="15.75" customHeight="1">
      <c r="A94" s="672"/>
      <c r="B94" s="673"/>
      <c r="C94" s="204" t="s">
        <v>212</v>
      </c>
      <c r="D94" s="668"/>
      <c r="E94" s="669"/>
      <c r="F94" s="669"/>
      <c r="G94" s="200"/>
      <c r="H94" s="202"/>
      <c r="I94" s="203"/>
      <c r="J94" s="200"/>
      <c r="K94" s="668"/>
      <c r="L94" s="669"/>
      <c r="O94" s="199"/>
      <c r="P94" s="430"/>
      <c r="Q94" s="430"/>
      <c r="R94" s="199"/>
    </row>
    <row r="95" spans="1:18" s="189" customFormat="1" ht="15.75" customHeight="1">
      <c r="A95" s="672"/>
      <c r="B95" s="673"/>
      <c r="C95" s="204" t="s">
        <v>213</v>
      </c>
      <c r="D95" s="668"/>
      <c r="E95" s="669"/>
      <c r="F95" s="669"/>
      <c r="G95" s="200"/>
      <c r="H95" s="202"/>
      <c r="I95" s="203"/>
      <c r="J95" s="200"/>
      <c r="K95" s="668"/>
      <c r="L95" s="669"/>
      <c r="O95" s="199"/>
      <c r="P95" s="430"/>
      <c r="Q95" s="430"/>
      <c r="R95" s="199"/>
    </row>
    <row r="96" spans="1:18" s="199" customFormat="1" ht="15.75" customHeight="1">
      <c r="A96" s="670" t="s">
        <v>190</v>
      </c>
      <c r="B96" s="670"/>
      <c r="C96" s="207" t="s">
        <v>47</v>
      </c>
      <c r="D96" s="670" t="s">
        <v>12</v>
      </c>
      <c r="E96" s="671"/>
      <c r="F96" s="671"/>
      <c r="G96" s="207" t="s">
        <v>46</v>
      </c>
      <c r="H96" s="207" t="s">
        <v>388</v>
      </c>
      <c r="I96" s="207" t="s">
        <v>389</v>
      </c>
      <c r="J96" s="160" t="s">
        <v>334</v>
      </c>
      <c r="K96" s="670" t="s">
        <v>51</v>
      </c>
      <c r="L96" s="671"/>
      <c r="M96" s="208"/>
      <c r="N96" s="189"/>
      <c r="P96" s="430"/>
      <c r="Q96" s="430"/>
    </row>
    <row r="97" spans="1:18" s="189" customFormat="1" ht="15.75" customHeight="1">
      <c r="A97" s="672">
        <v>4</v>
      </c>
      <c r="B97" s="673" t="s">
        <v>158</v>
      </c>
      <c r="C97" s="200">
        <v>1</v>
      </c>
      <c r="D97" s="668" t="s">
        <v>609</v>
      </c>
      <c r="E97" s="669"/>
      <c r="F97" s="669"/>
      <c r="G97" s="200">
        <v>6</v>
      </c>
      <c r="H97" s="202">
        <v>2965.6203994328475</v>
      </c>
      <c r="I97" s="203">
        <v>494.27006657214133</v>
      </c>
      <c r="J97" s="221">
        <f>I97-I72</f>
        <v>0.23979059563993133</v>
      </c>
      <c r="K97" s="668" t="s">
        <v>464</v>
      </c>
      <c r="L97" s="669"/>
      <c r="N97" s="199"/>
      <c r="O97" s="199"/>
      <c r="P97" s="430"/>
      <c r="Q97" s="430"/>
      <c r="R97" s="199"/>
    </row>
    <row r="98" spans="1:18" s="189" customFormat="1" ht="15.75" customHeight="1">
      <c r="A98" s="672"/>
      <c r="B98" s="673"/>
      <c r="C98" s="200">
        <v>2</v>
      </c>
      <c r="D98" s="668" t="s">
        <v>537</v>
      </c>
      <c r="E98" s="669"/>
      <c r="F98" s="669"/>
      <c r="G98" s="200">
        <v>6</v>
      </c>
      <c r="H98" s="202">
        <v>2965.1164494319478</v>
      </c>
      <c r="I98" s="203">
        <v>494.18607490532474</v>
      </c>
      <c r="J98" s="221">
        <f>I98-I71</f>
        <v>8.2574825619587955E-2</v>
      </c>
      <c r="K98" s="668" t="s">
        <v>464</v>
      </c>
      <c r="L98" s="669"/>
      <c r="O98" s="199"/>
      <c r="P98" s="430"/>
      <c r="Q98" s="430"/>
      <c r="R98" s="199"/>
    </row>
    <row r="99" spans="1:18" s="189" customFormat="1" ht="15.75" customHeight="1">
      <c r="A99" s="672"/>
      <c r="B99" s="673"/>
      <c r="C99" s="200">
        <v>3</v>
      </c>
      <c r="D99" s="668"/>
      <c r="E99" s="669"/>
      <c r="F99" s="669"/>
      <c r="G99" s="200"/>
      <c r="H99" s="202"/>
      <c r="I99" s="203"/>
      <c r="J99" s="200"/>
      <c r="K99" s="668"/>
      <c r="L99" s="669"/>
      <c r="O99" s="199"/>
      <c r="P99" s="430"/>
      <c r="Q99" s="430"/>
      <c r="R99" s="199"/>
    </row>
    <row r="100" spans="1:18" s="189" customFormat="1" ht="15.75" customHeight="1">
      <c r="A100" s="672"/>
      <c r="B100" s="673"/>
      <c r="C100" s="200">
        <v>4</v>
      </c>
      <c r="D100" s="668"/>
      <c r="E100" s="669"/>
      <c r="F100" s="669"/>
      <c r="G100" s="200"/>
      <c r="H100" s="202"/>
      <c r="I100" s="203"/>
      <c r="J100" s="200"/>
      <c r="K100" s="668"/>
      <c r="L100" s="669"/>
      <c r="O100" s="199"/>
      <c r="P100" s="430"/>
      <c r="Q100" s="430"/>
      <c r="R100" s="199"/>
    </row>
    <row r="101" spans="1:18" s="189" customFormat="1" ht="15.75" customHeight="1">
      <c r="A101" s="672"/>
      <c r="B101" s="673"/>
      <c r="C101" s="200">
        <v>5</v>
      </c>
      <c r="D101" s="668"/>
      <c r="E101" s="669"/>
      <c r="F101" s="669"/>
      <c r="G101" s="200"/>
      <c r="H101" s="202"/>
      <c r="I101" s="203"/>
      <c r="J101" s="200"/>
      <c r="K101" s="668"/>
      <c r="L101" s="669"/>
      <c r="O101" s="199"/>
      <c r="P101" s="430"/>
      <c r="Q101" s="430"/>
      <c r="R101" s="199"/>
    </row>
    <row r="102" spans="1:18" s="189" customFormat="1" ht="15.75" customHeight="1">
      <c r="A102" s="672"/>
      <c r="B102" s="673"/>
      <c r="C102" s="204" t="s">
        <v>206</v>
      </c>
      <c r="D102" s="668"/>
      <c r="E102" s="669"/>
      <c r="F102" s="669"/>
      <c r="G102" s="200"/>
      <c r="H102" s="202"/>
      <c r="I102" s="203"/>
      <c r="J102" s="200"/>
      <c r="K102" s="668"/>
      <c r="L102" s="669"/>
      <c r="O102" s="199"/>
      <c r="P102" s="430"/>
      <c r="Q102" s="430"/>
      <c r="R102" s="199"/>
    </row>
    <row r="103" spans="1:18" s="189" customFormat="1" ht="15.75" customHeight="1">
      <c r="A103" s="672"/>
      <c r="B103" s="673"/>
      <c r="C103" s="204" t="s">
        <v>211</v>
      </c>
      <c r="D103" s="668"/>
      <c r="E103" s="669"/>
      <c r="F103" s="669"/>
      <c r="G103" s="200"/>
      <c r="H103" s="202"/>
      <c r="I103" s="203"/>
      <c r="J103" s="200"/>
      <c r="K103" s="668"/>
      <c r="L103" s="669"/>
      <c r="O103" s="199"/>
      <c r="P103" s="430"/>
      <c r="Q103" s="430"/>
      <c r="R103" s="199"/>
    </row>
    <row r="104" spans="1:18" s="189" customFormat="1" ht="15.75" customHeight="1">
      <c r="A104" s="672"/>
      <c r="B104" s="673"/>
      <c r="C104" s="204" t="s">
        <v>207</v>
      </c>
      <c r="D104" s="668"/>
      <c r="E104" s="669"/>
      <c r="F104" s="669"/>
      <c r="G104" s="200"/>
      <c r="H104" s="202"/>
      <c r="I104" s="203"/>
      <c r="J104" s="200"/>
      <c r="K104" s="668"/>
      <c r="L104" s="669"/>
      <c r="O104" s="199"/>
      <c r="P104" s="430"/>
      <c r="Q104" s="430"/>
      <c r="R104" s="199"/>
    </row>
    <row r="105" spans="1:18" s="189" customFormat="1" ht="15.75" customHeight="1">
      <c r="A105" s="672"/>
      <c r="B105" s="673"/>
      <c r="C105" s="204" t="s">
        <v>212</v>
      </c>
      <c r="D105" s="668"/>
      <c r="E105" s="669"/>
      <c r="F105" s="669"/>
      <c r="G105" s="200"/>
      <c r="H105" s="202"/>
      <c r="I105" s="203"/>
      <c r="J105" s="200"/>
      <c r="K105" s="668"/>
      <c r="L105" s="669"/>
      <c r="O105" s="199"/>
      <c r="P105" s="430"/>
      <c r="Q105" s="430"/>
      <c r="R105" s="199"/>
    </row>
    <row r="106" spans="1:18" s="189" customFormat="1" ht="15.75" customHeight="1">
      <c r="A106" s="672"/>
      <c r="B106" s="673"/>
      <c r="C106" s="204" t="s">
        <v>213</v>
      </c>
      <c r="D106" s="668"/>
      <c r="E106" s="669"/>
      <c r="F106" s="669"/>
      <c r="G106" s="200"/>
      <c r="H106" s="202"/>
      <c r="I106" s="203"/>
      <c r="J106" s="200"/>
      <c r="K106" s="668"/>
      <c r="L106" s="669"/>
      <c r="O106" s="199"/>
      <c r="P106" s="430"/>
      <c r="Q106" s="430"/>
      <c r="R106" s="199"/>
    </row>
    <row r="107" spans="1:18" s="189" customFormat="1" ht="15.75" customHeight="1">
      <c r="A107" s="674" t="s">
        <v>767</v>
      </c>
      <c r="B107" s="674"/>
      <c r="C107" s="674"/>
      <c r="D107" s="674"/>
      <c r="E107" s="674"/>
      <c r="F107" s="674"/>
      <c r="G107" s="674"/>
      <c r="H107" s="674"/>
      <c r="I107" s="674"/>
      <c r="J107" s="674"/>
      <c r="K107" s="674"/>
      <c r="L107" s="674"/>
    </row>
    <row r="108" spans="1:18" s="190" customFormat="1" ht="15.75" customHeight="1">
      <c r="A108" s="674"/>
      <c r="B108" s="674"/>
      <c r="C108" s="674"/>
      <c r="D108" s="674"/>
      <c r="E108" s="674"/>
      <c r="F108" s="674"/>
      <c r="G108" s="674"/>
      <c r="H108" s="674"/>
      <c r="I108" s="674"/>
      <c r="J108" s="674"/>
      <c r="K108" s="674"/>
      <c r="L108" s="674"/>
    </row>
    <row r="109" spans="1:18" s="178" customFormat="1" ht="16.399999999999999" customHeight="1">
      <c r="A109" s="672" t="s">
        <v>164</v>
      </c>
      <c r="B109" s="170">
        <v>1</v>
      </c>
      <c r="C109" s="170">
        <v>2</v>
      </c>
      <c r="D109" s="191">
        <v>3</v>
      </c>
      <c r="E109" s="191">
        <v>4</v>
      </c>
      <c r="F109" s="170">
        <v>5</v>
      </c>
      <c r="G109" s="170">
        <v>6</v>
      </c>
      <c r="H109" s="170">
        <v>7</v>
      </c>
      <c r="I109" s="170">
        <v>8</v>
      </c>
      <c r="J109" s="170">
        <v>9</v>
      </c>
      <c r="K109" s="192"/>
      <c r="L109" s="192"/>
      <c r="M109" s="193"/>
    </row>
    <row r="110" spans="1:18" s="189" customFormat="1" ht="16.399999999999999" customHeight="1">
      <c r="A110" s="672"/>
      <c r="B110" s="195" t="s">
        <v>208</v>
      </c>
      <c r="C110" s="195" t="s">
        <v>157</v>
      </c>
      <c r="D110" s="194" t="s">
        <v>209</v>
      </c>
      <c r="E110" s="194" t="s">
        <v>158</v>
      </c>
      <c r="F110" s="195" t="s">
        <v>357</v>
      </c>
      <c r="G110" s="196" t="s">
        <v>137</v>
      </c>
      <c r="H110" s="197" t="s">
        <v>210</v>
      </c>
      <c r="I110" s="196" t="s">
        <v>387</v>
      </c>
      <c r="J110" s="196" t="s">
        <v>143</v>
      </c>
      <c r="K110" s="198"/>
      <c r="L110" s="198"/>
      <c r="M110" s="190"/>
      <c r="N110" s="199"/>
      <c r="O110" s="199"/>
      <c r="P110" s="199"/>
      <c r="Q110" s="199"/>
      <c r="R110" s="199"/>
    </row>
    <row r="111" spans="1:18" s="178" customFormat="1" ht="15.75" customHeight="1">
      <c r="A111" s="673" t="s">
        <v>190</v>
      </c>
      <c r="B111" s="673"/>
      <c r="C111" s="160" t="s">
        <v>47</v>
      </c>
      <c r="D111" s="673" t="s">
        <v>12</v>
      </c>
      <c r="E111" s="675"/>
      <c r="F111" s="675"/>
      <c r="G111" s="160" t="s">
        <v>46</v>
      </c>
      <c r="H111" s="160" t="s">
        <v>388</v>
      </c>
      <c r="I111" s="160" t="s">
        <v>389</v>
      </c>
      <c r="J111" s="160" t="s">
        <v>334</v>
      </c>
      <c r="K111" s="673" t="s">
        <v>51</v>
      </c>
      <c r="L111" s="675"/>
      <c r="M111" s="193"/>
      <c r="N111" s="189"/>
      <c r="O111" s="199"/>
      <c r="P111" s="430"/>
      <c r="Q111" s="430"/>
      <c r="R111" s="199"/>
    </row>
    <row r="112" spans="1:18" s="189" customFormat="1" ht="15.75" customHeight="1">
      <c r="A112" s="672">
        <v>3</v>
      </c>
      <c r="B112" s="673" t="s">
        <v>391</v>
      </c>
      <c r="C112" s="200">
        <v>1</v>
      </c>
      <c r="D112" s="668" t="s">
        <v>608</v>
      </c>
      <c r="E112" s="669"/>
      <c r="F112" s="669"/>
      <c r="G112" s="200">
        <v>6</v>
      </c>
      <c r="H112" s="202">
        <v>3262.2071688179444</v>
      </c>
      <c r="I112" s="203">
        <v>543.7011948029907</v>
      </c>
      <c r="J112" s="221">
        <f>I112-I86</f>
        <v>0.10678103565101082</v>
      </c>
      <c r="K112" s="668" t="s">
        <v>464</v>
      </c>
      <c r="L112" s="669"/>
      <c r="M112" s="190"/>
      <c r="O112" s="199"/>
      <c r="P112" s="430"/>
      <c r="Q112" s="430"/>
      <c r="R112" s="199"/>
    </row>
    <row r="113" spans="1:18" s="189" customFormat="1" ht="15.75" customHeight="1">
      <c r="A113" s="672"/>
      <c r="B113" s="673"/>
      <c r="C113" s="200">
        <v>2</v>
      </c>
      <c r="D113" s="668" t="s">
        <v>356</v>
      </c>
      <c r="E113" s="669"/>
      <c r="F113" s="669"/>
      <c r="G113" s="200">
        <v>22</v>
      </c>
      <c r="H113" s="202">
        <v>2628.1596706063929</v>
      </c>
      <c r="I113" s="203">
        <v>119.46180320938149</v>
      </c>
      <c r="J113" s="221">
        <f>I113-I87</f>
        <v>-2.3680267862928872E-2</v>
      </c>
      <c r="K113" s="668" t="s">
        <v>464</v>
      </c>
      <c r="L113" s="669"/>
      <c r="M113" s="190"/>
      <c r="O113" s="199"/>
      <c r="P113" s="430"/>
      <c r="Q113" s="430"/>
      <c r="R113" s="199"/>
    </row>
    <row r="114" spans="1:18" s="189" customFormat="1" ht="15.75" customHeight="1">
      <c r="A114" s="672"/>
      <c r="B114" s="673"/>
      <c r="C114" s="200">
        <v>3</v>
      </c>
      <c r="D114" s="668"/>
      <c r="E114" s="669"/>
      <c r="F114" s="669"/>
      <c r="G114" s="200"/>
      <c r="H114" s="202"/>
      <c r="I114" s="203"/>
      <c r="J114" s="200"/>
      <c r="K114" s="668"/>
      <c r="L114" s="669"/>
      <c r="M114" s="190"/>
      <c r="O114" s="199"/>
      <c r="P114" s="430"/>
      <c r="Q114" s="430"/>
      <c r="R114" s="199"/>
    </row>
    <row r="115" spans="1:18" s="189" customFormat="1" ht="15.75" customHeight="1">
      <c r="A115" s="672"/>
      <c r="B115" s="673"/>
      <c r="C115" s="200">
        <v>4</v>
      </c>
      <c r="D115" s="668"/>
      <c r="E115" s="669"/>
      <c r="F115" s="669"/>
      <c r="G115" s="200"/>
      <c r="H115" s="202"/>
      <c r="I115" s="203"/>
      <c r="J115" s="200"/>
      <c r="K115" s="668"/>
      <c r="L115" s="669"/>
      <c r="M115" s="190"/>
      <c r="O115" s="199"/>
      <c r="P115" s="430"/>
      <c r="Q115" s="430"/>
      <c r="R115" s="199"/>
    </row>
    <row r="116" spans="1:18" s="189" customFormat="1" ht="15.75" customHeight="1">
      <c r="A116" s="672"/>
      <c r="B116" s="673"/>
      <c r="C116" s="200">
        <v>5</v>
      </c>
      <c r="D116" s="668"/>
      <c r="E116" s="669"/>
      <c r="F116" s="669"/>
      <c r="G116" s="200"/>
      <c r="H116" s="202"/>
      <c r="I116" s="203"/>
      <c r="J116" s="200"/>
      <c r="K116" s="668"/>
      <c r="L116" s="669"/>
      <c r="M116" s="190"/>
      <c r="O116" s="199"/>
      <c r="P116" s="430"/>
      <c r="Q116" s="430"/>
      <c r="R116" s="199"/>
    </row>
    <row r="117" spans="1:18" s="189" customFormat="1" ht="15.75" customHeight="1">
      <c r="A117" s="672"/>
      <c r="B117" s="673"/>
      <c r="C117" s="204" t="s">
        <v>206</v>
      </c>
      <c r="D117" s="668"/>
      <c r="E117" s="669"/>
      <c r="F117" s="669"/>
      <c r="G117" s="200"/>
      <c r="H117" s="202"/>
      <c r="I117" s="203"/>
      <c r="J117" s="200"/>
      <c r="K117" s="668"/>
      <c r="L117" s="669"/>
      <c r="M117" s="190"/>
      <c r="O117" s="199"/>
      <c r="P117" s="430"/>
      <c r="Q117" s="430"/>
      <c r="R117" s="199"/>
    </row>
    <row r="118" spans="1:18" s="189" customFormat="1" ht="15.75" customHeight="1">
      <c r="A118" s="672"/>
      <c r="B118" s="673"/>
      <c r="C118" s="204" t="s">
        <v>211</v>
      </c>
      <c r="D118" s="668"/>
      <c r="E118" s="669"/>
      <c r="F118" s="669"/>
      <c r="G118" s="200"/>
      <c r="H118" s="202"/>
      <c r="I118" s="203"/>
      <c r="J118" s="200"/>
      <c r="K118" s="668"/>
      <c r="L118" s="669"/>
      <c r="M118" s="190"/>
      <c r="N118" s="178"/>
      <c r="O118" s="178"/>
      <c r="P118" s="429"/>
      <c r="Q118" s="429"/>
      <c r="R118" s="178"/>
    </row>
    <row r="119" spans="1:18" s="189" customFormat="1" ht="15.75" customHeight="1">
      <c r="A119" s="672"/>
      <c r="B119" s="673"/>
      <c r="C119" s="204" t="s">
        <v>207</v>
      </c>
      <c r="D119" s="668"/>
      <c r="E119" s="669"/>
      <c r="F119" s="669"/>
      <c r="G119" s="202"/>
      <c r="H119" s="202"/>
      <c r="I119" s="203"/>
      <c r="J119" s="200"/>
      <c r="K119" s="668"/>
      <c r="L119" s="669"/>
      <c r="M119" s="190"/>
      <c r="O119" s="199"/>
      <c r="P119" s="430"/>
      <c r="Q119" s="430"/>
      <c r="R119" s="199"/>
    </row>
    <row r="120" spans="1:18" s="189" customFormat="1" ht="15.75" customHeight="1">
      <c r="A120" s="672"/>
      <c r="B120" s="673"/>
      <c r="C120" s="204" t="s">
        <v>212</v>
      </c>
      <c r="D120" s="668"/>
      <c r="E120" s="669"/>
      <c r="F120" s="669"/>
      <c r="G120" s="200"/>
      <c r="H120" s="202"/>
      <c r="I120" s="203"/>
      <c r="J120" s="200"/>
      <c r="K120" s="668"/>
      <c r="L120" s="669"/>
      <c r="O120" s="199"/>
      <c r="P120" s="430"/>
      <c r="Q120" s="430"/>
      <c r="R120" s="199"/>
    </row>
    <row r="121" spans="1:18" s="189" customFormat="1" ht="15.75" customHeight="1">
      <c r="A121" s="672"/>
      <c r="B121" s="673"/>
      <c r="C121" s="204" t="s">
        <v>213</v>
      </c>
      <c r="D121" s="668"/>
      <c r="E121" s="669"/>
      <c r="F121" s="669"/>
      <c r="G121" s="200"/>
      <c r="H121" s="202"/>
      <c r="I121" s="203"/>
      <c r="J121" s="200"/>
      <c r="K121" s="668"/>
      <c r="L121" s="669"/>
      <c r="O121" s="199"/>
      <c r="P121" s="430"/>
      <c r="Q121" s="430"/>
      <c r="R121" s="199"/>
    </row>
    <row r="122" spans="1:18" s="199" customFormat="1" ht="15.75" customHeight="1">
      <c r="A122" s="670" t="s">
        <v>190</v>
      </c>
      <c r="B122" s="670"/>
      <c r="C122" s="207" t="s">
        <v>47</v>
      </c>
      <c r="D122" s="670" t="s">
        <v>12</v>
      </c>
      <c r="E122" s="671"/>
      <c r="F122" s="671"/>
      <c r="G122" s="207" t="s">
        <v>46</v>
      </c>
      <c r="H122" s="207" t="s">
        <v>388</v>
      </c>
      <c r="I122" s="207" t="s">
        <v>389</v>
      </c>
      <c r="J122" s="160" t="s">
        <v>334</v>
      </c>
      <c r="K122" s="670" t="s">
        <v>51</v>
      </c>
      <c r="L122" s="671"/>
      <c r="M122" s="208"/>
      <c r="N122" s="189"/>
      <c r="P122" s="430"/>
      <c r="Q122" s="430"/>
    </row>
    <row r="123" spans="1:18" s="189" customFormat="1" ht="15.75" customHeight="1">
      <c r="A123" s="672">
        <v>4</v>
      </c>
      <c r="B123" s="673" t="s">
        <v>158</v>
      </c>
      <c r="C123" s="200">
        <v>1</v>
      </c>
      <c r="D123" s="668" t="s">
        <v>537</v>
      </c>
      <c r="E123" s="669"/>
      <c r="F123" s="669"/>
      <c r="G123" s="200">
        <v>6</v>
      </c>
      <c r="H123" s="202">
        <v>2963.5360653500061</v>
      </c>
      <c r="I123" s="203">
        <v>493.92267755833439</v>
      </c>
      <c r="J123" s="221">
        <f>I123-I98</f>
        <v>-0.26339734699035944</v>
      </c>
      <c r="K123" s="668" t="s">
        <v>464</v>
      </c>
      <c r="L123" s="669"/>
      <c r="N123" s="199"/>
      <c r="O123" s="199"/>
      <c r="P123" s="430"/>
      <c r="Q123" s="430"/>
      <c r="R123" s="199"/>
    </row>
    <row r="124" spans="1:18" s="189" customFormat="1" ht="15.75" customHeight="1">
      <c r="A124" s="672"/>
      <c r="B124" s="673"/>
      <c r="C124" s="200">
        <v>2</v>
      </c>
      <c r="D124" s="668" t="s">
        <v>609</v>
      </c>
      <c r="E124" s="669"/>
      <c r="F124" s="669"/>
      <c r="G124" s="200">
        <v>6</v>
      </c>
      <c r="H124" s="202">
        <v>2963.3539753813384</v>
      </c>
      <c r="I124" s="203">
        <v>493.89232923022308</v>
      </c>
      <c r="J124" s="221">
        <f>I124-I97</f>
        <v>-0.37773734191824815</v>
      </c>
      <c r="K124" s="668" t="s">
        <v>464</v>
      </c>
      <c r="L124" s="669"/>
      <c r="O124" s="199"/>
      <c r="P124" s="430"/>
      <c r="Q124" s="430"/>
      <c r="R124" s="199"/>
    </row>
    <row r="125" spans="1:18" s="189" customFormat="1" ht="15.75" customHeight="1">
      <c r="A125" s="672"/>
      <c r="B125" s="673"/>
      <c r="C125" s="200">
        <v>3</v>
      </c>
      <c r="D125" s="668"/>
      <c r="E125" s="669"/>
      <c r="F125" s="669"/>
      <c r="G125" s="200"/>
      <c r="H125" s="202"/>
      <c r="I125" s="203"/>
      <c r="J125" s="200"/>
      <c r="K125" s="668"/>
      <c r="L125" s="669"/>
      <c r="O125" s="199"/>
      <c r="P125" s="430"/>
      <c r="Q125" s="430"/>
      <c r="R125" s="199"/>
    </row>
    <row r="126" spans="1:18" s="189" customFormat="1" ht="15.75" customHeight="1">
      <c r="A126" s="672"/>
      <c r="B126" s="673"/>
      <c r="C126" s="200">
        <v>4</v>
      </c>
      <c r="D126" s="668"/>
      <c r="E126" s="669"/>
      <c r="F126" s="669"/>
      <c r="G126" s="200"/>
      <c r="H126" s="202"/>
      <c r="I126" s="203"/>
      <c r="J126" s="200"/>
      <c r="K126" s="668"/>
      <c r="L126" s="669"/>
      <c r="O126" s="199"/>
      <c r="P126" s="430"/>
      <c r="Q126" s="430"/>
      <c r="R126" s="199"/>
    </row>
    <row r="127" spans="1:18" s="189" customFormat="1" ht="15.75" customHeight="1">
      <c r="A127" s="672"/>
      <c r="B127" s="673"/>
      <c r="C127" s="200">
        <v>5</v>
      </c>
      <c r="D127" s="668"/>
      <c r="E127" s="669"/>
      <c r="F127" s="669"/>
      <c r="G127" s="200"/>
      <c r="H127" s="202"/>
      <c r="I127" s="203"/>
      <c r="J127" s="200"/>
      <c r="K127" s="668"/>
      <c r="L127" s="669"/>
      <c r="O127" s="199"/>
      <c r="P127" s="430"/>
      <c r="Q127" s="430"/>
      <c r="R127" s="199"/>
    </row>
    <row r="128" spans="1:18" s="189" customFormat="1" ht="15.75" customHeight="1">
      <c r="A128" s="672"/>
      <c r="B128" s="673"/>
      <c r="C128" s="204" t="s">
        <v>206</v>
      </c>
      <c r="D128" s="668"/>
      <c r="E128" s="669"/>
      <c r="F128" s="669"/>
      <c r="G128" s="200"/>
      <c r="H128" s="202"/>
      <c r="I128" s="203"/>
      <c r="J128" s="200"/>
      <c r="K128" s="668"/>
      <c r="L128" s="669"/>
      <c r="O128" s="199"/>
      <c r="P128" s="430"/>
      <c r="Q128" s="430"/>
      <c r="R128" s="199"/>
    </row>
    <row r="129" spans="1:18" s="189" customFormat="1" ht="15.75" customHeight="1">
      <c r="A129" s="672"/>
      <c r="B129" s="673"/>
      <c r="C129" s="204" t="s">
        <v>211</v>
      </c>
      <c r="D129" s="668"/>
      <c r="E129" s="669"/>
      <c r="F129" s="669"/>
      <c r="G129" s="200"/>
      <c r="H129" s="202"/>
      <c r="I129" s="203"/>
      <c r="J129" s="200"/>
      <c r="K129" s="668"/>
      <c r="L129" s="669"/>
      <c r="O129" s="199"/>
      <c r="P129" s="430"/>
      <c r="Q129" s="430"/>
      <c r="R129" s="199"/>
    </row>
    <row r="130" spans="1:18" s="189" customFormat="1" ht="15.75" customHeight="1">
      <c r="A130" s="672"/>
      <c r="B130" s="673"/>
      <c r="C130" s="204" t="s">
        <v>207</v>
      </c>
      <c r="D130" s="668"/>
      <c r="E130" s="669"/>
      <c r="F130" s="669"/>
      <c r="G130" s="200"/>
      <c r="H130" s="202"/>
      <c r="I130" s="203"/>
      <c r="J130" s="200"/>
      <c r="K130" s="668"/>
      <c r="L130" s="669"/>
      <c r="O130" s="199"/>
      <c r="P130" s="430"/>
      <c r="Q130" s="430"/>
      <c r="R130" s="199"/>
    </row>
    <row r="131" spans="1:18" s="189" customFormat="1" ht="15.75" customHeight="1">
      <c r="A131" s="672"/>
      <c r="B131" s="673"/>
      <c r="C131" s="204" t="s">
        <v>212</v>
      </c>
      <c r="D131" s="668"/>
      <c r="E131" s="669"/>
      <c r="F131" s="669"/>
      <c r="G131" s="200"/>
      <c r="H131" s="202"/>
      <c r="I131" s="203"/>
      <c r="J131" s="200"/>
      <c r="K131" s="668"/>
      <c r="L131" s="669"/>
      <c r="O131" s="199"/>
      <c r="P131" s="430"/>
      <c r="Q131" s="430"/>
      <c r="R131" s="199"/>
    </row>
    <row r="132" spans="1:18" s="189" customFormat="1" ht="15.75" customHeight="1">
      <c r="A132" s="672"/>
      <c r="B132" s="673"/>
      <c r="C132" s="204" t="s">
        <v>213</v>
      </c>
      <c r="D132" s="668"/>
      <c r="E132" s="669"/>
      <c r="F132" s="669"/>
      <c r="G132" s="200"/>
      <c r="H132" s="202"/>
      <c r="I132" s="203"/>
      <c r="J132" s="200"/>
      <c r="K132" s="668"/>
      <c r="L132" s="669"/>
      <c r="O132" s="199"/>
      <c r="P132" s="430"/>
      <c r="Q132" s="430"/>
      <c r="R132" s="199"/>
    </row>
    <row r="133" spans="1:18" s="189" customFormat="1" ht="15.75" customHeight="1">
      <c r="A133" s="674" t="s">
        <v>844</v>
      </c>
      <c r="B133" s="674"/>
      <c r="C133" s="674"/>
      <c r="D133" s="674"/>
      <c r="E133" s="674"/>
      <c r="F133" s="674"/>
      <c r="G133" s="674"/>
      <c r="H133" s="674"/>
      <c r="I133" s="674"/>
      <c r="J133" s="674"/>
      <c r="K133" s="674"/>
      <c r="L133" s="674"/>
    </row>
    <row r="134" spans="1:18" s="190" customFormat="1" ht="15.75" customHeight="1">
      <c r="A134" s="674"/>
      <c r="B134" s="674"/>
      <c r="C134" s="674"/>
      <c r="D134" s="674"/>
      <c r="E134" s="674"/>
      <c r="F134" s="674"/>
      <c r="G134" s="674"/>
      <c r="H134" s="674"/>
      <c r="I134" s="674"/>
      <c r="J134" s="674"/>
      <c r="K134" s="674"/>
      <c r="L134" s="674"/>
    </row>
    <row r="135" spans="1:18" s="178" customFormat="1" ht="16.399999999999999" customHeight="1">
      <c r="A135" s="672" t="s">
        <v>164</v>
      </c>
      <c r="B135" s="170">
        <v>1</v>
      </c>
      <c r="C135" s="170">
        <v>2</v>
      </c>
      <c r="D135" s="191">
        <v>3</v>
      </c>
      <c r="E135" s="191">
        <v>4</v>
      </c>
      <c r="F135" s="170">
        <v>5</v>
      </c>
      <c r="G135" s="170">
        <v>6</v>
      </c>
      <c r="H135" s="170">
        <v>7</v>
      </c>
      <c r="I135" s="170">
        <v>8</v>
      </c>
      <c r="J135" s="170">
        <v>9</v>
      </c>
      <c r="K135" s="192"/>
      <c r="L135" s="192"/>
      <c r="M135" s="193"/>
    </row>
    <row r="136" spans="1:18" s="189" customFormat="1" ht="16.399999999999999" customHeight="1">
      <c r="A136" s="672"/>
      <c r="B136" s="195" t="s">
        <v>208</v>
      </c>
      <c r="C136" s="195" t="s">
        <v>157</v>
      </c>
      <c r="D136" s="194" t="s">
        <v>209</v>
      </c>
      <c r="E136" s="194" t="s">
        <v>158</v>
      </c>
      <c r="F136" s="195" t="s">
        <v>357</v>
      </c>
      <c r="G136" s="196" t="s">
        <v>137</v>
      </c>
      <c r="H136" s="197" t="s">
        <v>210</v>
      </c>
      <c r="I136" s="196" t="s">
        <v>387</v>
      </c>
      <c r="J136" s="196" t="s">
        <v>143</v>
      </c>
      <c r="K136" s="198"/>
      <c r="L136" s="198"/>
      <c r="M136" s="190"/>
      <c r="N136" s="199"/>
      <c r="O136" s="199"/>
      <c r="P136" s="199"/>
      <c r="Q136" s="199"/>
      <c r="R136" s="199"/>
    </row>
    <row r="137" spans="1:18" s="178" customFormat="1" ht="15.75" customHeight="1">
      <c r="A137" s="673" t="s">
        <v>190</v>
      </c>
      <c r="B137" s="673"/>
      <c r="C137" s="160" t="s">
        <v>47</v>
      </c>
      <c r="D137" s="673" t="s">
        <v>12</v>
      </c>
      <c r="E137" s="675"/>
      <c r="F137" s="675"/>
      <c r="G137" s="160" t="s">
        <v>46</v>
      </c>
      <c r="H137" s="160" t="s">
        <v>388</v>
      </c>
      <c r="I137" s="160" t="s">
        <v>389</v>
      </c>
      <c r="J137" s="160" t="s">
        <v>334</v>
      </c>
      <c r="K137" s="673" t="s">
        <v>51</v>
      </c>
      <c r="L137" s="675"/>
      <c r="M137" s="193"/>
      <c r="N137" s="189"/>
      <c r="O137" s="199"/>
      <c r="P137" s="430"/>
      <c r="Q137" s="430"/>
      <c r="R137" s="199"/>
    </row>
    <row r="138" spans="1:18" s="189" customFormat="1" ht="15.75" customHeight="1">
      <c r="A138" s="672">
        <v>3</v>
      </c>
      <c r="B138" s="673" t="s">
        <v>391</v>
      </c>
      <c r="C138" s="200">
        <v>1</v>
      </c>
      <c r="D138" s="668" t="s">
        <v>608</v>
      </c>
      <c r="E138" s="669"/>
      <c r="F138" s="669"/>
      <c r="G138" s="200">
        <v>6</v>
      </c>
      <c r="H138" s="202">
        <v>3264.9104044486689</v>
      </c>
      <c r="I138" s="203">
        <v>544.15173407477812</v>
      </c>
      <c r="J138" s="221">
        <f>I138-I112</f>
        <v>0.45053927178742015</v>
      </c>
      <c r="K138" s="668"/>
      <c r="L138" s="669"/>
      <c r="M138" s="190"/>
      <c r="O138" s="199"/>
      <c r="P138" s="430"/>
      <c r="Q138" s="430"/>
      <c r="R138" s="199"/>
    </row>
    <row r="139" spans="1:18" s="189" customFormat="1" ht="15.75" customHeight="1">
      <c r="A139" s="672"/>
      <c r="B139" s="673"/>
      <c r="C139" s="200">
        <v>2</v>
      </c>
      <c r="D139" s="668" t="s">
        <v>356</v>
      </c>
      <c r="E139" s="669"/>
      <c r="F139" s="669"/>
      <c r="G139" s="200">
        <v>21</v>
      </c>
      <c r="H139" s="202">
        <v>2482.5941384975408</v>
      </c>
      <c r="I139" s="203">
        <v>118.21876849988291</v>
      </c>
      <c r="J139" s="221">
        <f>I139-I113</f>
        <v>-1.2430347094985734</v>
      </c>
      <c r="K139" s="668"/>
      <c r="L139" s="669"/>
      <c r="M139" s="190"/>
      <c r="O139" s="199"/>
      <c r="P139" s="430"/>
      <c r="Q139" s="430"/>
      <c r="R139" s="199"/>
    </row>
    <row r="140" spans="1:18" s="189" customFormat="1" ht="15.75" customHeight="1">
      <c r="A140" s="672"/>
      <c r="B140" s="673"/>
      <c r="C140" s="200">
        <v>3</v>
      </c>
      <c r="D140" s="668"/>
      <c r="E140" s="669"/>
      <c r="F140" s="669"/>
      <c r="G140" s="200"/>
      <c r="H140" s="202"/>
      <c r="I140" s="203"/>
      <c r="J140" s="200"/>
      <c r="K140" s="668"/>
      <c r="L140" s="669"/>
      <c r="M140" s="190"/>
      <c r="O140" s="199"/>
      <c r="P140" s="430"/>
      <c r="Q140" s="430"/>
      <c r="R140" s="199"/>
    </row>
    <row r="141" spans="1:18" s="189" customFormat="1" ht="15.75" customHeight="1">
      <c r="A141" s="672"/>
      <c r="B141" s="673"/>
      <c r="C141" s="200">
        <v>4</v>
      </c>
      <c r="D141" s="668"/>
      <c r="E141" s="669"/>
      <c r="F141" s="669"/>
      <c r="G141" s="200"/>
      <c r="H141" s="202"/>
      <c r="I141" s="203"/>
      <c r="J141" s="200"/>
      <c r="K141" s="668"/>
      <c r="L141" s="669"/>
      <c r="M141" s="190"/>
      <c r="O141" s="199"/>
      <c r="P141" s="430"/>
      <c r="Q141" s="430"/>
      <c r="R141" s="199"/>
    </row>
    <row r="142" spans="1:18" s="189" customFormat="1" ht="15.75" customHeight="1">
      <c r="A142" s="672"/>
      <c r="B142" s="673"/>
      <c r="C142" s="200">
        <v>5</v>
      </c>
      <c r="D142" s="668"/>
      <c r="E142" s="669"/>
      <c r="F142" s="669"/>
      <c r="G142" s="200"/>
      <c r="H142" s="202"/>
      <c r="I142" s="203"/>
      <c r="J142" s="200"/>
      <c r="K142" s="668"/>
      <c r="L142" s="669"/>
      <c r="M142" s="190"/>
      <c r="O142" s="199"/>
      <c r="P142" s="430"/>
      <c r="Q142" s="430"/>
      <c r="R142" s="199"/>
    </row>
    <row r="143" spans="1:18" s="189" customFormat="1" ht="15.75" customHeight="1">
      <c r="A143" s="672"/>
      <c r="B143" s="673"/>
      <c r="C143" s="204" t="s">
        <v>206</v>
      </c>
      <c r="D143" s="668"/>
      <c r="E143" s="669"/>
      <c r="F143" s="669"/>
      <c r="G143" s="200"/>
      <c r="H143" s="202"/>
      <c r="I143" s="203"/>
      <c r="J143" s="200"/>
      <c r="K143" s="668"/>
      <c r="L143" s="669"/>
      <c r="M143" s="190"/>
      <c r="O143" s="199"/>
      <c r="P143" s="430"/>
      <c r="Q143" s="430"/>
      <c r="R143" s="199"/>
    </row>
    <row r="144" spans="1:18" s="189" customFormat="1" ht="15.75" customHeight="1">
      <c r="A144" s="672"/>
      <c r="B144" s="673"/>
      <c r="C144" s="204" t="s">
        <v>211</v>
      </c>
      <c r="D144" s="668"/>
      <c r="E144" s="669"/>
      <c r="F144" s="669"/>
      <c r="G144" s="200"/>
      <c r="H144" s="202"/>
      <c r="I144" s="203"/>
      <c r="J144" s="200"/>
      <c r="K144" s="668"/>
      <c r="L144" s="669"/>
      <c r="M144" s="190"/>
      <c r="N144" s="178"/>
      <c r="O144" s="178"/>
      <c r="P144" s="429"/>
      <c r="Q144" s="429"/>
      <c r="R144" s="178"/>
    </row>
    <row r="145" spans="1:18" s="189" customFormat="1" ht="15.75" customHeight="1">
      <c r="A145" s="672"/>
      <c r="B145" s="673"/>
      <c r="C145" s="204" t="s">
        <v>207</v>
      </c>
      <c r="D145" s="668"/>
      <c r="E145" s="669"/>
      <c r="F145" s="669"/>
      <c r="G145" s="202"/>
      <c r="H145" s="202"/>
      <c r="I145" s="203"/>
      <c r="J145" s="200"/>
      <c r="K145" s="668"/>
      <c r="L145" s="669"/>
      <c r="M145" s="190"/>
      <c r="O145" s="199"/>
      <c r="P145" s="430"/>
      <c r="Q145" s="430"/>
      <c r="R145" s="199"/>
    </row>
    <row r="146" spans="1:18" s="189" customFormat="1" ht="15.75" customHeight="1">
      <c r="A146" s="672"/>
      <c r="B146" s="673"/>
      <c r="C146" s="204" t="s">
        <v>212</v>
      </c>
      <c r="D146" s="668"/>
      <c r="E146" s="669"/>
      <c r="F146" s="669"/>
      <c r="G146" s="200"/>
      <c r="H146" s="202"/>
      <c r="I146" s="203"/>
      <c r="J146" s="200"/>
      <c r="K146" s="668"/>
      <c r="L146" s="669"/>
      <c r="O146" s="199"/>
      <c r="P146" s="430"/>
      <c r="Q146" s="430"/>
      <c r="R146" s="199"/>
    </row>
    <row r="147" spans="1:18" s="189" customFormat="1" ht="15.75" customHeight="1">
      <c r="A147" s="672"/>
      <c r="B147" s="673"/>
      <c r="C147" s="204" t="s">
        <v>213</v>
      </c>
      <c r="D147" s="668"/>
      <c r="E147" s="669"/>
      <c r="F147" s="669"/>
      <c r="G147" s="200"/>
      <c r="H147" s="202"/>
      <c r="I147" s="203"/>
      <c r="J147" s="200"/>
      <c r="K147" s="668"/>
      <c r="L147" s="669"/>
      <c r="O147" s="199"/>
      <c r="P147" s="430"/>
      <c r="Q147" s="430"/>
      <c r="R147" s="199"/>
    </row>
    <row r="148" spans="1:18" s="199" customFormat="1" ht="15.75" customHeight="1">
      <c r="A148" s="670" t="s">
        <v>190</v>
      </c>
      <c r="B148" s="670"/>
      <c r="C148" s="207" t="s">
        <v>47</v>
      </c>
      <c r="D148" s="670" t="s">
        <v>12</v>
      </c>
      <c r="E148" s="671"/>
      <c r="F148" s="671"/>
      <c r="G148" s="207" t="s">
        <v>46</v>
      </c>
      <c r="H148" s="207" t="s">
        <v>388</v>
      </c>
      <c r="I148" s="207" t="s">
        <v>389</v>
      </c>
      <c r="J148" s="160" t="s">
        <v>334</v>
      </c>
      <c r="K148" s="670" t="s">
        <v>51</v>
      </c>
      <c r="L148" s="671"/>
      <c r="M148" s="208"/>
      <c r="N148" s="189"/>
      <c r="P148" s="430"/>
      <c r="Q148" s="430"/>
    </row>
    <row r="149" spans="1:18" s="189" customFormat="1" ht="15.75" customHeight="1">
      <c r="A149" s="672">
        <v>4</v>
      </c>
      <c r="B149" s="673" t="s">
        <v>158</v>
      </c>
      <c r="C149" s="200">
        <v>1</v>
      </c>
      <c r="D149" s="668" t="s">
        <v>537</v>
      </c>
      <c r="E149" s="669"/>
      <c r="F149" s="669"/>
      <c r="G149" s="200">
        <v>6</v>
      </c>
      <c r="H149" s="202">
        <v>2964.1246242900002</v>
      </c>
      <c r="I149" s="203">
        <v>494.02077071499991</v>
      </c>
      <c r="J149" s="221">
        <f>I149-I124</f>
        <v>0.12844148477682893</v>
      </c>
      <c r="K149" s="668"/>
      <c r="L149" s="669"/>
      <c r="N149" s="199"/>
      <c r="O149" s="199"/>
      <c r="P149" s="430"/>
      <c r="Q149" s="430"/>
      <c r="R149" s="199"/>
    </row>
    <row r="150" spans="1:18" s="189" customFormat="1" ht="15.75" customHeight="1">
      <c r="A150" s="672"/>
      <c r="B150" s="673"/>
      <c r="C150" s="200">
        <v>2</v>
      </c>
      <c r="D150" s="668" t="s">
        <v>609</v>
      </c>
      <c r="E150" s="669"/>
      <c r="F150" s="669"/>
      <c r="G150" s="200">
        <v>6</v>
      </c>
      <c r="H150" s="202">
        <v>2963.6252276268456</v>
      </c>
      <c r="I150" s="203">
        <v>493.93753793780758</v>
      </c>
      <c r="J150" s="221">
        <f>I150-I123</f>
        <v>1.4860379473191188E-2</v>
      </c>
      <c r="K150" s="668"/>
      <c r="L150" s="669"/>
      <c r="O150" s="199"/>
      <c r="P150" s="430"/>
      <c r="Q150" s="430"/>
      <c r="R150" s="199"/>
    </row>
    <row r="151" spans="1:18" s="189" customFormat="1" ht="15.75" customHeight="1">
      <c r="A151" s="672"/>
      <c r="B151" s="673"/>
      <c r="C151" s="200">
        <v>3</v>
      </c>
      <c r="D151" s="668"/>
      <c r="E151" s="669"/>
      <c r="F151" s="669"/>
      <c r="G151" s="200"/>
      <c r="H151" s="202"/>
      <c r="I151" s="203"/>
      <c r="J151" s="200"/>
      <c r="K151" s="668"/>
      <c r="L151" s="669"/>
      <c r="O151" s="199"/>
      <c r="P151" s="430"/>
      <c r="Q151" s="430"/>
      <c r="R151" s="199"/>
    </row>
    <row r="152" spans="1:18" s="189" customFormat="1" ht="15.75" customHeight="1">
      <c r="A152" s="672"/>
      <c r="B152" s="673"/>
      <c r="C152" s="200">
        <v>4</v>
      </c>
      <c r="D152" s="668"/>
      <c r="E152" s="669"/>
      <c r="F152" s="669"/>
      <c r="G152" s="200"/>
      <c r="H152" s="202"/>
      <c r="I152" s="203"/>
      <c r="J152" s="200"/>
      <c r="K152" s="668"/>
      <c r="L152" s="669"/>
      <c r="O152" s="199"/>
      <c r="P152" s="430"/>
      <c r="Q152" s="430"/>
      <c r="R152" s="199"/>
    </row>
    <row r="153" spans="1:18" s="189" customFormat="1" ht="15.75" customHeight="1">
      <c r="A153" s="672"/>
      <c r="B153" s="673"/>
      <c r="C153" s="200">
        <v>5</v>
      </c>
      <c r="D153" s="668"/>
      <c r="E153" s="669"/>
      <c r="F153" s="669"/>
      <c r="G153" s="200"/>
      <c r="H153" s="202"/>
      <c r="I153" s="203"/>
      <c r="J153" s="200"/>
      <c r="K153" s="668"/>
      <c r="L153" s="669"/>
      <c r="O153" s="199"/>
      <c r="P153" s="430"/>
      <c r="Q153" s="430"/>
      <c r="R153" s="199"/>
    </row>
    <row r="154" spans="1:18" s="189" customFormat="1" ht="15.75" customHeight="1">
      <c r="A154" s="672"/>
      <c r="B154" s="673"/>
      <c r="C154" s="204" t="s">
        <v>206</v>
      </c>
      <c r="D154" s="668"/>
      <c r="E154" s="669"/>
      <c r="F154" s="669"/>
      <c r="G154" s="200"/>
      <c r="H154" s="202"/>
      <c r="I154" s="203"/>
      <c r="J154" s="200"/>
      <c r="K154" s="668"/>
      <c r="L154" s="669"/>
      <c r="O154" s="199"/>
      <c r="P154" s="430"/>
      <c r="Q154" s="430"/>
      <c r="R154" s="199"/>
    </row>
    <row r="155" spans="1:18" s="189" customFormat="1" ht="15.75" customHeight="1">
      <c r="A155" s="672"/>
      <c r="B155" s="673"/>
      <c r="C155" s="204" t="s">
        <v>211</v>
      </c>
      <c r="D155" s="668"/>
      <c r="E155" s="669"/>
      <c r="F155" s="669"/>
      <c r="G155" s="200"/>
      <c r="H155" s="202"/>
      <c r="I155" s="203"/>
      <c r="J155" s="200"/>
      <c r="K155" s="668"/>
      <c r="L155" s="669"/>
      <c r="O155" s="199"/>
      <c r="P155" s="430"/>
      <c r="Q155" s="430"/>
      <c r="R155" s="199"/>
    </row>
    <row r="156" spans="1:18" s="189" customFormat="1" ht="15.75" customHeight="1">
      <c r="A156" s="672"/>
      <c r="B156" s="673"/>
      <c r="C156" s="204" t="s">
        <v>207</v>
      </c>
      <c r="D156" s="668"/>
      <c r="E156" s="669"/>
      <c r="F156" s="669"/>
      <c r="G156" s="200"/>
      <c r="H156" s="202"/>
      <c r="I156" s="203"/>
      <c r="J156" s="200"/>
      <c r="K156" s="668"/>
      <c r="L156" s="669"/>
      <c r="O156" s="199"/>
      <c r="P156" s="430"/>
      <c r="Q156" s="430"/>
      <c r="R156" s="199"/>
    </row>
    <row r="157" spans="1:18" s="189" customFormat="1" ht="15.75" customHeight="1">
      <c r="A157" s="672"/>
      <c r="B157" s="673"/>
      <c r="C157" s="204" t="s">
        <v>212</v>
      </c>
      <c r="D157" s="668"/>
      <c r="E157" s="669"/>
      <c r="F157" s="669"/>
      <c r="G157" s="200"/>
      <c r="H157" s="202"/>
      <c r="I157" s="203"/>
      <c r="J157" s="200"/>
      <c r="K157" s="668"/>
      <c r="L157" s="669"/>
      <c r="O157" s="199"/>
      <c r="P157" s="430"/>
      <c r="Q157" s="430"/>
      <c r="R157" s="199"/>
    </row>
    <row r="158" spans="1:18" s="189" customFormat="1" ht="15.75" customHeight="1">
      <c r="A158" s="672"/>
      <c r="B158" s="673"/>
      <c r="C158" s="204" t="s">
        <v>213</v>
      </c>
      <c r="D158" s="668"/>
      <c r="E158" s="669"/>
      <c r="F158" s="669"/>
      <c r="G158" s="200"/>
      <c r="H158" s="202"/>
      <c r="I158" s="203"/>
      <c r="J158" s="200"/>
      <c r="K158" s="668"/>
      <c r="L158" s="669"/>
      <c r="O158" s="199"/>
      <c r="P158" s="430"/>
      <c r="Q158" s="430"/>
      <c r="R158" s="199"/>
    </row>
  </sheetData>
  <mergeCells count="313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K26:L26"/>
    <mergeCell ref="A3:L4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A1:L2"/>
    <mergeCell ref="K14:L14"/>
    <mergeCell ref="D15:F15"/>
    <mergeCell ref="K15:L15"/>
    <mergeCell ref="D16:F16"/>
    <mergeCell ref="D12:F12"/>
    <mergeCell ref="K12:L12"/>
    <mergeCell ref="D13:F13"/>
    <mergeCell ref="K13:L13"/>
    <mergeCell ref="D14:F14"/>
    <mergeCell ref="K16:L16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K27:L27"/>
    <mergeCell ref="D28:F28"/>
    <mergeCell ref="K28:L28"/>
    <mergeCell ref="D25:F25"/>
    <mergeCell ref="K25:L25"/>
    <mergeCell ref="D26:F26"/>
    <mergeCell ref="A29:L30"/>
    <mergeCell ref="A31:A32"/>
    <mergeCell ref="A33:B33"/>
    <mergeCell ref="D33:F33"/>
    <mergeCell ref="K33:L33"/>
    <mergeCell ref="A34:A43"/>
    <mergeCell ref="B34:B43"/>
    <mergeCell ref="D34:F34"/>
    <mergeCell ref="D35:F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34:L34"/>
    <mergeCell ref="K35:L35"/>
    <mergeCell ref="K54:L54"/>
    <mergeCell ref="K42:L42"/>
    <mergeCell ref="D43:F43"/>
    <mergeCell ref="K43:L43"/>
    <mergeCell ref="K144:L144"/>
    <mergeCell ref="D145:F145"/>
    <mergeCell ref="K145:L145"/>
    <mergeCell ref="D52:F52"/>
    <mergeCell ref="K52:L52"/>
    <mergeCell ref="D68:F68"/>
    <mergeCell ref="K45:L45"/>
    <mergeCell ref="K46:L46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81:L82"/>
    <mergeCell ref="A83:A84"/>
    <mergeCell ref="A85:B85"/>
    <mergeCell ref="D146:F146"/>
    <mergeCell ref="A44:B44"/>
    <mergeCell ref="D44:F44"/>
    <mergeCell ref="K44:L44"/>
    <mergeCell ref="A45:A54"/>
    <mergeCell ref="B45:B54"/>
    <mergeCell ref="D45:F45"/>
    <mergeCell ref="D46:F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K66:L66"/>
    <mergeCell ref="D67:F67"/>
    <mergeCell ref="K67:L67"/>
    <mergeCell ref="D53:F53"/>
    <mergeCell ref="K53:L53"/>
    <mergeCell ref="D54:F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R158"/>
  <sheetViews>
    <sheetView view="pageBreakPreview" topLeftCell="A124" zoomScaleNormal="60" zoomScaleSheetLayoutView="100" workbookViewId="0">
      <selection activeCell="M133" sqref="A133:XFD134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7" t="s">
        <v>386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99"/>
    </row>
    <row r="2" spans="1:18" s="100" customFormat="1" ht="15.75" customHeight="1">
      <c r="A2" s="507"/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N2" s="190"/>
      <c r="O2" s="190"/>
      <c r="P2" s="190"/>
      <c r="Q2" s="190"/>
      <c r="R2" s="190"/>
    </row>
    <row r="3" spans="1:18" s="189" customFormat="1" ht="15.75" customHeight="1">
      <c r="A3" s="674" t="s">
        <v>558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</row>
    <row r="4" spans="1:18" s="190" customFormat="1" ht="15.75" customHeight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</row>
    <row r="5" spans="1:18" s="106" customFormat="1" ht="16.399999999999999" customHeight="1">
      <c r="A5" s="672" t="s">
        <v>164</v>
      </c>
      <c r="B5" s="170">
        <v>1</v>
      </c>
      <c r="C5" s="170">
        <v>2</v>
      </c>
      <c r="D5" s="170">
        <v>3</v>
      </c>
      <c r="E5" s="170">
        <v>4</v>
      </c>
      <c r="F5" s="191">
        <v>5</v>
      </c>
      <c r="G5" s="191">
        <v>6</v>
      </c>
      <c r="H5" s="170">
        <v>7</v>
      </c>
      <c r="I5" s="170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99999999999999" customHeight="1">
      <c r="A6" s="672"/>
      <c r="B6" s="195" t="s">
        <v>208</v>
      </c>
      <c r="C6" s="195" t="s">
        <v>157</v>
      </c>
      <c r="D6" s="195" t="s">
        <v>209</v>
      </c>
      <c r="E6" s="195" t="s">
        <v>158</v>
      </c>
      <c r="F6" s="194" t="s">
        <v>357</v>
      </c>
      <c r="G6" s="209" t="s">
        <v>137</v>
      </c>
      <c r="H6" s="197" t="s">
        <v>210</v>
      </c>
      <c r="I6" s="196" t="s">
        <v>387</v>
      </c>
      <c r="J6" s="196" t="s">
        <v>143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73" t="s">
        <v>190</v>
      </c>
      <c r="B7" s="673"/>
      <c r="C7" s="160" t="s">
        <v>47</v>
      </c>
      <c r="D7" s="673" t="s">
        <v>12</v>
      </c>
      <c r="E7" s="675"/>
      <c r="F7" s="675"/>
      <c r="G7" s="160" t="s">
        <v>46</v>
      </c>
      <c r="H7" s="160" t="s">
        <v>388</v>
      </c>
      <c r="I7" s="160" t="s">
        <v>389</v>
      </c>
      <c r="J7" s="160" t="s">
        <v>334</v>
      </c>
      <c r="K7" s="673" t="s">
        <v>51</v>
      </c>
      <c r="L7" s="675"/>
      <c r="M7" s="127"/>
      <c r="N7" s="189"/>
      <c r="O7" s="431"/>
      <c r="P7" s="430"/>
      <c r="Q7" s="430"/>
      <c r="R7" s="199"/>
    </row>
    <row r="8" spans="1:18" ht="15.75" customHeight="1">
      <c r="A8" s="672">
        <v>5</v>
      </c>
      <c r="B8" s="673" t="s">
        <v>357</v>
      </c>
      <c r="C8" s="200">
        <v>1</v>
      </c>
      <c r="D8" s="668" t="s">
        <v>486</v>
      </c>
      <c r="E8" s="669"/>
      <c r="F8" s="669"/>
      <c r="G8" s="202">
        <v>19.142857142857142</v>
      </c>
      <c r="H8" s="202">
        <v>1783.774072644688</v>
      </c>
      <c r="I8" s="203">
        <v>93.212053675189409</v>
      </c>
      <c r="J8" s="376">
        <v>-0.60653161970520841</v>
      </c>
      <c r="K8" s="688" t="s">
        <v>614</v>
      </c>
      <c r="L8" s="683"/>
      <c r="N8" s="178"/>
      <c r="O8" s="432"/>
      <c r="P8" s="429"/>
      <c r="Q8" s="429"/>
      <c r="R8" s="178"/>
    </row>
    <row r="9" spans="1:18" ht="15.75" customHeight="1">
      <c r="A9" s="672"/>
      <c r="B9" s="673"/>
      <c r="C9" s="200">
        <v>2</v>
      </c>
      <c r="D9" s="668" t="s">
        <v>454</v>
      </c>
      <c r="E9" s="669"/>
      <c r="F9" s="669"/>
      <c r="G9" s="202">
        <v>20</v>
      </c>
      <c r="H9" s="202">
        <v>1784.4743599668157</v>
      </c>
      <c r="I9" s="203">
        <v>89.223717998340774</v>
      </c>
      <c r="J9" s="376">
        <v>3.6779982821485646E-2</v>
      </c>
      <c r="K9" s="682" t="s">
        <v>464</v>
      </c>
      <c r="L9" s="683"/>
      <c r="O9" s="431"/>
      <c r="P9" s="430"/>
      <c r="Q9" s="430"/>
      <c r="R9" s="199"/>
    </row>
    <row r="10" spans="1:18" ht="15.75" customHeight="1">
      <c r="A10" s="672"/>
      <c r="B10" s="673"/>
      <c r="C10" s="200">
        <v>3</v>
      </c>
      <c r="D10" s="668" t="s">
        <v>474</v>
      </c>
      <c r="E10" s="669"/>
      <c r="F10" s="669"/>
      <c r="G10" s="202">
        <v>21.142857142857142</v>
      </c>
      <c r="H10" s="202">
        <v>1784.3491569571138</v>
      </c>
      <c r="I10" s="203">
        <v>84.417141369531024</v>
      </c>
      <c r="J10" s="376">
        <v>-0.52242674518912224</v>
      </c>
      <c r="K10" s="688" t="s">
        <v>614</v>
      </c>
      <c r="L10" s="683"/>
      <c r="O10" s="431"/>
      <c r="P10" s="430"/>
      <c r="Q10" s="430"/>
      <c r="R10" s="199"/>
    </row>
    <row r="11" spans="1:18" ht="15.75" customHeight="1">
      <c r="A11" s="672"/>
      <c r="B11" s="673"/>
      <c r="C11" s="200">
        <v>4</v>
      </c>
      <c r="D11" s="668" t="s">
        <v>511</v>
      </c>
      <c r="E11" s="669"/>
      <c r="F11" s="669"/>
      <c r="G11" s="202">
        <v>19.142857142857142</v>
      </c>
      <c r="H11" s="202">
        <v>1604.4334908856597</v>
      </c>
      <c r="I11" s="203">
        <v>83.84071128628544</v>
      </c>
      <c r="J11" s="376">
        <v>-0.57463809971403634</v>
      </c>
      <c r="K11" s="688" t="s">
        <v>614</v>
      </c>
      <c r="L11" s="683"/>
      <c r="O11" s="431"/>
      <c r="P11" s="430"/>
      <c r="Q11" s="430"/>
      <c r="R11" s="199"/>
    </row>
    <row r="12" spans="1:18" ht="15.75" customHeight="1">
      <c r="A12" s="672"/>
      <c r="B12" s="673"/>
      <c r="C12" s="200">
        <v>5</v>
      </c>
      <c r="D12" s="668" t="s">
        <v>611</v>
      </c>
      <c r="E12" s="669"/>
      <c r="F12" s="669"/>
      <c r="G12" s="202">
        <v>21</v>
      </c>
      <c r="H12" s="202">
        <v>1619.3922604103543</v>
      </c>
      <c r="I12" s="203">
        <v>77.113917162397826</v>
      </c>
      <c r="J12" s="376"/>
      <c r="K12" s="686" t="s">
        <v>615</v>
      </c>
      <c r="L12" s="683"/>
      <c r="O12" s="431"/>
      <c r="P12" s="430"/>
      <c r="Q12" s="430"/>
      <c r="R12" s="199"/>
    </row>
    <row r="13" spans="1:18" ht="15.75" customHeight="1">
      <c r="A13" s="672"/>
      <c r="B13" s="673"/>
      <c r="C13" s="204" t="s">
        <v>206</v>
      </c>
      <c r="D13" s="668" t="s">
        <v>610</v>
      </c>
      <c r="E13" s="669"/>
      <c r="F13" s="669"/>
      <c r="G13" s="202">
        <v>21</v>
      </c>
      <c r="H13" s="202">
        <v>1457.1676300578042</v>
      </c>
      <c r="I13" s="203">
        <v>69.38893476465735</v>
      </c>
      <c r="J13" s="376"/>
      <c r="K13" s="686" t="s">
        <v>615</v>
      </c>
      <c r="L13" s="683"/>
      <c r="O13" s="431"/>
      <c r="P13" s="430"/>
      <c r="Q13" s="430"/>
      <c r="R13" s="199"/>
    </row>
    <row r="14" spans="1:18" ht="15.75" customHeight="1">
      <c r="A14" s="672"/>
      <c r="B14" s="673"/>
      <c r="C14" s="204" t="s">
        <v>211</v>
      </c>
      <c r="D14" s="668" t="s">
        <v>346</v>
      </c>
      <c r="E14" s="669"/>
      <c r="F14" s="669"/>
      <c r="G14" s="202">
        <v>25</v>
      </c>
      <c r="H14" s="202">
        <v>1782.7376248896433</v>
      </c>
      <c r="I14" s="203">
        <v>71.309504995585712</v>
      </c>
      <c r="J14" s="376">
        <v>2.1941443254945625E-2</v>
      </c>
      <c r="K14" s="682" t="s">
        <v>464</v>
      </c>
      <c r="L14" s="683"/>
      <c r="O14" s="199"/>
      <c r="P14" s="430"/>
      <c r="Q14" s="430"/>
      <c r="R14" s="199"/>
    </row>
    <row r="15" spans="1:18" ht="15.75" customHeight="1">
      <c r="A15" s="672"/>
      <c r="B15" s="673"/>
      <c r="C15" s="204" t="s">
        <v>207</v>
      </c>
      <c r="D15" s="668" t="s">
        <v>347</v>
      </c>
      <c r="E15" s="669"/>
      <c r="F15" s="669"/>
      <c r="G15" s="202">
        <v>23.142857142857142</v>
      </c>
      <c r="H15" s="202">
        <v>1781.5903238994902</v>
      </c>
      <c r="I15" s="203">
        <v>76.999289798463252</v>
      </c>
      <c r="J15" s="376">
        <v>-0.44900796239654994</v>
      </c>
      <c r="K15" s="688" t="s">
        <v>614</v>
      </c>
      <c r="L15" s="683"/>
      <c r="O15" s="431"/>
      <c r="P15" s="430"/>
      <c r="Q15" s="430"/>
      <c r="R15" s="199"/>
    </row>
    <row r="16" spans="1:18" ht="15.75" customHeight="1">
      <c r="A16" s="672"/>
      <c r="B16" s="673"/>
      <c r="C16" s="204" t="s">
        <v>212</v>
      </c>
      <c r="D16" s="668" t="s">
        <v>358</v>
      </c>
      <c r="E16" s="669"/>
      <c r="F16" s="669"/>
      <c r="G16" s="202">
        <v>23.142857142857142</v>
      </c>
      <c r="H16" s="202">
        <v>1782.6195886982309</v>
      </c>
      <c r="I16" s="203">
        <v>77.043873083483774</v>
      </c>
      <c r="J16" s="376">
        <v>-0.45714306564819651</v>
      </c>
      <c r="K16" s="688" t="s">
        <v>614</v>
      </c>
      <c r="L16" s="683"/>
      <c r="M16" s="99"/>
      <c r="O16" s="431"/>
      <c r="P16" s="430"/>
      <c r="Q16" s="430"/>
      <c r="R16" s="199"/>
    </row>
    <row r="17" spans="1:18" ht="15.75" customHeight="1">
      <c r="A17" s="672"/>
      <c r="B17" s="673"/>
      <c r="C17" s="204" t="s">
        <v>213</v>
      </c>
      <c r="D17" s="668" t="s">
        <v>345</v>
      </c>
      <c r="E17" s="669"/>
      <c r="F17" s="669"/>
      <c r="G17" s="202">
        <v>23.142857142857142</v>
      </c>
      <c r="H17" s="202">
        <v>1783.5847059920795</v>
      </c>
      <c r="I17" s="203">
        <v>77.085560479850727</v>
      </c>
      <c r="J17" s="376">
        <v>-0.42466634688051386</v>
      </c>
      <c r="K17" s="688" t="s">
        <v>614</v>
      </c>
      <c r="L17" s="683"/>
      <c r="M17" s="99"/>
      <c r="O17" s="431"/>
      <c r="P17" s="430"/>
      <c r="Q17" s="430"/>
      <c r="R17" s="199"/>
    </row>
    <row r="18" spans="1:18" s="104" customFormat="1" ht="15.75" customHeight="1">
      <c r="A18" s="670" t="s">
        <v>190</v>
      </c>
      <c r="B18" s="670"/>
      <c r="C18" s="207" t="s">
        <v>47</v>
      </c>
      <c r="D18" s="670" t="s">
        <v>12</v>
      </c>
      <c r="E18" s="671"/>
      <c r="F18" s="671"/>
      <c r="G18" s="207" t="s">
        <v>46</v>
      </c>
      <c r="H18" s="207" t="s">
        <v>388</v>
      </c>
      <c r="I18" s="207" t="s">
        <v>389</v>
      </c>
      <c r="J18" s="160" t="s">
        <v>334</v>
      </c>
      <c r="K18" s="670" t="s">
        <v>51</v>
      </c>
      <c r="L18" s="671"/>
      <c r="M18" s="128"/>
      <c r="N18" s="189"/>
      <c r="O18" s="431"/>
      <c r="P18" s="430"/>
      <c r="Q18" s="430"/>
      <c r="R18" s="199"/>
    </row>
    <row r="19" spans="1:18" ht="15.75" customHeight="1">
      <c r="A19" s="672">
        <v>6</v>
      </c>
      <c r="B19" s="673" t="s">
        <v>137</v>
      </c>
      <c r="C19" s="200">
        <v>1</v>
      </c>
      <c r="D19" s="668" t="s">
        <v>479</v>
      </c>
      <c r="E19" s="669"/>
      <c r="F19" s="669"/>
      <c r="G19" s="200">
        <v>20</v>
      </c>
      <c r="H19" s="202">
        <v>1784.2695062691528</v>
      </c>
      <c r="I19" s="203">
        <v>89.213475313457636</v>
      </c>
      <c r="J19" s="376">
        <v>5.4508938974365151E-2</v>
      </c>
      <c r="K19" s="682" t="s">
        <v>464</v>
      </c>
      <c r="L19" s="683"/>
      <c r="M19" s="99"/>
      <c r="N19" s="199"/>
      <c r="O19" s="199"/>
      <c r="P19" s="430"/>
      <c r="Q19" s="430"/>
      <c r="R19" s="199"/>
    </row>
    <row r="20" spans="1:18" ht="15.75" customHeight="1">
      <c r="A20" s="672"/>
      <c r="B20" s="673"/>
      <c r="C20" s="200">
        <v>2</v>
      </c>
      <c r="D20" s="668" t="s">
        <v>360</v>
      </c>
      <c r="E20" s="669"/>
      <c r="F20" s="669"/>
      <c r="G20" s="202">
        <v>21</v>
      </c>
      <c r="H20" s="202">
        <v>1782.2501293544603</v>
      </c>
      <c r="I20" s="203">
        <v>84.869053778783822</v>
      </c>
      <c r="J20" s="376">
        <v>3.1367016443695661E-2</v>
      </c>
      <c r="K20" s="682" t="s">
        <v>464</v>
      </c>
      <c r="L20" s="683"/>
      <c r="M20" s="99"/>
      <c r="O20" s="199"/>
      <c r="P20" s="430"/>
      <c r="Q20" s="430"/>
      <c r="R20" s="199"/>
    </row>
    <row r="21" spans="1:18" ht="15.75" customHeight="1">
      <c r="A21" s="672"/>
      <c r="B21" s="673"/>
      <c r="C21" s="200">
        <v>3</v>
      </c>
      <c r="D21" s="668" t="s">
        <v>475</v>
      </c>
      <c r="E21" s="669"/>
      <c r="F21" s="669"/>
      <c r="G21" s="202">
        <v>22</v>
      </c>
      <c r="H21" s="202">
        <v>1784.1206429340968</v>
      </c>
      <c r="I21" s="203">
        <v>81.096392860640748</v>
      </c>
      <c r="J21" s="376">
        <v>5.3853254036937415E-2</v>
      </c>
      <c r="K21" s="682" t="s">
        <v>464</v>
      </c>
      <c r="L21" s="683"/>
      <c r="M21" s="99"/>
      <c r="O21" s="199"/>
      <c r="P21" s="430"/>
      <c r="Q21" s="430"/>
      <c r="R21" s="199"/>
    </row>
    <row r="22" spans="1:18" ht="15.75" customHeight="1">
      <c r="A22" s="672"/>
      <c r="B22" s="673"/>
      <c r="C22" s="200">
        <v>4</v>
      </c>
      <c r="D22" s="668" t="s">
        <v>471</v>
      </c>
      <c r="E22" s="669"/>
      <c r="F22" s="669"/>
      <c r="G22" s="200">
        <v>23</v>
      </c>
      <c r="H22" s="202">
        <v>1782.2096298160304</v>
      </c>
      <c r="I22" s="203">
        <v>77.487375209392638</v>
      </c>
      <c r="J22" s="376">
        <v>2.9533619702505121E-2</v>
      </c>
      <c r="K22" s="682" t="s">
        <v>464</v>
      </c>
      <c r="L22" s="683"/>
      <c r="M22" s="99"/>
      <c r="O22" s="199"/>
      <c r="P22" s="430"/>
      <c r="Q22" s="430"/>
      <c r="R22" s="199"/>
    </row>
    <row r="23" spans="1:18" ht="15.75" customHeight="1">
      <c r="A23" s="672"/>
      <c r="B23" s="673"/>
      <c r="C23" s="200">
        <v>5</v>
      </c>
      <c r="D23" s="668" t="s">
        <v>362</v>
      </c>
      <c r="E23" s="669"/>
      <c r="F23" s="669"/>
      <c r="G23" s="202">
        <v>23</v>
      </c>
      <c r="H23" s="202">
        <v>1781.7736633537672</v>
      </c>
      <c r="I23" s="203">
        <v>77.468420145815955</v>
      </c>
      <c r="J23" s="376">
        <v>1.1715947892298573E-2</v>
      </c>
      <c r="K23" s="682" t="s">
        <v>464</v>
      </c>
      <c r="L23" s="683"/>
      <c r="M23" s="99"/>
      <c r="O23" s="199"/>
      <c r="P23" s="430"/>
      <c r="Q23" s="430"/>
      <c r="R23" s="199"/>
    </row>
    <row r="24" spans="1:18" ht="15.75" customHeight="1">
      <c r="A24" s="672"/>
      <c r="B24" s="673"/>
      <c r="C24" s="204" t="s">
        <v>206</v>
      </c>
      <c r="D24" s="668" t="s">
        <v>361</v>
      </c>
      <c r="E24" s="669"/>
      <c r="F24" s="669"/>
      <c r="G24" s="200">
        <v>25</v>
      </c>
      <c r="H24" s="202">
        <v>1783.4880597698866</v>
      </c>
      <c r="I24" s="203">
        <v>71.339522390795452</v>
      </c>
      <c r="J24" s="376">
        <v>1.3423361642935561E-2</v>
      </c>
      <c r="K24" s="682" t="s">
        <v>464</v>
      </c>
      <c r="L24" s="683"/>
      <c r="M24" s="99"/>
      <c r="O24" s="199"/>
      <c r="P24" s="430"/>
      <c r="Q24" s="430"/>
      <c r="R24" s="199"/>
    </row>
    <row r="25" spans="1:18" ht="15.75" customHeight="1">
      <c r="A25" s="672"/>
      <c r="B25" s="673"/>
      <c r="C25" s="204" t="s">
        <v>211</v>
      </c>
      <c r="D25" s="668" t="s">
        <v>547</v>
      </c>
      <c r="E25" s="669"/>
      <c r="F25" s="669"/>
      <c r="G25" s="200">
        <v>24</v>
      </c>
      <c r="H25" s="202">
        <v>1784.3713560053361</v>
      </c>
      <c r="I25" s="203">
        <v>74.348806500222338</v>
      </c>
      <c r="J25" s="376">
        <v>-4.6351220934042203E-2</v>
      </c>
      <c r="K25" s="682" t="s">
        <v>464</v>
      </c>
      <c r="L25" s="683"/>
      <c r="M25" s="99"/>
      <c r="O25" s="199"/>
      <c r="P25" s="430"/>
      <c r="Q25" s="430"/>
      <c r="R25" s="199"/>
    </row>
    <row r="26" spans="1:18" ht="15.75" customHeight="1">
      <c r="A26" s="672"/>
      <c r="B26" s="673"/>
      <c r="C26" s="204" t="s">
        <v>207</v>
      </c>
      <c r="D26" s="668" t="s">
        <v>359</v>
      </c>
      <c r="E26" s="669"/>
      <c r="F26" s="669"/>
      <c r="G26" s="200">
        <v>24</v>
      </c>
      <c r="H26" s="202">
        <v>1784.6338514438482</v>
      </c>
      <c r="I26" s="203">
        <v>74.359743810160339</v>
      </c>
      <c r="J26" s="376">
        <v>3.0066555683470284</v>
      </c>
      <c r="K26" s="688" t="s">
        <v>616</v>
      </c>
      <c r="L26" s="683"/>
      <c r="M26" s="99"/>
      <c r="O26" s="199"/>
      <c r="P26" s="430"/>
      <c r="Q26" s="430"/>
      <c r="R26" s="199"/>
    </row>
    <row r="27" spans="1:18" ht="15.75" customHeight="1">
      <c r="A27" s="672"/>
      <c r="B27" s="673"/>
      <c r="C27" s="204" t="s">
        <v>212</v>
      </c>
      <c r="D27" s="668" t="s">
        <v>363</v>
      </c>
      <c r="E27" s="669"/>
      <c r="F27" s="669"/>
      <c r="G27" s="200">
        <v>24</v>
      </c>
      <c r="H27" s="202">
        <v>1784.9125193253587</v>
      </c>
      <c r="I27" s="203">
        <v>74.371354971889943</v>
      </c>
      <c r="J27" s="376">
        <v>4.8705581700190237E-2</v>
      </c>
      <c r="K27" s="682" t="s">
        <v>464</v>
      </c>
      <c r="L27" s="683"/>
      <c r="M27" s="99"/>
      <c r="O27" s="199"/>
      <c r="P27" s="430"/>
      <c r="Q27" s="430"/>
      <c r="R27" s="199"/>
    </row>
    <row r="28" spans="1:18" ht="15.75" customHeight="1">
      <c r="A28" s="672"/>
      <c r="B28" s="673"/>
      <c r="C28" s="204" t="s">
        <v>213</v>
      </c>
      <c r="D28" s="668"/>
      <c r="E28" s="669"/>
      <c r="F28" s="669"/>
      <c r="G28" s="200"/>
      <c r="H28" s="202"/>
      <c r="I28" s="203"/>
      <c r="J28" s="200"/>
      <c r="K28" s="668"/>
      <c r="L28" s="669"/>
      <c r="M28" s="99"/>
      <c r="O28" s="199"/>
      <c r="P28" s="430"/>
      <c r="Q28" s="430"/>
      <c r="R28" s="199"/>
    </row>
    <row r="29" spans="1:18" s="189" customFormat="1" ht="15.75" customHeight="1">
      <c r="A29" s="674" t="s">
        <v>617</v>
      </c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</row>
    <row r="30" spans="1:18" s="190" customFormat="1" ht="15.75" customHeight="1">
      <c r="A30" s="674"/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</row>
    <row r="31" spans="1:18" s="106" customFormat="1" ht="16.399999999999999" customHeight="1">
      <c r="A31" s="672" t="s">
        <v>164</v>
      </c>
      <c r="B31" s="170">
        <v>1</v>
      </c>
      <c r="C31" s="170">
        <v>2</v>
      </c>
      <c r="D31" s="170">
        <v>3</v>
      </c>
      <c r="E31" s="170">
        <v>4</v>
      </c>
      <c r="F31" s="191">
        <v>5</v>
      </c>
      <c r="G31" s="191">
        <v>6</v>
      </c>
      <c r="H31" s="170">
        <v>7</v>
      </c>
      <c r="I31" s="170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99999999999999" customHeight="1">
      <c r="A32" s="672"/>
      <c r="B32" s="195" t="s">
        <v>208</v>
      </c>
      <c r="C32" s="195" t="s">
        <v>157</v>
      </c>
      <c r="D32" s="195" t="s">
        <v>209</v>
      </c>
      <c r="E32" s="195" t="s">
        <v>158</v>
      </c>
      <c r="F32" s="194" t="s">
        <v>357</v>
      </c>
      <c r="G32" s="209" t="s">
        <v>137</v>
      </c>
      <c r="H32" s="197" t="s">
        <v>210</v>
      </c>
      <c r="I32" s="196" t="s">
        <v>387</v>
      </c>
      <c r="J32" s="196" t="s">
        <v>143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73" t="s">
        <v>190</v>
      </c>
      <c r="B33" s="673"/>
      <c r="C33" s="160" t="s">
        <v>47</v>
      </c>
      <c r="D33" s="673" t="s">
        <v>12</v>
      </c>
      <c r="E33" s="675"/>
      <c r="F33" s="675"/>
      <c r="G33" s="160" t="s">
        <v>46</v>
      </c>
      <c r="H33" s="160" t="s">
        <v>388</v>
      </c>
      <c r="I33" s="160" t="s">
        <v>389</v>
      </c>
      <c r="J33" s="160" t="s">
        <v>334</v>
      </c>
      <c r="K33" s="673" t="s">
        <v>51</v>
      </c>
      <c r="L33" s="675"/>
      <c r="M33" s="127"/>
      <c r="N33" s="189"/>
      <c r="O33" s="431"/>
      <c r="P33" s="430"/>
      <c r="Q33" s="430"/>
      <c r="R33" s="199"/>
    </row>
    <row r="34" spans="1:18" ht="15.75" customHeight="1">
      <c r="A34" s="672">
        <v>5</v>
      </c>
      <c r="B34" s="673" t="s">
        <v>357</v>
      </c>
      <c r="C34" s="200">
        <v>1</v>
      </c>
      <c r="D34" s="668" t="s">
        <v>486</v>
      </c>
      <c r="E34" s="669"/>
      <c r="F34" s="669"/>
      <c r="G34" s="202">
        <v>20</v>
      </c>
      <c r="H34" s="202">
        <v>1784.8428011894191</v>
      </c>
      <c r="I34" s="203">
        <v>89.242140059470941</v>
      </c>
      <c r="J34" s="376">
        <f>I34-I8</f>
        <v>-3.9699136157184682</v>
      </c>
      <c r="K34" s="687" t="s">
        <v>662</v>
      </c>
      <c r="L34" s="679"/>
      <c r="N34" s="178"/>
      <c r="O34" s="432"/>
      <c r="P34" s="429"/>
      <c r="Q34" s="429"/>
      <c r="R34" s="178"/>
    </row>
    <row r="35" spans="1:18" ht="15.75" customHeight="1">
      <c r="A35" s="672"/>
      <c r="B35" s="673"/>
      <c r="C35" s="200">
        <v>2</v>
      </c>
      <c r="D35" s="668" t="s">
        <v>611</v>
      </c>
      <c r="E35" s="669"/>
      <c r="F35" s="669"/>
      <c r="G35" s="200">
        <v>20.857142857142858</v>
      </c>
      <c r="H35" s="202">
        <v>1738.1094195632093</v>
      </c>
      <c r="I35" s="203">
        <v>83.374177873071417</v>
      </c>
      <c r="J35" s="376">
        <f>I35-I12</f>
        <v>6.2602607106735917</v>
      </c>
      <c r="K35" s="678" t="s">
        <v>663</v>
      </c>
      <c r="L35" s="679"/>
      <c r="O35" s="431"/>
      <c r="P35" s="430"/>
      <c r="Q35" s="430"/>
      <c r="R35" s="199"/>
    </row>
    <row r="36" spans="1:18" ht="15.75" customHeight="1">
      <c r="A36" s="672"/>
      <c r="B36" s="673"/>
      <c r="C36" s="200">
        <v>3</v>
      </c>
      <c r="D36" s="668" t="s">
        <v>511</v>
      </c>
      <c r="E36" s="669"/>
      <c r="F36" s="669"/>
      <c r="G36" s="202">
        <v>19.285714285714285</v>
      </c>
      <c r="H36" s="202">
        <v>1605.3008399026182</v>
      </c>
      <c r="I36" s="203">
        <v>83.282780703940801</v>
      </c>
      <c r="J36" s="376">
        <f>I36-I11</f>
        <v>-0.55793058234463899</v>
      </c>
      <c r="K36" s="678" t="s">
        <v>464</v>
      </c>
      <c r="L36" s="679"/>
      <c r="O36" s="431"/>
      <c r="P36" s="430"/>
      <c r="Q36" s="430"/>
      <c r="R36" s="199"/>
    </row>
    <row r="37" spans="1:18" ht="15.75" customHeight="1">
      <c r="A37" s="672"/>
      <c r="B37" s="673"/>
      <c r="C37" s="200">
        <v>4</v>
      </c>
      <c r="D37" s="668" t="s">
        <v>474</v>
      </c>
      <c r="E37" s="669"/>
      <c r="F37" s="669"/>
      <c r="G37" s="202">
        <v>22</v>
      </c>
      <c r="H37" s="202">
        <v>1785.0701032199675</v>
      </c>
      <c r="I37" s="203">
        <v>81.139550146362154</v>
      </c>
      <c r="J37" s="376">
        <f>I37-I10</f>
        <v>-3.2775912231688693</v>
      </c>
      <c r="K37" s="687" t="s">
        <v>662</v>
      </c>
      <c r="L37" s="679"/>
      <c r="O37" s="431"/>
      <c r="P37" s="430"/>
      <c r="Q37" s="430"/>
      <c r="R37" s="199"/>
    </row>
    <row r="38" spans="1:18" ht="15.75" customHeight="1">
      <c r="A38" s="672"/>
      <c r="B38" s="673"/>
      <c r="C38" s="200">
        <v>5</v>
      </c>
      <c r="D38" s="668" t="s">
        <v>345</v>
      </c>
      <c r="E38" s="669"/>
      <c r="F38" s="669"/>
      <c r="G38" s="200">
        <v>23.714285714285715</v>
      </c>
      <c r="H38" s="202">
        <v>1784.2539568060572</v>
      </c>
      <c r="I38" s="203">
        <v>75.26787979455068</v>
      </c>
      <c r="J38" s="376">
        <f>I38-I17</f>
        <v>-1.8176806853000471</v>
      </c>
      <c r="K38" s="687" t="s">
        <v>662</v>
      </c>
      <c r="L38" s="679"/>
      <c r="O38" s="431"/>
      <c r="P38" s="430"/>
      <c r="Q38" s="430"/>
      <c r="R38" s="199"/>
    </row>
    <row r="39" spans="1:18" ht="15.75" customHeight="1">
      <c r="A39" s="672"/>
      <c r="B39" s="673"/>
      <c r="C39" s="204" t="s">
        <v>206</v>
      </c>
      <c r="D39" s="668" t="s">
        <v>346</v>
      </c>
      <c r="E39" s="669"/>
      <c r="F39" s="669"/>
      <c r="G39" s="202">
        <v>26</v>
      </c>
      <c r="H39" s="202">
        <v>1782.9212825084401</v>
      </c>
      <c r="I39" s="203">
        <v>68.573895481093857</v>
      </c>
      <c r="J39" s="376">
        <f>I39-I14</f>
        <v>-2.7356095144918555</v>
      </c>
      <c r="K39" s="687" t="s">
        <v>662</v>
      </c>
      <c r="L39" s="679"/>
      <c r="O39" s="431"/>
      <c r="P39" s="430"/>
      <c r="Q39" s="430"/>
      <c r="R39" s="199"/>
    </row>
    <row r="40" spans="1:18" ht="15.75" customHeight="1">
      <c r="A40" s="672"/>
      <c r="B40" s="673"/>
      <c r="C40" s="204" t="s">
        <v>211</v>
      </c>
      <c r="D40" s="668" t="s">
        <v>347</v>
      </c>
      <c r="E40" s="669"/>
      <c r="F40" s="669"/>
      <c r="G40" s="202">
        <v>24</v>
      </c>
      <c r="H40" s="202">
        <v>1782.8561176929773</v>
      </c>
      <c r="I40" s="203">
        <v>74.2856715705407</v>
      </c>
      <c r="J40" s="376">
        <f>I40-I15</f>
        <v>-2.7136182279225523</v>
      </c>
      <c r="K40" s="687" t="s">
        <v>662</v>
      </c>
      <c r="L40" s="679"/>
      <c r="O40" s="199"/>
      <c r="P40" s="430"/>
      <c r="Q40" s="430"/>
      <c r="R40" s="199"/>
    </row>
    <row r="41" spans="1:18" ht="15.75" customHeight="1">
      <c r="A41" s="672"/>
      <c r="B41" s="673"/>
      <c r="C41" s="204" t="s">
        <v>207</v>
      </c>
      <c r="D41" s="668" t="s">
        <v>358</v>
      </c>
      <c r="E41" s="669"/>
      <c r="F41" s="669"/>
      <c r="G41" s="202">
        <v>24</v>
      </c>
      <c r="H41" s="202">
        <v>1782.9901372658494</v>
      </c>
      <c r="I41" s="203">
        <v>74.291255719410387</v>
      </c>
      <c r="J41" s="376">
        <f>I41-I16</f>
        <v>-2.7526173640733873</v>
      </c>
      <c r="K41" s="687" t="s">
        <v>662</v>
      </c>
      <c r="L41" s="679"/>
      <c r="O41" s="431"/>
      <c r="P41" s="430"/>
      <c r="Q41" s="430"/>
      <c r="R41" s="199"/>
    </row>
    <row r="42" spans="1:18" ht="15.75" customHeight="1">
      <c r="A42" s="672"/>
      <c r="B42" s="673"/>
      <c r="C42" s="204" t="s">
        <v>212</v>
      </c>
      <c r="D42" s="668" t="s">
        <v>610</v>
      </c>
      <c r="E42" s="669"/>
      <c r="F42" s="669"/>
      <c r="G42" s="202">
        <v>21</v>
      </c>
      <c r="H42" s="202">
        <v>1562.5789285299418</v>
      </c>
      <c r="I42" s="203">
        <v>74.408520406187691</v>
      </c>
      <c r="J42" s="376">
        <f>I42-I13</f>
        <v>5.019585641530341</v>
      </c>
      <c r="K42" s="687" t="s">
        <v>664</v>
      </c>
      <c r="L42" s="679"/>
      <c r="M42" s="99"/>
      <c r="O42" s="431"/>
      <c r="P42" s="430"/>
      <c r="Q42" s="430"/>
      <c r="R42" s="199"/>
    </row>
    <row r="43" spans="1:18" ht="15.75" customHeight="1">
      <c r="A43" s="672"/>
      <c r="B43" s="673"/>
      <c r="C43" s="204" t="s">
        <v>213</v>
      </c>
      <c r="D43" s="668"/>
      <c r="E43" s="669"/>
      <c r="F43" s="669"/>
      <c r="G43" s="202"/>
      <c r="H43" s="202"/>
      <c r="I43" s="203"/>
      <c r="J43" s="376"/>
      <c r="K43" s="687"/>
      <c r="L43" s="679"/>
      <c r="M43" s="99"/>
      <c r="O43" s="431"/>
      <c r="P43" s="430"/>
      <c r="Q43" s="430"/>
      <c r="R43" s="199"/>
    </row>
    <row r="44" spans="1:18" s="104" customFormat="1" ht="15.75" customHeight="1">
      <c r="A44" s="670" t="s">
        <v>190</v>
      </c>
      <c r="B44" s="670"/>
      <c r="C44" s="207" t="s">
        <v>47</v>
      </c>
      <c r="D44" s="670" t="s">
        <v>12</v>
      </c>
      <c r="E44" s="671"/>
      <c r="F44" s="671"/>
      <c r="G44" s="207" t="s">
        <v>46</v>
      </c>
      <c r="H44" s="207" t="s">
        <v>388</v>
      </c>
      <c r="I44" s="207" t="s">
        <v>389</v>
      </c>
      <c r="J44" s="160" t="s">
        <v>334</v>
      </c>
      <c r="K44" s="676" t="s">
        <v>50</v>
      </c>
      <c r="L44" s="677"/>
      <c r="M44" s="128"/>
      <c r="N44" s="189"/>
      <c r="O44" s="431"/>
      <c r="P44" s="430"/>
      <c r="Q44" s="430"/>
      <c r="R44" s="199"/>
    </row>
    <row r="45" spans="1:18" ht="15.75" customHeight="1">
      <c r="A45" s="672">
        <v>6</v>
      </c>
      <c r="B45" s="673" t="s">
        <v>137</v>
      </c>
      <c r="C45" s="200">
        <v>1</v>
      </c>
      <c r="D45" s="668" t="s">
        <v>479</v>
      </c>
      <c r="E45" s="669"/>
      <c r="F45" s="669"/>
      <c r="G45" s="200">
        <v>20.285714285714285</v>
      </c>
      <c r="H45" s="202">
        <v>1784.9220471684655</v>
      </c>
      <c r="I45" s="203">
        <v>88.032246893364331</v>
      </c>
      <c r="J45" s="376">
        <f>I45-I19</f>
        <v>-1.181228420093305</v>
      </c>
      <c r="K45" s="687" t="s">
        <v>662</v>
      </c>
      <c r="L45" s="679"/>
      <c r="M45" s="99"/>
      <c r="N45" s="199"/>
      <c r="O45" s="199"/>
      <c r="P45" s="430"/>
      <c r="Q45" s="430"/>
      <c r="R45" s="199"/>
    </row>
    <row r="46" spans="1:18" ht="15.75" customHeight="1">
      <c r="A46" s="672"/>
      <c r="B46" s="673"/>
      <c r="C46" s="200">
        <v>2</v>
      </c>
      <c r="D46" s="668" t="s">
        <v>475</v>
      </c>
      <c r="E46" s="669"/>
      <c r="F46" s="669"/>
      <c r="G46" s="202">
        <v>22</v>
      </c>
      <c r="H46" s="202">
        <v>1784.6364090540408</v>
      </c>
      <c r="I46" s="203">
        <v>81.119836775183686</v>
      </c>
      <c r="J46" s="376">
        <f>I46-I21</f>
        <v>2.3443914542937705E-2</v>
      </c>
      <c r="K46" s="678" t="s">
        <v>464</v>
      </c>
      <c r="L46" s="679"/>
      <c r="M46" s="99"/>
      <c r="O46" s="199"/>
      <c r="P46" s="430"/>
      <c r="Q46" s="430"/>
      <c r="R46" s="199"/>
    </row>
    <row r="47" spans="1:18" ht="15.75" customHeight="1">
      <c r="A47" s="672"/>
      <c r="B47" s="673"/>
      <c r="C47" s="200">
        <v>3</v>
      </c>
      <c r="D47" s="668" t="s">
        <v>360</v>
      </c>
      <c r="E47" s="669"/>
      <c r="F47" s="669"/>
      <c r="G47" s="202">
        <v>22</v>
      </c>
      <c r="H47" s="202">
        <v>1783.0670487844661</v>
      </c>
      <c r="I47" s="203">
        <v>81.048502217475729</v>
      </c>
      <c r="J47" s="376">
        <f>I47-I20</f>
        <v>-3.8205515613080934</v>
      </c>
      <c r="K47" s="687" t="s">
        <v>662</v>
      </c>
      <c r="L47" s="679"/>
      <c r="M47" s="99"/>
      <c r="O47" s="199"/>
      <c r="P47" s="430"/>
      <c r="Q47" s="430"/>
      <c r="R47" s="199"/>
    </row>
    <row r="48" spans="1:18" ht="15.75" customHeight="1">
      <c r="A48" s="672"/>
      <c r="B48" s="673"/>
      <c r="C48" s="200">
        <v>4</v>
      </c>
      <c r="D48" s="668" t="s">
        <v>359</v>
      </c>
      <c r="E48" s="669"/>
      <c r="F48" s="669"/>
      <c r="G48" s="200">
        <v>24</v>
      </c>
      <c r="H48" s="202">
        <v>1785.1305013372028</v>
      </c>
      <c r="I48" s="203">
        <v>74.380437555716782</v>
      </c>
      <c r="J48" s="376">
        <f>I48-I26</f>
        <v>2.0693745556442877E-2</v>
      </c>
      <c r="K48" s="678" t="s">
        <v>464</v>
      </c>
      <c r="L48" s="679"/>
      <c r="M48" s="99"/>
      <c r="O48" s="199"/>
      <c r="P48" s="430"/>
      <c r="Q48" s="430"/>
      <c r="R48" s="199"/>
    </row>
    <row r="49" spans="1:18" ht="15.75" customHeight="1">
      <c r="A49" s="672"/>
      <c r="B49" s="673"/>
      <c r="C49" s="200">
        <v>5</v>
      </c>
      <c r="D49" s="668" t="s">
        <v>471</v>
      </c>
      <c r="E49" s="669"/>
      <c r="F49" s="669"/>
      <c r="G49" s="202">
        <v>24</v>
      </c>
      <c r="H49" s="202">
        <v>1783.0739687201949</v>
      </c>
      <c r="I49" s="203">
        <v>74.294748696674787</v>
      </c>
      <c r="J49" s="376">
        <f>I49-I22</f>
        <v>-3.192626512717851</v>
      </c>
      <c r="K49" s="687" t="s">
        <v>662</v>
      </c>
      <c r="L49" s="679"/>
      <c r="M49" s="99"/>
      <c r="O49" s="199"/>
      <c r="P49" s="430"/>
      <c r="Q49" s="430"/>
      <c r="R49" s="199"/>
    </row>
    <row r="50" spans="1:18" ht="15.75" customHeight="1">
      <c r="A50" s="672"/>
      <c r="B50" s="673"/>
      <c r="C50" s="204" t="s">
        <v>206</v>
      </c>
      <c r="D50" s="668" t="s">
        <v>361</v>
      </c>
      <c r="E50" s="669"/>
      <c r="F50" s="669"/>
      <c r="G50" s="200">
        <v>26</v>
      </c>
      <c r="H50" s="202">
        <v>1783.8554768179031</v>
      </c>
      <c r="I50" s="203">
        <v>68.6098260314578</v>
      </c>
      <c r="J50" s="376">
        <f>I50-I24</f>
        <v>-2.7296963593376518</v>
      </c>
      <c r="K50" s="687" t="s">
        <v>662</v>
      </c>
      <c r="L50" s="679"/>
      <c r="M50" s="99"/>
      <c r="O50" s="199"/>
      <c r="P50" s="430"/>
      <c r="Q50" s="430"/>
      <c r="R50" s="199"/>
    </row>
    <row r="51" spans="1:18" ht="15.75" customHeight="1">
      <c r="A51" s="672"/>
      <c r="B51" s="673"/>
      <c r="C51" s="204" t="s">
        <v>211</v>
      </c>
      <c r="D51" s="668" t="s">
        <v>363</v>
      </c>
      <c r="E51" s="669"/>
      <c r="F51" s="669"/>
      <c r="G51" s="200">
        <v>25</v>
      </c>
      <c r="H51" s="202">
        <v>1785.1416155732684</v>
      </c>
      <c r="I51" s="203">
        <v>71.405664622930743</v>
      </c>
      <c r="J51" s="376">
        <f>I51-I27</f>
        <v>-2.9656903489591997</v>
      </c>
      <c r="K51" s="687" t="s">
        <v>662</v>
      </c>
      <c r="L51" s="679"/>
      <c r="M51" s="99"/>
      <c r="O51" s="199"/>
      <c r="P51" s="430"/>
      <c r="Q51" s="430"/>
      <c r="R51" s="199"/>
    </row>
    <row r="52" spans="1:18" ht="15.75" customHeight="1">
      <c r="A52" s="672"/>
      <c r="B52" s="673"/>
      <c r="C52" s="204" t="s">
        <v>207</v>
      </c>
      <c r="D52" s="668" t="s">
        <v>362</v>
      </c>
      <c r="E52" s="669"/>
      <c r="F52" s="669"/>
      <c r="G52" s="200">
        <v>24</v>
      </c>
      <c r="H52" s="202">
        <v>1782.012160607881</v>
      </c>
      <c r="I52" s="203">
        <v>74.250506691995028</v>
      </c>
      <c r="J52" s="376">
        <f>I52-I23</f>
        <v>-3.2179134538209269</v>
      </c>
      <c r="K52" s="687" t="s">
        <v>662</v>
      </c>
      <c r="L52" s="679"/>
      <c r="M52" s="99"/>
      <c r="O52" s="199"/>
      <c r="P52" s="430"/>
      <c r="Q52" s="430"/>
      <c r="R52" s="199"/>
    </row>
    <row r="53" spans="1:18" ht="15.75" customHeight="1">
      <c r="A53" s="672"/>
      <c r="B53" s="673"/>
      <c r="C53" s="204" t="s">
        <v>212</v>
      </c>
      <c r="D53" s="668"/>
      <c r="E53" s="669"/>
      <c r="F53" s="669"/>
      <c r="G53" s="200"/>
      <c r="H53" s="202"/>
      <c r="I53" s="203"/>
      <c r="J53" s="376"/>
      <c r="K53" s="682"/>
      <c r="L53" s="683"/>
      <c r="M53" s="99"/>
      <c r="O53" s="199"/>
      <c r="P53" s="430"/>
      <c r="Q53" s="430"/>
      <c r="R53" s="199"/>
    </row>
    <row r="54" spans="1:18" ht="15.75" customHeight="1">
      <c r="A54" s="672"/>
      <c r="B54" s="673"/>
      <c r="C54" s="204" t="s">
        <v>213</v>
      </c>
      <c r="D54" s="668"/>
      <c r="E54" s="669"/>
      <c r="F54" s="669"/>
      <c r="G54" s="200"/>
      <c r="H54" s="202"/>
      <c r="I54" s="203"/>
      <c r="J54" s="200"/>
      <c r="K54" s="668"/>
      <c r="L54" s="669"/>
      <c r="M54" s="99"/>
      <c r="O54" s="199"/>
      <c r="P54" s="430"/>
      <c r="Q54" s="430"/>
      <c r="R54" s="199"/>
    </row>
    <row r="55" spans="1:18" s="189" customFormat="1" ht="15.75" customHeight="1">
      <c r="A55" s="674" t="s">
        <v>694</v>
      </c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</row>
    <row r="56" spans="1:18" s="190" customFormat="1" ht="15.75" customHeight="1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</row>
    <row r="57" spans="1:18" s="106" customFormat="1" ht="16.399999999999999" customHeight="1">
      <c r="A57" s="672" t="s">
        <v>164</v>
      </c>
      <c r="B57" s="170">
        <v>1</v>
      </c>
      <c r="C57" s="170">
        <v>2</v>
      </c>
      <c r="D57" s="170">
        <v>3</v>
      </c>
      <c r="E57" s="170">
        <v>4</v>
      </c>
      <c r="F57" s="191">
        <v>5</v>
      </c>
      <c r="G57" s="191">
        <v>6</v>
      </c>
      <c r="H57" s="170">
        <v>7</v>
      </c>
      <c r="I57" s="170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99999999999999" customHeight="1">
      <c r="A58" s="672"/>
      <c r="B58" s="195" t="s">
        <v>208</v>
      </c>
      <c r="C58" s="195" t="s">
        <v>157</v>
      </c>
      <c r="D58" s="195" t="s">
        <v>209</v>
      </c>
      <c r="E58" s="195" t="s">
        <v>158</v>
      </c>
      <c r="F58" s="194" t="s">
        <v>357</v>
      </c>
      <c r="G58" s="209" t="s">
        <v>137</v>
      </c>
      <c r="H58" s="197" t="s">
        <v>210</v>
      </c>
      <c r="I58" s="196" t="s">
        <v>387</v>
      </c>
      <c r="J58" s="196" t="s">
        <v>143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73" t="s">
        <v>190</v>
      </c>
      <c r="B59" s="673"/>
      <c r="C59" s="160" t="s">
        <v>47</v>
      </c>
      <c r="D59" s="673" t="s">
        <v>12</v>
      </c>
      <c r="E59" s="675"/>
      <c r="F59" s="675"/>
      <c r="G59" s="160" t="s">
        <v>46</v>
      </c>
      <c r="H59" s="160" t="s">
        <v>388</v>
      </c>
      <c r="I59" s="160" t="s">
        <v>389</v>
      </c>
      <c r="J59" s="160" t="s">
        <v>334</v>
      </c>
      <c r="K59" s="673" t="s">
        <v>51</v>
      </c>
      <c r="L59" s="675"/>
      <c r="M59" s="127"/>
      <c r="N59" s="189"/>
      <c r="O59" s="431"/>
      <c r="P59" s="430"/>
      <c r="Q59" s="430"/>
      <c r="R59" s="199"/>
    </row>
    <row r="60" spans="1:18" ht="15.75" customHeight="1">
      <c r="A60" s="672">
        <v>5</v>
      </c>
      <c r="B60" s="673" t="s">
        <v>357</v>
      </c>
      <c r="C60" s="200">
        <v>1</v>
      </c>
      <c r="D60" s="668" t="s">
        <v>486</v>
      </c>
      <c r="E60" s="669"/>
      <c r="F60" s="669"/>
      <c r="G60" s="202">
        <v>20</v>
      </c>
      <c r="H60" s="202">
        <v>1785.9519704370837</v>
      </c>
      <c r="I60" s="203">
        <v>89.297598521854169</v>
      </c>
      <c r="J60" s="376">
        <f t="shared" ref="J60:J65" si="0">I60-I34</f>
        <v>5.545846238322838E-2</v>
      </c>
      <c r="K60" s="668" t="s">
        <v>662</v>
      </c>
      <c r="L60" s="669"/>
      <c r="O60" s="431"/>
      <c r="P60" s="430"/>
      <c r="Q60" s="430"/>
      <c r="R60" s="199"/>
    </row>
    <row r="61" spans="1:18" ht="15.75" customHeight="1">
      <c r="A61" s="672"/>
      <c r="B61" s="673"/>
      <c r="C61" s="200">
        <v>2</v>
      </c>
      <c r="D61" s="668" t="s">
        <v>611</v>
      </c>
      <c r="E61" s="669"/>
      <c r="F61" s="669"/>
      <c r="G61" s="202">
        <v>20</v>
      </c>
      <c r="H61" s="202">
        <v>1784.8616066545812</v>
      </c>
      <c r="I61" s="203">
        <v>89.243080332729079</v>
      </c>
      <c r="J61" s="376">
        <f t="shared" si="0"/>
        <v>5.8689024596576616</v>
      </c>
      <c r="K61" s="668" t="s">
        <v>708</v>
      </c>
      <c r="L61" s="669"/>
      <c r="O61" s="431"/>
      <c r="P61" s="430"/>
      <c r="Q61" s="430"/>
      <c r="R61" s="199"/>
    </row>
    <row r="62" spans="1:18" ht="15.75" customHeight="1">
      <c r="A62" s="672"/>
      <c r="B62" s="673"/>
      <c r="C62" s="200">
        <v>3</v>
      </c>
      <c r="D62" s="668" t="s">
        <v>511</v>
      </c>
      <c r="E62" s="669"/>
      <c r="F62" s="669"/>
      <c r="G62" s="202">
        <v>19</v>
      </c>
      <c r="H62" s="202">
        <v>1605.8929870111315</v>
      </c>
      <c r="I62" s="203">
        <v>84.520683526901649</v>
      </c>
      <c r="J62" s="376">
        <f t="shared" si="0"/>
        <v>1.237902822960848</v>
      </c>
      <c r="K62" s="668" t="s">
        <v>464</v>
      </c>
      <c r="L62" s="669"/>
      <c r="O62" s="431"/>
      <c r="P62" s="430"/>
      <c r="Q62" s="430"/>
      <c r="R62" s="199"/>
    </row>
    <row r="63" spans="1:18" ht="15.75" customHeight="1">
      <c r="A63" s="672"/>
      <c r="B63" s="673"/>
      <c r="C63" s="200">
        <v>4</v>
      </c>
      <c r="D63" s="668" t="s">
        <v>474</v>
      </c>
      <c r="E63" s="669"/>
      <c r="F63" s="669"/>
      <c r="G63" s="202">
        <v>22</v>
      </c>
      <c r="H63" s="202">
        <v>1784.6492554381962</v>
      </c>
      <c r="I63" s="203">
        <v>81.12042070173618</v>
      </c>
      <c r="J63" s="376">
        <f t="shared" si="0"/>
        <v>-1.9129444625974656E-2</v>
      </c>
      <c r="K63" s="668" t="s">
        <v>662</v>
      </c>
      <c r="L63" s="669"/>
      <c r="O63" s="431"/>
      <c r="P63" s="430"/>
      <c r="Q63" s="430"/>
      <c r="R63" s="199"/>
    </row>
    <row r="64" spans="1:18" ht="15.75" customHeight="1">
      <c r="A64" s="672"/>
      <c r="B64" s="673"/>
      <c r="C64" s="200">
        <v>5</v>
      </c>
      <c r="D64" s="668" t="s">
        <v>345</v>
      </c>
      <c r="E64" s="669"/>
      <c r="F64" s="669"/>
      <c r="G64" s="202">
        <v>23</v>
      </c>
      <c r="H64" s="202">
        <v>1785.5257880881147</v>
      </c>
      <c r="I64" s="203">
        <v>77.631556003831093</v>
      </c>
      <c r="J64" s="376">
        <f t="shared" si="0"/>
        <v>2.3636762092804133</v>
      </c>
      <c r="K64" s="668" t="s">
        <v>709</v>
      </c>
      <c r="L64" s="669"/>
      <c r="O64" s="431"/>
      <c r="P64" s="430"/>
      <c r="Q64" s="430"/>
      <c r="R64" s="199"/>
    </row>
    <row r="65" spans="1:18" ht="15.75" customHeight="1">
      <c r="A65" s="672"/>
      <c r="B65" s="673"/>
      <c r="C65" s="204" t="s">
        <v>206</v>
      </c>
      <c r="D65" s="668" t="s">
        <v>346</v>
      </c>
      <c r="E65" s="669"/>
      <c r="F65" s="669"/>
      <c r="G65" s="202">
        <v>25</v>
      </c>
      <c r="H65" s="202">
        <v>1785.9249728714137</v>
      </c>
      <c r="I65" s="203">
        <v>71.436998914856545</v>
      </c>
      <c r="J65" s="376">
        <f t="shared" si="0"/>
        <v>2.8631034337626886</v>
      </c>
      <c r="K65" s="668" t="s">
        <v>710</v>
      </c>
      <c r="L65" s="669"/>
      <c r="N65" s="178"/>
      <c r="O65" s="432"/>
      <c r="P65" s="429"/>
      <c r="Q65" s="429"/>
      <c r="R65" s="178"/>
    </row>
    <row r="66" spans="1:18" ht="15.75" customHeight="1">
      <c r="A66" s="672"/>
      <c r="B66" s="673"/>
      <c r="C66" s="204" t="s">
        <v>211</v>
      </c>
      <c r="D66" s="668" t="s">
        <v>358</v>
      </c>
      <c r="E66" s="669"/>
      <c r="F66" s="669"/>
      <c r="G66" s="202">
        <v>24</v>
      </c>
      <c r="H66" s="202">
        <v>1783.9364929373555</v>
      </c>
      <c r="I66" s="203">
        <v>74.330687205723166</v>
      </c>
      <c r="J66" s="376">
        <f>I66-I41</f>
        <v>3.9431486312778929E-2</v>
      </c>
      <c r="K66" s="668" t="s">
        <v>662</v>
      </c>
      <c r="L66" s="669"/>
      <c r="O66" s="199"/>
      <c r="P66" s="430"/>
      <c r="Q66" s="430"/>
      <c r="R66" s="199"/>
    </row>
    <row r="67" spans="1:18" ht="15.75" customHeight="1">
      <c r="A67" s="672"/>
      <c r="B67" s="673"/>
      <c r="C67" s="204" t="s">
        <v>207</v>
      </c>
      <c r="D67" s="668" t="s">
        <v>610</v>
      </c>
      <c r="E67" s="669"/>
      <c r="F67" s="669"/>
      <c r="G67" s="202">
        <v>21</v>
      </c>
      <c r="H67" s="202">
        <v>1605.696529937338</v>
      </c>
      <c r="I67" s="203">
        <v>76.461739520825631</v>
      </c>
      <c r="J67" s="376">
        <f>I67-I42</f>
        <v>2.0532191146379404</v>
      </c>
      <c r="K67" s="668" t="s">
        <v>464</v>
      </c>
      <c r="L67" s="669"/>
      <c r="O67" s="431"/>
      <c r="P67" s="430"/>
      <c r="Q67" s="430"/>
      <c r="R67" s="199"/>
    </row>
    <row r="68" spans="1:18" ht="15.75" customHeight="1">
      <c r="A68" s="672"/>
      <c r="B68" s="673"/>
      <c r="C68" s="204" t="s">
        <v>212</v>
      </c>
      <c r="D68" s="668" t="s">
        <v>347</v>
      </c>
      <c r="E68" s="669"/>
      <c r="F68" s="669"/>
      <c r="G68" s="202">
        <v>23.142857142857142</v>
      </c>
      <c r="H68" s="202">
        <v>1786.2362638537072</v>
      </c>
      <c r="I68" s="203">
        <v>77.20076920323659</v>
      </c>
      <c r="J68" s="376">
        <f>I68-I40</f>
        <v>2.9150976326958897</v>
      </c>
      <c r="K68" s="668" t="s">
        <v>709</v>
      </c>
      <c r="L68" s="669"/>
      <c r="M68" s="99"/>
      <c r="O68" s="431"/>
      <c r="P68" s="430"/>
      <c r="Q68" s="430"/>
      <c r="R68" s="199"/>
    </row>
    <row r="69" spans="1:18" ht="15.75" customHeight="1">
      <c r="A69" s="672"/>
      <c r="B69" s="673"/>
      <c r="C69" s="204" t="s">
        <v>213</v>
      </c>
      <c r="D69" s="668"/>
      <c r="E69" s="669"/>
      <c r="F69" s="669"/>
      <c r="G69" s="202"/>
      <c r="H69" s="202"/>
      <c r="I69" s="203"/>
      <c r="J69" s="200"/>
      <c r="K69" s="668"/>
      <c r="L69" s="669"/>
      <c r="M69" s="99"/>
      <c r="O69" s="431"/>
      <c r="P69" s="430"/>
      <c r="Q69" s="430"/>
      <c r="R69" s="199"/>
    </row>
    <row r="70" spans="1:18" s="104" customFormat="1" ht="15.75" customHeight="1">
      <c r="A70" s="670" t="s">
        <v>190</v>
      </c>
      <c r="B70" s="670"/>
      <c r="C70" s="207" t="s">
        <v>47</v>
      </c>
      <c r="D70" s="670" t="s">
        <v>12</v>
      </c>
      <c r="E70" s="671"/>
      <c r="F70" s="671"/>
      <c r="G70" s="207" t="s">
        <v>46</v>
      </c>
      <c r="H70" s="207" t="s">
        <v>388</v>
      </c>
      <c r="I70" s="207" t="s">
        <v>389</v>
      </c>
      <c r="J70" s="160" t="s">
        <v>334</v>
      </c>
      <c r="K70" s="670" t="s">
        <v>50</v>
      </c>
      <c r="L70" s="671"/>
      <c r="M70" s="128"/>
      <c r="N70" s="189"/>
      <c r="O70" s="431"/>
      <c r="P70" s="430"/>
      <c r="Q70" s="430"/>
      <c r="R70" s="199"/>
    </row>
    <row r="71" spans="1:18" ht="15.75" customHeight="1">
      <c r="A71" s="672">
        <v>6</v>
      </c>
      <c r="B71" s="673" t="s">
        <v>137</v>
      </c>
      <c r="C71" s="200">
        <v>1</v>
      </c>
      <c r="D71" s="668" t="s">
        <v>479</v>
      </c>
      <c r="E71" s="669"/>
      <c r="F71" s="669"/>
      <c r="G71" s="200">
        <v>20</v>
      </c>
      <c r="H71" s="202">
        <v>1785.4678626316411</v>
      </c>
      <c r="I71" s="203">
        <v>89.273393131582068</v>
      </c>
      <c r="J71" s="376">
        <f>I71-I45</f>
        <v>1.2411462382177376</v>
      </c>
      <c r="K71" s="668" t="s">
        <v>709</v>
      </c>
      <c r="L71" s="669"/>
      <c r="M71" s="99"/>
      <c r="N71" s="199"/>
      <c r="O71" s="199"/>
      <c r="P71" s="430"/>
      <c r="Q71" s="430"/>
      <c r="R71" s="199"/>
    </row>
    <row r="72" spans="1:18" ht="15.75" customHeight="1">
      <c r="A72" s="672"/>
      <c r="B72" s="673"/>
      <c r="C72" s="200">
        <v>2</v>
      </c>
      <c r="D72" s="668" t="s">
        <v>475</v>
      </c>
      <c r="E72" s="669"/>
      <c r="F72" s="669"/>
      <c r="G72" s="202">
        <v>22</v>
      </c>
      <c r="H72" s="202">
        <v>1784.8952141070245</v>
      </c>
      <c r="I72" s="203">
        <v>81.131600641228403</v>
      </c>
      <c r="J72" s="376">
        <f>I72-I46</f>
        <v>1.176386604471702E-2</v>
      </c>
      <c r="K72" s="668" t="s">
        <v>464</v>
      </c>
      <c r="L72" s="669"/>
      <c r="M72" s="99"/>
      <c r="O72" s="199"/>
      <c r="P72" s="430"/>
      <c r="Q72" s="430"/>
      <c r="R72" s="199"/>
    </row>
    <row r="73" spans="1:18" ht="15.75" customHeight="1">
      <c r="A73" s="672"/>
      <c r="B73" s="673"/>
      <c r="C73" s="200">
        <v>3</v>
      </c>
      <c r="D73" s="668" t="s">
        <v>360</v>
      </c>
      <c r="E73" s="669"/>
      <c r="F73" s="669"/>
      <c r="G73" s="202">
        <v>22</v>
      </c>
      <c r="H73" s="202">
        <v>1783.7380701091577</v>
      </c>
      <c r="I73" s="203">
        <v>81.0790031867799</v>
      </c>
      <c r="J73" s="376">
        <f>I73-I47</f>
        <v>3.0500969304171122E-2</v>
      </c>
      <c r="K73" s="668" t="s">
        <v>662</v>
      </c>
      <c r="L73" s="669"/>
      <c r="M73" s="99"/>
      <c r="O73" s="199"/>
      <c r="P73" s="430"/>
      <c r="Q73" s="430"/>
      <c r="R73" s="199"/>
    </row>
    <row r="74" spans="1:18" ht="15.75" customHeight="1">
      <c r="A74" s="672"/>
      <c r="B74" s="673"/>
      <c r="C74" s="200">
        <v>4</v>
      </c>
      <c r="D74" s="668" t="s">
        <v>359</v>
      </c>
      <c r="E74" s="669"/>
      <c r="F74" s="669"/>
      <c r="G74" s="200">
        <v>23</v>
      </c>
      <c r="H74" s="202">
        <v>1786.0582177565466</v>
      </c>
      <c r="I74" s="203">
        <v>77.654705119849851</v>
      </c>
      <c r="J74" s="376">
        <f>I74-I48</f>
        <v>3.2742675641330692</v>
      </c>
      <c r="K74" s="668" t="s">
        <v>710</v>
      </c>
      <c r="L74" s="669"/>
      <c r="M74" s="99"/>
      <c r="O74" s="199"/>
      <c r="P74" s="430"/>
      <c r="Q74" s="430"/>
      <c r="R74" s="199"/>
    </row>
    <row r="75" spans="1:18" ht="15.75" customHeight="1">
      <c r="A75" s="672"/>
      <c r="B75" s="673"/>
      <c r="C75" s="200">
        <v>5</v>
      </c>
      <c r="D75" s="668" t="s">
        <v>361</v>
      </c>
      <c r="E75" s="669"/>
      <c r="F75" s="669"/>
      <c r="G75" s="202">
        <v>24</v>
      </c>
      <c r="H75" s="202">
        <v>1785.5749263123216</v>
      </c>
      <c r="I75" s="203">
        <v>74.398955263013377</v>
      </c>
      <c r="J75" s="376">
        <f>I75-I48</f>
        <v>1.8517707296595631E-2</v>
      </c>
      <c r="K75" s="668" t="s">
        <v>710</v>
      </c>
      <c r="L75" s="669"/>
      <c r="M75" s="99"/>
      <c r="O75" s="199"/>
      <c r="P75" s="430"/>
      <c r="Q75" s="430"/>
      <c r="R75" s="199"/>
    </row>
    <row r="76" spans="1:18" ht="15.75" customHeight="1">
      <c r="A76" s="672"/>
      <c r="B76" s="673"/>
      <c r="C76" s="204" t="s">
        <v>206</v>
      </c>
      <c r="D76" s="668" t="s">
        <v>363</v>
      </c>
      <c r="E76" s="669"/>
      <c r="F76" s="669"/>
      <c r="G76" s="200">
        <v>25</v>
      </c>
      <c r="H76" s="202">
        <v>1786.2933092706808</v>
      </c>
      <c r="I76" s="203">
        <v>71.451732370827216</v>
      </c>
      <c r="J76" s="376">
        <f>I76-I51</f>
        <v>4.6067747896472611E-2</v>
      </c>
      <c r="K76" s="668" t="s">
        <v>662</v>
      </c>
      <c r="L76" s="669"/>
      <c r="M76" s="99"/>
      <c r="O76" s="199"/>
      <c r="P76" s="430"/>
      <c r="Q76" s="430"/>
      <c r="R76" s="199"/>
    </row>
    <row r="77" spans="1:18" ht="15.75" customHeight="1">
      <c r="A77" s="672"/>
      <c r="B77" s="673"/>
      <c r="C77" s="204" t="s">
        <v>211</v>
      </c>
      <c r="D77" s="668" t="s">
        <v>362</v>
      </c>
      <c r="E77" s="669"/>
      <c r="F77" s="669"/>
      <c r="G77" s="200">
        <v>24</v>
      </c>
      <c r="H77" s="202">
        <v>1782.2150487318017</v>
      </c>
      <c r="I77" s="203">
        <v>74.258960363825068</v>
      </c>
      <c r="J77" s="376">
        <f>I77-I52</f>
        <v>8.4536718300398661E-3</v>
      </c>
      <c r="K77" s="668" t="s">
        <v>662</v>
      </c>
      <c r="L77" s="669"/>
      <c r="M77" s="99"/>
      <c r="O77" s="199"/>
      <c r="P77" s="430"/>
      <c r="Q77" s="430"/>
      <c r="R77" s="199"/>
    </row>
    <row r="78" spans="1:18" ht="15.75" customHeight="1">
      <c r="A78" s="672"/>
      <c r="B78" s="673"/>
      <c r="C78" s="204" t="s">
        <v>207</v>
      </c>
      <c r="D78" s="668" t="s">
        <v>471</v>
      </c>
      <c r="E78" s="669"/>
      <c r="F78" s="669"/>
      <c r="G78" s="200">
        <v>24</v>
      </c>
      <c r="H78" s="202">
        <v>1783.6915681297498</v>
      </c>
      <c r="I78" s="203">
        <v>74.320482005406248</v>
      </c>
      <c r="J78" s="376">
        <f>I78-I49</f>
        <v>2.5733308731460625E-2</v>
      </c>
      <c r="K78" s="668" t="s">
        <v>662</v>
      </c>
      <c r="L78" s="669"/>
      <c r="M78" s="99"/>
      <c r="O78" s="199"/>
      <c r="P78" s="430"/>
      <c r="Q78" s="430"/>
      <c r="R78" s="199"/>
    </row>
    <row r="79" spans="1:18" ht="15.75" customHeight="1">
      <c r="A79" s="672"/>
      <c r="B79" s="673"/>
      <c r="C79" s="204" t="s">
        <v>212</v>
      </c>
      <c r="D79" s="668"/>
      <c r="E79" s="669"/>
      <c r="F79" s="669"/>
      <c r="G79" s="200"/>
      <c r="H79" s="202"/>
      <c r="I79" s="203"/>
      <c r="J79" s="200"/>
      <c r="K79" s="668"/>
      <c r="L79" s="669"/>
      <c r="M79" s="99"/>
      <c r="O79" s="199"/>
      <c r="P79" s="430"/>
      <c r="Q79" s="430"/>
      <c r="R79" s="199"/>
    </row>
    <row r="80" spans="1:18" ht="15.75" customHeight="1">
      <c r="A80" s="672"/>
      <c r="B80" s="673"/>
      <c r="C80" s="204" t="s">
        <v>213</v>
      </c>
      <c r="D80" s="668"/>
      <c r="E80" s="669"/>
      <c r="F80" s="669"/>
      <c r="G80" s="200"/>
      <c r="H80" s="202"/>
      <c r="I80" s="203"/>
      <c r="J80" s="200"/>
      <c r="K80" s="668"/>
      <c r="L80" s="669"/>
      <c r="M80" s="99"/>
      <c r="O80" s="199"/>
      <c r="P80" s="430"/>
      <c r="Q80" s="430"/>
      <c r="R80" s="199"/>
    </row>
    <row r="81" spans="1:18" s="189" customFormat="1" ht="15.75" customHeight="1">
      <c r="A81" s="674" t="s">
        <v>702</v>
      </c>
      <c r="B81" s="674"/>
      <c r="C81" s="674"/>
      <c r="D81" s="674"/>
      <c r="E81" s="674"/>
      <c r="F81" s="674"/>
      <c r="G81" s="674"/>
      <c r="H81" s="674"/>
      <c r="I81" s="674"/>
      <c r="J81" s="674"/>
      <c r="K81" s="674"/>
      <c r="L81" s="674"/>
    </row>
    <row r="82" spans="1:18" s="190" customFormat="1" ht="15.75" customHeight="1">
      <c r="A82" s="674"/>
      <c r="B82" s="674"/>
      <c r="C82" s="674"/>
      <c r="D82" s="674"/>
      <c r="E82" s="674"/>
      <c r="F82" s="674"/>
      <c r="G82" s="674"/>
      <c r="H82" s="674"/>
      <c r="I82" s="674"/>
      <c r="J82" s="674"/>
      <c r="K82" s="674"/>
      <c r="L82" s="674"/>
    </row>
    <row r="83" spans="1:18" s="106" customFormat="1" ht="16.399999999999999" customHeight="1">
      <c r="A83" s="672" t="s">
        <v>164</v>
      </c>
      <c r="B83" s="170">
        <v>1</v>
      </c>
      <c r="C83" s="170">
        <v>2</v>
      </c>
      <c r="D83" s="170">
        <v>3</v>
      </c>
      <c r="E83" s="170">
        <v>4</v>
      </c>
      <c r="F83" s="191">
        <v>5</v>
      </c>
      <c r="G83" s="191">
        <v>6</v>
      </c>
      <c r="H83" s="170">
        <v>7</v>
      </c>
      <c r="I83" s="170">
        <v>8</v>
      </c>
      <c r="J83" s="170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99999999999999" customHeight="1">
      <c r="A84" s="672"/>
      <c r="B84" s="195" t="s">
        <v>208</v>
      </c>
      <c r="C84" s="195" t="s">
        <v>157</v>
      </c>
      <c r="D84" s="195" t="s">
        <v>209</v>
      </c>
      <c r="E84" s="195" t="s">
        <v>158</v>
      </c>
      <c r="F84" s="194" t="s">
        <v>357</v>
      </c>
      <c r="G84" s="209" t="s">
        <v>137</v>
      </c>
      <c r="H84" s="197" t="s">
        <v>210</v>
      </c>
      <c r="I84" s="196" t="s">
        <v>387</v>
      </c>
      <c r="J84" s="196" t="s">
        <v>143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73" t="s">
        <v>190</v>
      </c>
      <c r="B85" s="673"/>
      <c r="C85" s="160" t="s">
        <v>47</v>
      </c>
      <c r="D85" s="673" t="s">
        <v>12</v>
      </c>
      <c r="E85" s="675"/>
      <c r="F85" s="675"/>
      <c r="G85" s="160" t="s">
        <v>46</v>
      </c>
      <c r="H85" s="160" t="s">
        <v>388</v>
      </c>
      <c r="I85" s="160" t="s">
        <v>389</v>
      </c>
      <c r="J85" s="160" t="s">
        <v>334</v>
      </c>
      <c r="K85" s="673" t="s">
        <v>51</v>
      </c>
      <c r="L85" s="675"/>
      <c r="M85" s="127"/>
      <c r="N85" s="189"/>
      <c r="O85" s="431"/>
      <c r="P85" s="430"/>
      <c r="Q85" s="430"/>
      <c r="R85" s="199"/>
    </row>
    <row r="86" spans="1:18" ht="15.75" customHeight="1">
      <c r="A86" s="672">
        <v>5</v>
      </c>
      <c r="B86" s="673" t="s">
        <v>357</v>
      </c>
      <c r="C86" s="200">
        <v>1</v>
      </c>
      <c r="D86" s="668" t="s">
        <v>486</v>
      </c>
      <c r="E86" s="669"/>
      <c r="F86" s="669"/>
      <c r="G86" s="202">
        <v>20</v>
      </c>
      <c r="H86" s="202">
        <v>1786.7056875436519</v>
      </c>
      <c r="I86" s="203">
        <v>89.335284377182589</v>
      </c>
      <c r="J86" s="376">
        <f>I86-I60</f>
        <v>3.7685855328419393E-2</v>
      </c>
      <c r="K86" s="668" t="s">
        <v>662</v>
      </c>
      <c r="L86" s="669"/>
      <c r="O86" s="431"/>
      <c r="P86" s="430"/>
      <c r="Q86" s="430"/>
      <c r="R86" s="199"/>
    </row>
    <row r="87" spans="1:18" ht="15.75" customHeight="1">
      <c r="A87" s="672"/>
      <c r="B87" s="673"/>
      <c r="C87" s="200">
        <v>2</v>
      </c>
      <c r="D87" s="668" t="s">
        <v>611</v>
      </c>
      <c r="E87" s="669"/>
      <c r="F87" s="669"/>
      <c r="G87" s="202">
        <v>20</v>
      </c>
      <c r="H87" s="202">
        <v>1785.4951685013143</v>
      </c>
      <c r="I87" s="203">
        <v>89.274758425065713</v>
      </c>
      <c r="J87" s="376">
        <f>I87-I61</f>
        <v>3.1678092336633767E-2</v>
      </c>
      <c r="K87" s="682" t="s">
        <v>464</v>
      </c>
      <c r="L87" s="683"/>
      <c r="O87" s="431"/>
      <c r="P87" s="430"/>
      <c r="Q87" s="430"/>
      <c r="R87" s="199"/>
    </row>
    <row r="88" spans="1:18" ht="15.75" customHeight="1">
      <c r="A88" s="672"/>
      <c r="B88" s="673"/>
      <c r="C88" s="200">
        <v>3</v>
      </c>
      <c r="D88" s="668" t="s">
        <v>511</v>
      </c>
      <c r="E88" s="669"/>
      <c r="F88" s="669"/>
      <c r="G88" s="202">
        <v>19</v>
      </c>
      <c r="H88" s="202">
        <v>1605.9778411614377</v>
      </c>
      <c r="I88" s="203">
        <v>84.525149534812513</v>
      </c>
      <c r="J88" s="376">
        <f>I88-I62</f>
        <v>4.4660079108638229E-3</v>
      </c>
      <c r="K88" s="682" t="s">
        <v>464</v>
      </c>
      <c r="L88" s="683"/>
      <c r="O88" s="431"/>
      <c r="P88" s="430"/>
      <c r="Q88" s="430"/>
      <c r="R88" s="199"/>
    </row>
    <row r="89" spans="1:18" ht="15.75" customHeight="1">
      <c r="A89" s="672"/>
      <c r="B89" s="673"/>
      <c r="C89" s="200">
        <v>4</v>
      </c>
      <c r="D89" s="668" t="s">
        <v>474</v>
      </c>
      <c r="E89" s="669"/>
      <c r="F89" s="669"/>
      <c r="G89" s="202">
        <v>22</v>
      </c>
      <c r="H89" s="202">
        <v>1785.5162478871996</v>
      </c>
      <c r="I89" s="203">
        <v>81.159829449418183</v>
      </c>
      <c r="J89" s="376">
        <f>I89-I63</f>
        <v>3.9408747682003309E-2</v>
      </c>
      <c r="K89" s="668" t="s">
        <v>662</v>
      </c>
      <c r="L89" s="669"/>
      <c r="O89" s="431"/>
      <c r="P89" s="430"/>
      <c r="Q89" s="430"/>
      <c r="R89" s="199"/>
    </row>
    <row r="90" spans="1:18" ht="15.75" customHeight="1">
      <c r="A90" s="672"/>
      <c r="B90" s="673"/>
      <c r="C90" s="200">
        <v>5</v>
      </c>
      <c r="D90" s="668" t="s">
        <v>347</v>
      </c>
      <c r="E90" s="669"/>
      <c r="F90" s="669"/>
      <c r="G90" s="202">
        <v>23</v>
      </c>
      <c r="H90" s="202">
        <v>1787.5759756124924</v>
      </c>
      <c r="I90" s="203">
        <v>77.720694591847504</v>
      </c>
      <c r="J90" s="376">
        <f>I90-I68</f>
        <v>0.51992538861091475</v>
      </c>
      <c r="K90" s="682" t="s">
        <v>464</v>
      </c>
      <c r="L90" s="683"/>
      <c r="O90" s="431"/>
      <c r="P90" s="430"/>
      <c r="Q90" s="430"/>
      <c r="R90" s="199"/>
    </row>
    <row r="91" spans="1:18" ht="15.75" customHeight="1">
      <c r="A91" s="672"/>
      <c r="B91" s="673"/>
      <c r="C91" s="204" t="s">
        <v>206</v>
      </c>
      <c r="D91" s="668" t="s">
        <v>346</v>
      </c>
      <c r="E91" s="669"/>
      <c r="F91" s="669"/>
      <c r="G91" s="202">
        <v>24.285714285714285</v>
      </c>
      <c r="H91" s="202">
        <v>1785.4765410468553</v>
      </c>
      <c r="I91" s="203">
        <v>73.544392377938522</v>
      </c>
      <c r="J91" s="376">
        <f>I91-I65</f>
        <v>2.1073934630819764</v>
      </c>
      <c r="K91" s="668" t="s">
        <v>709</v>
      </c>
      <c r="L91" s="669"/>
      <c r="N91" s="178"/>
      <c r="O91" s="432"/>
      <c r="P91" s="429"/>
      <c r="Q91" s="429"/>
      <c r="R91" s="178"/>
    </row>
    <row r="92" spans="1:18" ht="15.75" customHeight="1">
      <c r="A92" s="672"/>
      <c r="B92" s="673"/>
      <c r="C92" s="204" t="s">
        <v>211</v>
      </c>
      <c r="D92" s="668" t="s">
        <v>358</v>
      </c>
      <c r="E92" s="669"/>
      <c r="F92" s="669"/>
      <c r="G92" s="202">
        <v>23.714285714285715</v>
      </c>
      <c r="H92" s="202">
        <v>1785.2948171201369</v>
      </c>
      <c r="I92" s="203">
        <v>75.311720775634399</v>
      </c>
      <c r="J92" s="376">
        <f>I92-I66</f>
        <v>0.98103356991123292</v>
      </c>
      <c r="K92" s="668" t="s">
        <v>709</v>
      </c>
      <c r="L92" s="669"/>
      <c r="O92" s="199"/>
      <c r="P92" s="430"/>
      <c r="Q92" s="430"/>
      <c r="R92" s="199"/>
    </row>
    <row r="93" spans="1:18" ht="15.75" customHeight="1">
      <c r="A93" s="672"/>
      <c r="B93" s="673"/>
      <c r="C93" s="204" t="s">
        <v>207</v>
      </c>
      <c r="D93" s="668" t="s">
        <v>610</v>
      </c>
      <c r="E93" s="669"/>
      <c r="F93" s="669"/>
      <c r="G93" s="202">
        <v>21</v>
      </c>
      <c r="H93" s="202">
        <v>1606.0197989621574</v>
      </c>
      <c r="I93" s="203">
        <v>76.477133283912266</v>
      </c>
      <c r="J93" s="376">
        <f>I93-I67</f>
        <v>1.5393763086635204E-2</v>
      </c>
      <c r="K93" s="682" t="s">
        <v>464</v>
      </c>
      <c r="L93" s="683"/>
      <c r="O93" s="431"/>
      <c r="P93" s="430"/>
      <c r="Q93" s="430"/>
      <c r="R93" s="199"/>
    </row>
    <row r="94" spans="1:18" ht="15.75" customHeight="1">
      <c r="A94" s="672"/>
      <c r="B94" s="673"/>
      <c r="C94" s="204" t="s">
        <v>212</v>
      </c>
      <c r="D94" s="668" t="s">
        <v>345</v>
      </c>
      <c r="E94" s="669"/>
      <c r="F94" s="669"/>
      <c r="G94" s="202">
        <v>23</v>
      </c>
      <c r="H94" s="202">
        <v>1786.345041254631</v>
      </c>
      <c r="I94" s="203">
        <v>77.667175706723057</v>
      </c>
      <c r="J94" s="376">
        <f>I94-I64</f>
        <v>3.5619702891963811E-2</v>
      </c>
      <c r="K94" s="682" t="s">
        <v>464</v>
      </c>
      <c r="L94" s="683"/>
      <c r="M94" s="99"/>
      <c r="O94" s="431"/>
      <c r="P94" s="430"/>
      <c r="Q94" s="430"/>
      <c r="R94" s="199"/>
    </row>
    <row r="95" spans="1:18" ht="15.75" customHeight="1">
      <c r="A95" s="672"/>
      <c r="B95" s="673"/>
      <c r="C95" s="204" t="s">
        <v>213</v>
      </c>
      <c r="D95" s="668"/>
      <c r="E95" s="669"/>
      <c r="F95" s="669"/>
      <c r="G95" s="202"/>
      <c r="H95" s="202"/>
      <c r="I95" s="203"/>
      <c r="J95" s="200"/>
      <c r="K95" s="668"/>
      <c r="L95" s="669"/>
      <c r="M95" s="99"/>
      <c r="O95" s="431"/>
      <c r="P95" s="430"/>
      <c r="Q95" s="430"/>
      <c r="R95" s="199"/>
    </row>
    <row r="96" spans="1:18" s="104" customFormat="1" ht="15.75" customHeight="1">
      <c r="A96" s="670" t="s">
        <v>190</v>
      </c>
      <c r="B96" s="670"/>
      <c r="C96" s="207" t="s">
        <v>47</v>
      </c>
      <c r="D96" s="670" t="s">
        <v>12</v>
      </c>
      <c r="E96" s="671"/>
      <c r="F96" s="671"/>
      <c r="G96" s="207" t="s">
        <v>46</v>
      </c>
      <c r="H96" s="207" t="s">
        <v>388</v>
      </c>
      <c r="I96" s="207" t="s">
        <v>389</v>
      </c>
      <c r="J96" s="160" t="s">
        <v>334</v>
      </c>
      <c r="K96" s="670" t="s">
        <v>51</v>
      </c>
      <c r="L96" s="671"/>
      <c r="M96" s="128"/>
      <c r="N96" s="189"/>
      <c r="O96" s="431"/>
      <c r="P96" s="430"/>
      <c r="Q96" s="430"/>
      <c r="R96" s="199"/>
    </row>
    <row r="97" spans="1:18" ht="15.75" customHeight="1">
      <c r="A97" s="672">
        <v>6</v>
      </c>
      <c r="B97" s="673" t="s">
        <v>137</v>
      </c>
      <c r="C97" s="200">
        <v>1</v>
      </c>
      <c r="D97" s="668" t="s">
        <v>479</v>
      </c>
      <c r="E97" s="669"/>
      <c r="F97" s="669"/>
      <c r="G97" s="200">
        <v>20</v>
      </c>
      <c r="H97" s="202">
        <v>1785.9775828104146</v>
      </c>
      <c r="I97" s="203">
        <v>89.298879140520739</v>
      </c>
      <c r="J97" s="376">
        <f t="shared" ref="J97:J104" si="1">I97-I71</f>
        <v>2.5486008938671034E-2</v>
      </c>
      <c r="K97" s="682" t="s">
        <v>464</v>
      </c>
      <c r="L97" s="683"/>
      <c r="M97" s="99"/>
      <c r="N97" s="199"/>
      <c r="O97" s="199"/>
      <c r="P97" s="430"/>
      <c r="Q97" s="430"/>
      <c r="R97" s="199"/>
    </row>
    <row r="98" spans="1:18" ht="15.75" customHeight="1">
      <c r="A98" s="672"/>
      <c r="B98" s="673"/>
      <c r="C98" s="200">
        <v>2</v>
      </c>
      <c r="D98" s="668" t="s">
        <v>475</v>
      </c>
      <c r="E98" s="669"/>
      <c r="F98" s="669"/>
      <c r="G98" s="202">
        <v>22</v>
      </c>
      <c r="H98" s="202">
        <v>1785.4689816270009</v>
      </c>
      <c r="I98" s="203">
        <v>81.157680983045481</v>
      </c>
      <c r="J98" s="376">
        <f t="shared" si="1"/>
        <v>2.6080341817078079E-2</v>
      </c>
      <c r="K98" s="682" t="s">
        <v>464</v>
      </c>
      <c r="L98" s="683"/>
      <c r="M98" s="99"/>
      <c r="O98" s="199"/>
      <c r="P98" s="430"/>
      <c r="Q98" s="430"/>
      <c r="R98" s="199"/>
    </row>
    <row r="99" spans="1:18" ht="15.75" customHeight="1">
      <c r="A99" s="672"/>
      <c r="B99" s="673"/>
      <c r="C99" s="200">
        <v>3</v>
      </c>
      <c r="D99" s="668" t="s">
        <v>360</v>
      </c>
      <c r="E99" s="669"/>
      <c r="F99" s="669"/>
      <c r="G99" s="202">
        <v>22</v>
      </c>
      <c r="H99" s="202">
        <v>1784.7061958445304</v>
      </c>
      <c r="I99" s="203">
        <v>81.123008902024111</v>
      </c>
      <c r="J99" s="376">
        <f t="shared" si="1"/>
        <v>4.4005715244210819E-2</v>
      </c>
      <c r="K99" s="668" t="s">
        <v>662</v>
      </c>
      <c r="L99" s="669"/>
      <c r="M99" s="99"/>
      <c r="O99" s="199"/>
      <c r="P99" s="430"/>
      <c r="Q99" s="430"/>
      <c r="R99" s="199"/>
    </row>
    <row r="100" spans="1:18" ht="15.75" customHeight="1">
      <c r="A100" s="672"/>
      <c r="B100" s="673"/>
      <c r="C100" s="200">
        <v>4</v>
      </c>
      <c r="D100" s="668" t="s">
        <v>359</v>
      </c>
      <c r="E100" s="669"/>
      <c r="F100" s="669"/>
      <c r="G100" s="200">
        <v>23</v>
      </c>
      <c r="H100" s="202">
        <v>1786.6150728791933</v>
      </c>
      <c r="I100" s="203">
        <v>77.67891621213883</v>
      </c>
      <c r="J100" s="376">
        <f t="shared" si="1"/>
        <v>2.421109228897933E-2</v>
      </c>
      <c r="K100" s="682" t="s">
        <v>464</v>
      </c>
      <c r="L100" s="683"/>
      <c r="M100" s="99"/>
      <c r="O100" s="199"/>
      <c r="P100" s="430"/>
      <c r="Q100" s="430"/>
      <c r="R100" s="199"/>
    </row>
    <row r="101" spans="1:18" ht="15.75" customHeight="1">
      <c r="A101" s="672"/>
      <c r="B101" s="673"/>
      <c r="C101" s="200">
        <v>5</v>
      </c>
      <c r="D101" s="668" t="s">
        <v>361</v>
      </c>
      <c r="E101" s="669"/>
      <c r="F101" s="669"/>
      <c r="G101" s="202">
        <v>24</v>
      </c>
      <c r="H101" s="202">
        <v>1785.745550181123</v>
      </c>
      <c r="I101" s="203">
        <v>74.406064590880106</v>
      </c>
      <c r="J101" s="376">
        <f t="shared" si="1"/>
        <v>7.1093278667291315E-3</v>
      </c>
      <c r="K101" s="682" t="s">
        <v>464</v>
      </c>
      <c r="L101" s="683"/>
      <c r="M101" s="99"/>
      <c r="O101" s="199"/>
      <c r="P101" s="430"/>
      <c r="Q101" s="430"/>
      <c r="R101" s="199"/>
    </row>
    <row r="102" spans="1:18" ht="15.75" customHeight="1">
      <c r="A102" s="672"/>
      <c r="B102" s="673"/>
      <c r="C102" s="204" t="s">
        <v>206</v>
      </c>
      <c r="D102" s="668" t="s">
        <v>363</v>
      </c>
      <c r="E102" s="669"/>
      <c r="F102" s="669"/>
      <c r="G102" s="200">
        <v>24</v>
      </c>
      <c r="H102" s="202">
        <v>1747.7809138744976</v>
      </c>
      <c r="I102" s="203">
        <v>72.824204744770725</v>
      </c>
      <c r="J102" s="376">
        <f t="shared" si="1"/>
        <v>1.3724723739435092</v>
      </c>
      <c r="K102" s="668" t="s">
        <v>758</v>
      </c>
      <c r="L102" s="669"/>
      <c r="M102" s="99"/>
      <c r="O102" s="199"/>
      <c r="P102" s="430"/>
      <c r="Q102" s="430"/>
      <c r="R102" s="199"/>
    </row>
    <row r="103" spans="1:18" ht="15.75" customHeight="1">
      <c r="A103" s="672"/>
      <c r="B103" s="673"/>
      <c r="C103" s="204" t="s">
        <v>211</v>
      </c>
      <c r="D103" s="668" t="s">
        <v>362</v>
      </c>
      <c r="E103" s="669"/>
      <c r="F103" s="669"/>
      <c r="G103" s="200">
        <v>24</v>
      </c>
      <c r="H103" s="202">
        <v>1782.2106942835524</v>
      </c>
      <c r="I103" s="203">
        <v>74.258778928481348</v>
      </c>
      <c r="J103" s="376">
        <f t="shared" si="1"/>
        <v>-1.8143534371972692E-4</v>
      </c>
      <c r="K103" s="668" t="s">
        <v>662</v>
      </c>
      <c r="L103" s="669"/>
      <c r="M103" s="99"/>
      <c r="O103" s="199"/>
      <c r="P103" s="430"/>
      <c r="Q103" s="430"/>
      <c r="R103" s="199"/>
    </row>
    <row r="104" spans="1:18" ht="15.75" customHeight="1">
      <c r="A104" s="672"/>
      <c r="B104" s="673"/>
      <c r="C104" s="204" t="s">
        <v>207</v>
      </c>
      <c r="D104" s="668" t="s">
        <v>471</v>
      </c>
      <c r="E104" s="669"/>
      <c r="F104" s="669"/>
      <c r="G104" s="200">
        <v>24</v>
      </c>
      <c r="H104" s="202">
        <v>1784.3214072768549</v>
      </c>
      <c r="I104" s="203">
        <v>74.346725303202263</v>
      </c>
      <c r="J104" s="376">
        <f t="shared" si="1"/>
        <v>2.6243297796014531E-2</v>
      </c>
      <c r="K104" s="668" t="s">
        <v>662</v>
      </c>
      <c r="L104" s="669"/>
      <c r="M104" s="99"/>
      <c r="O104" s="199"/>
      <c r="P104" s="430"/>
      <c r="Q104" s="430"/>
      <c r="R104" s="199"/>
    </row>
    <row r="105" spans="1:18" ht="15.75" customHeight="1">
      <c r="A105" s="672"/>
      <c r="B105" s="673"/>
      <c r="C105" s="204" t="s">
        <v>212</v>
      </c>
      <c r="D105" s="668"/>
      <c r="E105" s="669"/>
      <c r="F105" s="669"/>
      <c r="G105" s="200"/>
      <c r="H105" s="202"/>
      <c r="I105" s="203"/>
      <c r="J105" s="200"/>
      <c r="K105" s="668"/>
      <c r="L105" s="669"/>
      <c r="M105" s="99"/>
      <c r="O105" s="199"/>
      <c r="P105" s="430"/>
      <c r="Q105" s="430"/>
      <c r="R105" s="199"/>
    </row>
    <row r="106" spans="1:18" ht="15.75" customHeight="1">
      <c r="A106" s="672"/>
      <c r="B106" s="673"/>
      <c r="C106" s="204" t="s">
        <v>213</v>
      </c>
      <c r="D106" s="668"/>
      <c r="E106" s="669"/>
      <c r="F106" s="669"/>
      <c r="G106" s="200"/>
      <c r="H106" s="202"/>
      <c r="I106" s="203"/>
      <c r="J106" s="200"/>
      <c r="K106" s="668"/>
      <c r="L106" s="669"/>
      <c r="M106" s="99"/>
      <c r="O106" s="199"/>
      <c r="P106" s="430"/>
      <c r="Q106" s="430"/>
      <c r="R106" s="199"/>
    </row>
    <row r="107" spans="1:18" s="189" customFormat="1" ht="15.75" customHeight="1">
      <c r="A107" s="674" t="s">
        <v>767</v>
      </c>
      <c r="B107" s="674"/>
      <c r="C107" s="674"/>
      <c r="D107" s="674"/>
      <c r="E107" s="674"/>
      <c r="F107" s="674"/>
      <c r="G107" s="674"/>
      <c r="H107" s="674"/>
      <c r="I107" s="674"/>
      <c r="J107" s="674"/>
      <c r="K107" s="674"/>
      <c r="L107" s="674"/>
    </row>
    <row r="108" spans="1:18" s="190" customFormat="1" ht="15.75" customHeight="1">
      <c r="A108" s="674"/>
      <c r="B108" s="674"/>
      <c r="C108" s="674"/>
      <c r="D108" s="674"/>
      <c r="E108" s="674"/>
      <c r="F108" s="674"/>
      <c r="G108" s="674"/>
      <c r="H108" s="674"/>
      <c r="I108" s="674"/>
      <c r="J108" s="674"/>
      <c r="K108" s="674"/>
      <c r="L108" s="674"/>
    </row>
    <row r="109" spans="1:18" s="106" customFormat="1" ht="16.399999999999999" customHeight="1">
      <c r="A109" s="672" t="s">
        <v>164</v>
      </c>
      <c r="B109" s="170">
        <v>1</v>
      </c>
      <c r="C109" s="170">
        <v>2</v>
      </c>
      <c r="D109" s="170">
        <v>3</v>
      </c>
      <c r="E109" s="170">
        <v>4</v>
      </c>
      <c r="F109" s="191">
        <v>5</v>
      </c>
      <c r="G109" s="191">
        <v>6</v>
      </c>
      <c r="H109" s="170">
        <v>7</v>
      </c>
      <c r="I109" s="170">
        <v>8</v>
      </c>
      <c r="J109" s="170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99999999999999" customHeight="1">
      <c r="A110" s="672"/>
      <c r="B110" s="195" t="s">
        <v>208</v>
      </c>
      <c r="C110" s="195" t="s">
        <v>157</v>
      </c>
      <c r="D110" s="195" t="s">
        <v>209</v>
      </c>
      <c r="E110" s="195" t="s">
        <v>158</v>
      </c>
      <c r="F110" s="194" t="s">
        <v>357</v>
      </c>
      <c r="G110" s="209" t="s">
        <v>137</v>
      </c>
      <c r="H110" s="197" t="s">
        <v>210</v>
      </c>
      <c r="I110" s="196" t="s">
        <v>387</v>
      </c>
      <c r="J110" s="196" t="s">
        <v>143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73" t="s">
        <v>190</v>
      </c>
      <c r="B111" s="673"/>
      <c r="C111" s="160" t="s">
        <v>47</v>
      </c>
      <c r="D111" s="673" t="s">
        <v>12</v>
      </c>
      <c r="E111" s="675"/>
      <c r="F111" s="675"/>
      <c r="G111" s="160" t="s">
        <v>46</v>
      </c>
      <c r="H111" s="160" t="s">
        <v>388</v>
      </c>
      <c r="I111" s="160" t="s">
        <v>389</v>
      </c>
      <c r="J111" s="160" t="s">
        <v>334</v>
      </c>
      <c r="K111" s="673" t="s">
        <v>51</v>
      </c>
      <c r="L111" s="675"/>
      <c r="M111" s="127"/>
      <c r="N111" s="189"/>
      <c r="O111" s="431"/>
      <c r="P111" s="430"/>
      <c r="Q111" s="430"/>
      <c r="R111" s="199"/>
    </row>
    <row r="112" spans="1:18" ht="15.75" customHeight="1">
      <c r="A112" s="672">
        <v>5</v>
      </c>
      <c r="B112" s="673" t="s">
        <v>357</v>
      </c>
      <c r="C112" s="200">
        <v>1</v>
      </c>
      <c r="D112" s="668" t="s">
        <v>486</v>
      </c>
      <c r="E112" s="669"/>
      <c r="F112" s="669"/>
      <c r="G112" s="202">
        <v>20</v>
      </c>
      <c r="H112" s="202">
        <v>1786.9420824357496</v>
      </c>
      <c r="I112" s="203">
        <v>89.347104121787467</v>
      </c>
      <c r="J112" s="376">
        <f>I112-I86</f>
        <v>1.1819744604878224E-2</v>
      </c>
      <c r="K112" s="682" t="s">
        <v>464</v>
      </c>
      <c r="L112" s="683"/>
      <c r="O112" s="431"/>
      <c r="P112" s="430"/>
      <c r="Q112" s="430"/>
      <c r="R112" s="199"/>
    </row>
    <row r="113" spans="1:18" ht="15.75" customHeight="1">
      <c r="A113" s="672"/>
      <c r="B113" s="673"/>
      <c r="C113" s="200">
        <v>2</v>
      </c>
      <c r="D113" s="668" t="s">
        <v>611</v>
      </c>
      <c r="E113" s="669"/>
      <c r="F113" s="669"/>
      <c r="G113" s="202">
        <v>20</v>
      </c>
      <c r="H113" s="202">
        <v>1786.0484301739875</v>
      </c>
      <c r="I113" s="203">
        <v>89.302421508699382</v>
      </c>
      <c r="J113" s="376">
        <f>I113-I87</f>
        <v>2.7663083633669316E-2</v>
      </c>
      <c r="K113" s="682" t="s">
        <v>464</v>
      </c>
      <c r="L113" s="683"/>
      <c r="O113" s="431"/>
      <c r="P113" s="430"/>
      <c r="Q113" s="430"/>
      <c r="R113" s="199"/>
    </row>
    <row r="114" spans="1:18" ht="15.75" customHeight="1">
      <c r="A114" s="672"/>
      <c r="B114" s="673"/>
      <c r="C114" s="200">
        <v>3</v>
      </c>
      <c r="D114" s="668" t="s">
        <v>511</v>
      </c>
      <c r="E114" s="669"/>
      <c r="F114" s="669"/>
      <c r="G114" s="202">
        <v>19</v>
      </c>
      <c r="H114" s="202">
        <v>1605.9489386682333</v>
      </c>
      <c r="I114" s="203">
        <v>84.52362835095964</v>
      </c>
      <c r="J114" s="376">
        <f>I114-I88</f>
        <v>-1.5211838528728094E-3</v>
      </c>
      <c r="K114" s="682" t="s">
        <v>464</v>
      </c>
      <c r="L114" s="683"/>
      <c r="O114" s="431"/>
      <c r="P114" s="430"/>
      <c r="Q114" s="430"/>
      <c r="R114" s="199"/>
    </row>
    <row r="115" spans="1:18" ht="15.75" customHeight="1">
      <c r="A115" s="672"/>
      <c r="B115" s="673"/>
      <c r="C115" s="200">
        <v>4</v>
      </c>
      <c r="D115" s="668" t="s">
        <v>347</v>
      </c>
      <c r="E115" s="669"/>
      <c r="F115" s="669"/>
      <c r="G115" s="202">
        <v>23</v>
      </c>
      <c r="H115" s="202">
        <v>1788.50830055453</v>
      </c>
      <c r="I115" s="203">
        <v>77.761230458892598</v>
      </c>
      <c r="J115" s="376">
        <f>I115-I90</f>
        <v>4.053586704509371E-2</v>
      </c>
      <c r="K115" s="682" t="s">
        <v>464</v>
      </c>
      <c r="L115" s="683"/>
      <c r="O115" s="431"/>
      <c r="P115" s="430"/>
      <c r="Q115" s="430"/>
      <c r="R115" s="199"/>
    </row>
    <row r="116" spans="1:18" ht="15.75" customHeight="1">
      <c r="A116" s="672"/>
      <c r="B116" s="673"/>
      <c r="C116" s="200">
        <v>5</v>
      </c>
      <c r="D116" s="668" t="s">
        <v>345</v>
      </c>
      <c r="E116" s="669"/>
      <c r="F116" s="669"/>
      <c r="G116" s="202">
        <v>23</v>
      </c>
      <c r="H116" s="202">
        <v>1787.212879341183</v>
      </c>
      <c r="I116" s="203">
        <v>77.704907797442743</v>
      </c>
      <c r="J116" s="376">
        <f>I116-I94</f>
        <v>3.7732090719686084E-2</v>
      </c>
      <c r="K116" s="682" t="s">
        <v>464</v>
      </c>
      <c r="L116" s="683"/>
      <c r="O116" s="431"/>
      <c r="P116" s="430"/>
      <c r="Q116" s="430"/>
      <c r="R116" s="199"/>
    </row>
    <row r="117" spans="1:18" ht="15.75" customHeight="1">
      <c r="A117" s="672"/>
      <c r="B117" s="673"/>
      <c r="C117" s="204" t="s">
        <v>206</v>
      </c>
      <c r="D117" s="668" t="s">
        <v>346</v>
      </c>
      <c r="E117" s="669"/>
      <c r="F117" s="669"/>
      <c r="G117" s="202">
        <v>24</v>
      </c>
      <c r="H117" s="202">
        <v>1785.1785885441459</v>
      </c>
      <c r="I117" s="203">
        <v>74.382441189339389</v>
      </c>
      <c r="J117" s="376">
        <f>I117-I91</f>
        <v>0.83804881140086707</v>
      </c>
      <c r="K117" s="682" t="s">
        <v>464</v>
      </c>
      <c r="L117" s="683"/>
      <c r="N117" s="178"/>
      <c r="O117" s="432"/>
      <c r="P117" s="429"/>
      <c r="Q117" s="429"/>
      <c r="R117" s="178"/>
    </row>
    <row r="118" spans="1:18" ht="15.75" customHeight="1">
      <c r="A118" s="672"/>
      <c r="B118" s="673"/>
      <c r="C118" s="204" t="s">
        <v>211</v>
      </c>
      <c r="D118" s="668" t="s">
        <v>610</v>
      </c>
      <c r="E118" s="669"/>
      <c r="F118" s="669"/>
      <c r="G118" s="202">
        <v>21</v>
      </c>
      <c r="H118" s="202">
        <v>1606.1197055526507</v>
      </c>
      <c r="I118" s="203">
        <v>76.481890740602424</v>
      </c>
      <c r="J118" s="376">
        <f>I118-I93</f>
        <v>4.7574566901573689E-3</v>
      </c>
      <c r="K118" s="682" t="s">
        <v>464</v>
      </c>
      <c r="L118" s="683"/>
      <c r="O118" s="199"/>
      <c r="P118" s="430"/>
      <c r="Q118" s="430"/>
      <c r="R118" s="199"/>
    </row>
    <row r="119" spans="1:18" ht="15.75" customHeight="1">
      <c r="A119" s="672"/>
      <c r="B119" s="673"/>
      <c r="C119" s="204" t="s">
        <v>207</v>
      </c>
      <c r="D119" s="668" t="s">
        <v>358</v>
      </c>
      <c r="E119" s="669"/>
      <c r="F119" s="669"/>
      <c r="G119" s="202">
        <v>23</v>
      </c>
      <c r="H119" s="202">
        <v>1786.493874040043</v>
      </c>
      <c r="I119" s="203">
        <v>77.673646697393153</v>
      </c>
      <c r="J119" s="376">
        <f>I119-I92</f>
        <v>2.361925921758754</v>
      </c>
      <c r="K119" s="668" t="s">
        <v>709</v>
      </c>
      <c r="L119" s="669"/>
      <c r="O119" s="431"/>
      <c r="P119" s="430"/>
      <c r="Q119" s="430"/>
      <c r="R119" s="199"/>
    </row>
    <row r="120" spans="1:18" ht="15.75" customHeight="1">
      <c r="A120" s="672"/>
      <c r="B120" s="673"/>
      <c r="C120" s="204" t="s">
        <v>212</v>
      </c>
      <c r="D120" s="668"/>
      <c r="E120" s="669"/>
      <c r="F120" s="669"/>
      <c r="G120" s="202"/>
      <c r="H120" s="202"/>
      <c r="I120" s="203"/>
      <c r="J120" s="376"/>
      <c r="K120" s="682"/>
      <c r="L120" s="683"/>
      <c r="M120" s="99"/>
      <c r="O120" s="431"/>
      <c r="P120" s="430"/>
      <c r="Q120" s="430"/>
      <c r="R120" s="199"/>
    </row>
    <row r="121" spans="1:18" ht="15.75" customHeight="1">
      <c r="A121" s="672"/>
      <c r="B121" s="673"/>
      <c r="C121" s="204" t="s">
        <v>213</v>
      </c>
      <c r="D121" s="668"/>
      <c r="E121" s="669"/>
      <c r="F121" s="669"/>
      <c r="G121" s="202"/>
      <c r="H121" s="202"/>
      <c r="I121" s="203"/>
      <c r="J121" s="200"/>
      <c r="K121" s="668"/>
      <c r="L121" s="669"/>
      <c r="M121" s="99"/>
      <c r="O121" s="431"/>
      <c r="P121" s="430"/>
      <c r="Q121" s="430"/>
      <c r="R121" s="199"/>
    </row>
    <row r="122" spans="1:18" s="104" customFormat="1" ht="15.75" customHeight="1">
      <c r="A122" s="670" t="s">
        <v>190</v>
      </c>
      <c r="B122" s="670"/>
      <c r="C122" s="207" t="s">
        <v>47</v>
      </c>
      <c r="D122" s="670" t="s">
        <v>12</v>
      </c>
      <c r="E122" s="671"/>
      <c r="F122" s="671"/>
      <c r="G122" s="207" t="s">
        <v>46</v>
      </c>
      <c r="H122" s="207" t="s">
        <v>388</v>
      </c>
      <c r="I122" s="207" t="s">
        <v>389</v>
      </c>
      <c r="J122" s="160" t="s">
        <v>334</v>
      </c>
      <c r="K122" s="670" t="s">
        <v>51</v>
      </c>
      <c r="L122" s="671"/>
      <c r="M122" s="128"/>
      <c r="N122" s="189"/>
      <c r="O122" s="431"/>
      <c r="P122" s="430"/>
      <c r="Q122" s="430"/>
      <c r="R122" s="199"/>
    </row>
    <row r="123" spans="1:18" ht="15.75" customHeight="1">
      <c r="A123" s="672">
        <v>6</v>
      </c>
      <c r="B123" s="673" t="s">
        <v>137</v>
      </c>
      <c r="C123" s="200">
        <v>1</v>
      </c>
      <c r="D123" s="668" t="s">
        <v>479</v>
      </c>
      <c r="E123" s="669"/>
      <c r="F123" s="669"/>
      <c r="G123" s="200">
        <v>20</v>
      </c>
      <c r="H123" s="202">
        <v>1786.5043053085315</v>
      </c>
      <c r="I123" s="203">
        <v>89.325215265426579</v>
      </c>
      <c r="J123" s="376">
        <f>I123-I97</f>
        <v>2.6336124905839142E-2</v>
      </c>
      <c r="K123" s="682" t="s">
        <v>464</v>
      </c>
      <c r="L123" s="683"/>
      <c r="M123" s="99"/>
      <c r="N123" s="199"/>
      <c r="O123" s="199"/>
      <c r="P123" s="430"/>
      <c r="Q123" s="430"/>
      <c r="R123" s="199"/>
    </row>
    <row r="124" spans="1:18" ht="15.75" customHeight="1">
      <c r="A124" s="672"/>
      <c r="B124" s="673"/>
      <c r="C124" s="200">
        <v>2</v>
      </c>
      <c r="D124" s="668" t="s">
        <v>475</v>
      </c>
      <c r="E124" s="669"/>
      <c r="F124" s="669"/>
      <c r="G124" s="202">
        <v>22</v>
      </c>
      <c r="H124" s="202">
        <v>1786.0893219866375</v>
      </c>
      <c r="I124" s="203">
        <v>81.185878272119893</v>
      </c>
      <c r="J124" s="376">
        <f>I124-I98</f>
        <v>2.8197289074412879E-2</v>
      </c>
      <c r="K124" s="682" t="s">
        <v>464</v>
      </c>
      <c r="L124" s="683"/>
      <c r="M124" s="99"/>
      <c r="O124" s="199"/>
      <c r="P124" s="430"/>
      <c r="Q124" s="430"/>
      <c r="R124" s="199"/>
    </row>
    <row r="125" spans="1:18" ht="15.75" customHeight="1">
      <c r="A125" s="672"/>
      <c r="B125" s="673"/>
      <c r="C125" s="200">
        <v>3</v>
      </c>
      <c r="D125" s="668" t="s">
        <v>360</v>
      </c>
      <c r="E125" s="669"/>
      <c r="F125" s="669"/>
      <c r="G125" s="202">
        <v>22</v>
      </c>
      <c r="H125" s="202">
        <v>1785.0743409283916</v>
      </c>
      <c r="I125" s="203">
        <v>81.139742769472363</v>
      </c>
      <c r="J125" s="376">
        <f>I125-I99</f>
        <v>1.6733867448252226E-2</v>
      </c>
      <c r="K125" s="682" t="s">
        <v>464</v>
      </c>
      <c r="L125" s="683"/>
      <c r="M125" s="99"/>
      <c r="O125" s="199"/>
      <c r="P125" s="430"/>
      <c r="Q125" s="430"/>
      <c r="R125" s="199"/>
    </row>
    <row r="126" spans="1:18" ht="15.75" customHeight="1">
      <c r="A126" s="672"/>
      <c r="B126" s="673"/>
      <c r="C126" s="200">
        <v>4</v>
      </c>
      <c r="D126" s="668" t="s">
        <v>359</v>
      </c>
      <c r="E126" s="669"/>
      <c r="F126" s="669"/>
      <c r="G126" s="200">
        <v>23</v>
      </c>
      <c r="H126" s="202">
        <v>1787.4938530348099</v>
      </c>
      <c r="I126" s="203">
        <v>77.717124044991735</v>
      </c>
      <c r="J126" s="376">
        <f>I126-I100</f>
        <v>3.8207832852904744E-2</v>
      </c>
      <c r="K126" s="682" t="s">
        <v>464</v>
      </c>
      <c r="L126" s="683"/>
      <c r="M126" s="99"/>
      <c r="O126" s="199"/>
      <c r="P126" s="430"/>
      <c r="Q126" s="430"/>
      <c r="R126" s="199"/>
    </row>
    <row r="127" spans="1:18" ht="15.75" customHeight="1">
      <c r="A127" s="672"/>
      <c r="B127" s="673"/>
      <c r="C127" s="200">
        <v>5</v>
      </c>
      <c r="D127" s="668" t="s">
        <v>362</v>
      </c>
      <c r="E127" s="669"/>
      <c r="F127" s="669"/>
      <c r="G127" s="202">
        <v>23</v>
      </c>
      <c r="H127" s="202">
        <v>1786.822284627729</v>
      </c>
      <c r="I127" s="203">
        <v>77.687925418596919</v>
      </c>
      <c r="J127" s="376">
        <f>I127-I103</f>
        <v>3.4291464901155706</v>
      </c>
      <c r="K127" s="668" t="s">
        <v>709</v>
      </c>
      <c r="L127" s="669"/>
      <c r="M127" s="99"/>
      <c r="O127" s="199"/>
      <c r="P127" s="430"/>
      <c r="Q127" s="430"/>
      <c r="R127" s="199"/>
    </row>
    <row r="128" spans="1:18" ht="15.75" customHeight="1">
      <c r="A128" s="672"/>
      <c r="B128" s="673"/>
      <c r="C128" s="204" t="s">
        <v>206</v>
      </c>
      <c r="D128" s="668" t="s">
        <v>361</v>
      </c>
      <c r="E128" s="669"/>
      <c r="F128" s="669"/>
      <c r="G128" s="200">
        <v>24</v>
      </c>
      <c r="H128" s="202">
        <v>1785.9986194154785</v>
      </c>
      <c r="I128" s="203">
        <v>74.416609142311614</v>
      </c>
      <c r="J128" s="376">
        <f>I128-I101</f>
        <v>1.0544551431507898E-2</v>
      </c>
      <c r="K128" s="682" t="s">
        <v>464</v>
      </c>
      <c r="L128" s="683"/>
      <c r="M128" s="99"/>
      <c r="O128" s="199"/>
      <c r="P128" s="430"/>
      <c r="Q128" s="430"/>
      <c r="R128" s="199"/>
    </row>
    <row r="129" spans="1:18" ht="15.75" customHeight="1">
      <c r="A129" s="672"/>
      <c r="B129" s="673"/>
      <c r="C129" s="204" t="s">
        <v>211</v>
      </c>
      <c r="D129" s="668" t="s">
        <v>363</v>
      </c>
      <c r="E129" s="669"/>
      <c r="F129" s="669"/>
      <c r="G129" s="200">
        <v>24</v>
      </c>
      <c r="H129" s="202">
        <v>1786.7220030830765</v>
      </c>
      <c r="I129" s="203">
        <v>74.446750128461517</v>
      </c>
      <c r="J129" s="376">
        <f>I129-I102</f>
        <v>1.6225453836907917</v>
      </c>
      <c r="K129" s="682" t="s">
        <v>464</v>
      </c>
      <c r="L129" s="683"/>
      <c r="M129" s="99"/>
      <c r="O129" s="199"/>
      <c r="P129" s="430"/>
      <c r="Q129" s="430"/>
      <c r="R129" s="199"/>
    </row>
    <row r="130" spans="1:18" ht="15.75" customHeight="1">
      <c r="A130" s="672"/>
      <c r="B130" s="673"/>
      <c r="C130" s="204" t="s">
        <v>207</v>
      </c>
      <c r="D130" s="668" t="s">
        <v>471</v>
      </c>
      <c r="E130" s="669"/>
      <c r="F130" s="669"/>
      <c r="G130" s="200">
        <v>23.714285714285715</v>
      </c>
      <c r="H130" s="202">
        <v>1784.8589481638985</v>
      </c>
      <c r="I130" s="203">
        <v>75.293392136449839</v>
      </c>
      <c r="J130" s="376">
        <f>I130-I104</f>
        <v>0.94666683324757628</v>
      </c>
      <c r="K130" s="668" t="s">
        <v>709</v>
      </c>
      <c r="L130" s="669"/>
      <c r="M130" s="99"/>
      <c r="O130" s="199"/>
      <c r="P130" s="430"/>
      <c r="Q130" s="430"/>
      <c r="R130" s="199"/>
    </row>
    <row r="131" spans="1:18" ht="15.75" customHeight="1">
      <c r="A131" s="672"/>
      <c r="B131" s="673"/>
      <c r="C131" s="204" t="s">
        <v>212</v>
      </c>
      <c r="D131" s="668"/>
      <c r="E131" s="669"/>
      <c r="F131" s="669"/>
      <c r="G131" s="200"/>
      <c r="H131" s="202"/>
      <c r="I131" s="203"/>
      <c r="J131" s="200"/>
      <c r="K131" s="668"/>
      <c r="L131" s="669"/>
      <c r="M131" s="99"/>
      <c r="O131" s="199"/>
      <c r="P131" s="430"/>
      <c r="Q131" s="430"/>
      <c r="R131" s="199"/>
    </row>
    <row r="132" spans="1:18" ht="15.75" customHeight="1">
      <c r="A132" s="672"/>
      <c r="B132" s="673"/>
      <c r="C132" s="204" t="s">
        <v>213</v>
      </c>
      <c r="D132" s="668"/>
      <c r="E132" s="669"/>
      <c r="F132" s="669"/>
      <c r="G132" s="200"/>
      <c r="H132" s="202"/>
      <c r="I132" s="203"/>
      <c r="J132" s="200"/>
      <c r="K132" s="668"/>
      <c r="L132" s="669"/>
      <c r="M132" s="99"/>
      <c r="O132" s="199"/>
      <c r="P132" s="430"/>
      <c r="Q132" s="430"/>
      <c r="R132" s="199"/>
    </row>
    <row r="133" spans="1:18" s="189" customFormat="1" ht="15.75" customHeight="1">
      <c r="A133" s="674" t="s">
        <v>844</v>
      </c>
      <c r="B133" s="674"/>
      <c r="C133" s="674"/>
      <c r="D133" s="674"/>
      <c r="E133" s="674"/>
      <c r="F133" s="674"/>
      <c r="G133" s="674"/>
      <c r="H133" s="674"/>
      <c r="I133" s="674"/>
      <c r="J133" s="674"/>
      <c r="K133" s="674"/>
      <c r="L133" s="674"/>
    </row>
    <row r="134" spans="1:18" s="190" customFormat="1" ht="15.75" customHeight="1">
      <c r="A134" s="674"/>
      <c r="B134" s="674"/>
      <c r="C134" s="674"/>
      <c r="D134" s="674"/>
      <c r="E134" s="674"/>
      <c r="F134" s="674"/>
      <c r="G134" s="674"/>
      <c r="H134" s="674"/>
      <c r="I134" s="674"/>
      <c r="J134" s="674"/>
      <c r="K134" s="674"/>
      <c r="L134" s="674"/>
    </row>
    <row r="135" spans="1:18" s="106" customFormat="1" ht="16.399999999999999" customHeight="1">
      <c r="A135" s="672" t="s">
        <v>164</v>
      </c>
      <c r="B135" s="170">
        <v>1</v>
      </c>
      <c r="C135" s="170">
        <v>2</v>
      </c>
      <c r="D135" s="170">
        <v>3</v>
      </c>
      <c r="E135" s="170">
        <v>4</v>
      </c>
      <c r="F135" s="191">
        <v>5</v>
      </c>
      <c r="G135" s="191">
        <v>6</v>
      </c>
      <c r="H135" s="170">
        <v>7</v>
      </c>
      <c r="I135" s="170">
        <v>8</v>
      </c>
      <c r="J135" s="170">
        <v>9</v>
      </c>
      <c r="K135" s="192"/>
      <c r="L135" s="192"/>
      <c r="M135" s="127"/>
      <c r="N135" s="178"/>
      <c r="O135" s="178"/>
      <c r="P135" s="178"/>
      <c r="Q135" s="178"/>
      <c r="R135" s="178"/>
    </row>
    <row r="136" spans="1:18" ht="16.399999999999999" customHeight="1">
      <c r="A136" s="672"/>
      <c r="B136" s="195" t="s">
        <v>208</v>
      </c>
      <c r="C136" s="195" t="s">
        <v>157</v>
      </c>
      <c r="D136" s="195" t="s">
        <v>209</v>
      </c>
      <c r="E136" s="195" t="s">
        <v>158</v>
      </c>
      <c r="F136" s="194" t="s">
        <v>357</v>
      </c>
      <c r="G136" s="209" t="s">
        <v>137</v>
      </c>
      <c r="H136" s="197" t="s">
        <v>210</v>
      </c>
      <c r="I136" s="196" t="s">
        <v>387</v>
      </c>
      <c r="J136" s="196" t="s">
        <v>143</v>
      </c>
      <c r="K136" s="198"/>
      <c r="L136" s="198"/>
      <c r="N136" s="199"/>
      <c r="O136" s="199"/>
      <c r="P136" s="199"/>
      <c r="Q136" s="199"/>
      <c r="R136" s="199"/>
    </row>
    <row r="137" spans="1:18" s="106" customFormat="1" ht="15.75" customHeight="1">
      <c r="A137" s="673" t="s">
        <v>190</v>
      </c>
      <c r="B137" s="673"/>
      <c r="C137" s="160" t="s">
        <v>47</v>
      </c>
      <c r="D137" s="673" t="s">
        <v>12</v>
      </c>
      <c r="E137" s="675"/>
      <c r="F137" s="675"/>
      <c r="G137" s="160" t="s">
        <v>46</v>
      </c>
      <c r="H137" s="160" t="s">
        <v>388</v>
      </c>
      <c r="I137" s="160" t="s">
        <v>389</v>
      </c>
      <c r="J137" s="160" t="s">
        <v>334</v>
      </c>
      <c r="K137" s="673" t="s">
        <v>51</v>
      </c>
      <c r="L137" s="675"/>
      <c r="M137" s="127"/>
      <c r="N137" s="189"/>
      <c r="O137" s="199"/>
      <c r="P137" s="430"/>
      <c r="Q137" s="430"/>
      <c r="R137" s="199"/>
    </row>
    <row r="138" spans="1:18" ht="15.75" customHeight="1">
      <c r="A138" s="672">
        <v>5</v>
      </c>
      <c r="B138" s="673" t="s">
        <v>357</v>
      </c>
      <c r="C138" s="200">
        <v>1</v>
      </c>
      <c r="D138" s="668" t="s">
        <v>486</v>
      </c>
      <c r="E138" s="669"/>
      <c r="F138" s="669"/>
      <c r="G138" s="202">
        <v>20</v>
      </c>
      <c r="H138" s="202">
        <v>1787.6833225479334</v>
      </c>
      <c r="I138" s="203">
        <v>89.384166127396682</v>
      </c>
      <c r="J138" s="376">
        <f t="shared" ref="J138:J145" si="2">I138-I112</f>
        <v>3.7062005609215021E-2</v>
      </c>
      <c r="K138" s="668"/>
      <c r="L138" s="669"/>
      <c r="O138" s="431"/>
      <c r="P138" s="430"/>
      <c r="Q138" s="430"/>
      <c r="R138" s="199"/>
    </row>
    <row r="139" spans="1:18" ht="15.75" customHeight="1">
      <c r="A139" s="672"/>
      <c r="B139" s="673"/>
      <c r="C139" s="200">
        <v>2</v>
      </c>
      <c r="D139" s="668" t="s">
        <v>611</v>
      </c>
      <c r="E139" s="669"/>
      <c r="F139" s="669"/>
      <c r="G139" s="202">
        <v>20</v>
      </c>
      <c r="H139" s="202">
        <v>1786.6316446739627</v>
      </c>
      <c r="I139" s="203">
        <v>89.331582233698143</v>
      </c>
      <c r="J139" s="376">
        <f t="shared" si="2"/>
        <v>2.9160724998760656E-2</v>
      </c>
      <c r="K139" s="668"/>
      <c r="L139" s="669"/>
      <c r="O139" s="431"/>
      <c r="P139" s="430"/>
      <c r="Q139" s="430"/>
      <c r="R139" s="199"/>
    </row>
    <row r="140" spans="1:18" ht="15.75" customHeight="1">
      <c r="A140" s="672"/>
      <c r="B140" s="673"/>
      <c r="C140" s="200">
        <v>3</v>
      </c>
      <c r="D140" s="668" t="s">
        <v>511</v>
      </c>
      <c r="E140" s="669"/>
      <c r="F140" s="669"/>
      <c r="G140" s="202">
        <v>19</v>
      </c>
      <c r="H140" s="202">
        <v>1606.138385538095</v>
      </c>
      <c r="I140" s="203">
        <v>84.533599238847117</v>
      </c>
      <c r="J140" s="376">
        <f t="shared" si="2"/>
        <v>9.970887887476465E-3</v>
      </c>
      <c r="K140" s="668"/>
      <c r="L140" s="669"/>
      <c r="O140" s="431"/>
      <c r="P140" s="430"/>
      <c r="Q140" s="430"/>
      <c r="R140" s="199"/>
    </row>
    <row r="141" spans="1:18" ht="15.75" customHeight="1">
      <c r="A141" s="672"/>
      <c r="B141" s="673"/>
      <c r="C141" s="200">
        <v>4</v>
      </c>
      <c r="D141" s="668" t="s">
        <v>347</v>
      </c>
      <c r="E141" s="669"/>
      <c r="F141" s="669"/>
      <c r="G141" s="202">
        <v>23</v>
      </c>
      <c r="H141" s="202">
        <v>1789.618373605475</v>
      </c>
      <c r="I141" s="203">
        <v>77.809494504585857</v>
      </c>
      <c r="J141" s="376">
        <f t="shared" si="2"/>
        <v>4.8264045693258595E-2</v>
      </c>
      <c r="K141" s="668"/>
      <c r="L141" s="669"/>
      <c r="O141" s="431"/>
      <c r="P141" s="430"/>
      <c r="Q141" s="430"/>
      <c r="R141" s="199"/>
    </row>
    <row r="142" spans="1:18" ht="15.75" customHeight="1">
      <c r="A142" s="672"/>
      <c r="B142" s="673"/>
      <c r="C142" s="200">
        <v>5</v>
      </c>
      <c r="D142" s="668" t="s">
        <v>345</v>
      </c>
      <c r="E142" s="669"/>
      <c r="F142" s="669"/>
      <c r="G142" s="202">
        <v>23</v>
      </c>
      <c r="H142" s="202">
        <v>1787.7124237029086</v>
      </c>
      <c r="I142" s="203">
        <v>77.726627117517751</v>
      </c>
      <c r="J142" s="376">
        <f t="shared" si="2"/>
        <v>2.1719320075007431E-2</v>
      </c>
      <c r="K142" s="668"/>
      <c r="L142" s="669"/>
      <c r="O142" s="431"/>
      <c r="P142" s="430"/>
      <c r="Q142" s="430"/>
      <c r="R142" s="199"/>
    </row>
    <row r="143" spans="1:18" ht="15.75" customHeight="1">
      <c r="A143" s="672"/>
      <c r="B143" s="673"/>
      <c r="C143" s="204" t="s">
        <v>206</v>
      </c>
      <c r="D143" s="668" t="s">
        <v>346</v>
      </c>
      <c r="E143" s="669"/>
      <c r="F143" s="669"/>
      <c r="G143" s="202">
        <v>24</v>
      </c>
      <c r="H143" s="202">
        <v>1785.5616371524959</v>
      </c>
      <c r="I143" s="203">
        <v>74.398401548020658</v>
      </c>
      <c r="J143" s="376">
        <f t="shared" si="2"/>
        <v>1.5960358681269327E-2</v>
      </c>
      <c r="K143" s="668"/>
      <c r="L143" s="669"/>
      <c r="O143" s="431"/>
      <c r="P143" s="430"/>
      <c r="Q143" s="430"/>
      <c r="R143" s="199"/>
    </row>
    <row r="144" spans="1:18" ht="15.75" customHeight="1">
      <c r="A144" s="672"/>
      <c r="B144" s="673"/>
      <c r="C144" s="204" t="s">
        <v>211</v>
      </c>
      <c r="D144" s="668" t="s">
        <v>610</v>
      </c>
      <c r="E144" s="669"/>
      <c r="F144" s="669"/>
      <c r="G144" s="202">
        <v>21</v>
      </c>
      <c r="H144" s="202">
        <v>1606.6644565081072</v>
      </c>
      <c r="I144" s="203">
        <v>76.507831262290807</v>
      </c>
      <c r="J144" s="376">
        <f t="shared" si="2"/>
        <v>2.5940521688383456E-2</v>
      </c>
      <c r="K144" s="668"/>
      <c r="L144" s="669"/>
      <c r="N144" s="178"/>
      <c r="O144" s="432"/>
      <c r="P144" s="429"/>
      <c r="Q144" s="429"/>
      <c r="R144" s="178"/>
    </row>
    <row r="145" spans="1:18" ht="15.75" customHeight="1">
      <c r="A145" s="672"/>
      <c r="B145" s="673"/>
      <c r="C145" s="204" t="s">
        <v>207</v>
      </c>
      <c r="D145" s="668" t="s">
        <v>358</v>
      </c>
      <c r="E145" s="669"/>
      <c r="F145" s="669"/>
      <c r="G145" s="202">
        <v>23</v>
      </c>
      <c r="H145" s="202">
        <v>1787.6415234531344</v>
      </c>
      <c r="I145" s="203">
        <v>77.723544497962379</v>
      </c>
      <c r="J145" s="376">
        <f t="shared" si="2"/>
        <v>4.9897800569226547E-2</v>
      </c>
      <c r="K145" s="668"/>
      <c r="L145" s="669"/>
      <c r="O145" s="431"/>
      <c r="P145" s="430"/>
      <c r="Q145" s="430"/>
      <c r="R145" s="199"/>
    </row>
    <row r="146" spans="1:18" ht="15.75" customHeight="1">
      <c r="A146" s="672"/>
      <c r="B146" s="673"/>
      <c r="C146" s="204" t="s">
        <v>212</v>
      </c>
      <c r="D146" s="668"/>
      <c r="E146" s="669"/>
      <c r="F146" s="669"/>
      <c r="G146" s="202"/>
      <c r="H146" s="202"/>
      <c r="I146" s="203"/>
      <c r="J146" s="200"/>
      <c r="K146" s="668"/>
      <c r="L146" s="669"/>
      <c r="M146" s="99"/>
      <c r="O146" s="431"/>
      <c r="P146" s="430"/>
      <c r="Q146" s="430"/>
      <c r="R146" s="199"/>
    </row>
    <row r="147" spans="1:18" ht="15.75" customHeight="1">
      <c r="A147" s="672"/>
      <c r="B147" s="673"/>
      <c r="C147" s="204" t="s">
        <v>213</v>
      </c>
      <c r="D147" s="668"/>
      <c r="E147" s="669"/>
      <c r="F147" s="669"/>
      <c r="G147" s="202"/>
      <c r="H147" s="202"/>
      <c r="I147" s="203"/>
      <c r="J147" s="200"/>
      <c r="K147" s="668"/>
      <c r="L147" s="669"/>
      <c r="M147" s="99"/>
      <c r="O147" s="431"/>
      <c r="P147" s="430"/>
      <c r="Q147" s="430"/>
      <c r="R147" s="199"/>
    </row>
    <row r="148" spans="1:18" s="104" customFormat="1" ht="15.75" customHeight="1">
      <c r="A148" s="670" t="s">
        <v>190</v>
      </c>
      <c r="B148" s="670"/>
      <c r="C148" s="207" t="s">
        <v>47</v>
      </c>
      <c r="D148" s="670" t="s">
        <v>12</v>
      </c>
      <c r="E148" s="671"/>
      <c r="F148" s="671"/>
      <c r="G148" s="207" t="s">
        <v>46</v>
      </c>
      <c r="H148" s="207" t="s">
        <v>388</v>
      </c>
      <c r="I148" s="207" t="s">
        <v>389</v>
      </c>
      <c r="J148" s="160" t="s">
        <v>334</v>
      </c>
      <c r="K148" s="670" t="s">
        <v>51</v>
      </c>
      <c r="L148" s="671"/>
      <c r="M148" s="128"/>
      <c r="N148" s="189"/>
      <c r="O148" s="431"/>
      <c r="P148" s="430"/>
      <c r="Q148" s="430"/>
      <c r="R148" s="199"/>
    </row>
    <row r="149" spans="1:18" ht="15.75" customHeight="1">
      <c r="A149" s="672">
        <v>6</v>
      </c>
      <c r="B149" s="673" t="s">
        <v>137</v>
      </c>
      <c r="C149" s="200">
        <v>1</v>
      </c>
      <c r="D149" s="668" t="s">
        <v>479</v>
      </c>
      <c r="E149" s="669"/>
      <c r="F149" s="669"/>
      <c r="G149" s="200">
        <v>20</v>
      </c>
      <c r="H149" s="202">
        <v>1786.5812924932718</v>
      </c>
      <c r="I149" s="203">
        <v>89.329064624663573</v>
      </c>
      <c r="J149" s="376">
        <f>I149-I123</f>
        <v>3.8493592369945873E-3</v>
      </c>
      <c r="K149" s="668"/>
      <c r="L149" s="669"/>
      <c r="M149" s="99"/>
      <c r="N149" s="199"/>
      <c r="O149" s="199"/>
      <c r="P149" s="430"/>
      <c r="Q149" s="430"/>
      <c r="R149" s="199"/>
    </row>
    <row r="150" spans="1:18" ht="15.75" customHeight="1">
      <c r="A150" s="672"/>
      <c r="B150" s="673"/>
      <c r="C150" s="200">
        <v>2</v>
      </c>
      <c r="D150" s="668" t="s">
        <v>475</v>
      </c>
      <c r="E150" s="669"/>
      <c r="F150" s="669"/>
      <c r="G150" s="202">
        <v>22</v>
      </c>
      <c r="H150" s="202">
        <v>1786.9212392650302</v>
      </c>
      <c r="I150" s="203">
        <v>81.223692693865019</v>
      </c>
      <c r="J150" s="376">
        <f>I150-I124</f>
        <v>3.781442174512506E-2</v>
      </c>
      <c r="K150" s="668"/>
      <c r="L150" s="669"/>
      <c r="M150" s="99"/>
      <c r="O150" s="199"/>
      <c r="P150" s="430"/>
      <c r="Q150" s="430"/>
      <c r="R150" s="199"/>
    </row>
    <row r="151" spans="1:18" ht="15.75" customHeight="1">
      <c r="A151" s="672"/>
      <c r="B151" s="673"/>
      <c r="C151" s="200">
        <v>3</v>
      </c>
      <c r="D151" s="668" t="s">
        <v>360</v>
      </c>
      <c r="E151" s="669"/>
      <c r="F151" s="669"/>
      <c r="G151" s="202">
        <v>22</v>
      </c>
      <c r="H151" s="202">
        <v>1785.620885200128</v>
      </c>
      <c r="I151" s="203">
        <v>81.164585690914919</v>
      </c>
      <c r="J151" s="376">
        <f>I151-I125</f>
        <v>2.4842921442555621E-2</v>
      </c>
      <c r="K151" s="668"/>
      <c r="L151" s="669"/>
      <c r="M151" s="99"/>
      <c r="O151" s="199"/>
      <c r="P151" s="430"/>
      <c r="Q151" s="430"/>
      <c r="R151" s="199"/>
    </row>
    <row r="152" spans="1:18" ht="15.75" customHeight="1">
      <c r="A152" s="672"/>
      <c r="B152" s="673"/>
      <c r="C152" s="200">
        <v>4</v>
      </c>
      <c r="D152" s="668" t="s">
        <v>359</v>
      </c>
      <c r="E152" s="669"/>
      <c r="F152" s="669"/>
      <c r="G152" s="200">
        <v>23</v>
      </c>
      <c r="H152" s="202">
        <v>1787.9928578261026</v>
      </c>
      <c r="I152" s="203">
        <v>77.738819905482728</v>
      </c>
      <c r="J152" s="376">
        <f>I152-I126</f>
        <v>2.1695860490993368E-2</v>
      </c>
      <c r="K152" s="668"/>
      <c r="L152" s="669"/>
      <c r="M152" s="99"/>
      <c r="O152" s="199"/>
      <c r="P152" s="430"/>
      <c r="Q152" s="430"/>
      <c r="R152" s="199"/>
    </row>
    <row r="153" spans="1:18" ht="15.75" customHeight="1">
      <c r="A153" s="672"/>
      <c r="B153" s="673"/>
      <c r="C153" s="200">
        <v>5</v>
      </c>
      <c r="D153" s="668" t="s">
        <v>362</v>
      </c>
      <c r="E153" s="669"/>
      <c r="F153" s="669"/>
      <c r="G153" s="202">
        <v>23</v>
      </c>
      <c r="H153" s="202">
        <v>1787.4499121608512</v>
      </c>
      <c r="I153" s="203">
        <v>77.715213572210914</v>
      </c>
      <c r="J153" s="376">
        <f>I153-I127</f>
        <v>2.7288153613994837E-2</v>
      </c>
      <c r="K153" s="668"/>
      <c r="L153" s="669"/>
      <c r="M153" s="99"/>
      <c r="O153" s="199"/>
      <c r="P153" s="430"/>
      <c r="Q153" s="430"/>
      <c r="R153" s="199"/>
    </row>
    <row r="154" spans="1:18" ht="15.75" customHeight="1">
      <c r="A154" s="672"/>
      <c r="B154" s="673"/>
      <c r="C154" s="204" t="s">
        <v>206</v>
      </c>
      <c r="D154" s="668" t="s">
        <v>843</v>
      </c>
      <c r="E154" s="669"/>
      <c r="F154" s="669"/>
      <c r="G154" s="200">
        <v>26</v>
      </c>
      <c r="H154" s="202">
        <v>1728.4722467230793</v>
      </c>
      <c r="I154" s="203">
        <v>66.4797017970415</v>
      </c>
      <c r="J154" s="376"/>
      <c r="K154" s="668"/>
      <c r="L154" s="669"/>
      <c r="M154" s="99"/>
      <c r="O154" s="199"/>
      <c r="P154" s="430"/>
      <c r="Q154" s="430"/>
      <c r="R154" s="199"/>
    </row>
    <row r="155" spans="1:18" ht="15.75" customHeight="1">
      <c r="A155" s="672"/>
      <c r="B155" s="673"/>
      <c r="C155" s="204" t="s">
        <v>211</v>
      </c>
      <c r="D155" s="668" t="s">
        <v>361</v>
      </c>
      <c r="E155" s="669"/>
      <c r="F155" s="669"/>
      <c r="G155" s="200">
        <v>24</v>
      </c>
      <c r="H155" s="202">
        <v>1786.1484704633092</v>
      </c>
      <c r="I155" s="203">
        <v>74.422852935971221</v>
      </c>
      <c r="J155" s="376">
        <f>I155-I128</f>
        <v>6.2437936596069221E-3</v>
      </c>
      <c r="K155" s="668"/>
      <c r="L155" s="669"/>
      <c r="M155" s="99"/>
      <c r="O155" s="199"/>
      <c r="P155" s="430"/>
      <c r="Q155" s="430"/>
      <c r="R155" s="199"/>
    </row>
    <row r="156" spans="1:18" ht="15.75" customHeight="1">
      <c r="A156" s="672"/>
      <c r="B156" s="673"/>
      <c r="C156" s="204" t="s">
        <v>207</v>
      </c>
      <c r="D156" s="668" t="s">
        <v>363</v>
      </c>
      <c r="E156" s="669"/>
      <c r="F156" s="669"/>
      <c r="G156" s="200">
        <v>24</v>
      </c>
      <c r="H156" s="202">
        <v>1787.5785261132012</v>
      </c>
      <c r="I156" s="203">
        <v>74.482438588050044</v>
      </c>
      <c r="J156" s="376">
        <f>I156-I129</f>
        <v>3.5688459588527621E-2</v>
      </c>
      <c r="K156" s="668"/>
      <c r="L156" s="669"/>
      <c r="M156" s="99"/>
      <c r="O156" s="199"/>
      <c r="P156" s="430"/>
      <c r="Q156" s="430"/>
      <c r="R156" s="199"/>
    </row>
    <row r="157" spans="1:18" ht="15.75" customHeight="1">
      <c r="A157" s="672"/>
      <c r="B157" s="673"/>
      <c r="C157" s="204" t="s">
        <v>212</v>
      </c>
      <c r="D157" s="668" t="s">
        <v>471</v>
      </c>
      <c r="E157" s="669"/>
      <c r="F157" s="669"/>
      <c r="G157" s="200">
        <v>23</v>
      </c>
      <c r="H157" s="202">
        <v>1786.0387092886963</v>
      </c>
      <c r="I157" s="203">
        <v>77.653856925595505</v>
      </c>
      <c r="J157" s="376">
        <f>I157-I130</f>
        <v>2.3604647891456665</v>
      </c>
      <c r="K157" s="668"/>
      <c r="L157" s="669"/>
      <c r="M157" s="99"/>
      <c r="O157" s="199"/>
      <c r="P157" s="430"/>
      <c r="Q157" s="430"/>
      <c r="R157" s="199"/>
    </row>
    <row r="158" spans="1:18" ht="15.75" customHeight="1">
      <c r="A158" s="672"/>
      <c r="B158" s="673"/>
      <c r="C158" s="204" t="s">
        <v>213</v>
      </c>
      <c r="D158" s="668"/>
      <c r="E158" s="669"/>
      <c r="F158" s="669"/>
      <c r="G158" s="200"/>
      <c r="H158" s="202"/>
      <c r="I158" s="203"/>
      <c r="J158" s="200"/>
      <c r="K158" s="668"/>
      <c r="L158" s="669"/>
      <c r="M158" s="99"/>
      <c r="O158" s="199"/>
      <c r="P158" s="430"/>
      <c r="Q158" s="430"/>
      <c r="R158" s="199"/>
    </row>
  </sheetData>
  <mergeCells count="313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K64:L64"/>
    <mergeCell ref="D65:F65"/>
    <mergeCell ref="K65:L65"/>
    <mergeCell ref="D66:F66"/>
    <mergeCell ref="K66:L66"/>
    <mergeCell ref="D79:F79"/>
    <mergeCell ref="K79:L79"/>
    <mergeCell ref="D80:F80"/>
    <mergeCell ref="K80:L80"/>
    <mergeCell ref="K68:L68"/>
    <mergeCell ref="D69:F69"/>
    <mergeCell ref="K69:L69"/>
    <mergeCell ref="A44:B44"/>
    <mergeCell ref="D44:F44"/>
    <mergeCell ref="A45:A54"/>
    <mergeCell ref="B45:B54"/>
    <mergeCell ref="D45:F45"/>
    <mergeCell ref="D77:F77"/>
    <mergeCell ref="K77:L77"/>
    <mergeCell ref="D78:F78"/>
    <mergeCell ref="K78:L78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29:L30"/>
    <mergeCell ref="A31:A32"/>
    <mergeCell ref="A33:B33"/>
    <mergeCell ref="D33:F33"/>
    <mergeCell ref="K33:L33"/>
    <mergeCell ref="A34:A43"/>
    <mergeCell ref="B34:B43"/>
    <mergeCell ref="D34:F34"/>
    <mergeCell ref="D35:F35"/>
    <mergeCell ref="D36:F36"/>
    <mergeCell ref="D37:F37"/>
    <mergeCell ref="K43:L43"/>
    <mergeCell ref="D43:F43"/>
    <mergeCell ref="D38:F38"/>
    <mergeCell ref="D39:F39"/>
    <mergeCell ref="D40:F40"/>
    <mergeCell ref="D41:F41"/>
    <mergeCell ref="D42:F42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46:F46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4:L44"/>
    <mergeCell ref="K45:L45"/>
    <mergeCell ref="K46:L46"/>
    <mergeCell ref="K144:L144"/>
    <mergeCell ref="D145:F145"/>
    <mergeCell ref="K145:L145"/>
    <mergeCell ref="D146:F146"/>
    <mergeCell ref="D47:F47"/>
    <mergeCell ref="D48:F48"/>
    <mergeCell ref="D49:F49"/>
    <mergeCell ref="D50:F50"/>
    <mergeCell ref="D51:F51"/>
    <mergeCell ref="D52:F52"/>
    <mergeCell ref="D53:F53"/>
    <mergeCell ref="D67:F67"/>
    <mergeCell ref="K67:L67"/>
    <mergeCell ref="D68:F68"/>
    <mergeCell ref="K47:L47"/>
    <mergeCell ref="K48:L48"/>
    <mergeCell ref="K49:L49"/>
    <mergeCell ref="K50:L50"/>
    <mergeCell ref="A55:L56"/>
    <mergeCell ref="K53:L53"/>
    <mergeCell ref="D54:F54"/>
    <mergeCell ref="K54:L54"/>
    <mergeCell ref="K51:L51"/>
    <mergeCell ref="K52:L52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2" manualBreakCount="2">
    <brk id="28" max="11" man="1"/>
    <brk id="106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R158"/>
  <sheetViews>
    <sheetView view="pageBreakPreview" topLeftCell="A132" zoomScale="115" zoomScaleNormal="60" zoomScaleSheetLayoutView="115" workbookViewId="0">
      <selection activeCell="M133" sqref="A133:XFD134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7" t="s">
        <v>386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99"/>
    </row>
    <row r="2" spans="1:18" s="100" customFormat="1" ht="15.75" customHeight="1">
      <c r="A2" s="507"/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N2" s="190"/>
      <c r="O2" s="190"/>
      <c r="P2" s="190"/>
      <c r="Q2" s="190"/>
      <c r="R2" s="190"/>
    </row>
    <row r="3" spans="1:18" s="189" customFormat="1" ht="15.75" customHeight="1">
      <c r="A3" s="674" t="s">
        <v>558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</row>
    <row r="4" spans="1:18" s="190" customFormat="1" ht="15.75" customHeight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</row>
    <row r="5" spans="1:18" s="106" customFormat="1" ht="16.399999999999999" customHeight="1">
      <c r="A5" s="693" t="s">
        <v>164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91">
        <v>7</v>
      </c>
      <c r="I5" s="191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99999999999999" customHeight="1">
      <c r="A6" s="695"/>
      <c r="B6" s="195" t="s">
        <v>208</v>
      </c>
      <c r="C6" s="195" t="s">
        <v>157</v>
      </c>
      <c r="D6" s="195" t="s">
        <v>209</v>
      </c>
      <c r="E6" s="195" t="s">
        <v>158</v>
      </c>
      <c r="F6" s="195" t="s">
        <v>139</v>
      </c>
      <c r="G6" s="196" t="s">
        <v>137</v>
      </c>
      <c r="H6" s="194" t="s">
        <v>210</v>
      </c>
      <c r="I6" s="209" t="s">
        <v>387</v>
      </c>
      <c r="J6" s="196" t="s">
        <v>143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99" t="s">
        <v>190</v>
      </c>
      <c r="B7" s="700"/>
      <c r="C7" s="160" t="s">
        <v>47</v>
      </c>
      <c r="D7" s="699" t="s">
        <v>12</v>
      </c>
      <c r="E7" s="701"/>
      <c r="F7" s="700"/>
      <c r="G7" s="160" t="s">
        <v>46</v>
      </c>
      <c r="H7" s="160" t="s">
        <v>388</v>
      </c>
      <c r="I7" s="160" t="s">
        <v>389</v>
      </c>
      <c r="J7" s="160" t="s">
        <v>334</v>
      </c>
      <c r="K7" s="699" t="s">
        <v>51</v>
      </c>
      <c r="L7" s="700"/>
      <c r="M7" s="127"/>
      <c r="N7" s="189"/>
      <c r="O7" s="199"/>
      <c r="P7" s="430"/>
      <c r="Q7" s="430"/>
      <c r="R7" s="199"/>
    </row>
    <row r="8" spans="1:18" ht="15.75" customHeight="1">
      <c r="A8" s="693">
        <v>7</v>
      </c>
      <c r="B8" s="696" t="s">
        <v>392</v>
      </c>
      <c r="C8" s="200">
        <v>1</v>
      </c>
      <c r="D8" s="702"/>
      <c r="E8" s="669"/>
      <c r="F8" s="669"/>
      <c r="G8" s="200"/>
      <c r="H8" s="202"/>
      <c r="I8" s="203"/>
      <c r="J8" s="200"/>
      <c r="K8" s="682"/>
      <c r="L8" s="683"/>
      <c r="O8" s="199"/>
      <c r="P8" s="430"/>
      <c r="Q8" s="430"/>
      <c r="R8" s="199"/>
    </row>
    <row r="9" spans="1:18" ht="15.75" customHeight="1">
      <c r="A9" s="694"/>
      <c r="B9" s="697"/>
      <c r="C9" s="200">
        <v>2</v>
      </c>
      <c r="D9" s="702"/>
      <c r="E9" s="669"/>
      <c r="F9" s="669"/>
      <c r="G9" s="200"/>
      <c r="H9" s="202"/>
      <c r="I9" s="203"/>
      <c r="J9" s="200"/>
      <c r="K9" s="682"/>
      <c r="L9" s="683"/>
      <c r="O9" s="199"/>
      <c r="P9" s="430"/>
      <c r="Q9" s="430"/>
      <c r="R9" s="199"/>
    </row>
    <row r="10" spans="1:18" ht="15.75" customHeight="1">
      <c r="A10" s="694"/>
      <c r="B10" s="697"/>
      <c r="C10" s="200">
        <v>3</v>
      </c>
      <c r="D10" s="682"/>
      <c r="E10" s="689"/>
      <c r="F10" s="683"/>
      <c r="G10" s="200"/>
      <c r="H10" s="202"/>
      <c r="I10" s="203"/>
      <c r="J10" s="200"/>
      <c r="K10" s="682"/>
      <c r="L10" s="683"/>
      <c r="N10" s="433"/>
      <c r="O10" s="199"/>
      <c r="P10" s="430"/>
      <c r="Q10" s="430"/>
      <c r="R10" s="199"/>
    </row>
    <row r="11" spans="1:18" ht="15.75" customHeight="1">
      <c r="A11" s="694"/>
      <c r="B11" s="697"/>
      <c r="C11" s="200">
        <v>4</v>
      </c>
      <c r="D11" s="682"/>
      <c r="E11" s="689"/>
      <c r="F11" s="683"/>
      <c r="G11" s="200"/>
      <c r="H11" s="202"/>
      <c r="I11" s="203"/>
      <c r="J11" s="200"/>
      <c r="K11" s="682"/>
      <c r="L11" s="683"/>
      <c r="O11" s="199"/>
      <c r="P11" s="430"/>
      <c r="Q11" s="430"/>
      <c r="R11" s="199"/>
    </row>
    <row r="12" spans="1:18" ht="15.75" customHeight="1">
      <c r="A12" s="694"/>
      <c r="B12" s="697"/>
      <c r="C12" s="200">
        <v>5</v>
      </c>
      <c r="D12" s="682"/>
      <c r="E12" s="689"/>
      <c r="F12" s="683"/>
      <c r="G12" s="200"/>
      <c r="H12" s="202"/>
      <c r="I12" s="203"/>
      <c r="J12" s="200"/>
      <c r="K12" s="682"/>
      <c r="L12" s="683"/>
      <c r="N12" s="178"/>
      <c r="O12" s="199"/>
      <c r="P12" s="430"/>
      <c r="Q12" s="430"/>
      <c r="R12" s="199"/>
    </row>
    <row r="13" spans="1:18" ht="15.75" customHeight="1">
      <c r="A13" s="694"/>
      <c r="B13" s="697"/>
      <c r="C13" s="204" t="s">
        <v>206</v>
      </c>
      <c r="D13" s="682"/>
      <c r="E13" s="689"/>
      <c r="F13" s="683"/>
      <c r="G13" s="200"/>
      <c r="H13" s="202"/>
      <c r="I13" s="203"/>
      <c r="J13" s="200"/>
      <c r="K13" s="682"/>
      <c r="L13" s="683"/>
      <c r="N13" s="433"/>
      <c r="O13" s="199"/>
      <c r="P13" s="430"/>
      <c r="Q13" s="430"/>
      <c r="R13" s="199"/>
    </row>
    <row r="14" spans="1:18" ht="15.75" customHeight="1">
      <c r="A14" s="694"/>
      <c r="B14" s="697"/>
      <c r="C14" s="204" t="s">
        <v>211</v>
      </c>
      <c r="D14" s="682"/>
      <c r="E14" s="689"/>
      <c r="F14" s="683"/>
      <c r="G14" s="200"/>
      <c r="H14" s="202"/>
      <c r="I14" s="203"/>
      <c r="J14" s="200"/>
      <c r="K14" s="682"/>
      <c r="L14" s="683"/>
      <c r="O14" s="199"/>
      <c r="P14" s="430"/>
      <c r="Q14" s="430"/>
      <c r="R14" s="199"/>
    </row>
    <row r="15" spans="1:18" ht="15.75" customHeight="1">
      <c r="A15" s="694"/>
      <c r="B15" s="697"/>
      <c r="C15" s="204" t="s">
        <v>207</v>
      </c>
      <c r="D15" s="682"/>
      <c r="E15" s="689"/>
      <c r="F15" s="683"/>
      <c r="G15" s="200"/>
      <c r="H15" s="202"/>
      <c r="I15" s="203"/>
      <c r="J15" s="200"/>
      <c r="K15" s="682"/>
      <c r="L15" s="683"/>
      <c r="O15" s="199"/>
      <c r="P15" s="430"/>
      <c r="Q15" s="430"/>
      <c r="R15" s="199"/>
    </row>
    <row r="16" spans="1:18" ht="15.75" customHeight="1">
      <c r="A16" s="694"/>
      <c r="B16" s="697"/>
      <c r="C16" s="204" t="s">
        <v>212</v>
      </c>
      <c r="D16" s="682"/>
      <c r="E16" s="689"/>
      <c r="F16" s="683"/>
      <c r="G16" s="200"/>
      <c r="H16" s="202"/>
      <c r="I16" s="203"/>
      <c r="J16" s="200"/>
      <c r="K16" s="682"/>
      <c r="L16" s="683"/>
      <c r="M16" s="99"/>
      <c r="O16" s="199"/>
      <c r="P16" s="430"/>
      <c r="Q16" s="430"/>
      <c r="R16" s="199"/>
    </row>
    <row r="17" spans="1:18" ht="15.75" customHeight="1">
      <c r="A17" s="695"/>
      <c r="B17" s="698"/>
      <c r="C17" s="204" t="s">
        <v>213</v>
      </c>
      <c r="D17" s="682"/>
      <c r="E17" s="689"/>
      <c r="F17" s="683"/>
      <c r="G17" s="200"/>
      <c r="H17" s="202"/>
      <c r="I17" s="203"/>
      <c r="J17" s="200"/>
      <c r="K17" s="682"/>
      <c r="L17" s="683"/>
      <c r="M17" s="99"/>
      <c r="N17" s="199"/>
      <c r="O17" s="199"/>
      <c r="P17" s="430"/>
      <c r="Q17" s="430"/>
      <c r="R17" s="199"/>
    </row>
    <row r="18" spans="1:18" s="104" customFormat="1" ht="15.75" customHeight="1">
      <c r="A18" s="690" t="s">
        <v>190</v>
      </c>
      <c r="B18" s="691"/>
      <c r="C18" s="207" t="s">
        <v>47</v>
      </c>
      <c r="D18" s="690" t="s">
        <v>12</v>
      </c>
      <c r="E18" s="692"/>
      <c r="F18" s="691"/>
      <c r="G18" s="207" t="s">
        <v>46</v>
      </c>
      <c r="H18" s="207" t="s">
        <v>388</v>
      </c>
      <c r="I18" s="207" t="s">
        <v>389</v>
      </c>
      <c r="J18" s="160" t="s">
        <v>334</v>
      </c>
      <c r="K18" s="690" t="s">
        <v>51</v>
      </c>
      <c r="L18" s="691"/>
      <c r="M18" s="128"/>
      <c r="N18" s="189"/>
      <c r="O18" s="199"/>
      <c r="P18" s="430"/>
      <c r="Q18" s="430"/>
      <c r="R18" s="199"/>
    </row>
    <row r="19" spans="1:18" ht="15.75" customHeight="1">
      <c r="A19" s="693">
        <v>8</v>
      </c>
      <c r="B19" s="696" t="s">
        <v>393</v>
      </c>
      <c r="C19" s="200">
        <v>1</v>
      </c>
      <c r="D19" s="682" t="s">
        <v>484</v>
      </c>
      <c r="E19" s="689"/>
      <c r="F19" s="683"/>
      <c r="G19" s="200">
        <v>19</v>
      </c>
      <c r="H19" s="202">
        <v>1607.1357434748982</v>
      </c>
      <c r="I19" s="203">
        <v>84.586091761836741</v>
      </c>
      <c r="J19" s="376">
        <v>1.596077306510324E-2</v>
      </c>
      <c r="K19" s="682" t="s">
        <v>464</v>
      </c>
      <c r="L19" s="683"/>
      <c r="M19" s="99"/>
      <c r="O19" s="199"/>
      <c r="P19" s="430"/>
      <c r="Q19" s="430"/>
      <c r="R19" s="199"/>
    </row>
    <row r="20" spans="1:18" ht="15.75" customHeight="1">
      <c r="A20" s="694"/>
      <c r="B20" s="697"/>
      <c r="C20" s="200">
        <v>2</v>
      </c>
      <c r="D20" s="682" t="s">
        <v>548</v>
      </c>
      <c r="E20" s="689"/>
      <c r="F20" s="683"/>
      <c r="G20" s="200">
        <v>19</v>
      </c>
      <c r="H20" s="202">
        <v>1606.769701728861</v>
      </c>
      <c r="I20" s="203">
        <v>84.566826406782155</v>
      </c>
      <c r="J20" s="376">
        <v>3.7150491977101296E-2</v>
      </c>
      <c r="K20" s="682" t="s">
        <v>464</v>
      </c>
      <c r="L20" s="683"/>
      <c r="M20" s="99"/>
      <c r="O20" s="178"/>
      <c r="P20" s="429"/>
      <c r="Q20" s="429"/>
      <c r="R20" s="178"/>
    </row>
    <row r="21" spans="1:18" ht="15.75" customHeight="1">
      <c r="A21" s="694"/>
      <c r="B21" s="697"/>
      <c r="C21" s="200">
        <v>3</v>
      </c>
      <c r="D21" s="682"/>
      <c r="E21" s="689"/>
      <c r="F21" s="683"/>
      <c r="G21" s="200"/>
      <c r="H21" s="202"/>
      <c r="I21" s="203"/>
      <c r="J21" s="200"/>
      <c r="K21" s="682"/>
      <c r="L21" s="683"/>
      <c r="M21" s="99"/>
      <c r="O21" s="199"/>
      <c r="P21" s="430"/>
      <c r="Q21" s="430"/>
      <c r="R21" s="199"/>
    </row>
    <row r="22" spans="1:18" ht="15.75" customHeight="1">
      <c r="A22" s="694"/>
      <c r="B22" s="697"/>
      <c r="C22" s="200">
        <v>4</v>
      </c>
      <c r="D22" s="682"/>
      <c r="E22" s="689"/>
      <c r="F22" s="683"/>
      <c r="G22" s="200"/>
      <c r="H22" s="202"/>
      <c r="I22" s="203"/>
      <c r="J22" s="200"/>
      <c r="K22" s="682"/>
      <c r="L22" s="683"/>
      <c r="M22" s="99"/>
      <c r="O22" s="199"/>
      <c r="P22" s="430"/>
      <c r="Q22" s="430"/>
      <c r="R22" s="199"/>
    </row>
    <row r="23" spans="1:18" ht="15.75" customHeight="1">
      <c r="A23" s="694"/>
      <c r="B23" s="697"/>
      <c r="C23" s="200">
        <v>5</v>
      </c>
      <c r="D23" s="682"/>
      <c r="E23" s="689"/>
      <c r="F23" s="683"/>
      <c r="G23" s="200"/>
      <c r="H23" s="202"/>
      <c r="I23" s="203"/>
      <c r="J23" s="200"/>
      <c r="K23" s="682"/>
      <c r="L23" s="683"/>
      <c r="M23" s="99"/>
      <c r="O23" s="199"/>
      <c r="P23" s="430"/>
      <c r="Q23" s="430"/>
      <c r="R23" s="199"/>
    </row>
    <row r="24" spans="1:18" ht="15.75" customHeight="1">
      <c r="A24" s="694"/>
      <c r="B24" s="697"/>
      <c r="C24" s="204" t="s">
        <v>206</v>
      </c>
      <c r="D24" s="682"/>
      <c r="E24" s="689"/>
      <c r="F24" s="683"/>
      <c r="G24" s="200"/>
      <c r="H24" s="202"/>
      <c r="I24" s="203"/>
      <c r="J24" s="200"/>
      <c r="K24" s="682"/>
      <c r="L24" s="683"/>
      <c r="M24" s="99"/>
      <c r="O24" s="199"/>
      <c r="P24" s="430"/>
      <c r="Q24" s="430"/>
      <c r="R24" s="199"/>
    </row>
    <row r="25" spans="1:18" ht="15.75" customHeight="1">
      <c r="A25" s="694"/>
      <c r="B25" s="697"/>
      <c r="C25" s="204" t="s">
        <v>211</v>
      </c>
      <c r="D25" s="682"/>
      <c r="E25" s="689"/>
      <c r="F25" s="683"/>
      <c r="G25" s="200"/>
      <c r="H25" s="202"/>
      <c r="I25" s="203"/>
      <c r="J25" s="200"/>
      <c r="K25" s="682"/>
      <c r="L25" s="683"/>
      <c r="M25" s="99"/>
      <c r="O25" s="199"/>
      <c r="P25" s="430"/>
      <c r="Q25" s="430"/>
      <c r="R25" s="199"/>
    </row>
    <row r="26" spans="1:18" ht="15.75" customHeight="1">
      <c r="A26" s="694"/>
      <c r="B26" s="697"/>
      <c r="C26" s="204" t="s">
        <v>207</v>
      </c>
      <c r="D26" s="682"/>
      <c r="E26" s="689"/>
      <c r="F26" s="683"/>
      <c r="G26" s="200"/>
      <c r="H26" s="202"/>
      <c r="I26" s="203"/>
      <c r="J26" s="200"/>
      <c r="K26" s="682"/>
      <c r="L26" s="683"/>
      <c r="M26" s="99"/>
      <c r="O26" s="199"/>
      <c r="P26" s="430"/>
      <c r="Q26" s="430"/>
      <c r="R26" s="199"/>
    </row>
    <row r="27" spans="1:18" ht="15.75" customHeight="1">
      <c r="A27" s="694"/>
      <c r="B27" s="697"/>
      <c r="C27" s="204" t="s">
        <v>212</v>
      </c>
      <c r="D27" s="682"/>
      <c r="E27" s="689"/>
      <c r="F27" s="683"/>
      <c r="G27" s="200"/>
      <c r="H27" s="202"/>
      <c r="I27" s="203"/>
      <c r="J27" s="200"/>
      <c r="K27" s="682"/>
      <c r="L27" s="683"/>
      <c r="M27" s="99"/>
      <c r="O27" s="199"/>
      <c r="P27" s="430"/>
      <c r="Q27" s="430"/>
      <c r="R27" s="199"/>
    </row>
    <row r="28" spans="1:18" ht="15.75" customHeight="1">
      <c r="A28" s="695"/>
      <c r="B28" s="698"/>
      <c r="C28" s="204" t="s">
        <v>213</v>
      </c>
      <c r="D28" s="682"/>
      <c r="E28" s="689"/>
      <c r="F28" s="683"/>
      <c r="G28" s="200"/>
      <c r="H28" s="202"/>
      <c r="I28" s="203"/>
      <c r="J28" s="200"/>
      <c r="K28" s="682"/>
      <c r="L28" s="683"/>
      <c r="M28" s="99"/>
      <c r="O28" s="199"/>
      <c r="P28" s="430"/>
      <c r="Q28" s="430"/>
      <c r="R28" s="199"/>
    </row>
    <row r="29" spans="1:18" s="189" customFormat="1" ht="15.75" customHeight="1">
      <c r="A29" s="674" t="s">
        <v>617</v>
      </c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</row>
    <row r="30" spans="1:18" s="190" customFormat="1" ht="15.75" customHeight="1">
      <c r="A30" s="674"/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</row>
    <row r="31" spans="1:18" s="106" customFormat="1" ht="16.399999999999999" customHeight="1">
      <c r="A31" s="693" t="s">
        <v>164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91">
        <v>7</v>
      </c>
      <c r="I31" s="191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99999999999999" customHeight="1">
      <c r="A32" s="695"/>
      <c r="B32" s="195" t="s">
        <v>208</v>
      </c>
      <c r="C32" s="195" t="s">
        <v>157</v>
      </c>
      <c r="D32" s="195" t="s">
        <v>209</v>
      </c>
      <c r="E32" s="195" t="s">
        <v>158</v>
      </c>
      <c r="F32" s="195" t="s">
        <v>139</v>
      </c>
      <c r="G32" s="196" t="s">
        <v>137</v>
      </c>
      <c r="H32" s="194" t="s">
        <v>210</v>
      </c>
      <c r="I32" s="209" t="s">
        <v>387</v>
      </c>
      <c r="J32" s="196" t="s">
        <v>143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99" t="s">
        <v>190</v>
      </c>
      <c r="B33" s="700"/>
      <c r="C33" s="160" t="s">
        <v>47</v>
      </c>
      <c r="D33" s="699" t="s">
        <v>12</v>
      </c>
      <c r="E33" s="701"/>
      <c r="F33" s="700"/>
      <c r="G33" s="160" t="s">
        <v>46</v>
      </c>
      <c r="H33" s="160" t="s">
        <v>388</v>
      </c>
      <c r="I33" s="160" t="s">
        <v>389</v>
      </c>
      <c r="J33" s="160" t="s">
        <v>334</v>
      </c>
      <c r="K33" s="699" t="s">
        <v>51</v>
      </c>
      <c r="L33" s="700"/>
      <c r="M33" s="127"/>
      <c r="N33" s="189"/>
      <c r="O33" s="199"/>
      <c r="P33" s="430"/>
      <c r="Q33" s="430"/>
      <c r="R33" s="199"/>
    </row>
    <row r="34" spans="1:18" ht="15.75" customHeight="1">
      <c r="A34" s="693">
        <v>7</v>
      </c>
      <c r="B34" s="696" t="s">
        <v>392</v>
      </c>
      <c r="C34" s="200">
        <v>1</v>
      </c>
      <c r="D34" s="702"/>
      <c r="E34" s="669"/>
      <c r="F34" s="669"/>
      <c r="G34" s="200"/>
      <c r="H34" s="202"/>
      <c r="I34" s="203"/>
      <c r="J34" s="200"/>
      <c r="K34" s="682"/>
      <c r="L34" s="683"/>
      <c r="O34" s="199"/>
      <c r="P34" s="430"/>
      <c r="Q34" s="430"/>
      <c r="R34" s="199"/>
    </row>
    <row r="35" spans="1:18" ht="15.75" customHeight="1">
      <c r="A35" s="694"/>
      <c r="B35" s="697"/>
      <c r="C35" s="200">
        <v>2</v>
      </c>
      <c r="D35" s="702"/>
      <c r="E35" s="669"/>
      <c r="F35" s="669"/>
      <c r="G35" s="200"/>
      <c r="H35" s="202"/>
      <c r="I35" s="203"/>
      <c r="J35" s="200"/>
      <c r="K35" s="682"/>
      <c r="L35" s="683"/>
      <c r="O35" s="199"/>
      <c r="P35" s="430"/>
      <c r="Q35" s="430"/>
      <c r="R35" s="199"/>
    </row>
    <row r="36" spans="1:18" ht="15.75" customHeight="1">
      <c r="A36" s="694"/>
      <c r="B36" s="697"/>
      <c r="C36" s="200">
        <v>3</v>
      </c>
      <c r="D36" s="682"/>
      <c r="E36" s="689"/>
      <c r="F36" s="683"/>
      <c r="G36" s="200"/>
      <c r="H36" s="202"/>
      <c r="I36" s="203"/>
      <c r="J36" s="200"/>
      <c r="K36" s="682"/>
      <c r="L36" s="683"/>
      <c r="N36" s="433"/>
      <c r="O36" s="199"/>
      <c r="P36" s="430"/>
      <c r="Q36" s="430"/>
      <c r="R36" s="199"/>
    </row>
    <row r="37" spans="1:18" ht="15.75" customHeight="1">
      <c r="A37" s="694"/>
      <c r="B37" s="697"/>
      <c r="C37" s="200">
        <v>4</v>
      </c>
      <c r="D37" s="682"/>
      <c r="E37" s="689"/>
      <c r="F37" s="683"/>
      <c r="G37" s="200"/>
      <c r="H37" s="202"/>
      <c r="I37" s="203"/>
      <c r="J37" s="200"/>
      <c r="K37" s="682"/>
      <c r="L37" s="683"/>
      <c r="O37" s="199"/>
      <c r="P37" s="430"/>
      <c r="Q37" s="430"/>
      <c r="R37" s="199"/>
    </row>
    <row r="38" spans="1:18" ht="15.75" customHeight="1">
      <c r="A38" s="694"/>
      <c r="B38" s="697"/>
      <c r="C38" s="200">
        <v>5</v>
      </c>
      <c r="D38" s="682"/>
      <c r="E38" s="689"/>
      <c r="F38" s="683"/>
      <c r="G38" s="200"/>
      <c r="H38" s="202"/>
      <c r="I38" s="203"/>
      <c r="J38" s="200"/>
      <c r="K38" s="682"/>
      <c r="L38" s="683"/>
      <c r="N38" s="178"/>
      <c r="O38" s="199"/>
      <c r="P38" s="430"/>
      <c r="Q38" s="430"/>
      <c r="R38" s="199"/>
    </row>
    <row r="39" spans="1:18" ht="15.75" customHeight="1">
      <c r="A39" s="694"/>
      <c r="B39" s="697"/>
      <c r="C39" s="204" t="s">
        <v>206</v>
      </c>
      <c r="D39" s="682"/>
      <c r="E39" s="689"/>
      <c r="F39" s="683"/>
      <c r="G39" s="200"/>
      <c r="H39" s="202"/>
      <c r="I39" s="203"/>
      <c r="J39" s="200"/>
      <c r="K39" s="682"/>
      <c r="L39" s="683"/>
      <c r="N39" s="433"/>
      <c r="O39" s="199"/>
      <c r="P39" s="430"/>
      <c r="Q39" s="430"/>
      <c r="R39" s="199"/>
    </row>
    <row r="40" spans="1:18" ht="15.75" customHeight="1">
      <c r="A40" s="694"/>
      <c r="B40" s="697"/>
      <c r="C40" s="204" t="s">
        <v>211</v>
      </c>
      <c r="D40" s="682"/>
      <c r="E40" s="689"/>
      <c r="F40" s="683"/>
      <c r="G40" s="200"/>
      <c r="H40" s="202"/>
      <c r="I40" s="203"/>
      <c r="J40" s="200"/>
      <c r="K40" s="682"/>
      <c r="L40" s="683"/>
      <c r="O40" s="199"/>
      <c r="P40" s="430"/>
      <c r="Q40" s="430"/>
      <c r="R40" s="199"/>
    </row>
    <row r="41" spans="1:18" ht="15.75" customHeight="1">
      <c r="A41" s="694"/>
      <c r="B41" s="697"/>
      <c r="C41" s="204" t="s">
        <v>207</v>
      </c>
      <c r="D41" s="682"/>
      <c r="E41" s="689"/>
      <c r="F41" s="683"/>
      <c r="G41" s="200"/>
      <c r="H41" s="202"/>
      <c r="I41" s="203"/>
      <c r="J41" s="200"/>
      <c r="K41" s="682"/>
      <c r="L41" s="683"/>
      <c r="O41" s="199"/>
      <c r="P41" s="430"/>
      <c r="Q41" s="430"/>
      <c r="R41" s="199"/>
    </row>
    <row r="42" spans="1:18" ht="15.75" customHeight="1">
      <c r="A42" s="694"/>
      <c r="B42" s="697"/>
      <c r="C42" s="204" t="s">
        <v>212</v>
      </c>
      <c r="D42" s="682"/>
      <c r="E42" s="689"/>
      <c r="F42" s="683"/>
      <c r="G42" s="200"/>
      <c r="H42" s="202"/>
      <c r="I42" s="203"/>
      <c r="J42" s="200"/>
      <c r="K42" s="682"/>
      <c r="L42" s="683"/>
      <c r="M42" s="99"/>
      <c r="O42" s="199"/>
      <c r="P42" s="430"/>
      <c r="Q42" s="430"/>
      <c r="R42" s="199"/>
    </row>
    <row r="43" spans="1:18" ht="15.75" customHeight="1">
      <c r="A43" s="695"/>
      <c r="B43" s="698"/>
      <c r="C43" s="204" t="s">
        <v>213</v>
      </c>
      <c r="D43" s="682"/>
      <c r="E43" s="689"/>
      <c r="F43" s="683"/>
      <c r="G43" s="200"/>
      <c r="H43" s="202"/>
      <c r="I43" s="203"/>
      <c r="J43" s="200"/>
      <c r="K43" s="682"/>
      <c r="L43" s="683"/>
      <c r="M43" s="99"/>
      <c r="N43" s="199"/>
      <c r="O43" s="199"/>
      <c r="P43" s="430"/>
      <c r="Q43" s="430"/>
      <c r="R43" s="199"/>
    </row>
    <row r="44" spans="1:18" s="104" customFormat="1" ht="15.75" customHeight="1">
      <c r="A44" s="690" t="s">
        <v>190</v>
      </c>
      <c r="B44" s="691"/>
      <c r="C44" s="207" t="s">
        <v>47</v>
      </c>
      <c r="D44" s="690" t="s">
        <v>12</v>
      </c>
      <c r="E44" s="692"/>
      <c r="F44" s="691"/>
      <c r="G44" s="207" t="s">
        <v>46</v>
      </c>
      <c r="H44" s="207" t="s">
        <v>388</v>
      </c>
      <c r="I44" s="207" t="s">
        <v>389</v>
      </c>
      <c r="J44" s="160" t="s">
        <v>334</v>
      </c>
      <c r="K44" s="690" t="s">
        <v>51</v>
      </c>
      <c r="L44" s="691"/>
      <c r="M44" s="128"/>
      <c r="N44" s="189"/>
      <c r="O44" s="199"/>
      <c r="P44" s="430"/>
      <c r="Q44" s="430"/>
      <c r="R44" s="199"/>
    </row>
    <row r="45" spans="1:18" ht="15.75" customHeight="1">
      <c r="A45" s="693">
        <v>8</v>
      </c>
      <c r="B45" s="696" t="s">
        <v>393</v>
      </c>
      <c r="C45" s="200">
        <v>1</v>
      </c>
      <c r="D45" s="682" t="s">
        <v>484</v>
      </c>
      <c r="E45" s="689"/>
      <c r="F45" s="683"/>
      <c r="G45" s="200">
        <v>19</v>
      </c>
      <c r="H45" s="202">
        <v>1607.427055702919</v>
      </c>
      <c r="I45" s="203">
        <v>84.60142398436416</v>
      </c>
      <c r="J45" s="376">
        <f>I45-I19</f>
        <v>1.5332222527419503E-2</v>
      </c>
      <c r="K45" s="678" t="s">
        <v>464</v>
      </c>
      <c r="L45" s="679"/>
      <c r="M45" s="99"/>
      <c r="O45" s="199"/>
      <c r="P45" s="430"/>
      <c r="Q45" s="430"/>
      <c r="R45" s="199"/>
    </row>
    <row r="46" spans="1:18" ht="15.75" customHeight="1">
      <c r="A46" s="694"/>
      <c r="B46" s="697"/>
      <c r="C46" s="200">
        <v>2</v>
      </c>
      <c r="D46" s="682"/>
      <c r="E46" s="689"/>
      <c r="F46" s="683"/>
      <c r="G46" s="200"/>
      <c r="H46" s="202"/>
      <c r="I46" s="203"/>
      <c r="J46" s="376"/>
      <c r="K46" s="682"/>
      <c r="L46" s="683"/>
      <c r="M46" s="99"/>
      <c r="O46" s="178"/>
      <c r="P46" s="429"/>
      <c r="Q46" s="429"/>
      <c r="R46" s="178"/>
    </row>
    <row r="47" spans="1:18" ht="15.75" customHeight="1">
      <c r="A47" s="694"/>
      <c r="B47" s="697"/>
      <c r="C47" s="200">
        <v>3</v>
      </c>
      <c r="D47" s="682"/>
      <c r="E47" s="689"/>
      <c r="F47" s="683"/>
      <c r="G47" s="200"/>
      <c r="H47" s="202"/>
      <c r="I47" s="203"/>
      <c r="J47" s="200"/>
      <c r="K47" s="682"/>
      <c r="L47" s="683"/>
      <c r="M47" s="99"/>
      <c r="O47" s="199"/>
      <c r="P47" s="430"/>
      <c r="Q47" s="430"/>
      <c r="R47" s="199"/>
    </row>
    <row r="48" spans="1:18" ht="15.75" customHeight="1">
      <c r="A48" s="694"/>
      <c r="B48" s="697"/>
      <c r="C48" s="200">
        <v>4</v>
      </c>
      <c r="D48" s="682"/>
      <c r="E48" s="689"/>
      <c r="F48" s="683"/>
      <c r="G48" s="200"/>
      <c r="H48" s="202"/>
      <c r="I48" s="203"/>
      <c r="J48" s="200"/>
      <c r="K48" s="682"/>
      <c r="L48" s="683"/>
      <c r="M48" s="99"/>
      <c r="O48" s="199"/>
      <c r="P48" s="430"/>
      <c r="Q48" s="430"/>
      <c r="R48" s="199"/>
    </row>
    <row r="49" spans="1:18" ht="15.75" customHeight="1">
      <c r="A49" s="694"/>
      <c r="B49" s="697"/>
      <c r="C49" s="200">
        <v>5</v>
      </c>
      <c r="D49" s="682"/>
      <c r="E49" s="689"/>
      <c r="F49" s="683"/>
      <c r="G49" s="200"/>
      <c r="H49" s="202"/>
      <c r="I49" s="203"/>
      <c r="J49" s="200"/>
      <c r="K49" s="682"/>
      <c r="L49" s="683"/>
      <c r="M49" s="99"/>
      <c r="O49" s="199"/>
      <c r="P49" s="430"/>
      <c r="Q49" s="430"/>
      <c r="R49" s="199"/>
    </row>
    <row r="50" spans="1:18" ht="15.75" customHeight="1">
      <c r="A50" s="694"/>
      <c r="B50" s="697"/>
      <c r="C50" s="204" t="s">
        <v>206</v>
      </c>
      <c r="D50" s="682"/>
      <c r="E50" s="689"/>
      <c r="F50" s="683"/>
      <c r="G50" s="200"/>
      <c r="H50" s="202"/>
      <c r="I50" s="203"/>
      <c r="J50" s="200"/>
      <c r="K50" s="682"/>
      <c r="L50" s="683"/>
      <c r="M50" s="99"/>
      <c r="O50" s="199"/>
      <c r="P50" s="430"/>
      <c r="Q50" s="430"/>
      <c r="R50" s="199"/>
    </row>
    <row r="51" spans="1:18" ht="15.75" customHeight="1">
      <c r="A51" s="694"/>
      <c r="B51" s="697"/>
      <c r="C51" s="204" t="s">
        <v>211</v>
      </c>
      <c r="D51" s="682"/>
      <c r="E51" s="689"/>
      <c r="F51" s="683"/>
      <c r="G51" s="200"/>
      <c r="H51" s="202"/>
      <c r="I51" s="203"/>
      <c r="J51" s="200"/>
      <c r="K51" s="682"/>
      <c r="L51" s="683"/>
      <c r="M51" s="99"/>
      <c r="O51" s="199"/>
      <c r="P51" s="430"/>
      <c r="Q51" s="430"/>
      <c r="R51" s="199"/>
    </row>
    <row r="52" spans="1:18" ht="15.75" customHeight="1">
      <c r="A52" s="694"/>
      <c r="B52" s="697"/>
      <c r="C52" s="204" t="s">
        <v>207</v>
      </c>
      <c r="D52" s="682"/>
      <c r="E52" s="689"/>
      <c r="F52" s="683"/>
      <c r="G52" s="200"/>
      <c r="H52" s="202"/>
      <c r="I52" s="203"/>
      <c r="J52" s="200"/>
      <c r="K52" s="682"/>
      <c r="L52" s="683"/>
      <c r="M52" s="99"/>
      <c r="O52" s="199"/>
      <c r="P52" s="430"/>
      <c r="Q52" s="430"/>
      <c r="R52" s="199"/>
    </row>
    <row r="53" spans="1:18" ht="15.75" customHeight="1">
      <c r="A53" s="694"/>
      <c r="B53" s="697"/>
      <c r="C53" s="204" t="s">
        <v>212</v>
      </c>
      <c r="D53" s="682"/>
      <c r="E53" s="689"/>
      <c r="F53" s="683"/>
      <c r="G53" s="200"/>
      <c r="H53" s="202"/>
      <c r="I53" s="203"/>
      <c r="J53" s="200"/>
      <c r="K53" s="682"/>
      <c r="L53" s="683"/>
      <c r="M53" s="99"/>
      <c r="O53" s="199"/>
      <c r="P53" s="430"/>
      <c r="Q53" s="430"/>
      <c r="R53" s="199"/>
    </row>
    <row r="54" spans="1:18" ht="15.75" customHeight="1">
      <c r="A54" s="695"/>
      <c r="B54" s="698"/>
      <c r="C54" s="204" t="s">
        <v>213</v>
      </c>
      <c r="D54" s="682"/>
      <c r="E54" s="689"/>
      <c r="F54" s="683"/>
      <c r="G54" s="200"/>
      <c r="H54" s="202"/>
      <c r="I54" s="203"/>
      <c r="J54" s="200"/>
      <c r="K54" s="682"/>
      <c r="L54" s="683"/>
      <c r="M54" s="99"/>
      <c r="O54" s="199"/>
      <c r="P54" s="430"/>
      <c r="Q54" s="430"/>
      <c r="R54" s="199"/>
    </row>
    <row r="55" spans="1:18" s="189" customFormat="1" ht="15.75" customHeight="1">
      <c r="A55" s="674" t="s">
        <v>694</v>
      </c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</row>
    <row r="56" spans="1:18" s="190" customFormat="1" ht="15.75" customHeight="1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</row>
    <row r="57" spans="1:18" s="106" customFormat="1" ht="16.399999999999999" customHeight="1">
      <c r="A57" s="693" t="s">
        <v>164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91">
        <v>7</v>
      </c>
      <c r="I57" s="191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99999999999999" customHeight="1">
      <c r="A58" s="695"/>
      <c r="B58" s="195" t="s">
        <v>208</v>
      </c>
      <c r="C58" s="195" t="s">
        <v>157</v>
      </c>
      <c r="D58" s="195" t="s">
        <v>209</v>
      </c>
      <c r="E58" s="195" t="s">
        <v>158</v>
      </c>
      <c r="F58" s="195" t="s">
        <v>139</v>
      </c>
      <c r="G58" s="196" t="s">
        <v>137</v>
      </c>
      <c r="H58" s="194" t="s">
        <v>210</v>
      </c>
      <c r="I58" s="209" t="s">
        <v>387</v>
      </c>
      <c r="J58" s="196" t="s">
        <v>143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99" t="s">
        <v>190</v>
      </c>
      <c r="B59" s="700"/>
      <c r="C59" s="160" t="s">
        <v>47</v>
      </c>
      <c r="D59" s="699" t="s">
        <v>12</v>
      </c>
      <c r="E59" s="701"/>
      <c r="F59" s="700"/>
      <c r="G59" s="160" t="s">
        <v>46</v>
      </c>
      <c r="H59" s="160" t="s">
        <v>388</v>
      </c>
      <c r="I59" s="160" t="s">
        <v>389</v>
      </c>
      <c r="J59" s="160" t="s">
        <v>334</v>
      </c>
      <c r="K59" s="699" t="s">
        <v>51</v>
      </c>
      <c r="L59" s="700"/>
      <c r="M59" s="127"/>
      <c r="N59" s="189"/>
      <c r="O59" s="199"/>
      <c r="P59" s="430"/>
      <c r="Q59" s="430"/>
      <c r="R59" s="199"/>
    </row>
    <row r="60" spans="1:18" ht="15.75" customHeight="1">
      <c r="A60" s="693">
        <v>7</v>
      </c>
      <c r="B60" s="696" t="s">
        <v>392</v>
      </c>
      <c r="C60" s="200">
        <v>1</v>
      </c>
      <c r="D60" s="702"/>
      <c r="E60" s="669"/>
      <c r="F60" s="669"/>
      <c r="G60" s="200"/>
      <c r="H60" s="202"/>
      <c r="I60" s="203"/>
      <c r="J60" s="200"/>
      <c r="K60" s="682"/>
      <c r="L60" s="683"/>
      <c r="O60" s="199"/>
      <c r="P60" s="430"/>
      <c r="Q60" s="430"/>
      <c r="R60" s="199"/>
    </row>
    <row r="61" spans="1:18" ht="15.75" customHeight="1">
      <c r="A61" s="694"/>
      <c r="B61" s="697"/>
      <c r="C61" s="200">
        <v>2</v>
      </c>
      <c r="D61" s="702"/>
      <c r="E61" s="669"/>
      <c r="F61" s="669"/>
      <c r="G61" s="200"/>
      <c r="H61" s="202"/>
      <c r="I61" s="203"/>
      <c r="J61" s="200"/>
      <c r="K61" s="682"/>
      <c r="L61" s="683"/>
      <c r="O61" s="199"/>
      <c r="P61" s="430"/>
      <c r="Q61" s="430"/>
      <c r="R61" s="199"/>
    </row>
    <row r="62" spans="1:18" ht="15.75" customHeight="1">
      <c r="A62" s="694"/>
      <c r="B62" s="697"/>
      <c r="C62" s="200">
        <v>3</v>
      </c>
      <c r="D62" s="682"/>
      <c r="E62" s="689"/>
      <c r="F62" s="683"/>
      <c r="G62" s="200"/>
      <c r="H62" s="202"/>
      <c r="I62" s="203"/>
      <c r="J62" s="200"/>
      <c r="K62" s="682"/>
      <c r="L62" s="683"/>
      <c r="N62" s="433"/>
      <c r="O62" s="199"/>
      <c r="P62" s="430"/>
      <c r="Q62" s="430"/>
      <c r="R62" s="199"/>
    </row>
    <row r="63" spans="1:18" ht="15.75" customHeight="1">
      <c r="A63" s="694"/>
      <c r="B63" s="697"/>
      <c r="C63" s="200">
        <v>4</v>
      </c>
      <c r="D63" s="682"/>
      <c r="E63" s="689"/>
      <c r="F63" s="683"/>
      <c r="G63" s="200"/>
      <c r="H63" s="202"/>
      <c r="I63" s="203"/>
      <c r="J63" s="200"/>
      <c r="K63" s="682"/>
      <c r="L63" s="683"/>
      <c r="O63" s="199"/>
      <c r="P63" s="430"/>
      <c r="Q63" s="430"/>
      <c r="R63" s="199"/>
    </row>
    <row r="64" spans="1:18" ht="15.75" customHeight="1">
      <c r="A64" s="694"/>
      <c r="B64" s="697"/>
      <c r="C64" s="200">
        <v>5</v>
      </c>
      <c r="D64" s="682"/>
      <c r="E64" s="689"/>
      <c r="F64" s="683"/>
      <c r="G64" s="200"/>
      <c r="H64" s="202"/>
      <c r="I64" s="203"/>
      <c r="J64" s="200"/>
      <c r="K64" s="682"/>
      <c r="L64" s="683"/>
      <c r="N64" s="178"/>
      <c r="O64" s="199"/>
      <c r="P64" s="430"/>
      <c r="Q64" s="430"/>
      <c r="R64" s="199"/>
    </row>
    <row r="65" spans="1:18" ht="15.75" customHeight="1">
      <c r="A65" s="694"/>
      <c r="B65" s="697"/>
      <c r="C65" s="204" t="s">
        <v>206</v>
      </c>
      <c r="D65" s="682"/>
      <c r="E65" s="689"/>
      <c r="F65" s="683"/>
      <c r="G65" s="200"/>
      <c r="H65" s="202"/>
      <c r="I65" s="203"/>
      <c r="J65" s="200"/>
      <c r="K65" s="682"/>
      <c r="L65" s="683"/>
      <c r="N65" s="433"/>
      <c r="O65" s="199"/>
      <c r="P65" s="430"/>
      <c r="Q65" s="430"/>
      <c r="R65" s="199"/>
    </row>
    <row r="66" spans="1:18" ht="15.75" customHeight="1">
      <c r="A66" s="694"/>
      <c r="B66" s="697"/>
      <c r="C66" s="204" t="s">
        <v>211</v>
      </c>
      <c r="D66" s="682"/>
      <c r="E66" s="689"/>
      <c r="F66" s="683"/>
      <c r="G66" s="200"/>
      <c r="H66" s="202"/>
      <c r="I66" s="203"/>
      <c r="J66" s="200"/>
      <c r="K66" s="682"/>
      <c r="L66" s="683"/>
      <c r="O66" s="199"/>
      <c r="P66" s="430"/>
      <c r="Q66" s="430"/>
      <c r="R66" s="199"/>
    </row>
    <row r="67" spans="1:18" ht="15.75" customHeight="1">
      <c r="A67" s="694"/>
      <c r="B67" s="697"/>
      <c r="C67" s="204" t="s">
        <v>207</v>
      </c>
      <c r="D67" s="682"/>
      <c r="E67" s="689"/>
      <c r="F67" s="683"/>
      <c r="G67" s="200"/>
      <c r="H67" s="202"/>
      <c r="I67" s="203"/>
      <c r="J67" s="200"/>
      <c r="K67" s="682"/>
      <c r="L67" s="683"/>
      <c r="O67" s="199"/>
      <c r="P67" s="430"/>
      <c r="Q67" s="430"/>
      <c r="R67" s="199"/>
    </row>
    <row r="68" spans="1:18" ht="15.75" customHeight="1">
      <c r="A68" s="694"/>
      <c r="B68" s="697"/>
      <c r="C68" s="204" t="s">
        <v>212</v>
      </c>
      <c r="D68" s="682"/>
      <c r="E68" s="689"/>
      <c r="F68" s="683"/>
      <c r="G68" s="200"/>
      <c r="H68" s="202"/>
      <c r="I68" s="203"/>
      <c r="J68" s="200"/>
      <c r="K68" s="682"/>
      <c r="L68" s="683"/>
      <c r="M68" s="99"/>
      <c r="O68" s="199"/>
      <c r="P68" s="430"/>
      <c r="Q68" s="430"/>
      <c r="R68" s="199"/>
    </row>
    <row r="69" spans="1:18" ht="15.75" customHeight="1">
      <c r="A69" s="695"/>
      <c r="B69" s="698"/>
      <c r="C69" s="204" t="s">
        <v>213</v>
      </c>
      <c r="D69" s="682"/>
      <c r="E69" s="689"/>
      <c r="F69" s="683"/>
      <c r="G69" s="200"/>
      <c r="H69" s="202"/>
      <c r="I69" s="203"/>
      <c r="J69" s="200"/>
      <c r="K69" s="682"/>
      <c r="L69" s="683"/>
      <c r="M69" s="99"/>
      <c r="N69" s="199"/>
      <c r="O69" s="199"/>
      <c r="P69" s="430"/>
      <c r="Q69" s="430"/>
      <c r="R69" s="199"/>
    </row>
    <row r="70" spans="1:18" s="104" customFormat="1" ht="15.75" customHeight="1">
      <c r="A70" s="690" t="s">
        <v>190</v>
      </c>
      <c r="B70" s="691"/>
      <c r="C70" s="207" t="s">
        <v>47</v>
      </c>
      <c r="D70" s="690" t="s">
        <v>12</v>
      </c>
      <c r="E70" s="692"/>
      <c r="F70" s="691"/>
      <c r="G70" s="207" t="s">
        <v>46</v>
      </c>
      <c r="H70" s="207" t="s">
        <v>388</v>
      </c>
      <c r="I70" s="207" t="s">
        <v>389</v>
      </c>
      <c r="J70" s="160" t="s">
        <v>334</v>
      </c>
      <c r="K70" s="690" t="s">
        <v>51</v>
      </c>
      <c r="L70" s="691"/>
      <c r="M70" s="128"/>
      <c r="N70" s="189"/>
      <c r="O70" s="199"/>
      <c r="P70" s="430"/>
      <c r="Q70" s="430"/>
      <c r="R70" s="199"/>
    </row>
    <row r="71" spans="1:18" ht="15.75" customHeight="1">
      <c r="A71" s="693">
        <v>8</v>
      </c>
      <c r="B71" s="696" t="s">
        <v>393</v>
      </c>
      <c r="C71" s="200">
        <v>1</v>
      </c>
      <c r="D71" s="682"/>
      <c r="E71" s="689"/>
      <c r="F71" s="683"/>
      <c r="G71" s="200"/>
      <c r="H71" s="202"/>
      <c r="I71" s="203"/>
      <c r="J71" s="200"/>
      <c r="K71" s="682"/>
      <c r="L71" s="683"/>
      <c r="M71" s="99"/>
      <c r="O71" s="199"/>
      <c r="P71" s="430"/>
      <c r="Q71" s="430"/>
      <c r="R71" s="199"/>
    </row>
    <row r="72" spans="1:18" ht="15.75" customHeight="1">
      <c r="A72" s="694"/>
      <c r="B72" s="697"/>
      <c r="C72" s="200">
        <v>2</v>
      </c>
      <c r="D72" s="682"/>
      <c r="E72" s="689"/>
      <c r="F72" s="683"/>
      <c r="G72" s="200"/>
      <c r="H72" s="202"/>
      <c r="I72" s="203"/>
      <c r="J72" s="200"/>
      <c r="K72" s="682"/>
      <c r="L72" s="683"/>
      <c r="M72" s="99"/>
      <c r="O72" s="178"/>
      <c r="P72" s="429"/>
      <c r="Q72" s="429"/>
      <c r="R72" s="178"/>
    </row>
    <row r="73" spans="1:18" ht="15.75" customHeight="1">
      <c r="A73" s="694"/>
      <c r="B73" s="697"/>
      <c r="C73" s="200">
        <v>3</v>
      </c>
      <c r="D73" s="682"/>
      <c r="E73" s="689"/>
      <c r="F73" s="683"/>
      <c r="G73" s="200"/>
      <c r="H73" s="202"/>
      <c r="I73" s="203"/>
      <c r="J73" s="200"/>
      <c r="K73" s="682"/>
      <c r="L73" s="683"/>
      <c r="M73" s="99"/>
      <c r="O73" s="199"/>
      <c r="P73" s="430"/>
      <c r="Q73" s="430"/>
      <c r="R73" s="199"/>
    </row>
    <row r="74" spans="1:18" ht="15.75" customHeight="1">
      <c r="A74" s="694"/>
      <c r="B74" s="697"/>
      <c r="C74" s="200">
        <v>4</v>
      </c>
      <c r="D74" s="682"/>
      <c r="E74" s="689"/>
      <c r="F74" s="683"/>
      <c r="G74" s="200"/>
      <c r="H74" s="202"/>
      <c r="I74" s="203"/>
      <c r="J74" s="200"/>
      <c r="K74" s="682"/>
      <c r="L74" s="683"/>
      <c r="M74" s="99"/>
      <c r="O74" s="199"/>
      <c r="P74" s="430"/>
      <c r="Q74" s="430"/>
      <c r="R74" s="199"/>
    </row>
    <row r="75" spans="1:18" ht="15.75" customHeight="1">
      <c r="A75" s="694"/>
      <c r="B75" s="697"/>
      <c r="C75" s="200">
        <v>5</v>
      </c>
      <c r="D75" s="682"/>
      <c r="E75" s="689"/>
      <c r="F75" s="683"/>
      <c r="G75" s="200"/>
      <c r="H75" s="202"/>
      <c r="I75" s="203"/>
      <c r="J75" s="200"/>
      <c r="K75" s="682"/>
      <c r="L75" s="683"/>
      <c r="M75" s="99"/>
      <c r="O75" s="199"/>
      <c r="P75" s="430"/>
      <c r="Q75" s="430"/>
      <c r="R75" s="199"/>
    </row>
    <row r="76" spans="1:18" ht="15.75" customHeight="1">
      <c r="A76" s="694"/>
      <c r="B76" s="697"/>
      <c r="C76" s="204" t="s">
        <v>206</v>
      </c>
      <c r="D76" s="682"/>
      <c r="E76" s="689"/>
      <c r="F76" s="683"/>
      <c r="G76" s="200"/>
      <c r="H76" s="202"/>
      <c r="I76" s="203"/>
      <c r="J76" s="200"/>
      <c r="K76" s="682"/>
      <c r="L76" s="683"/>
      <c r="M76" s="99"/>
      <c r="O76" s="199"/>
      <c r="P76" s="430"/>
      <c r="Q76" s="430"/>
      <c r="R76" s="199"/>
    </row>
    <row r="77" spans="1:18" ht="15.75" customHeight="1">
      <c r="A77" s="694"/>
      <c r="B77" s="697"/>
      <c r="C77" s="204" t="s">
        <v>211</v>
      </c>
      <c r="D77" s="682"/>
      <c r="E77" s="689"/>
      <c r="F77" s="683"/>
      <c r="G77" s="200"/>
      <c r="H77" s="202"/>
      <c r="I77" s="203"/>
      <c r="J77" s="200"/>
      <c r="K77" s="682"/>
      <c r="L77" s="683"/>
      <c r="M77" s="99"/>
      <c r="O77" s="199"/>
      <c r="P77" s="430"/>
      <c r="Q77" s="430"/>
      <c r="R77" s="199"/>
    </row>
    <row r="78" spans="1:18" ht="15.75" customHeight="1">
      <c r="A78" s="694"/>
      <c r="B78" s="697"/>
      <c r="C78" s="204" t="s">
        <v>207</v>
      </c>
      <c r="D78" s="682"/>
      <c r="E78" s="689"/>
      <c r="F78" s="683"/>
      <c r="G78" s="200"/>
      <c r="H78" s="202"/>
      <c r="I78" s="203"/>
      <c r="J78" s="200"/>
      <c r="K78" s="682"/>
      <c r="L78" s="683"/>
      <c r="M78" s="99"/>
      <c r="O78" s="199"/>
      <c r="P78" s="430"/>
      <c r="Q78" s="430"/>
      <c r="R78" s="199"/>
    </row>
    <row r="79" spans="1:18" ht="15.75" customHeight="1">
      <c r="A79" s="694"/>
      <c r="B79" s="697"/>
      <c r="C79" s="204" t="s">
        <v>212</v>
      </c>
      <c r="D79" s="682"/>
      <c r="E79" s="689"/>
      <c r="F79" s="683"/>
      <c r="G79" s="200"/>
      <c r="H79" s="202"/>
      <c r="I79" s="203"/>
      <c r="J79" s="200"/>
      <c r="K79" s="682"/>
      <c r="L79" s="683"/>
      <c r="M79" s="99"/>
      <c r="O79" s="199"/>
      <c r="P79" s="430"/>
      <c r="Q79" s="430"/>
      <c r="R79" s="199"/>
    </row>
    <row r="80" spans="1:18" ht="15.75" customHeight="1">
      <c r="A80" s="695"/>
      <c r="B80" s="698"/>
      <c r="C80" s="204" t="s">
        <v>213</v>
      </c>
      <c r="D80" s="682"/>
      <c r="E80" s="689"/>
      <c r="F80" s="683"/>
      <c r="G80" s="200"/>
      <c r="H80" s="202"/>
      <c r="I80" s="203"/>
      <c r="J80" s="200"/>
      <c r="K80" s="682"/>
      <c r="L80" s="683"/>
      <c r="M80" s="99"/>
      <c r="O80" s="199"/>
      <c r="P80" s="430"/>
      <c r="Q80" s="430"/>
      <c r="R80" s="199"/>
    </row>
    <row r="81" spans="1:18" s="189" customFormat="1" ht="15.75" customHeight="1">
      <c r="A81" s="674" t="s">
        <v>702</v>
      </c>
      <c r="B81" s="674"/>
      <c r="C81" s="674"/>
      <c r="D81" s="674"/>
      <c r="E81" s="674"/>
      <c r="F81" s="674"/>
      <c r="G81" s="674"/>
      <c r="H81" s="674"/>
      <c r="I81" s="674"/>
      <c r="J81" s="674"/>
      <c r="K81" s="674"/>
      <c r="L81" s="674"/>
    </row>
    <row r="82" spans="1:18" s="190" customFormat="1" ht="15.75" customHeight="1">
      <c r="A82" s="674"/>
      <c r="B82" s="674"/>
      <c r="C82" s="674"/>
      <c r="D82" s="674"/>
      <c r="E82" s="674"/>
      <c r="F82" s="674"/>
      <c r="G82" s="674"/>
      <c r="H82" s="674"/>
      <c r="I82" s="674"/>
      <c r="J82" s="674"/>
      <c r="K82" s="674"/>
      <c r="L82" s="674"/>
    </row>
    <row r="83" spans="1:18" s="106" customFormat="1" ht="16.399999999999999" customHeight="1">
      <c r="A83" s="693" t="s">
        <v>164</v>
      </c>
      <c r="B83" s="170">
        <v>1</v>
      </c>
      <c r="C83" s="170">
        <v>2</v>
      </c>
      <c r="D83" s="170">
        <v>3</v>
      </c>
      <c r="E83" s="170">
        <v>4</v>
      </c>
      <c r="F83" s="170">
        <v>5</v>
      </c>
      <c r="G83" s="170">
        <v>6</v>
      </c>
      <c r="H83" s="191">
        <v>7</v>
      </c>
      <c r="I83" s="191">
        <v>8</v>
      </c>
      <c r="J83" s="170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99999999999999" customHeight="1">
      <c r="A84" s="695"/>
      <c r="B84" s="195" t="s">
        <v>208</v>
      </c>
      <c r="C84" s="195" t="s">
        <v>157</v>
      </c>
      <c r="D84" s="195" t="s">
        <v>209</v>
      </c>
      <c r="E84" s="195" t="s">
        <v>158</v>
      </c>
      <c r="F84" s="195" t="s">
        <v>139</v>
      </c>
      <c r="G84" s="196" t="s">
        <v>137</v>
      </c>
      <c r="H84" s="194" t="s">
        <v>210</v>
      </c>
      <c r="I84" s="209" t="s">
        <v>387</v>
      </c>
      <c r="J84" s="196" t="s">
        <v>143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99" t="s">
        <v>190</v>
      </c>
      <c r="B85" s="700"/>
      <c r="C85" s="160" t="s">
        <v>47</v>
      </c>
      <c r="D85" s="699" t="s">
        <v>12</v>
      </c>
      <c r="E85" s="701"/>
      <c r="F85" s="700"/>
      <c r="G85" s="160" t="s">
        <v>46</v>
      </c>
      <c r="H85" s="160" t="s">
        <v>388</v>
      </c>
      <c r="I85" s="160" t="s">
        <v>389</v>
      </c>
      <c r="J85" s="160" t="s">
        <v>334</v>
      </c>
      <c r="K85" s="699" t="s">
        <v>51</v>
      </c>
      <c r="L85" s="700"/>
      <c r="M85" s="127"/>
      <c r="N85" s="189"/>
      <c r="O85" s="199"/>
      <c r="P85" s="430"/>
      <c r="Q85" s="430"/>
      <c r="R85" s="199"/>
    </row>
    <row r="86" spans="1:18" ht="15.75" customHeight="1">
      <c r="A86" s="693">
        <v>7</v>
      </c>
      <c r="B86" s="696" t="s">
        <v>392</v>
      </c>
      <c r="C86" s="200">
        <v>1</v>
      </c>
      <c r="D86" s="702"/>
      <c r="E86" s="669"/>
      <c r="F86" s="669"/>
      <c r="G86" s="200"/>
      <c r="H86" s="202"/>
      <c r="I86" s="203"/>
      <c r="J86" s="200"/>
      <c r="K86" s="682"/>
      <c r="L86" s="683"/>
      <c r="O86" s="199"/>
      <c r="P86" s="430"/>
      <c r="Q86" s="430"/>
      <c r="R86" s="199"/>
    </row>
    <row r="87" spans="1:18" ht="15.75" customHeight="1">
      <c r="A87" s="694"/>
      <c r="B87" s="697"/>
      <c r="C87" s="200">
        <v>2</v>
      </c>
      <c r="D87" s="702"/>
      <c r="E87" s="669"/>
      <c r="F87" s="669"/>
      <c r="G87" s="200"/>
      <c r="H87" s="202"/>
      <c r="I87" s="203"/>
      <c r="J87" s="200"/>
      <c r="K87" s="682"/>
      <c r="L87" s="683"/>
      <c r="O87" s="199"/>
      <c r="P87" s="430"/>
      <c r="Q87" s="430"/>
      <c r="R87" s="199"/>
    </row>
    <row r="88" spans="1:18" ht="15.75" customHeight="1">
      <c r="A88" s="694"/>
      <c r="B88" s="697"/>
      <c r="C88" s="200">
        <v>3</v>
      </c>
      <c r="D88" s="682"/>
      <c r="E88" s="689"/>
      <c r="F88" s="683"/>
      <c r="G88" s="200"/>
      <c r="H88" s="202"/>
      <c r="I88" s="203"/>
      <c r="J88" s="200"/>
      <c r="K88" s="682"/>
      <c r="L88" s="683"/>
      <c r="N88" s="433"/>
      <c r="O88" s="199"/>
      <c r="P88" s="430"/>
      <c r="Q88" s="430"/>
      <c r="R88" s="199"/>
    </row>
    <row r="89" spans="1:18" ht="15.75" customHeight="1">
      <c r="A89" s="694"/>
      <c r="B89" s="697"/>
      <c r="C89" s="200">
        <v>4</v>
      </c>
      <c r="D89" s="682"/>
      <c r="E89" s="689"/>
      <c r="F89" s="683"/>
      <c r="G89" s="200"/>
      <c r="H89" s="202"/>
      <c r="I89" s="203"/>
      <c r="J89" s="200"/>
      <c r="K89" s="682"/>
      <c r="L89" s="683"/>
      <c r="O89" s="199"/>
      <c r="P89" s="430"/>
      <c r="Q89" s="430"/>
      <c r="R89" s="199"/>
    </row>
    <row r="90" spans="1:18" ht="15.75" customHeight="1">
      <c r="A90" s="694"/>
      <c r="B90" s="697"/>
      <c r="C90" s="200">
        <v>5</v>
      </c>
      <c r="D90" s="682"/>
      <c r="E90" s="689"/>
      <c r="F90" s="683"/>
      <c r="G90" s="200"/>
      <c r="H90" s="202"/>
      <c r="I90" s="203"/>
      <c r="J90" s="200"/>
      <c r="K90" s="682"/>
      <c r="L90" s="683"/>
      <c r="N90" s="178"/>
      <c r="O90" s="199"/>
      <c r="P90" s="430"/>
      <c r="Q90" s="430"/>
      <c r="R90" s="199"/>
    </row>
    <row r="91" spans="1:18" ht="15.75" customHeight="1">
      <c r="A91" s="694"/>
      <c r="B91" s="697"/>
      <c r="C91" s="204" t="s">
        <v>206</v>
      </c>
      <c r="D91" s="682"/>
      <c r="E91" s="689"/>
      <c r="F91" s="683"/>
      <c r="G91" s="200"/>
      <c r="H91" s="202"/>
      <c r="I91" s="203"/>
      <c r="J91" s="200"/>
      <c r="K91" s="682"/>
      <c r="L91" s="683"/>
      <c r="N91" s="433"/>
      <c r="O91" s="199"/>
      <c r="P91" s="430"/>
      <c r="Q91" s="430"/>
      <c r="R91" s="199"/>
    </row>
    <row r="92" spans="1:18" ht="15.75" customHeight="1">
      <c r="A92" s="694"/>
      <c r="B92" s="697"/>
      <c r="C92" s="204" t="s">
        <v>211</v>
      </c>
      <c r="D92" s="682"/>
      <c r="E92" s="689"/>
      <c r="F92" s="683"/>
      <c r="G92" s="200"/>
      <c r="H92" s="202"/>
      <c r="I92" s="203"/>
      <c r="J92" s="200"/>
      <c r="K92" s="682"/>
      <c r="L92" s="683"/>
      <c r="O92" s="199"/>
      <c r="P92" s="430"/>
      <c r="Q92" s="430"/>
      <c r="R92" s="199"/>
    </row>
    <row r="93" spans="1:18" ht="15.75" customHeight="1">
      <c r="A93" s="694"/>
      <c r="B93" s="697"/>
      <c r="C93" s="204" t="s">
        <v>207</v>
      </c>
      <c r="D93" s="682"/>
      <c r="E93" s="689"/>
      <c r="F93" s="683"/>
      <c r="G93" s="200"/>
      <c r="H93" s="202"/>
      <c r="I93" s="203"/>
      <c r="J93" s="200"/>
      <c r="K93" s="682"/>
      <c r="L93" s="683"/>
      <c r="O93" s="199"/>
      <c r="P93" s="430"/>
      <c r="Q93" s="430"/>
      <c r="R93" s="199"/>
    </row>
    <row r="94" spans="1:18" ht="15.75" customHeight="1">
      <c r="A94" s="694"/>
      <c r="B94" s="697"/>
      <c r="C94" s="204" t="s">
        <v>212</v>
      </c>
      <c r="D94" s="682"/>
      <c r="E94" s="689"/>
      <c r="F94" s="683"/>
      <c r="G94" s="200"/>
      <c r="H94" s="202"/>
      <c r="I94" s="203"/>
      <c r="J94" s="200"/>
      <c r="K94" s="682"/>
      <c r="L94" s="683"/>
      <c r="M94" s="99"/>
      <c r="O94" s="199"/>
      <c r="P94" s="430"/>
      <c r="Q94" s="430"/>
      <c r="R94" s="199"/>
    </row>
    <row r="95" spans="1:18" ht="15.75" customHeight="1">
      <c r="A95" s="695"/>
      <c r="B95" s="698"/>
      <c r="C95" s="204" t="s">
        <v>213</v>
      </c>
      <c r="D95" s="682"/>
      <c r="E95" s="689"/>
      <c r="F95" s="683"/>
      <c r="G95" s="200"/>
      <c r="H95" s="202"/>
      <c r="I95" s="203"/>
      <c r="J95" s="200"/>
      <c r="K95" s="682"/>
      <c r="L95" s="683"/>
      <c r="M95" s="99"/>
      <c r="N95" s="199"/>
      <c r="O95" s="199"/>
      <c r="P95" s="430"/>
      <c r="Q95" s="430"/>
      <c r="R95" s="199"/>
    </row>
    <row r="96" spans="1:18" s="104" customFormat="1" ht="15.75" customHeight="1">
      <c r="A96" s="690" t="s">
        <v>190</v>
      </c>
      <c r="B96" s="691"/>
      <c r="C96" s="207" t="s">
        <v>47</v>
      </c>
      <c r="D96" s="690" t="s">
        <v>12</v>
      </c>
      <c r="E96" s="692"/>
      <c r="F96" s="691"/>
      <c r="G96" s="207" t="s">
        <v>46</v>
      </c>
      <c r="H96" s="207" t="s">
        <v>388</v>
      </c>
      <c r="I96" s="207" t="s">
        <v>389</v>
      </c>
      <c r="J96" s="160" t="s">
        <v>334</v>
      </c>
      <c r="K96" s="690" t="s">
        <v>51</v>
      </c>
      <c r="L96" s="691"/>
      <c r="M96" s="128"/>
      <c r="N96" s="189"/>
      <c r="O96" s="199"/>
      <c r="P96" s="430"/>
      <c r="Q96" s="430"/>
      <c r="R96" s="199"/>
    </row>
    <row r="97" spans="1:18" ht="15.75" customHeight="1">
      <c r="A97" s="693">
        <v>8</v>
      </c>
      <c r="B97" s="696" t="s">
        <v>393</v>
      </c>
      <c r="C97" s="200">
        <v>1</v>
      </c>
      <c r="D97" s="682"/>
      <c r="E97" s="689"/>
      <c r="F97" s="683"/>
      <c r="G97" s="200"/>
      <c r="H97" s="202"/>
      <c r="I97" s="203"/>
      <c r="J97" s="200"/>
      <c r="K97" s="682"/>
      <c r="L97" s="683"/>
      <c r="M97" s="99"/>
      <c r="O97" s="199"/>
      <c r="P97" s="430"/>
      <c r="Q97" s="430"/>
      <c r="R97" s="199"/>
    </row>
    <row r="98" spans="1:18" ht="15.75" customHeight="1">
      <c r="A98" s="694"/>
      <c r="B98" s="697"/>
      <c r="C98" s="200">
        <v>2</v>
      </c>
      <c r="D98" s="682"/>
      <c r="E98" s="689"/>
      <c r="F98" s="683"/>
      <c r="G98" s="200"/>
      <c r="H98" s="202"/>
      <c r="I98" s="203"/>
      <c r="J98" s="200"/>
      <c r="K98" s="682"/>
      <c r="L98" s="683"/>
      <c r="M98" s="99"/>
      <c r="O98" s="178"/>
      <c r="P98" s="429"/>
      <c r="Q98" s="429"/>
      <c r="R98" s="178"/>
    </row>
    <row r="99" spans="1:18" ht="15.75" customHeight="1">
      <c r="A99" s="694"/>
      <c r="B99" s="697"/>
      <c r="C99" s="200">
        <v>3</v>
      </c>
      <c r="D99" s="682"/>
      <c r="E99" s="689"/>
      <c r="F99" s="683"/>
      <c r="G99" s="200"/>
      <c r="H99" s="202"/>
      <c r="I99" s="203"/>
      <c r="J99" s="200"/>
      <c r="K99" s="682"/>
      <c r="L99" s="683"/>
      <c r="M99" s="99"/>
      <c r="O99" s="199"/>
      <c r="P99" s="430"/>
      <c r="Q99" s="430"/>
      <c r="R99" s="199"/>
    </row>
    <row r="100" spans="1:18" ht="15.75" customHeight="1">
      <c r="A100" s="694"/>
      <c r="B100" s="697"/>
      <c r="C100" s="200">
        <v>4</v>
      </c>
      <c r="D100" s="682"/>
      <c r="E100" s="689"/>
      <c r="F100" s="683"/>
      <c r="G100" s="200"/>
      <c r="H100" s="202"/>
      <c r="I100" s="203"/>
      <c r="J100" s="200"/>
      <c r="K100" s="682"/>
      <c r="L100" s="683"/>
      <c r="M100" s="99"/>
      <c r="O100" s="199"/>
      <c r="P100" s="430"/>
      <c r="Q100" s="430"/>
      <c r="R100" s="199"/>
    </row>
    <row r="101" spans="1:18" ht="15.75" customHeight="1">
      <c r="A101" s="694"/>
      <c r="B101" s="697"/>
      <c r="C101" s="200">
        <v>5</v>
      </c>
      <c r="D101" s="682"/>
      <c r="E101" s="689"/>
      <c r="F101" s="683"/>
      <c r="G101" s="200"/>
      <c r="H101" s="202"/>
      <c r="I101" s="203"/>
      <c r="J101" s="200"/>
      <c r="K101" s="682"/>
      <c r="L101" s="683"/>
      <c r="M101" s="99"/>
      <c r="O101" s="199"/>
      <c r="P101" s="430"/>
      <c r="Q101" s="430"/>
      <c r="R101" s="199"/>
    </row>
    <row r="102" spans="1:18" ht="15.75" customHeight="1">
      <c r="A102" s="694"/>
      <c r="B102" s="697"/>
      <c r="C102" s="204" t="s">
        <v>206</v>
      </c>
      <c r="D102" s="682"/>
      <c r="E102" s="689"/>
      <c r="F102" s="683"/>
      <c r="G102" s="200"/>
      <c r="H102" s="202"/>
      <c r="I102" s="203"/>
      <c r="J102" s="200"/>
      <c r="K102" s="682"/>
      <c r="L102" s="683"/>
      <c r="M102" s="99"/>
      <c r="O102" s="199"/>
      <c r="P102" s="430"/>
      <c r="Q102" s="430"/>
      <c r="R102" s="199"/>
    </row>
    <row r="103" spans="1:18" ht="15.75" customHeight="1">
      <c r="A103" s="694"/>
      <c r="B103" s="697"/>
      <c r="C103" s="204" t="s">
        <v>211</v>
      </c>
      <c r="D103" s="682"/>
      <c r="E103" s="689"/>
      <c r="F103" s="683"/>
      <c r="G103" s="200"/>
      <c r="H103" s="202"/>
      <c r="I103" s="203"/>
      <c r="J103" s="200"/>
      <c r="K103" s="682"/>
      <c r="L103" s="683"/>
      <c r="M103" s="99"/>
      <c r="O103" s="199"/>
      <c r="P103" s="430"/>
      <c r="Q103" s="430"/>
      <c r="R103" s="199"/>
    </row>
    <row r="104" spans="1:18" ht="15.75" customHeight="1">
      <c r="A104" s="694"/>
      <c r="B104" s="697"/>
      <c r="C104" s="204" t="s">
        <v>207</v>
      </c>
      <c r="D104" s="682"/>
      <c r="E104" s="689"/>
      <c r="F104" s="683"/>
      <c r="G104" s="200"/>
      <c r="H104" s="202"/>
      <c r="I104" s="203"/>
      <c r="J104" s="200"/>
      <c r="K104" s="682"/>
      <c r="L104" s="683"/>
      <c r="M104" s="99"/>
      <c r="O104" s="199"/>
      <c r="P104" s="430"/>
      <c r="Q104" s="430"/>
      <c r="R104" s="199"/>
    </row>
    <row r="105" spans="1:18" ht="15.75" customHeight="1">
      <c r="A105" s="694"/>
      <c r="B105" s="697"/>
      <c r="C105" s="204" t="s">
        <v>212</v>
      </c>
      <c r="D105" s="682"/>
      <c r="E105" s="689"/>
      <c r="F105" s="683"/>
      <c r="G105" s="200"/>
      <c r="H105" s="202"/>
      <c r="I105" s="203"/>
      <c r="J105" s="200"/>
      <c r="K105" s="682"/>
      <c r="L105" s="683"/>
      <c r="M105" s="99"/>
      <c r="O105" s="199"/>
      <c r="P105" s="430"/>
      <c r="Q105" s="430"/>
      <c r="R105" s="199"/>
    </row>
    <row r="106" spans="1:18" ht="15.75" customHeight="1">
      <c r="A106" s="695"/>
      <c r="B106" s="698"/>
      <c r="C106" s="204" t="s">
        <v>213</v>
      </c>
      <c r="D106" s="682"/>
      <c r="E106" s="689"/>
      <c r="F106" s="683"/>
      <c r="G106" s="200"/>
      <c r="H106" s="202"/>
      <c r="I106" s="203"/>
      <c r="J106" s="200"/>
      <c r="K106" s="682"/>
      <c r="L106" s="683"/>
      <c r="M106" s="99"/>
      <c r="O106" s="199"/>
      <c r="P106" s="430"/>
      <c r="Q106" s="430"/>
      <c r="R106" s="199"/>
    </row>
    <row r="107" spans="1:18" s="189" customFormat="1" ht="15.75" customHeight="1">
      <c r="A107" s="674" t="s">
        <v>767</v>
      </c>
      <c r="B107" s="674"/>
      <c r="C107" s="674"/>
      <c r="D107" s="674"/>
      <c r="E107" s="674"/>
      <c r="F107" s="674"/>
      <c r="G107" s="674"/>
      <c r="H107" s="674"/>
      <c r="I107" s="674"/>
      <c r="J107" s="674"/>
      <c r="K107" s="674"/>
      <c r="L107" s="674"/>
    </row>
    <row r="108" spans="1:18" s="190" customFormat="1" ht="15.75" customHeight="1">
      <c r="A108" s="674"/>
      <c r="B108" s="674"/>
      <c r="C108" s="674"/>
      <c r="D108" s="674"/>
      <c r="E108" s="674"/>
      <c r="F108" s="674"/>
      <c r="G108" s="674"/>
      <c r="H108" s="674"/>
      <c r="I108" s="674"/>
      <c r="J108" s="674"/>
      <c r="K108" s="674"/>
      <c r="L108" s="674"/>
    </row>
    <row r="109" spans="1:18" s="106" customFormat="1" ht="16.399999999999999" customHeight="1">
      <c r="A109" s="693" t="s">
        <v>164</v>
      </c>
      <c r="B109" s="170">
        <v>1</v>
      </c>
      <c r="C109" s="170">
        <v>2</v>
      </c>
      <c r="D109" s="170">
        <v>3</v>
      </c>
      <c r="E109" s="170">
        <v>4</v>
      </c>
      <c r="F109" s="170">
        <v>5</v>
      </c>
      <c r="G109" s="170">
        <v>6</v>
      </c>
      <c r="H109" s="191">
        <v>7</v>
      </c>
      <c r="I109" s="191">
        <v>8</v>
      </c>
      <c r="J109" s="170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99999999999999" customHeight="1">
      <c r="A110" s="695"/>
      <c r="B110" s="195" t="s">
        <v>208</v>
      </c>
      <c r="C110" s="195" t="s">
        <v>157</v>
      </c>
      <c r="D110" s="195" t="s">
        <v>209</v>
      </c>
      <c r="E110" s="195" t="s">
        <v>158</v>
      </c>
      <c r="F110" s="195" t="s">
        <v>139</v>
      </c>
      <c r="G110" s="196" t="s">
        <v>137</v>
      </c>
      <c r="H110" s="194" t="s">
        <v>210</v>
      </c>
      <c r="I110" s="209" t="s">
        <v>387</v>
      </c>
      <c r="J110" s="196" t="s">
        <v>143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99" t="s">
        <v>190</v>
      </c>
      <c r="B111" s="700"/>
      <c r="C111" s="160" t="s">
        <v>47</v>
      </c>
      <c r="D111" s="699" t="s">
        <v>12</v>
      </c>
      <c r="E111" s="701"/>
      <c r="F111" s="700"/>
      <c r="G111" s="160" t="s">
        <v>46</v>
      </c>
      <c r="H111" s="160" t="s">
        <v>388</v>
      </c>
      <c r="I111" s="160" t="s">
        <v>389</v>
      </c>
      <c r="J111" s="160" t="s">
        <v>334</v>
      </c>
      <c r="K111" s="699" t="s">
        <v>51</v>
      </c>
      <c r="L111" s="700"/>
      <c r="M111" s="127"/>
      <c r="N111" s="189"/>
      <c r="O111" s="199"/>
      <c r="P111" s="430"/>
      <c r="Q111" s="430"/>
      <c r="R111" s="199"/>
    </row>
    <row r="112" spans="1:18" ht="15.75" customHeight="1">
      <c r="A112" s="693">
        <v>7</v>
      </c>
      <c r="B112" s="696" t="s">
        <v>392</v>
      </c>
      <c r="C112" s="200">
        <v>1</v>
      </c>
      <c r="D112" s="702"/>
      <c r="E112" s="669"/>
      <c r="F112" s="669"/>
      <c r="G112" s="200"/>
      <c r="H112" s="202"/>
      <c r="I112" s="203"/>
      <c r="J112" s="200"/>
      <c r="K112" s="682"/>
      <c r="L112" s="683"/>
      <c r="O112" s="199"/>
      <c r="P112" s="430"/>
      <c r="Q112" s="430"/>
      <c r="R112" s="199"/>
    </row>
    <row r="113" spans="1:18" ht="15.75" customHeight="1">
      <c r="A113" s="694"/>
      <c r="B113" s="697"/>
      <c r="C113" s="200">
        <v>2</v>
      </c>
      <c r="D113" s="702"/>
      <c r="E113" s="669"/>
      <c r="F113" s="669"/>
      <c r="G113" s="200"/>
      <c r="H113" s="202"/>
      <c r="I113" s="203"/>
      <c r="J113" s="200"/>
      <c r="K113" s="682"/>
      <c r="L113" s="683"/>
      <c r="O113" s="199"/>
      <c r="P113" s="430"/>
      <c r="Q113" s="430"/>
      <c r="R113" s="199"/>
    </row>
    <row r="114" spans="1:18" ht="15.75" customHeight="1">
      <c r="A114" s="694"/>
      <c r="B114" s="697"/>
      <c r="C114" s="200">
        <v>3</v>
      </c>
      <c r="D114" s="682"/>
      <c r="E114" s="689"/>
      <c r="F114" s="683"/>
      <c r="G114" s="200"/>
      <c r="H114" s="202"/>
      <c r="I114" s="203"/>
      <c r="J114" s="200"/>
      <c r="K114" s="682"/>
      <c r="L114" s="683"/>
      <c r="N114" s="433"/>
      <c r="O114" s="199"/>
      <c r="P114" s="430"/>
      <c r="Q114" s="430"/>
      <c r="R114" s="199"/>
    </row>
    <row r="115" spans="1:18" ht="15.75" customHeight="1">
      <c r="A115" s="694"/>
      <c r="B115" s="697"/>
      <c r="C115" s="200">
        <v>4</v>
      </c>
      <c r="D115" s="682"/>
      <c r="E115" s="689"/>
      <c r="F115" s="683"/>
      <c r="G115" s="200"/>
      <c r="H115" s="202"/>
      <c r="I115" s="203"/>
      <c r="J115" s="200"/>
      <c r="K115" s="682"/>
      <c r="L115" s="683"/>
      <c r="O115" s="199"/>
      <c r="P115" s="430"/>
      <c r="Q115" s="430"/>
      <c r="R115" s="199"/>
    </row>
    <row r="116" spans="1:18" ht="15.75" customHeight="1">
      <c r="A116" s="694"/>
      <c r="B116" s="697"/>
      <c r="C116" s="200">
        <v>5</v>
      </c>
      <c r="D116" s="682"/>
      <c r="E116" s="689"/>
      <c r="F116" s="683"/>
      <c r="G116" s="200"/>
      <c r="H116" s="202"/>
      <c r="I116" s="203"/>
      <c r="J116" s="200"/>
      <c r="K116" s="682"/>
      <c r="L116" s="683"/>
      <c r="N116" s="178"/>
      <c r="O116" s="199"/>
      <c r="P116" s="430"/>
      <c r="Q116" s="430"/>
      <c r="R116" s="199"/>
    </row>
    <row r="117" spans="1:18" ht="15.75" customHeight="1">
      <c r="A117" s="694"/>
      <c r="B117" s="697"/>
      <c r="C117" s="204" t="s">
        <v>206</v>
      </c>
      <c r="D117" s="682"/>
      <c r="E117" s="689"/>
      <c r="F117" s="683"/>
      <c r="G117" s="200"/>
      <c r="H117" s="202"/>
      <c r="I117" s="203"/>
      <c r="J117" s="200"/>
      <c r="K117" s="682"/>
      <c r="L117" s="683"/>
      <c r="N117" s="433"/>
      <c r="O117" s="199"/>
      <c r="P117" s="430"/>
      <c r="Q117" s="430"/>
      <c r="R117" s="199"/>
    </row>
    <row r="118" spans="1:18" ht="15.75" customHeight="1">
      <c r="A118" s="694"/>
      <c r="B118" s="697"/>
      <c r="C118" s="204" t="s">
        <v>211</v>
      </c>
      <c r="D118" s="682"/>
      <c r="E118" s="689"/>
      <c r="F118" s="683"/>
      <c r="G118" s="200"/>
      <c r="H118" s="202"/>
      <c r="I118" s="203"/>
      <c r="J118" s="200"/>
      <c r="K118" s="682"/>
      <c r="L118" s="683"/>
      <c r="O118" s="199"/>
      <c r="P118" s="430"/>
      <c r="Q118" s="430"/>
      <c r="R118" s="199"/>
    </row>
    <row r="119" spans="1:18" ht="15.75" customHeight="1">
      <c r="A119" s="694"/>
      <c r="B119" s="697"/>
      <c r="C119" s="204" t="s">
        <v>207</v>
      </c>
      <c r="D119" s="682"/>
      <c r="E119" s="689"/>
      <c r="F119" s="683"/>
      <c r="G119" s="200"/>
      <c r="H119" s="202"/>
      <c r="I119" s="203"/>
      <c r="J119" s="200"/>
      <c r="K119" s="682"/>
      <c r="L119" s="683"/>
      <c r="O119" s="199"/>
      <c r="P119" s="430"/>
      <c r="Q119" s="430"/>
      <c r="R119" s="199"/>
    </row>
    <row r="120" spans="1:18" ht="15.75" customHeight="1">
      <c r="A120" s="694"/>
      <c r="B120" s="697"/>
      <c r="C120" s="204" t="s">
        <v>212</v>
      </c>
      <c r="D120" s="682"/>
      <c r="E120" s="689"/>
      <c r="F120" s="683"/>
      <c r="G120" s="200"/>
      <c r="H120" s="202"/>
      <c r="I120" s="203"/>
      <c r="J120" s="200"/>
      <c r="K120" s="682"/>
      <c r="L120" s="683"/>
      <c r="M120" s="99"/>
      <c r="O120" s="199"/>
      <c r="P120" s="430"/>
      <c r="Q120" s="430"/>
      <c r="R120" s="199"/>
    </row>
    <row r="121" spans="1:18" ht="15.75" customHeight="1">
      <c r="A121" s="695"/>
      <c r="B121" s="698"/>
      <c r="C121" s="204" t="s">
        <v>213</v>
      </c>
      <c r="D121" s="682"/>
      <c r="E121" s="689"/>
      <c r="F121" s="683"/>
      <c r="G121" s="200"/>
      <c r="H121" s="202"/>
      <c r="I121" s="203"/>
      <c r="J121" s="200"/>
      <c r="K121" s="682"/>
      <c r="L121" s="683"/>
      <c r="M121" s="99"/>
      <c r="N121" s="199"/>
      <c r="O121" s="199"/>
      <c r="P121" s="430"/>
      <c r="Q121" s="430"/>
      <c r="R121" s="199"/>
    </row>
    <row r="122" spans="1:18" s="104" customFormat="1" ht="15.75" customHeight="1">
      <c r="A122" s="690" t="s">
        <v>190</v>
      </c>
      <c r="B122" s="691"/>
      <c r="C122" s="207" t="s">
        <v>47</v>
      </c>
      <c r="D122" s="690" t="s">
        <v>12</v>
      </c>
      <c r="E122" s="692"/>
      <c r="F122" s="691"/>
      <c r="G122" s="207" t="s">
        <v>46</v>
      </c>
      <c r="H122" s="207" t="s">
        <v>388</v>
      </c>
      <c r="I122" s="207" t="s">
        <v>389</v>
      </c>
      <c r="J122" s="160" t="s">
        <v>334</v>
      </c>
      <c r="K122" s="690" t="s">
        <v>51</v>
      </c>
      <c r="L122" s="691"/>
      <c r="M122" s="128"/>
      <c r="N122" s="189"/>
      <c r="O122" s="199"/>
      <c r="P122" s="430"/>
      <c r="Q122" s="430"/>
      <c r="R122" s="199"/>
    </row>
    <row r="123" spans="1:18" ht="15.75" customHeight="1">
      <c r="A123" s="693">
        <v>8</v>
      </c>
      <c r="B123" s="696" t="s">
        <v>393</v>
      </c>
      <c r="C123" s="200">
        <v>1</v>
      </c>
      <c r="D123" s="682"/>
      <c r="E123" s="689"/>
      <c r="F123" s="683"/>
      <c r="G123" s="200"/>
      <c r="H123" s="202"/>
      <c r="I123" s="203"/>
      <c r="J123" s="200"/>
      <c r="K123" s="682"/>
      <c r="L123" s="683"/>
      <c r="M123" s="99"/>
      <c r="O123" s="199"/>
      <c r="P123" s="430"/>
      <c r="Q123" s="430"/>
      <c r="R123" s="199"/>
    </row>
    <row r="124" spans="1:18" ht="15.75" customHeight="1">
      <c r="A124" s="694"/>
      <c r="B124" s="697"/>
      <c r="C124" s="200">
        <v>2</v>
      </c>
      <c r="D124" s="682"/>
      <c r="E124" s="689"/>
      <c r="F124" s="683"/>
      <c r="G124" s="200"/>
      <c r="H124" s="202"/>
      <c r="I124" s="203"/>
      <c r="J124" s="200"/>
      <c r="K124" s="682"/>
      <c r="L124" s="683"/>
      <c r="M124" s="99"/>
      <c r="O124" s="178"/>
      <c r="P124" s="429"/>
      <c r="Q124" s="429"/>
      <c r="R124" s="178"/>
    </row>
    <row r="125" spans="1:18" ht="15.75" customHeight="1">
      <c r="A125" s="694"/>
      <c r="B125" s="697"/>
      <c r="C125" s="200">
        <v>3</v>
      </c>
      <c r="D125" s="682"/>
      <c r="E125" s="689"/>
      <c r="F125" s="683"/>
      <c r="G125" s="200"/>
      <c r="H125" s="202"/>
      <c r="I125" s="203"/>
      <c r="J125" s="200"/>
      <c r="K125" s="682"/>
      <c r="L125" s="683"/>
      <c r="M125" s="99"/>
      <c r="O125" s="199"/>
      <c r="P125" s="430"/>
      <c r="Q125" s="430"/>
      <c r="R125" s="199"/>
    </row>
    <row r="126" spans="1:18" ht="15.75" customHeight="1">
      <c r="A126" s="694"/>
      <c r="B126" s="697"/>
      <c r="C126" s="200">
        <v>4</v>
      </c>
      <c r="D126" s="682"/>
      <c r="E126" s="689"/>
      <c r="F126" s="683"/>
      <c r="G126" s="200"/>
      <c r="H126" s="202"/>
      <c r="I126" s="203"/>
      <c r="J126" s="200"/>
      <c r="K126" s="682"/>
      <c r="L126" s="683"/>
      <c r="M126" s="99"/>
      <c r="O126" s="199"/>
      <c r="P126" s="430"/>
      <c r="Q126" s="430"/>
      <c r="R126" s="199"/>
    </row>
    <row r="127" spans="1:18" ht="15.75" customHeight="1">
      <c r="A127" s="694"/>
      <c r="B127" s="697"/>
      <c r="C127" s="200">
        <v>5</v>
      </c>
      <c r="D127" s="682"/>
      <c r="E127" s="689"/>
      <c r="F127" s="683"/>
      <c r="G127" s="200"/>
      <c r="H127" s="202"/>
      <c r="I127" s="203"/>
      <c r="J127" s="200"/>
      <c r="K127" s="682"/>
      <c r="L127" s="683"/>
      <c r="M127" s="99"/>
      <c r="O127" s="199"/>
      <c r="P127" s="430"/>
      <c r="Q127" s="430"/>
      <c r="R127" s="199"/>
    </row>
    <row r="128" spans="1:18" ht="15.75" customHeight="1">
      <c r="A128" s="694"/>
      <c r="B128" s="697"/>
      <c r="C128" s="204" t="s">
        <v>206</v>
      </c>
      <c r="D128" s="682"/>
      <c r="E128" s="689"/>
      <c r="F128" s="683"/>
      <c r="G128" s="200"/>
      <c r="H128" s="202"/>
      <c r="I128" s="203"/>
      <c r="J128" s="200"/>
      <c r="K128" s="682"/>
      <c r="L128" s="683"/>
      <c r="M128" s="99"/>
      <c r="O128" s="199"/>
      <c r="P128" s="430"/>
      <c r="Q128" s="430"/>
      <c r="R128" s="199"/>
    </row>
    <row r="129" spans="1:18" ht="15.75" customHeight="1">
      <c r="A129" s="694"/>
      <c r="B129" s="697"/>
      <c r="C129" s="204" t="s">
        <v>211</v>
      </c>
      <c r="D129" s="682"/>
      <c r="E129" s="689"/>
      <c r="F129" s="683"/>
      <c r="G129" s="200"/>
      <c r="H129" s="202"/>
      <c r="I129" s="203"/>
      <c r="J129" s="200"/>
      <c r="K129" s="682"/>
      <c r="L129" s="683"/>
      <c r="M129" s="99"/>
      <c r="O129" s="199"/>
      <c r="P129" s="430"/>
      <c r="Q129" s="430"/>
      <c r="R129" s="199"/>
    </row>
    <row r="130" spans="1:18" ht="15.75" customHeight="1">
      <c r="A130" s="694"/>
      <c r="B130" s="697"/>
      <c r="C130" s="204" t="s">
        <v>207</v>
      </c>
      <c r="D130" s="682"/>
      <c r="E130" s="689"/>
      <c r="F130" s="683"/>
      <c r="G130" s="200"/>
      <c r="H130" s="202"/>
      <c r="I130" s="203"/>
      <c r="J130" s="200"/>
      <c r="K130" s="682"/>
      <c r="L130" s="683"/>
      <c r="M130" s="99"/>
      <c r="O130" s="199"/>
      <c r="P130" s="430"/>
      <c r="Q130" s="430"/>
      <c r="R130" s="199"/>
    </row>
    <row r="131" spans="1:18" ht="15.75" customHeight="1">
      <c r="A131" s="694"/>
      <c r="B131" s="697"/>
      <c r="C131" s="204" t="s">
        <v>212</v>
      </c>
      <c r="D131" s="682"/>
      <c r="E131" s="689"/>
      <c r="F131" s="683"/>
      <c r="G131" s="200"/>
      <c r="H131" s="202"/>
      <c r="I131" s="203"/>
      <c r="J131" s="200"/>
      <c r="K131" s="682"/>
      <c r="L131" s="683"/>
      <c r="M131" s="99"/>
      <c r="O131" s="199"/>
      <c r="P131" s="430"/>
      <c r="Q131" s="430"/>
      <c r="R131" s="199"/>
    </row>
    <row r="132" spans="1:18" ht="15.75" customHeight="1">
      <c r="A132" s="695"/>
      <c r="B132" s="698"/>
      <c r="C132" s="204" t="s">
        <v>213</v>
      </c>
      <c r="D132" s="682"/>
      <c r="E132" s="689"/>
      <c r="F132" s="683"/>
      <c r="G132" s="200"/>
      <c r="H132" s="202"/>
      <c r="I132" s="203"/>
      <c r="J132" s="200"/>
      <c r="K132" s="682"/>
      <c r="L132" s="683"/>
      <c r="M132" s="99"/>
      <c r="O132" s="199"/>
      <c r="P132" s="430"/>
      <c r="Q132" s="430"/>
      <c r="R132" s="199"/>
    </row>
    <row r="133" spans="1:18" s="189" customFormat="1" ht="15.75" customHeight="1">
      <c r="A133" s="674" t="s">
        <v>844</v>
      </c>
      <c r="B133" s="674"/>
      <c r="C133" s="674"/>
      <c r="D133" s="674"/>
      <c r="E133" s="674"/>
      <c r="F133" s="674"/>
      <c r="G133" s="674"/>
      <c r="H133" s="674"/>
      <c r="I133" s="674"/>
      <c r="J133" s="674"/>
      <c r="K133" s="674"/>
      <c r="L133" s="674"/>
    </row>
    <row r="134" spans="1:18" s="190" customFormat="1" ht="15.75" customHeight="1">
      <c r="A134" s="674"/>
      <c r="B134" s="674"/>
      <c r="C134" s="674"/>
      <c r="D134" s="674"/>
      <c r="E134" s="674"/>
      <c r="F134" s="674"/>
      <c r="G134" s="674"/>
      <c r="H134" s="674"/>
      <c r="I134" s="674"/>
      <c r="J134" s="674"/>
      <c r="K134" s="674"/>
      <c r="L134" s="674"/>
    </row>
    <row r="135" spans="1:18" s="106" customFormat="1" ht="16.399999999999999" customHeight="1">
      <c r="A135" s="693" t="s">
        <v>164</v>
      </c>
      <c r="B135" s="170">
        <v>1</v>
      </c>
      <c r="C135" s="170">
        <v>2</v>
      </c>
      <c r="D135" s="170">
        <v>3</v>
      </c>
      <c r="E135" s="170">
        <v>4</v>
      </c>
      <c r="F135" s="170">
        <v>5</v>
      </c>
      <c r="G135" s="170">
        <v>6</v>
      </c>
      <c r="H135" s="191">
        <v>7</v>
      </c>
      <c r="I135" s="191">
        <v>8</v>
      </c>
      <c r="J135" s="170">
        <v>9</v>
      </c>
      <c r="K135" s="192"/>
      <c r="L135" s="192"/>
      <c r="M135" s="127"/>
      <c r="N135" s="178"/>
      <c r="O135" s="178"/>
      <c r="P135" s="178"/>
      <c r="Q135" s="178"/>
      <c r="R135" s="178"/>
    </row>
    <row r="136" spans="1:18" ht="16.399999999999999" customHeight="1">
      <c r="A136" s="695"/>
      <c r="B136" s="195" t="s">
        <v>208</v>
      </c>
      <c r="C136" s="195" t="s">
        <v>157</v>
      </c>
      <c r="D136" s="195" t="s">
        <v>209</v>
      </c>
      <c r="E136" s="195" t="s">
        <v>158</v>
      </c>
      <c r="F136" s="195" t="s">
        <v>139</v>
      </c>
      <c r="G136" s="196" t="s">
        <v>137</v>
      </c>
      <c r="H136" s="194" t="s">
        <v>210</v>
      </c>
      <c r="I136" s="209" t="s">
        <v>387</v>
      </c>
      <c r="J136" s="196" t="s">
        <v>143</v>
      </c>
      <c r="K136" s="198"/>
      <c r="L136" s="198"/>
      <c r="N136" s="199"/>
      <c r="O136" s="199"/>
      <c r="P136" s="199"/>
      <c r="Q136" s="199"/>
      <c r="R136" s="199"/>
    </row>
    <row r="137" spans="1:18" s="106" customFormat="1" ht="15.75" customHeight="1">
      <c r="A137" s="699" t="s">
        <v>190</v>
      </c>
      <c r="B137" s="700"/>
      <c r="C137" s="160" t="s">
        <v>47</v>
      </c>
      <c r="D137" s="699" t="s">
        <v>12</v>
      </c>
      <c r="E137" s="701"/>
      <c r="F137" s="700"/>
      <c r="G137" s="160" t="s">
        <v>46</v>
      </c>
      <c r="H137" s="160" t="s">
        <v>388</v>
      </c>
      <c r="I137" s="160" t="s">
        <v>389</v>
      </c>
      <c r="J137" s="160" t="s">
        <v>334</v>
      </c>
      <c r="K137" s="699" t="s">
        <v>51</v>
      </c>
      <c r="L137" s="700"/>
      <c r="M137" s="127"/>
      <c r="N137" s="189"/>
      <c r="O137" s="199"/>
      <c r="P137" s="430"/>
      <c r="Q137" s="430"/>
      <c r="R137" s="199"/>
    </row>
    <row r="138" spans="1:18" ht="15.75" customHeight="1">
      <c r="A138" s="693">
        <v>7</v>
      </c>
      <c r="B138" s="696" t="s">
        <v>392</v>
      </c>
      <c r="C138" s="200">
        <v>1</v>
      </c>
      <c r="D138" s="702"/>
      <c r="E138" s="669"/>
      <c r="F138" s="669"/>
      <c r="G138" s="200"/>
      <c r="H138" s="202"/>
      <c r="I138" s="203"/>
      <c r="J138" s="200"/>
      <c r="K138" s="682"/>
      <c r="L138" s="683"/>
      <c r="O138" s="199"/>
      <c r="P138" s="430"/>
      <c r="Q138" s="430"/>
      <c r="R138" s="199"/>
    </row>
    <row r="139" spans="1:18" ht="15.75" customHeight="1">
      <c r="A139" s="694"/>
      <c r="B139" s="697"/>
      <c r="C139" s="200">
        <v>2</v>
      </c>
      <c r="D139" s="702"/>
      <c r="E139" s="669"/>
      <c r="F139" s="669"/>
      <c r="G139" s="200"/>
      <c r="H139" s="202"/>
      <c r="I139" s="203"/>
      <c r="J139" s="200"/>
      <c r="K139" s="682"/>
      <c r="L139" s="683"/>
      <c r="O139" s="199"/>
      <c r="P139" s="430"/>
      <c r="Q139" s="430"/>
      <c r="R139" s="199"/>
    </row>
    <row r="140" spans="1:18" ht="15.75" customHeight="1">
      <c r="A140" s="694"/>
      <c r="B140" s="697"/>
      <c r="C140" s="200">
        <v>3</v>
      </c>
      <c r="D140" s="682"/>
      <c r="E140" s="689"/>
      <c r="F140" s="683"/>
      <c r="G140" s="200"/>
      <c r="H140" s="202"/>
      <c r="I140" s="203"/>
      <c r="J140" s="200"/>
      <c r="K140" s="682"/>
      <c r="L140" s="683"/>
      <c r="N140" s="433"/>
      <c r="O140" s="199"/>
      <c r="P140" s="430"/>
      <c r="Q140" s="430"/>
      <c r="R140" s="199"/>
    </row>
    <row r="141" spans="1:18" ht="15.75" customHeight="1">
      <c r="A141" s="694"/>
      <c r="B141" s="697"/>
      <c r="C141" s="200">
        <v>4</v>
      </c>
      <c r="D141" s="682"/>
      <c r="E141" s="689"/>
      <c r="F141" s="683"/>
      <c r="G141" s="200"/>
      <c r="H141" s="202"/>
      <c r="I141" s="203"/>
      <c r="J141" s="200"/>
      <c r="K141" s="682"/>
      <c r="L141" s="683"/>
      <c r="O141" s="199"/>
      <c r="P141" s="430"/>
      <c r="Q141" s="430"/>
      <c r="R141" s="199"/>
    </row>
    <row r="142" spans="1:18" ht="15.75" customHeight="1">
      <c r="A142" s="694"/>
      <c r="B142" s="697"/>
      <c r="C142" s="200">
        <v>5</v>
      </c>
      <c r="D142" s="682"/>
      <c r="E142" s="689"/>
      <c r="F142" s="683"/>
      <c r="G142" s="200"/>
      <c r="H142" s="202"/>
      <c r="I142" s="203"/>
      <c r="J142" s="200"/>
      <c r="K142" s="682"/>
      <c r="L142" s="683"/>
      <c r="N142" s="178"/>
      <c r="O142" s="199"/>
      <c r="P142" s="430"/>
      <c r="Q142" s="430"/>
      <c r="R142" s="199"/>
    </row>
    <row r="143" spans="1:18" ht="15.75" customHeight="1">
      <c r="A143" s="694"/>
      <c r="B143" s="697"/>
      <c r="C143" s="204" t="s">
        <v>206</v>
      </c>
      <c r="D143" s="682"/>
      <c r="E143" s="689"/>
      <c r="F143" s="683"/>
      <c r="G143" s="200"/>
      <c r="H143" s="202"/>
      <c r="I143" s="203"/>
      <c r="J143" s="200"/>
      <c r="K143" s="682"/>
      <c r="L143" s="683"/>
      <c r="N143" s="433"/>
      <c r="O143" s="199"/>
      <c r="P143" s="430"/>
      <c r="Q143" s="430"/>
      <c r="R143" s="199"/>
    </row>
    <row r="144" spans="1:18" ht="15.75" customHeight="1">
      <c r="A144" s="694"/>
      <c r="B144" s="697"/>
      <c r="C144" s="204" t="s">
        <v>211</v>
      </c>
      <c r="D144" s="682"/>
      <c r="E144" s="689"/>
      <c r="F144" s="683"/>
      <c r="G144" s="200"/>
      <c r="H144" s="202"/>
      <c r="I144" s="203"/>
      <c r="J144" s="200"/>
      <c r="K144" s="682"/>
      <c r="L144" s="683"/>
      <c r="O144" s="199"/>
      <c r="P144" s="430"/>
      <c r="Q144" s="430"/>
      <c r="R144" s="199"/>
    </row>
    <row r="145" spans="1:18" ht="15.75" customHeight="1">
      <c r="A145" s="694"/>
      <c r="B145" s="697"/>
      <c r="C145" s="204" t="s">
        <v>207</v>
      </c>
      <c r="D145" s="682"/>
      <c r="E145" s="689"/>
      <c r="F145" s="683"/>
      <c r="G145" s="200"/>
      <c r="H145" s="202"/>
      <c r="I145" s="203"/>
      <c r="J145" s="200"/>
      <c r="K145" s="682"/>
      <c r="L145" s="683"/>
      <c r="O145" s="199"/>
      <c r="P145" s="430"/>
      <c r="Q145" s="430"/>
      <c r="R145" s="199"/>
    </row>
    <row r="146" spans="1:18" ht="15.75" customHeight="1">
      <c r="A146" s="694"/>
      <c r="B146" s="697"/>
      <c r="C146" s="204" t="s">
        <v>212</v>
      </c>
      <c r="D146" s="682"/>
      <c r="E146" s="689"/>
      <c r="F146" s="683"/>
      <c r="G146" s="200"/>
      <c r="H146" s="202"/>
      <c r="I146" s="203"/>
      <c r="J146" s="200"/>
      <c r="K146" s="682"/>
      <c r="L146" s="683"/>
      <c r="M146" s="99"/>
      <c r="O146" s="199"/>
      <c r="P146" s="430"/>
      <c r="Q146" s="430"/>
      <c r="R146" s="199"/>
    </row>
    <row r="147" spans="1:18" ht="15.75" customHeight="1">
      <c r="A147" s="695"/>
      <c r="B147" s="698"/>
      <c r="C147" s="204" t="s">
        <v>213</v>
      </c>
      <c r="D147" s="682"/>
      <c r="E147" s="689"/>
      <c r="F147" s="683"/>
      <c r="G147" s="200"/>
      <c r="H147" s="202"/>
      <c r="I147" s="203"/>
      <c r="J147" s="200"/>
      <c r="K147" s="682"/>
      <c r="L147" s="683"/>
      <c r="M147" s="99"/>
      <c r="N147" s="199"/>
      <c r="O147" s="199"/>
      <c r="P147" s="430"/>
      <c r="Q147" s="430"/>
      <c r="R147" s="199"/>
    </row>
    <row r="148" spans="1:18" s="104" customFormat="1" ht="15.75" customHeight="1">
      <c r="A148" s="690" t="s">
        <v>190</v>
      </c>
      <c r="B148" s="691"/>
      <c r="C148" s="207" t="s">
        <v>47</v>
      </c>
      <c r="D148" s="690" t="s">
        <v>12</v>
      </c>
      <c r="E148" s="692"/>
      <c r="F148" s="691"/>
      <c r="G148" s="207" t="s">
        <v>46</v>
      </c>
      <c r="H148" s="207" t="s">
        <v>388</v>
      </c>
      <c r="I148" s="207" t="s">
        <v>389</v>
      </c>
      <c r="J148" s="160" t="s">
        <v>334</v>
      </c>
      <c r="K148" s="690" t="s">
        <v>51</v>
      </c>
      <c r="L148" s="691"/>
      <c r="M148" s="128"/>
      <c r="N148" s="189"/>
      <c r="O148" s="199"/>
      <c r="P148" s="430"/>
      <c r="Q148" s="430"/>
      <c r="R148" s="199"/>
    </row>
    <row r="149" spans="1:18" ht="15.75" customHeight="1">
      <c r="A149" s="693">
        <v>8</v>
      </c>
      <c r="B149" s="696" t="s">
        <v>393</v>
      </c>
      <c r="C149" s="200">
        <v>1</v>
      </c>
      <c r="D149" s="682"/>
      <c r="E149" s="689"/>
      <c r="F149" s="683"/>
      <c r="G149" s="200"/>
      <c r="H149" s="202"/>
      <c r="I149" s="203"/>
      <c r="J149" s="200"/>
      <c r="K149" s="682"/>
      <c r="L149" s="683"/>
      <c r="M149" s="99"/>
      <c r="O149" s="199"/>
      <c r="P149" s="430"/>
      <c r="Q149" s="430"/>
      <c r="R149" s="199"/>
    </row>
    <row r="150" spans="1:18" ht="15.75" customHeight="1">
      <c r="A150" s="694"/>
      <c r="B150" s="697"/>
      <c r="C150" s="200">
        <v>2</v>
      </c>
      <c r="D150" s="682"/>
      <c r="E150" s="689"/>
      <c r="F150" s="683"/>
      <c r="G150" s="200"/>
      <c r="H150" s="202"/>
      <c r="I150" s="203"/>
      <c r="J150" s="200"/>
      <c r="K150" s="682"/>
      <c r="L150" s="683"/>
      <c r="M150" s="99"/>
      <c r="O150" s="178"/>
      <c r="P150" s="429"/>
      <c r="Q150" s="429"/>
      <c r="R150" s="178"/>
    </row>
    <row r="151" spans="1:18" ht="15.75" customHeight="1">
      <c r="A151" s="694"/>
      <c r="B151" s="697"/>
      <c r="C151" s="200">
        <v>3</v>
      </c>
      <c r="D151" s="682"/>
      <c r="E151" s="689"/>
      <c r="F151" s="683"/>
      <c r="G151" s="200"/>
      <c r="H151" s="202"/>
      <c r="I151" s="203"/>
      <c r="J151" s="200"/>
      <c r="K151" s="682"/>
      <c r="L151" s="683"/>
      <c r="M151" s="99"/>
      <c r="O151" s="199"/>
      <c r="P151" s="430"/>
      <c r="Q151" s="430"/>
      <c r="R151" s="199"/>
    </row>
    <row r="152" spans="1:18" ht="15.75" customHeight="1">
      <c r="A152" s="694"/>
      <c r="B152" s="697"/>
      <c r="C152" s="200">
        <v>4</v>
      </c>
      <c r="D152" s="682"/>
      <c r="E152" s="689"/>
      <c r="F152" s="683"/>
      <c r="G152" s="200"/>
      <c r="H152" s="202"/>
      <c r="I152" s="203"/>
      <c r="J152" s="200"/>
      <c r="K152" s="682"/>
      <c r="L152" s="683"/>
      <c r="M152" s="99"/>
      <c r="O152" s="199"/>
      <c r="P152" s="430"/>
      <c r="Q152" s="430"/>
      <c r="R152" s="199"/>
    </row>
    <row r="153" spans="1:18" ht="15.75" customHeight="1">
      <c r="A153" s="694"/>
      <c r="B153" s="697"/>
      <c r="C153" s="200">
        <v>5</v>
      </c>
      <c r="D153" s="682"/>
      <c r="E153" s="689"/>
      <c r="F153" s="683"/>
      <c r="G153" s="200"/>
      <c r="H153" s="202"/>
      <c r="I153" s="203"/>
      <c r="J153" s="200"/>
      <c r="K153" s="682"/>
      <c r="L153" s="683"/>
      <c r="M153" s="99"/>
      <c r="O153" s="199"/>
      <c r="P153" s="430"/>
      <c r="Q153" s="430"/>
      <c r="R153" s="199"/>
    </row>
    <row r="154" spans="1:18" ht="15.75" customHeight="1">
      <c r="A154" s="694"/>
      <c r="B154" s="697"/>
      <c r="C154" s="204" t="s">
        <v>206</v>
      </c>
      <c r="D154" s="682"/>
      <c r="E154" s="689"/>
      <c r="F154" s="683"/>
      <c r="G154" s="200"/>
      <c r="H154" s="202"/>
      <c r="I154" s="203"/>
      <c r="J154" s="200"/>
      <c r="K154" s="682"/>
      <c r="L154" s="683"/>
      <c r="M154" s="99"/>
      <c r="O154" s="199"/>
      <c r="P154" s="430"/>
      <c r="Q154" s="430"/>
      <c r="R154" s="199"/>
    </row>
    <row r="155" spans="1:18" ht="15.75" customHeight="1">
      <c r="A155" s="694"/>
      <c r="B155" s="697"/>
      <c r="C155" s="204" t="s">
        <v>211</v>
      </c>
      <c r="D155" s="682"/>
      <c r="E155" s="689"/>
      <c r="F155" s="683"/>
      <c r="G155" s="200"/>
      <c r="H155" s="202"/>
      <c r="I155" s="203"/>
      <c r="J155" s="200"/>
      <c r="K155" s="682"/>
      <c r="L155" s="683"/>
      <c r="M155" s="99"/>
      <c r="O155" s="199"/>
      <c r="P155" s="430"/>
      <c r="Q155" s="430"/>
      <c r="R155" s="199"/>
    </row>
    <row r="156" spans="1:18" ht="15.75" customHeight="1">
      <c r="A156" s="694"/>
      <c r="B156" s="697"/>
      <c r="C156" s="204" t="s">
        <v>207</v>
      </c>
      <c r="D156" s="682"/>
      <c r="E156" s="689"/>
      <c r="F156" s="683"/>
      <c r="G156" s="200"/>
      <c r="H156" s="202"/>
      <c r="I156" s="203"/>
      <c r="J156" s="200"/>
      <c r="K156" s="682"/>
      <c r="L156" s="683"/>
      <c r="M156" s="99"/>
      <c r="O156" s="199"/>
      <c r="P156" s="430"/>
      <c r="Q156" s="430"/>
      <c r="R156" s="199"/>
    </row>
    <row r="157" spans="1:18" ht="15.75" customHeight="1">
      <c r="A157" s="694"/>
      <c r="B157" s="697"/>
      <c r="C157" s="204" t="s">
        <v>212</v>
      </c>
      <c r="D157" s="682"/>
      <c r="E157" s="689"/>
      <c r="F157" s="683"/>
      <c r="G157" s="200"/>
      <c r="H157" s="202"/>
      <c r="I157" s="203"/>
      <c r="J157" s="200"/>
      <c r="K157" s="682"/>
      <c r="L157" s="683"/>
      <c r="M157" s="99"/>
      <c r="O157" s="199"/>
      <c r="P157" s="430"/>
      <c r="Q157" s="430"/>
      <c r="R157" s="199"/>
    </row>
    <row r="158" spans="1:18" ht="15.75" customHeight="1">
      <c r="A158" s="695"/>
      <c r="B158" s="698"/>
      <c r="C158" s="204" t="s">
        <v>213</v>
      </c>
      <c r="D158" s="682"/>
      <c r="E158" s="689"/>
      <c r="F158" s="683"/>
      <c r="G158" s="200"/>
      <c r="H158" s="202"/>
      <c r="I158" s="203"/>
      <c r="J158" s="200"/>
      <c r="K158" s="682"/>
      <c r="L158" s="683"/>
      <c r="M158" s="99"/>
      <c r="O158" s="199"/>
      <c r="P158" s="430"/>
      <c r="Q158" s="430"/>
      <c r="R158" s="199"/>
    </row>
  </sheetData>
  <mergeCells count="313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D69:F69"/>
    <mergeCell ref="K69:L69"/>
    <mergeCell ref="D41:F41"/>
    <mergeCell ref="K41:L41"/>
    <mergeCell ref="D42:F42"/>
    <mergeCell ref="K51:L51"/>
    <mergeCell ref="A55:L56"/>
    <mergeCell ref="A57:A58"/>
    <mergeCell ref="A59:B59"/>
    <mergeCell ref="D59:F59"/>
    <mergeCell ref="K59:L59"/>
    <mergeCell ref="D52:F52"/>
    <mergeCell ref="K52:L52"/>
    <mergeCell ref="K45:L45"/>
    <mergeCell ref="D53:F53"/>
    <mergeCell ref="K53:L53"/>
    <mergeCell ref="D54:F54"/>
    <mergeCell ref="K54:L54"/>
    <mergeCell ref="A44:B44"/>
    <mergeCell ref="D44:F44"/>
    <mergeCell ref="K44:L44"/>
    <mergeCell ref="A45:A54"/>
    <mergeCell ref="B45:B54"/>
    <mergeCell ref="D45:F45"/>
    <mergeCell ref="D46:F46"/>
    <mergeCell ref="K46:L46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K42:L42"/>
    <mergeCell ref="D43:F43"/>
    <mergeCell ref="K43:L43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27:F27"/>
    <mergeCell ref="K27:L27"/>
    <mergeCell ref="D28:F28"/>
    <mergeCell ref="K28:L28"/>
    <mergeCell ref="K11:L11"/>
    <mergeCell ref="D12:F12"/>
    <mergeCell ref="K12:L12"/>
    <mergeCell ref="D13:F13"/>
    <mergeCell ref="K13:L13"/>
    <mergeCell ref="D14:F14"/>
    <mergeCell ref="K16:L16"/>
    <mergeCell ref="D17:F17"/>
    <mergeCell ref="K17:L17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K24:L24"/>
    <mergeCell ref="D10:F10"/>
    <mergeCell ref="K10:L10"/>
    <mergeCell ref="D11:F11"/>
    <mergeCell ref="K144:L144"/>
    <mergeCell ref="D145:F145"/>
    <mergeCell ref="K145:L145"/>
    <mergeCell ref="D146:F1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D77:F77"/>
    <mergeCell ref="K77:L77"/>
    <mergeCell ref="D78:F78"/>
    <mergeCell ref="K78:L78"/>
    <mergeCell ref="D79:F79"/>
    <mergeCell ref="K79:L79"/>
    <mergeCell ref="D80:F80"/>
    <mergeCell ref="K80:L80"/>
    <mergeCell ref="A81:L82"/>
    <mergeCell ref="A83:A84"/>
    <mergeCell ref="A85:B85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R158"/>
  <sheetViews>
    <sheetView view="pageBreakPreview" topLeftCell="A109" zoomScale="115" zoomScaleNormal="60" zoomScaleSheetLayoutView="115" workbookViewId="0">
      <selection activeCell="J138" sqref="J138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7" t="s">
        <v>386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99"/>
    </row>
    <row r="2" spans="1:18" s="100" customFormat="1" ht="15.75" customHeight="1">
      <c r="A2" s="507"/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N2" s="190"/>
      <c r="O2" s="190"/>
      <c r="P2" s="190"/>
      <c r="Q2" s="190"/>
      <c r="R2" s="190"/>
    </row>
    <row r="3" spans="1:18" s="189" customFormat="1" ht="15.75" customHeight="1">
      <c r="A3" s="674" t="s">
        <v>558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</row>
    <row r="4" spans="1:18" s="190" customFormat="1" ht="15.75" customHeight="1">
      <c r="A4" s="674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</row>
    <row r="5" spans="1:18" s="106" customFormat="1" ht="16.399999999999999" customHeight="1">
      <c r="A5" s="693" t="s">
        <v>164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91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99999999999999" customHeight="1">
      <c r="A6" s="695"/>
      <c r="B6" s="195" t="s">
        <v>208</v>
      </c>
      <c r="C6" s="195" t="s">
        <v>157</v>
      </c>
      <c r="D6" s="195" t="s">
        <v>209</v>
      </c>
      <c r="E6" s="195" t="s">
        <v>158</v>
      </c>
      <c r="F6" s="195" t="s">
        <v>139</v>
      </c>
      <c r="G6" s="196" t="s">
        <v>137</v>
      </c>
      <c r="H6" s="197" t="s">
        <v>210</v>
      </c>
      <c r="I6" s="196" t="s">
        <v>387</v>
      </c>
      <c r="J6" s="209" t="s">
        <v>143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99" t="s">
        <v>190</v>
      </c>
      <c r="B7" s="700"/>
      <c r="C7" s="160" t="s">
        <v>47</v>
      </c>
      <c r="D7" s="699" t="s">
        <v>12</v>
      </c>
      <c r="E7" s="701"/>
      <c r="F7" s="700"/>
      <c r="G7" s="160" t="s">
        <v>46</v>
      </c>
      <c r="H7" s="160" t="s">
        <v>388</v>
      </c>
      <c r="I7" s="160" t="s">
        <v>389</v>
      </c>
      <c r="J7" s="160" t="s">
        <v>334</v>
      </c>
      <c r="K7" s="699" t="s">
        <v>51</v>
      </c>
      <c r="L7" s="700"/>
      <c r="M7" s="127"/>
      <c r="N7" s="189"/>
      <c r="O7" s="199"/>
      <c r="P7" s="430"/>
      <c r="Q7" s="430"/>
      <c r="R7" s="199"/>
    </row>
    <row r="8" spans="1:18" ht="15.75" customHeight="1">
      <c r="A8" s="693">
        <f>J5</f>
        <v>9</v>
      </c>
      <c r="B8" s="696" t="str">
        <f>J6</f>
        <v>微波小吃</v>
      </c>
      <c r="C8" s="200">
        <v>1</v>
      </c>
      <c r="D8" s="682" t="s">
        <v>364</v>
      </c>
      <c r="E8" s="689"/>
      <c r="F8" s="683"/>
      <c r="G8" s="200">
        <v>13</v>
      </c>
      <c r="H8" s="202">
        <v>1079.6038104741228</v>
      </c>
      <c r="I8" s="203">
        <v>83.046446959547907</v>
      </c>
      <c r="J8" s="376">
        <v>1.5286545614259239E-3</v>
      </c>
      <c r="K8" s="682" t="s">
        <v>464</v>
      </c>
      <c r="L8" s="683"/>
      <c r="O8" s="199"/>
      <c r="P8" s="430"/>
      <c r="Q8" s="430"/>
      <c r="R8" s="199"/>
    </row>
    <row r="9" spans="1:18" ht="15.75" customHeight="1">
      <c r="A9" s="694"/>
      <c r="B9" s="697"/>
      <c r="C9" s="200">
        <v>2</v>
      </c>
      <c r="D9" s="682" t="s">
        <v>469</v>
      </c>
      <c r="E9" s="689"/>
      <c r="F9" s="683"/>
      <c r="G9" s="200">
        <v>22</v>
      </c>
      <c r="H9" s="202">
        <v>1606.8546076304967</v>
      </c>
      <c r="I9" s="203">
        <v>73.038845801386202</v>
      </c>
      <c r="J9" s="376">
        <v>2.8535765840828731E-2</v>
      </c>
      <c r="K9" s="682" t="s">
        <v>464</v>
      </c>
      <c r="L9" s="683"/>
      <c r="O9" s="199"/>
      <c r="P9" s="430"/>
      <c r="Q9" s="430"/>
      <c r="R9" s="199"/>
    </row>
    <row r="10" spans="1:18" ht="15.75" customHeight="1">
      <c r="A10" s="694"/>
      <c r="B10" s="697"/>
      <c r="C10" s="200">
        <v>3</v>
      </c>
      <c r="D10" s="682"/>
      <c r="E10" s="689"/>
      <c r="F10" s="683"/>
      <c r="G10" s="200"/>
      <c r="H10" s="202"/>
      <c r="I10" s="203"/>
      <c r="J10" s="200"/>
      <c r="K10" s="682"/>
      <c r="L10" s="683"/>
      <c r="O10" s="199"/>
      <c r="P10" s="430"/>
      <c r="Q10" s="430"/>
      <c r="R10" s="199"/>
    </row>
    <row r="11" spans="1:18" ht="15.75" customHeight="1">
      <c r="A11" s="694"/>
      <c r="B11" s="697"/>
      <c r="C11" s="200">
        <v>4</v>
      </c>
      <c r="D11" s="682"/>
      <c r="E11" s="689"/>
      <c r="F11" s="683"/>
      <c r="G11" s="202"/>
      <c r="H11" s="202"/>
      <c r="I11" s="203"/>
      <c r="J11" s="200"/>
      <c r="K11" s="682"/>
      <c r="L11" s="683"/>
      <c r="O11" s="199"/>
      <c r="P11" s="430"/>
      <c r="Q11" s="430"/>
      <c r="R11" s="199"/>
    </row>
    <row r="12" spans="1:18" ht="15.75" customHeight="1">
      <c r="A12" s="694"/>
      <c r="B12" s="697"/>
      <c r="C12" s="200">
        <v>5</v>
      </c>
      <c r="D12" s="682"/>
      <c r="E12" s="689"/>
      <c r="F12" s="683"/>
      <c r="G12" s="200"/>
      <c r="H12" s="202"/>
      <c r="I12" s="203"/>
      <c r="J12" s="200"/>
      <c r="K12" s="682"/>
      <c r="L12" s="683"/>
      <c r="O12" s="199"/>
      <c r="P12" s="430"/>
      <c r="Q12" s="430"/>
      <c r="R12" s="199"/>
    </row>
    <row r="13" spans="1:18" ht="15.75" customHeight="1">
      <c r="A13" s="694"/>
      <c r="B13" s="697"/>
      <c r="C13" s="204" t="s">
        <v>206</v>
      </c>
      <c r="D13" s="682"/>
      <c r="E13" s="689"/>
      <c r="F13" s="683"/>
      <c r="G13" s="200"/>
      <c r="H13" s="202"/>
      <c r="I13" s="203"/>
      <c r="J13" s="200"/>
      <c r="K13" s="682"/>
      <c r="L13" s="683"/>
      <c r="O13" s="199"/>
      <c r="P13" s="430"/>
      <c r="Q13" s="430"/>
      <c r="R13" s="199"/>
    </row>
    <row r="14" spans="1:18" ht="15.75" customHeight="1">
      <c r="A14" s="694"/>
      <c r="B14" s="697"/>
      <c r="C14" s="204" t="s">
        <v>211</v>
      </c>
      <c r="D14" s="682"/>
      <c r="E14" s="689"/>
      <c r="F14" s="683"/>
      <c r="G14" s="200"/>
      <c r="H14" s="202"/>
      <c r="I14" s="203"/>
      <c r="J14" s="200"/>
      <c r="K14" s="682"/>
      <c r="L14" s="683"/>
      <c r="N14" s="178"/>
      <c r="O14" s="178"/>
      <c r="P14" s="429"/>
      <c r="Q14" s="429"/>
      <c r="R14" s="178"/>
    </row>
    <row r="15" spans="1:18" ht="15.75" customHeight="1">
      <c r="A15" s="694"/>
      <c r="B15" s="697"/>
      <c r="C15" s="204" t="s">
        <v>207</v>
      </c>
      <c r="D15" s="682"/>
      <c r="E15" s="689"/>
      <c r="F15" s="683"/>
      <c r="G15" s="200"/>
      <c r="H15" s="202"/>
      <c r="I15" s="203"/>
      <c r="J15" s="200"/>
      <c r="K15" s="682"/>
      <c r="L15" s="683"/>
      <c r="O15" s="199"/>
      <c r="P15" s="430"/>
      <c r="Q15" s="430"/>
      <c r="R15" s="199"/>
    </row>
    <row r="16" spans="1:18" ht="15.75" customHeight="1">
      <c r="A16" s="694"/>
      <c r="B16" s="697"/>
      <c r="C16" s="204" t="s">
        <v>212</v>
      </c>
      <c r="D16" s="682"/>
      <c r="E16" s="689"/>
      <c r="F16" s="683"/>
      <c r="G16" s="200"/>
      <c r="H16" s="202"/>
      <c r="I16" s="203"/>
      <c r="J16" s="200"/>
      <c r="K16" s="682"/>
      <c r="L16" s="683"/>
      <c r="M16" s="99"/>
      <c r="O16" s="199"/>
      <c r="P16" s="430"/>
      <c r="Q16" s="430"/>
      <c r="R16" s="199"/>
    </row>
    <row r="17" spans="1:18" ht="15.75" customHeight="1">
      <c r="A17" s="695"/>
      <c r="B17" s="698"/>
      <c r="C17" s="204" t="s">
        <v>213</v>
      </c>
      <c r="D17" s="682"/>
      <c r="E17" s="689"/>
      <c r="F17" s="683"/>
      <c r="G17" s="200"/>
      <c r="H17" s="202"/>
      <c r="I17" s="203"/>
      <c r="J17" s="200"/>
      <c r="K17" s="682"/>
      <c r="L17" s="683"/>
      <c r="M17" s="99"/>
      <c r="O17" s="199"/>
      <c r="P17" s="430"/>
      <c r="Q17" s="430"/>
      <c r="R17" s="199"/>
    </row>
    <row r="18" spans="1:18" s="104" customFormat="1" ht="15.75" customHeight="1">
      <c r="A18" s="690" t="s">
        <v>190</v>
      </c>
      <c r="B18" s="691"/>
      <c r="C18" s="207" t="s">
        <v>47</v>
      </c>
      <c r="D18" s="690" t="s">
        <v>12</v>
      </c>
      <c r="E18" s="692"/>
      <c r="F18" s="691"/>
      <c r="G18" s="207" t="s">
        <v>46</v>
      </c>
      <c r="H18" s="207" t="s">
        <v>388</v>
      </c>
      <c r="I18" s="207" t="s">
        <v>389</v>
      </c>
      <c r="J18" s="160" t="s">
        <v>334</v>
      </c>
      <c r="K18" s="690" t="s">
        <v>51</v>
      </c>
      <c r="L18" s="691"/>
      <c r="M18" s="128"/>
      <c r="N18" s="189"/>
      <c r="O18" s="199"/>
      <c r="P18" s="430"/>
      <c r="Q18" s="430"/>
      <c r="R18" s="199"/>
    </row>
    <row r="19" spans="1:18" ht="15.75" customHeight="1">
      <c r="A19" s="693"/>
      <c r="B19" s="696"/>
      <c r="C19" s="200">
        <v>1</v>
      </c>
      <c r="D19" s="682"/>
      <c r="E19" s="689"/>
      <c r="F19" s="683"/>
      <c r="G19" s="200"/>
      <c r="H19" s="202"/>
      <c r="I19" s="203"/>
      <c r="J19" s="200"/>
      <c r="K19" s="682"/>
      <c r="L19" s="683"/>
      <c r="M19" s="99"/>
      <c r="N19" s="199"/>
      <c r="O19" s="199"/>
      <c r="P19" s="430"/>
      <c r="Q19" s="430"/>
      <c r="R19" s="199"/>
    </row>
    <row r="20" spans="1:18" ht="15.75" customHeight="1">
      <c r="A20" s="694"/>
      <c r="B20" s="697"/>
      <c r="C20" s="200">
        <v>2</v>
      </c>
      <c r="D20" s="682"/>
      <c r="E20" s="689"/>
      <c r="F20" s="683"/>
      <c r="G20" s="200"/>
      <c r="H20" s="202"/>
      <c r="I20" s="203"/>
      <c r="J20" s="200"/>
      <c r="K20" s="682"/>
      <c r="L20" s="683"/>
      <c r="M20" s="99"/>
      <c r="O20" s="199"/>
      <c r="P20" s="430"/>
      <c r="Q20" s="430"/>
      <c r="R20" s="199"/>
    </row>
    <row r="21" spans="1:18" ht="15.75" customHeight="1">
      <c r="A21" s="694"/>
      <c r="B21" s="697"/>
      <c r="C21" s="200">
        <v>3</v>
      </c>
      <c r="D21" s="682"/>
      <c r="E21" s="689"/>
      <c r="F21" s="683"/>
      <c r="G21" s="200"/>
      <c r="H21" s="202"/>
      <c r="I21" s="203"/>
      <c r="J21" s="200"/>
      <c r="K21" s="682"/>
      <c r="L21" s="683"/>
      <c r="M21" s="99"/>
      <c r="O21" s="199"/>
      <c r="P21" s="430"/>
      <c r="Q21" s="430"/>
      <c r="R21" s="199"/>
    </row>
    <row r="22" spans="1:18" ht="15.75" customHeight="1">
      <c r="A22" s="694"/>
      <c r="B22" s="697"/>
      <c r="C22" s="200">
        <v>4</v>
      </c>
      <c r="D22" s="682"/>
      <c r="E22" s="689"/>
      <c r="F22" s="683"/>
      <c r="G22" s="200"/>
      <c r="H22" s="202"/>
      <c r="I22" s="203"/>
      <c r="J22" s="200"/>
      <c r="K22" s="682"/>
      <c r="L22" s="683"/>
      <c r="M22" s="99"/>
      <c r="O22" s="199"/>
      <c r="P22" s="430"/>
      <c r="Q22" s="430"/>
      <c r="R22" s="199"/>
    </row>
    <row r="23" spans="1:18" ht="15.75" customHeight="1">
      <c r="A23" s="694"/>
      <c r="B23" s="697"/>
      <c r="C23" s="200">
        <v>5</v>
      </c>
      <c r="D23" s="682"/>
      <c r="E23" s="689"/>
      <c r="F23" s="683"/>
      <c r="G23" s="200"/>
      <c r="H23" s="202"/>
      <c r="I23" s="203"/>
      <c r="J23" s="200"/>
      <c r="K23" s="682"/>
      <c r="L23" s="683"/>
      <c r="M23" s="99"/>
      <c r="O23" s="199"/>
      <c r="P23" s="430"/>
      <c r="Q23" s="430"/>
      <c r="R23" s="199"/>
    </row>
    <row r="24" spans="1:18" ht="15.75" customHeight="1">
      <c r="A24" s="694"/>
      <c r="B24" s="697"/>
      <c r="C24" s="204" t="s">
        <v>206</v>
      </c>
      <c r="D24" s="682"/>
      <c r="E24" s="689"/>
      <c r="F24" s="683"/>
      <c r="G24" s="200"/>
      <c r="H24" s="202"/>
      <c r="I24" s="203"/>
      <c r="J24" s="200"/>
      <c r="K24" s="682"/>
      <c r="L24" s="683"/>
      <c r="M24" s="99"/>
      <c r="O24" s="199"/>
      <c r="P24" s="430"/>
      <c r="Q24" s="430"/>
      <c r="R24" s="199"/>
    </row>
    <row r="25" spans="1:18" ht="15.75" customHeight="1">
      <c r="A25" s="694"/>
      <c r="B25" s="697"/>
      <c r="C25" s="204" t="s">
        <v>211</v>
      </c>
      <c r="D25" s="682"/>
      <c r="E25" s="689"/>
      <c r="F25" s="683"/>
      <c r="G25" s="200"/>
      <c r="H25" s="202"/>
      <c r="I25" s="203"/>
      <c r="J25" s="200"/>
      <c r="K25" s="682"/>
      <c r="L25" s="683"/>
      <c r="M25" s="99"/>
      <c r="O25" s="199"/>
      <c r="P25" s="430"/>
      <c r="Q25" s="430"/>
      <c r="R25" s="199"/>
    </row>
    <row r="26" spans="1:18" ht="15.75" customHeight="1">
      <c r="A26" s="694"/>
      <c r="B26" s="697"/>
      <c r="C26" s="204" t="s">
        <v>207</v>
      </c>
      <c r="D26" s="682"/>
      <c r="E26" s="689"/>
      <c r="F26" s="683"/>
      <c r="G26" s="200"/>
      <c r="H26" s="202"/>
      <c r="I26" s="203"/>
      <c r="J26" s="200"/>
      <c r="K26" s="682"/>
      <c r="L26" s="683"/>
      <c r="M26" s="99"/>
      <c r="O26" s="199"/>
      <c r="P26" s="430"/>
      <c r="Q26" s="430"/>
      <c r="R26" s="199"/>
    </row>
    <row r="27" spans="1:18" ht="15.75" customHeight="1">
      <c r="A27" s="694"/>
      <c r="B27" s="697"/>
      <c r="C27" s="204" t="s">
        <v>212</v>
      </c>
      <c r="D27" s="682"/>
      <c r="E27" s="689"/>
      <c r="F27" s="683"/>
      <c r="G27" s="200"/>
      <c r="H27" s="202"/>
      <c r="I27" s="203"/>
      <c r="J27" s="200"/>
      <c r="K27" s="682"/>
      <c r="L27" s="683"/>
      <c r="M27" s="99"/>
      <c r="O27" s="199"/>
      <c r="P27" s="430"/>
      <c r="Q27" s="430"/>
      <c r="R27" s="199"/>
    </row>
    <row r="28" spans="1:18" ht="15.75" customHeight="1">
      <c r="A28" s="695"/>
      <c r="B28" s="698"/>
      <c r="C28" s="204" t="s">
        <v>213</v>
      </c>
      <c r="D28" s="682"/>
      <c r="E28" s="689"/>
      <c r="F28" s="683"/>
      <c r="G28" s="200"/>
      <c r="H28" s="202"/>
      <c r="I28" s="203"/>
      <c r="J28" s="200"/>
      <c r="K28" s="682"/>
      <c r="L28" s="683"/>
      <c r="M28" s="99"/>
      <c r="O28" s="199"/>
      <c r="P28" s="430"/>
      <c r="Q28" s="430"/>
      <c r="R28" s="199"/>
    </row>
    <row r="29" spans="1:18" s="189" customFormat="1" ht="15.75" customHeight="1">
      <c r="A29" s="674" t="s">
        <v>617</v>
      </c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</row>
    <row r="30" spans="1:18" s="190" customFormat="1" ht="15.75" customHeight="1">
      <c r="A30" s="674"/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</row>
    <row r="31" spans="1:18" s="106" customFormat="1" ht="16.399999999999999" customHeight="1">
      <c r="A31" s="693" t="s">
        <v>164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91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99999999999999" customHeight="1">
      <c r="A32" s="695"/>
      <c r="B32" s="195" t="s">
        <v>208</v>
      </c>
      <c r="C32" s="195" t="s">
        <v>157</v>
      </c>
      <c r="D32" s="195" t="s">
        <v>209</v>
      </c>
      <c r="E32" s="195" t="s">
        <v>158</v>
      </c>
      <c r="F32" s="195" t="s">
        <v>139</v>
      </c>
      <c r="G32" s="196" t="s">
        <v>137</v>
      </c>
      <c r="H32" s="197" t="s">
        <v>210</v>
      </c>
      <c r="I32" s="196" t="s">
        <v>387</v>
      </c>
      <c r="J32" s="209" t="s">
        <v>143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99" t="s">
        <v>190</v>
      </c>
      <c r="B33" s="700"/>
      <c r="C33" s="160" t="s">
        <v>47</v>
      </c>
      <c r="D33" s="699" t="s">
        <v>12</v>
      </c>
      <c r="E33" s="701"/>
      <c r="F33" s="700"/>
      <c r="G33" s="160" t="s">
        <v>46</v>
      </c>
      <c r="H33" s="160" t="s">
        <v>388</v>
      </c>
      <c r="I33" s="160" t="s">
        <v>389</v>
      </c>
      <c r="J33" s="160" t="s">
        <v>334</v>
      </c>
      <c r="K33" s="699" t="s">
        <v>51</v>
      </c>
      <c r="L33" s="700"/>
      <c r="M33" s="127"/>
      <c r="N33" s="189"/>
      <c r="O33" s="199"/>
      <c r="P33" s="430"/>
      <c r="Q33" s="430"/>
      <c r="R33" s="199"/>
    </row>
    <row r="34" spans="1:18" ht="15.75" customHeight="1">
      <c r="A34" s="693">
        <f>J31</f>
        <v>9</v>
      </c>
      <c r="B34" s="696" t="str">
        <f>J32</f>
        <v>微波小吃</v>
      </c>
      <c r="C34" s="200">
        <v>1</v>
      </c>
      <c r="D34" s="682" t="s">
        <v>648</v>
      </c>
      <c r="E34" s="689"/>
      <c r="F34" s="683"/>
      <c r="G34" s="200">
        <v>13</v>
      </c>
      <c r="H34" s="202">
        <v>1079.6284586101483</v>
      </c>
      <c r="I34" s="203">
        <v>83.048342970011419</v>
      </c>
      <c r="J34" s="376">
        <f>I34-I8</f>
        <v>1.8960104635112884E-3</v>
      </c>
      <c r="K34" s="678" t="s">
        <v>464</v>
      </c>
      <c r="L34" s="679"/>
      <c r="O34" s="199"/>
      <c r="P34" s="430"/>
      <c r="Q34" s="430"/>
      <c r="R34" s="199"/>
    </row>
    <row r="35" spans="1:18" ht="15.75" customHeight="1">
      <c r="A35" s="694"/>
      <c r="B35" s="697"/>
      <c r="C35" s="200">
        <v>2</v>
      </c>
      <c r="D35" s="682"/>
      <c r="E35" s="689"/>
      <c r="F35" s="683"/>
      <c r="G35" s="200"/>
      <c r="H35" s="202"/>
      <c r="I35" s="203"/>
      <c r="J35" s="376"/>
      <c r="K35" s="682"/>
      <c r="L35" s="683"/>
      <c r="O35" s="199"/>
      <c r="P35" s="430"/>
      <c r="Q35" s="430"/>
      <c r="R35" s="199"/>
    </row>
    <row r="36" spans="1:18" ht="15.75" customHeight="1">
      <c r="A36" s="694"/>
      <c r="B36" s="697"/>
      <c r="C36" s="200">
        <v>3</v>
      </c>
      <c r="D36" s="682"/>
      <c r="E36" s="689"/>
      <c r="F36" s="683"/>
      <c r="G36" s="200"/>
      <c r="H36" s="202"/>
      <c r="I36" s="203"/>
      <c r="J36" s="200"/>
      <c r="K36" s="682"/>
      <c r="L36" s="683"/>
      <c r="O36" s="199"/>
      <c r="P36" s="430"/>
      <c r="Q36" s="430"/>
      <c r="R36" s="199"/>
    </row>
    <row r="37" spans="1:18" ht="15.75" customHeight="1">
      <c r="A37" s="694"/>
      <c r="B37" s="697"/>
      <c r="C37" s="200">
        <v>4</v>
      </c>
      <c r="D37" s="682"/>
      <c r="E37" s="689"/>
      <c r="F37" s="683"/>
      <c r="G37" s="202"/>
      <c r="H37" s="202"/>
      <c r="I37" s="203"/>
      <c r="J37" s="200"/>
      <c r="K37" s="682"/>
      <c r="L37" s="683"/>
      <c r="O37" s="199"/>
      <c r="P37" s="430"/>
      <c r="Q37" s="430"/>
      <c r="R37" s="199"/>
    </row>
    <row r="38" spans="1:18" ht="15.75" customHeight="1">
      <c r="A38" s="694"/>
      <c r="B38" s="697"/>
      <c r="C38" s="200">
        <v>5</v>
      </c>
      <c r="D38" s="682"/>
      <c r="E38" s="689"/>
      <c r="F38" s="683"/>
      <c r="G38" s="200"/>
      <c r="H38" s="202"/>
      <c r="I38" s="203"/>
      <c r="J38" s="200"/>
      <c r="K38" s="682"/>
      <c r="L38" s="683"/>
      <c r="O38" s="199"/>
      <c r="P38" s="430"/>
      <c r="Q38" s="430"/>
      <c r="R38" s="199"/>
    </row>
    <row r="39" spans="1:18" ht="15.75" customHeight="1">
      <c r="A39" s="694"/>
      <c r="B39" s="697"/>
      <c r="C39" s="204" t="s">
        <v>206</v>
      </c>
      <c r="D39" s="682"/>
      <c r="E39" s="689"/>
      <c r="F39" s="683"/>
      <c r="G39" s="200"/>
      <c r="H39" s="202"/>
      <c r="I39" s="203"/>
      <c r="J39" s="200"/>
      <c r="K39" s="682"/>
      <c r="L39" s="683"/>
      <c r="O39" s="199"/>
      <c r="P39" s="430"/>
      <c r="Q39" s="430"/>
      <c r="R39" s="199"/>
    </row>
    <row r="40" spans="1:18" ht="15.75" customHeight="1">
      <c r="A40" s="694"/>
      <c r="B40" s="697"/>
      <c r="C40" s="204" t="s">
        <v>211</v>
      </c>
      <c r="D40" s="682"/>
      <c r="E40" s="689"/>
      <c r="F40" s="683"/>
      <c r="G40" s="200"/>
      <c r="H40" s="202"/>
      <c r="I40" s="203"/>
      <c r="J40" s="200"/>
      <c r="K40" s="682"/>
      <c r="L40" s="683"/>
      <c r="N40" s="178"/>
      <c r="O40" s="178"/>
      <c r="P40" s="429"/>
      <c r="Q40" s="429"/>
      <c r="R40" s="178"/>
    </row>
    <row r="41" spans="1:18" ht="15.75" customHeight="1">
      <c r="A41" s="694"/>
      <c r="B41" s="697"/>
      <c r="C41" s="204" t="s">
        <v>207</v>
      </c>
      <c r="D41" s="682"/>
      <c r="E41" s="689"/>
      <c r="F41" s="683"/>
      <c r="G41" s="200"/>
      <c r="H41" s="202"/>
      <c r="I41" s="203"/>
      <c r="J41" s="200"/>
      <c r="K41" s="682"/>
      <c r="L41" s="683"/>
      <c r="O41" s="199"/>
      <c r="P41" s="430"/>
      <c r="Q41" s="430"/>
      <c r="R41" s="199"/>
    </row>
    <row r="42" spans="1:18" ht="15.75" customHeight="1">
      <c r="A42" s="694"/>
      <c r="B42" s="697"/>
      <c r="C42" s="204" t="s">
        <v>212</v>
      </c>
      <c r="D42" s="682"/>
      <c r="E42" s="689"/>
      <c r="F42" s="683"/>
      <c r="G42" s="200"/>
      <c r="H42" s="202"/>
      <c r="I42" s="203"/>
      <c r="J42" s="200"/>
      <c r="K42" s="682"/>
      <c r="L42" s="683"/>
      <c r="M42" s="99"/>
      <c r="O42" s="199"/>
      <c r="P42" s="430"/>
      <c r="Q42" s="430"/>
      <c r="R42" s="199"/>
    </row>
    <row r="43" spans="1:18" ht="15.75" customHeight="1">
      <c r="A43" s="695"/>
      <c r="B43" s="698"/>
      <c r="C43" s="204" t="s">
        <v>213</v>
      </c>
      <c r="D43" s="682"/>
      <c r="E43" s="689"/>
      <c r="F43" s="683"/>
      <c r="G43" s="200"/>
      <c r="H43" s="202"/>
      <c r="I43" s="203"/>
      <c r="J43" s="200"/>
      <c r="K43" s="682"/>
      <c r="L43" s="683"/>
      <c r="M43" s="99"/>
      <c r="O43" s="199"/>
      <c r="P43" s="430"/>
      <c r="Q43" s="430"/>
      <c r="R43" s="199"/>
    </row>
    <row r="44" spans="1:18" s="104" customFormat="1" ht="15.75" customHeight="1">
      <c r="A44" s="690" t="s">
        <v>190</v>
      </c>
      <c r="B44" s="691"/>
      <c r="C44" s="207" t="s">
        <v>47</v>
      </c>
      <c r="D44" s="690" t="s">
        <v>12</v>
      </c>
      <c r="E44" s="692"/>
      <c r="F44" s="691"/>
      <c r="G44" s="207" t="s">
        <v>46</v>
      </c>
      <c r="H44" s="207" t="s">
        <v>388</v>
      </c>
      <c r="I44" s="207" t="s">
        <v>389</v>
      </c>
      <c r="J44" s="160" t="s">
        <v>334</v>
      </c>
      <c r="K44" s="690" t="s">
        <v>51</v>
      </c>
      <c r="L44" s="691"/>
      <c r="M44" s="128"/>
      <c r="N44" s="189"/>
      <c r="O44" s="199"/>
      <c r="P44" s="430"/>
      <c r="Q44" s="430"/>
      <c r="R44" s="199"/>
    </row>
    <row r="45" spans="1:18" ht="15.75" customHeight="1">
      <c r="A45" s="693"/>
      <c r="B45" s="696"/>
      <c r="C45" s="200">
        <v>1</v>
      </c>
      <c r="D45" s="682"/>
      <c r="E45" s="689"/>
      <c r="F45" s="683"/>
      <c r="G45" s="200"/>
      <c r="H45" s="202"/>
      <c r="I45" s="203"/>
      <c r="J45" s="200"/>
      <c r="K45" s="682"/>
      <c r="L45" s="683"/>
      <c r="M45" s="99"/>
      <c r="N45" s="199"/>
      <c r="O45" s="199"/>
      <c r="P45" s="430"/>
      <c r="Q45" s="430"/>
      <c r="R45" s="199"/>
    </row>
    <row r="46" spans="1:18" ht="15.75" customHeight="1">
      <c r="A46" s="694"/>
      <c r="B46" s="697"/>
      <c r="C46" s="200">
        <v>2</v>
      </c>
      <c r="D46" s="682"/>
      <c r="E46" s="689"/>
      <c r="F46" s="683"/>
      <c r="G46" s="200"/>
      <c r="H46" s="202"/>
      <c r="I46" s="203"/>
      <c r="J46" s="200"/>
      <c r="K46" s="682"/>
      <c r="L46" s="683"/>
      <c r="M46" s="99"/>
      <c r="O46" s="199"/>
      <c r="P46" s="430"/>
      <c r="Q46" s="430"/>
      <c r="R46" s="199"/>
    </row>
    <row r="47" spans="1:18" ht="15.75" customHeight="1">
      <c r="A47" s="694"/>
      <c r="B47" s="697"/>
      <c r="C47" s="200">
        <v>3</v>
      </c>
      <c r="D47" s="682"/>
      <c r="E47" s="689"/>
      <c r="F47" s="683"/>
      <c r="G47" s="200"/>
      <c r="H47" s="202"/>
      <c r="I47" s="203"/>
      <c r="J47" s="200"/>
      <c r="K47" s="682"/>
      <c r="L47" s="683"/>
      <c r="M47" s="99"/>
      <c r="O47" s="199"/>
      <c r="P47" s="430"/>
      <c r="Q47" s="430"/>
      <c r="R47" s="199"/>
    </row>
    <row r="48" spans="1:18" ht="15.75" customHeight="1">
      <c r="A48" s="694"/>
      <c r="B48" s="697"/>
      <c r="C48" s="200">
        <v>4</v>
      </c>
      <c r="D48" s="682"/>
      <c r="E48" s="689"/>
      <c r="F48" s="683"/>
      <c r="G48" s="200"/>
      <c r="H48" s="202"/>
      <c r="I48" s="203"/>
      <c r="J48" s="200"/>
      <c r="K48" s="682"/>
      <c r="L48" s="683"/>
      <c r="M48" s="99"/>
      <c r="O48" s="199"/>
      <c r="P48" s="430"/>
      <c r="Q48" s="430"/>
      <c r="R48" s="199"/>
    </row>
    <row r="49" spans="1:18" ht="15.75" customHeight="1">
      <c r="A49" s="694"/>
      <c r="B49" s="697"/>
      <c r="C49" s="200">
        <v>5</v>
      </c>
      <c r="D49" s="682"/>
      <c r="E49" s="689"/>
      <c r="F49" s="683"/>
      <c r="G49" s="200"/>
      <c r="H49" s="202"/>
      <c r="I49" s="203"/>
      <c r="J49" s="200"/>
      <c r="K49" s="682"/>
      <c r="L49" s="683"/>
      <c r="M49" s="99"/>
      <c r="O49" s="199"/>
      <c r="P49" s="430"/>
      <c r="Q49" s="430"/>
      <c r="R49" s="199"/>
    </row>
    <row r="50" spans="1:18" ht="15.75" customHeight="1">
      <c r="A50" s="694"/>
      <c r="B50" s="697"/>
      <c r="C50" s="204" t="s">
        <v>206</v>
      </c>
      <c r="D50" s="682"/>
      <c r="E50" s="689"/>
      <c r="F50" s="683"/>
      <c r="G50" s="200"/>
      <c r="H50" s="202"/>
      <c r="I50" s="203"/>
      <c r="J50" s="200"/>
      <c r="K50" s="682"/>
      <c r="L50" s="683"/>
      <c r="M50" s="99"/>
      <c r="O50" s="199"/>
      <c r="P50" s="430"/>
      <c r="Q50" s="430"/>
      <c r="R50" s="199"/>
    </row>
    <row r="51" spans="1:18" ht="15.75" customHeight="1">
      <c r="A51" s="694"/>
      <c r="B51" s="697"/>
      <c r="C51" s="204" t="s">
        <v>211</v>
      </c>
      <c r="D51" s="682"/>
      <c r="E51" s="689"/>
      <c r="F51" s="683"/>
      <c r="G51" s="200"/>
      <c r="H51" s="202"/>
      <c r="I51" s="203"/>
      <c r="J51" s="200"/>
      <c r="K51" s="682"/>
      <c r="L51" s="683"/>
      <c r="M51" s="99"/>
      <c r="O51" s="199"/>
      <c r="P51" s="430"/>
      <c r="Q51" s="430"/>
      <c r="R51" s="199"/>
    </row>
    <row r="52" spans="1:18" ht="15.75" customHeight="1">
      <c r="A52" s="694"/>
      <c r="B52" s="697"/>
      <c r="C52" s="204" t="s">
        <v>207</v>
      </c>
      <c r="D52" s="682"/>
      <c r="E52" s="689"/>
      <c r="F52" s="683"/>
      <c r="G52" s="200"/>
      <c r="H52" s="202"/>
      <c r="I52" s="203"/>
      <c r="J52" s="200"/>
      <c r="K52" s="682"/>
      <c r="L52" s="683"/>
      <c r="M52" s="99"/>
      <c r="O52" s="199"/>
      <c r="P52" s="430"/>
      <c r="Q52" s="430"/>
      <c r="R52" s="199"/>
    </row>
    <row r="53" spans="1:18" ht="15.75" customHeight="1">
      <c r="A53" s="694"/>
      <c r="B53" s="697"/>
      <c r="C53" s="204" t="s">
        <v>212</v>
      </c>
      <c r="D53" s="682"/>
      <c r="E53" s="689"/>
      <c r="F53" s="683"/>
      <c r="G53" s="200"/>
      <c r="H53" s="202"/>
      <c r="I53" s="203"/>
      <c r="J53" s="200"/>
      <c r="K53" s="682"/>
      <c r="L53" s="683"/>
      <c r="M53" s="99"/>
      <c r="O53" s="199"/>
      <c r="P53" s="430"/>
      <c r="Q53" s="430"/>
      <c r="R53" s="199"/>
    </row>
    <row r="54" spans="1:18" ht="15.75" customHeight="1">
      <c r="A54" s="695"/>
      <c r="B54" s="698"/>
      <c r="C54" s="204" t="s">
        <v>213</v>
      </c>
      <c r="D54" s="682"/>
      <c r="E54" s="689"/>
      <c r="F54" s="683"/>
      <c r="G54" s="200"/>
      <c r="H54" s="202"/>
      <c r="I54" s="203"/>
      <c r="J54" s="200"/>
      <c r="K54" s="682"/>
      <c r="L54" s="683"/>
      <c r="M54" s="99"/>
      <c r="O54" s="199"/>
      <c r="P54" s="430"/>
      <c r="Q54" s="430"/>
      <c r="R54" s="199"/>
    </row>
    <row r="55" spans="1:18" s="189" customFormat="1" ht="15.75" customHeight="1">
      <c r="A55" s="674" t="s">
        <v>694</v>
      </c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</row>
    <row r="56" spans="1:18" s="190" customFormat="1" ht="15.75" customHeight="1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</row>
    <row r="57" spans="1:18" s="106" customFormat="1" ht="16.399999999999999" customHeight="1">
      <c r="A57" s="693" t="s">
        <v>164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91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99999999999999" customHeight="1">
      <c r="A58" s="695"/>
      <c r="B58" s="195" t="s">
        <v>208</v>
      </c>
      <c r="C58" s="195" t="s">
        <v>157</v>
      </c>
      <c r="D58" s="195" t="s">
        <v>209</v>
      </c>
      <c r="E58" s="195" t="s">
        <v>158</v>
      </c>
      <c r="F58" s="195" t="s">
        <v>139</v>
      </c>
      <c r="G58" s="196" t="s">
        <v>137</v>
      </c>
      <c r="H58" s="197" t="s">
        <v>210</v>
      </c>
      <c r="I58" s="196" t="s">
        <v>387</v>
      </c>
      <c r="J58" s="209" t="s">
        <v>143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99" t="s">
        <v>190</v>
      </c>
      <c r="B59" s="700"/>
      <c r="C59" s="160" t="s">
        <v>47</v>
      </c>
      <c r="D59" s="699" t="s">
        <v>12</v>
      </c>
      <c r="E59" s="701"/>
      <c r="F59" s="700"/>
      <c r="G59" s="160" t="s">
        <v>46</v>
      </c>
      <c r="H59" s="160" t="s">
        <v>388</v>
      </c>
      <c r="I59" s="160" t="s">
        <v>389</v>
      </c>
      <c r="J59" s="160" t="s">
        <v>334</v>
      </c>
      <c r="K59" s="699" t="s">
        <v>51</v>
      </c>
      <c r="L59" s="700"/>
      <c r="M59" s="127"/>
      <c r="N59" s="189"/>
      <c r="O59" s="199"/>
      <c r="P59" s="430"/>
      <c r="Q59" s="430"/>
      <c r="R59" s="199"/>
    </row>
    <row r="60" spans="1:18" ht="15.75" customHeight="1">
      <c r="A60" s="693">
        <f>J57</f>
        <v>9</v>
      </c>
      <c r="B60" s="696" t="str">
        <f>J58</f>
        <v>微波小吃</v>
      </c>
      <c r="C60" s="200">
        <v>1</v>
      </c>
      <c r="D60" s="682" t="s">
        <v>364</v>
      </c>
      <c r="E60" s="689"/>
      <c r="F60" s="683"/>
      <c r="G60" s="200">
        <v>13</v>
      </c>
      <c r="H60" s="202">
        <v>1079.53422725718</v>
      </c>
      <c r="I60" s="203">
        <v>83.04109440439845</v>
      </c>
      <c r="J60" s="376">
        <f>I60-I34</f>
        <v>-7.2485656129686049E-3</v>
      </c>
      <c r="K60" s="678" t="s">
        <v>464</v>
      </c>
      <c r="L60" s="679"/>
      <c r="O60" s="199"/>
      <c r="P60" s="430"/>
      <c r="Q60" s="430"/>
      <c r="R60" s="199"/>
    </row>
    <row r="61" spans="1:18" ht="15.75" customHeight="1">
      <c r="A61" s="694"/>
      <c r="B61" s="697"/>
      <c r="C61" s="200">
        <v>2</v>
      </c>
      <c r="D61" s="682"/>
      <c r="E61" s="689"/>
      <c r="F61" s="683"/>
      <c r="G61" s="200"/>
      <c r="H61" s="202"/>
      <c r="I61" s="203"/>
      <c r="J61" s="200"/>
      <c r="K61" s="682"/>
      <c r="L61" s="683"/>
      <c r="O61" s="199"/>
      <c r="P61" s="430"/>
      <c r="Q61" s="430"/>
      <c r="R61" s="199"/>
    </row>
    <row r="62" spans="1:18" ht="15.75" customHeight="1">
      <c r="A62" s="694"/>
      <c r="B62" s="697"/>
      <c r="C62" s="200">
        <v>3</v>
      </c>
      <c r="D62" s="682"/>
      <c r="E62" s="689"/>
      <c r="F62" s="683"/>
      <c r="G62" s="200"/>
      <c r="H62" s="202"/>
      <c r="I62" s="203"/>
      <c r="J62" s="200"/>
      <c r="K62" s="682"/>
      <c r="L62" s="683"/>
      <c r="O62" s="199"/>
      <c r="P62" s="430"/>
      <c r="Q62" s="430"/>
      <c r="R62" s="199"/>
    </row>
    <row r="63" spans="1:18" ht="15.75" customHeight="1">
      <c r="A63" s="694"/>
      <c r="B63" s="697"/>
      <c r="C63" s="200">
        <v>4</v>
      </c>
      <c r="D63" s="682"/>
      <c r="E63" s="689"/>
      <c r="F63" s="683"/>
      <c r="G63" s="202"/>
      <c r="H63" s="202"/>
      <c r="I63" s="203"/>
      <c r="J63" s="200"/>
      <c r="K63" s="682"/>
      <c r="L63" s="683"/>
      <c r="O63" s="199"/>
      <c r="P63" s="430"/>
      <c r="Q63" s="430"/>
      <c r="R63" s="199"/>
    </row>
    <row r="64" spans="1:18" ht="15.75" customHeight="1">
      <c r="A64" s="694"/>
      <c r="B64" s="697"/>
      <c r="C64" s="200">
        <v>5</v>
      </c>
      <c r="D64" s="682"/>
      <c r="E64" s="689"/>
      <c r="F64" s="683"/>
      <c r="G64" s="200"/>
      <c r="H64" s="202"/>
      <c r="I64" s="203"/>
      <c r="J64" s="200"/>
      <c r="K64" s="682"/>
      <c r="L64" s="683"/>
      <c r="O64" s="199"/>
      <c r="P64" s="430"/>
      <c r="Q64" s="430"/>
      <c r="R64" s="199"/>
    </row>
    <row r="65" spans="1:18" ht="15.75" customHeight="1">
      <c r="A65" s="694"/>
      <c r="B65" s="697"/>
      <c r="C65" s="204" t="s">
        <v>206</v>
      </c>
      <c r="D65" s="682"/>
      <c r="E65" s="689"/>
      <c r="F65" s="683"/>
      <c r="G65" s="200"/>
      <c r="H65" s="202"/>
      <c r="I65" s="203"/>
      <c r="J65" s="200"/>
      <c r="K65" s="682"/>
      <c r="L65" s="683"/>
      <c r="O65" s="199"/>
      <c r="P65" s="430"/>
      <c r="Q65" s="430"/>
      <c r="R65" s="199"/>
    </row>
    <row r="66" spans="1:18" ht="15.75" customHeight="1">
      <c r="A66" s="694"/>
      <c r="B66" s="697"/>
      <c r="C66" s="204" t="s">
        <v>211</v>
      </c>
      <c r="D66" s="682"/>
      <c r="E66" s="689"/>
      <c r="F66" s="683"/>
      <c r="G66" s="200"/>
      <c r="H66" s="202"/>
      <c r="I66" s="203"/>
      <c r="J66" s="200"/>
      <c r="K66" s="682"/>
      <c r="L66" s="683"/>
      <c r="N66" s="178"/>
      <c r="O66" s="178"/>
      <c r="P66" s="429"/>
      <c r="Q66" s="429"/>
      <c r="R66" s="178"/>
    </row>
    <row r="67" spans="1:18" ht="15.75" customHeight="1">
      <c r="A67" s="694"/>
      <c r="B67" s="697"/>
      <c r="C67" s="204" t="s">
        <v>207</v>
      </c>
      <c r="D67" s="682"/>
      <c r="E67" s="689"/>
      <c r="F67" s="683"/>
      <c r="G67" s="200"/>
      <c r="H67" s="202"/>
      <c r="I67" s="203"/>
      <c r="J67" s="200"/>
      <c r="K67" s="682"/>
      <c r="L67" s="683"/>
      <c r="O67" s="199"/>
      <c r="P67" s="430"/>
      <c r="Q67" s="430"/>
      <c r="R67" s="199"/>
    </row>
    <row r="68" spans="1:18" ht="15.75" customHeight="1">
      <c r="A68" s="694"/>
      <c r="B68" s="697"/>
      <c r="C68" s="204" t="s">
        <v>212</v>
      </c>
      <c r="D68" s="682"/>
      <c r="E68" s="689"/>
      <c r="F68" s="683"/>
      <c r="G68" s="200"/>
      <c r="H68" s="202"/>
      <c r="I68" s="203"/>
      <c r="J68" s="200"/>
      <c r="K68" s="682"/>
      <c r="L68" s="683"/>
      <c r="M68" s="99"/>
      <c r="O68" s="199"/>
      <c r="P68" s="430"/>
      <c r="Q68" s="430"/>
      <c r="R68" s="199"/>
    </row>
    <row r="69" spans="1:18" ht="15.75" customHeight="1">
      <c r="A69" s="695"/>
      <c r="B69" s="698"/>
      <c r="C69" s="204" t="s">
        <v>213</v>
      </c>
      <c r="D69" s="682"/>
      <c r="E69" s="689"/>
      <c r="F69" s="683"/>
      <c r="G69" s="200"/>
      <c r="H69" s="202"/>
      <c r="I69" s="203"/>
      <c r="J69" s="200"/>
      <c r="K69" s="682"/>
      <c r="L69" s="683"/>
      <c r="M69" s="99"/>
      <c r="O69" s="199"/>
      <c r="P69" s="430"/>
      <c r="Q69" s="430"/>
      <c r="R69" s="199"/>
    </row>
    <row r="70" spans="1:18" s="104" customFormat="1" ht="15.75" customHeight="1">
      <c r="A70" s="690" t="s">
        <v>190</v>
      </c>
      <c r="B70" s="691"/>
      <c r="C70" s="207" t="s">
        <v>47</v>
      </c>
      <c r="D70" s="690" t="s">
        <v>12</v>
      </c>
      <c r="E70" s="692"/>
      <c r="F70" s="691"/>
      <c r="G70" s="207" t="s">
        <v>46</v>
      </c>
      <c r="H70" s="207" t="s">
        <v>388</v>
      </c>
      <c r="I70" s="207" t="s">
        <v>389</v>
      </c>
      <c r="J70" s="160" t="s">
        <v>334</v>
      </c>
      <c r="K70" s="690" t="s">
        <v>51</v>
      </c>
      <c r="L70" s="691"/>
      <c r="M70" s="128"/>
      <c r="N70" s="189"/>
      <c r="O70" s="199"/>
      <c r="P70" s="430"/>
      <c r="Q70" s="430"/>
      <c r="R70" s="199"/>
    </row>
    <row r="71" spans="1:18" ht="15.75" customHeight="1">
      <c r="A71" s="693"/>
      <c r="B71" s="696"/>
      <c r="C71" s="200">
        <v>1</v>
      </c>
      <c r="D71" s="682"/>
      <c r="E71" s="689"/>
      <c r="F71" s="683"/>
      <c r="G71" s="200"/>
      <c r="H71" s="202"/>
      <c r="I71" s="203"/>
      <c r="J71" s="200"/>
      <c r="K71" s="682"/>
      <c r="L71" s="683"/>
      <c r="M71" s="99"/>
      <c r="N71" s="199"/>
      <c r="O71" s="199"/>
      <c r="P71" s="430"/>
      <c r="Q71" s="430"/>
      <c r="R71" s="199"/>
    </row>
    <row r="72" spans="1:18" ht="15.75" customHeight="1">
      <c r="A72" s="694"/>
      <c r="B72" s="697"/>
      <c r="C72" s="200">
        <v>2</v>
      </c>
      <c r="D72" s="682"/>
      <c r="E72" s="689"/>
      <c r="F72" s="683"/>
      <c r="G72" s="200"/>
      <c r="H72" s="202"/>
      <c r="I72" s="203"/>
      <c r="J72" s="200"/>
      <c r="K72" s="682"/>
      <c r="L72" s="683"/>
      <c r="M72" s="99"/>
      <c r="O72" s="199"/>
      <c r="P72" s="430"/>
      <c r="Q72" s="430"/>
      <c r="R72" s="199"/>
    </row>
    <row r="73" spans="1:18" ht="15.75" customHeight="1">
      <c r="A73" s="694"/>
      <c r="B73" s="697"/>
      <c r="C73" s="200">
        <v>3</v>
      </c>
      <c r="D73" s="682"/>
      <c r="E73" s="689"/>
      <c r="F73" s="683"/>
      <c r="G73" s="200"/>
      <c r="H73" s="202"/>
      <c r="I73" s="203"/>
      <c r="J73" s="200"/>
      <c r="K73" s="682"/>
      <c r="L73" s="683"/>
      <c r="M73" s="99"/>
      <c r="O73" s="199"/>
      <c r="P73" s="430"/>
      <c r="Q73" s="430"/>
      <c r="R73" s="199"/>
    </row>
    <row r="74" spans="1:18" ht="15.75" customHeight="1">
      <c r="A74" s="694"/>
      <c r="B74" s="697"/>
      <c r="C74" s="200">
        <v>4</v>
      </c>
      <c r="D74" s="682"/>
      <c r="E74" s="689"/>
      <c r="F74" s="683"/>
      <c r="G74" s="200"/>
      <c r="H74" s="202"/>
      <c r="I74" s="203"/>
      <c r="J74" s="200"/>
      <c r="K74" s="682"/>
      <c r="L74" s="683"/>
      <c r="M74" s="99"/>
      <c r="O74" s="199"/>
      <c r="P74" s="430"/>
      <c r="Q74" s="430"/>
      <c r="R74" s="199"/>
    </row>
    <row r="75" spans="1:18" ht="15.75" customHeight="1">
      <c r="A75" s="694"/>
      <c r="B75" s="697"/>
      <c r="C75" s="200">
        <v>5</v>
      </c>
      <c r="D75" s="682"/>
      <c r="E75" s="689"/>
      <c r="F75" s="683"/>
      <c r="G75" s="200"/>
      <c r="H75" s="202"/>
      <c r="I75" s="203"/>
      <c r="J75" s="200"/>
      <c r="K75" s="682"/>
      <c r="L75" s="683"/>
      <c r="M75" s="99"/>
      <c r="O75" s="199"/>
      <c r="P75" s="430"/>
      <c r="Q75" s="430"/>
      <c r="R75" s="199"/>
    </row>
    <row r="76" spans="1:18" ht="15.75" customHeight="1">
      <c r="A76" s="694"/>
      <c r="B76" s="697"/>
      <c r="C76" s="204" t="s">
        <v>206</v>
      </c>
      <c r="D76" s="682"/>
      <c r="E76" s="689"/>
      <c r="F76" s="683"/>
      <c r="G76" s="200"/>
      <c r="H76" s="202"/>
      <c r="I76" s="203"/>
      <c r="J76" s="200"/>
      <c r="K76" s="682"/>
      <c r="L76" s="683"/>
      <c r="M76" s="99"/>
      <c r="O76" s="199"/>
      <c r="P76" s="430"/>
      <c r="Q76" s="430"/>
      <c r="R76" s="199"/>
    </row>
    <row r="77" spans="1:18" ht="15.75" customHeight="1">
      <c r="A77" s="694"/>
      <c r="B77" s="697"/>
      <c r="C77" s="204" t="s">
        <v>211</v>
      </c>
      <c r="D77" s="682"/>
      <c r="E77" s="689"/>
      <c r="F77" s="683"/>
      <c r="G77" s="200"/>
      <c r="H77" s="202"/>
      <c r="I77" s="203"/>
      <c r="J77" s="200"/>
      <c r="K77" s="682"/>
      <c r="L77" s="683"/>
      <c r="M77" s="99"/>
      <c r="O77" s="199"/>
      <c r="P77" s="430"/>
      <c r="Q77" s="430"/>
      <c r="R77" s="199"/>
    </row>
    <row r="78" spans="1:18" ht="15.75" customHeight="1">
      <c r="A78" s="694"/>
      <c r="B78" s="697"/>
      <c r="C78" s="204" t="s">
        <v>207</v>
      </c>
      <c r="D78" s="682"/>
      <c r="E78" s="689"/>
      <c r="F78" s="683"/>
      <c r="G78" s="200"/>
      <c r="H78" s="202"/>
      <c r="I78" s="203"/>
      <c r="J78" s="200"/>
      <c r="K78" s="682"/>
      <c r="L78" s="683"/>
      <c r="M78" s="99"/>
      <c r="O78" s="199"/>
      <c r="P78" s="430"/>
      <c r="Q78" s="430"/>
      <c r="R78" s="199"/>
    </row>
    <row r="79" spans="1:18" ht="15.75" customHeight="1">
      <c r="A79" s="694"/>
      <c r="B79" s="697"/>
      <c r="C79" s="204" t="s">
        <v>212</v>
      </c>
      <c r="D79" s="682"/>
      <c r="E79" s="689"/>
      <c r="F79" s="683"/>
      <c r="G79" s="200"/>
      <c r="H79" s="202"/>
      <c r="I79" s="203"/>
      <c r="J79" s="200"/>
      <c r="K79" s="682"/>
      <c r="L79" s="683"/>
      <c r="M79" s="99"/>
      <c r="O79" s="199"/>
      <c r="P79" s="430"/>
      <c r="Q79" s="430"/>
      <c r="R79" s="199"/>
    </row>
    <row r="80" spans="1:18" ht="15.75" customHeight="1">
      <c r="A80" s="695"/>
      <c r="B80" s="698"/>
      <c r="C80" s="204" t="s">
        <v>213</v>
      </c>
      <c r="D80" s="682"/>
      <c r="E80" s="689"/>
      <c r="F80" s="683"/>
      <c r="G80" s="200"/>
      <c r="H80" s="202"/>
      <c r="I80" s="203"/>
      <c r="J80" s="200"/>
      <c r="K80" s="682"/>
      <c r="L80" s="683"/>
      <c r="M80" s="99"/>
      <c r="O80" s="199"/>
      <c r="P80" s="430"/>
      <c r="Q80" s="430"/>
      <c r="R80" s="199"/>
    </row>
    <row r="81" spans="1:18" s="189" customFormat="1" ht="15.75" customHeight="1">
      <c r="A81" s="674" t="s">
        <v>702</v>
      </c>
      <c r="B81" s="674"/>
      <c r="C81" s="674"/>
      <c r="D81" s="674"/>
      <c r="E81" s="674"/>
      <c r="F81" s="674"/>
      <c r="G81" s="674"/>
      <c r="H81" s="674"/>
      <c r="I81" s="674"/>
      <c r="J81" s="674"/>
      <c r="K81" s="674"/>
      <c r="L81" s="674"/>
    </row>
    <row r="82" spans="1:18" s="190" customFormat="1" ht="15.75" customHeight="1">
      <c r="A82" s="674"/>
      <c r="B82" s="674"/>
      <c r="C82" s="674"/>
      <c r="D82" s="674"/>
      <c r="E82" s="674"/>
      <c r="F82" s="674"/>
      <c r="G82" s="674"/>
      <c r="H82" s="674"/>
      <c r="I82" s="674"/>
      <c r="J82" s="674"/>
      <c r="K82" s="674"/>
      <c r="L82" s="674"/>
    </row>
    <row r="83" spans="1:18" s="106" customFormat="1" ht="16.399999999999999" customHeight="1">
      <c r="A83" s="693" t="s">
        <v>164</v>
      </c>
      <c r="B83" s="170">
        <v>1</v>
      </c>
      <c r="C83" s="170">
        <v>2</v>
      </c>
      <c r="D83" s="170">
        <v>3</v>
      </c>
      <c r="E83" s="170">
        <v>4</v>
      </c>
      <c r="F83" s="170">
        <v>5</v>
      </c>
      <c r="G83" s="170">
        <v>6</v>
      </c>
      <c r="H83" s="170">
        <v>7</v>
      </c>
      <c r="I83" s="170">
        <v>8</v>
      </c>
      <c r="J83" s="191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99999999999999" customHeight="1">
      <c r="A84" s="695"/>
      <c r="B84" s="195" t="s">
        <v>208</v>
      </c>
      <c r="C84" s="195" t="s">
        <v>157</v>
      </c>
      <c r="D84" s="195" t="s">
        <v>209</v>
      </c>
      <c r="E84" s="195" t="s">
        <v>158</v>
      </c>
      <c r="F84" s="195" t="s">
        <v>139</v>
      </c>
      <c r="G84" s="196" t="s">
        <v>137</v>
      </c>
      <c r="H84" s="197" t="s">
        <v>210</v>
      </c>
      <c r="I84" s="196" t="s">
        <v>387</v>
      </c>
      <c r="J84" s="209" t="s">
        <v>143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99" t="s">
        <v>190</v>
      </c>
      <c r="B85" s="700"/>
      <c r="C85" s="160" t="s">
        <v>47</v>
      </c>
      <c r="D85" s="699" t="s">
        <v>12</v>
      </c>
      <c r="E85" s="701"/>
      <c r="F85" s="700"/>
      <c r="G85" s="160" t="s">
        <v>46</v>
      </c>
      <c r="H85" s="160" t="s">
        <v>388</v>
      </c>
      <c r="I85" s="160" t="s">
        <v>389</v>
      </c>
      <c r="J85" s="160" t="s">
        <v>334</v>
      </c>
      <c r="K85" s="699" t="s">
        <v>51</v>
      </c>
      <c r="L85" s="700"/>
      <c r="M85" s="127"/>
      <c r="N85" s="189"/>
      <c r="O85" s="199"/>
      <c r="P85" s="430"/>
      <c r="Q85" s="430"/>
      <c r="R85" s="199"/>
    </row>
    <row r="86" spans="1:18" ht="15.75" customHeight="1">
      <c r="A86" s="693">
        <f>J83</f>
        <v>9</v>
      </c>
      <c r="B86" s="696" t="str">
        <f>J84</f>
        <v>微波小吃</v>
      </c>
      <c r="C86" s="200">
        <v>1</v>
      </c>
      <c r="D86" s="682" t="s">
        <v>364</v>
      </c>
      <c r="E86" s="689"/>
      <c r="F86" s="683"/>
      <c r="G86" s="200">
        <v>13</v>
      </c>
      <c r="H86" s="202">
        <v>1079.5446896529716</v>
      </c>
      <c r="I86" s="203">
        <v>83.041899204074753</v>
      </c>
      <c r="J86" s="376">
        <f>I86-I60</f>
        <v>8.0479967630253668E-4</v>
      </c>
      <c r="K86" s="678" t="s">
        <v>464</v>
      </c>
      <c r="L86" s="679"/>
      <c r="O86" s="199"/>
      <c r="P86" s="430"/>
      <c r="Q86" s="430"/>
      <c r="R86" s="199"/>
    </row>
    <row r="87" spans="1:18" ht="15.75" customHeight="1">
      <c r="A87" s="694"/>
      <c r="B87" s="697"/>
      <c r="C87" s="200">
        <v>2</v>
      </c>
      <c r="D87" s="682"/>
      <c r="E87" s="689"/>
      <c r="F87" s="683"/>
      <c r="G87" s="200"/>
      <c r="H87" s="202"/>
      <c r="I87" s="203"/>
      <c r="J87" s="200"/>
      <c r="K87" s="682"/>
      <c r="L87" s="683"/>
      <c r="O87" s="199"/>
      <c r="P87" s="430"/>
      <c r="Q87" s="430"/>
      <c r="R87" s="199"/>
    </row>
    <row r="88" spans="1:18" ht="15.75" customHeight="1">
      <c r="A88" s="694"/>
      <c r="B88" s="697"/>
      <c r="C88" s="200">
        <v>3</v>
      </c>
      <c r="D88" s="682"/>
      <c r="E88" s="689"/>
      <c r="F88" s="683"/>
      <c r="G88" s="200"/>
      <c r="H88" s="202"/>
      <c r="I88" s="203"/>
      <c r="J88" s="200"/>
      <c r="K88" s="682"/>
      <c r="L88" s="683"/>
      <c r="O88" s="199"/>
      <c r="P88" s="430"/>
      <c r="Q88" s="430"/>
      <c r="R88" s="199"/>
    </row>
    <row r="89" spans="1:18" ht="15.75" customHeight="1">
      <c r="A89" s="694"/>
      <c r="B89" s="697"/>
      <c r="C89" s="200">
        <v>4</v>
      </c>
      <c r="D89" s="682"/>
      <c r="E89" s="689"/>
      <c r="F89" s="683"/>
      <c r="G89" s="202"/>
      <c r="H89" s="202"/>
      <c r="I89" s="203"/>
      <c r="J89" s="200"/>
      <c r="K89" s="682"/>
      <c r="L89" s="683"/>
      <c r="O89" s="199"/>
      <c r="P89" s="430"/>
      <c r="Q89" s="430"/>
      <c r="R89" s="199"/>
    </row>
    <row r="90" spans="1:18" ht="15.75" customHeight="1">
      <c r="A90" s="694"/>
      <c r="B90" s="697"/>
      <c r="C90" s="200">
        <v>5</v>
      </c>
      <c r="D90" s="682"/>
      <c r="E90" s="689"/>
      <c r="F90" s="683"/>
      <c r="G90" s="200"/>
      <c r="H90" s="202"/>
      <c r="I90" s="203"/>
      <c r="J90" s="200"/>
      <c r="K90" s="682"/>
      <c r="L90" s="683"/>
      <c r="O90" s="199"/>
      <c r="P90" s="430"/>
      <c r="Q90" s="430"/>
      <c r="R90" s="199"/>
    </row>
    <row r="91" spans="1:18" ht="15.75" customHeight="1">
      <c r="A91" s="694"/>
      <c r="B91" s="697"/>
      <c r="C91" s="204" t="s">
        <v>206</v>
      </c>
      <c r="D91" s="682"/>
      <c r="E91" s="689"/>
      <c r="F91" s="683"/>
      <c r="G91" s="200"/>
      <c r="H91" s="202"/>
      <c r="I91" s="203"/>
      <c r="J91" s="200"/>
      <c r="K91" s="682"/>
      <c r="L91" s="683"/>
      <c r="O91" s="199"/>
      <c r="P91" s="430"/>
      <c r="Q91" s="430"/>
      <c r="R91" s="199"/>
    </row>
    <row r="92" spans="1:18" ht="15.75" customHeight="1">
      <c r="A92" s="694"/>
      <c r="B92" s="697"/>
      <c r="C92" s="204" t="s">
        <v>211</v>
      </c>
      <c r="D92" s="682"/>
      <c r="E92" s="689"/>
      <c r="F92" s="683"/>
      <c r="G92" s="200"/>
      <c r="H92" s="202"/>
      <c r="I92" s="203"/>
      <c r="J92" s="200"/>
      <c r="K92" s="682"/>
      <c r="L92" s="683"/>
      <c r="N92" s="178"/>
      <c r="O92" s="178"/>
      <c r="P92" s="429"/>
      <c r="Q92" s="429"/>
      <c r="R92" s="178"/>
    </row>
    <row r="93" spans="1:18" ht="15.75" customHeight="1">
      <c r="A93" s="694"/>
      <c r="B93" s="697"/>
      <c r="C93" s="204" t="s">
        <v>207</v>
      </c>
      <c r="D93" s="682"/>
      <c r="E93" s="689"/>
      <c r="F93" s="683"/>
      <c r="G93" s="200"/>
      <c r="H93" s="202"/>
      <c r="I93" s="203"/>
      <c r="J93" s="200"/>
      <c r="K93" s="682"/>
      <c r="L93" s="683"/>
      <c r="O93" s="199"/>
      <c r="P93" s="430"/>
      <c r="Q93" s="430"/>
      <c r="R93" s="199"/>
    </row>
    <row r="94" spans="1:18" ht="15.75" customHeight="1">
      <c r="A94" s="694"/>
      <c r="B94" s="697"/>
      <c r="C94" s="204" t="s">
        <v>212</v>
      </c>
      <c r="D94" s="682"/>
      <c r="E94" s="689"/>
      <c r="F94" s="683"/>
      <c r="G94" s="200"/>
      <c r="H94" s="202"/>
      <c r="I94" s="203"/>
      <c r="J94" s="200"/>
      <c r="K94" s="682"/>
      <c r="L94" s="683"/>
      <c r="M94" s="99"/>
      <c r="O94" s="199"/>
      <c r="P94" s="430"/>
      <c r="Q94" s="430"/>
      <c r="R94" s="199"/>
    </row>
    <row r="95" spans="1:18" ht="15.75" customHeight="1">
      <c r="A95" s="695"/>
      <c r="B95" s="698"/>
      <c r="C95" s="204" t="s">
        <v>213</v>
      </c>
      <c r="D95" s="682"/>
      <c r="E95" s="689"/>
      <c r="F95" s="683"/>
      <c r="G95" s="200"/>
      <c r="H95" s="202"/>
      <c r="I95" s="203"/>
      <c r="J95" s="200"/>
      <c r="K95" s="682"/>
      <c r="L95" s="683"/>
      <c r="M95" s="99"/>
      <c r="O95" s="199"/>
      <c r="P95" s="430"/>
      <c r="Q95" s="430"/>
      <c r="R95" s="199"/>
    </row>
    <row r="96" spans="1:18" s="104" customFormat="1" ht="15.75" customHeight="1">
      <c r="A96" s="690" t="s">
        <v>190</v>
      </c>
      <c r="B96" s="691"/>
      <c r="C96" s="207" t="s">
        <v>47</v>
      </c>
      <c r="D96" s="690" t="s">
        <v>12</v>
      </c>
      <c r="E96" s="692"/>
      <c r="F96" s="691"/>
      <c r="G96" s="207" t="s">
        <v>46</v>
      </c>
      <c r="H96" s="207" t="s">
        <v>388</v>
      </c>
      <c r="I96" s="207" t="s">
        <v>389</v>
      </c>
      <c r="J96" s="160" t="s">
        <v>334</v>
      </c>
      <c r="K96" s="690" t="s">
        <v>51</v>
      </c>
      <c r="L96" s="691"/>
      <c r="M96" s="128"/>
      <c r="N96" s="189"/>
      <c r="O96" s="199"/>
      <c r="P96" s="430"/>
      <c r="Q96" s="430"/>
      <c r="R96" s="199"/>
    </row>
    <row r="97" spans="1:18" ht="15.75" customHeight="1">
      <c r="A97" s="693"/>
      <c r="B97" s="696"/>
      <c r="C97" s="200">
        <v>1</v>
      </c>
      <c r="D97" s="682"/>
      <c r="E97" s="689"/>
      <c r="F97" s="683"/>
      <c r="G97" s="200"/>
      <c r="H97" s="202"/>
      <c r="I97" s="203"/>
      <c r="J97" s="200"/>
      <c r="K97" s="682"/>
      <c r="L97" s="683"/>
      <c r="M97" s="99"/>
      <c r="N97" s="199"/>
      <c r="O97" s="199"/>
      <c r="P97" s="430"/>
      <c r="Q97" s="430"/>
      <c r="R97" s="199"/>
    </row>
    <row r="98" spans="1:18" ht="15.75" customHeight="1">
      <c r="A98" s="694"/>
      <c r="B98" s="697"/>
      <c r="C98" s="200">
        <v>2</v>
      </c>
      <c r="D98" s="682"/>
      <c r="E98" s="689"/>
      <c r="F98" s="683"/>
      <c r="G98" s="200"/>
      <c r="H98" s="202"/>
      <c r="I98" s="203"/>
      <c r="J98" s="200"/>
      <c r="K98" s="682"/>
      <c r="L98" s="683"/>
      <c r="M98" s="99"/>
      <c r="O98" s="199"/>
      <c r="P98" s="430"/>
      <c r="Q98" s="430"/>
      <c r="R98" s="199"/>
    </row>
    <row r="99" spans="1:18" ht="15.75" customHeight="1">
      <c r="A99" s="694"/>
      <c r="B99" s="697"/>
      <c r="C99" s="200">
        <v>3</v>
      </c>
      <c r="D99" s="682"/>
      <c r="E99" s="689"/>
      <c r="F99" s="683"/>
      <c r="G99" s="200"/>
      <c r="H99" s="202"/>
      <c r="I99" s="203"/>
      <c r="J99" s="200"/>
      <c r="K99" s="682"/>
      <c r="L99" s="683"/>
      <c r="M99" s="99"/>
      <c r="O99" s="199"/>
      <c r="P99" s="430"/>
      <c r="Q99" s="430"/>
      <c r="R99" s="199"/>
    </row>
    <row r="100" spans="1:18" ht="15.75" customHeight="1">
      <c r="A100" s="694"/>
      <c r="B100" s="697"/>
      <c r="C100" s="200">
        <v>4</v>
      </c>
      <c r="D100" s="682"/>
      <c r="E100" s="689"/>
      <c r="F100" s="683"/>
      <c r="G100" s="200"/>
      <c r="H100" s="202"/>
      <c r="I100" s="203"/>
      <c r="J100" s="200"/>
      <c r="K100" s="682"/>
      <c r="L100" s="683"/>
      <c r="M100" s="99"/>
      <c r="O100" s="199"/>
      <c r="P100" s="430"/>
      <c r="Q100" s="430"/>
      <c r="R100" s="199"/>
    </row>
    <row r="101" spans="1:18" ht="15.75" customHeight="1">
      <c r="A101" s="694"/>
      <c r="B101" s="697"/>
      <c r="C101" s="200">
        <v>5</v>
      </c>
      <c r="D101" s="682"/>
      <c r="E101" s="689"/>
      <c r="F101" s="683"/>
      <c r="G101" s="200"/>
      <c r="H101" s="202"/>
      <c r="I101" s="203"/>
      <c r="J101" s="200"/>
      <c r="K101" s="682"/>
      <c r="L101" s="683"/>
      <c r="M101" s="99"/>
      <c r="O101" s="199"/>
      <c r="P101" s="430"/>
      <c r="Q101" s="430"/>
      <c r="R101" s="199"/>
    </row>
    <row r="102" spans="1:18" ht="15.75" customHeight="1">
      <c r="A102" s="694"/>
      <c r="B102" s="697"/>
      <c r="C102" s="204" t="s">
        <v>206</v>
      </c>
      <c r="D102" s="682"/>
      <c r="E102" s="689"/>
      <c r="F102" s="683"/>
      <c r="G102" s="200"/>
      <c r="H102" s="202"/>
      <c r="I102" s="203"/>
      <c r="J102" s="200"/>
      <c r="K102" s="682"/>
      <c r="L102" s="683"/>
      <c r="M102" s="99"/>
      <c r="O102" s="199"/>
      <c r="P102" s="430"/>
      <c r="Q102" s="430"/>
      <c r="R102" s="199"/>
    </row>
    <row r="103" spans="1:18" ht="15.75" customHeight="1">
      <c r="A103" s="694"/>
      <c r="B103" s="697"/>
      <c r="C103" s="204" t="s">
        <v>211</v>
      </c>
      <c r="D103" s="682"/>
      <c r="E103" s="689"/>
      <c r="F103" s="683"/>
      <c r="G103" s="200"/>
      <c r="H103" s="202"/>
      <c r="I103" s="203"/>
      <c r="J103" s="200"/>
      <c r="K103" s="682"/>
      <c r="L103" s="683"/>
      <c r="M103" s="99"/>
      <c r="O103" s="199"/>
      <c r="P103" s="430"/>
      <c r="Q103" s="430"/>
      <c r="R103" s="199"/>
    </row>
    <row r="104" spans="1:18" ht="15.75" customHeight="1">
      <c r="A104" s="694"/>
      <c r="B104" s="697"/>
      <c r="C104" s="204" t="s">
        <v>207</v>
      </c>
      <c r="D104" s="682"/>
      <c r="E104" s="689"/>
      <c r="F104" s="683"/>
      <c r="G104" s="200"/>
      <c r="H104" s="202"/>
      <c r="I104" s="203"/>
      <c r="J104" s="200"/>
      <c r="K104" s="682"/>
      <c r="L104" s="683"/>
      <c r="M104" s="99"/>
      <c r="O104" s="199"/>
      <c r="P104" s="430"/>
      <c r="Q104" s="430"/>
      <c r="R104" s="199"/>
    </row>
    <row r="105" spans="1:18" ht="15.75" customHeight="1">
      <c r="A105" s="694"/>
      <c r="B105" s="697"/>
      <c r="C105" s="204" t="s">
        <v>212</v>
      </c>
      <c r="D105" s="682"/>
      <c r="E105" s="689"/>
      <c r="F105" s="683"/>
      <c r="G105" s="200"/>
      <c r="H105" s="202"/>
      <c r="I105" s="203"/>
      <c r="J105" s="200"/>
      <c r="K105" s="682"/>
      <c r="L105" s="683"/>
      <c r="M105" s="99"/>
      <c r="O105" s="199"/>
      <c r="P105" s="430"/>
      <c r="Q105" s="430"/>
      <c r="R105" s="199"/>
    </row>
    <row r="106" spans="1:18" ht="15.75" customHeight="1">
      <c r="A106" s="695"/>
      <c r="B106" s="698"/>
      <c r="C106" s="204" t="s">
        <v>213</v>
      </c>
      <c r="D106" s="682"/>
      <c r="E106" s="689"/>
      <c r="F106" s="683"/>
      <c r="G106" s="200"/>
      <c r="H106" s="202"/>
      <c r="I106" s="203"/>
      <c r="J106" s="200"/>
      <c r="K106" s="682"/>
      <c r="L106" s="683"/>
      <c r="M106" s="99"/>
      <c r="O106" s="199"/>
      <c r="P106" s="430"/>
      <c r="Q106" s="430"/>
      <c r="R106" s="199"/>
    </row>
    <row r="107" spans="1:18" s="189" customFormat="1" ht="15.75" customHeight="1">
      <c r="A107" s="674" t="s">
        <v>767</v>
      </c>
      <c r="B107" s="674"/>
      <c r="C107" s="674"/>
      <c r="D107" s="674"/>
      <c r="E107" s="674"/>
      <c r="F107" s="674"/>
      <c r="G107" s="674"/>
      <c r="H107" s="674"/>
      <c r="I107" s="674"/>
      <c r="J107" s="674"/>
      <c r="K107" s="674"/>
      <c r="L107" s="674"/>
    </row>
    <row r="108" spans="1:18" s="190" customFormat="1" ht="15.75" customHeight="1">
      <c r="A108" s="674"/>
      <c r="B108" s="674"/>
      <c r="C108" s="674"/>
      <c r="D108" s="674"/>
      <c r="E108" s="674"/>
      <c r="F108" s="674"/>
      <c r="G108" s="674"/>
      <c r="H108" s="674"/>
      <c r="I108" s="674"/>
      <c r="J108" s="674"/>
      <c r="K108" s="674"/>
      <c r="L108" s="674"/>
    </row>
    <row r="109" spans="1:18" s="106" customFormat="1" ht="16.399999999999999" customHeight="1">
      <c r="A109" s="693" t="s">
        <v>164</v>
      </c>
      <c r="B109" s="170">
        <v>1</v>
      </c>
      <c r="C109" s="170">
        <v>2</v>
      </c>
      <c r="D109" s="170">
        <v>3</v>
      </c>
      <c r="E109" s="170">
        <v>4</v>
      </c>
      <c r="F109" s="170">
        <v>5</v>
      </c>
      <c r="G109" s="170">
        <v>6</v>
      </c>
      <c r="H109" s="170">
        <v>7</v>
      </c>
      <c r="I109" s="170">
        <v>8</v>
      </c>
      <c r="J109" s="191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99999999999999" customHeight="1">
      <c r="A110" s="695"/>
      <c r="B110" s="195" t="s">
        <v>208</v>
      </c>
      <c r="C110" s="195" t="s">
        <v>157</v>
      </c>
      <c r="D110" s="195" t="s">
        <v>209</v>
      </c>
      <c r="E110" s="195" t="s">
        <v>158</v>
      </c>
      <c r="F110" s="195" t="s">
        <v>139</v>
      </c>
      <c r="G110" s="196" t="s">
        <v>137</v>
      </c>
      <c r="H110" s="197" t="s">
        <v>210</v>
      </c>
      <c r="I110" s="196" t="s">
        <v>387</v>
      </c>
      <c r="J110" s="209" t="s">
        <v>143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99" t="s">
        <v>190</v>
      </c>
      <c r="B111" s="700"/>
      <c r="C111" s="160" t="s">
        <v>47</v>
      </c>
      <c r="D111" s="699" t="s">
        <v>12</v>
      </c>
      <c r="E111" s="701"/>
      <c r="F111" s="700"/>
      <c r="G111" s="160" t="s">
        <v>46</v>
      </c>
      <c r="H111" s="160" t="s">
        <v>388</v>
      </c>
      <c r="I111" s="160" t="s">
        <v>389</v>
      </c>
      <c r="J111" s="160" t="s">
        <v>334</v>
      </c>
      <c r="K111" s="699" t="s">
        <v>51</v>
      </c>
      <c r="L111" s="700"/>
      <c r="M111" s="127"/>
      <c r="N111" s="189"/>
      <c r="O111" s="199"/>
      <c r="P111" s="430"/>
      <c r="Q111" s="430"/>
      <c r="R111" s="199"/>
    </row>
    <row r="112" spans="1:18" ht="15.75" customHeight="1">
      <c r="A112" s="693">
        <f>J109</f>
        <v>9</v>
      </c>
      <c r="B112" s="696" t="str">
        <f>J110</f>
        <v>微波小吃</v>
      </c>
      <c r="C112" s="200">
        <v>1</v>
      </c>
      <c r="D112" s="682" t="s">
        <v>364</v>
      </c>
      <c r="E112" s="689"/>
      <c r="F112" s="683"/>
      <c r="G112" s="200">
        <v>13</v>
      </c>
      <c r="H112" s="202">
        <v>1079.605509568514</v>
      </c>
      <c r="I112" s="203">
        <v>83.046577659116465</v>
      </c>
      <c r="J112" s="376">
        <f>I112-I86</f>
        <v>4.6784550417129367E-3</v>
      </c>
      <c r="K112" s="678" t="s">
        <v>464</v>
      </c>
      <c r="L112" s="679"/>
      <c r="O112" s="199"/>
      <c r="P112" s="430"/>
      <c r="Q112" s="430"/>
      <c r="R112" s="199"/>
    </row>
    <row r="113" spans="1:18" ht="15.75" customHeight="1">
      <c r="A113" s="694"/>
      <c r="B113" s="697"/>
      <c r="C113" s="200">
        <v>2</v>
      </c>
      <c r="D113" s="682"/>
      <c r="E113" s="689"/>
      <c r="F113" s="683"/>
      <c r="G113" s="200"/>
      <c r="H113" s="202"/>
      <c r="I113" s="203"/>
      <c r="J113" s="200"/>
      <c r="K113" s="682"/>
      <c r="L113" s="683"/>
      <c r="O113" s="199"/>
      <c r="P113" s="430"/>
      <c r="Q113" s="430"/>
      <c r="R113" s="199"/>
    </row>
    <row r="114" spans="1:18" ht="15.75" customHeight="1">
      <c r="A114" s="694"/>
      <c r="B114" s="697"/>
      <c r="C114" s="200">
        <v>3</v>
      </c>
      <c r="D114" s="682"/>
      <c r="E114" s="689"/>
      <c r="F114" s="683"/>
      <c r="G114" s="200"/>
      <c r="H114" s="202"/>
      <c r="I114" s="203"/>
      <c r="J114" s="200"/>
      <c r="K114" s="682"/>
      <c r="L114" s="683"/>
      <c r="O114" s="199"/>
      <c r="P114" s="430"/>
      <c r="Q114" s="430"/>
      <c r="R114" s="199"/>
    </row>
    <row r="115" spans="1:18" ht="15.75" customHeight="1">
      <c r="A115" s="694"/>
      <c r="B115" s="697"/>
      <c r="C115" s="200">
        <v>4</v>
      </c>
      <c r="D115" s="682"/>
      <c r="E115" s="689"/>
      <c r="F115" s="683"/>
      <c r="G115" s="202"/>
      <c r="H115" s="202"/>
      <c r="I115" s="203"/>
      <c r="J115" s="200"/>
      <c r="K115" s="682"/>
      <c r="L115" s="683"/>
      <c r="O115" s="199"/>
      <c r="P115" s="430"/>
      <c r="Q115" s="430"/>
      <c r="R115" s="199"/>
    </row>
    <row r="116" spans="1:18" ht="15.75" customHeight="1">
      <c r="A116" s="694"/>
      <c r="B116" s="697"/>
      <c r="C116" s="200">
        <v>5</v>
      </c>
      <c r="D116" s="682"/>
      <c r="E116" s="689"/>
      <c r="F116" s="683"/>
      <c r="G116" s="200"/>
      <c r="H116" s="202"/>
      <c r="I116" s="203"/>
      <c r="J116" s="200"/>
      <c r="K116" s="682"/>
      <c r="L116" s="683"/>
      <c r="O116" s="199"/>
      <c r="P116" s="430"/>
      <c r="Q116" s="430"/>
      <c r="R116" s="199"/>
    </row>
    <row r="117" spans="1:18" ht="15.75" customHeight="1">
      <c r="A117" s="694"/>
      <c r="B117" s="697"/>
      <c r="C117" s="204" t="s">
        <v>206</v>
      </c>
      <c r="D117" s="682"/>
      <c r="E117" s="689"/>
      <c r="F117" s="683"/>
      <c r="G117" s="200"/>
      <c r="H117" s="202"/>
      <c r="I117" s="203"/>
      <c r="J117" s="200"/>
      <c r="K117" s="682"/>
      <c r="L117" s="683"/>
      <c r="O117" s="199"/>
      <c r="P117" s="430"/>
      <c r="Q117" s="430"/>
      <c r="R117" s="199"/>
    </row>
    <row r="118" spans="1:18" ht="15.75" customHeight="1">
      <c r="A118" s="694"/>
      <c r="B118" s="697"/>
      <c r="C118" s="204" t="s">
        <v>211</v>
      </c>
      <c r="D118" s="682"/>
      <c r="E118" s="689"/>
      <c r="F118" s="683"/>
      <c r="G118" s="200"/>
      <c r="H118" s="202"/>
      <c r="I118" s="203"/>
      <c r="J118" s="200"/>
      <c r="K118" s="682"/>
      <c r="L118" s="683"/>
      <c r="N118" s="178"/>
      <c r="O118" s="178"/>
      <c r="P118" s="429"/>
      <c r="Q118" s="429"/>
      <c r="R118" s="178"/>
    </row>
    <row r="119" spans="1:18" ht="15.75" customHeight="1">
      <c r="A119" s="694"/>
      <c r="B119" s="697"/>
      <c r="C119" s="204" t="s">
        <v>207</v>
      </c>
      <c r="D119" s="682"/>
      <c r="E119" s="689"/>
      <c r="F119" s="683"/>
      <c r="G119" s="200"/>
      <c r="H119" s="202"/>
      <c r="I119" s="203"/>
      <c r="J119" s="200"/>
      <c r="K119" s="682"/>
      <c r="L119" s="683"/>
      <c r="O119" s="199"/>
      <c r="P119" s="430"/>
      <c r="Q119" s="430"/>
      <c r="R119" s="199"/>
    </row>
    <row r="120" spans="1:18" ht="15.75" customHeight="1">
      <c r="A120" s="694"/>
      <c r="B120" s="697"/>
      <c r="C120" s="204" t="s">
        <v>212</v>
      </c>
      <c r="D120" s="682"/>
      <c r="E120" s="689"/>
      <c r="F120" s="683"/>
      <c r="G120" s="200"/>
      <c r="H120" s="202"/>
      <c r="I120" s="203"/>
      <c r="J120" s="200"/>
      <c r="K120" s="682"/>
      <c r="L120" s="683"/>
      <c r="M120" s="99"/>
      <c r="O120" s="199"/>
      <c r="P120" s="430"/>
      <c r="Q120" s="430"/>
      <c r="R120" s="199"/>
    </row>
    <row r="121" spans="1:18" ht="15.75" customHeight="1">
      <c r="A121" s="695"/>
      <c r="B121" s="698"/>
      <c r="C121" s="204" t="s">
        <v>213</v>
      </c>
      <c r="D121" s="682"/>
      <c r="E121" s="689"/>
      <c r="F121" s="683"/>
      <c r="G121" s="200"/>
      <c r="H121" s="202"/>
      <c r="I121" s="203"/>
      <c r="J121" s="200"/>
      <c r="K121" s="682"/>
      <c r="L121" s="683"/>
      <c r="M121" s="99"/>
      <c r="O121" s="199"/>
      <c r="P121" s="430"/>
      <c r="Q121" s="430"/>
      <c r="R121" s="199"/>
    </row>
    <row r="122" spans="1:18" s="104" customFormat="1" ht="15.75" customHeight="1">
      <c r="A122" s="690" t="s">
        <v>190</v>
      </c>
      <c r="B122" s="691"/>
      <c r="C122" s="207" t="s">
        <v>47</v>
      </c>
      <c r="D122" s="690" t="s">
        <v>12</v>
      </c>
      <c r="E122" s="692"/>
      <c r="F122" s="691"/>
      <c r="G122" s="207" t="s">
        <v>46</v>
      </c>
      <c r="H122" s="207" t="s">
        <v>388</v>
      </c>
      <c r="I122" s="207" t="s">
        <v>389</v>
      </c>
      <c r="J122" s="160" t="s">
        <v>334</v>
      </c>
      <c r="K122" s="690" t="s">
        <v>51</v>
      </c>
      <c r="L122" s="691"/>
      <c r="M122" s="128"/>
      <c r="N122" s="189"/>
      <c r="O122" s="199"/>
      <c r="P122" s="430"/>
      <c r="Q122" s="430"/>
      <c r="R122" s="199"/>
    </row>
    <row r="123" spans="1:18" ht="15.75" customHeight="1">
      <c r="A123" s="693"/>
      <c r="B123" s="696"/>
      <c r="C123" s="200">
        <v>1</v>
      </c>
      <c r="D123" s="682"/>
      <c r="E123" s="689"/>
      <c r="F123" s="683"/>
      <c r="G123" s="200"/>
      <c r="H123" s="202"/>
      <c r="I123" s="203"/>
      <c r="J123" s="200"/>
      <c r="K123" s="682"/>
      <c r="L123" s="683"/>
      <c r="M123" s="99"/>
      <c r="N123" s="199"/>
      <c r="O123" s="199"/>
      <c r="P123" s="430"/>
      <c r="Q123" s="430"/>
      <c r="R123" s="199"/>
    </row>
    <row r="124" spans="1:18" ht="15.75" customHeight="1">
      <c r="A124" s="694"/>
      <c r="B124" s="697"/>
      <c r="C124" s="200">
        <v>2</v>
      </c>
      <c r="D124" s="682"/>
      <c r="E124" s="689"/>
      <c r="F124" s="683"/>
      <c r="G124" s="200"/>
      <c r="H124" s="202"/>
      <c r="I124" s="203"/>
      <c r="J124" s="200"/>
      <c r="K124" s="682"/>
      <c r="L124" s="683"/>
      <c r="M124" s="99"/>
      <c r="O124" s="199"/>
      <c r="P124" s="430"/>
      <c r="Q124" s="430"/>
      <c r="R124" s="199"/>
    </row>
    <row r="125" spans="1:18" ht="15.75" customHeight="1">
      <c r="A125" s="694"/>
      <c r="B125" s="697"/>
      <c r="C125" s="200">
        <v>3</v>
      </c>
      <c r="D125" s="682"/>
      <c r="E125" s="689"/>
      <c r="F125" s="683"/>
      <c r="G125" s="200"/>
      <c r="H125" s="202"/>
      <c r="I125" s="203"/>
      <c r="J125" s="200"/>
      <c r="K125" s="682"/>
      <c r="L125" s="683"/>
      <c r="M125" s="99"/>
      <c r="O125" s="199"/>
      <c r="P125" s="430"/>
      <c r="Q125" s="430"/>
      <c r="R125" s="199"/>
    </row>
    <row r="126" spans="1:18" ht="15.75" customHeight="1">
      <c r="A126" s="694"/>
      <c r="B126" s="697"/>
      <c r="C126" s="200">
        <v>4</v>
      </c>
      <c r="D126" s="682"/>
      <c r="E126" s="689"/>
      <c r="F126" s="683"/>
      <c r="G126" s="200"/>
      <c r="H126" s="202"/>
      <c r="I126" s="203"/>
      <c r="J126" s="200"/>
      <c r="K126" s="682"/>
      <c r="L126" s="683"/>
      <c r="M126" s="99"/>
      <c r="O126" s="199"/>
      <c r="P126" s="430"/>
      <c r="Q126" s="430"/>
      <c r="R126" s="199"/>
    </row>
    <row r="127" spans="1:18" ht="15.75" customHeight="1">
      <c r="A127" s="694"/>
      <c r="B127" s="697"/>
      <c r="C127" s="200">
        <v>5</v>
      </c>
      <c r="D127" s="682"/>
      <c r="E127" s="689"/>
      <c r="F127" s="683"/>
      <c r="G127" s="200"/>
      <c r="H127" s="202"/>
      <c r="I127" s="203"/>
      <c r="J127" s="200"/>
      <c r="K127" s="682"/>
      <c r="L127" s="683"/>
      <c r="M127" s="99"/>
      <c r="O127" s="199"/>
      <c r="P127" s="430"/>
      <c r="Q127" s="430"/>
      <c r="R127" s="199"/>
    </row>
    <row r="128" spans="1:18" ht="15.75" customHeight="1">
      <c r="A128" s="694"/>
      <c r="B128" s="697"/>
      <c r="C128" s="204" t="s">
        <v>206</v>
      </c>
      <c r="D128" s="682"/>
      <c r="E128" s="689"/>
      <c r="F128" s="683"/>
      <c r="G128" s="200"/>
      <c r="H128" s="202"/>
      <c r="I128" s="203"/>
      <c r="J128" s="200"/>
      <c r="K128" s="682"/>
      <c r="L128" s="683"/>
      <c r="M128" s="99"/>
      <c r="O128" s="199"/>
      <c r="P128" s="430"/>
      <c r="Q128" s="430"/>
      <c r="R128" s="199"/>
    </row>
    <row r="129" spans="1:18" ht="15.75" customHeight="1">
      <c r="A129" s="694"/>
      <c r="B129" s="697"/>
      <c r="C129" s="204" t="s">
        <v>211</v>
      </c>
      <c r="D129" s="682"/>
      <c r="E129" s="689"/>
      <c r="F129" s="683"/>
      <c r="G129" s="200"/>
      <c r="H129" s="202"/>
      <c r="I129" s="203"/>
      <c r="J129" s="200"/>
      <c r="K129" s="682"/>
      <c r="L129" s="683"/>
      <c r="M129" s="99"/>
      <c r="O129" s="199"/>
      <c r="P129" s="430"/>
      <c r="Q129" s="430"/>
      <c r="R129" s="199"/>
    </row>
    <row r="130" spans="1:18" ht="15.75" customHeight="1">
      <c r="A130" s="694"/>
      <c r="B130" s="697"/>
      <c r="C130" s="204" t="s">
        <v>207</v>
      </c>
      <c r="D130" s="682"/>
      <c r="E130" s="689"/>
      <c r="F130" s="683"/>
      <c r="G130" s="200"/>
      <c r="H130" s="202"/>
      <c r="I130" s="203"/>
      <c r="J130" s="200"/>
      <c r="K130" s="682"/>
      <c r="L130" s="683"/>
      <c r="M130" s="99"/>
      <c r="O130" s="199"/>
      <c r="P130" s="430"/>
      <c r="Q130" s="430"/>
      <c r="R130" s="199"/>
    </row>
    <row r="131" spans="1:18" ht="15.75" customHeight="1">
      <c r="A131" s="694"/>
      <c r="B131" s="697"/>
      <c r="C131" s="204" t="s">
        <v>212</v>
      </c>
      <c r="D131" s="682"/>
      <c r="E131" s="689"/>
      <c r="F131" s="683"/>
      <c r="G131" s="200"/>
      <c r="H131" s="202"/>
      <c r="I131" s="203"/>
      <c r="J131" s="200"/>
      <c r="K131" s="682"/>
      <c r="L131" s="683"/>
      <c r="M131" s="99"/>
      <c r="O131" s="199"/>
      <c r="P131" s="430"/>
      <c r="Q131" s="430"/>
      <c r="R131" s="199"/>
    </row>
    <row r="132" spans="1:18" ht="15.75" customHeight="1">
      <c r="A132" s="695"/>
      <c r="B132" s="698"/>
      <c r="C132" s="204" t="s">
        <v>213</v>
      </c>
      <c r="D132" s="682"/>
      <c r="E132" s="689"/>
      <c r="F132" s="683"/>
      <c r="G132" s="200"/>
      <c r="H132" s="202"/>
      <c r="I132" s="203"/>
      <c r="J132" s="200"/>
      <c r="K132" s="682"/>
      <c r="L132" s="683"/>
      <c r="M132" s="99"/>
      <c r="O132" s="199"/>
      <c r="P132" s="430"/>
      <c r="Q132" s="430"/>
      <c r="R132" s="199"/>
    </row>
    <row r="133" spans="1:18" s="189" customFormat="1" ht="15.75" customHeight="1">
      <c r="A133" s="674" t="s">
        <v>844</v>
      </c>
      <c r="B133" s="674"/>
      <c r="C133" s="674"/>
      <c r="D133" s="674"/>
      <c r="E133" s="674"/>
      <c r="F133" s="674"/>
      <c r="G133" s="674"/>
      <c r="H133" s="674"/>
      <c r="I133" s="674"/>
      <c r="J133" s="674"/>
      <c r="K133" s="674"/>
      <c r="L133" s="674"/>
    </row>
    <row r="134" spans="1:18" s="190" customFormat="1" ht="15.75" customHeight="1">
      <c r="A134" s="674"/>
      <c r="B134" s="674"/>
      <c r="C134" s="674"/>
      <c r="D134" s="674"/>
      <c r="E134" s="674"/>
      <c r="F134" s="674"/>
      <c r="G134" s="674"/>
      <c r="H134" s="674"/>
      <c r="I134" s="674"/>
      <c r="J134" s="674"/>
      <c r="K134" s="674"/>
      <c r="L134" s="674"/>
    </row>
    <row r="135" spans="1:18" s="106" customFormat="1" ht="16.399999999999999" customHeight="1">
      <c r="A135" s="693" t="s">
        <v>164</v>
      </c>
      <c r="B135" s="170">
        <v>1</v>
      </c>
      <c r="C135" s="170">
        <v>2</v>
      </c>
      <c r="D135" s="170">
        <v>3</v>
      </c>
      <c r="E135" s="170">
        <v>4</v>
      </c>
      <c r="F135" s="170">
        <v>5</v>
      </c>
      <c r="G135" s="170">
        <v>6</v>
      </c>
      <c r="H135" s="170">
        <v>7</v>
      </c>
      <c r="I135" s="170">
        <v>8</v>
      </c>
      <c r="J135" s="191">
        <v>9</v>
      </c>
      <c r="K135" s="192"/>
      <c r="L135" s="192"/>
      <c r="M135" s="127"/>
      <c r="N135" s="178"/>
      <c r="O135" s="178"/>
      <c r="P135" s="178"/>
      <c r="Q135" s="178"/>
      <c r="R135" s="178"/>
    </row>
    <row r="136" spans="1:18" ht="16.399999999999999" customHeight="1">
      <c r="A136" s="695"/>
      <c r="B136" s="195" t="s">
        <v>208</v>
      </c>
      <c r="C136" s="195" t="s">
        <v>157</v>
      </c>
      <c r="D136" s="195" t="s">
        <v>209</v>
      </c>
      <c r="E136" s="195" t="s">
        <v>158</v>
      </c>
      <c r="F136" s="195" t="s">
        <v>139</v>
      </c>
      <c r="G136" s="196" t="s">
        <v>137</v>
      </c>
      <c r="H136" s="197" t="s">
        <v>210</v>
      </c>
      <c r="I136" s="196" t="s">
        <v>387</v>
      </c>
      <c r="J136" s="209" t="s">
        <v>143</v>
      </c>
      <c r="K136" s="198"/>
      <c r="L136" s="198"/>
      <c r="N136" s="199"/>
      <c r="O136" s="199"/>
      <c r="P136" s="199"/>
      <c r="Q136" s="199"/>
      <c r="R136" s="199"/>
    </row>
    <row r="137" spans="1:18" s="106" customFormat="1" ht="15.75" customHeight="1">
      <c r="A137" s="699" t="s">
        <v>190</v>
      </c>
      <c r="B137" s="700"/>
      <c r="C137" s="160" t="s">
        <v>47</v>
      </c>
      <c r="D137" s="699" t="s">
        <v>12</v>
      </c>
      <c r="E137" s="701"/>
      <c r="F137" s="700"/>
      <c r="G137" s="160" t="s">
        <v>46</v>
      </c>
      <c r="H137" s="160" t="s">
        <v>388</v>
      </c>
      <c r="I137" s="160" t="s">
        <v>389</v>
      </c>
      <c r="J137" s="160" t="s">
        <v>334</v>
      </c>
      <c r="K137" s="699" t="s">
        <v>51</v>
      </c>
      <c r="L137" s="700"/>
      <c r="M137" s="127"/>
      <c r="N137" s="189"/>
      <c r="O137" s="199"/>
      <c r="P137" s="430"/>
      <c r="Q137" s="430"/>
      <c r="R137" s="199"/>
    </row>
    <row r="138" spans="1:18" ht="15.75" customHeight="1">
      <c r="A138" s="693">
        <f>J135</f>
        <v>9</v>
      </c>
      <c r="B138" s="696" t="str">
        <f>J136</f>
        <v>微波小吃</v>
      </c>
      <c r="C138" s="200">
        <v>1</v>
      </c>
      <c r="D138" s="682" t="s">
        <v>364</v>
      </c>
      <c r="E138" s="689"/>
      <c r="F138" s="683"/>
      <c r="G138" s="200">
        <v>13</v>
      </c>
      <c r="H138" s="202">
        <v>1079.6277720595806</v>
      </c>
      <c r="I138" s="203">
        <v>83.048290158429268</v>
      </c>
      <c r="J138" s="376">
        <f>I138-I112</f>
        <v>1.7124993128021515E-3</v>
      </c>
      <c r="K138" s="682"/>
      <c r="L138" s="683"/>
      <c r="O138" s="199"/>
      <c r="P138" s="430"/>
      <c r="Q138" s="430"/>
      <c r="R138" s="199"/>
    </row>
    <row r="139" spans="1:18" ht="15.75" customHeight="1">
      <c r="A139" s="694"/>
      <c r="B139" s="697"/>
      <c r="C139" s="200">
        <v>2</v>
      </c>
      <c r="D139" s="682"/>
      <c r="E139" s="689"/>
      <c r="F139" s="683"/>
      <c r="G139" s="200"/>
      <c r="H139" s="202"/>
      <c r="I139" s="203"/>
      <c r="J139" s="200"/>
      <c r="K139" s="682"/>
      <c r="L139" s="683"/>
      <c r="O139" s="199"/>
      <c r="P139" s="430"/>
      <c r="Q139" s="430"/>
      <c r="R139" s="199"/>
    </row>
    <row r="140" spans="1:18" ht="15.75" customHeight="1">
      <c r="A140" s="694"/>
      <c r="B140" s="697"/>
      <c r="C140" s="200">
        <v>3</v>
      </c>
      <c r="D140" s="682"/>
      <c r="E140" s="689"/>
      <c r="F140" s="683"/>
      <c r="G140" s="200"/>
      <c r="H140" s="202"/>
      <c r="I140" s="203"/>
      <c r="J140" s="200"/>
      <c r="K140" s="682"/>
      <c r="L140" s="683"/>
      <c r="O140" s="199"/>
      <c r="P140" s="430"/>
      <c r="Q140" s="430"/>
      <c r="R140" s="199"/>
    </row>
    <row r="141" spans="1:18" ht="15.75" customHeight="1">
      <c r="A141" s="694"/>
      <c r="B141" s="697"/>
      <c r="C141" s="200">
        <v>4</v>
      </c>
      <c r="D141" s="682"/>
      <c r="E141" s="689"/>
      <c r="F141" s="683"/>
      <c r="G141" s="202"/>
      <c r="H141" s="202"/>
      <c r="I141" s="203"/>
      <c r="J141" s="200"/>
      <c r="K141" s="682"/>
      <c r="L141" s="683"/>
      <c r="O141" s="199"/>
      <c r="P141" s="430"/>
      <c r="Q141" s="430"/>
      <c r="R141" s="199"/>
    </row>
    <row r="142" spans="1:18" ht="15.75" customHeight="1">
      <c r="A142" s="694"/>
      <c r="B142" s="697"/>
      <c r="C142" s="200">
        <v>5</v>
      </c>
      <c r="D142" s="682"/>
      <c r="E142" s="689"/>
      <c r="F142" s="683"/>
      <c r="G142" s="200"/>
      <c r="H142" s="202"/>
      <c r="I142" s="203"/>
      <c r="J142" s="200"/>
      <c r="K142" s="682"/>
      <c r="L142" s="683"/>
      <c r="O142" s="199"/>
      <c r="P142" s="430"/>
      <c r="Q142" s="430"/>
      <c r="R142" s="199"/>
    </row>
    <row r="143" spans="1:18" ht="15.75" customHeight="1">
      <c r="A143" s="694"/>
      <c r="B143" s="697"/>
      <c r="C143" s="204" t="s">
        <v>206</v>
      </c>
      <c r="D143" s="682"/>
      <c r="E143" s="689"/>
      <c r="F143" s="683"/>
      <c r="G143" s="200"/>
      <c r="H143" s="202"/>
      <c r="I143" s="203"/>
      <c r="J143" s="200"/>
      <c r="K143" s="682"/>
      <c r="L143" s="683"/>
      <c r="O143" s="199"/>
      <c r="P143" s="430"/>
      <c r="Q143" s="430"/>
      <c r="R143" s="199"/>
    </row>
    <row r="144" spans="1:18" ht="15.75" customHeight="1">
      <c r="A144" s="694"/>
      <c r="B144" s="697"/>
      <c r="C144" s="204" t="s">
        <v>211</v>
      </c>
      <c r="D144" s="682"/>
      <c r="E144" s="689"/>
      <c r="F144" s="683"/>
      <c r="G144" s="200"/>
      <c r="H144" s="202"/>
      <c r="I144" s="203"/>
      <c r="J144" s="200"/>
      <c r="K144" s="682"/>
      <c r="L144" s="683"/>
      <c r="N144" s="178"/>
      <c r="O144" s="178"/>
      <c r="P144" s="429"/>
      <c r="Q144" s="429"/>
      <c r="R144" s="178"/>
    </row>
    <row r="145" spans="1:18" ht="15.75" customHeight="1">
      <c r="A145" s="694"/>
      <c r="B145" s="697"/>
      <c r="C145" s="204" t="s">
        <v>207</v>
      </c>
      <c r="D145" s="682"/>
      <c r="E145" s="689"/>
      <c r="F145" s="683"/>
      <c r="G145" s="200"/>
      <c r="H145" s="202"/>
      <c r="I145" s="203"/>
      <c r="J145" s="200"/>
      <c r="K145" s="682"/>
      <c r="L145" s="683"/>
      <c r="O145" s="199"/>
      <c r="P145" s="430"/>
      <c r="Q145" s="430"/>
      <c r="R145" s="199"/>
    </row>
    <row r="146" spans="1:18" ht="15.75" customHeight="1">
      <c r="A146" s="694"/>
      <c r="B146" s="697"/>
      <c r="C146" s="204" t="s">
        <v>212</v>
      </c>
      <c r="D146" s="682"/>
      <c r="E146" s="689"/>
      <c r="F146" s="683"/>
      <c r="G146" s="200"/>
      <c r="H146" s="202"/>
      <c r="I146" s="203"/>
      <c r="J146" s="200"/>
      <c r="K146" s="682"/>
      <c r="L146" s="683"/>
      <c r="M146" s="99"/>
      <c r="O146" s="199"/>
      <c r="P146" s="430"/>
      <c r="Q146" s="430"/>
      <c r="R146" s="199"/>
    </row>
    <row r="147" spans="1:18" ht="15.75" customHeight="1">
      <c r="A147" s="695"/>
      <c r="B147" s="698"/>
      <c r="C147" s="204" t="s">
        <v>213</v>
      </c>
      <c r="D147" s="682"/>
      <c r="E147" s="689"/>
      <c r="F147" s="683"/>
      <c r="G147" s="200"/>
      <c r="H147" s="202"/>
      <c r="I147" s="203"/>
      <c r="J147" s="200"/>
      <c r="K147" s="682"/>
      <c r="L147" s="683"/>
      <c r="M147" s="99"/>
      <c r="O147" s="199"/>
      <c r="P147" s="430"/>
      <c r="Q147" s="430"/>
      <c r="R147" s="199"/>
    </row>
    <row r="148" spans="1:18" s="104" customFormat="1" ht="15.75" customHeight="1">
      <c r="A148" s="690" t="s">
        <v>190</v>
      </c>
      <c r="B148" s="691"/>
      <c r="C148" s="207" t="s">
        <v>47</v>
      </c>
      <c r="D148" s="690" t="s">
        <v>12</v>
      </c>
      <c r="E148" s="692"/>
      <c r="F148" s="691"/>
      <c r="G148" s="207" t="s">
        <v>46</v>
      </c>
      <c r="H148" s="207" t="s">
        <v>388</v>
      </c>
      <c r="I148" s="207" t="s">
        <v>389</v>
      </c>
      <c r="J148" s="160" t="s">
        <v>334</v>
      </c>
      <c r="K148" s="690" t="s">
        <v>51</v>
      </c>
      <c r="L148" s="691"/>
      <c r="M148" s="128"/>
      <c r="N148" s="189"/>
      <c r="O148" s="199"/>
      <c r="P148" s="430"/>
      <c r="Q148" s="430"/>
      <c r="R148" s="199"/>
    </row>
    <row r="149" spans="1:18" ht="15.75" customHeight="1">
      <c r="A149" s="693"/>
      <c r="B149" s="696"/>
      <c r="C149" s="200">
        <v>1</v>
      </c>
      <c r="D149" s="682"/>
      <c r="E149" s="689"/>
      <c r="F149" s="683"/>
      <c r="G149" s="200"/>
      <c r="H149" s="202"/>
      <c r="I149" s="203"/>
      <c r="J149" s="200"/>
      <c r="K149" s="682"/>
      <c r="L149" s="683"/>
      <c r="M149" s="99"/>
      <c r="N149" s="199"/>
      <c r="O149" s="199"/>
      <c r="P149" s="430"/>
      <c r="Q149" s="430"/>
      <c r="R149" s="199"/>
    </row>
    <row r="150" spans="1:18" ht="15.75" customHeight="1">
      <c r="A150" s="694"/>
      <c r="B150" s="697"/>
      <c r="C150" s="200">
        <v>2</v>
      </c>
      <c r="D150" s="682"/>
      <c r="E150" s="689"/>
      <c r="F150" s="683"/>
      <c r="G150" s="200"/>
      <c r="H150" s="202"/>
      <c r="I150" s="203"/>
      <c r="J150" s="200"/>
      <c r="K150" s="682"/>
      <c r="L150" s="683"/>
      <c r="M150" s="99"/>
      <c r="O150" s="199"/>
      <c r="P150" s="430"/>
      <c r="Q150" s="430"/>
      <c r="R150" s="199"/>
    </row>
    <row r="151" spans="1:18" ht="15.75" customHeight="1">
      <c r="A151" s="694"/>
      <c r="B151" s="697"/>
      <c r="C151" s="200">
        <v>3</v>
      </c>
      <c r="D151" s="682"/>
      <c r="E151" s="689"/>
      <c r="F151" s="683"/>
      <c r="G151" s="200"/>
      <c r="H151" s="202"/>
      <c r="I151" s="203"/>
      <c r="J151" s="200"/>
      <c r="K151" s="682"/>
      <c r="L151" s="683"/>
      <c r="M151" s="99"/>
      <c r="O151" s="199"/>
      <c r="P151" s="430"/>
      <c r="Q151" s="430"/>
      <c r="R151" s="199"/>
    </row>
    <row r="152" spans="1:18" ht="15.75" customHeight="1">
      <c r="A152" s="694"/>
      <c r="B152" s="697"/>
      <c r="C152" s="200">
        <v>4</v>
      </c>
      <c r="D152" s="682"/>
      <c r="E152" s="689"/>
      <c r="F152" s="683"/>
      <c r="G152" s="200"/>
      <c r="H152" s="202"/>
      <c r="I152" s="203"/>
      <c r="J152" s="200"/>
      <c r="K152" s="682"/>
      <c r="L152" s="683"/>
      <c r="M152" s="99"/>
      <c r="O152" s="199"/>
      <c r="P152" s="430"/>
      <c r="Q152" s="430"/>
      <c r="R152" s="199"/>
    </row>
    <row r="153" spans="1:18" ht="15.75" customHeight="1">
      <c r="A153" s="694"/>
      <c r="B153" s="697"/>
      <c r="C153" s="200">
        <v>5</v>
      </c>
      <c r="D153" s="682"/>
      <c r="E153" s="689"/>
      <c r="F153" s="683"/>
      <c r="G153" s="200"/>
      <c r="H153" s="202"/>
      <c r="I153" s="203"/>
      <c r="J153" s="200"/>
      <c r="K153" s="682"/>
      <c r="L153" s="683"/>
      <c r="M153" s="99"/>
      <c r="O153" s="199"/>
      <c r="P153" s="430"/>
      <c r="Q153" s="430"/>
      <c r="R153" s="199"/>
    </row>
    <row r="154" spans="1:18" ht="15.75" customHeight="1">
      <c r="A154" s="694"/>
      <c r="B154" s="697"/>
      <c r="C154" s="204" t="s">
        <v>206</v>
      </c>
      <c r="D154" s="682"/>
      <c r="E154" s="689"/>
      <c r="F154" s="683"/>
      <c r="G154" s="200"/>
      <c r="H154" s="202"/>
      <c r="I154" s="203"/>
      <c r="J154" s="200"/>
      <c r="K154" s="682"/>
      <c r="L154" s="683"/>
      <c r="M154" s="99"/>
      <c r="O154" s="199"/>
      <c r="P154" s="430"/>
      <c r="Q154" s="430"/>
      <c r="R154" s="199"/>
    </row>
    <row r="155" spans="1:18" ht="15.75" customHeight="1">
      <c r="A155" s="694"/>
      <c r="B155" s="697"/>
      <c r="C155" s="204" t="s">
        <v>211</v>
      </c>
      <c r="D155" s="682"/>
      <c r="E155" s="689"/>
      <c r="F155" s="683"/>
      <c r="G155" s="200"/>
      <c r="H155" s="202"/>
      <c r="I155" s="203"/>
      <c r="J155" s="200"/>
      <c r="K155" s="682"/>
      <c r="L155" s="683"/>
      <c r="M155" s="99"/>
      <c r="O155" s="199"/>
      <c r="P155" s="430"/>
      <c r="Q155" s="430"/>
      <c r="R155" s="199"/>
    </row>
    <row r="156" spans="1:18" ht="15.75" customHeight="1">
      <c r="A156" s="694"/>
      <c r="B156" s="697"/>
      <c r="C156" s="204" t="s">
        <v>207</v>
      </c>
      <c r="D156" s="682"/>
      <c r="E156" s="689"/>
      <c r="F156" s="683"/>
      <c r="G156" s="200"/>
      <c r="H156" s="202"/>
      <c r="I156" s="203"/>
      <c r="J156" s="200"/>
      <c r="K156" s="682"/>
      <c r="L156" s="683"/>
      <c r="M156" s="99"/>
      <c r="O156" s="199"/>
      <c r="P156" s="430"/>
      <c r="Q156" s="430"/>
      <c r="R156" s="199"/>
    </row>
    <row r="157" spans="1:18" ht="15.75" customHeight="1">
      <c r="A157" s="694"/>
      <c r="B157" s="697"/>
      <c r="C157" s="204" t="s">
        <v>212</v>
      </c>
      <c r="D157" s="682"/>
      <c r="E157" s="689"/>
      <c r="F157" s="683"/>
      <c r="G157" s="200"/>
      <c r="H157" s="202"/>
      <c r="I157" s="203"/>
      <c r="J157" s="200"/>
      <c r="K157" s="682"/>
      <c r="L157" s="683"/>
      <c r="M157" s="99"/>
      <c r="O157" s="199"/>
      <c r="P157" s="430"/>
      <c r="Q157" s="430"/>
      <c r="R157" s="199"/>
    </row>
    <row r="158" spans="1:18" ht="15.75" customHeight="1">
      <c r="A158" s="695"/>
      <c r="B158" s="698"/>
      <c r="C158" s="204" t="s">
        <v>213</v>
      </c>
      <c r="D158" s="682"/>
      <c r="E158" s="689"/>
      <c r="F158" s="683"/>
      <c r="G158" s="200"/>
      <c r="H158" s="202"/>
      <c r="I158" s="203"/>
      <c r="J158" s="200"/>
      <c r="K158" s="682"/>
      <c r="L158" s="683"/>
      <c r="M158" s="99"/>
      <c r="O158" s="199"/>
      <c r="P158" s="430"/>
      <c r="Q158" s="430"/>
      <c r="R158" s="199"/>
    </row>
  </sheetData>
  <mergeCells count="313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D69:F69"/>
    <mergeCell ref="K69:L69"/>
    <mergeCell ref="K41:L41"/>
    <mergeCell ref="D42:F42"/>
    <mergeCell ref="D51:F51"/>
    <mergeCell ref="K51:L51"/>
    <mergeCell ref="A55:L56"/>
    <mergeCell ref="A57:A58"/>
    <mergeCell ref="A59:B59"/>
    <mergeCell ref="D59:F59"/>
    <mergeCell ref="K59:L59"/>
    <mergeCell ref="D52:F52"/>
    <mergeCell ref="K52:L52"/>
    <mergeCell ref="D53:F53"/>
    <mergeCell ref="K53:L53"/>
    <mergeCell ref="D54:F54"/>
    <mergeCell ref="K54:L54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A29:L30"/>
    <mergeCell ref="A31:A32"/>
    <mergeCell ref="A33:B33"/>
    <mergeCell ref="D33:F33"/>
    <mergeCell ref="K33:L33"/>
    <mergeCell ref="A34:A43"/>
    <mergeCell ref="B34:B43"/>
    <mergeCell ref="D34:F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K34:L34"/>
    <mergeCell ref="D41:F41"/>
    <mergeCell ref="K42:L42"/>
    <mergeCell ref="D43:F43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27:F27"/>
    <mergeCell ref="K27:L27"/>
    <mergeCell ref="D28:F28"/>
    <mergeCell ref="K28:L28"/>
    <mergeCell ref="K11:L11"/>
    <mergeCell ref="D12:F12"/>
    <mergeCell ref="K12:L12"/>
    <mergeCell ref="D13:F13"/>
    <mergeCell ref="K13:L13"/>
    <mergeCell ref="D14:F14"/>
    <mergeCell ref="K16:L16"/>
    <mergeCell ref="D17:F17"/>
    <mergeCell ref="K17:L17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K24:L24"/>
    <mergeCell ref="D10:F10"/>
    <mergeCell ref="K10:L10"/>
    <mergeCell ref="D11:F11"/>
    <mergeCell ref="K144:L144"/>
    <mergeCell ref="D145:F145"/>
    <mergeCell ref="K145:L145"/>
    <mergeCell ref="D146:F1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77:F77"/>
    <mergeCell ref="K77:L77"/>
    <mergeCell ref="D78:F78"/>
    <mergeCell ref="K78:L78"/>
    <mergeCell ref="D79:F79"/>
    <mergeCell ref="K79:L79"/>
    <mergeCell ref="D80:F80"/>
    <mergeCell ref="K80:L80"/>
    <mergeCell ref="A81:L82"/>
    <mergeCell ref="A83:A84"/>
    <mergeCell ref="A85:B85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5" sqref="B5"/>
    </sheetView>
  </sheetViews>
  <sheetFormatPr defaultColWidth="12.54296875" defaultRowHeight="15.75" customHeight="1"/>
  <cols>
    <col min="1" max="1" width="18" style="136" bestFit="1" customWidth="1"/>
    <col min="2" max="2" width="14.81640625" style="136" customWidth="1"/>
    <col min="3" max="3" width="12.81640625" style="136" customWidth="1"/>
    <col min="4" max="4" width="2.54296875" style="136" customWidth="1"/>
    <col min="5" max="5" width="7.54296875" style="136" customWidth="1"/>
    <col min="6" max="6" width="12.81640625" style="136" customWidth="1"/>
    <col min="7" max="7" width="9.453125" style="136" customWidth="1"/>
    <col min="8" max="8" width="12.81640625" style="136" customWidth="1"/>
    <col min="9" max="9" width="9.453125" style="136" customWidth="1"/>
    <col min="10" max="10" width="12.81640625" style="136" customWidth="1"/>
    <col min="11" max="11" width="9.453125" style="136" customWidth="1"/>
    <col min="12" max="12" width="12.81640625" style="136" customWidth="1"/>
    <col min="13" max="13" width="9.453125" style="136" customWidth="1"/>
    <col min="14" max="16384" width="12.54296875" style="136"/>
  </cols>
  <sheetData>
    <row r="1" spans="1:13" ht="15.75" customHeight="1">
      <c r="A1" s="703" t="s">
        <v>375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</row>
    <row r="2" spans="1:13" s="137" customFormat="1" ht="15.75" customHeight="1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</row>
    <row r="3" spans="1:13" ht="15.75" customHeight="1">
      <c r="A3" s="704" t="s">
        <v>240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</row>
    <row r="4" spans="1:13" s="137" customFormat="1" ht="15.75" customHeight="1">
      <c r="A4" s="704"/>
      <c r="B4" s="704"/>
      <c r="C4" s="704"/>
      <c r="D4" s="704"/>
      <c r="E4" s="704"/>
      <c r="F4" s="704"/>
      <c r="G4" s="704"/>
      <c r="H4" s="704"/>
      <c r="I4" s="704"/>
      <c r="J4" s="704"/>
      <c r="K4" s="704"/>
      <c r="L4" s="704"/>
      <c r="M4" s="704"/>
    </row>
    <row r="5" spans="1:13" ht="15.75" customHeight="1">
      <c r="A5" s="226" t="s">
        <v>450</v>
      </c>
      <c r="B5" s="138">
        <f>'生產管理報表(月)'!B6</f>
        <v>148837.99842999995</v>
      </c>
    </row>
    <row r="6" spans="1:13" ht="15.75" customHeight="1">
      <c r="A6" s="705" t="s">
        <v>241</v>
      </c>
      <c r="B6" s="706" t="s">
        <v>10</v>
      </c>
      <c r="C6" s="706"/>
      <c r="D6" s="707"/>
      <c r="E6" s="705" t="s">
        <v>199</v>
      </c>
      <c r="F6" s="709">
        <v>1</v>
      </c>
      <c r="G6" s="709"/>
      <c r="H6" s="709">
        <v>2</v>
      </c>
      <c r="I6" s="709"/>
      <c r="J6" s="709">
        <v>3</v>
      </c>
      <c r="K6" s="709"/>
      <c r="L6" s="709">
        <v>4</v>
      </c>
      <c r="M6" s="709"/>
    </row>
    <row r="7" spans="1:13" ht="31.4" customHeight="1">
      <c r="A7" s="705"/>
      <c r="B7" s="706"/>
      <c r="C7" s="706"/>
      <c r="D7" s="708"/>
      <c r="E7" s="705"/>
      <c r="F7" s="711" t="s">
        <v>500</v>
      </c>
      <c r="G7" s="711"/>
      <c r="H7" s="711" t="s">
        <v>242</v>
      </c>
      <c r="I7" s="711"/>
      <c r="J7" s="711" t="s">
        <v>168</v>
      </c>
      <c r="K7" s="711"/>
      <c r="L7" s="711" t="s">
        <v>466</v>
      </c>
      <c r="M7" s="711"/>
    </row>
    <row r="8" spans="1:13" ht="15.75" customHeight="1">
      <c r="A8" s="705"/>
      <c r="B8" s="155" t="s">
        <v>11</v>
      </c>
      <c r="C8" s="155" t="s">
        <v>243</v>
      </c>
      <c r="D8" s="708"/>
      <c r="E8" s="705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99999999999999" customHeight="1">
      <c r="A9" s="139" t="s">
        <v>244</v>
      </c>
      <c r="B9" s="140">
        <f>日別報廢率總表!AC3</f>
        <v>300999.54631999996</v>
      </c>
      <c r="C9" s="141">
        <f>B9/($B$5*1000)</f>
        <v>2.0223299795419057E-3</v>
      </c>
      <c r="D9" s="708"/>
      <c r="E9" s="139" t="s">
        <v>244</v>
      </c>
      <c r="F9" s="142">
        <f>'報廢20大－原因別分析'!AB143</f>
        <v>68275.290399999998</v>
      </c>
      <c r="G9" s="382">
        <f>'報廢20大－原因別分析'!AB144</f>
        <v>0.8125</v>
      </c>
      <c r="H9" s="142">
        <f>'報廢20大－原因別分析'!AC143</f>
        <v>0</v>
      </c>
      <c r="I9" s="382">
        <f>'報廢20大－原因別分析'!AC144</f>
        <v>0</v>
      </c>
      <c r="J9" s="142">
        <f>'報廢20大－原因別分析'!AD143</f>
        <v>12553.388799999999</v>
      </c>
      <c r="K9" s="382">
        <f>'報廢20大－原因別分析'!AD144</f>
        <v>0.1125</v>
      </c>
      <c r="L9" s="142">
        <f>'報廢20大－原因別分析'!AE143</f>
        <v>0</v>
      </c>
      <c r="M9" s="382">
        <f>'報廢20大－原因別分析'!AE144</f>
        <v>0</v>
      </c>
    </row>
    <row r="10" spans="1:13" ht="19.399999999999999" customHeight="1">
      <c r="A10" s="144" t="s">
        <v>245</v>
      </c>
      <c r="B10" s="145">
        <f>日別報廢率總表!AF3</f>
        <v>723832.20391999977</v>
      </c>
      <c r="C10" s="141">
        <f>B10/($B$5*1000)</f>
        <v>4.8632218355208904E-3</v>
      </c>
      <c r="D10" s="708"/>
      <c r="E10" s="144" t="s">
        <v>245</v>
      </c>
      <c r="F10" s="142">
        <f>'超用20大－原因別分析'!AB143</f>
        <v>0</v>
      </c>
      <c r="G10" s="382">
        <f>'超用20大－原因別分析'!AB144</f>
        <v>0</v>
      </c>
      <c r="H10" s="142">
        <f>'超用20大－原因別分析'!AC143</f>
        <v>0</v>
      </c>
      <c r="I10" s="382">
        <f>'超用20大－原因別分析'!AC144</f>
        <v>0</v>
      </c>
      <c r="J10" s="142">
        <f>'超用20大－原因別分析'!AD143</f>
        <v>0</v>
      </c>
      <c r="K10" s="382">
        <f>'超用20大－原因別分析'!AD144</f>
        <v>0</v>
      </c>
      <c r="L10" s="142">
        <f>'超用20大－原因別分析'!AE143</f>
        <v>274746.95629999996</v>
      </c>
      <c r="M10" s="382">
        <f>'超用20大－原因別分析'!AE144</f>
        <v>0.8</v>
      </c>
    </row>
    <row r="11" spans="1:13" ht="15.75" customHeight="1">
      <c r="D11" s="708"/>
      <c r="E11" s="705" t="s">
        <v>199</v>
      </c>
      <c r="F11" s="709">
        <v>5</v>
      </c>
      <c r="G11" s="709"/>
      <c r="H11" s="709">
        <v>6</v>
      </c>
      <c r="I11" s="709"/>
      <c r="J11" s="709">
        <v>7</v>
      </c>
      <c r="K11" s="709"/>
      <c r="L11" s="710">
        <v>8</v>
      </c>
      <c r="M11" s="710"/>
    </row>
    <row r="12" spans="1:13" ht="31.4" customHeight="1">
      <c r="D12" s="708"/>
      <c r="E12" s="705"/>
      <c r="F12" s="711" t="s">
        <v>191</v>
      </c>
      <c r="G12" s="711"/>
      <c r="H12" s="711" t="s">
        <v>169</v>
      </c>
      <c r="I12" s="711"/>
      <c r="J12" s="711" t="s">
        <v>192</v>
      </c>
      <c r="K12" s="711"/>
      <c r="L12" s="712"/>
      <c r="M12" s="712"/>
    </row>
    <row r="13" spans="1:13" ht="15.75" customHeight="1">
      <c r="D13" s="708"/>
      <c r="E13" s="705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99999999999999" customHeight="1">
      <c r="D14" s="708"/>
      <c r="E14" s="139" t="s">
        <v>244</v>
      </c>
      <c r="F14" s="142">
        <f>'報廢20大－原因別分析'!AF143</f>
        <v>3091.2</v>
      </c>
      <c r="G14" s="382">
        <f>'報廢20大－原因別分析'!AF144</f>
        <v>3.7499999999999999E-2</v>
      </c>
      <c r="H14" s="142">
        <f>'報廢20大－原因別分析'!AG143</f>
        <v>3893.3999999999996</v>
      </c>
      <c r="I14" s="382">
        <f>'報廢20大－原因別分析'!AG144</f>
        <v>3.7499999999999999E-2</v>
      </c>
      <c r="J14" s="142">
        <f>'報廢20大－原因別分析'!AH143</f>
        <v>0</v>
      </c>
      <c r="K14" s="382">
        <f>'報廢20大－原因別分析'!AH144</f>
        <v>0</v>
      </c>
      <c r="L14" s="142"/>
      <c r="M14" s="143"/>
    </row>
    <row r="15" spans="1:13" ht="19.399999999999999" customHeight="1">
      <c r="D15" s="708"/>
      <c r="E15" s="144" t="s">
        <v>245</v>
      </c>
      <c r="F15" s="142">
        <f>'超用20大－原因別分析'!AF143</f>
        <v>75640.435799999992</v>
      </c>
      <c r="G15" s="382">
        <f>'超用20大－原因別分析'!AF144</f>
        <v>0.05</v>
      </c>
      <c r="H15" s="142">
        <f>'超用20大－原因別分析'!AG143</f>
        <v>44884.544799999967</v>
      </c>
      <c r="I15" s="382">
        <f>'超用20大－原因別分析'!AG144</f>
        <v>0.15</v>
      </c>
      <c r="J15" s="142">
        <f>'超用20大－原因別分析'!AH143</f>
        <v>0</v>
      </c>
      <c r="K15" s="382">
        <f>'超用20大－原因別分析'!AH144</f>
        <v>0</v>
      </c>
      <c r="L15" s="142"/>
      <c r="M15" s="143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0000"/>
    <outlinePr summaryBelow="0" summaryRight="0"/>
  </sheetPr>
  <dimension ref="A1:BV30"/>
  <sheetViews>
    <sheetView view="pageBreakPreview" topLeftCell="A16" zoomScaleNormal="60" zoomScaleSheetLayoutView="100" workbookViewId="0">
      <selection activeCell="Q29" sqref="Q29"/>
    </sheetView>
  </sheetViews>
  <sheetFormatPr defaultColWidth="12.54296875" defaultRowHeight="15.75" customHeight="1"/>
  <cols>
    <col min="1" max="1" width="5.453125" style="136" customWidth="1"/>
    <col min="2" max="2" width="11.453125" style="239" customWidth="1"/>
    <col min="3" max="3" width="4" style="240" customWidth="1"/>
    <col min="4" max="15" width="9.54296875" style="136" customWidth="1"/>
    <col min="16" max="16" width="55.453125" style="136" customWidth="1"/>
    <col min="17" max="20" width="12.54296875" style="238"/>
    <col min="21" max="21" width="24.453125" style="136" bestFit="1" customWidth="1"/>
    <col min="22" max="22" width="19.453125" style="136" bestFit="1" customWidth="1"/>
    <col min="23" max="23" width="23" style="136" bestFit="1" customWidth="1"/>
    <col min="24" max="24" width="11.7265625" style="136" bestFit="1" customWidth="1"/>
    <col min="25" max="25" width="15.81640625" style="136" bestFit="1" customWidth="1"/>
    <col min="26" max="26" width="23.54296875" style="136" bestFit="1" customWidth="1"/>
    <col min="27" max="27" width="23" style="136" bestFit="1" customWidth="1"/>
    <col min="28" max="28" width="11.7265625" style="136" bestFit="1" customWidth="1"/>
    <col min="29" max="29" width="20.54296875" style="136" bestFit="1" customWidth="1"/>
    <col min="30" max="30" width="15" style="136" bestFit="1" customWidth="1"/>
    <col min="31" max="31" width="23" style="136" bestFit="1" customWidth="1"/>
    <col min="32" max="32" width="11.7265625" style="136" bestFit="1" customWidth="1"/>
    <col min="33" max="33" width="15.81640625" style="136" bestFit="1" customWidth="1"/>
    <col min="34" max="34" width="15" style="136" bestFit="1" customWidth="1"/>
    <col min="35" max="35" width="23" style="136" bestFit="1" customWidth="1"/>
    <col min="36" max="36" width="15" style="136" bestFit="1" customWidth="1"/>
    <col min="37" max="37" width="23" style="136" bestFit="1" customWidth="1"/>
    <col min="38" max="38" width="11.7265625" style="136" bestFit="1" customWidth="1"/>
    <col min="39" max="39" width="13.81640625" style="136" bestFit="1" customWidth="1"/>
    <col min="40" max="40" width="27.81640625" style="136" bestFit="1" customWidth="1"/>
    <col min="41" max="41" width="23" style="136" bestFit="1" customWidth="1"/>
    <col min="42" max="42" width="8" style="136" bestFit="1" customWidth="1"/>
    <col min="43" max="43" width="30.7265625" style="136" bestFit="1" customWidth="1"/>
    <col min="44" max="44" width="25.7265625" style="136" bestFit="1" customWidth="1"/>
    <col min="45" max="45" width="23" style="136" bestFit="1" customWidth="1"/>
    <col min="46" max="46" width="15" style="136" bestFit="1" customWidth="1"/>
    <col min="47" max="47" width="23" style="136" bestFit="1" customWidth="1"/>
    <col min="48" max="48" width="11.7265625" style="136" bestFit="1" customWidth="1"/>
    <col min="49" max="49" width="20.1796875" style="136" bestFit="1" customWidth="1"/>
    <col min="50" max="50" width="23.54296875" style="136" bestFit="1" customWidth="1"/>
    <col min="51" max="51" width="23" style="136" bestFit="1" customWidth="1"/>
    <col min="52" max="52" width="11.7265625" style="136" bestFit="1" customWidth="1"/>
    <col min="53" max="53" width="21.453125" style="136" bestFit="1" customWidth="1"/>
    <col min="54" max="54" width="15" style="136" bestFit="1" customWidth="1"/>
    <col min="55" max="55" width="23" style="136" bestFit="1" customWidth="1"/>
    <col min="56" max="56" width="11.7265625" style="136" bestFit="1" customWidth="1"/>
    <col min="57" max="57" width="13.81640625" style="136" bestFit="1" customWidth="1"/>
    <col min="58" max="58" width="22" style="136" bestFit="1" customWidth="1"/>
    <col min="59" max="59" width="23" style="136" bestFit="1" customWidth="1"/>
    <col min="60" max="60" width="15" style="136" bestFit="1" customWidth="1"/>
    <col min="61" max="61" width="23" style="136" bestFit="1" customWidth="1"/>
    <col min="62" max="62" width="11.7265625" style="136" bestFit="1" customWidth="1"/>
    <col min="63" max="63" width="24.7265625" style="136" bestFit="1" customWidth="1"/>
    <col min="64" max="64" width="18.7265625" style="136" bestFit="1" customWidth="1"/>
    <col min="65" max="65" width="23" style="136" bestFit="1" customWidth="1"/>
    <col min="66" max="66" width="15" style="136" bestFit="1" customWidth="1"/>
    <col min="67" max="67" width="23" style="136" bestFit="1" customWidth="1"/>
    <col min="68" max="68" width="15" style="136" bestFit="1" customWidth="1"/>
    <col min="69" max="69" width="23" style="136" bestFit="1" customWidth="1"/>
    <col min="70" max="70" width="15" style="136" bestFit="1" customWidth="1"/>
    <col min="71" max="71" width="21.81640625" style="136" bestFit="1" customWidth="1"/>
    <col min="72" max="72" width="10.54296875" style="136" bestFit="1" customWidth="1"/>
    <col min="73" max="73" width="21.453125" style="136" bestFit="1" customWidth="1"/>
    <col min="74" max="74" width="5.453125" style="136" bestFit="1" customWidth="1"/>
    <col min="75" max="16384" width="12.54296875" style="136"/>
  </cols>
  <sheetData>
    <row r="1" spans="1:74" ht="15.75" customHeight="1">
      <c r="A1" s="703" t="s">
        <v>375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</row>
    <row r="2" spans="1:74" s="137" customFormat="1" ht="15.75" customHeight="1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3"/>
    </row>
    <row r="3" spans="1:74" ht="15.75" customHeight="1">
      <c r="A3" s="704" t="s">
        <v>467</v>
      </c>
      <c r="B3" s="730"/>
      <c r="C3" s="730"/>
      <c r="D3" s="730"/>
      <c r="E3" s="730"/>
      <c r="F3" s="730"/>
      <c r="G3" s="730"/>
      <c r="H3" s="730"/>
      <c r="I3" s="730"/>
      <c r="J3" s="730"/>
      <c r="K3" s="730"/>
      <c r="L3" s="730"/>
      <c r="M3" s="730"/>
    </row>
    <row r="4" spans="1:74" s="137" customFormat="1" ht="15.75" customHeight="1">
      <c r="A4" s="730"/>
      <c r="B4" s="730"/>
      <c r="C4" s="730"/>
      <c r="D4" s="730"/>
      <c r="E4" s="730"/>
      <c r="F4" s="730"/>
      <c r="G4" s="730"/>
      <c r="H4" s="730"/>
      <c r="I4" s="730"/>
      <c r="J4" s="730"/>
      <c r="K4" s="730"/>
      <c r="L4" s="730"/>
      <c r="M4" s="730"/>
    </row>
    <row r="5" spans="1:74" ht="15.75" customHeight="1">
      <c r="A5" s="706" t="s">
        <v>193</v>
      </c>
      <c r="B5" s="731">
        <v>1</v>
      </c>
      <c r="C5" s="731"/>
      <c r="D5" s="731">
        <v>2</v>
      </c>
      <c r="E5" s="731"/>
      <c r="F5" s="731">
        <v>3</v>
      </c>
      <c r="G5" s="731"/>
      <c r="H5" s="709">
        <v>4</v>
      </c>
      <c r="I5" s="709"/>
      <c r="J5" s="709">
        <v>5</v>
      </c>
      <c r="K5" s="709"/>
      <c r="L5" s="709">
        <v>6</v>
      </c>
      <c r="M5" s="709"/>
      <c r="N5" s="709">
        <v>7</v>
      </c>
      <c r="O5" s="709"/>
      <c r="P5" s="378">
        <v>8</v>
      </c>
    </row>
    <row r="6" spans="1:74" ht="15.75" customHeight="1">
      <c r="A6" s="706"/>
      <c r="B6" s="732" t="s">
        <v>500</v>
      </c>
      <c r="C6" s="732"/>
      <c r="D6" s="732" t="s">
        <v>214</v>
      </c>
      <c r="E6" s="732"/>
      <c r="F6" s="732" t="s">
        <v>168</v>
      </c>
      <c r="G6" s="732"/>
      <c r="H6" s="706" t="s">
        <v>465</v>
      </c>
      <c r="I6" s="706"/>
      <c r="J6" s="706" t="s">
        <v>191</v>
      </c>
      <c r="K6" s="706"/>
      <c r="L6" s="706" t="s">
        <v>169</v>
      </c>
      <c r="M6" s="706"/>
      <c r="N6" s="706" t="s">
        <v>192</v>
      </c>
      <c r="O6" s="706"/>
      <c r="P6" s="379" t="s">
        <v>219</v>
      </c>
    </row>
    <row r="8" spans="1:74" s="242" customFormat="1" ht="15.75" customHeight="1">
      <c r="A8" s="709" t="s">
        <v>193</v>
      </c>
      <c r="B8" s="709"/>
      <c r="C8" s="241" t="s">
        <v>47</v>
      </c>
      <c r="D8" s="727" t="s">
        <v>12</v>
      </c>
      <c r="E8" s="727"/>
      <c r="F8" s="727"/>
      <c r="G8" s="721" t="s">
        <v>53</v>
      </c>
      <c r="H8" s="722"/>
      <c r="I8" s="723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335</v>
      </c>
      <c r="O8" s="713" t="s">
        <v>51</v>
      </c>
      <c r="P8" s="713"/>
    </row>
    <row r="9" spans="1:74" ht="55" customHeight="1">
      <c r="A9" s="709">
        <v>1</v>
      </c>
      <c r="B9" s="724" t="s">
        <v>501</v>
      </c>
      <c r="C9" s="243">
        <v>1</v>
      </c>
      <c r="D9" s="244" t="s">
        <v>346</v>
      </c>
      <c r="E9" s="245"/>
      <c r="F9" s="246"/>
      <c r="G9" s="313" t="s">
        <v>338</v>
      </c>
      <c r="H9" s="312"/>
      <c r="I9" s="313"/>
      <c r="J9" s="243">
        <v>141.66999999999999</v>
      </c>
      <c r="K9" s="249">
        <v>1.2662808148102538E-2</v>
      </c>
      <c r="L9" s="243">
        <v>31.259999999999998</v>
      </c>
      <c r="M9" s="333">
        <f>L9*J9</f>
        <v>4428.6041999999998</v>
      </c>
      <c r="N9" s="250"/>
      <c r="O9" s="728" t="s">
        <v>799</v>
      </c>
      <c r="P9" s="728"/>
    </row>
    <row r="10" spans="1:74" ht="55" customHeight="1">
      <c r="A10" s="709"/>
      <c r="B10" s="724"/>
      <c r="C10" s="243">
        <v>2</v>
      </c>
      <c r="D10" s="244" t="s">
        <v>360</v>
      </c>
      <c r="E10" s="245"/>
      <c r="F10" s="246"/>
      <c r="G10" s="370" t="s">
        <v>367</v>
      </c>
      <c r="H10" s="312"/>
      <c r="I10" s="313"/>
      <c r="J10" s="243">
        <v>183.65</v>
      </c>
      <c r="K10" s="249">
        <v>1.687019523883659E-2</v>
      </c>
      <c r="L10" s="243">
        <v>17.14</v>
      </c>
      <c r="M10" s="333">
        <f t="shared" ref="M10:M13" si="0">L10*J10</f>
        <v>3147.7610000000004</v>
      </c>
      <c r="N10" s="250"/>
      <c r="O10" s="728" t="s">
        <v>800</v>
      </c>
      <c r="P10" s="728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</row>
    <row r="11" spans="1:74" ht="55" customHeight="1">
      <c r="A11" s="709"/>
      <c r="B11" s="724"/>
      <c r="C11" s="243">
        <v>3</v>
      </c>
      <c r="D11" s="244" t="s">
        <v>360</v>
      </c>
      <c r="E11" s="245"/>
      <c r="F11" s="246"/>
      <c r="G11" s="313" t="s">
        <v>368</v>
      </c>
      <c r="H11" s="312"/>
      <c r="I11" s="313"/>
      <c r="J11" s="243">
        <v>253.92000000000002</v>
      </c>
      <c r="K11" s="249">
        <v>1.6004537935299365E-2</v>
      </c>
      <c r="L11" s="243">
        <v>17.62</v>
      </c>
      <c r="M11" s="333">
        <f t="shared" si="0"/>
        <v>4474.0704000000005</v>
      </c>
      <c r="N11" s="250"/>
      <c r="O11" s="729" t="s">
        <v>801</v>
      </c>
      <c r="P11" s="729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</row>
    <row r="12" spans="1:74" ht="55" customHeight="1">
      <c r="A12" s="709"/>
      <c r="B12" s="724"/>
      <c r="C12" s="243">
        <v>4</v>
      </c>
      <c r="D12" s="244" t="s">
        <v>522</v>
      </c>
      <c r="E12" s="245"/>
      <c r="F12" s="246"/>
      <c r="G12" s="370" t="s">
        <v>520</v>
      </c>
      <c r="H12" s="312"/>
      <c r="I12" s="313"/>
      <c r="J12" s="243">
        <v>153.19000000000003</v>
      </c>
      <c r="K12" s="249">
        <v>2.4486343600072801E-2</v>
      </c>
      <c r="L12" s="243">
        <v>21.91</v>
      </c>
      <c r="M12" s="333">
        <f t="shared" si="0"/>
        <v>3356.3929000000007</v>
      </c>
      <c r="N12" s="250"/>
      <c r="O12" s="729" t="s">
        <v>802</v>
      </c>
      <c r="P12" s="729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</row>
    <row r="13" spans="1:74" ht="55" customHeight="1" thickBot="1">
      <c r="A13" s="709"/>
      <c r="B13" s="724"/>
      <c r="C13" s="243">
        <v>5</v>
      </c>
      <c r="D13" s="251" t="s">
        <v>344</v>
      </c>
      <c r="E13" s="252"/>
      <c r="F13" s="253"/>
      <c r="G13" s="386" t="s">
        <v>436</v>
      </c>
      <c r="H13" s="385"/>
      <c r="I13" s="386"/>
      <c r="J13" s="254">
        <v>157.87</v>
      </c>
      <c r="K13" s="255">
        <v>4.3316955780607633E-3</v>
      </c>
      <c r="L13" s="254">
        <v>6.4799999999999995</v>
      </c>
      <c r="M13" s="334">
        <f t="shared" si="0"/>
        <v>1022.9975999999999</v>
      </c>
      <c r="N13" s="250"/>
      <c r="O13" s="729" t="s">
        <v>803</v>
      </c>
      <c r="P13" s="729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</row>
    <row r="14" spans="1:74" ht="15.75" customHeight="1" thickTop="1">
      <c r="A14" s="709"/>
      <c r="B14" s="724"/>
      <c r="C14" s="715"/>
      <c r="D14" s="716"/>
      <c r="E14" s="716"/>
      <c r="F14" s="716"/>
      <c r="G14" s="716"/>
      <c r="H14" s="716"/>
      <c r="I14" s="717"/>
      <c r="J14" s="256" t="s">
        <v>58</v>
      </c>
      <c r="K14" s="353">
        <f>M14/'生產管理報表 7-1(月)'!$B$9</f>
        <v>5.4584222138770448E-2</v>
      </c>
      <c r="L14" s="256" t="s">
        <v>59</v>
      </c>
      <c r="M14" s="380">
        <f>SUM(M9:M13)</f>
        <v>16429.826100000002</v>
      </c>
      <c r="N14" s="726"/>
      <c r="O14" s="726"/>
      <c r="P14" s="726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</row>
    <row r="15" spans="1:74" ht="15.75" customHeight="1"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</row>
    <row r="16" spans="1:74" ht="15.75" customHeight="1">
      <c r="A16" s="709" t="s">
        <v>193</v>
      </c>
      <c r="B16" s="709"/>
      <c r="C16" s="259" t="s">
        <v>47</v>
      </c>
      <c r="D16" s="718" t="s">
        <v>12</v>
      </c>
      <c r="E16" s="719"/>
      <c r="F16" s="720"/>
      <c r="G16" s="721" t="s">
        <v>53</v>
      </c>
      <c r="H16" s="722"/>
      <c r="I16" s="723"/>
      <c r="J16" s="261" t="s">
        <v>54</v>
      </c>
      <c r="K16" s="261" t="s">
        <v>55</v>
      </c>
      <c r="L16" s="261" t="s">
        <v>56</v>
      </c>
      <c r="M16" s="261" t="s">
        <v>11</v>
      </c>
      <c r="N16" s="241" t="s">
        <v>335</v>
      </c>
      <c r="O16" s="713" t="s">
        <v>51</v>
      </c>
      <c r="P16" s="713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</row>
    <row r="17" spans="1:35" ht="20.149999999999999" customHeight="1">
      <c r="A17" s="709">
        <v>2</v>
      </c>
      <c r="B17" s="724" t="s">
        <v>215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50"/>
      <c r="O17" s="714"/>
      <c r="P17" s="714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</row>
    <row r="18" spans="1:35" ht="20.149999999999999" customHeight="1">
      <c r="A18" s="709"/>
      <c r="B18" s="724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50"/>
      <c r="O18" s="714"/>
      <c r="P18" s="714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</row>
    <row r="19" spans="1:35" ht="20.149999999999999" customHeight="1">
      <c r="A19" s="709"/>
      <c r="B19" s="724"/>
      <c r="C19" s="263">
        <v>3</v>
      </c>
      <c r="D19" s="244"/>
      <c r="E19" s="245"/>
      <c r="F19" s="246"/>
      <c r="G19" s="244"/>
      <c r="H19" s="245"/>
      <c r="I19" s="246"/>
      <c r="J19" s="264"/>
      <c r="K19" s="265"/>
      <c r="L19" s="264"/>
      <c r="M19" s="266">
        <f t="shared" si="1"/>
        <v>0</v>
      </c>
      <c r="N19" s="250"/>
      <c r="O19" s="733"/>
      <c r="P19" s="733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</row>
    <row r="20" spans="1:35" ht="20.149999999999999" customHeight="1">
      <c r="A20" s="709"/>
      <c r="B20" s="724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50"/>
      <c r="O20" s="733"/>
      <c r="P20" s="733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</row>
    <row r="21" spans="1:35" ht="20.149999999999999" customHeight="1" thickBot="1">
      <c r="A21" s="709"/>
      <c r="B21" s="724"/>
      <c r="C21" s="269">
        <v>5</v>
      </c>
      <c r="D21" s="251"/>
      <c r="E21" s="252"/>
      <c r="F21" s="253"/>
      <c r="G21" s="251"/>
      <c r="H21" s="252"/>
      <c r="I21" s="253"/>
      <c r="J21" s="270"/>
      <c r="K21" s="271"/>
      <c r="L21" s="270"/>
      <c r="M21" s="272">
        <f t="shared" si="1"/>
        <v>0</v>
      </c>
      <c r="N21" s="250"/>
      <c r="O21" s="733"/>
      <c r="P21" s="733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</row>
    <row r="22" spans="1:35" ht="15.75" customHeight="1" thickTop="1">
      <c r="A22" s="709"/>
      <c r="B22" s="724"/>
      <c r="C22" s="715"/>
      <c r="D22" s="716"/>
      <c r="E22" s="716"/>
      <c r="F22" s="716"/>
      <c r="G22" s="716"/>
      <c r="H22" s="716"/>
      <c r="I22" s="717"/>
      <c r="J22" s="256" t="s">
        <v>58</v>
      </c>
      <c r="K22" s="353">
        <f>M22/'生產管理報表 7-1(月)'!$B$9</f>
        <v>0</v>
      </c>
      <c r="L22" s="256" t="s">
        <v>59</v>
      </c>
      <c r="M22" s="257">
        <f>SUM(M17:M21)</f>
        <v>0</v>
      </c>
      <c r="N22" s="726"/>
      <c r="O22" s="726"/>
      <c r="P22" s="726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</row>
    <row r="23" spans="1:35" ht="15.75" customHeight="1"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</row>
    <row r="24" spans="1:35" ht="15.75" customHeight="1">
      <c r="A24" s="709" t="s">
        <v>193</v>
      </c>
      <c r="B24" s="709"/>
      <c r="C24" s="259" t="s">
        <v>47</v>
      </c>
      <c r="D24" s="718" t="s">
        <v>12</v>
      </c>
      <c r="E24" s="719"/>
      <c r="F24" s="720"/>
      <c r="G24" s="721" t="s">
        <v>53</v>
      </c>
      <c r="H24" s="722"/>
      <c r="I24" s="723"/>
      <c r="J24" s="260" t="s">
        <v>54</v>
      </c>
      <c r="K24" s="261" t="s">
        <v>55</v>
      </c>
      <c r="L24" s="261" t="s">
        <v>56</v>
      </c>
      <c r="M24" s="261" t="s">
        <v>11</v>
      </c>
      <c r="N24" s="241" t="s">
        <v>335</v>
      </c>
      <c r="O24" s="713" t="s">
        <v>51</v>
      </c>
      <c r="P24" s="713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</row>
    <row r="25" spans="1:35" ht="40" customHeight="1">
      <c r="A25" s="709">
        <v>3</v>
      </c>
      <c r="B25" s="724" t="s">
        <v>451</v>
      </c>
      <c r="C25" s="263">
        <v>1</v>
      </c>
      <c r="D25" s="244" t="s">
        <v>437</v>
      </c>
      <c r="E25" s="245"/>
      <c r="F25" s="246"/>
      <c r="G25" s="386" t="s">
        <v>453</v>
      </c>
      <c r="H25" s="385"/>
      <c r="I25" s="386"/>
      <c r="J25" s="264">
        <v>122.81999999999996</v>
      </c>
      <c r="K25" s="265">
        <v>1.4161673768863544E-2</v>
      </c>
      <c r="L25" s="264">
        <v>8.84</v>
      </c>
      <c r="M25" s="336">
        <f t="shared" ref="M25:M29" si="2">L25*J25</f>
        <v>1085.7287999999996</v>
      </c>
      <c r="N25" s="250"/>
      <c r="O25" s="714" t="s">
        <v>804</v>
      </c>
      <c r="P25" s="714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</row>
    <row r="26" spans="1:35" ht="40" customHeight="1">
      <c r="A26" s="709"/>
      <c r="B26" s="724"/>
      <c r="C26" s="263">
        <v>2</v>
      </c>
      <c r="D26" s="244" t="s">
        <v>344</v>
      </c>
      <c r="E26" s="245"/>
      <c r="F26" s="246"/>
      <c r="G26" s="386" t="s">
        <v>493</v>
      </c>
      <c r="H26" s="385"/>
      <c r="I26" s="386"/>
      <c r="J26" s="264">
        <v>1.17</v>
      </c>
      <c r="K26" s="265">
        <v>4.5533687881495529E-3</v>
      </c>
      <c r="L26" s="264">
        <v>4803</v>
      </c>
      <c r="M26" s="336">
        <f t="shared" si="2"/>
        <v>5619.5099999999993</v>
      </c>
      <c r="N26" s="250"/>
      <c r="O26" s="714" t="s">
        <v>805</v>
      </c>
      <c r="P26" s="714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</row>
    <row r="27" spans="1:35" ht="40" customHeight="1">
      <c r="A27" s="709"/>
      <c r="B27" s="724"/>
      <c r="C27" s="263">
        <v>3</v>
      </c>
      <c r="D27" s="244" t="s">
        <v>344</v>
      </c>
      <c r="E27" s="245"/>
      <c r="F27" s="246"/>
      <c r="G27" s="386" t="s">
        <v>494</v>
      </c>
      <c r="H27" s="385"/>
      <c r="I27" s="386"/>
      <c r="J27" s="264">
        <v>2.4499999999999997</v>
      </c>
      <c r="K27" s="265">
        <v>4.0029039141176908E-3</v>
      </c>
      <c r="L27" s="264">
        <v>2387</v>
      </c>
      <c r="M27" s="336">
        <f t="shared" si="2"/>
        <v>5848.15</v>
      </c>
      <c r="N27" s="250"/>
      <c r="O27" s="725" t="s">
        <v>806</v>
      </c>
      <c r="P27" s="725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</row>
    <row r="28" spans="1:35" ht="40" customHeight="1">
      <c r="A28" s="709"/>
      <c r="B28" s="724"/>
      <c r="C28" s="263">
        <v>4</v>
      </c>
      <c r="D28" s="244"/>
      <c r="E28" s="245"/>
      <c r="F28" s="246"/>
      <c r="G28" s="251"/>
      <c r="H28" s="252"/>
      <c r="I28" s="253"/>
      <c r="J28" s="264"/>
      <c r="K28" s="265"/>
      <c r="L28" s="264"/>
      <c r="M28" s="336">
        <f t="shared" si="2"/>
        <v>0</v>
      </c>
      <c r="N28" s="250"/>
      <c r="O28" s="725"/>
      <c r="P28" s="725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</row>
    <row r="29" spans="1:35" ht="40" customHeight="1" thickBot="1">
      <c r="A29" s="709"/>
      <c r="B29" s="724"/>
      <c r="C29" s="269">
        <v>5</v>
      </c>
      <c r="D29" s="251"/>
      <c r="E29" s="252"/>
      <c r="F29" s="253"/>
      <c r="G29" s="384"/>
      <c r="H29" s="385"/>
      <c r="I29" s="386"/>
      <c r="J29" s="270"/>
      <c r="K29" s="271"/>
      <c r="L29" s="270"/>
      <c r="M29" s="336">
        <f t="shared" si="2"/>
        <v>0</v>
      </c>
      <c r="N29" s="250"/>
      <c r="O29" s="725"/>
      <c r="P29" s="725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</row>
    <row r="30" spans="1:35" ht="15.75" customHeight="1" thickTop="1">
      <c r="A30" s="709"/>
      <c r="B30" s="724"/>
      <c r="C30" s="715"/>
      <c r="D30" s="716"/>
      <c r="E30" s="716"/>
      <c r="F30" s="716"/>
      <c r="G30" s="716"/>
      <c r="H30" s="716"/>
      <c r="I30" s="717"/>
      <c r="J30" s="281" t="s">
        <v>58</v>
      </c>
      <c r="K30" s="353">
        <f>M30/'生產管理報表 7-1(月)'!$B$9</f>
        <v>4.1705673491793854E-2</v>
      </c>
      <c r="L30" s="281" t="s">
        <v>59</v>
      </c>
      <c r="M30" s="337">
        <f>SUM(M25:M29)</f>
        <v>12553.388799999999</v>
      </c>
      <c r="N30" s="726"/>
      <c r="O30" s="726"/>
      <c r="P30" s="726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</row>
  </sheetData>
  <mergeCells count="56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C25" sqref="A25:XFD25"/>
    </sheetView>
  </sheetViews>
  <sheetFormatPr defaultColWidth="12.54296875" defaultRowHeight="15.75" customHeight="1"/>
  <cols>
    <col min="1" max="1" width="5.453125" style="296" customWidth="1"/>
    <col min="2" max="2" width="11.453125" style="304" customWidth="1"/>
    <col min="3" max="3" width="4" style="305" customWidth="1"/>
    <col min="4" max="4" width="9.54296875" style="296" customWidth="1"/>
    <col min="5" max="5" width="10.26953125" style="296" customWidth="1"/>
    <col min="6" max="15" width="9.54296875" style="296" customWidth="1"/>
    <col min="16" max="16" width="38" style="296" customWidth="1"/>
    <col min="17" max="16384" width="12.54296875" style="296"/>
  </cols>
  <sheetData>
    <row r="1" spans="1:20" s="136" customFormat="1" ht="15.75" customHeight="1">
      <c r="A1" s="703" t="s">
        <v>375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</row>
    <row r="2" spans="1:20" s="137" customFormat="1" ht="15.75" customHeight="1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3"/>
    </row>
    <row r="3" spans="1:20" s="136" customFormat="1" ht="15.75" customHeight="1">
      <c r="A3" s="704" t="s">
        <v>467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</row>
    <row r="4" spans="1:20" s="137" customFormat="1" ht="15.75" customHeight="1">
      <c r="A4" s="799"/>
      <c r="B4" s="799"/>
      <c r="C4" s="799"/>
      <c r="D4" s="799"/>
      <c r="E4" s="799"/>
      <c r="F4" s="799"/>
      <c r="G4" s="799"/>
      <c r="H4" s="799"/>
      <c r="I4" s="799"/>
      <c r="J4" s="799"/>
      <c r="K4" s="799"/>
      <c r="L4" s="799"/>
      <c r="M4" s="799"/>
    </row>
    <row r="5" spans="1:20" s="136" customFormat="1" ht="15.75" customHeight="1">
      <c r="A5" s="800" t="s">
        <v>193</v>
      </c>
      <c r="B5" s="802">
        <v>1</v>
      </c>
      <c r="C5" s="803"/>
      <c r="D5" s="802">
        <v>2</v>
      </c>
      <c r="E5" s="803"/>
      <c r="F5" s="802">
        <v>3</v>
      </c>
      <c r="G5" s="803"/>
      <c r="H5" s="793">
        <v>4</v>
      </c>
      <c r="I5" s="794"/>
      <c r="J5" s="793">
        <v>5</v>
      </c>
      <c r="K5" s="794"/>
      <c r="L5" s="793">
        <v>6</v>
      </c>
      <c r="M5" s="794"/>
      <c r="N5" s="793">
        <v>7</v>
      </c>
      <c r="O5" s="794"/>
      <c r="P5" s="338">
        <v>8</v>
      </c>
    </row>
    <row r="6" spans="1:20" s="136" customFormat="1" ht="15.75" customHeight="1">
      <c r="A6" s="801"/>
      <c r="B6" s="797" t="s">
        <v>500</v>
      </c>
      <c r="C6" s="798"/>
      <c r="D6" s="797" t="s">
        <v>214</v>
      </c>
      <c r="E6" s="798"/>
      <c r="F6" s="797" t="s">
        <v>168</v>
      </c>
      <c r="G6" s="798"/>
      <c r="H6" s="795" t="s">
        <v>465</v>
      </c>
      <c r="I6" s="796"/>
      <c r="J6" s="795" t="s">
        <v>191</v>
      </c>
      <c r="K6" s="796"/>
      <c r="L6" s="795" t="s">
        <v>169</v>
      </c>
      <c r="M6" s="796"/>
      <c r="N6" s="795" t="s">
        <v>192</v>
      </c>
      <c r="O6" s="796"/>
      <c r="P6" s="339" t="s">
        <v>219</v>
      </c>
    </row>
    <row r="7" spans="1:20" s="136" customFormat="1" ht="15.75" customHeight="1">
      <c r="B7" s="239"/>
      <c r="C7" s="240"/>
    </row>
    <row r="8" spans="1:20" s="285" customFormat="1" ht="15.75" customHeight="1">
      <c r="A8" s="737" t="s">
        <v>193</v>
      </c>
      <c r="B8" s="738"/>
      <c r="C8" s="282" t="s">
        <v>47</v>
      </c>
      <c r="D8" s="765" t="s">
        <v>12</v>
      </c>
      <c r="E8" s="766"/>
      <c r="F8" s="767"/>
      <c r="G8" s="768" t="s">
        <v>53</v>
      </c>
      <c r="H8" s="769"/>
      <c r="I8" s="770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335</v>
      </c>
      <c r="O8" s="745" t="s">
        <v>51</v>
      </c>
      <c r="P8" s="746"/>
      <c r="R8" s="354"/>
      <c r="S8" s="355"/>
    </row>
    <row r="9" spans="1:20" s="305" customFormat="1" ht="20.149999999999999" customHeight="1">
      <c r="A9" s="747">
        <v>4</v>
      </c>
      <c r="B9" s="781" t="s">
        <v>465</v>
      </c>
      <c r="C9" s="286">
        <v>1</v>
      </c>
      <c r="D9" s="244"/>
      <c r="E9" s="245"/>
      <c r="F9" s="246"/>
      <c r="G9" s="247"/>
      <c r="H9" s="248"/>
      <c r="I9" s="247"/>
      <c r="J9" s="323"/>
      <c r="K9" s="324"/>
      <c r="L9" s="325"/>
      <c r="M9" s="333">
        <f t="shared" ref="M9:M13" si="0">L9*J9</f>
        <v>0</v>
      </c>
      <c r="N9" s="325"/>
      <c r="O9" s="784"/>
      <c r="P9" s="785"/>
      <c r="R9" s="356"/>
      <c r="S9" s="356"/>
    </row>
    <row r="10" spans="1:20" s="305" customFormat="1" ht="20.149999999999999" customHeight="1">
      <c r="A10" s="748"/>
      <c r="B10" s="782"/>
      <c r="C10" s="286">
        <v>2</v>
      </c>
      <c r="D10" s="381"/>
      <c r="E10" s="245"/>
      <c r="F10" s="246"/>
      <c r="G10" s="247"/>
      <c r="H10" s="248"/>
      <c r="I10" s="247"/>
      <c r="J10" s="323"/>
      <c r="K10" s="324"/>
      <c r="L10" s="325"/>
      <c r="M10" s="333">
        <f t="shared" si="0"/>
        <v>0</v>
      </c>
      <c r="N10" s="325"/>
      <c r="O10" s="777"/>
      <c r="P10" s="778"/>
      <c r="R10" s="356"/>
      <c r="S10" s="356"/>
    </row>
    <row r="11" spans="1:20" s="305" customFormat="1" ht="20.149999999999999" customHeight="1">
      <c r="A11" s="748"/>
      <c r="B11" s="782"/>
      <c r="C11" s="286">
        <v>3</v>
      </c>
      <c r="D11" s="244"/>
      <c r="E11" s="245"/>
      <c r="F11" s="246"/>
      <c r="G11" s="247"/>
      <c r="H11" s="248"/>
      <c r="I11" s="247"/>
      <c r="J11" s="323"/>
      <c r="K11" s="324"/>
      <c r="L11" s="325"/>
      <c r="M11" s="333">
        <f t="shared" si="0"/>
        <v>0</v>
      </c>
      <c r="N11" s="325"/>
      <c r="O11" s="786"/>
      <c r="P11" s="787"/>
      <c r="R11" s="356"/>
      <c r="S11" s="354"/>
    </row>
    <row r="12" spans="1:20" s="305" customFormat="1" ht="20.149999999999999" customHeight="1">
      <c r="A12" s="748"/>
      <c r="B12" s="782"/>
      <c r="C12" s="286">
        <v>4</v>
      </c>
      <c r="D12" s="251"/>
      <c r="E12" s="245"/>
      <c r="F12" s="246"/>
      <c r="G12" s="247"/>
      <c r="H12" s="248"/>
      <c r="I12" s="247"/>
      <c r="J12" s="323"/>
      <c r="K12" s="324"/>
      <c r="L12" s="325"/>
      <c r="M12" s="333">
        <f t="shared" si="0"/>
        <v>0</v>
      </c>
      <c r="N12" s="325"/>
      <c r="O12" s="777"/>
      <c r="P12" s="778"/>
      <c r="R12" s="356"/>
      <c r="S12" s="354"/>
    </row>
    <row r="13" spans="1:20" s="305" customFormat="1" ht="20.149999999999999" customHeight="1" thickBot="1">
      <c r="A13" s="748"/>
      <c r="B13" s="782"/>
      <c r="C13" s="286">
        <v>5</v>
      </c>
      <c r="D13" s="244"/>
      <c r="E13" s="252"/>
      <c r="F13" s="253"/>
      <c r="G13" s="247"/>
      <c r="H13" s="248"/>
      <c r="I13" s="247"/>
      <c r="J13" s="327"/>
      <c r="K13" s="271"/>
      <c r="L13" s="328"/>
      <c r="M13" s="333">
        <f t="shared" si="0"/>
        <v>0</v>
      </c>
      <c r="N13" s="325"/>
      <c r="O13" s="788"/>
      <c r="P13" s="789"/>
      <c r="R13" s="357"/>
      <c r="S13" s="354"/>
      <c r="T13" s="296"/>
    </row>
    <row r="14" spans="1:20" ht="15.75" customHeight="1" thickTop="1" thickBot="1">
      <c r="A14" s="749"/>
      <c r="B14" s="783"/>
      <c r="C14" s="790"/>
      <c r="D14" s="791"/>
      <c r="E14" s="791"/>
      <c r="F14" s="791"/>
      <c r="G14" s="791"/>
      <c r="H14" s="791"/>
      <c r="I14" s="792"/>
      <c r="J14" s="302" t="s">
        <v>58</v>
      </c>
      <c r="K14" s="353">
        <f>M14/'生產管理報表 7-1(月)'!$B$9</f>
        <v>0</v>
      </c>
      <c r="L14" s="303" t="s">
        <v>59</v>
      </c>
      <c r="M14" s="345">
        <f>SUM(M9:M13)</f>
        <v>0</v>
      </c>
      <c r="N14" s="734"/>
      <c r="O14" s="735"/>
      <c r="P14" s="736"/>
      <c r="R14" s="354"/>
      <c r="S14" s="354"/>
    </row>
    <row r="15" spans="1:20" ht="15.75" customHeight="1" thickTop="1">
      <c r="M15" s="340"/>
      <c r="S15" s="354"/>
    </row>
    <row r="16" spans="1:20" ht="15.75" customHeight="1">
      <c r="A16" s="737" t="s">
        <v>193</v>
      </c>
      <c r="B16" s="738"/>
      <c r="C16" s="282" t="s">
        <v>47</v>
      </c>
      <c r="D16" s="765" t="s">
        <v>12</v>
      </c>
      <c r="E16" s="766"/>
      <c r="F16" s="767"/>
      <c r="G16" s="768" t="s">
        <v>53</v>
      </c>
      <c r="H16" s="769"/>
      <c r="I16" s="770"/>
      <c r="J16" s="283" t="s">
        <v>54</v>
      </c>
      <c r="K16" s="283" t="s">
        <v>55</v>
      </c>
      <c r="L16" s="283" t="s">
        <v>56</v>
      </c>
      <c r="M16" s="341" t="s">
        <v>11</v>
      </c>
      <c r="N16" s="284" t="s">
        <v>335</v>
      </c>
      <c r="O16" s="745" t="s">
        <v>51</v>
      </c>
      <c r="P16" s="746"/>
      <c r="S16" s="355"/>
      <c r="T16" s="305"/>
    </row>
    <row r="17" spans="1:20" s="305" customFormat="1" ht="40" customHeight="1">
      <c r="A17" s="747">
        <v>5</v>
      </c>
      <c r="B17" s="760" t="s">
        <v>217</v>
      </c>
      <c r="C17" s="286">
        <v>1</v>
      </c>
      <c r="D17" s="244" t="s">
        <v>359</v>
      </c>
      <c r="E17" s="245"/>
      <c r="F17" s="246"/>
      <c r="G17" s="313" t="s">
        <v>370</v>
      </c>
      <c r="H17" s="312"/>
      <c r="I17" s="313"/>
      <c r="J17" s="323">
        <v>96</v>
      </c>
      <c r="K17" s="324">
        <v>1.8325771558138429E-2</v>
      </c>
      <c r="L17" s="325">
        <v>32.200000000000003</v>
      </c>
      <c r="M17" s="333">
        <f t="shared" ref="M17:M21" si="1">L17*J17</f>
        <v>3091.2000000000003</v>
      </c>
      <c r="N17" s="325"/>
      <c r="O17" s="771" t="s">
        <v>807</v>
      </c>
      <c r="P17" s="772"/>
      <c r="S17" s="354"/>
    </row>
    <row r="18" spans="1:20" s="305" customFormat="1" ht="20.149999999999999" customHeight="1">
      <c r="A18" s="748"/>
      <c r="B18" s="761"/>
      <c r="C18" s="286">
        <v>2</v>
      </c>
      <c r="D18" s="244"/>
      <c r="E18" s="245"/>
      <c r="F18" s="246"/>
      <c r="G18" s="370"/>
      <c r="H18" s="312"/>
      <c r="I18" s="313"/>
      <c r="J18" s="323"/>
      <c r="K18" s="324"/>
      <c r="L18" s="325"/>
      <c r="M18" s="333">
        <f t="shared" si="1"/>
        <v>0</v>
      </c>
      <c r="N18" s="325"/>
      <c r="O18" s="773"/>
      <c r="P18" s="774"/>
      <c r="S18" s="296"/>
      <c r="T18" s="296"/>
    </row>
    <row r="19" spans="1:20" ht="20.149999999999999" customHeight="1">
      <c r="A19" s="748"/>
      <c r="B19" s="761"/>
      <c r="C19" s="286">
        <v>3</v>
      </c>
      <c r="D19" s="244"/>
      <c r="E19" s="288"/>
      <c r="F19" s="289"/>
      <c r="G19" s="370"/>
      <c r="H19" s="312"/>
      <c r="I19" s="313"/>
      <c r="J19" s="323"/>
      <c r="K19" s="324"/>
      <c r="L19" s="325"/>
      <c r="M19" s="333">
        <f t="shared" si="1"/>
        <v>0</v>
      </c>
      <c r="N19" s="295"/>
      <c r="O19" s="775"/>
      <c r="P19" s="776"/>
    </row>
    <row r="20" spans="1:20" ht="20.149999999999999" customHeight="1">
      <c r="A20" s="748"/>
      <c r="B20" s="761"/>
      <c r="C20" s="286">
        <v>4</v>
      </c>
      <c r="D20" s="244"/>
      <c r="E20" s="288"/>
      <c r="F20" s="289"/>
      <c r="G20" s="370"/>
      <c r="H20" s="312"/>
      <c r="I20" s="313"/>
      <c r="J20" s="323"/>
      <c r="K20" s="324"/>
      <c r="L20" s="325"/>
      <c r="M20" s="333">
        <f t="shared" si="1"/>
        <v>0</v>
      </c>
      <c r="N20" s="295"/>
      <c r="O20" s="777"/>
      <c r="P20" s="778"/>
    </row>
    <row r="21" spans="1:20" ht="20.149999999999999" customHeight="1" thickBot="1">
      <c r="A21" s="748"/>
      <c r="B21" s="761"/>
      <c r="C21" s="286">
        <v>5</v>
      </c>
      <c r="D21" s="251"/>
      <c r="E21" s="298"/>
      <c r="F21" s="299"/>
      <c r="G21" s="370"/>
      <c r="H21" s="312"/>
      <c r="I21" s="313"/>
      <c r="J21" s="327"/>
      <c r="K21" s="271"/>
      <c r="L21" s="328"/>
      <c r="M21" s="333">
        <f t="shared" si="1"/>
        <v>0</v>
      </c>
      <c r="N21" s="295"/>
      <c r="O21" s="779"/>
      <c r="P21" s="780"/>
      <c r="R21" s="358"/>
    </row>
    <row r="22" spans="1:20" ht="15.75" customHeight="1" thickTop="1" thickBot="1">
      <c r="A22" s="749"/>
      <c r="B22" s="762"/>
      <c r="C22" s="757"/>
      <c r="D22" s="758"/>
      <c r="E22" s="758"/>
      <c r="F22" s="758"/>
      <c r="G22" s="758"/>
      <c r="H22" s="758"/>
      <c r="I22" s="759"/>
      <c r="J22" s="302" t="s">
        <v>58</v>
      </c>
      <c r="K22" s="353">
        <f>M22/'生產管理報表 7-1(月)'!$B$9</f>
        <v>1.0269782920914008E-2</v>
      </c>
      <c r="L22" s="303" t="s">
        <v>59</v>
      </c>
      <c r="M22" s="345">
        <f>SUM(M17:M21)</f>
        <v>3091.2000000000003</v>
      </c>
      <c r="N22" s="734"/>
      <c r="O22" s="735"/>
      <c r="P22" s="736"/>
      <c r="R22" s="354"/>
    </row>
    <row r="23" spans="1:20" ht="15.75" customHeight="1" thickTop="1">
      <c r="M23" s="340"/>
      <c r="R23" s="354"/>
    </row>
    <row r="24" spans="1:20" ht="15.75" customHeight="1">
      <c r="A24" s="737" t="s">
        <v>193</v>
      </c>
      <c r="B24" s="738"/>
      <c r="C24" s="310" t="s">
        <v>47</v>
      </c>
      <c r="D24" s="739" t="s">
        <v>12</v>
      </c>
      <c r="E24" s="740"/>
      <c r="F24" s="741"/>
      <c r="G24" s="742" t="s">
        <v>53</v>
      </c>
      <c r="H24" s="743"/>
      <c r="I24" s="744"/>
      <c r="J24" s="311" t="s">
        <v>54</v>
      </c>
      <c r="K24" s="283" t="s">
        <v>55</v>
      </c>
      <c r="L24" s="283" t="s">
        <v>56</v>
      </c>
      <c r="M24" s="341" t="s">
        <v>11</v>
      </c>
      <c r="N24" s="284" t="s">
        <v>335</v>
      </c>
      <c r="O24" s="745" t="s">
        <v>51</v>
      </c>
      <c r="P24" s="746"/>
      <c r="R24" s="354"/>
    </row>
    <row r="25" spans="1:20" s="305" customFormat="1" ht="60" customHeight="1">
      <c r="A25" s="747">
        <v>6</v>
      </c>
      <c r="B25" s="760" t="s">
        <v>218</v>
      </c>
      <c r="C25" s="286">
        <v>1</v>
      </c>
      <c r="D25" s="244" t="s">
        <v>343</v>
      </c>
      <c r="E25" s="245"/>
      <c r="F25" s="246"/>
      <c r="G25" s="313" t="s">
        <v>337</v>
      </c>
      <c r="H25" s="312"/>
      <c r="I25" s="313"/>
      <c r="J25" s="323">
        <v>15.450000000000001</v>
      </c>
      <c r="K25" s="324">
        <v>4.2339007528691347E-3</v>
      </c>
      <c r="L25" s="325">
        <v>252</v>
      </c>
      <c r="M25" s="333">
        <f t="shared" ref="M25" si="2">L25*J25</f>
        <v>3893.4</v>
      </c>
      <c r="N25" s="325"/>
      <c r="O25" s="763" t="s">
        <v>808</v>
      </c>
      <c r="P25" s="764"/>
    </row>
    <row r="26" spans="1:20" ht="20.149999999999999" customHeight="1">
      <c r="A26" s="748"/>
      <c r="B26" s="761"/>
      <c r="C26" s="286">
        <v>2</v>
      </c>
      <c r="D26" s="287"/>
      <c r="E26" s="288"/>
      <c r="F26" s="289"/>
      <c r="G26" s="290"/>
      <c r="H26" s="291"/>
      <c r="I26" s="292"/>
      <c r="J26" s="293"/>
      <c r="K26" s="294"/>
      <c r="L26" s="295"/>
      <c r="M26" s="342">
        <v>0</v>
      </c>
      <c r="N26" s="295"/>
      <c r="O26" s="306"/>
      <c r="P26" s="307"/>
    </row>
    <row r="27" spans="1:20" ht="20.149999999999999" customHeight="1">
      <c r="A27" s="748"/>
      <c r="B27" s="761"/>
      <c r="C27" s="286">
        <v>3</v>
      </c>
      <c r="D27" s="287"/>
      <c r="E27" s="288"/>
      <c r="F27" s="289"/>
      <c r="G27" s="290"/>
      <c r="H27" s="291"/>
      <c r="I27" s="292"/>
      <c r="J27" s="293"/>
      <c r="K27" s="294"/>
      <c r="L27" s="295"/>
      <c r="M27" s="342">
        <v>0</v>
      </c>
      <c r="N27" s="295"/>
      <c r="O27" s="306"/>
      <c r="P27" s="307"/>
    </row>
    <row r="28" spans="1:20" ht="20.149999999999999" customHeight="1">
      <c r="A28" s="748"/>
      <c r="B28" s="761"/>
      <c r="C28" s="286">
        <v>4</v>
      </c>
      <c r="D28" s="287"/>
      <c r="E28" s="288"/>
      <c r="F28" s="289"/>
      <c r="G28" s="290"/>
      <c r="H28" s="291"/>
      <c r="I28" s="292"/>
      <c r="J28" s="293"/>
      <c r="K28" s="294"/>
      <c r="L28" s="295"/>
      <c r="M28" s="342">
        <v>0</v>
      </c>
      <c r="N28" s="295"/>
      <c r="O28" s="306"/>
      <c r="P28" s="307"/>
    </row>
    <row r="29" spans="1:20" ht="20.149999999999999" customHeight="1" thickBot="1">
      <c r="A29" s="748"/>
      <c r="B29" s="761"/>
      <c r="C29" s="286">
        <v>5</v>
      </c>
      <c r="D29" s="297"/>
      <c r="E29" s="298"/>
      <c r="F29" s="299"/>
      <c r="G29" s="290"/>
      <c r="H29" s="291"/>
      <c r="I29" s="292"/>
      <c r="J29" s="300"/>
      <c r="K29" s="377"/>
      <c r="L29" s="301"/>
      <c r="M29" s="342">
        <v>0</v>
      </c>
      <c r="N29" s="295"/>
      <c r="O29" s="308"/>
      <c r="P29" s="309"/>
    </row>
    <row r="30" spans="1:20" ht="15.75" customHeight="1" thickTop="1" thickBot="1">
      <c r="A30" s="749"/>
      <c r="B30" s="762"/>
      <c r="C30" s="757"/>
      <c r="D30" s="758"/>
      <c r="E30" s="758"/>
      <c r="F30" s="758"/>
      <c r="G30" s="758"/>
      <c r="H30" s="758"/>
      <c r="I30" s="759"/>
      <c r="J30" s="302" t="s">
        <v>58</v>
      </c>
      <c r="K30" s="353">
        <f>M30/'生產管理報表 7-1(月)'!$B$9</f>
        <v>1.2934903216966418E-2</v>
      </c>
      <c r="L30" s="303" t="s">
        <v>59</v>
      </c>
      <c r="M30" s="345">
        <f>SUM(M25:M29)</f>
        <v>3893.4</v>
      </c>
      <c r="N30" s="734"/>
      <c r="O30" s="735"/>
      <c r="P30" s="736"/>
    </row>
    <row r="31" spans="1:20" ht="15.75" customHeight="1" thickTop="1">
      <c r="M31" s="340"/>
    </row>
    <row r="32" spans="1:20" ht="15.75" customHeight="1">
      <c r="A32" s="737" t="s">
        <v>193</v>
      </c>
      <c r="B32" s="738"/>
      <c r="C32" s="310" t="s">
        <v>47</v>
      </c>
      <c r="D32" s="739" t="s">
        <v>12</v>
      </c>
      <c r="E32" s="740"/>
      <c r="F32" s="741"/>
      <c r="G32" s="742" t="s">
        <v>53</v>
      </c>
      <c r="H32" s="743"/>
      <c r="I32" s="744"/>
      <c r="J32" s="311" t="s">
        <v>54</v>
      </c>
      <c r="K32" s="283" t="s">
        <v>55</v>
      </c>
      <c r="L32" s="283" t="s">
        <v>56</v>
      </c>
      <c r="M32" s="341" t="s">
        <v>11</v>
      </c>
      <c r="N32" s="284" t="s">
        <v>335</v>
      </c>
      <c r="O32" s="745" t="s">
        <v>51</v>
      </c>
      <c r="P32" s="746"/>
    </row>
    <row r="33" spans="1:16" ht="20.149999999999999" customHeight="1">
      <c r="A33" s="747">
        <v>7</v>
      </c>
      <c r="B33" s="750" t="s">
        <v>251</v>
      </c>
      <c r="C33" s="286">
        <v>1</v>
      </c>
      <c r="D33" s="287"/>
      <c r="E33" s="288"/>
      <c r="F33" s="289"/>
      <c r="G33" s="290"/>
      <c r="H33" s="291"/>
      <c r="I33" s="292"/>
      <c r="J33" s="293"/>
      <c r="K33" s="294"/>
      <c r="L33" s="295"/>
      <c r="M33" s="342">
        <f t="shared" ref="M33:M35" si="3">L33*J33</f>
        <v>0</v>
      </c>
      <c r="N33" s="295"/>
      <c r="O33" s="753"/>
      <c r="P33" s="754"/>
    </row>
    <row r="34" spans="1:16" ht="20.149999999999999" customHeight="1">
      <c r="A34" s="748"/>
      <c r="B34" s="751"/>
      <c r="C34" s="286">
        <v>2</v>
      </c>
      <c r="D34" s="287"/>
      <c r="E34" s="288"/>
      <c r="F34" s="289"/>
      <c r="G34" s="290"/>
      <c r="H34" s="291"/>
      <c r="I34" s="292"/>
      <c r="J34" s="293"/>
      <c r="K34" s="294"/>
      <c r="L34" s="295"/>
      <c r="M34" s="342">
        <f t="shared" si="3"/>
        <v>0</v>
      </c>
      <c r="N34" s="295"/>
      <c r="O34" s="755"/>
      <c r="P34" s="756"/>
    </row>
    <row r="35" spans="1:16" ht="20.149999999999999" customHeight="1">
      <c r="A35" s="748"/>
      <c r="B35" s="751"/>
      <c r="C35" s="286">
        <v>3</v>
      </c>
      <c r="D35" s="287"/>
      <c r="E35" s="288"/>
      <c r="F35" s="289"/>
      <c r="G35" s="290"/>
      <c r="H35" s="291"/>
      <c r="I35" s="292"/>
      <c r="J35" s="293"/>
      <c r="K35" s="294"/>
      <c r="L35" s="295"/>
      <c r="M35" s="342">
        <f t="shared" si="3"/>
        <v>0</v>
      </c>
      <c r="N35" s="295"/>
      <c r="O35" s="755"/>
      <c r="P35" s="756"/>
    </row>
    <row r="36" spans="1:16" ht="20.149999999999999" customHeight="1">
      <c r="A36" s="748"/>
      <c r="B36" s="751"/>
      <c r="C36" s="286">
        <v>4</v>
      </c>
      <c r="D36" s="287"/>
      <c r="E36" s="288"/>
      <c r="F36" s="289"/>
      <c r="G36" s="290"/>
      <c r="H36" s="291"/>
      <c r="I36" s="292"/>
      <c r="J36" s="293"/>
      <c r="K36" s="294"/>
      <c r="L36" s="295"/>
      <c r="M36" s="343">
        <v>0</v>
      </c>
      <c r="N36" s="295"/>
      <c r="O36" s="306"/>
      <c r="P36" s="307"/>
    </row>
    <row r="37" spans="1:16" ht="20.149999999999999" customHeight="1" thickBot="1">
      <c r="A37" s="748"/>
      <c r="B37" s="751"/>
      <c r="C37" s="286">
        <v>5</v>
      </c>
      <c r="D37" s="297"/>
      <c r="E37" s="298"/>
      <c r="F37" s="299"/>
      <c r="G37" s="290"/>
      <c r="H37" s="291"/>
      <c r="I37" s="292"/>
      <c r="J37" s="300"/>
      <c r="K37" s="271"/>
      <c r="L37" s="301"/>
      <c r="M37" s="344">
        <v>0</v>
      </c>
      <c r="N37" s="295"/>
      <c r="O37" s="308"/>
      <c r="P37" s="309"/>
    </row>
    <row r="38" spans="1:16" ht="15.75" customHeight="1" thickTop="1" thickBot="1">
      <c r="A38" s="749"/>
      <c r="B38" s="752"/>
      <c r="C38" s="757"/>
      <c r="D38" s="758"/>
      <c r="E38" s="758"/>
      <c r="F38" s="758"/>
      <c r="G38" s="758"/>
      <c r="H38" s="758"/>
      <c r="I38" s="759"/>
      <c r="J38" s="302" t="s">
        <v>58</v>
      </c>
      <c r="K38" s="353">
        <f>M38/'生產管理報表 7-1(月)'!$B$9</f>
        <v>0</v>
      </c>
      <c r="L38" s="303" t="s">
        <v>59</v>
      </c>
      <c r="M38" s="345">
        <f>SUM(M33:M37)</f>
        <v>0</v>
      </c>
      <c r="N38" s="734"/>
      <c r="O38" s="735"/>
      <c r="P38" s="736"/>
    </row>
    <row r="39" spans="1:16" ht="15.75" customHeight="1" thickTop="1"/>
    <row r="44" spans="1:16" ht="15.75" customHeight="1">
      <c r="O44" s="296" ph="1"/>
      <c r="P44" s="296" ph="1"/>
    </row>
    <row r="46" spans="1:16" ht="15.75" customHeight="1">
      <c r="O46" s="296" ph="1"/>
      <c r="P46" s="296" ph="1"/>
    </row>
    <row r="47" spans="1:16" ht="15.75" customHeight="1">
      <c r="O47" s="296" ph="1"/>
      <c r="P47" s="296" ph="1"/>
    </row>
    <row r="117" spans="15:16" ht="15.75" customHeight="1">
      <c r="O117" s="296" ph="1"/>
      <c r="P117" s="296" ph="1"/>
    </row>
    <row r="119" spans="15:16" ht="15.75" customHeight="1">
      <c r="O119" s="296" ph="1"/>
      <c r="P119" s="296" ph="1"/>
    </row>
    <row r="120" spans="15:16" ht="15.75" customHeight="1">
      <c r="O120" s="296" ph="1"/>
      <c r="P120" s="296" ph="1"/>
    </row>
    <row r="153" spans="15:16" ht="15.75" customHeight="1">
      <c r="O153" s="296" ph="1"/>
      <c r="P153" s="296" ph="1"/>
    </row>
    <row r="155" spans="15:16" ht="15.75" customHeight="1">
      <c r="O155" s="296" ph="1"/>
      <c r="P155" s="296" ph="1"/>
    </row>
    <row r="156" spans="15:16" ht="15.75" customHeight="1">
      <c r="O156" s="296" ph="1"/>
      <c r="P156" s="296" ph="1"/>
    </row>
  </sheetData>
  <mergeCells count="63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4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>
    <tabColor rgb="FFFF0000"/>
    <outlinePr summaryBelow="0" summaryRight="0"/>
  </sheetPr>
  <dimension ref="A1:BW30"/>
  <sheetViews>
    <sheetView view="pageBreakPreview" topLeftCell="A7" zoomScaleNormal="60" zoomScaleSheetLayoutView="100" workbookViewId="0">
      <selection activeCell="K16" sqref="K16"/>
    </sheetView>
  </sheetViews>
  <sheetFormatPr defaultColWidth="12.54296875" defaultRowHeight="15.75" customHeight="1"/>
  <cols>
    <col min="1" max="1" width="5.453125" style="136" customWidth="1"/>
    <col min="2" max="2" width="11.453125" style="239" customWidth="1"/>
    <col min="3" max="3" width="4" style="240" customWidth="1"/>
    <col min="4" max="15" width="9.54296875" style="136" customWidth="1"/>
    <col min="16" max="16" width="47.81640625" style="136" customWidth="1"/>
    <col min="17" max="17" width="9.54296875" style="136" customWidth="1"/>
    <col min="18" max="21" width="12.54296875" style="238"/>
    <col min="22" max="22" width="24.453125" style="136" bestFit="1" customWidth="1"/>
    <col min="23" max="23" width="19.453125" style="136" bestFit="1" customWidth="1"/>
    <col min="24" max="24" width="23" style="136" bestFit="1" customWidth="1"/>
    <col min="25" max="25" width="11.7265625" style="136" bestFit="1" customWidth="1"/>
    <col min="26" max="26" width="15.81640625" style="136" bestFit="1" customWidth="1"/>
    <col min="27" max="27" width="23.54296875" style="136" bestFit="1" customWidth="1"/>
    <col min="28" max="28" width="23" style="136" bestFit="1" customWidth="1"/>
    <col min="29" max="29" width="11.7265625" style="136" bestFit="1" customWidth="1"/>
    <col min="30" max="30" width="20.54296875" style="136" bestFit="1" customWidth="1"/>
    <col min="31" max="31" width="15" style="136" bestFit="1" customWidth="1"/>
    <col min="32" max="32" width="23" style="136" bestFit="1" customWidth="1"/>
    <col min="33" max="33" width="11.7265625" style="136" bestFit="1" customWidth="1"/>
    <col min="34" max="34" width="15.8164062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265625" style="136" bestFit="1" customWidth="1"/>
    <col min="40" max="40" width="13.81640625" style="136" bestFit="1" customWidth="1"/>
    <col min="41" max="41" width="27.81640625" style="136" bestFit="1" customWidth="1"/>
    <col min="42" max="42" width="23" style="136" bestFit="1" customWidth="1"/>
    <col min="43" max="43" width="8" style="136" bestFit="1" customWidth="1"/>
    <col min="44" max="44" width="30.7265625" style="136" bestFit="1" customWidth="1"/>
    <col min="45" max="45" width="25.726562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265625" style="136" bestFit="1" customWidth="1"/>
    <col min="50" max="50" width="20.1796875" style="136" bestFit="1" customWidth="1"/>
    <col min="51" max="51" width="23.54296875" style="136" bestFit="1" customWidth="1"/>
    <col min="52" max="52" width="23" style="136" bestFit="1" customWidth="1"/>
    <col min="53" max="53" width="11.7265625" style="136" bestFit="1" customWidth="1"/>
    <col min="54" max="54" width="21.453125" style="136" bestFit="1" customWidth="1"/>
    <col min="55" max="55" width="15" style="136" bestFit="1" customWidth="1"/>
    <col min="56" max="56" width="23" style="136" bestFit="1" customWidth="1"/>
    <col min="57" max="57" width="11.7265625" style="136" bestFit="1" customWidth="1"/>
    <col min="58" max="58" width="13.8164062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265625" style="136" bestFit="1" customWidth="1"/>
    <col min="64" max="64" width="24.7265625" style="136" bestFit="1" customWidth="1"/>
    <col min="65" max="65" width="18.726562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1640625" style="136" bestFit="1" customWidth="1"/>
    <col min="73" max="73" width="10.54296875" style="136" bestFit="1" customWidth="1"/>
    <col min="74" max="74" width="21.453125" style="136" bestFit="1" customWidth="1"/>
    <col min="75" max="75" width="5.453125" style="136" bestFit="1" customWidth="1"/>
    <col min="76" max="16384" width="12.54296875" style="136"/>
  </cols>
  <sheetData>
    <row r="1" spans="1:75" ht="15.75" customHeight="1">
      <c r="A1" s="703" t="s">
        <v>375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</row>
    <row r="2" spans="1:75" s="137" customFormat="1" ht="15.75" customHeight="1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3"/>
      <c r="Q2" s="703"/>
    </row>
    <row r="3" spans="1:75" ht="15.75" customHeight="1">
      <c r="A3" s="704" t="s">
        <v>468</v>
      </c>
      <c r="B3" s="730"/>
      <c r="C3" s="730"/>
      <c r="D3" s="730"/>
      <c r="E3" s="730"/>
      <c r="F3" s="730"/>
      <c r="G3" s="730"/>
      <c r="H3" s="730"/>
      <c r="I3" s="730"/>
      <c r="J3" s="730"/>
      <c r="K3" s="730"/>
      <c r="L3" s="730"/>
      <c r="M3" s="730"/>
    </row>
    <row r="4" spans="1:75" s="137" customFormat="1" ht="15.75" customHeight="1">
      <c r="A4" s="730"/>
      <c r="B4" s="730"/>
      <c r="C4" s="730"/>
      <c r="D4" s="730"/>
      <c r="E4" s="730"/>
      <c r="F4" s="730"/>
      <c r="G4" s="730"/>
      <c r="H4" s="730"/>
      <c r="I4" s="730"/>
      <c r="J4" s="730"/>
      <c r="K4" s="730"/>
      <c r="L4" s="730"/>
      <c r="M4" s="730"/>
    </row>
    <row r="5" spans="1:75" ht="15.75" customHeight="1">
      <c r="A5" s="706" t="s">
        <v>193</v>
      </c>
      <c r="B5" s="731">
        <v>1</v>
      </c>
      <c r="C5" s="731"/>
      <c r="D5" s="731">
        <v>2</v>
      </c>
      <c r="E5" s="731"/>
      <c r="F5" s="731">
        <v>3</v>
      </c>
      <c r="G5" s="731"/>
      <c r="H5" s="709">
        <v>4</v>
      </c>
      <c r="I5" s="709"/>
      <c r="J5" s="709">
        <v>5</v>
      </c>
      <c r="K5" s="709"/>
      <c r="L5" s="709">
        <v>6</v>
      </c>
      <c r="M5" s="709"/>
      <c r="N5" s="709">
        <v>7</v>
      </c>
      <c r="O5" s="709"/>
      <c r="P5" s="709">
        <v>8</v>
      </c>
      <c r="Q5" s="709"/>
    </row>
    <row r="6" spans="1:75" ht="15.75" customHeight="1">
      <c r="A6" s="706"/>
      <c r="B6" s="732" t="s">
        <v>500</v>
      </c>
      <c r="C6" s="732"/>
      <c r="D6" s="732" t="s">
        <v>214</v>
      </c>
      <c r="E6" s="732"/>
      <c r="F6" s="732" t="s">
        <v>168</v>
      </c>
      <c r="G6" s="732"/>
      <c r="H6" s="706" t="s">
        <v>465</v>
      </c>
      <c r="I6" s="706"/>
      <c r="J6" s="706" t="s">
        <v>191</v>
      </c>
      <c r="K6" s="706"/>
      <c r="L6" s="706" t="s">
        <v>169</v>
      </c>
      <c r="M6" s="706"/>
      <c r="N6" s="706" t="s">
        <v>192</v>
      </c>
      <c r="O6" s="706"/>
      <c r="P6" s="823" t="s">
        <v>219</v>
      </c>
      <c r="Q6" s="706"/>
    </row>
    <row r="8" spans="1:75" s="242" customFormat="1" ht="15.75" customHeight="1">
      <c r="A8" s="709" t="s">
        <v>193</v>
      </c>
      <c r="B8" s="709"/>
      <c r="C8" s="241" t="s">
        <v>47</v>
      </c>
      <c r="D8" s="727" t="s">
        <v>12</v>
      </c>
      <c r="E8" s="727"/>
      <c r="F8" s="727"/>
      <c r="G8" s="721" t="s">
        <v>53</v>
      </c>
      <c r="H8" s="722"/>
      <c r="I8" s="723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335</v>
      </c>
      <c r="O8" s="713" t="s">
        <v>51</v>
      </c>
      <c r="P8" s="713"/>
    </row>
    <row r="9" spans="1:75" ht="25" customHeight="1">
      <c r="A9" s="709">
        <v>1</v>
      </c>
      <c r="B9" s="724" t="s">
        <v>501</v>
      </c>
      <c r="C9" s="243">
        <v>1</v>
      </c>
      <c r="D9" s="244"/>
      <c r="E9" s="245"/>
      <c r="F9" s="246"/>
      <c r="G9" s="275"/>
      <c r="H9" s="245"/>
      <c r="I9" s="275"/>
      <c r="J9" s="243"/>
      <c r="K9" s="249"/>
      <c r="L9" s="243"/>
      <c r="M9" s="333">
        <f>L9*J9</f>
        <v>0</v>
      </c>
      <c r="N9" s="250"/>
      <c r="O9" s="784"/>
      <c r="P9" s="785"/>
    </row>
    <row r="10" spans="1:75" ht="25" customHeight="1">
      <c r="A10" s="709"/>
      <c r="B10" s="724"/>
      <c r="C10" s="243">
        <v>2</v>
      </c>
      <c r="D10" s="244"/>
      <c r="E10" s="245"/>
      <c r="F10" s="246"/>
      <c r="G10" s="244"/>
      <c r="H10" s="245"/>
      <c r="I10" s="275"/>
      <c r="J10" s="243"/>
      <c r="K10" s="249"/>
      <c r="L10" s="243"/>
      <c r="M10" s="333">
        <f t="shared" ref="M10:M13" si="0">L10*J10</f>
        <v>0</v>
      </c>
      <c r="N10" s="250"/>
      <c r="O10" s="818"/>
      <c r="P10" s="819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</row>
    <row r="11" spans="1:75" ht="25" customHeight="1">
      <c r="A11" s="709"/>
      <c r="B11" s="724"/>
      <c r="C11" s="243">
        <v>3</v>
      </c>
      <c r="D11" s="244"/>
      <c r="E11" s="245"/>
      <c r="F11" s="246"/>
      <c r="G11" s="320"/>
      <c r="H11" s="321"/>
      <c r="I11" s="322"/>
      <c r="J11" s="243"/>
      <c r="K11" s="249"/>
      <c r="L11" s="243"/>
      <c r="M11" s="333">
        <f t="shared" si="0"/>
        <v>0</v>
      </c>
      <c r="N11" s="250"/>
      <c r="O11" s="818"/>
      <c r="P11" s="819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</row>
    <row r="12" spans="1:75" ht="25" customHeight="1">
      <c r="A12" s="709"/>
      <c r="B12" s="724"/>
      <c r="C12" s="243">
        <v>4</v>
      </c>
      <c r="D12" s="244"/>
      <c r="E12" s="245"/>
      <c r="F12" s="246"/>
      <c r="G12" s="384"/>
      <c r="H12" s="385"/>
      <c r="I12" s="386"/>
      <c r="J12" s="243"/>
      <c r="K12" s="249"/>
      <c r="L12" s="243"/>
      <c r="M12" s="333">
        <f t="shared" si="0"/>
        <v>0</v>
      </c>
      <c r="N12" s="250"/>
      <c r="O12" s="818"/>
      <c r="P12" s="819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</row>
    <row r="13" spans="1:75" ht="25" customHeight="1" thickBot="1">
      <c r="A13" s="709"/>
      <c r="B13" s="724"/>
      <c r="C13" s="243">
        <v>5</v>
      </c>
      <c r="D13" s="251"/>
      <c r="E13" s="252"/>
      <c r="F13" s="253"/>
      <c r="G13" s="384"/>
      <c r="H13" s="385"/>
      <c r="I13" s="386"/>
      <c r="J13" s="254"/>
      <c r="K13" s="255"/>
      <c r="L13" s="254"/>
      <c r="M13" s="334">
        <f t="shared" si="0"/>
        <v>0</v>
      </c>
      <c r="N13" s="250"/>
      <c r="O13" s="818"/>
      <c r="P13" s="819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</row>
    <row r="14" spans="1:75" ht="15.75" customHeight="1" thickTop="1">
      <c r="A14" s="709"/>
      <c r="B14" s="724"/>
      <c r="C14" s="715"/>
      <c r="D14" s="716"/>
      <c r="E14" s="716"/>
      <c r="F14" s="716"/>
      <c r="G14" s="716"/>
      <c r="H14" s="716"/>
      <c r="I14" s="717"/>
      <c r="J14" s="256" t="s">
        <v>58</v>
      </c>
      <c r="K14" s="353">
        <f>M14/'生產管理報表 7-1(月)'!$B$10</f>
        <v>0</v>
      </c>
      <c r="L14" s="256" t="s">
        <v>59</v>
      </c>
      <c r="M14" s="335">
        <f>SUM(M9:M13)</f>
        <v>0</v>
      </c>
      <c r="N14" s="820"/>
      <c r="O14" s="821"/>
      <c r="P14" s="822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</row>
    <row r="15" spans="1:75" ht="15.75" customHeight="1"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</row>
    <row r="16" spans="1:75" ht="15.75" customHeight="1">
      <c r="A16" s="709" t="s">
        <v>193</v>
      </c>
      <c r="B16" s="709"/>
      <c r="C16" s="259" t="s">
        <v>47</v>
      </c>
      <c r="D16" s="718" t="s">
        <v>12</v>
      </c>
      <c r="E16" s="719"/>
      <c r="F16" s="720"/>
      <c r="G16" s="721" t="s">
        <v>53</v>
      </c>
      <c r="H16" s="722"/>
      <c r="I16" s="723"/>
      <c r="J16" s="261" t="s">
        <v>54</v>
      </c>
      <c r="K16" s="261" t="s">
        <v>55</v>
      </c>
      <c r="L16" s="261" t="s">
        <v>56</v>
      </c>
      <c r="M16" s="261" t="s">
        <v>11</v>
      </c>
      <c r="N16" s="262" t="s">
        <v>335</v>
      </c>
      <c r="O16" s="811" t="s">
        <v>51</v>
      </c>
      <c r="P16" s="812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</row>
    <row r="17" spans="1:36" ht="20.149999999999999" customHeight="1">
      <c r="A17" s="709">
        <v>2</v>
      </c>
      <c r="B17" s="724" t="s">
        <v>215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67"/>
      <c r="O17" s="813"/>
      <c r="P17" s="814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</row>
    <row r="18" spans="1:36" ht="20.149999999999999" customHeight="1">
      <c r="A18" s="709"/>
      <c r="B18" s="724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67"/>
      <c r="O18" s="813"/>
      <c r="P18" s="814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</row>
    <row r="19" spans="1:36" ht="20.149999999999999" customHeight="1">
      <c r="A19" s="709"/>
      <c r="B19" s="724"/>
      <c r="C19" s="263">
        <v>3</v>
      </c>
      <c r="D19" s="244"/>
      <c r="E19" s="245"/>
      <c r="F19" s="246"/>
      <c r="G19" s="244"/>
      <c r="H19" s="245"/>
      <c r="I19" s="246"/>
      <c r="J19" s="264"/>
      <c r="K19" s="265"/>
      <c r="L19" s="264"/>
      <c r="M19" s="266">
        <f t="shared" si="1"/>
        <v>0</v>
      </c>
      <c r="N19" s="267"/>
      <c r="O19" s="813"/>
      <c r="P19" s="814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</row>
    <row r="20" spans="1:36" ht="20.149999999999999" customHeight="1">
      <c r="A20" s="709"/>
      <c r="B20" s="724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67"/>
      <c r="O20" s="813"/>
      <c r="P20" s="814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</row>
    <row r="21" spans="1:36" ht="20.149999999999999" customHeight="1" thickBot="1">
      <c r="A21" s="709"/>
      <c r="B21" s="724"/>
      <c r="C21" s="269">
        <v>5</v>
      </c>
      <c r="D21" s="251"/>
      <c r="E21" s="252"/>
      <c r="F21" s="253"/>
      <c r="G21" s="251"/>
      <c r="H21" s="252"/>
      <c r="I21" s="253"/>
      <c r="J21" s="270"/>
      <c r="K21" s="271"/>
      <c r="L21" s="270"/>
      <c r="M21" s="272">
        <f t="shared" si="1"/>
        <v>0</v>
      </c>
      <c r="N21" s="273"/>
      <c r="O21" s="813"/>
      <c r="P21" s="814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</row>
    <row r="22" spans="1:36" ht="15.75" customHeight="1" thickTop="1">
      <c r="A22" s="709"/>
      <c r="B22" s="724"/>
      <c r="C22" s="715"/>
      <c r="D22" s="716"/>
      <c r="E22" s="716"/>
      <c r="F22" s="716"/>
      <c r="G22" s="716"/>
      <c r="H22" s="716"/>
      <c r="I22" s="717"/>
      <c r="J22" s="256" t="s">
        <v>58</v>
      </c>
      <c r="K22" s="353">
        <f>M22/'生產管理報表 7-1(月)'!$B$10</f>
        <v>0</v>
      </c>
      <c r="L22" s="256" t="s">
        <v>59</v>
      </c>
      <c r="M22" s="257">
        <f>SUM(M17:M21)</f>
        <v>0</v>
      </c>
      <c r="N22" s="815"/>
      <c r="O22" s="816"/>
      <c r="P22" s="817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</row>
    <row r="23" spans="1:36" ht="15.75" customHeight="1"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</row>
    <row r="24" spans="1:36" ht="15.75" customHeight="1">
      <c r="A24" s="709" t="s">
        <v>193</v>
      </c>
      <c r="B24" s="709"/>
      <c r="C24" s="259" t="s">
        <v>47</v>
      </c>
      <c r="D24" s="718" t="s">
        <v>12</v>
      </c>
      <c r="E24" s="719"/>
      <c r="F24" s="720"/>
      <c r="G24" s="721" t="s">
        <v>53</v>
      </c>
      <c r="H24" s="722"/>
      <c r="I24" s="723"/>
      <c r="J24" s="260" t="s">
        <v>54</v>
      </c>
      <c r="K24" s="261" t="s">
        <v>55</v>
      </c>
      <c r="L24" s="261" t="s">
        <v>56</v>
      </c>
      <c r="M24" s="261" t="s">
        <v>11</v>
      </c>
      <c r="N24" s="262" t="s">
        <v>335</v>
      </c>
      <c r="O24" s="809" t="s">
        <v>51</v>
      </c>
      <c r="P24" s="810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</row>
    <row r="25" spans="1:36" ht="25" customHeight="1">
      <c r="A25" s="709">
        <v>3</v>
      </c>
      <c r="B25" s="724" t="s">
        <v>451</v>
      </c>
      <c r="C25" s="263">
        <v>1</v>
      </c>
      <c r="D25" s="244"/>
      <c r="E25" s="245"/>
      <c r="F25" s="246"/>
      <c r="G25" s="384"/>
      <c r="H25" s="385"/>
      <c r="I25" s="386"/>
      <c r="J25" s="276"/>
      <c r="K25" s="265"/>
      <c r="L25" s="264"/>
      <c r="M25" s="336">
        <f t="shared" ref="M25:M29" si="2">L25*J25</f>
        <v>0</v>
      </c>
      <c r="N25" s="277"/>
      <c r="O25" s="804"/>
      <c r="P25" s="805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</row>
    <row r="26" spans="1:36" ht="25" customHeight="1">
      <c r="A26" s="709"/>
      <c r="B26" s="724"/>
      <c r="C26" s="263">
        <v>2</v>
      </c>
      <c r="D26" s="244"/>
      <c r="E26" s="245"/>
      <c r="F26" s="246"/>
      <c r="G26" s="384"/>
      <c r="H26" s="385"/>
      <c r="I26" s="386"/>
      <c r="J26" s="276"/>
      <c r="K26" s="265"/>
      <c r="L26" s="264"/>
      <c r="M26" s="336">
        <f t="shared" si="2"/>
        <v>0</v>
      </c>
      <c r="N26" s="277"/>
      <c r="O26" s="804"/>
      <c r="P26" s="805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</row>
    <row r="27" spans="1:36" ht="25" customHeight="1">
      <c r="A27" s="709"/>
      <c r="B27" s="724"/>
      <c r="C27" s="263">
        <v>3</v>
      </c>
      <c r="D27" s="244"/>
      <c r="E27" s="245"/>
      <c r="F27" s="246"/>
      <c r="G27" s="384"/>
      <c r="H27" s="385"/>
      <c r="I27" s="386"/>
      <c r="J27" s="276"/>
      <c r="K27" s="265"/>
      <c r="L27" s="264"/>
      <c r="M27" s="336">
        <f t="shared" si="2"/>
        <v>0</v>
      </c>
      <c r="N27" s="277"/>
      <c r="O27" s="804"/>
      <c r="P27" s="805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</row>
    <row r="28" spans="1:36" ht="25" customHeight="1">
      <c r="A28" s="709"/>
      <c r="B28" s="724"/>
      <c r="C28" s="263">
        <v>4</v>
      </c>
      <c r="D28" s="244"/>
      <c r="E28" s="245"/>
      <c r="F28" s="246"/>
      <c r="G28" s="244"/>
      <c r="H28" s="245"/>
      <c r="I28" s="275"/>
      <c r="J28" s="276"/>
      <c r="K28" s="265"/>
      <c r="L28" s="264"/>
      <c r="M28" s="336">
        <f t="shared" si="2"/>
        <v>0</v>
      </c>
      <c r="N28" s="277"/>
      <c r="O28" s="804"/>
      <c r="P28" s="805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</row>
    <row r="29" spans="1:36" ht="25" customHeight="1" thickBot="1">
      <c r="A29" s="709"/>
      <c r="B29" s="724"/>
      <c r="C29" s="269">
        <v>5</v>
      </c>
      <c r="D29" s="251"/>
      <c r="E29" s="252"/>
      <c r="F29" s="253"/>
      <c r="G29" s="251"/>
      <c r="H29" s="252"/>
      <c r="I29" s="278"/>
      <c r="J29" s="279"/>
      <c r="K29" s="271"/>
      <c r="L29" s="280"/>
      <c r="M29" s="336">
        <f t="shared" si="2"/>
        <v>0</v>
      </c>
      <c r="N29" s="277"/>
      <c r="O29" s="804"/>
      <c r="P29" s="805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</row>
    <row r="30" spans="1:36" ht="15.75" customHeight="1" thickTop="1">
      <c r="A30" s="709"/>
      <c r="B30" s="724"/>
      <c r="C30" s="715"/>
      <c r="D30" s="716"/>
      <c r="E30" s="716"/>
      <c r="F30" s="716"/>
      <c r="G30" s="716"/>
      <c r="H30" s="716"/>
      <c r="I30" s="717"/>
      <c r="J30" s="281" t="s">
        <v>58</v>
      </c>
      <c r="K30" s="353">
        <f>M30/'生產管理報表 7-1(月)'!$B$10</f>
        <v>0</v>
      </c>
      <c r="L30" s="281" t="s">
        <v>59</v>
      </c>
      <c r="M30" s="337">
        <f>SUM(M25:M29)</f>
        <v>0</v>
      </c>
      <c r="N30" s="806"/>
      <c r="O30" s="807"/>
      <c r="P30" s="80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0000"/>
    <outlinePr summaryBelow="0" summaryRight="0"/>
  </sheetPr>
  <dimension ref="A1:T156"/>
  <sheetViews>
    <sheetView view="pageBreakPreview" topLeftCell="A19" zoomScale="91" zoomScaleNormal="60" zoomScaleSheetLayoutView="91" workbookViewId="0">
      <selection activeCell="R31" sqref="R31"/>
    </sheetView>
  </sheetViews>
  <sheetFormatPr defaultColWidth="12.54296875" defaultRowHeight="15.75" customHeight="1"/>
  <cols>
    <col min="1" max="1" width="5.453125" style="296" customWidth="1"/>
    <col min="2" max="2" width="11.453125" style="304" customWidth="1"/>
    <col min="3" max="3" width="4" style="305" customWidth="1"/>
    <col min="4" max="4" width="9.54296875" style="296" customWidth="1"/>
    <col min="5" max="5" width="10.26953125" style="296" customWidth="1"/>
    <col min="6" max="15" width="9.54296875" style="296" customWidth="1"/>
    <col min="16" max="16" width="52" style="296" customWidth="1"/>
    <col min="17" max="16384" width="12.54296875" style="296"/>
  </cols>
  <sheetData>
    <row r="1" spans="1:20" s="136" customFormat="1" ht="15.75" customHeight="1">
      <c r="A1" s="703" t="s">
        <v>375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</row>
    <row r="2" spans="1:20" s="137" customFormat="1" ht="15.75" customHeight="1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3"/>
    </row>
    <row r="3" spans="1:20" s="136" customFormat="1" ht="15.75" customHeight="1">
      <c r="A3" s="704" t="s">
        <v>468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</row>
    <row r="4" spans="1:20" s="137" customFormat="1" ht="15.75" customHeight="1">
      <c r="A4" s="799"/>
      <c r="B4" s="799"/>
      <c r="C4" s="799"/>
      <c r="D4" s="799"/>
      <c r="E4" s="799"/>
      <c r="F4" s="799"/>
      <c r="G4" s="799"/>
      <c r="H4" s="799"/>
      <c r="I4" s="799"/>
      <c r="J4" s="799"/>
      <c r="K4" s="799"/>
      <c r="L4" s="799"/>
      <c r="M4" s="799"/>
    </row>
    <row r="5" spans="1:20" s="136" customFormat="1" ht="15.75" customHeight="1">
      <c r="A5" s="800" t="s">
        <v>193</v>
      </c>
      <c r="B5" s="802">
        <v>1</v>
      </c>
      <c r="C5" s="803"/>
      <c r="D5" s="802">
        <v>2</v>
      </c>
      <c r="E5" s="803"/>
      <c r="F5" s="802">
        <v>3</v>
      </c>
      <c r="G5" s="803"/>
      <c r="H5" s="793">
        <v>4</v>
      </c>
      <c r="I5" s="794"/>
      <c r="J5" s="793">
        <v>5</v>
      </c>
      <c r="K5" s="794"/>
      <c r="L5" s="793">
        <v>6</v>
      </c>
      <c r="M5" s="794"/>
      <c r="N5" s="793">
        <v>7</v>
      </c>
      <c r="O5" s="794"/>
      <c r="P5" s="338">
        <v>8</v>
      </c>
    </row>
    <row r="6" spans="1:20" s="136" customFormat="1" ht="15.75" customHeight="1">
      <c r="A6" s="801"/>
      <c r="B6" s="797" t="s">
        <v>500</v>
      </c>
      <c r="C6" s="798"/>
      <c r="D6" s="797" t="s">
        <v>214</v>
      </c>
      <c r="E6" s="798"/>
      <c r="F6" s="797" t="s">
        <v>168</v>
      </c>
      <c r="G6" s="798"/>
      <c r="H6" s="795" t="s">
        <v>465</v>
      </c>
      <c r="I6" s="796"/>
      <c r="J6" s="795" t="s">
        <v>191</v>
      </c>
      <c r="K6" s="796"/>
      <c r="L6" s="795" t="s">
        <v>169</v>
      </c>
      <c r="M6" s="796"/>
      <c r="N6" s="795" t="s">
        <v>192</v>
      </c>
      <c r="O6" s="796"/>
      <c r="P6" s="339" t="s">
        <v>219</v>
      </c>
    </row>
    <row r="7" spans="1:20" s="136" customFormat="1" ht="15.75" customHeight="1">
      <c r="B7" s="239"/>
      <c r="C7" s="240"/>
    </row>
    <row r="8" spans="1:20" s="285" customFormat="1" ht="15.75" customHeight="1">
      <c r="A8" s="737" t="s">
        <v>193</v>
      </c>
      <c r="B8" s="738"/>
      <c r="C8" s="282" t="s">
        <v>47</v>
      </c>
      <c r="D8" s="828" t="s">
        <v>12</v>
      </c>
      <c r="E8" s="829"/>
      <c r="F8" s="830"/>
      <c r="G8" s="831" t="s">
        <v>53</v>
      </c>
      <c r="H8" s="832"/>
      <c r="I8" s="833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335</v>
      </c>
      <c r="O8" s="745" t="s">
        <v>51</v>
      </c>
      <c r="P8" s="746"/>
      <c r="R8" s="354"/>
      <c r="S8" s="355"/>
    </row>
    <row r="9" spans="1:20" s="305" customFormat="1" ht="60" customHeight="1">
      <c r="A9" s="747">
        <v>4</v>
      </c>
      <c r="B9" s="781" t="s">
        <v>465</v>
      </c>
      <c r="C9" s="286">
        <v>1</v>
      </c>
      <c r="D9" s="412" t="s">
        <v>344</v>
      </c>
      <c r="E9" s="385"/>
      <c r="F9" s="419"/>
      <c r="G9" s="247" t="s">
        <v>400</v>
      </c>
      <c r="H9" s="248"/>
      <c r="I9" s="247"/>
      <c r="J9" s="323">
        <v>127.84000000000002</v>
      </c>
      <c r="K9" s="324">
        <v>3.7345296615126471E-4</v>
      </c>
      <c r="L9" s="325">
        <v>260.25000000000006</v>
      </c>
      <c r="M9" s="333">
        <f t="shared" ref="M9:M13" si="0">L9*J9</f>
        <v>33270.360000000015</v>
      </c>
      <c r="N9" s="325"/>
      <c r="O9" s="777" t="s">
        <v>809</v>
      </c>
      <c r="P9" s="778"/>
      <c r="R9" s="356"/>
      <c r="S9" s="356"/>
    </row>
    <row r="10" spans="1:20" s="305" customFormat="1" ht="60" customHeight="1">
      <c r="A10" s="748"/>
      <c r="B10" s="782"/>
      <c r="C10" s="286">
        <v>2</v>
      </c>
      <c r="D10" s="381" t="s">
        <v>372</v>
      </c>
      <c r="E10" s="245"/>
      <c r="F10" s="246"/>
      <c r="G10" s="247" t="s">
        <v>371</v>
      </c>
      <c r="H10" s="248"/>
      <c r="I10" s="247"/>
      <c r="J10" s="323">
        <v>426.69</v>
      </c>
      <c r="K10" s="324">
        <v>6.67443506827674E-4</v>
      </c>
      <c r="L10" s="325">
        <v>54.390000000000114</v>
      </c>
      <c r="M10" s="333">
        <f t="shared" si="0"/>
        <v>23207.66910000005</v>
      </c>
      <c r="N10" s="325"/>
      <c r="O10" s="777" t="s">
        <v>810</v>
      </c>
      <c r="P10" s="778"/>
      <c r="R10" s="356"/>
      <c r="S10" s="356"/>
    </row>
    <row r="11" spans="1:20" s="305" customFormat="1" ht="60" customHeight="1">
      <c r="A11" s="748"/>
      <c r="B11" s="782"/>
      <c r="C11" s="286">
        <v>3</v>
      </c>
      <c r="D11" s="381" t="s">
        <v>610</v>
      </c>
      <c r="E11" s="245"/>
      <c r="F11" s="246"/>
      <c r="G11" s="313" t="s">
        <v>658</v>
      </c>
      <c r="H11" s="312"/>
      <c r="I11" s="313"/>
      <c r="J11" s="323">
        <v>118.30999999999997</v>
      </c>
      <c r="K11" s="324">
        <v>8.9741185045723901E-4</v>
      </c>
      <c r="L11" s="325">
        <v>161.0199999999993</v>
      </c>
      <c r="M11" s="333">
        <f t="shared" si="0"/>
        <v>19050.276199999913</v>
      </c>
      <c r="N11" s="325"/>
      <c r="O11" s="777" t="s">
        <v>811</v>
      </c>
      <c r="P11" s="778"/>
      <c r="R11" s="356"/>
      <c r="S11" s="354"/>
    </row>
    <row r="12" spans="1:20" s="305" customFormat="1" ht="60" customHeight="1">
      <c r="A12" s="748"/>
      <c r="B12" s="782"/>
      <c r="C12" s="286">
        <v>4</v>
      </c>
      <c r="D12" s="420" t="s">
        <v>611</v>
      </c>
      <c r="E12" s="245"/>
      <c r="F12" s="246"/>
      <c r="G12" s="247" t="s">
        <v>657</v>
      </c>
      <c r="H12" s="248"/>
      <c r="I12" s="247"/>
      <c r="J12" s="323">
        <v>84.3</v>
      </c>
      <c r="K12" s="324">
        <v>1.1783604664612542E-3</v>
      </c>
      <c r="L12" s="325">
        <v>211.34000000000032</v>
      </c>
      <c r="M12" s="333">
        <f t="shared" si="0"/>
        <v>17815.962000000025</v>
      </c>
      <c r="N12" s="325"/>
      <c r="O12" s="777" t="s">
        <v>812</v>
      </c>
      <c r="P12" s="778"/>
      <c r="R12" s="356"/>
      <c r="S12" s="354"/>
    </row>
    <row r="13" spans="1:20" s="305" customFormat="1" ht="60" customHeight="1" thickBot="1">
      <c r="A13" s="748"/>
      <c r="B13" s="782"/>
      <c r="C13" s="286">
        <v>5</v>
      </c>
      <c r="D13" s="420" t="s">
        <v>358</v>
      </c>
      <c r="E13" s="252"/>
      <c r="F13" s="253"/>
      <c r="G13" s="370" t="s">
        <v>463</v>
      </c>
      <c r="H13" s="312"/>
      <c r="I13" s="313"/>
      <c r="J13" s="327">
        <v>99.51</v>
      </c>
      <c r="K13" s="271">
        <v>1.6826302897874801E-3</v>
      </c>
      <c r="L13" s="328">
        <v>176.75999999999993</v>
      </c>
      <c r="M13" s="333">
        <f t="shared" si="0"/>
        <v>17589.387599999995</v>
      </c>
      <c r="N13" s="325"/>
      <c r="O13" s="777" t="s">
        <v>813</v>
      </c>
      <c r="P13" s="778"/>
      <c r="R13" s="357"/>
      <c r="S13" s="354"/>
      <c r="T13" s="296"/>
    </row>
    <row r="14" spans="1:20" ht="15.75" customHeight="1" thickTop="1" thickBot="1">
      <c r="A14" s="749"/>
      <c r="B14" s="783"/>
      <c r="C14" s="790"/>
      <c r="D14" s="791"/>
      <c r="E14" s="791"/>
      <c r="F14" s="791"/>
      <c r="G14" s="791"/>
      <c r="H14" s="791"/>
      <c r="I14" s="792"/>
      <c r="J14" s="302" t="s">
        <v>58</v>
      </c>
      <c r="K14" s="353">
        <f>M14/'生產管理報表 7-1(月)'!$B$10</f>
        <v>0.15325879989758059</v>
      </c>
      <c r="L14" s="303" t="s">
        <v>59</v>
      </c>
      <c r="M14" s="345">
        <f>SUM(M9:M13)</f>
        <v>110933.65489999999</v>
      </c>
      <c r="N14" s="734"/>
      <c r="O14" s="735"/>
      <c r="P14" s="736"/>
      <c r="R14" s="354"/>
      <c r="S14" s="354"/>
    </row>
    <row r="15" spans="1:20" ht="15.75" customHeight="1" thickTop="1">
      <c r="M15" s="340"/>
      <c r="S15" s="354"/>
    </row>
    <row r="16" spans="1:20" ht="15.75" customHeight="1">
      <c r="A16" s="737" t="s">
        <v>193</v>
      </c>
      <c r="B16" s="738"/>
      <c r="C16" s="282" t="s">
        <v>47</v>
      </c>
      <c r="D16" s="765" t="s">
        <v>12</v>
      </c>
      <c r="E16" s="766"/>
      <c r="F16" s="767"/>
      <c r="G16" s="768" t="s">
        <v>53</v>
      </c>
      <c r="H16" s="769"/>
      <c r="I16" s="770"/>
      <c r="J16" s="283" t="s">
        <v>54</v>
      </c>
      <c r="K16" s="283" t="s">
        <v>55</v>
      </c>
      <c r="L16" s="283" t="s">
        <v>56</v>
      </c>
      <c r="M16" s="341" t="s">
        <v>11</v>
      </c>
      <c r="N16" s="284" t="s">
        <v>335</v>
      </c>
      <c r="O16" s="745" t="s">
        <v>51</v>
      </c>
      <c r="P16" s="746"/>
      <c r="S16" s="355"/>
      <c r="T16" s="305"/>
    </row>
    <row r="17" spans="1:20" s="305" customFormat="1" ht="50.15" customHeight="1">
      <c r="A17" s="747">
        <v>5</v>
      </c>
      <c r="B17" s="760" t="s">
        <v>217</v>
      </c>
      <c r="C17" s="286">
        <v>1</v>
      </c>
      <c r="D17" s="244" t="s">
        <v>344</v>
      </c>
      <c r="E17" s="245"/>
      <c r="F17" s="246"/>
      <c r="G17" s="313" t="s">
        <v>339</v>
      </c>
      <c r="H17" s="312"/>
      <c r="I17" s="313"/>
      <c r="J17" s="323">
        <v>147.43000000000004</v>
      </c>
      <c r="K17" s="324">
        <v>1.1377087107014115E-4</v>
      </c>
      <c r="L17" s="325">
        <v>513.05999999999972</v>
      </c>
      <c r="M17" s="333">
        <f t="shared" ref="M17:M19" si="1">L17*J17</f>
        <v>75640.435799999977</v>
      </c>
      <c r="N17" s="325"/>
      <c r="O17" s="826" t="s">
        <v>814</v>
      </c>
      <c r="P17" s="827"/>
      <c r="S17" s="354"/>
    </row>
    <row r="18" spans="1:20" s="305" customFormat="1" ht="20.149999999999999" customHeight="1">
      <c r="A18" s="748"/>
      <c r="B18" s="761"/>
      <c r="C18" s="286">
        <v>2</v>
      </c>
      <c r="D18" s="244"/>
      <c r="E18" s="245"/>
      <c r="F18" s="246"/>
      <c r="G18" s="290"/>
      <c r="H18" s="291"/>
      <c r="I18" s="292"/>
      <c r="J18" s="323"/>
      <c r="K18" s="324"/>
      <c r="L18" s="325"/>
      <c r="M18" s="333">
        <f t="shared" si="1"/>
        <v>0</v>
      </c>
      <c r="N18" s="325"/>
      <c r="O18" s="773"/>
      <c r="P18" s="774"/>
      <c r="S18" s="296"/>
      <c r="T18" s="296"/>
    </row>
    <row r="19" spans="1:20" ht="20.149999999999999" customHeight="1">
      <c r="A19" s="748"/>
      <c r="B19" s="761"/>
      <c r="C19" s="286">
        <v>3</v>
      </c>
      <c r="D19" s="287"/>
      <c r="E19" s="288"/>
      <c r="F19" s="289"/>
      <c r="G19" s="290"/>
      <c r="H19" s="291"/>
      <c r="I19" s="292"/>
      <c r="J19" s="293"/>
      <c r="K19" s="294"/>
      <c r="L19" s="295"/>
      <c r="M19" s="342">
        <f t="shared" si="1"/>
        <v>0</v>
      </c>
      <c r="N19" s="295"/>
      <c r="O19" s="755"/>
      <c r="P19" s="756"/>
    </row>
    <row r="20" spans="1:20" ht="20.149999999999999" customHeight="1">
      <c r="A20" s="748"/>
      <c r="B20" s="761"/>
      <c r="C20" s="286">
        <v>4</v>
      </c>
      <c r="D20" s="287"/>
      <c r="E20" s="288"/>
      <c r="F20" s="289"/>
      <c r="G20" s="290"/>
      <c r="H20" s="291"/>
      <c r="I20" s="292"/>
      <c r="J20" s="293"/>
      <c r="K20" s="294"/>
      <c r="L20" s="295"/>
      <c r="M20" s="343">
        <v>0</v>
      </c>
      <c r="N20" s="295"/>
      <c r="O20" s="306"/>
      <c r="P20" s="307"/>
    </row>
    <row r="21" spans="1:20" ht="20.149999999999999" customHeight="1" thickBot="1">
      <c r="A21" s="748"/>
      <c r="B21" s="761"/>
      <c r="C21" s="286">
        <v>5</v>
      </c>
      <c r="D21" s="297"/>
      <c r="E21" s="298"/>
      <c r="F21" s="299"/>
      <c r="G21" s="290"/>
      <c r="H21" s="291"/>
      <c r="I21" s="292"/>
      <c r="J21" s="300"/>
      <c r="K21" s="271"/>
      <c r="L21" s="301"/>
      <c r="M21" s="344">
        <v>0</v>
      </c>
      <c r="N21" s="295"/>
      <c r="O21" s="308"/>
      <c r="P21" s="309"/>
      <c r="R21" s="358"/>
    </row>
    <row r="22" spans="1:20" ht="15.75" customHeight="1" thickTop="1" thickBot="1">
      <c r="A22" s="749"/>
      <c r="B22" s="762"/>
      <c r="C22" s="757"/>
      <c r="D22" s="758"/>
      <c r="E22" s="758"/>
      <c r="F22" s="758"/>
      <c r="G22" s="758"/>
      <c r="H22" s="758"/>
      <c r="I22" s="759"/>
      <c r="J22" s="302" t="s">
        <v>58</v>
      </c>
      <c r="K22" s="353">
        <f>M22/'生產管理報表 7-1(月)'!$B$10</f>
        <v>0.1044999592313801</v>
      </c>
      <c r="L22" s="303" t="s">
        <v>59</v>
      </c>
      <c r="M22" s="345">
        <f>SUM(M17:M21)</f>
        <v>75640.435799999977</v>
      </c>
      <c r="N22" s="734"/>
      <c r="O22" s="735"/>
      <c r="P22" s="736"/>
      <c r="R22" s="354"/>
    </row>
    <row r="23" spans="1:20" ht="15.75" customHeight="1" thickTop="1">
      <c r="M23" s="340"/>
      <c r="R23" s="354"/>
    </row>
    <row r="24" spans="1:20" ht="15.75" customHeight="1">
      <c r="A24" s="737" t="s">
        <v>193</v>
      </c>
      <c r="B24" s="738"/>
      <c r="C24" s="310" t="s">
        <v>47</v>
      </c>
      <c r="D24" s="739" t="s">
        <v>12</v>
      </c>
      <c r="E24" s="740"/>
      <c r="F24" s="741"/>
      <c r="G24" s="742" t="s">
        <v>53</v>
      </c>
      <c r="H24" s="743"/>
      <c r="I24" s="744"/>
      <c r="J24" s="311" t="s">
        <v>54</v>
      </c>
      <c r="K24" s="283" t="s">
        <v>55</v>
      </c>
      <c r="L24" s="283" t="s">
        <v>56</v>
      </c>
      <c r="M24" s="341" t="s">
        <v>11</v>
      </c>
      <c r="N24" s="284" t="s">
        <v>335</v>
      </c>
      <c r="O24" s="745" t="s">
        <v>51</v>
      </c>
      <c r="P24" s="746"/>
      <c r="R24" s="354"/>
    </row>
    <row r="25" spans="1:20" ht="60" customHeight="1">
      <c r="A25" s="747">
        <v>6</v>
      </c>
      <c r="B25" s="760" t="s">
        <v>218</v>
      </c>
      <c r="C25" s="286">
        <v>1</v>
      </c>
      <c r="D25" s="244" t="s">
        <v>346</v>
      </c>
      <c r="E25" s="288"/>
      <c r="F25" s="288"/>
      <c r="G25" s="383" t="s">
        <v>523</v>
      </c>
      <c r="H25" s="312"/>
      <c r="I25" s="313"/>
      <c r="J25" s="323">
        <v>605.77999999999986</v>
      </c>
      <c r="K25" s="324">
        <v>4.2366513776097032E-4</v>
      </c>
      <c r="L25" s="325">
        <v>30.919999999999895</v>
      </c>
      <c r="M25" s="333">
        <f t="shared" ref="M25:M28" si="2">L25*J25</f>
        <v>18730.717599999931</v>
      </c>
      <c r="N25" s="295"/>
      <c r="O25" s="824" t="s">
        <v>815</v>
      </c>
      <c r="P25" s="825"/>
    </row>
    <row r="26" spans="1:20" ht="60" customHeight="1">
      <c r="A26" s="748"/>
      <c r="B26" s="761"/>
      <c r="C26" s="286">
        <v>2</v>
      </c>
      <c r="D26" s="244" t="s">
        <v>344</v>
      </c>
      <c r="E26" s="288"/>
      <c r="F26" s="288"/>
      <c r="G26" s="383" t="s">
        <v>512</v>
      </c>
      <c r="H26" s="312"/>
      <c r="I26" s="313"/>
      <c r="J26" s="323">
        <v>3.2199999999999998</v>
      </c>
      <c r="K26" s="324">
        <v>0</v>
      </c>
      <c r="L26" s="325">
        <v>3713</v>
      </c>
      <c r="M26" s="333">
        <f t="shared" si="2"/>
        <v>11955.859999999999</v>
      </c>
      <c r="N26" s="295"/>
      <c r="O26" s="824" t="s">
        <v>816</v>
      </c>
      <c r="P26" s="825"/>
    </row>
    <row r="27" spans="1:20" ht="60" customHeight="1">
      <c r="A27" s="748"/>
      <c r="B27" s="761"/>
      <c r="C27" s="286">
        <v>3</v>
      </c>
      <c r="D27" s="244" t="s">
        <v>540</v>
      </c>
      <c r="E27" s="288"/>
      <c r="F27" s="288"/>
      <c r="G27" s="383" t="s">
        <v>538</v>
      </c>
      <c r="H27" s="312"/>
      <c r="I27" s="313"/>
      <c r="J27" s="323">
        <v>407.74000000000007</v>
      </c>
      <c r="K27" s="324">
        <v>9.3933456068706438E-4</v>
      </c>
      <c r="L27" s="325">
        <v>27.680000000000117</v>
      </c>
      <c r="M27" s="333">
        <f t="shared" si="2"/>
        <v>11286.24320000005</v>
      </c>
      <c r="N27" s="295"/>
      <c r="O27" s="824" t="s">
        <v>817</v>
      </c>
      <c r="P27" s="825"/>
    </row>
    <row r="28" spans="1:20" ht="120" customHeight="1">
      <c r="A28" s="748"/>
      <c r="B28" s="761"/>
      <c r="C28" s="286">
        <v>4</v>
      </c>
      <c r="D28" s="244" t="s">
        <v>511</v>
      </c>
      <c r="E28" s="288"/>
      <c r="F28" s="288"/>
      <c r="G28" s="383" t="s">
        <v>514</v>
      </c>
      <c r="H28" s="312"/>
      <c r="I28" s="313"/>
      <c r="J28" s="323">
        <v>327.16000000000003</v>
      </c>
      <c r="K28" s="324">
        <v>6.9029850746268667E-3</v>
      </c>
      <c r="L28" s="325">
        <v>8.8999999999999559</v>
      </c>
      <c r="M28" s="333">
        <f t="shared" si="2"/>
        <v>2911.7239999999856</v>
      </c>
      <c r="N28" s="295"/>
      <c r="O28" s="824" t="s">
        <v>818</v>
      </c>
      <c r="P28" s="825"/>
    </row>
    <row r="29" spans="1:20" ht="60" customHeight="1" thickBot="1">
      <c r="A29" s="748"/>
      <c r="B29" s="761"/>
      <c r="C29" s="286">
        <v>5</v>
      </c>
      <c r="D29" s="251"/>
      <c r="E29" s="298"/>
      <c r="F29" s="298"/>
      <c r="G29" s="417"/>
      <c r="H29" s="312"/>
      <c r="I29" s="313"/>
      <c r="J29" s="327"/>
      <c r="K29" s="271"/>
      <c r="L29" s="328"/>
      <c r="M29" s="333">
        <f>L29*J29</f>
        <v>0</v>
      </c>
      <c r="N29" s="295"/>
      <c r="O29" s="824"/>
      <c r="P29" s="825"/>
    </row>
    <row r="30" spans="1:20" ht="15.75" customHeight="1" thickTop="1" thickBot="1">
      <c r="A30" s="749"/>
      <c r="B30" s="762"/>
      <c r="C30" s="757"/>
      <c r="D30" s="758"/>
      <c r="E30" s="758"/>
      <c r="F30" s="758"/>
      <c r="G30" s="758"/>
      <c r="H30" s="758"/>
      <c r="I30" s="759"/>
      <c r="J30" s="302" t="s">
        <v>58</v>
      </c>
      <c r="K30" s="353">
        <f>M30/'生產管理報表 7-1(月)'!$B$10</f>
        <v>6.2009599126596406E-2</v>
      </c>
      <c r="L30" s="303" t="s">
        <v>59</v>
      </c>
      <c r="M30" s="345">
        <f>SUM(M25:M29)</f>
        <v>44884.544799999967</v>
      </c>
      <c r="N30" s="734"/>
      <c r="O30" s="735"/>
      <c r="P30" s="736"/>
    </row>
    <row r="31" spans="1:20" ht="15.75" customHeight="1" thickTop="1">
      <c r="M31" s="340"/>
    </row>
    <row r="32" spans="1:20" ht="15.75" customHeight="1">
      <c r="A32" s="737" t="s">
        <v>193</v>
      </c>
      <c r="B32" s="738"/>
      <c r="C32" s="310" t="s">
        <v>47</v>
      </c>
      <c r="D32" s="739" t="s">
        <v>12</v>
      </c>
      <c r="E32" s="740"/>
      <c r="F32" s="741"/>
      <c r="G32" s="742" t="s">
        <v>53</v>
      </c>
      <c r="H32" s="743"/>
      <c r="I32" s="744"/>
      <c r="J32" s="311" t="s">
        <v>54</v>
      </c>
      <c r="K32" s="283" t="s">
        <v>55</v>
      </c>
      <c r="L32" s="283" t="s">
        <v>56</v>
      </c>
      <c r="M32" s="341" t="s">
        <v>11</v>
      </c>
      <c r="N32" s="284" t="s">
        <v>335</v>
      </c>
      <c r="O32" s="745" t="s">
        <v>51</v>
      </c>
      <c r="P32" s="746"/>
    </row>
    <row r="33" spans="1:16" ht="15.75" customHeight="1">
      <c r="A33" s="747">
        <v>7</v>
      </c>
      <c r="B33" s="750" t="s">
        <v>251</v>
      </c>
      <c r="C33" s="286">
        <v>1</v>
      </c>
      <c r="D33" s="287"/>
      <c r="E33" s="288"/>
      <c r="F33" s="289"/>
      <c r="G33" s="290"/>
      <c r="H33" s="291"/>
      <c r="I33" s="292"/>
      <c r="J33" s="293"/>
      <c r="K33" s="294"/>
      <c r="L33" s="295"/>
      <c r="M33" s="342">
        <f t="shared" ref="M33:M35" si="3">L33*J33</f>
        <v>0</v>
      </c>
      <c r="N33" s="295"/>
      <c r="O33" s="753"/>
      <c r="P33" s="754"/>
    </row>
    <row r="34" spans="1:16" ht="15.75" customHeight="1">
      <c r="A34" s="748"/>
      <c r="B34" s="751"/>
      <c r="C34" s="286">
        <v>2</v>
      </c>
      <c r="D34" s="287"/>
      <c r="E34" s="288"/>
      <c r="F34" s="289"/>
      <c r="G34" s="290"/>
      <c r="H34" s="291"/>
      <c r="I34" s="292"/>
      <c r="J34" s="293"/>
      <c r="K34" s="294"/>
      <c r="L34" s="295"/>
      <c r="M34" s="342">
        <f t="shared" si="3"/>
        <v>0</v>
      </c>
      <c r="N34" s="295"/>
      <c r="O34" s="755"/>
      <c r="P34" s="756"/>
    </row>
    <row r="35" spans="1:16" ht="15.75" customHeight="1">
      <c r="A35" s="748"/>
      <c r="B35" s="751"/>
      <c r="C35" s="286">
        <v>3</v>
      </c>
      <c r="D35" s="287"/>
      <c r="E35" s="288"/>
      <c r="F35" s="289"/>
      <c r="G35" s="290"/>
      <c r="H35" s="291"/>
      <c r="I35" s="292"/>
      <c r="J35" s="293"/>
      <c r="K35" s="294"/>
      <c r="L35" s="295"/>
      <c r="M35" s="342">
        <f t="shared" si="3"/>
        <v>0</v>
      </c>
      <c r="N35" s="295"/>
      <c r="O35" s="755"/>
      <c r="P35" s="756"/>
    </row>
    <row r="36" spans="1:16" ht="15.75" customHeight="1">
      <c r="A36" s="748"/>
      <c r="B36" s="751"/>
      <c r="C36" s="286">
        <v>4</v>
      </c>
      <c r="D36" s="287"/>
      <c r="E36" s="288"/>
      <c r="F36" s="289"/>
      <c r="G36" s="290"/>
      <c r="H36" s="291"/>
      <c r="I36" s="292"/>
      <c r="J36" s="293"/>
      <c r="K36" s="294"/>
      <c r="L36" s="295"/>
      <c r="M36" s="343">
        <v>0</v>
      </c>
      <c r="N36" s="295"/>
      <c r="O36" s="306"/>
      <c r="P36" s="307"/>
    </row>
    <row r="37" spans="1:16" ht="15.75" customHeight="1" thickBot="1">
      <c r="A37" s="748"/>
      <c r="B37" s="751"/>
      <c r="C37" s="286">
        <v>5</v>
      </c>
      <c r="D37" s="297"/>
      <c r="E37" s="298"/>
      <c r="F37" s="299"/>
      <c r="G37" s="290"/>
      <c r="H37" s="291"/>
      <c r="I37" s="292"/>
      <c r="J37" s="300"/>
      <c r="K37" s="271"/>
      <c r="L37" s="301"/>
      <c r="M37" s="344">
        <v>0</v>
      </c>
      <c r="N37" s="295"/>
      <c r="O37" s="308"/>
      <c r="P37" s="309"/>
    </row>
    <row r="38" spans="1:16" ht="15.75" customHeight="1" thickTop="1" thickBot="1">
      <c r="A38" s="749"/>
      <c r="B38" s="752"/>
      <c r="C38" s="757"/>
      <c r="D38" s="758"/>
      <c r="E38" s="758"/>
      <c r="F38" s="758"/>
      <c r="G38" s="758"/>
      <c r="H38" s="758"/>
      <c r="I38" s="759"/>
      <c r="J38" s="302" t="s">
        <v>58</v>
      </c>
      <c r="K38" s="353">
        <f>M38/'生產管理報表 7-1(月)'!$B$10</f>
        <v>0</v>
      </c>
      <c r="L38" s="303" t="s">
        <v>59</v>
      </c>
      <c r="M38" s="345">
        <f>SUM(M33:M37)</f>
        <v>0</v>
      </c>
      <c r="N38" s="734"/>
      <c r="O38" s="735"/>
      <c r="P38" s="736"/>
    </row>
    <row r="39" spans="1:16" ht="15.75" customHeight="1" thickTop="1"/>
    <row r="44" spans="1:16" ht="15.75" customHeight="1">
      <c r="O44" s="296" ph="1"/>
      <c r="P44" s="296" ph="1"/>
    </row>
    <row r="46" spans="1:16" ht="15.75" customHeight="1">
      <c r="O46" s="296" ph="1"/>
      <c r="P46" s="296" ph="1"/>
    </row>
    <row r="47" spans="1:16" ht="15.75" customHeight="1">
      <c r="O47" s="296" ph="1"/>
      <c r="P47" s="296" ph="1"/>
    </row>
    <row r="117" spans="15:16" ht="15.75" customHeight="1">
      <c r="O117" s="296" ph="1"/>
      <c r="P117" s="296" ph="1"/>
    </row>
    <row r="119" spans="15:16" ht="15.75" customHeight="1">
      <c r="O119" s="296" ph="1"/>
      <c r="P119" s="296" ph="1"/>
    </row>
    <row r="120" spans="15:16" ht="15.75" customHeight="1">
      <c r="O120" s="296" ph="1"/>
      <c r="P120" s="296" ph="1"/>
    </row>
    <row r="153" spans="15:16" ht="15.75" customHeight="1">
      <c r="O153" s="296" ph="1"/>
      <c r="P153" s="296" ph="1"/>
    </row>
    <row r="155" spans="15:16" ht="15.75" customHeight="1">
      <c r="O155" s="296" ph="1"/>
      <c r="P155" s="296" ph="1"/>
    </row>
    <row r="156" spans="15:16" ht="15.75" customHeight="1">
      <c r="O156" s="296" ph="1"/>
      <c r="P156" s="296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92D050"/>
    <outlinePr summaryBelow="0" summaryRight="0"/>
  </sheetPr>
  <dimension ref="A1:M70"/>
  <sheetViews>
    <sheetView view="pageBreakPreview" topLeftCell="A46" zoomScale="115" zoomScaleNormal="60" zoomScaleSheetLayoutView="115" workbookViewId="0">
      <selection activeCell="F54" sqref="F54"/>
    </sheetView>
  </sheetViews>
  <sheetFormatPr defaultColWidth="12.54296875" defaultRowHeight="15.75" customHeight="1"/>
  <cols>
    <col min="1" max="1" width="14.1796875" style="136" customWidth="1"/>
    <col min="2" max="2" width="14.81640625" style="136" customWidth="1"/>
    <col min="3" max="3" width="12.81640625" style="136" customWidth="1"/>
    <col min="4" max="4" width="2.54296875" style="136" customWidth="1"/>
    <col min="5" max="5" width="7.54296875" style="136" customWidth="1"/>
    <col min="6" max="6" width="12.81640625" style="136" customWidth="1"/>
    <col min="7" max="7" width="9.453125" style="136" customWidth="1"/>
    <col min="8" max="8" width="12.81640625" style="136" customWidth="1"/>
    <col min="9" max="9" width="9.453125" style="136" customWidth="1"/>
    <col min="10" max="10" width="12.81640625" style="136" customWidth="1"/>
    <col min="11" max="11" width="9.453125" style="136" customWidth="1"/>
    <col min="12" max="12" width="12.81640625" style="136" customWidth="1"/>
    <col min="13" max="13" width="9.453125" style="136" customWidth="1"/>
    <col min="14" max="16384" width="12.54296875" style="136"/>
  </cols>
  <sheetData>
    <row r="1" spans="1:13" ht="15.75" customHeight="1">
      <c r="A1" s="703" t="s">
        <v>375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</row>
    <row r="2" spans="1:13" s="137" customFormat="1" ht="15.75" customHeight="1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</row>
    <row r="3" spans="1:13" ht="15.75" customHeight="1">
      <c r="A3" s="704" t="s">
        <v>498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</row>
    <row r="4" spans="1:13" s="137" customFormat="1" ht="15.75" customHeight="1">
      <c r="A4" s="704"/>
      <c r="B4" s="704"/>
      <c r="C4" s="704"/>
      <c r="D4" s="704"/>
      <c r="E4" s="704"/>
      <c r="F4" s="704"/>
      <c r="G4" s="704"/>
      <c r="H4" s="704"/>
      <c r="I4" s="704"/>
      <c r="J4" s="704"/>
      <c r="K4" s="704"/>
      <c r="L4" s="704"/>
      <c r="M4" s="704"/>
    </row>
    <row r="5" spans="1:13" ht="15.75" customHeight="1">
      <c r="A5" s="226" t="s">
        <v>450</v>
      </c>
      <c r="B5" s="227">
        <v>32338.420109999999</v>
      </c>
      <c r="E5" s="834" t="s">
        <v>499</v>
      </c>
      <c r="F5" s="835"/>
      <c r="G5" s="835"/>
      <c r="H5" s="835"/>
      <c r="I5" s="835"/>
      <c r="J5" s="835"/>
      <c r="K5" s="835"/>
      <c r="L5" s="835"/>
      <c r="M5" s="835"/>
    </row>
    <row r="6" spans="1:13" ht="15.75" customHeight="1">
      <c r="A6" s="836" t="s">
        <v>199</v>
      </c>
      <c r="B6" s="706" t="s">
        <v>10</v>
      </c>
      <c r="C6" s="706"/>
      <c r="D6" s="707"/>
      <c r="E6" s="705" t="s">
        <v>199</v>
      </c>
      <c r="F6" s="709">
        <v>1</v>
      </c>
      <c r="G6" s="709"/>
      <c r="H6" s="709">
        <v>2</v>
      </c>
      <c r="I6" s="709"/>
      <c r="J6" s="709">
        <v>3</v>
      </c>
      <c r="K6" s="709"/>
      <c r="L6" s="709">
        <v>4</v>
      </c>
      <c r="M6" s="709"/>
    </row>
    <row r="7" spans="1:13" ht="31.4" customHeight="1">
      <c r="A7" s="836"/>
      <c r="B7" s="706"/>
      <c r="C7" s="706"/>
      <c r="D7" s="708"/>
      <c r="E7" s="705"/>
      <c r="F7" s="711" t="s">
        <v>500</v>
      </c>
      <c r="G7" s="711"/>
      <c r="H7" s="711" t="s">
        <v>242</v>
      </c>
      <c r="I7" s="711"/>
      <c r="J7" s="711" t="s">
        <v>168</v>
      </c>
      <c r="K7" s="711"/>
      <c r="L7" s="711" t="s">
        <v>465</v>
      </c>
      <c r="M7" s="711"/>
    </row>
    <row r="8" spans="1:13" ht="15.75" customHeight="1">
      <c r="A8" s="836"/>
      <c r="B8" s="155" t="s">
        <v>11</v>
      </c>
      <c r="C8" s="155" t="s">
        <v>41</v>
      </c>
      <c r="D8" s="708"/>
      <c r="E8" s="705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99999999999999" customHeight="1">
      <c r="A9" s="228" t="s">
        <v>244</v>
      </c>
      <c r="B9" s="140">
        <f>日別報廢率總表!M4</f>
        <v>72103.864479999989</v>
      </c>
      <c r="C9" s="236">
        <f>B9/($B$5*1000)</f>
        <v>2.2296656495504968E-3</v>
      </c>
      <c r="D9" s="708"/>
      <c r="E9" s="139" t="s">
        <v>244</v>
      </c>
      <c r="F9" s="142">
        <f>'報廢20大－原因別分析'!AB8</f>
        <v>15102.013300000001</v>
      </c>
      <c r="G9" s="143">
        <f>'報廢20大－原因別分析'!AB9</f>
        <v>0.7</v>
      </c>
      <c r="H9" s="142">
        <f>'報廢20大－原因別分析'!AC8</f>
        <v>0</v>
      </c>
      <c r="I9" s="143">
        <f>'報廢20大－原因別分析'!AC9</f>
        <v>0</v>
      </c>
      <c r="J9" s="142">
        <f>'報廢20大－原因別分析'!AD8</f>
        <v>4863.9854000000005</v>
      </c>
      <c r="K9" s="143">
        <f>'報廢20大－原因別分析'!AD9</f>
        <v>0.2</v>
      </c>
      <c r="L9" s="142">
        <f>'報廢20大－原因別分析'!AE8</f>
        <v>0</v>
      </c>
      <c r="M9" s="143">
        <f>'報廢20大－原因別分析'!AE9</f>
        <v>0</v>
      </c>
    </row>
    <row r="10" spans="1:13" ht="19.399999999999999" customHeight="1">
      <c r="A10" s="229" t="s">
        <v>245</v>
      </c>
      <c r="B10" s="145">
        <f>日別報廢率總表!N4</f>
        <v>164357.66202000002</v>
      </c>
      <c r="C10" s="141">
        <f>B10/($B$5*1000)</f>
        <v>5.0824270777896086E-3</v>
      </c>
      <c r="D10" s="708"/>
      <c r="E10" s="144" t="s">
        <v>245</v>
      </c>
      <c r="F10" s="142">
        <f>'超用20大－原因別分析'!AB8</f>
        <v>0</v>
      </c>
      <c r="G10" s="143">
        <f>'超用20大－原因別分析'!AB9</f>
        <v>0</v>
      </c>
      <c r="H10" s="142">
        <f>'超用20大－原因別分析'!AC8</f>
        <v>0</v>
      </c>
      <c r="I10" s="143">
        <f>'超用20大－原因別分析'!AC9</f>
        <v>0</v>
      </c>
      <c r="J10" s="142">
        <f>'超用20大－原因別分析'!AD8</f>
        <v>0</v>
      </c>
      <c r="K10" s="143">
        <f>'超用20大－原因別分析'!AD9</f>
        <v>0</v>
      </c>
      <c r="L10" s="142">
        <f>'超用20大－原因別分析'!AE8</f>
        <v>61415.661400000012</v>
      </c>
      <c r="M10" s="143">
        <f>'超用20大－原因別分析'!AE9</f>
        <v>0.7</v>
      </c>
    </row>
    <row r="11" spans="1:13" ht="15.75" customHeight="1">
      <c r="A11" s="225" t="s">
        <v>433</v>
      </c>
      <c r="B11" s="423" t="s">
        <v>560</v>
      </c>
      <c r="C11" s="224"/>
      <c r="D11" s="708"/>
      <c r="E11" s="843" t="s">
        <v>199</v>
      </c>
      <c r="F11" s="802">
        <v>5</v>
      </c>
      <c r="G11" s="803"/>
      <c r="H11" s="802">
        <v>6</v>
      </c>
      <c r="I11" s="803"/>
      <c r="J11" s="802">
        <v>7</v>
      </c>
      <c r="K11" s="803"/>
      <c r="L11" s="837"/>
      <c r="M11" s="838"/>
    </row>
    <row r="12" spans="1:13" ht="31.4" customHeight="1">
      <c r="A12" s="136" t="s">
        <v>434</v>
      </c>
      <c r="B12" s="424" t="s">
        <v>560</v>
      </c>
      <c r="C12" s="224"/>
      <c r="D12" s="708"/>
      <c r="E12" s="844"/>
      <c r="F12" s="839" t="s">
        <v>191</v>
      </c>
      <c r="G12" s="840"/>
      <c r="H12" s="839" t="s">
        <v>169</v>
      </c>
      <c r="I12" s="840"/>
      <c r="J12" s="839" t="s">
        <v>192</v>
      </c>
      <c r="K12" s="840"/>
      <c r="L12" s="841"/>
      <c r="M12" s="842"/>
    </row>
    <row r="13" spans="1:13" ht="15.75" customHeight="1">
      <c r="D13" s="708"/>
      <c r="E13" s="845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99999999999999" customHeight="1">
      <c r="D14" s="708"/>
      <c r="E14" s="139" t="s">
        <v>244</v>
      </c>
      <c r="F14" s="142">
        <f>'報廢20大－原因別分析'!AF8</f>
        <v>1008.96</v>
      </c>
      <c r="G14" s="143">
        <f>'報廢20大－原因別分析'!AF9</f>
        <v>0.05</v>
      </c>
      <c r="H14" s="142">
        <f>'報廢20大－原因別分析'!AG8</f>
        <v>1266.9000000000001</v>
      </c>
      <c r="I14" s="143">
        <f>'報廢20大－原因別分析'!AG9</f>
        <v>0.05</v>
      </c>
      <c r="J14" s="142">
        <f>'報廢20大－原因別分析'!AH8</f>
        <v>0</v>
      </c>
      <c r="K14" s="143">
        <f>'報廢20大－原因別分析'!AH9</f>
        <v>0</v>
      </c>
      <c r="L14" s="142"/>
      <c r="M14" s="143"/>
    </row>
    <row r="15" spans="1:13" ht="19.399999999999999" customHeight="1">
      <c r="D15" s="708"/>
      <c r="E15" s="144" t="s">
        <v>245</v>
      </c>
      <c r="F15" s="142">
        <f>'超用20大－原因別分析'!AF8</f>
        <v>14468.780200000008</v>
      </c>
      <c r="G15" s="143">
        <f>'超用20大－原因別分析'!AF9</f>
        <v>0.05</v>
      </c>
      <c r="H15" s="142">
        <f>'超用20大－原因別分析'!AG8</f>
        <v>19546.63519999999</v>
      </c>
      <c r="I15" s="143">
        <f>'超用20大－原因別分析'!AG9</f>
        <v>0.25</v>
      </c>
      <c r="J15" s="142">
        <f>'超用20大－原因別分析'!AH8</f>
        <v>0</v>
      </c>
      <c r="K15" s="143">
        <f>'超用20大－原因別分析'!AH9</f>
        <v>0</v>
      </c>
      <c r="L15" s="142"/>
      <c r="M15" s="143"/>
    </row>
    <row r="16" spans="1:13" ht="15.75" customHeight="1">
      <c r="A16" s="226" t="s">
        <v>450</v>
      </c>
      <c r="B16" s="227">
        <v>33854.096109999999</v>
      </c>
      <c r="E16" s="834" t="s">
        <v>499</v>
      </c>
      <c r="F16" s="835"/>
      <c r="G16" s="835"/>
      <c r="H16" s="835"/>
      <c r="I16" s="835"/>
      <c r="J16" s="835"/>
      <c r="K16" s="835"/>
      <c r="L16" s="835"/>
      <c r="M16" s="835"/>
    </row>
    <row r="17" spans="1:13" ht="15.75" customHeight="1">
      <c r="A17" s="836" t="s">
        <v>199</v>
      </c>
      <c r="B17" s="706" t="s">
        <v>10</v>
      </c>
      <c r="C17" s="706"/>
      <c r="D17" s="707"/>
      <c r="E17" s="705" t="s">
        <v>199</v>
      </c>
      <c r="F17" s="709">
        <v>1</v>
      </c>
      <c r="G17" s="709"/>
      <c r="H17" s="709">
        <v>2</v>
      </c>
      <c r="I17" s="709"/>
      <c r="J17" s="709">
        <v>3</v>
      </c>
      <c r="K17" s="709"/>
      <c r="L17" s="709">
        <v>4</v>
      </c>
      <c r="M17" s="709"/>
    </row>
    <row r="18" spans="1:13" ht="31.4" customHeight="1">
      <c r="A18" s="836"/>
      <c r="B18" s="706"/>
      <c r="C18" s="706"/>
      <c r="D18" s="708"/>
      <c r="E18" s="705"/>
      <c r="F18" s="711" t="s">
        <v>500</v>
      </c>
      <c r="G18" s="711"/>
      <c r="H18" s="711" t="s">
        <v>242</v>
      </c>
      <c r="I18" s="711"/>
      <c r="J18" s="711" t="s">
        <v>168</v>
      </c>
      <c r="K18" s="711"/>
      <c r="L18" s="711" t="s">
        <v>465</v>
      </c>
      <c r="M18" s="711"/>
    </row>
    <row r="19" spans="1:13" ht="15.75" customHeight="1">
      <c r="A19" s="836"/>
      <c r="B19" s="155" t="s">
        <v>11</v>
      </c>
      <c r="C19" s="155" t="s">
        <v>41</v>
      </c>
      <c r="D19" s="708"/>
      <c r="E19" s="705"/>
      <c r="F19" s="155" t="s">
        <v>11</v>
      </c>
      <c r="G19" s="155" t="s">
        <v>41</v>
      </c>
      <c r="H19" s="155" t="s">
        <v>11</v>
      </c>
      <c r="I19" s="155" t="s">
        <v>41</v>
      </c>
      <c r="J19" s="155" t="s">
        <v>11</v>
      </c>
      <c r="K19" s="155" t="s">
        <v>41</v>
      </c>
      <c r="L19" s="155" t="s">
        <v>11</v>
      </c>
      <c r="M19" s="155" t="s">
        <v>41</v>
      </c>
    </row>
    <row r="20" spans="1:13" ht="19.399999999999999" customHeight="1">
      <c r="A20" s="228" t="s">
        <v>244</v>
      </c>
      <c r="B20" s="140">
        <f>日別報廢率總表!M11</f>
        <v>68854.618759999998</v>
      </c>
      <c r="C20" s="236">
        <f>B20/($B$16*1000)</f>
        <v>2.0338637468350945E-3</v>
      </c>
      <c r="D20" s="708"/>
      <c r="E20" s="139" t="s">
        <v>244</v>
      </c>
      <c r="F20" s="142">
        <f>'報廢20大－原因別分析'!AB32</f>
        <v>15620.086900000002</v>
      </c>
      <c r="G20" s="143">
        <f>'報廢20大－原因別分析'!AB33</f>
        <v>0.75</v>
      </c>
      <c r="H20" s="142">
        <f>'報廢20大－原因別分析'!AC32</f>
        <v>0</v>
      </c>
      <c r="I20" s="143">
        <f>'報廢20大－原因別分析'!AC33</f>
        <v>0</v>
      </c>
      <c r="J20" s="142">
        <f>'報廢20大－原因別分析'!AD32</f>
        <v>3526.3887999999997</v>
      </c>
      <c r="K20" s="143">
        <f>'報廢20大－原因別分析'!AD33</f>
        <v>0.15</v>
      </c>
      <c r="L20" s="142">
        <f>'報廢20大－原因別分析'!AE32</f>
        <v>0</v>
      </c>
      <c r="M20" s="143">
        <f>'報廢20大－原因別分析'!AE33</f>
        <v>0</v>
      </c>
    </row>
    <row r="21" spans="1:13" ht="19.399999999999999" customHeight="1">
      <c r="A21" s="229" t="s">
        <v>245</v>
      </c>
      <c r="B21" s="145">
        <f>日別報廢率總表!N11</f>
        <v>170575.13933999991</v>
      </c>
      <c r="C21" s="141">
        <f>B21/($B$16*1000)</f>
        <v>5.0385376938069997E-3</v>
      </c>
      <c r="D21" s="708"/>
      <c r="E21" s="144" t="s">
        <v>245</v>
      </c>
      <c r="F21" s="142">
        <f>'超用20大－原因別分析'!AB32</f>
        <v>0</v>
      </c>
      <c r="G21" s="143">
        <f>'超用20大－原因別分析'!AB33</f>
        <v>0</v>
      </c>
      <c r="H21" s="142">
        <f>'超用20大－原因別分析'!AC32</f>
        <v>0</v>
      </c>
      <c r="I21" s="143">
        <f>'超用20大－原因別分析'!AC33</f>
        <v>0</v>
      </c>
      <c r="J21" s="142">
        <f>'超用20大－原因別分析'!AD32</f>
        <v>0</v>
      </c>
      <c r="K21" s="143">
        <f>'超用20大－原因別分析'!AD33</f>
        <v>0</v>
      </c>
      <c r="L21" s="142">
        <f>'超用20大－原因別分析'!AE32</f>
        <v>77263.155899999925</v>
      </c>
      <c r="M21" s="143">
        <f>'超用20大－原因別分析'!AE33</f>
        <v>0.8</v>
      </c>
    </row>
    <row r="22" spans="1:13" ht="15.75" customHeight="1">
      <c r="A22" s="225" t="s">
        <v>433</v>
      </c>
      <c r="B22" s="423" t="s">
        <v>624</v>
      </c>
      <c r="C22" s="224"/>
      <c r="D22" s="708"/>
      <c r="E22" s="705" t="s">
        <v>199</v>
      </c>
      <c r="F22" s="802">
        <v>5</v>
      </c>
      <c r="G22" s="803"/>
      <c r="H22" s="802">
        <v>6</v>
      </c>
      <c r="I22" s="803"/>
      <c r="J22" s="802">
        <v>7</v>
      </c>
      <c r="K22" s="803"/>
      <c r="L22" s="837"/>
      <c r="M22" s="838"/>
    </row>
    <row r="23" spans="1:13" ht="31.4" customHeight="1">
      <c r="A23" s="136" t="s">
        <v>434</v>
      </c>
      <c r="B23" s="423" t="s">
        <v>624</v>
      </c>
      <c r="C23" s="224"/>
      <c r="D23" s="708"/>
      <c r="E23" s="705"/>
      <c r="F23" s="839" t="s">
        <v>191</v>
      </c>
      <c r="G23" s="840"/>
      <c r="H23" s="839" t="s">
        <v>169</v>
      </c>
      <c r="I23" s="840"/>
      <c r="J23" s="839" t="s">
        <v>192</v>
      </c>
      <c r="K23" s="840"/>
      <c r="L23" s="841"/>
      <c r="M23" s="842"/>
    </row>
    <row r="24" spans="1:13" ht="15.75" customHeight="1">
      <c r="D24" s="708"/>
      <c r="E24" s="705"/>
      <c r="F24" s="155" t="s">
        <v>11</v>
      </c>
      <c r="G24" s="155" t="s">
        <v>41</v>
      </c>
      <c r="H24" s="155" t="s">
        <v>11</v>
      </c>
      <c r="I24" s="155" t="s">
        <v>41</v>
      </c>
      <c r="J24" s="155" t="s">
        <v>11</v>
      </c>
      <c r="K24" s="155" t="s">
        <v>41</v>
      </c>
      <c r="L24" s="155"/>
      <c r="M24" s="155"/>
    </row>
    <row r="25" spans="1:13" ht="19.399999999999999" customHeight="1">
      <c r="D25" s="708"/>
      <c r="E25" s="139" t="s">
        <v>244</v>
      </c>
      <c r="F25" s="142">
        <f>'報廢20大－原因別分析'!AF32</f>
        <v>1092.48</v>
      </c>
      <c r="G25" s="143">
        <f>'報廢20大－原因別分析'!AF33</f>
        <v>0.05</v>
      </c>
      <c r="H25" s="142">
        <f>'報廢20大－原因別分析'!AG32</f>
        <v>1282.3499999999999</v>
      </c>
      <c r="I25" s="143">
        <f>'報廢20大－原因別分析'!AG33</f>
        <v>0.05</v>
      </c>
      <c r="J25" s="142">
        <f>'報廢20大－原因別分析'!AH32</f>
        <v>0</v>
      </c>
      <c r="K25" s="143">
        <f>'報廢20大－原因別分析'!AH33</f>
        <v>0</v>
      </c>
      <c r="L25" s="142"/>
      <c r="M25" s="143"/>
    </row>
    <row r="26" spans="1:13" ht="19.399999999999999" customHeight="1">
      <c r="D26" s="708"/>
      <c r="E26" s="144" t="s">
        <v>245</v>
      </c>
      <c r="F26" s="142">
        <f>'超用20大－原因別分析'!AF32</f>
        <v>20547.319099999993</v>
      </c>
      <c r="G26" s="143">
        <f>'超用20大－原因別分析'!AF33</f>
        <v>0.05</v>
      </c>
      <c r="H26" s="142">
        <f>'超用20大－原因別分析'!AG32</f>
        <v>9407.677399999975</v>
      </c>
      <c r="I26" s="143">
        <f>'超用20大－原因別分析'!AG33</f>
        <v>0.15</v>
      </c>
      <c r="J26" s="142">
        <f>'超用20大－原因別分析'!AH32</f>
        <v>0</v>
      </c>
      <c r="K26" s="143">
        <f>'超用20大－原因別分析'!AH33</f>
        <v>0</v>
      </c>
      <c r="L26" s="142"/>
      <c r="M26" s="143"/>
    </row>
    <row r="27" spans="1:13" ht="15.75" customHeight="1">
      <c r="A27" s="226" t="s">
        <v>450</v>
      </c>
      <c r="B27" s="227">
        <v>32874.069779999998</v>
      </c>
      <c r="E27" s="834" t="s">
        <v>499</v>
      </c>
      <c r="F27" s="835"/>
      <c r="G27" s="835"/>
      <c r="H27" s="835"/>
      <c r="I27" s="835"/>
      <c r="J27" s="835"/>
      <c r="K27" s="835"/>
      <c r="L27" s="835"/>
      <c r="M27" s="835"/>
    </row>
    <row r="28" spans="1:13" ht="15.75" customHeight="1">
      <c r="A28" s="836" t="s">
        <v>199</v>
      </c>
      <c r="B28" s="706" t="s">
        <v>10</v>
      </c>
      <c r="C28" s="706"/>
      <c r="D28" s="707"/>
      <c r="E28" s="705" t="s">
        <v>199</v>
      </c>
      <c r="F28" s="709">
        <v>1</v>
      </c>
      <c r="G28" s="709"/>
      <c r="H28" s="709">
        <v>2</v>
      </c>
      <c r="I28" s="709"/>
      <c r="J28" s="709">
        <v>3</v>
      </c>
      <c r="K28" s="709"/>
      <c r="L28" s="709">
        <v>4</v>
      </c>
      <c r="M28" s="709"/>
    </row>
    <row r="29" spans="1:13" ht="31.4" customHeight="1">
      <c r="A29" s="836"/>
      <c r="B29" s="706"/>
      <c r="C29" s="706"/>
      <c r="D29" s="708"/>
      <c r="E29" s="705"/>
      <c r="F29" s="711" t="s">
        <v>500</v>
      </c>
      <c r="G29" s="711"/>
      <c r="H29" s="711" t="s">
        <v>242</v>
      </c>
      <c r="I29" s="711"/>
      <c r="J29" s="711" t="s">
        <v>168</v>
      </c>
      <c r="K29" s="711"/>
      <c r="L29" s="711" t="s">
        <v>465</v>
      </c>
      <c r="M29" s="711"/>
    </row>
    <row r="30" spans="1:13" ht="15.75" customHeight="1">
      <c r="A30" s="836"/>
      <c r="B30" s="155" t="s">
        <v>11</v>
      </c>
      <c r="C30" s="155" t="s">
        <v>41</v>
      </c>
      <c r="D30" s="708"/>
      <c r="E30" s="705"/>
      <c r="F30" s="155" t="s">
        <v>11</v>
      </c>
      <c r="G30" s="155" t="s">
        <v>41</v>
      </c>
      <c r="H30" s="155" t="s">
        <v>11</v>
      </c>
      <c r="I30" s="155" t="s">
        <v>41</v>
      </c>
      <c r="J30" s="155" t="s">
        <v>11</v>
      </c>
      <c r="K30" s="155" t="s">
        <v>41</v>
      </c>
      <c r="L30" s="155" t="s">
        <v>11</v>
      </c>
      <c r="M30" s="155" t="s">
        <v>41</v>
      </c>
    </row>
    <row r="31" spans="1:13" ht="19.399999999999999" customHeight="1">
      <c r="A31" s="228" t="s">
        <v>244</v>
      </c>
      <c r="B31" s="140">
        <f>日別報廢率總表!M18</f>
        <v>66379.139079999994</v>
      </c>
      <c r="C31" s="236">
        <f>B31/($B$27*1000)</f>
        <v>2.0191944448686391E-3</v>
      </c>
      <c r="D31" s="708"/>
      <c r="E31" s="139" t="s">
        <v>244</v>
      </c>
      <c r="F31" s="142">
        <f>'報廢20大－原因別分析'!AB56</f>
        <v>15984.395699999997</v>
      </c>
      <c r="G31" s="143">
        <f>'報廢20大－原因別分析'!AB57</f>
        <v>0.8</v>
      </c>
      <c r="H31" s="142">
        <f>'報廢20大－原因別分析'!AC56</f>
        <v>0</v>
      </c>
      <c r="I31" s="143">
        <f>'報廢20大－原因別分析'!AC57</f>
        <v>0</v>
      </c>
      <c r="J31" s="142">
        <f>'報廢20大－原因別分析'!AD56</f>
        <v>3133.92</v>
      </c>
      <c r="K31" s="143">
        <f>'報廢20大－原因別分析'!AD57</f>
        <v>0.1</v>
      </c>
      <c r="L31" s="142">
        <f>'報廢20大－原因別分析'!AE56</f>
        <v>0</v>
      </c>
      <c r="M31" s="143">
        <f>'報廢20大－原因別分析'!AE57</f>
        <v>0</v>
      </c>
    </row>
    <row r="32" spans="1:13" ht="19.399999999999999" customHeight="1">
      <c r="A32" s="229" t="s">
        <v>245</v>
      </c>
      <c r="B32" s="145">
        <f>日別報廢率總表!N18</f>
        <v>163643.29356000002</v>
      </c>
      <c r="C32" s="141">
        <f>B32/($B$27*1000)</f>
        <v>4.9778836224153092E-3</v>
      </c>
      <c r="D32" s="708"/>
      <c r="E32" s="144" t="s">
        <v>245</v>
      </c>
      <c r="F32" s="142">
        <f>'超用20大－原因別分析'!AB56</f>
        <v>0</v>
      </c>
      <c r="G32" s="143">
        <f>'超用20大－原因別分析'!AB57</f>
        <v>0</v>
      </c>
      <c r="H32" s="142">
        <f>'超用20大－原因別分析'!AC56</f>
        <v>0</v>
      </c>
      <c r="I32" s="143">
        <f>'超用20大－原因別分析'!AC57</f>
        <v>0</v>
      </c>
      <c r="J32" s="142">
        <f>'超用20大－原因別分析'!AD56</f>
        <v>0</v>
      </c>
      <c r="K32" s="143">
        <f>'超用20大－原因別分析'!AD57</f>
        <v>0</v>
      </c>
      <c r="L32" s="142">
        <f>'超用20大－原因別分析'!AE56</f>
        <v>68762.958800000008</v>
      </c>
      <c r="M32" s="143">
        <f>'超用20大－原因別分析'!AE57</f>
        <v>0.8</v>
      </c>
    </row>
    <row r="33" spans="1:13" ht="15.75" customHeight="1">
      <c r="A33" s="225" t="s">
        <v>433</v>
      </c>
      <c r="B33" s="423" t="s">
        <v>625</v>
      </c>
      <c r="C33" s="224"/>
      <c r="D33" s="708"/>
      <c r="E33" s="705" t="s">
        <v>199</v>
      </c>
      <c r="F33" s="802">
        <v>5</v>
      </c>
      <c r="G33" s="803"/>
      <c r="H33" s="802">
        <v>6</v>
      </c>
      <c r="I33" s="803"/>
      <c r="J33" s="802">
        <v>7</v>
      </c>
      <c r="K33" s="803"/>
      <c r="L33" s="837"/>
      <c r="M33" s="838"/>
    </row>
    <row r="34" spans="1:13" ht="31.4" customHeight="1">
      <c r="A34" s="136" t="s">
        <v>434</v>
      </c>
      <c r="B34" s="423" t="s">
        <v>625</v>
      </c>
      <c r="C34" s="224"/>
      <c r="D34" s="708"/>
      <c r="E34" s="705"/>
      <c r="F34" s="839" t="s">
        <v>191</v>
      </c>
      <c r="G34" s="840"/>
      <c r="H34" s="839" t="s">
        <v>169</v>
      </c>
      <c r="I34" s="840"/>
      <c r="J34" s="839" t="s">
        <v>192</v>
      </c>
      <c r="K34" s="840"/>
      <c r="L34" s="841"/>
      <c r="M34" s="842"/>
    </row>
    <row r="35" spans="1:13" ht="15.75" customHeight="1">
      <c r="D35" s="708"/>
      <c r="E35" s="705"/>
      <c r="F35" s="155" t="s">
        <v>11</v>
      </c>
      <c r="G35" s="155" t="s">
        <v>41</v>
      </c>
      <c r="H35" s="155" t="s">
        <v>11</v>
      </c>
      <c r="I35" s="155" t="s">
        <v>41</v>
      </c>
      <c r="J35" s="155" t="s">
        <v>11</v>
      </c>
      <c r="K35" s="155" t="s">
        <v>41</v>
      </c>
      <c r="L35" s="155"/>
      <c r="M35" s="155"/>
    </row>
    <row r="36" spans="1:13" ht="19.399999999999999" customHeight="1">
      <c r="D36" s="708"/>
      <c r="E36" s="139" t="s">
        <v>244</v>
      </c>
      <c r="F36" s="142">
        <f>'報廢20大－原因別分析'!AF56</f>
        <v>1013.76</v>
      </c>
      <c r="G36" s="143">
        <f>'報廢20大－原因別分析'!AF57</f>
        <v>0.05</v>
      </c>
      <c r="H36" s="142">
        <f>'報廢20大－原因別分析'!AG56</f>
        <v>1313.25</v>
      </c>
      <c r="I36" s="143">
        <f>'報廢20大－原因別分析'!AG57</f>
        <v>0.05</v>
      </c>
      <c r="J36" s="142">
        <f>'報廢20大－原因別分析'!AH56</f>
        <v>0</v>
      </c>
      <c r="K36" s="143">
        <f>'報廢20大－原因別分析'!AH57</f>
        <v>0</v>
      </c>
      <c r="L36" s="142"/>
      <c r="M36" s="143"/>
    </row>
    <row r="37" spans="1:13" ht="19.399999999999999" customHeight="1">
      <c r="D37" s="708"/>
      <c r="E37" s="144" t="s">
        <v>245</v>
      </c>
      <c r="F37" s="142">
        <f>'超用20大－原因別分析'!AF56</f>
        <v>17999.728700000003</v>
      </c>
      <c r="G37" s="143">
        <f>'超用20大－原因別分析'!AF57</f>
        <v>0.05</v>
      </c>
      <c r="H37" s="142">
        <f>'超用20大－原因別分析'!AG56</f>
        <v>8730.5832000000028</v>
      </c>
      <c r="I37" s="143">
        <f>'超用20大－原因別分析'!AG57</f>
        <v>0.15</v>
      </c>
      <c r="J37" s="142">
        <f>'超用20大－原因別分析'!AH56</f>
        <v>0</v>
      </c>
      <c r="K37" s="143">
        <f>'超用20大－原因別分析'!AH57</f>
        <v>0</v>
      </c>
      <c r="L37" s="142"/>
      <c r="M37" s="143"/>
    </row>
    <row r="38" spans="1:13" ht="15.75" customHeight="1">
      <c r="A38" s="226" t="s">
        <v>450</v>
      </c>
      <c r="B38" s="227">
        <v>33319.856749999999</v>
      </c>
      <c r="E38" s="834" t="s">
        <v>499</v>
      </c>
      <c r="F38" s="835"/>
      <c r="G38" s="835"/>
      <c r="H38" s="835"/>
      <c r="I38" s="835"/>
      <c r="J38" s="835"/>
      <c r="K38" s="835"/>
      <c r="L38" s="835"/>
      <c r="M38" s="835"/>
    </row>
    <row r="39" spans="1:13" ht="15.75" customHeight="1">
      <c r="A39" s="836" t="s">
        <v>199</v>
      </c>
      <c r="B39" s="706" t="s">
        <v>10</v>
      </c>
      <c r="C39" s="706"/>
      <c r="D39" s="707"/>
      <c r="E39" s="705" t="s">
        <v>199</v>
      </c>
      <c r="F39" s="709">
        <v>1</v>
      </c>
      <c r="G39" s="709"/>
      <c r="H39" s="709">
        <v>2</v>
      </c>
      <c r="I39" s="709"/>
      <c r="J39" s="709">
        <v>3</v>
      </c>
      <c r="K39" s="709"/>
      <c r="L39" s="709">
        <v>4</v>
      </c>
      <c r="M39" s="709"/>
    </row>
    <row r="40" spans="1:13" ht="31.4" customHeight="1">
      <c r="A40" s="836"/>
      <c r="B40" s="706"/>
      <c r="C40" s="706"/>
      <c r="D40" s="708"/>
      <c r="E40" s="705"/>
      <c r="F40" s="711" t="s">
        <v>500</v>
      </c>
      <c r="G40" s="711"/>
      <c r="H40" s="711" t="s">
        <v>242</v>
      </c>
      <c r="I40" s="711"/>
      <c r="J40" s="711" t="s">
        <v>168</v>
      </c>
      <c r="K40" s="711"/>
      <c r="L40" s="711" t="s">
        <v>465</v>
      </c>
      <c r="M40" s="711"/>
    </row>
    <row r="41" spans="1:13" ht="15.75" customHeight="1">
      <c r="A41" s="836"/>
      <c r="B41" s="155" t="s">
        <v>11</v>
      </c>
      <c r="C41" s="155" t="s">
        <v>41</v>
      </c>
      <c r="D41" s="708"/>
      <c r="E41" s="705"/>
      <c r="F41" s="155" t="s">
        <v>11</v>
      </c>
      <c r="G41" s="155" t="s">
        <v>41</v>
      </c>
      <c r="H41" s="155" t="s">
        <v>11</v>
      </c>
      <c r="I41" s="155" t="s">
        <v>41</v>
      </c>
      <c r="J41" s="155" t="s">
        <v>11</v>
      </c>
      <c r="K41" s="155" t="s">
        <v>41</v>
      </c>
      <c r="L41" s="155" t="s">
        <v>11</v>
      </c>
      <c r="M41" s="155" t="s">
        <v>41</v>
      </c>
    </row>
    <row r="42" spans="1:13" ht="19.399999999999999" customHeight="1">
      <c r="A42" s="228" t="s">
        <v>244</v>
      </c>
      <c r="B42" s="140">
        <f>日別報廢率總表!M25</f>
        <v>66992.52949999999</v>
      </c>
      <c r="C42" s="236">
        <f>B42/($B$38*1000)</f>
        <v>2.0105887610096041E-3</v>
      </c>
      <c r="D42" s="708"/>
      <c r="E42" s="139" t="s">
        <v>244</v>
      </c>
      <c r="F42" s="142">
        <f>'報廢20大－原因別分析'!AB80</f>
        <v>14128.552399999999</v>
      </c>
      <c r="G42" s="143">
        <f>'報廢20大－原因別分析'!AB81</f>
        <v>0.8</v>
      </c>
      <c r="H42" s="142">
        <f>'報廢20大－原因別分析'!AC80</f>
        <v>0</v>
      </c>
      <c r="I42" s="143">
        <f>'報廢20大－原因別分析'!AC81</f>
        <v>0</v>
      </c>
      <c r="J42" s="142">
        <f>'報廢20大－原因別分析'!AD80</f>
        <v>2430.25</v>
      </c>
      <c r="K42" s="143">
        <f>'報廢20大－原因別分析'!AD81</f>
        <v>0.1</v>
      </c>
      <c r="L42" s="142">
        <f>'報廢20大－原因別分析'!AE80</f>
        <v>0</v>
      </c>
      <c r="M42" s="143">
        <f>'報廢20大－原因別分析'!AE81</f>
        <v>0</v>
      </c>
    </row>
    <row r="43" spans="1:13" ht="19.399999999999999" customHeight="1">
      <c r="A43" s="229" t="s">
        <v>245</v>
      </c>
      <c r="B43" s="145">
        <f>日別報廢率總表!N25</f>
        <v>162420.32939999996</v>
      </c>
      <c r="C43" s="141">
        <f>B43/($B$38*1000)</f>
        <v>4.8745806627755071E-3</v>
      </c>
      <c r="D43" s="708"/>
      <c r="E43" s="144" t="s">
        <v>245</v>
      </c>
      <c r="F43" s="142">
        <f>'超用20大－原因別分析'!AB80</f>
        <v>0</v>
      </c>
      <c r="G43" s="143">
        <f>'超用20大－原因別分析'!AB81</f>
        <v>0</v>
      </c>
      <c r="H43" s="142">
        <f>'超用20大－原因別分析'!AC80</f>
        <v>0</v>
      </c>
      <c r="I43" s="143">
        <f>'超用20大－原因別分析'!AC81</f>
        <v>0</v>
      </c>
      <c r="J43" s="142">
        <f>'超用20大－原因別分析'!AD80</f>
        <v>0</v>
      </c>
      <c r="K43" s="143">
        <f>'超用20大－原因別分析'!AD81</f>
        <v>0</v>
      </c>
      <c r="L43" s="142">
        <f>'超用20大－原因別分析'!AE80</f>
        <v>60255.985599999978</v>
      </c>
      <c r="M43" s="143">
        <f>'超用20大－原因別分析'!AE81</f>
        <v>0.85</v>
      </c>
    </row>
    <row r="44" spans="1:13" ht="15.75" customHeight="1">
      <c r="A44" s="225" t="s">
        <v>433</v>
      </c>
      <c r="B44" s="423" t="s">
        <v>626</v>
      </c>
      <c r="C44" s="224"/>
      <c r="D44" s="708"/>
      <c r="E44" s="705" t="s">
        <v>199</v>
      </c>
      <c r="F44" s="802">
        <v>5</v>
      </c>
      <c r="G44" s="803"/>
      <c r="H44" s="802">
        <v>6</v>
      </c>
      <c r="I44" s="803"/>
      <c r="J44" s="802">
        <v>7</v>
      </c>
      <c r="K44" s="803"/>
      <c r="L44" s="837"/>
      <c r="M44" s="838"/>
    </row>
    <row r="45" spans="1:13" ht="31.4" customHeight="1">
      <c r="A45" s="136" t="s">
        <v>434</v>
      </c>
      <c r="B45" s="423" t="s">
        <v>626</v>
      </c>
      <c r="C45" s="224"/>
      <c r="D45" s="708"/>
      <c r="E45" s="705"/>
      <c r="F45" s="839" t="s">
        <v>191</v>
      </c>
      <c r="G45" s="840"/>
      <c r="H45" s="839" t="s">
        <v>169</v>
      </c>
      <c r="I45" s="840"/>
      <c r="J45" s="839" t="s">
        <v>192</v>
      </c>
      <c r="K45" s="840"/>
      <c r="L45" s="841"/>
      <c r="M45" s="842"/>
    </row>
    <row r="46" spans="1:13" ht="15.75" customHeight="1">
      <c r="D46" s="708"/>
      <c r="E46" s="705"/>
      <c r="F46" s="155" t="s">
        <v>11</v>
      </c>
      <c r="G46" s="155" t="s">
        <v>41</v>
      </c>
      <c r="H46" s="155" t="s">
        <v>11</v>
      </c>
      <c r="I46" s="155" t="s">
        <v>41</v>
      </c>
      <c r="J46" s="155" t="s">
        <v>11</v>
      </c>
      <c r="K46" s="155" t="s">
        <v>41</v>
      </c>
      <c r="L46" s="155"/>
      <c r="M46" s="155"/>
    </row>
    <row r="47" spans="1:13" ht="19.399999999999999" customHeight="1">
      <c r="D47" s="708"/>
      <c r="E47" s="139" t="s">
        <v>244</v>
      </c>
      <c r="F47" s="142">
        <f>'報廢20大－原因別分析'!AF80</f>
        <v>984.95999999999992</v>
      </c>
      <c r="G47" s="143">
        <f>'報廢20大－原因別分析'!AF81</f>
        <v>0.05</v>
      </c>
      <c r="H47" s="142">
        <f>'報廢20大－原因別分析'!AG80</f>
        <v>1297.8</v>
      </c>
      <c r="I47" s="143">
        <f>'報廢20大－原因別分析'!AG81</f>
        <v>0.05</v>
      </c>
      <c r="J47" s="142">
        <f>'報廢20大－原因別分析'!AH80</f>
        <v>0</v>
      </c>
      <c r="K47" s="143">
        <f>'報廢20大－原因別分析'!AH81</f>
        <v>0</v>
      </c>
      <c r="L47" s="142"/>
      <c r="M47" s="143"/>
    </row>
    <row r="48" spans="1:13" ht="19.399999999999999" customHeight="1">
      <c r="D48" s="708"/>
      <c r="E48" s="144" t="s">
        <v>245</v>
      </c>
      <c r="F48" s="142">
        <f>'超用20大－原因別分析'!AF80</f>
        <v>16904.323799999969</v>
      </c>
      <c r="G48" s="143">
        <f>'超用20大－原因別分析'!AF81</f>
        <v>0.05</v>
      </c>
      <c r="H48" s="142">
        <f>'超用20大－原因別分析'!AG80</f>
        <v>6843.6536000000142</v>
      </c>
      <c r="I48" s="143">
        <f>'超用20大－原因別分析'!AG81</f>
        <v>0.1</v>
      </c>
      <c r="J48" s="142">
        <f>'超用20大－原因別分析'!AH80</f>
        <v>0</v>
      </c>
      <c r="K48" s="143">
        <f>'超用20大－原因別分析'!AH81</f>
        <v>0</v>
      </c>
      <c r="L48" s="142"/>
      <c r="M48" s="143"/>
    </row>
    <row r="49" spans="1:13" ht="15.75" customHeight="1">
      <c r="A49" s="226" t="s">
        <v>450</v>
      </c>
      <c r="B49" s="227">
        <v>32252.126790000006</v>
      </c>
      <c r="E49" s="834" t="s">
        <v>499</v>
      </c>
      <c r="F49" s="835"/>
      <c r="G49" s="835"/>
      <c r="H49" s="835"/>
      <c r="I49" s="835"/>
      <c r="J49" s="835"/>
      <c r="K49" s="835"/>
      <c r="L49" s="835"/>
      <c r="M49" s="835"/>
    </row>
    <row r="50" spans="1:13" ht="15.75" customHeight="1">
      <c r="A50" s="836" t="s">
        <v>199</v>
      </c>
      <c r="B50" s="706" t="s">
        <v>10</v>
      </c>
      <c r="C50" s="706"/>
      <c r="D50" s="707"/>
      <c r="E50" s="705" t="s">
        <v>199</v>
      </c>
      <c r="F50" s="709">
        <v>1</v>
      </c>
      <c r="G50" s="709"/>
      <c r="H50" s="709">
        <v>2</v>
      </c>
      <c r="I50" s="709"/>
      <c r="J50" s="709">
        <v>3</v>
      </c>
      <c r="K50" s="709"/>
      <c r="L50" s="709">
        <v>4</v>
      </c>
      <c r="M50" s="709"/>
    </row>
    <row r="51" spans="1:13" ht="31.4" customHeight="1">
      <c r="A51" s="836"/>
      <c r="B51" s="706"/>
      <c r="C51" s="706"/>
      <c r="D51" s="708"/>
      <c r="E51" s="705"/>
      <c r="F51" s="711" t="s">
        <v>500</v>
      </c>
      <c r="G51" s="711"/>
      <c r="H51" s="711" t="s">
        <v>242</v>
      </c>
      <c r="I51" s="711"/>
      <c r="J51" s="711" t="s">
        <v>168</v>
      </c>
      <c r="K51" s="711"/>
      <c r="L51" s="711" t="s">
        <v>465</v>
      </c>
      <c r="M51" s="711"/>
    </row>
    <row r="52" spans="1:13" ht="15.75" customHeight="1">
      <c r="A52" s="836"/>
      <c r="B52" s="155" t="s">
        <v>11</v>
      </c>
      <c r="C52" s="155" t="s">
        <v>41</v>
      </c>
      <c r="D52" s="708"/>
      <c r="E52" s="705"/>
      <c r="F52" s="155" t="s">
        <v>11</v>
      </c>
      <c r="G52" s="155" t="s">
        <v>41</v>
      </c>
      <c r="H52" s="155" t="s">
        <v>11</v>
      </c>
      <c r="I52" s="155" t="s">
        <v>41</v>
      </c>
      <c r="J52" s="155" t="s">
        <v>11</v>
      </c>
      <c r="K52" s="155" t="s">
        <v>41</v>
      </c>
      <c r="L52" s="155" t="s">
        <v>11</v>
      </c>
      <c r="M52" s="155" t="s">
        <v>41</v>
      </c>
    </row>
    <row r="53" spans="1:13" ht="19.399999999999999" customHeight="1">
      <c r="A53" s="228" t="s">
        <v>244</v>
      </c>
      <c r="B53" s="140">
        <f>日別報廢率總表!M32</f>
        <v>64698.089899999999</v>
      </c>
      <c r="C53" s="236">
        <f>B53/($B$49*1000)</f>
        <v>2.0060100321836788E-3</v>
      </c>
      <c r="D53" s="708"/>
      <c r="E53" s="139" t="s">
        <v>244</v>
      </c>
      <c r="F53" s="142">
        <f>'報廢20大－原因別分析'!AB104</f>
        <v>22542.255399999998</v>
      </c>
      <c r="G53" s="143">
        <f>'報廢20大－原因別分析'!AB105</f>
        <v>0.9</v>
      </c>
      <c r="H53" s="142">
        <f>'報廢20大－原因別分析'!AC104</f>
        <v>0</v>
      </c>
      <c r="I53" s="143">
        <f>'報廢20大－原因別分析'!AC105</f>
        <v>0</v>
      </c>
      <c r="J53" s="142">
        <f>'報廢20大－原因別分析'!AD104</f>
        <v>3462.83</v>
      </c>
      <c r="K53" s="143">
        <f>'報廢20大－原因別分析'!AD105</f>
        <v>0.1</v>
      </c>
      <c r="L53" s="142">
        <f>'報廢20大－原因別分析'!AE104</f>
        <v>0</v>
      </c>
      <c r="M53" s="143">
        <f>'報廢20大－原因別分析'!AE105</f>
        <v>0</v>
      </c>
    </row>
    <row r="54" spans="1:13" ht="19.399999999999999" customHeight="1">
      <c r="A54" s="229" t="s">
        <v>245</v>
      </c>
      <c r="B54" s="145">
        <f>日別報廢率總表!N32</f>
        <v>146029.84210000007</v>
      </c>
      <c r="C54" s="141">
        <f>B54/($B$49*1000)</f>
        <v>4.5277585273935366E-3</v>
      </c>
      <c r="D54" s="708"/>
      <c r="E54" s="144" t="s">
        <v>245</v>
      </c>
      <c r="F54" s="142">
        <f>'超用20大－原因別分析'!AB104</f>
        <v>0</v>
      </c>
      <c r="G54" s="143">
        <f>'超用20大－原因別分析'!AB105</f>
        <v>0</v>
      </c>
      <c r="H54" s="142">
        <f>'超用20大－原因別分析'!AC104</f>
        <v>0</v>
      </c>
      <c r="I54" s="143">
        <f>'超用20大－原因別分析'!AC105</f>
        <v>0</v>
      </c>
      <c r="J54" s="142">
        <f>'超用20大－原因別分析'!AD104</f>
        <v>0</v>
      </c>
      <c r="K54" s="143">
        <f>'超用20大－原因別分析'!AD105</f>
        <v>0</v>
      </c>
      <c r="L54" s="142">
        <f>'超用20大－原因別分析'!AE104</f>
        <v>68464.856000000029</v>
      </c>
      <c r="M54" s="143">
        <f>'超用20大－原因別分析'!AE105</f>
        <v>0.75</v>
      </c>
    </row>
    <row r="55" spans="1:13" ht="15.75" customHeight="1">
      <c r="A55" s="225" t="s">
        <v>433</v>
      </c>
      <c r="B55" s="423" t="s">
        <v>627</v>
      </c>
      <c r="C55" s="224"/>
      <c r="D55" s="708"/>
      <c r="E55" s="705" t="s">
        <v>199</v>
      </c>
      <c r="F55" s="802">
        <v>5</v>
      </c>
      <c r="G55" s="803"/>
      <c r="H55" s="802">
        <v>6</v>
      </c>
      <c r="I55" s="803"/>
      <c r="J55" s="802">
        <v>7</v>
      </c>
      <c r="K55" s="803"/>
      <c r="L55" s="837"/>
      <c r="M55" s="838"/>
    </row>
    <row r="56" spans="1:13" ht="31.4" customHeight="1">
      <c r="A56" s="136" t="s">
        <v>434</v>
      </c>
      <c r="B56" s="423" t="s">
        <v>627</v>
      </c>
      <c r="C56" s="224"/>
      <c r="D56" s="708"/>
      <c r="E56" s="705"/>
      <c r="F56" s="839" t="s">
        <v>191</v>
      </c>
      <c r="G56" s="840"/>
      <c r="H56" s="839" t="s">
        <v>169</v>
      </c>
      <c r="I56" s="840"/>
      <c r="J56" s="839" t="s">
        <v>192</v>
      </c>
      <c r="K56" s="840"/>
      <c r="L56" s="841"/>
      <c r="M56" s="842"/>
    </row>
    <row r="57" spans="1:13" ht="15.75" customHeight="1">
      <c r="D57" s="708"/>
      <c r="E57" s="705"/>
      <c r="F57" s="155" t="s">
        <v>11</v>
      </c>
      <c r="G57" s="155" t="s">
        <v>41</v>
      </c>
      <c r="H57" s="155" t="s">
        <v>11</v>
      </c>
      <c r="I57" s="155" t="s">
        <v>41</v>
      </c>
      <c r="J57" s="155" t="s">
        <v>11</v>
      </c>
      <c r="K57" s="155" t="s">
        <v>41</v>
      </c>
      <c r="L57" s="155"/>
      <c r="M57" s="155"/>
    </row>
    <row r="58" spans="1:13" ht="19.399999999999999" customHeight="1">
      <c r="D58" s="708"/>
      <c r="E58" s="139" t="s">
        <v>244</v>
      </c>
      <c r="F58" s="142">
        <f>'報廢20大－原因別分析'!AF104</f>
        <v>0</v>
      </c>
      <c r="G58" s="143">
        <f>'報廢20大－原因別分析'!AF105</f>
        <v>0</v>
      </c>
      <c r="H58" s="142">
        <f>'報廢20大－原因別分析'!AG104</f>
        <v>0</v>
      </c>
      <c r="I58" s="143">
        <f>'報廢20大－原因別分析'!AG105</f>
        <v>0</v>
      </c>
      <c r="J58" s="142">
        <f>'報廢20大－原因別分析'!AH104</f>
        <v>0</v>
      </c>
      <c r="K58" s="143">
        <f>'報廢20大－原因別分析'!AH105</f>
        <v>0</v>
      </c>
      <c r="L58" s="142"/>
      <c r="M58" s="143"/>
    </row>
    <row r="59" spans="1:13" ht="19.399999999999999" customHeight="1">
      <c r="D59" s="708"/>
      <c r="E59" s="144" t="s">
        <v>245</v>
      </c>
      <c r="F59" s="142">
        <f>'超用20大－原因別分析'!AF104</f>
        <v>20189.064200000023</v>
      </c>
      <c r="G59" s="143">
        <f>'超用20大－原因別分析'!AF105</f>
        <v>0.05</v>
      </c>
      <c r="H59" s="142">
        <f>'超用20大－原因別分析'!AG104</f>
        <v>19902.630599999975</v>
      </c>
      <c r="I59" s="143">
        <f>'超用20大－原因別分析'!AG105</f>
        <v>0.2</v>
      </c>
      <c r="J59" s="142">
        <f>'超用20大－原因別分析'!AH104</f>
        <v>0</v>
      </c>
      <c r="K59" s="143">
        <f>'超用20大－原因別分析'!AH105</f>
        <v>0</v>
      </c>
      <c r="L59" s="142"/>
      <c r="M59" s="143"/>
    </row>
    <row r="60" spans="1:13" ht="15.75" customHeight="1">
      <c r="A60" s="226" t="s">
        <v>450</v>
      </c>
      <c r="B60" s="227">
        <f>'生產管理報表(週) '!B6</f>
        <v>30121.754649999999</v>
      </c>
      <c r="E60" s="834" t="s">
        <v>499</v>
      </c>
      <c r="F60" s="835"/>
      <c r="G60" s="835"/>
      <c r="H60" s="835"/>
      <c r="I60" s="835"/>
      <c r="J60" s="835"/>
      <c r="K60" s="835"/>
      <c r="L60" s="835"/>
      <c r="M60" s="835"/>
    </row>
    <row r="61" spans="1:13" ht="15.75" customHeight="1">
      <c r="A61" s="836" t="s">
        <v>199</v>
      </c>
      <c r="B61" s="706" t="s">
        <v>10</v>
      </c>
      <c r="C61" s="706"/>
      <c r="D61" s="707"/>
      <c r="E61" s="705" t="s">
        <v>199</v>
      </c>
      <c r="F61" s="709">
        <v>1</v>
      </c>
      <c r="G61" s="709"/>
      <c r="H61" s="709">
        <v>2</v>
      </c>
      <c r="I61" s="709"/>
      <c r="J61" s="709">
        <v>3</v>
      </c>
      <c r="K61" s="709"/>
      <c r="L61" s="709">
        <v>4</v>
      </c>
      <c r="M61" s="709"/>
    </row>
    <row r="62" spans="1:13" ht="31.4" customHeight="1">
      <c r="A62" s="836"/>
      <c r="B62" s="706"/>
      <c r="C62" s="706"/>
      <c r="D62" s="708"/>
      <c r="E62" s="705"/>
      <c r="F62" s="711" t="s">
        <v>500</v>
      </c>
      <c r="G62" s="711"/>
      <c r="H62" s="711" t="s">
        <v>242</v>
      </c>
      <c r="I62" s="711"/>
      <c r="J62" s="711" t="s">
        <v>168</v>
      </c>
      <c r="K62" s="711"/>
      <c r="L62" s="711" t="s">
        <v>465</v>
      </c>
      <c r="M62" s="711"/>
    </row>
    <row r="63" spans="1:13" ht="15.75" customHeight="1">
      <c r="A63" s="836"/>
      <c r="B63" s="155" t="s">
        <v>11</v>
      </c>
      <c r="C63" s="155" t="s">
        <v>41</v>
      </c>
      <c r="D63" s="708"/>
      <c r="E63" s="705"/>
      <c r="F63" s="155" t="s">
        <v>11</v>
      </c>
      <c r="G63" s="155" t="s">
        <v>41</v>
      </c>
      <c r="H63" s="155" t="s">
        <v>11</v>
      </c>
      <c r="I63" s="155" t="s">
        <v>41</v>
      </c>
      <c r="J63" s="155" t="s">
        <v>11</v>
      </c>
      <c r="K63" s="155" t="s">
        <v>41</v>
      </c>
      <c r="L63" s="155" t="s">
        <v>11</v>
      </c>
      <c r="M63" s="155" t="s">
        <v>41</v>
      </c>
    </row>
    <row r="64" spans="1:13" ht="19.399999999999999" customHeight="1">
      <c r="A64" s="228" t="s">
        <v>244</v>
      </c>
      <c r="B64" s="140">
        <f>日別報廢率總表!M39</f>
        <v>60576.4522</v>
      </c>
      <c r="C64" s="236">
        <f>B64/($B$60*1000)</f>
        <v>2.0110532372323137E-3</v>
      </c>
      <c r="D64" s="708"/>
      <c r="E64" s="139" t="s">
        <v>244</v>
      </c>
      <c r="F64" s="142">
        <f>'報廢20大－原因別分析'!AB128</f>
        <v>17420.757000000005</v>
      </c>
      <c r="G64" s="143">
        <f>'報廢20大－原因別分析'!AB129</f>
        <v>0.8</v>
      </c>
      <c r="H64" s="142">
        <f>'報廢20大－原因別分析'!AC128</f>
        <v>0</v>
      </c>
      <c r="I64" s="143">
        <f>'報廢20大－原因別分析'!AC129</f>
        <v>0</v>
      </c>
      <c r="J64" s="142">
        <f>'報廢20大－原因別分析'!AD128</f>
        <v>3765.37</v>
      </c>
      <c r="K64" s="143">
        <f>'報廢20大－原因別分析'!AD129</f>
        <v>0.15</v>
      </c>
      <c r="L64" s="142">
        <f>'報廢20大－原因別分析'!AE128</f>
        <v>0</v>
      </c>
      <c r="M64" s="143">
        <f>'報廢20大－原因別分析'!AE129</f>
        <v>0</v>
      </c>
    </row>
    <row r="65" spans="1:13" ht="19.399999999999999" customHeight="1">
      <c r="A65" s="229" t="s">
        <v>245</v>
      </c>
      <c r="B65" s="145">
        <f>日別報廢率總表!N39</f>
        <v>133821.05619999993</v>
      </c>
      <c r="C65" s="141">
        <f>B65/($B$60*1000)</f>
        <v>4.4426713435168344E-3</v>
      </c>
      <c r="D65" s="708"/>
      <c r="E65" s="144" t="s">
        <v>245</v>
      </c>
      <c r="F65" s="142">
        <f>'超用20大－原因別分析'!AB128</f>
        <v>0</v>
      </c>
      <c r="G65" s="143">
        <f>'超用20大－原因別分析'!AB129</f>
        <v>0</v>
      </c>
      <c r="H65" s="142">
        <f>'超用20大－原因別分析'!AC128</f>
        <v>0</v>
      </c>
      <c r="I65" s="143">
        <f>'超用20大－原因別分析'!AC129</f>
        <v>0</v>
      </c>
      <c r="J65" s="142">
        <f>'超用20大－原因別分析'!AD128</f>
        <v>0</v>
      </c>
      <c r="K65" s="143">
        <f>'超用20大－原因別分析'!AD129</f>
        <v>0</v>
      </c>
      <c r="L65" s="142">
        <f>'超用20大－原因別分析'!AE128</f>
        <v>52450.623499999943</v>
      </c>
      <c r="M65" s="143">
        <f>'超用20大－原因別分析'!AE129</f>
        <v>0.8</v>
      </c>
    </row>
    <row r="66" spans="1:13" ht="15.75" customHeight="1">
      <c r="A66" s="225" t="s">
        <v>433</v>
      </c>
      <c r="B66" s="423" t="s">
        <v>628</v>
      </c>
      <c r="C66" s="224"/>
      <c r="D66" s="708"/>
      <c r="E66" s="705" t="s">
        <v>199</v>
      </c>
      <c r="F66" s="802">
        <v>5</v>
      </c>
      <c r="G66" s="803"/>
      <c r="H66" s="802">
        <v>6</v>
      </c>
      <c r="I66" s="803"/>
      <c r="J66" s="802">
        <v>7</v>
      </c>
      <c r="K66" s="803"/>
      <c r="L66" s="837"/>
      <c r="M66" s="838"/>
    </row>
    <row r="67" spans="1:13" ht="31.4" customHeight="1">
      <c r="A67" s="136" t="s">
        <v>434</v>
      </c>
      <c r="B67" s="423" t="s">
        <v>628</v>
      </c>
      <c r="C67" s="224"/>
      <c r="D67" s="708"/>
      <c r="E67" s="705"/>
      <c r="F67" s="839" t="s">
        <v>191</v>
      </c>
      <c r="G67" s="840"/>
      <c r="H67" s="839" t="s">
        <v>169</v>
      </c>
      <c r="I67" s="840"/>
      <c r="J67" s="839" t="s">
        <v>192</v>
      </c>
      <c r="K67" s="840"/>
      <c r="L67" s="841"/>
      <c r="M67" s="842"/>
    </row>
    <row r="68" spans="1:13" ht="15.75" customHeight="1">
      <c r="D68" s="708"/>
      <c r="E68" s="705"/>
      <c r="F68" s="155" t="s">
        <v>11</v>
      </c>
      <c r="G68" s="155" t="s">
        <v>41</v>
      </c>
      <c r="H68" s="155" t="s">
        <v>11</v>
      </c>
      <c r="I68" s="155" t="s">
        <v>41</v>
      </c>
      <c r="J68" s="155" t="s">
        <v>11</v>
      </c>
      <c r="K68" s="155" t="s">
        <v>41</v>
      </c>
      <c r="L68" s="155"/>
      <c r="M68" s="155"/>
    </row>
    <row r="69" spans="1:13" ht="19.399999999999999" customHeight="1">
      <c r="D69" s="708"/>
      <c r="E69" s="139" t="s">
        <v>244</v>
      </c>
      <c r="F69" s="142">
        <f>'報廢20大－原因別分析'!AF128</f>
        <v>0</v>
      </c>
      <c r="G69" s="143">
        <f>'報廢20大－原因別分析'!AF129</f>
        <v>0</v>
      </c>
      <c r="H69" s="142">
        <f>'報廢20大－原因別分析'!AG128</f>
        <v>1467.75</v>
      </c>
      <c r="I69" s="143">
        <f>'報廢20大－原因別分析'!AG129</f>
        <v>0.05</v>
      </c>
      <c r="J69" s="142">
        <f>'報廢20大－原因別分析'!AH128</f>
        <v>0</v>
      </c>
      <c r="K69" s="143">
        <f>'報廢20大－原因別分析'!AH129</f>
        <v>0</v>
      </c>
      <c r="L69" s="142"/>
      <c r="M69" s="143"/>
    </row>
    <row r="70" spans="1:13" ht="19.399999999999999" customHeight="1">
      <c r="D70" s="708"/>
      <c r="E70" s="144" t="s">
        <v>245</v>
      </c>
      <c r="F70" s="142">
        <f>'超用20大－原因別分析'!AF128</f>
        <v>18592.397300000004</v>
      </c>
      <c r="G70" s="143">
        <f>'超用20大－原因別分析'!AF129</f>
        <v>0.05</v>
      </c>
      <c r="H70" s="142">
        <f>'超用20大－原因別分析'!AG128</f>
        <v>12788.929400000023</v>
      </c>
      <c r="I70" s="143">
        <f>'超用20大－原因別分析'!AG129</f>
        <v>0.15</v>
      </c>
      <c r="J70" s="142">
        <f>'超用20大－原因別分析'!AH128</f>
        <v>0</v>
      </c>
      <c r="K70" s="143">
        <f>'超用20大－原因別分析'!AH129</f>
        <v>0</v>
      </c>
      <c r="L70" s="142"/>
      <c r="M70" s="143"/>
    </row>
  </sheetData>
  <mergeCells count="134"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60:M60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9" max="12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92D050"/>
    <outlinePr summaryBelow="0" summaryRight="0"/>
  </sheetPr>
  <dimension ref="A1:BW142"/>
  <sheetViews>
    <sheetView view="pageBreakPreview" topLeftCell="A119" zoomScaleNormal="60" zoomScaleSheetLayoutView="100" workbookViewId="0">
      <selection activeCell="S121" sqref="S121"/>
    </sheetView>
  </sheetViews>
  <sheetFormatPr defaultColWidth="12.54296875" defaultRowHeight="15.75" customHeight="1"/>
  <cols>
    <col min="1" max="1" width="5.453125" style="99" customWidth="1"/>
    <col min="2" max="2" width="11.453125" style="132" customWidth="1"/>
    <col min="3" max="3" width="4" style="130" customWidth="1"/>
    <col min="4" max="9" width="9.54296875" style="99" customWidth="1"/>
    <col min="10" max="10" width="9.81640625" style="99" customWidth="1"/>
    <col min="11" max="15" width="9.54296875" style="99" customWidth="1"/>
    <col min="16" max="16" width="47.81640625" style="99" customWidth="1"/>
    <col min="17" max="17" width="9.54296875" style="99" customWidth="1"/>
    <col min="22" max="22" width="24.453125" style="99" bestFit="1" customWidth="1"/>
    <col min="23" max="23" width="19.453125" style="99" bestFit="1" customWidth="1"/>
    <col min="24" max="24" width="23" style="99" bestFit="1" customWidth="1"/>
    <col min="25" max="25" width="11.7265625" style="99" bestFit="1" customWidth="1"/>
    <col min="26" max="26" width="15.81640625" style="99" bestFit="1" customWidth="1"/>
    <col min="27" max="27" width="23.54296875" style="99" bestFit="1" customWidth="1"/>
    <col min="28" max="28" width="23" style="99" bestFit="1" customWidth="1"/>
    <col min="29" max="29" width="11.7265625" style="99" bestFit="1" customWidth="1"/>
    <col min="30" max="30" width="20.54296875" style="99" bestFit="1" customWidth="1"/>
    <col min="31" max="31" width="15" style="99" bestFit="1" customWidth="1"/>
    <col min="32" max="32" width="23" style="99" bestFit="1" customWidth="1"/>
    <col min="33" max="33" width="11.7265625" style="99" bestFit="1" customWidth="1"/>
    <col min="34" max="34" width="15.8164062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265625" style="99" bestFit="1" customWidth="1"/>
    <col min="40" max="40" width="13.81640625" style="99" bestFit="1" customWidth="1"/>
    <col min="41" max="41" width="27.81640625" style="99" bestFit="1" customWidth="1"/>
    <col min="42" max="42" width="23" style="99" bestFit="1" customWidth="1"/>
    <col min="43" max="43" width="8" style="99" bestFit="1" customWidth="1"/>
    <col min="44" max="44" width="30.7265625" style="99" bestFit="1" customWidth="1"/>
    <col min="45" max="45" width="25.726562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265625" style="99" bestFit="1" customWidth="1"/>
    <col min="50" max="50" width="20.1796875" style="99" bestFit="1" customWidth="1"/>
    <col min="51" max="51" width="23.54296875" style="99" bestFit="1" customWidth="1"/>
    <col min="52" max="52" width="23" style="99" bestFit="1" customWidth="1"/>
    <col min="53" max="53" width="11.7265625" style="99" bestFit="1" customWidth="1"/>
    <col min="54" max="54" width="21.453125" style="99" bestFit="1" customWidth="1"/>
    <col min="55" max="55" width="15" style="99" bestFit="1" customWidth="1"/>
    <col min="56" max="56" width="23" style="99" bestFit="1" customWidth="1"/>
    <col min="57" max="57" width="11.7265625" style="99" bestFit="1" customWidth="1"/>
    <col min="58" max="58" width="13.8164062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265625" style="99" bestFit="1" customWidth="1"/>
    <col min="64" max="64" width="24.7265625" style="99" bestFit="1" customWidth="1"/>
    <col min="65" max="65" width="18.726562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1640625" style="99" bestFit="1" customWidth="1"/>
    <col min="73" max="73" width="10.54296875" style="99" bestFit="1" customWidth="1"/>
    <col min="74" max="74" width="21.453125" style="99" bestFit="1" customWidth="1"/>
    <col min="75" max="75" width="5.453125" style="99" bestFit="1" customWidth="1"/>
    <col min="76" max="16384" width="12.54296875" style="99"/>
  </cols>
  <sheetData>
    <row r="1" spans="1:75" ht="15.75" customHeight="1">
      <c r="A1" s="507" t="s">
        <v>375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  <c r="Q1" s="507"/>
    </row>
    <row r="2" spans="1:75" s="100" customFormat="1" ht="15.75" customHeight="1">
      <c r="A2" s="507"/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07"/>
      <c r="Q2" s="507"/>
    </row>
    <row r="3" spans="1:75" s="136" customFormat="1" ht="15.75" customHeight="1">
      <c r="A3" s="866" t="s">
        <v>636</v>
      </c>
      <c r="B3" s="866"/>
      <c r="C3" s="866"/>
      <c r="D3" s="866"/>
      <c r="E3" s="866"/>
      <c r="F3" s="866"/>
      <c r="G3" s="866"/>
      <c r="H3" s="866"/>
      <c r="I3" s="866"/>
      <c r="J3" s="866"/>
      <c r="K3" s="866"/>
      <c r="L3" s="866"/>
      <c r="M3" s="866"/>
      <c r="R3" s="238"/>
      <c r="S3" s="238"/>
      <c r="T3" s="238"/>
      <c r="U3" s="238"/>
    </row>
    <row r="4" spans="1:75" s="137" customFormat="1" ht="15.75" customHeight="1">
      <c r="A4" s="799"/>
      <c r="B4" s="799"/>
      <c r="C4" s="799"/>
      <c r="D4" s="799"/>
      <c r="E4" s="799"/>
      <c r="F4" s="799"/>
      <c r="G4" s="799"/>
      <c r="H4" s="799"/>
      <c r="I4" s="799"/>
      <c r="J4" s="799"/>
      <c r="K4" s="799"/>
      <c r="L4" s="799"/>
      <c r="M4" s="799"/>
    </row>
    <row r="5" spans="1:75" s="136" customFormat="1" ht="15.75" customHeight="1">
      <c r="A5" s="800" t="s">
        <v>193</v>
      </c>
      <c r="B5" s="793">
        <v>1</v>
      </c>
      <c r="C5" s="794"/>
      <c r="D5" s="793">
        <v>2</v>
      </c>
      <c r="E5" s="794"/>
      <c r="F5" s="793">
        <v>3</v>
      </c>
      <c r="G5" s="794"/>
      <c r="H5" s="802">
        <v>4</v>
      </c>
      <c r="I5" s="803"/>
      <c r="J5" s="802">
        <v>5</v>
      </c>
      <c r="K5" s="803"/>
      <c r="L5" s="802">
        <v>6</v>
      </c>
      <c r="M5" s="803"/>
      <c r="N5" s="802">
        <v>7</v>
      </c>
      <c r="O5" s="803"/>
      <c r="P5" s="802">
        <v>8</v>
      </c>
      <c r="Q5" s="803"/>
      <c r="R5" s="238"/>
      <c r="S5" s="238"/>
      <c r="T5" s="238"/>
      <c r="U5" s="238"/>
    </row>
    <row r="6" spans="1:75" s="136" customFormat="1" ht="15.75" customHeight="1">
      <c r="A6" s="801"/>
      <c r="B6" s="795" t="s">
        <v>500</v>
      </c>
      <c r="C6" s="796"/>
      <c r="D6" s="795" t="s">
        <v>214</v>
      </c>
      <c r="E6" s="796"/>
      <c r="F6" s="795" t="s">
        <v>168</v>
      </c>
      <c r="G6" s="796"/>
      <c r="H6" s="797" t="s">
        <v>465</v>
      </c>
      <c r="I6" s="798"/>
      <c r="J6" s="797" t="s">
        <v>191</v>
      </c>
      <c r="K6" s="798"/>
      <c r="L6" s="797" t="s">
        <v>169</v>
      </c>
      <c r="M6" s="798"/>
      <c r="N6" s="797" t="s">
        <v>192</v>
      </c>
      <c r="O6" s="798"/>
      <c r="P6" s="856" t="s">
        <v>219</v>
      </c>
      <c r="Q6" s="857"/>
      <c r="R6" s="238"/>
      <c r="S6" s="238"/>
      <c r="T6" s="238"/>
      <c r="U6" s="238"/>
    </row>
    <row r="7" spans="1:75" s="136" customFormat="1" ht="15.75" customHeight="1">
      <c r="B7" s="239"/>
      <c r="C7" s="240"/>
      <c r="R7" s="238"/>
      <c r="S7" s="238"/>
      <c r="T7" s="238"/>
      <c r="U7" s="238"/>
    </row>
    <row r="8" spans="1:75" s="242" customFormat="1" ht="15.75" customHeight="1">
      <c r="A8" s="802" t="s">
        <v>193</v>
      </c>
      <c r="B8" s="803"/>
      <c r="C8" s="241" t="s">
        <v>47</v>
      </c>
      <c r="D8" s="858" t="s">
        <v>12</v>
      </c>
      <c r="E8" s="719"/>
      <c r="F8" s="846"/>
      <c r="G8" s="859" t="s">
        <v>53</v>
      </c>
      <c r="H8" s="860"/>
      <c r="I8" s="861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335</v>
      </c>
      <c r="O8" s="862" t="s">
        <v>51</v>
      </c>
      <c r="P8" s="863"/>
    </row>
    <row r="9" spans="1:75" s="136" customFormat="1" ht="50.15" customHeight="1">
      <c r="A9" s="847">
        <v>1</v>
      </c>
      <c r="B9" s="850" t="s">
        <v>501</v>
      </c>
      <c r="C9" s="243">
        <v>1</v>
      </c>
      <c r="D9" s="244" t="s">
        <v>479</v>
      </c>
      <c r="E9" s="245"/>
      <c r="F9" s="245"/>
      <c r="G9" s="383" t="s">
        <v>480</v>
      </c>
      <c r="H9" s="312"/>
      <c r="I9" s="313"/>
      <c r="J9" s="243">
        <v>181.60999999999999</v>
      </c>
      <c r="K9" s="249">
        <v>1.9298533147586661E-2</v>
      </c>
      <c r="L9" s="243">
        <v>9.4200000000000017</v>
      </c>
      <c r="M9" s="333">
        <f>L9*J9</f>
        <v>1710.7662000000003</v>
      </c>
      <c r="N9" s="250"/>
      <c r="O9" s="784" t="s">
        <v>544</v>
      </c>
      <c r="P9" s="785"/>
      <c r="R9" s="238"/>
      <c r="S9" s="437"/>
      <c r="T9" s="268"/>
      <c r="U9" s="238"/>
    </row>
    <row r="10" spans="1:75" s="136" customFormat="1" ht="50.15" customHeight="1">
      <c r="A10" s="848"/>
      <c r="B10" s="851"/>
      <c r="C10" s="243">
        <v>2</v>
      </c>
      <c r="D10" s="244" t="s">
        <v>346</v>
      </c>
      <c r="E10" s="245"/>
      <c r="F10" s="245"/>
      <c r="G10" s="383" t="s">
        <v>338</v>
      </c>
      <c r="H10" s="312"/>
      <c r="I10" s="313"/>
      <c r="J10" s="243">
        <v>141.66999999999999</v>
      </c>
      <c r="K10" s="249">
        <v>1.2015080998218453E-2</v>
      </c>
      <c r="L10" s="243">
        <v>8.6999999999999993</v>
      </c>
      <c r="M10" s="333">
        <f t="shared" ref="M10:M13" si="0">L10*J10</f>
        <v>1232.5289999999998</v>
      </c>
      <c r="N10" s="250"/>
      <c r="O10" s="864" t="s">
        <v>554</v>
      </c>
      <c r="P10" s="854"/>
      <c r="R10" s="238"/>
      <c r="S10" s="438"/>
      <c r="T10" s="438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</row>
    <row r="11" spans="1:75" s="136" customFormat="1" ht="50.15" customHeight="1">
      <c r="A11" s="848"/>
      <c r="B11" s="851"/>
      <c r="C11" s="243">
        <v>3</v>
      </c>
      <c r="D11" s="244" t="s">
        <v>360</v>
      </c>
      <c r="E11" s="245"/>
      <c r="F11" s="245"/>
      <c r="G11" s="383" t="s">
        <v>368</v>
      </c>
      <c r="H11" s="312"/>
      <c r="I11" s="313"/>
      <c r="J11" s="243">
        <v>253.92000000000002</v>
      </c>
      <c r="K11" s="249">
        <v>1.5468094852189845E-2</v>
      </c>
      <c r="L11" s="243">
        <v>4.3899999999999997</v>
      </c>
      <c r="M11" s="333">
        <f t="shared" si="0"/>
        <v>1114.7087999999999</v>
      </c>
      <c r="N11" s="250"/>
      <c r="O11" s="865" t="s">
        <v>573</v>
      </c>
      <c r="P11" s="805"/>
      <c r="R11" s="238"/>
      <c r="S11" s="437"/>
      <c r="T11" s="437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</row>
    <row r="12" spans="1:75" s="136" customFormat="1" ht="50.15" customHeight="1">
      <c r="A12" s="848"/>
      <c r="B12" s="851"/>
      <c r="C12" s="243">
        <v>4</v>
      </c>
      <c r="D12" s="244" t="s">
        <v>474</v>
      </c>
      <c r="E12" s="245"/>
      <c r="F12" s="245"/>
      <c r="G12" s="383" t="s">
        <v>521</v>
      </c>
      <c r="H12" s="312"/>
      <c r="I12" s="313"/>
      <c r="J12" s="243">
        <v>169.79</v>
      </c>
      <c r="K12" s="249">
        <v>3.5741906971605356E-2</v>
      </c>
      <c r="L12" s="243">
        <v>6.4700000000000006</v>
      </c>
      <c r="M12" s="333">
        <f t="shared" si="0"/>
        <v>1098.5413000000001</v>
      </c>
      <c r="N12" s="250"/>
      <c r="O12" s="865" t="s">
        <v>542</v>
      </c>
      <c r="P12" s="805"/>
      <c r="R12" s="238"/>
      <c r="S12" s="438"/>
      <c r="T12" s="438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</row>
    <row r="13" spans="1:75" s="136" customFormat="1" ht="50.15" customHeight="1" thickBot="1">
      <c r="A13" s="848"/>
      <c r="B13" s="851"/>
      <c r="C13" s="243">
        <v>5</v>
      </c>
      <c r="D13" s="251" t="s">
        <v>360</v>
      </c>
      <c r="E13" s="252"/>
      <c r="F13" s="252"/>
      <c r="G13" s="417" t="s">
        <v>367</v>
      </c>
      <c r="H13" s="312"/>
      <c r="I13" s="313"/>
      <c r="J13" s="254">
        <v>183.65000000000003</v>
      </c>
      <c r="K13" s="255">
        <v>1.6619710293406188E-2</v>
      </c>
      <c r="L13" s="254">
        <v>5.84</v>
      </c>
      <c r="M13" s="334">
        <f t="shared" si="0"/>
        <v>1072.5160000000001</v>
      </c>
      <c r="N13" s="250"/>
      <c r="O13" s="865" t="s">
        <v>530</v>
      </c>
      <c r="P13" s="805"/>
      <c r="R13" s="238"/>
      <c r="S13" s="437"/>
      <c r="T13" s="268"/>
      <c r="U13" s="238"/>
      <c r="V13" s="439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</row>
    <row r="14" spans="1:75" s="136" customFormat="1" ht="15.75" customHeight="1" thickTop="1">
      <c r="A14" s="849"/>
      <c r="B14" s="852"/>
      <c r="C14" s="721"/>
      <c r="D14" s="722"/>
      <c r="E14" s="722"/>
      <c r="F14" s="722"/>
      <c r="G14" s="722"/>
      <c r="H14" s="722"/>
      <c r="I14" s="855"/>
      <c r="J14" s="256" t="s">
        <v>58</v>
      </c>
      <c r="K14" s="213">
        <f>M14/'生產管理報表 7-1 (週)'!$B$9</f>
        <v>8.6390117158391733E-2</v>
      </c>
      <c r="L14" s="256" t="s">
        <v>59</v>
      </c>
      <c r="M14" s="335">
        <f>SUM(M9:M13)</f>
        <v>6229.0612999999994</v>
      </c>
      <c r="N14" s="820"/>
      <c r="O14" s="821"/>
      <c r="P14" s="822"/>
      <c r="R14" s="238"/>
      <c r="S14" s="211"/>
      <c r="T14" s="211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</row>
    <row r="15" spans="1:75" s="136" customFormat="1" ht="15.75" customHeight="1">
      <c r="B15" s="239"/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R15" s="238"/>
      <c r="S15" s="268"/>
      <c r="T15" s="26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</row>
    <row r="16" spans="1:75" s="136" customFormat="1" ht="15.75" customHeight="1">
      <c r="A16" s="802" t="s">
        <v>193</v>
      </c>
      <c r="B16" s="803"/>
      <c r="C16" s="259" t="s">
        <v>47</v>
      </c>
      <c r="D16" s="718" t="s">
        <v>12</v>
      </c>
      <c r="E16" s="719"/>
      <c r="F16" s="720"/>
      <c r="G16" s="718" t="s">
        <v>53</v>
      </c>
      <c r="H16" s="719"/>
      <c r="I16" s="720"/>
      <c r="J16" s="261" t="s">
        <v>54</v>
      </c>
      <c r="K16" s="261" t="s">
        <v>55</v>
      </c>
      <c r="L16" s="261" t="s">
        <v>56</v>
      </c>
      <c r="M16" s="261" t="s">
        <v>11</v>
      </c>
      <c r="N16" s="262" t="s">
        <v>335</v>
      </c>
      <c r="O16" s="811" t="s">
        <v>51</v>
      </c>
      <c r="P16" s="812"/>
      <c r="R16" s="238"/>
      <c r="S16" s="211"/>
      <c r="T16" s="211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</row>
    <row r="17" spans="1:36" s="136" customFormat="1" ht="20.149999999999999" customHeight="1">
      <c r="A17" s="847">
        <v>2</v>
      </c>
      <c r="B17" s="850" t="s">
        <v>215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67"/>
      <c r="O17" s="813"/>
      <c r="P17" s="814"/>
      <c r="R17" s="238"/>
      <c r="S17" s="268"/>
      <c r="T17" s="268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</row>
    <row r="18" spans="1:36" s="136" customFormat="1" ht="20.149999999999999" customHeight="1">
      <c r="A18" s="848"/>
      <c r="B18" s="851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67"/>
      <c r="O18" s="813"/>
      <c r="P18" s="814"/>
      <c r="R18" s="238"/>
      <c r="S18" s="211"/>
      <c r="T18" s="211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</row>
    <row r="19" spans="1:36" s="136" customFormat="1" ht="20.149999999999999" customHeight="1">
      <c r="A19" s="848"/>
      <c r="B19" s="851"/>
      <c r="C19" s="263">
        <v>3</v>
      </c>
      <c r="D19" s="244"/>
      <c r="E19" s="245"/>
      <c r="F19" s="246"/>
      <c r="G19" s="244"/>
      <c r="H19" s="245"/>
      <c r="I19" s="275"/>
      <c r="J19" s="264"/>
      <c r="K19" s="265"/>
      <c r="L19" s="264"/>
      <c r="M19" s="266">
        <f t="shared" si="1"/>
        <v>0</v>
      </c>
      <c r="N19" s="267"/>
      <c r="O19" s="813"/>
      <c r="P19" s="814"/>
      <c r="R19" s="238"/>
      <c r="S19" s="268"/>
      <c r="T19" s="26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</row>
    <row r="20" spans="1:36" s="136" customFormat="1" ht="20.149999999999999" customHeight="1">
      <c r="A20" s="848"/>
      <c r="B20" s="851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67"/>
      <c r="O20" s="813"/>
      <c r="P20" s="814"/>
      <c r="R20" s="238"/>
      <c r="S20" s="211"/>
      <c r="T20" s="211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</row>
    <row r="21" spans="1:36" s="136" customFormat="1" ht="20.149999999999999" customHeight="1" thickBot="1">
      <c r="A21" s="848"/>
      <c r="B21" s="851"/>
      <c r="C21" s="269">
        <v>5</v>
      </c>
      <c r="D21" s="251"/>
      <c r="E21" s="252"/>
      <c r="F21" s="253"/>
      <c r="G21" s="244"/>
      <c r="H21" s="245"/>
      <c r="I21" s="246"/>
      <c r="J21" s="270"/>
      <c r="K21" s="271"/>
      <c r="L21" s="270"/>
      <c r="M21" s="272">
        <f t="shared" si="1"/>
        <v>0</v>
      </c>
      <c r="N21" s="273"/>
      <c r="O21" s="813"/>
      <c r="P21" s="814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</row>
    <row r="22" spans="1:36" s="136" customFormat="1" ht="15.75" customHeight="1" thickTop="1">
      <c r="A22" s="849"/>
      <c r="B22" s="852"/>
      <c r="C22" s="721"/>
      <c r="D22" s="722"/>
      <c r="E22" s="722"/>
      <c r="F22" s="722"/>
      <c r="G22" s="722"/>
      <c r="H22" s="722"/>
      <c r="I22" s="855"/>
      <c r="J22" s="256" t="s">
        <v>58</v>
      </c>
      <c r="K22" s="213">
        <f>M22/'生產管理報表 7-1 (週)'!$B$9</f>
        <v>0</v>
      </c>
      <c r="L22" s="256" t="s">
        <v>59</v>
      </c>
      <c r="M22" s="257">
        <f>SUM(M17:M21)</f>
        <v>0</v>
      </c>
      <c r="N22" s="815"/>
      <c r="O22" s="816"/>
      <c r="P22" s="817"/>
      <c r="R22" s="238"/>
      <c r="S22" s="238"/>
      <c r="T22" s="238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</row>
    <row r="23" spans="1:36" s="136" customFormat="1" ht="15.75" customHeight="1">
      <c r="B23" s="239"/>
      <c r="C23" s="240"/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R23" s="238"/>
      <c r="S23" s="238"/>
      <c r="T23" s="238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</row>
    <row r="24" spans="1:36" s="136" customFormat="1" ht="15.75" customHeight="1">
      <c r="A24" s="802" t="s">
        <v>193</v>
      </c>
      <c r="B24" s="803"/>
      <c r="C24" s="259" t="s">
        <v>47</v>
      </c>
      <c r="D24" s="718" t="s">
        <v>12</v>
      </c>
      <c r="E24" s="719"/>
      <c r="F24" s="720"/>
      <c r="G24" s="718" t="s">
        <v>53</v>
      </c>
      <c r="H24" s="719"/>
      <c r="I24" s="846"/>
      <c r="J24" s="260" t="s">
        <v>54</v>
      </c>
      <c r="K24" s="261" t="s">
        <v>55</v>
      </c>
      <c r="L24" s="261" t="s">
        <v>56</v>
      </c>
      <c r="M24" s="261" t="s">
        <v>11</v>
      </c>
      <c r="N24" s="262" t="s">
        <v>335</v>
      </c>
      <c r="O24" s="809" t="s">
        <v>51</v>
      </c>
      <c r="P24" s="810"/>
      <c r="R24" s="238"/>
      <c r="S24" s="238"/>
      <c r="T24" s="238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</row>
    <row r="25" spans="1:36" s="136" customFormat="1" ht="50.15" customHeight="1">
      <c r="A25" s="847">
        <v>3</v>
      </c>
      <c r="B25" s="850" t="s">
        <v>451</v>
      </c>
      <c r="C25" s="263">
        <v>1</v>
      </c>
      <c r="D25" s="244" t="s">
        <v>344</v>
      </c>
      <c r="E25" s="245"/>
      <c r="F25" s="246"/>
      <c r="G25" s="313" t="s">
        <v>494</v>
      </c>
      <c r="H25" s="312"/>
      <c r="I25" s="313"/>
      <c r="J25" s="264">
        <v>2.4499999999999997</v>
      </c>
      <c r="K25" s="265">
        <v>4.1088479141382387E-3</v>
      </c>
      <c r="L25" s="264">
        <v>562</v>
      </c>
      <c r="M25" s="336">
        <f t="shared" ref="M25:M29" si="2">L25*J25</f>
        <v>1376.8999999999999</v>
      </c>
      <c r="N25" s="277"/>
      <c r="O25" s="853" t="s">
        <v>532</v>
      </c>
      <c r="P25" s="854"/>
      <c r="R25" s="238"/>
      <c r="S25" s="439"/>
      <c r="T25" s="439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</row>
    <row r="26" spans="1:36" s="136" customFormat="1" ht="50.15" customHeight="1">
      <c r="A26" s="848"/>
      <c r="B26" s="851"/>
      <c r="C26" s="263">
        <v>2</v>
      </c>
      <c r="D26" s="244" t="s">
        <v>344</v>
      </c>
      <c r="E26" s="245"/>
      <c r="F26" s="246"/>
      <c r="G26" s="313" t="s">
        <v>493</v>
      </c>
      <c r="H26" s="312"/>
      <c r="I26" s="313"/>
      <c r="J26" s="264">
        <v>1.17</v>
      </c>
      <c r="K26" s="265">
        <v>4.7074132190286656E-3</v>
      </c>
      <c r="L26" s="264">
        <v>1107</v>
      </c>
      <c r="M26" s="336">
        <f t="shared" si="2"/>
        <v>1295.1899999999998</v>
      </c>
      <c r="N26" s="277"/>
      <c r="O26" s="804" t="s">
        <v>533</v>
      </c>
      <c r="P26" s="805"/>
      <c r="R26" s="238"/>
      <c r="S26" s="439"/>
      <c r="T26" s="446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</row>
    <row r="27" spans="1:36" s="136" customFormat="1" ht="50.15" customHeight="1">
      <c r="A27" s="848"/>
      <c r="B27" s="851"/>
      <c r="C27" s="263">
        <v>3</v>
      </c>
      <c r="D27" s="244" t="s">
        <v>437</v>
      </c>
      <c r="E27" s="245"/>
      <c r="F27" s="246"/>
      <c r="G27" s="419" t="s">
        <v>453</v>
      </c>
      <c r="H27" s="385"/>
      <c r="I27" s="419"/>
      <c r="J27" s="264">
        <v>122.81999999999996</v>
      </c>
      <c r="K27" s="265">
        <v>1.5265226936233217E-2</v>
      </c>
      <c r="L27" s="264">
        <v>8.9700000000000006</v>
      </c>
      <c r="M27" s="336">
        <f t="shared" si="2"/>
        <v>1101.6953999999998</v>
      </c>
      <c r="N27" s="277"/>
      <c r="O27" s="804" t="s">
        <v>531</v>
      </c>
      <c r="P27" s="805"/>
      <c r="R27" s="238"/>
      <c r="S27" s="439"/>
      <c r="T27" s="446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</row>
    <row r="28" spans="1:36" s="136" customFormat="1" ht="50.15" customHeight="1">
      <c r="A28" s="848"/>
      <c r="B28" s="851"/>
      <c r="C28" s="263">
        <v>4</v>
      </c>
      <c r="D28" s="244" t="s">
        <v>437</v>
      </c>
      <c r="E28" s="245"/>
      <c r="F28" s="246"/>
      <c r="G28" s="322" t="s">
        <v>562</v>
      </c>
      <c r="H28" s="321"/>
      <c r="I28" s="322"/>
      <c r="J28" s="276">
        <v>2.3000000000000003</v>
      </c>
      <c r="K28" s="265">
        <v>2.4602927436935533E-2</v>
      </c>
      <c r="L28" s="264">
        <v>474</v>
      </c>
      <c r="M28" s="336">
        <f t="shared" si="2"/>
        <v>1090.2</v>
      </c>
      <c r="N28" s="277"/>
      <c r="O28" s="804" t="s">
        <v>532</v>
      </c>
      <c r="P28" s="805"/>
      <c r="R28" s="238"/>
      <c r="S28" s="238"/>
      <c r="T2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</row>
    <row r="29" spans="1:36" s="136" customFormat="1" ht="30" customHeight="1" thickBot="1">
      <c r="A29" s="848"/>
      <c r="B29" s="851"/>
      <c r="C29" s="269">
        <v>5</v>
      </c>
      <c r="D29" s="251"/>
      <c r="E29" s="252"/>
      <c r="F29" s="253"/>
      <c r="G29" s="414"/>
      <c r="H29" s="415"/>
      <c r="I29" s="416"/>
      <c r="J29" s="279"/>
      <c r="K29" s="271"/>
      <c r="L29" s="280"/>
      <c r="M29" s="336">
        <f t="shared" si="2"/>
        <v>0</v>
      </c>
      <c r="N29" s="277"/>
      <c r="O29" s="804"/>
      <c r="P29" s="805"/>
      <c r="R29" s="238"/>
      <c r="S29" s="238"/>
      <c r="T29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</row>
    <row r="30" spans="1:36" s="136" customFormat="1" ht="15.75" customHeight="1" thickTop="1">
      <c r="A30" s="849"/>
      <c r="B30" s="852"/>
      <c r="C30" s="721"/>
      <c r="D30" s="722"/>
      <c r="E30" s="722"/>
      <c r="F30" s="722"/>
      <c r="G30" s="722"/>
      <c r="H30" s="722"/>
      <c r="I30" s="855"/>
      <c r="J30" s="281" t="s">
        <v>58</v>
      </c>
      <c r="K30" s="213">
        <f>M30/'生產管理報表 7-1 (週)'!$B$9</f>
        <v>6.7458040357173385E-2</v>
      </c>
      <c r="L30" s="281" t="s">
        <v>59</v>
      </c>
      <c r="M30" s="337">
        <f>SUM(M25:M29)</f>
        <v>4863.9853999999996</v>
      </c>
      <c r="N30" s="806"/>
      <c r="O30" s="807"/>
      <c r="P30" s="808"/>
      <c r="R30" s="238"/>
      <c r="S30" s="238"/>
      <c r="T30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</row>
    <row r="31" spans="1:36" s="136" customFormat="1" ht="15.75" customHeight="1">
      <c r="A31" s="866" t="s">
        <v>682</v>
      </c>
      <c r="B31" s="866"/>
      <c r="C31" s="866"/>
      <c r="D31" s="866"/>
      <c r="E31" s="866"/>
      <c r="F31" s="866"/>
      <c r="G31" s="866"/>
      <c r="H31" s="866"/>
      <c r="I31" s="866"/>
      <c r="J31" s="866"/>
      <c r="K31" s="866"/>
      <c r="L31" s="866"/>
      <c r="M31" s="866"/>
      <c r="R31" s="238"/>
      <c r="S31" s="238"/>
      <c r="T31" s="238"/>
      <c r="U31" s="238"/>
    </row>
    <row r="32" spans="1:36" s="137" customFormat="1" ht="15.75" customHeight="1">
      <c r="A32" s="799"/>
      <c r="B32" s="799"/>
      <c r="C32" s="799"/>
      <c r="D32" s="799"/>
      <c r="E32" s="799"/>
      <c r="F32" s="799"/>
      <c r="G32" s="799"/>
      <c r="H32" s="799"/>
      <c r="I32" s="799"/>
      <c r="J32" s="799"/>
      <c r="K32" s="799"/>
      <c r="L32" s="799"/>
      <c r="M32" s="799"/>
    </row>
    <row r="33" spans="1:75" s="136" customFormat="1" ht="15.75" customHeight="1">
      <c r="A33" s="800" t="s">
        <v>193</v>
      </c>
      <c r="B33" s="793">
        <v>1</v>
      </c>
      <c r="C33" s="794"/>
      <c r="D33" s="793">
        <v>2</v>
      </c>
      <c r="E33" s="794"/>
      <c r="F33" s="793">
        <v>3</v>
      </c>
      <c r="G33" s="794"/>
      <c r="H33" s="802">
        <v>4</v>
      </c>
      <c r="I33" s="803"/>
      <c r="J33" s="802">
        <v>5</v>
      </c>
      <c r="K33" s="803"/>
      <c r="L33" s="802">
        <v>6</v>
      </c>
      <c r="M33" s="803"/>
      <c r="N33" s="802">
        <v>7</v>
      </c>
      <c r="O33" s="803"/>
      <c r="P33" s="802">
        <v>8</v>
      </c>
      <c r="Q33" s="803"/>
      <c r="R33" s="238"/>
      <c r="S33" s="238"/>
      <c r="T33" s="238"/>
      <c r="U33" s="238"/>
    </row>
    <row r="34" spans="1:75" s="136" customFormat="1" ht="15.75" customHeight="1">
      <c r="A34" s="801"/>
      <c r="B34" s="795" t="s">
        <v>500</v>
      </c>
      <c r="C34" s="796"/>
      <c r="D34" s="795" t="s">
        <v>214</v>
      </c>
      <c r="E34" s="796"/>
      <c r="F34" s="795" t="s">
        <v>168</v>
      </c>
      <c r="G34" s="796"/>
      <c r="H34" s="797" t="s">
        <v>465</v>
      </c>
      <c r="I34" s="798"/>
      <c r="J34" s="797" t="s">
        <v>191</v>
      </c>
      <c r="K34" s="798"/>
      <c r="L34" s="797" t="s">
        <v>169</v>
      </c>
      <c r="M34" s="798"/>
      <c r="N34" s="797" t="s">
        <v>192</v>
      </c>
      <c r="O34" s="798"/>
      <c r="P34" s="856" t="s">
        <v>219</v>
      </c>
      <c r="Q34" s="857"/>
      <c r="R34" s="238"/>
      <c r="S34" s="238"/>
      <c r="T34" s="238"/>
      <c r="U34" s="238"/>
    </row>
    <row r="35" spans="1:75" s="136" customFormat="1" ht="15.75" customHeight="1">
      <c r="B35" s="239"/>
      <c r="C35" s="240"/>
      <c r="R35" s="238"/>
      <c r="S35" s="238"/>
      <c r="T35" s="238"/>
      <c r="U35" s="238"/>
    </row>
    <row r="36" spans="1:75" s="242" customFormat="1" ht="15.75" customHeight="1">
      <c r="A36" s="802" t="s">
        <v>193</v>
      </c>
      <c r="B36" s="803"/>
      <c r="C36" s="241" t="s">
        <v>47</v>
      </c>
      <c r="D36" s="858" t="s">
        <v>12</v>
      </c>
      <c r="E36" s="719"/>
      <c r="F36" s="846"/>
      <c r="G36" s="859" t="s">
        <v>53</v>
      </c>
      <c r="H36" s="860"/>
      <c r="I36" s="861"/>
      <c r="J36" s="241" t="s">
        <v>54</v>
      </c>
      <c r="K36" s="241" t="s">
        <v>55</v>
      </c>
      <c r="L36" s="241" t="s">
        <v>56</v>
      </c>
      <c r="M36" s="241" t="s">
        <v>11</v>
      </c>
      <c r="N36" s="241" t="s">
        <v>335</v>
      </c>
      <c r="O36" s="862" t="s">
        <v>51</v>
      </c>
      <c r="P36" s="863"/>
    </row>
    <row r="37" spans="1:75" s="136" customFormat="1" ht="50.15" customHeight="1">
      <c r="A37" s="847">
        <v>1</v>
      </c>
      <c r="B37" s="850" t="s">
        <v>501</v>
      </c>
      <c r="C37" s="243">
        <v>1</v>
      </c>
      <c r="D37" s="244" t="s">
        <v>479</v>
      </c>
      <c r="E37" s="245"/>
      <c r="F37" s="312"/>
      <c r="G37" s="417" t="s">
        <v>480</v>
      </c>
      <c r="H37" s="312"/>
      <c r="I37" s="313"/>
      <c r="J37" s="243">
        <v>181.60999999999999</v>
      </c>
      <c r="K37" s="249">
        <v>1.8444853864835443E-2</v>
      </c>
      <c r="L37" s="243">
        <v>8.81</v>
      </c>
      <c r="M37" s="333">
        <f>L37*J37</f>
        <v>1599.9840999999999</v>
      </c>
      <c r="N37" s="250"/>
      <c r="O37" s="784" t="s">
        <v>544</v>
      </c>
      <c r="P37" s="785"/>
      <c r="R37" s="238"/>
      <c r="S37" s="437"/>
      <c r="T37" s="268"/>
      <c r="U37" s="238"/>
    </row>
    <row r="38" spans="1:75" s="136" customFormat="1" ht="50.15" customHeight="1">
      <c r="A38" s="848"/>
      <c r="B38" s="851"/>
      <c r="C38" s="243">
        <v>2</v>
      </c>
      <c r="D38" s="244" t="s">
        <v>360</v>
      </c>
      <c r="E38" s="245"/>
      <c r="F38" s="245"/>
      <c r="G38" s="417" t="s">
        <v>367</v>
      </c>
      <c r="H38" s="312"/>
      <c r="I38" s="313"/>
      <c r="J38" s="243">
        <v>183.65000000000003</v>
      </c>
      <c r="K38" s="249">
        <v>1.7330924692333747E-2</v>
      </c>
      <c r="L38" s="243">
        <v>6.1400000000000006</v>
      </c>
      <c r="M38" s="333">
        <f t="shared" ref="M38:M41" si="3">L38*J38</f>
        <v>1127.6110000000003</v>
      </c>
      <c r="N38" s="250"/>
      <c r="O38" s="864" t="s">
        <v>530</v>
      </c>
      <c r="P38" s="854"/>
      <c r="R38" s="238"/>
      <c r="S38" s="438"/>
      <c r="T38" s="438"/>
      <c r="U38" s="238"/>
      <c r="V38" s="238"/>
      <c r="W38" s="238"/>
      <c r="X38" s="238"/>
      <c r="Y38" s="238"/>
      <c r="Z38" s="238"/>
      <c r="AA38" s="238"/>
      <c r="AB38" s="238"/>
      <c r="AC38" s="238"/>
      <c r="AD38" s="238"/>
      <c r="AE38" s="238"/>
      <c r="AF38" s="238"/>
      <c r="AG38" s="238"/>
      <c r="AH38" s="238"/>
      <c r="AI38" s="238"/>
      <c r="AJ38" s="238"/>
      <c r="AK38" s="238"/>
      <c r="AL38" s="238"/>
      <c r="AM38" s="238"/>
      <c r="AN38" s="238"/>
      <c r="AO38" s="238"/>
      <c r="AP38" s="238"/>
      <c r="AQ38" s="238"/>
      <c r="AR38" s="238"/>
      <c r="AS38" s="238"/>
      <c r="AT38" s="238"/>
      <c r="AU38" s="238"/>
      <c r="AV38" s="238"/>
      <c r="AW38" s="238"/>
      <c r="AX38" s="238"/>
      <c r="AY38" s="238"/>
      <c r="AZ38" s="238"/>
      <c r="BA38" s="238"/>
      <c r="BB38" s="238"/>
      <c r="BC38" s="238"/>
      <c r="BD38" s="238"/>
      <c r="BE38" s="238"/>
      <c r="BF38" s="238"/>
      <c r="BG38" s="238"/>
      <c r="BH38" s="238"/>
      <c r="BI38" s="238"/>
      <c r="BJ38" s="238"/>
      <c r="BK38" s="238"/>
      <c r="BL38" s="238"/>
      <c r="BM38" s="238"/>
      <c r="BN38" s="238"/>
      <c r="BO38" s="238"/>
      <c r="BP38" s="238"/>
      <c r="BQ38" s="238"/>
      <c r="BR38" s="238"/>
      <c r="BS38" s="238"/>
      <c r="BT38" s="238"/>
      <c r="BU38" s="238"/>
      <c r="BV38" s="238"/>
      <c r="BW38" s="238"/>
    </row>
    <row r="39" spans="1:75" s="136" customFormat="1" ht="50.15" customHeight="1">
      <c r="A39" s="848"/>
      <c r="B39" s="851"/>
      <c r="C39" s="243">
        <v>3</v>
      </c>
      <c r="D39" s="244" t="s">
        <v>346</v>
      </c>
      <c r="E39" s="245"/>
      <c r="F39" s="245"/>
      <c r="G39" s="383" t="s">
        <v>338</v>
      </c>
      <c r="H39" s="312"/>
      <c r="I39" s="313"/>
      <c r="J39" s="243">
        <v>141.66999999999999</v>
      </c>
      <c r="K39" s="249">
        <v>1.2275367215277444E-2</v>
      </c>
      <c r="L39" s="243">
        <v>7.63</v>
      </c>
      <c r="M39" s="333">
        <f t="shared" si="3"/>
        <v>1080.9421</v>
      </c>
      <c r="N39" s="250"/>
      <c r="O39" s="865" t="s">
        <v>554</v>
      </c>
      <c r="P39" s="805"/>
      <c r="R39" s="238"/>
      <c r="S39" s="437"/>
      <c r="T39" s="437"/>
      <c r="U39" s="238"/>
      <c r="V39" s="238"/>
      <c r="W39" s="238"/>
      <c r="X39" s="238"/>
      <c r="Y39" s="238"/>
      <c r="Z39" s="238"/>
      <c r="AA39" s="238"/>
      <c r="AB39" s="238"/>
      <c r="AC39" s="238"/>
      <c r="AD39" s="238"/>
      <c r="AE39" s="238"/>
      <c r="AF39" s="238"/>
      <c r="AG39" s="238"/>
      <c r="AH39" s="238"/>
      <c r="AI39" s="238"/>
      <c r="AJ39" s="238"/>
      <c r="AK39" s="238"/>
      <c r="AL39" s="238"/>
      <c r="AM39" s="238"/>
      <c r="AN39" s="238"/>
      <c r="AO39" s="238"/>
      <c r="AP39" s="238"/>
      <c r="AQ39" s="238"/>
      <c r="AR39" s="238"/>
      <c r="AS39" s="238"/>
      <c r="AT39" s="238"/>
      <c r="AU39" s="238"/>
      <c r="AV39" s="238"/>
      <c r="AW39" s="238"/>
      <c r="AX39" s="238"/>
      <c r="AY39" s="238"/>
      <c r="AZ39" s="238"/>
      <c r="BA39" s="238"/>
      <c r="BB39" s="238"/>
      <c r="BC39" s="238"/>
      <c r="BD39" s="238"/>
      <c r="BE39" s="238"/>
      <c r="BF39" s="238"/>
      <c r="BG39" s="238"/>
      <c r="BH39" s="238"/>
      <c r="BI39" s="238"/>
      <c r="BJ39" s="238"/>
      <c r="BK39" s="238"/>
      <c r="BL39" s="238"/>
      <c r="BM39" s="238"/>
      <c r="BN39" s="238"/>
      <c r="BO39" s="238"/>
      <c r="BP39" s="238"/>
      <c r="BQ39" s="238"/>
      <c r="BR39" s="238"/>
      <c r="BS39" s="238"/>
      <c r="BT39" s="238"/>
      <c r="BU39" s="238"/>
      <c r="BV39" s="238"/>
      <c r="BW39" s="238"/>
    </row>
    <row r="40" spans="1:75" s="136" customFormat="1" ht="50.15" customHeight="1">
      <c r="A40" s="848"/>
      <c r="B40" s="851"/>
      <c r="C40" s="243">
        <v>4</v>
      </c>
      <c r="D40" s="244" t="s">
        <v>522</v>
      </c>
      <c r="E40" s="245"/>
      <c r="F40" s="245"/>
      <c r="G40" s="383" t="s">
        <v>520</v>
      </c>
      <c r="H40" s="312"/>
      <c r="I40" s="313"/>
      <c r="J40" s="243">
        <v>153.19000000000003</v>
      </c>
      <c r="K40" s="249">
        <v>2.4586356001858271E-2</v>
      </c>
      <c r="L40" s="243">
        <v>6.88</v>
      </c>
      <c r="M40" s="333">
        <f t="shared" si="3"/>
        <v>1053.9472000000001</v>
      </c>
      <c r="N40" s="250"/>
      <c r="O40" s="865" t="s">
        <v>692</v>
      </c>
      <c r="P40" s="805"/>
      <c r="R40" s="238"/>
      <c r="S40" s="438"/>
      <c r="T40" s="438"/>
      <c r="U40" s="238"/>
      <c r="V40" s="238"/>
      <c r="W40" s="238"/>
      <c r="X40" s="238"/>
      <c r="Y40" s="238"/>
      <c r="Z40" s="238"/>
      <c r="AA40" s="238"/>
      <c r="AB40" s="238"/>
      <c r="AC40" s="238"/>
      <c r="AD40" s="238"/>
      <c r="AE40" s="238"/>
      <c r="AF40" s="238"/>
      <c r="AG40" s="238"/>
      <c r="AH40" s="238"/>
      <c r="AI40" s="238"/>
      <c r="AJ40" s="238"/>
      <c r="AK40" s="238"/>
      <c r="AL40" s="238"/>
      <c r="AM40" s="238"/>
      <c r="AN40" s="238"/>
      <c r="AO40" s="238"/>
      <c r="AP40" s="238"/>
      <c r="AQ40" s="238"/>
      <c r="AR40" s="238"/>
      <c r="AS40" s="238"/>
      <c r="AT40" s="238"/>
      <c r="AU40" s="238"/>
      <c r="AV40" s="238"/>
      <c r="AW40" s="238"/>
      <c r="AX40" s="238"/>
      <c r="AY40" s="238"/>
      <c r="AZ40" s="238"/>
      <c r="BA40" s="238"/>
      <c r="BB40" s="238"/>
      <c r="BC40" s="238"/>
      <c r="BD40" s="238"/>
      <c r="BE40" s="238"/>
      <c r="BF40" s="238"/>
      <c r="BG40" s="238"/>
      <c r="BH40" s="238"/>
      <c r="BI40" s="238"/>
      <c r="BJ40" s="238"/>
      <c r="BK40" s="238"/>
      <c r="BL40" s="238"/>
      <c r="BM40" s="238"/>
      <c r="BN40" s="238"/>
      <c r="BO40" s="238"/>
      <c r="BP40" s="238"/>
      <c r="BQ40" s="238"/>
      <c r="BR40" s="238"/>
      <c r="BS40" s="238"/>
      <c r="BT40" s="238"/>
      <c r="BU40" s="238"/>
      <c r="BV40" s="238"/>
      <c r="BW40" s="238"/>
    </row>
    <row r="41" spans="1:75" s="136" customFormat="1" ht="50.15" customHeight="1" thickBot="1">
      <c r="A41" s="848"/>
      <c r="B41" s="851"/>
      <c r="C41" s="243">
        <v>5</v>
      </c>
      <c r="D41" s="251" t="s">
        <v>474</v>
      </c>
      <c r="E41" s="252"/>
      <c r="F41" s="252"/>
      <c r="G41" s="383" t="s">
        <v>521</v>
      </c>
      <c r="H41" s="312"/>
      <c r="I41" s="313"/>
      <c r="J41" s="254">
        <v>169.79</v>
      </c>
      <c r="K41" s="255">
        <v>3.6751630112625958E-2</v>
      </c>
      <c r="L41" s="254">
        <v>6.2</v>
      </c>
      <c r="M41" s="334">
        <f t="shared" si="3"/>
        <v>1052.6980000000001</v>
      </c>
      <c r="N41" s="250"/>
      <c r="O41" s="865" t="s">
        <v>544</v>
      </c>
      <c r="P41" s="805"/>
      <c r="R41" s="238"/>
      <c r="S41" s="437"/>
      <c r="T41" s="268"/>
      <c r="U41" s="238"/>
      <c r="V41" s="439"/>
      <c r="W41" s="238"/>
      <c r="X41" s="238"/>
      <c r="Y41" s="238"/>
      <c r="Z41" s="238"/>
      <c r="AA41" s="238"/>
      <c r="AB41" s="238"/>
      <c r="AC41" s="238"/>
      <c r="AD41" s="238"/>
      <c r="AE41" s="238"/>
      <c r="AF41" s="238"/>
      <c r="AG41" s="238"/>
      <c r="AH41" s="238"/>
      <c r="AI41" s="238"/>
      <c r="AJ41" s="238"/>
      <c r="AK41" s="238"/>
      <c r="AL41" s="238"/>
      <c r="AM41" s="238"/>
      <c r="AN41" s="238"/>
      <c r="AO41" s="238"/>
      <c r="AP41" s="238"/>
      <c r="AQ41" s="238"/>
      <c r="AR41" s="238"/>
      <c r="AS41" s="238"/>
      <c r="AT41" s="238"/>
      <c r="AU41" s="238"/>
      <c r="AV41" s="238"/>
      <c r="AW41" s="238"/>
      <c r="AX41" s="238"/>
      <c r="AY41" s="238"/>
      <c r="AZ41" s="238"/>
      <c r="BA41" s="238"/>
      <c r="BB41" s="238"/>
      <c r="BC41" s="238"/>
      <c r="BD41" s="238"/>
      <c r="BE41" s="238"/>
      <c r="BF41" s="238"/>
      <c r="BG41" s="238"/>
      <c r="BH41" s="238"/>
      <c r="BI41" s="238"/>
      <c r="BJ41" s="238"/>
      <c r="BK41" s="238"/>
      <c r="BL41" s="238"/>
      <c r="BM41" s="238"/>
      <c r="BN41" s="238"/>
      <c r="BO41" s="238"/>
      <c r="BP41" s="238"/>
      <c r="BQ41" s="238"/>
      <c r="BR41" s="238"/>
      <c r="BS41" s="238"/>
      <c r="BT41" s="238"/>
      <c r="BU41" s="238"/>
      <c r="BV41" s="238"/>
      <c r="BW41" s="238"/>
    </row>
    <row r="42" spans="1:75" s="136" customFormat="1" ht="15.75" customHeight="1" thickTop="1">
      <c r="A42" s="849"/>
      <c r="B42" s="852"/>
      <c r="C42" s="721"/>
      <c r="D42" s="722"/>
      <c r="E42" s="722"/>
      <c r="F42" s="722"/>
      <c r="G42" s="722"/>
      <c r="H42" s="722"/>
      <c r="I42" s="855"/>
      <c r="J42" s="256" t="s">
        <v>58</v>
      </c>
      <c r="K42" s="213">
        <f>M42/'生產管理報表 7-1 (週)'!$B$20</f>
        <v>8.5908287730384378E-2</v>
      </c>
      <c r="L42" s="256" t="s">
        <v>59</v>
      </c>
      <c r="M42" s="335">
        <f>SUM(M37:M41)</f>
        <v>5915.1824000000015</v>
      </c>
      <c r="N42" s="820"/>
      <c r="O42" s="821"/>
      <c r="P42" s="822"/>
      <c r="R42" s="238"/>
      <c r="S42" s="211"/>
      <c r="T42" s="211"/>
      <c r="U42" s="238"/>
      <c r="V42" s="238"/>
      <c r="W42" s="238"/>
      <c r="X42" s="238"/>
      <c r="Y42" s="238"/>
      <c r="Z42" s="238"/>
      <c r="AA42" s="238"/>
      <c r="AB42" s="238"/>
      <c r="AC42" s="238"/>
      <c r="AD42" s="238"/>
      <c r="AE42" s="238"/>
      <c r="AF42" s="238"/>
      <c r="AG42" s="238"/>
      <c r="AH42" s="238"/>
      <c r="AI42" s="238"/>
      <c r="AJ42" s="238"/>
      <c r="AK42" s="238"/>
      <c r="AL42" s="238"/>
      <c r="AM42" s="238"/>
      <c r="AN42" s="238"/>
      <c r="AO42" s="238"/>
      <c r="AP42" s="238"/>
      <c r="AQ42" s="238"/>
      <c r="AR42" s="238"/>
      <c r="AS42" s="238"/>
      <c r="AT42" s="238"/>
      <c r="AU42" s="238"/>
      <c r="AV42" s="238"/>
      <c r="AW42" s="238"/>
      <c r="AX42" s="238"/>
      <c r="AY42" s="238"/>
      <c r="AZ42" s="238"/>
      <c r="BA42" s="238"/>
      <c r="BB42" s="238"/>
      <c r="BC42" s="238"/>
      <c r="BD42" s="238"/>
      <c r="BE42" s="238"/>
      <c r="BF42" s="238"/>
      <c r="BG42" s="238"/>
      <c r="BH42" s="238"/>
      <c r="BI42" s="238"/>
      <c r="BJ42" s="238"/>
      <c r="BK42" s="238"/>
      <c r="BL42" s="238"/>
      <c r="BM42" s="238"/>
      <c r="BN42" s="238"/>
      <c r="BO42" s="238"/>
      <c r="BP42" s="238"/>
      <c r="BQ42" s="238"/>
      <c r="BR42" s="238"/>
      <c r="BS42" s="238"/>
      <c r="BT42" s="238"/>
      <c r="BU42" s="238"/>
      <c r="BV42" s="238"/>
      <c r="BW42" s="238"/>
    </row>
    <row r="43" spans="1:75" s="136" customFormat="1" ht="15.75" customHeight="1">
      <c r="B43" s="239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58"/>
      <c r="O43" s="258"/>
      <c r="P43" s="258"/>
      <c r="R43" s="238"/>
      <c r="S43" s="268"/>
      <c r="T43" s="268"/>
      <c r="U43" s="238"/>
      <c r="V43" s="238"/>
      <c r="W43" s="238"/>
      <c r="X43" s="238"/>
      <c r="Y43" s="238"/>
      <c r="Z43" s="238"/>
      <c r="AA43" s="238"/>
      <c r="AB43" s="238"/>
      <c r="AC43" s="238"/>
      <c r="AD43" s="238"/>
      <c r="AE43" s="238"/>
      <c r="AF43" s="238"/>
      <c r="AG43" s="238"/>
      <c r="AH43" s="238"/>
      <c r="AI43" s="238"/>
      <c r="AJ43" s="238"/>
      <c r="AK43" s="238"/>
      <c r="AL43" s="238"/>
      <c r="AM43" s="238"/>
      <c r="AN43" s="238"/>
      <c r="AO43" s="238"/>
      <c r="AP43" s="238"/>
      <c r="AQ43" s="238"/>
      <c r="AR43" s="238"/>
      <c r="AS43" s="238"/>
      <c r="AT43" s="238"/>
      <c r="AU43" s="238"/>
      <c r="AV43" s="238"/>
      <c r="AW43" s="238"/>
      <c r="AX43" s="238"/>
      <c r="AY43" s="238"/>
      <c r="AZ43" s="238"/>
      <c r="BA43" s="238"/>
      <c r="BB43" s="238"/>
      <c r="BC43" s="238"/>
      <c r="BD43" s="238"/>
      <c r="BE43" s="238"/>
      <c r="BF43" s="238"/>
      <c r="BG43" s="238"/>
      <c r="BH43" s="238"/>
      <c r="BI43" s="238"/>
      <c r="BJ43" s="238"/>
      <c r="BK43" s="238"/>
      <c r="BL43" s="238"/>
      <c r="BM43" s="238"/>
      <c r="BN43" s="238"/>
      <c r="BO43" s="238"/>
      <c r="BP43" s="238"/>
      <c r="BQ43" s="238"/>
      <c r="BR43" s="238"/>
      <c r="BS43" s="238"/>
      <c r="BT43" s="238"/>
      <c r="BU43" s="238"/>
      <c r="BV43" s="238"/>
      <c r="BW43" s="238"/>
    </row>
    <row r="44" spans="1:75" s="136" customFormat="1" ht="15.75" customHeight="1">
      <c r="A44" s="802" t="s">
        <v>193</v>
      </c>
      <c r="B44" s="803"/>
      <c r="C44" s="259" t="s">
        <v>47</v>
      </c>
      <c r="D44" s="718" t="s">
        <v>12</v>
      </c>
      <c r="E44" s="719"/>
      <c r="F44" s="720"/>
      <c r="G44" s="718" t="s">
        <v>53</v>
      </c>
      <c r="H44" s="719"/>
      <c r="I44" s="720"/>
      <c r="J44" s="261" t="s">
        <v>54</v>
      </c>
      <c r="K44" s="261" t="s">
        <v>55</v>
      </c>
      <c r="L44" s="261" t="s">
        <v>56</v>
      </c>
      <c r="M44" s="261" t="s">
        <v>11</v>
      </c>
      <c r="N44" s="262" t="s">
        <v>335</v>
      </c>
      <c r="O44" s="811" t="s">
        <v>51</v>
      </c>
      <c r="P44" s="812"/>
      <c r="R44" s="238"/>
      <c r="S44" s="211"/>
      <c r="T44" s="211"/>
      <c r="U44" s="238"/>
      <c r="V44" s="238"/>
      <c r="W44" s="238"/>
      <c r="X44" s="238"/>
      <c r="Y44" s="238"/>
      <c r="Z44" s="238"/>
      <c r="AA44" s="238"/>
      <c r="AB44" s="238"/>
      <c r="AC44" s="238"/>
      <c r="AD44" s="238"/>
      <c r="AE44" s="238"/>
      <c r="AF44" s="238"/>
      <c r="AG44" s="238"/>
      <c r="AH44" s="238"/>
      <c r="AI44" s="238"/>
      <c r="AJ44" s="238"/>
    </row>
    <row r="45" spans="1:75" s="136" customFormat="1" ht="20.149999999999999" customHeight="1">
      <c r="A45" s="847">
        <v>2</v>
      </c>
      <c r="B45" s="850" t="s">
        <v>215</v>
      </c>
      <c r="C45" s="263">
        <v>1</v>
      </c>
      <c r="D45" s="244"/>
      <c r="E45" s="245"/>
      <c r="F45" s="246"/>
      <c r="G45" s="244"/>
      <c r="H45" s="245"/>
      <c r="I45" s="246"/>
      <c r="J45" s="264"/>
      <c r="K45" s="265"/>
      <c r="L45" s="264"/>
      <c r="M45" s="266">
        <f t="shared" ref="M45:M49" si="4">L45*J45</f>
        <v>0</v>
      </c>
      <c r="N45" s="267"/>
      <c r="O45" s="813"/>
      <c r="P45" s="814"/>
      <c r="R45" s="238"/>
      <c r="S45" s="268"/>
      <c r="T45" s="268"/>
      <c r="U45" s="238"/>
      <c r="V45" s="238"/>
      <c r="W45" s="238"/>
      <c r="X45" s="238"/>
      <c r="Y45" s="238"/>
      <c r="Z45" s="238"/>
      <c r="AA45" s="238"/>
      <c r="AB45" s="238"/>
      <c r="AC45" s="238"/>
      <c r="AD45" s="238"/>
      <c r="AE45" s="238"/>
      <c r="AF45" s="238"/>
      <c r="AG45" s="238"/>
      <c r="AH45" s="238"/>
      <c r="AI45" s="238"/>
      <c r="AJ45" s="238"/>
    </row>
    <row r="46" spans="1:75" s="136" customFormat="1" ht="20.149999999999999" customHeight="1">
      <c r="A46" s="848"/>
      <c r="B46" s="851"/>
      <c r="C46" s="263">
        <v>2</v>
      </c>
      <c r="D46" s="244"/>
      <c r="E46" s="245"/>
      <c r="F46" s="246"/>
      <c r="G46" s="244"/>
      <c r="H46" s="245"/>
      <c r="I46" s="246"/>
      <c r="J46" s="264"/>
      <c r="K46" s="265"/>
      <c r="L46" s="264"/>
      <c r="M46" s="266">
        <f t="shared" si="4"/>
        <v>0</v>
      </c>
      <c r="N46" s="267"/>
      <c r="O46" s="813"/>
      <c r="P46" s="814"/>
      <c r="R46" s="238"/>
      <c r="S46" s="211"/>
      <c r="T46" s="211"/>
      <c r="U46" s="238"/>
      <c r="V46" s="238"/>
      <c r="W46" s="238"/>
      <c r="X46" s="238"/>
      <c r="Y46" s="238"/>
      <c r="Z46" s="238"/>
      <c r="AA46" s="238"/>
      <c r="AB46" s="238"/>
      <c r="AC46" s="238"/>
      <c r="AD46" s="238"/>
      <c r="AE46" s="238"/>
      <c r="AF46" s="238"/>
      <c r="AG46" s="238"/>
      <c r="AH46" s="238"/>
      <c r="AI46" s="238"/>
      <c r="AJ46" s="238"/>
    </row>
    <row r="47" spans="1:75" s="136" customFormat="1" ht="20.149999999999999" customHeight="1">
      <c r="A47" s="848"/>
      <c r="B47" s="851"/>
      <c r="C47" s="263">
        <v>3</v>
      </c>
      <c r="D47" s="244"/>
      <c r="E47" s="245"/>
      <c r="F47" s="246"/>
      <c r="G47" s="244"/>
      <c r="H47" s="245"/>
      <c r="I47" s="275"/>
      <c r="J47" s="264"/>
      <c r="K47" s="265"/>
      <c r="L47" s="264"/>
      <c r="M47" s="266">
        <f t="shared" si="4"/>
        <v>0</v>
      </c>
      <c r="N47" s="267"/>
      <c r="O47" s="813"/>
      <c r="P47" s="814"/>
      <c r="R47" s="238"/>
      <c r="S47" s="268"/>
      <c r="T47" s="268"/>
      <c r="U47" s="238"/>
      <c r="V47" s="238"/>
      <c r="W47" s="238"/>
      <c r="X47" s="238"/>
      <c r="Y47" s="238"/>
      <c r="Z47" s="238"/>
      <c r="AA47" s="238"/>
      <c r="AB47" s="238"/>
      <c r="AC47" s="238"/>
      <c r="AD47" s="238"/>
      <c r="AE47" s="238"/>
      <c r="AF47" s="238"/>
      <c r="AG47" s="238"/>
      <c r="AH47" s="238"/>
    </row>
    <row r="48" spans="1:75" s="136" customFormat="1" ht="20.149999999999999" customHeight="1">
      <c r="A48" s="848"/>
      <c r="B48" s="851"/>
      <c r="C48" s="263">
        <v>4</v>
      </c>
      <c r="D48" s="244"/>
      <c r="E48" s="245"/>
      <c r="F48" s="246"/>
      <c r="G48" s="244"/>
      <c r="H48" s="245"/>
      <c r="I48" s="246"/>
      <c r="J48" s="264"/>
      <c r="K48" s="265"/>
      <c r="L48" s="264"/>
      <c r="M48" s="266">
        <f t="shared" si="4"/>
        <v>0</v>
      </c>
      <c r="N48" s="267"/>
      <c r="O48" s="813"/>
      <c r="P48" s="814"/>
      <c r="R48" s="238"/>
      <c r="S48" s="211"/>
      <c r="T48" s="211"/>
      <c r="U48" s="238"/>
      <c r="V48" s="238"/>
      <c r="W48" s="238"/>
      <c r="X48" s="238"/>
      <c r="Y48" s="238"/>
      <c r="Z48" s="238"/>
      <c r="AA48" s="238"/>
      <c r="AB48" s="238"/>
      <c r="AC48" s="238"/>
      <c r="AD48" s="238"/>
      <c r="AE48" s="238"/>
      <c r="AF48" s="238"/>
      <c r="AG48" s="238"/>
      <c r="AH48" s="238"/>
    </row>
    <row r="49" spans="1:36" s="136" customFormat="1" ht="20.149999999999999" customHeight="1" thickBot="1">
      <c r="A49" s="848"/>
      <c r="B49" s="851"/>
      <c r="C49" s="269">
        <v>5</v>
      </c>
      <c r="D49" s="251"/>
      <c r="E49" s="252"/>
      <c r="F49" s="253"/>
      <c r="G49" s="244"/>
      <c r="H49" s="245"/>
      <c r="I49" s="246"/>
      <c r="J49" s="270"/>
      <c r="K49" s="271"/>
      <c r="L49" s="270"/>
      <c r="M49" s="272">
        <f t="shared" si="4"/>
        <v>0</v>
      </c>
      <c r="N49" s="273"/>
      <c r="O49" s="813"/>
      <c r="P49" s="814"/>
      <c r="R49" s="238"/>
      <c r="S49" s="238"/>
      <c r="T49" s="238"/>
      <c r="U49" s="238"/>
      <c r="V49" s="238"/>
      <c r="W49" s="238"/>
      <c r="X49" s="238"/>
      <c r="Y49" s="238"/>
      <c r="Z49" s="238"/>
      <c r="AA49" s="238"/>
      <c r="AB49" s="238"/>
      <c r="AC49" s="238"/>
      <c r="AD49" s="238"/>
      <c r="AE49" s="238"/>
      <c r="AF49" s="238"/>
      <c r="AG49" s="238"/>
      <c r="AH49" s="238"/>
    </row>
    <row r="50" spans="1:36" s="136" customFormat="1" ht="15.75" customHeight="1" thickTop="1">
      <c r="A50" s="849"/>
      <c r="B50" s="852"/>
      <c r="C50" s="721"/>
      <c r="D50" s="722"/>
      <c r="E50" s="722"/>
      <c r="F50" s="722"/>
      <c r="G50" s="722"/>
      <c r="H50" s="722"/>
      <c r="I50" s="855"/>
      <c r="J50" s="256" t="s">
        <v>58</v>
      </c>
      <c r="K50" s="213">
        <f>M50/'生產管理報表 7-1 (週)'!$B$20</f>
        <v>0</v>
      </c>
      <c r="L50" s="256" t="s">
        <v>59</v>
      </c>
      <c r="M50" s="257">
        <f>SUM(M45:M49)</f>
        <v>0</v>
      </c>
      <c r="N50" s="815"/>
      <c r="O50" s="816"/>
      <c r="P50" s="817"/>
      <c r="R50" s="238"/>
      <c r="S50" s="238"/>
      <c r="T50" s="238"/>
      <c r="U50" s="238"/>
      <c r="V50" s="238"/>
      <c r="W50" s="238"/>
      <c r="X50" s="238"/>
      <c r="Y50" s="238"/>
      <c r="Z50" s="238"/>
      <c r="AA50" s="238"/>
      <c r="AB50" s="238"/>
      <c r="AC50" s="238"/>
      <c r="AD50" s="238"/>
      <c r="AE50" s="238"/>
      <c r="AF50" s="238"/>
      <c r="AG50" s="238"/>
      <c r="AH50" s="238"/>
    </row>
    <row r="51" spans="1:36" s="136" customFormat="1" ht="15.75" customHeight="1">
      <c r="B51" s="239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74"/>
      <c r="O51" s="274"/>
      <c r="P51" s="274"/>
      <c r="R51" s="238"/>
      <c r="S51" s="238"/>
      <c r="T51" s="238"/>
      <c r="U51" s="238"/>
      <c r="V51" s="238"/>
      <c r="W51" s="238"/>
      <c r="X51" s="238"/>
      <c r="Y51" s="238"/>
      <c r="Z51" s="238"/>
      <c r="AA51" s="238"/>
      <c r="AB51" s="238"/>
      <c r="AC51" s="238"/>
      <c r="AD51" s="238"/>
      <c r="AE51" s="238"/>
      <c r="AF51" s="238"/>
      <c r="AG51" s="238"/>
      <c r="AH51" s="238"/>
    </row>
    <row r="52" spans="1:36" s="136" customFormat="1" ht="15.75" customHeight="1">
      <c r="A52" s="802" t="s">
        <v>193</v>
      </c>
      <c r="B52" s="803"/>
      <c r="C52" s="259" t="s">
        <v>47</v>
      </c>
      <c r="D52" s="718" t="s">
        <v>12</v>
      </c>
      <c r="E52" s="719"/>
      <c r="F52" s="720"/>
      <c r="G52" s="718" t="s">
        <v>53</v>
      </c>
      <c r="H52" s="719"/>
      <c r="I52" s="846"/>
      <c r="J52" s="260" t="s">
        <v>54</v>
      </c>
      <c r="K52" s="261" t="s">
        <v>55</v>
      </c>
      <c r="L52" s="261" t="s">
        <v>56</v>
      </c>
      <c r="M52" s="261" t="s">
        <v>11</v>
      </c>
      <c r="N52" s="262" t="s">
        <v>335</v>
      </c>
      <c r="O52" s="809" t="s">
        <v>51</v>
      </c>
      <c r="P52" s="810"/>
      <c r="R52" s="238"/>
      <c r="S52" s="238"/>
      <c r="T52" s="238"/>
      <c r="U52" s="238"/>
      <c r="V52" s="238"/>
      <c r="W52" s="238"/>
      <c r="X52" s="238"/>
      <c r="Y52" s="238"/>
      <c r="Z52" s="238"/>
      <c r="AA52" s="238"/>
      <c r="AB52" s="238"/>
      <c r="AC52" s="238"/>
      <c r="AD52" s="238"/>
      <c r="AE52" s="238"/>
      <c r="AF52" s="238"/>
      <c r="AG52" s="238"/>
      <c r="AH52" s="238"/>
      <c r="AI52" s="238"/>
      <c r="AJ52" s="238"/>
    </row>
    <row r="53" spans="1:36" s="136" customFormat="1" ht="50.15" customHeight="1">
      <c r="A53" s="847">
        <v>3</v>
      </c>
      <c r="B53" s="850" t="s">
        <v>451</v>
      </c>
      <c r="C53" s="263">
        <v>1</v>
      </c>
      <c r="D53" s="244" t="s">
        <v>344</v>
      </c>
      <c r="E53" s="245"/>
      <c r="F53" s="246"/>
      <c r="G53" s="313" t="s">
        <v>493</v>
      </c>
      <c r="H53" s="312"/>
      <c r="I53" s="313"/>
      <c r="J53" s="264">
        <v>1.17</v>
      </c>
      <c r="K53" s="265">
        <v>4.2633599055211099E-3</v>
      </c>
      <c r="L53" s="264">
        <v>1083</v>
      </c>
      <c r="M53" s="336">
        <f t="shared" ref="M53:M57" si="5">L53*J53</f>
        <v>1267.1099999999999</v>
      </c>
      <c r="N53" s="277"/>
      <c r="O53" s="853" t="s">
        <v>691</v>
      </c>
      <c r="P53" s="854"/>
      <c r="R53" s="238"/>
      <c r="S53" s="439"/>
      <c r="T53" s="439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8"/>
      <c r="AG53" s="238"/>
      <c r="AH53" s="238"/>
      <c r="AI53" s="238"/>
      <c r="AJ53" s="238"/>
    </row>
    <row r="54" spans="1:36" s="136" customFormat="1" ht="50.15" customHeight="1">
      <c r="A54" s="848"/>
      <c r="B54" s="851"/>
      <c r="C54" s="263">
        <v>2</v>
      </c>
      <c r="D54" s="244" t="s">
        <v>344</v>
      </c>
      <c r="E54" s="245"/>
      <c r="F54" s="246"/>
      <c r="G54" s="313" t="s">
        <v>494</v>
      </c>
      <c r="H54" s="312"/>
      <c r="I54" s="313"/>
      <c r="J54" s="264">
        <v>2.4499999999999997</v>
      </c>
      <c r="K54" s="265">
        <v>3.1554469338146655E-3</v>
      </c>
      <c r="L54" s="264">
        <v>479</v>
      </c>
      <c r="M54" s="336">
        <f t="shared" si="5"/>
        <v>1173.55</v>
      </c>
      <c r="N54" s="277"/>
      <c r="O54" s="804" t="s">
        <v>532</v>
      </c>
      <c r="P54" s="805"/>
      <c r="R54" s="238"/>
      <c r="S54" s="439"/>
      <c r="T54" s="446"/>
      <c r="U54" s="238"/>
      <c r="V54" s="238"/>
      <c r="W54" s="238"/>
      <c r="X54" s="238"/>
      <c r="Y54" s="238"/>
      <c r="Z54" s="238"/>
      <c r="AA54" s="238"/>
      <c r="AB54" s="238"/>
      <c r="AC54" s="238"/>
      <c r="AD54" s="238"/>
      <c r="AE54" s="238"/>
      <c r="AF54" s="238"/>
      <c r="AG54" s="238"/>
      <c r="AH54" s="238"/>
      <c r="AI54" s="238"/>
      <c r="AJ54" s="238"/>
    </row>
    <row r="55" spans="1:36" s="136" customFormat="1" ht="50.15" customHeight="1">
      <c r="A55" s="848"/>
      <c r="B55" s="851"/>
      <c r="C55" s="263">
        <v>3</v>
      </c>
      <c r="D55" s="244" t="s">
        <v>437</v>
      </c>
      <c r="E55" s="245"/>
      <c r="F55" s="246"/>
      <c r="G55" s="419" t="s">
        <v>453</v>
      </c>
      <c r="H55" s="385"/>
      <c r="I55" s="419"/>
      <c r="J55" s="264">
        <v>122.81999999999996</v>
      </c>
      <c r="K55" s="265">
        <v>1.4161673768863544E-2</v>
      </c>
      <c r="L55" s="264">
        <v>8.84</v>
      </c>
      <c r="M55" s="336">
        <f t="shared" si="5"/>
        <v>1085.7287999999996</v>
      </c>
      <c r="N55" s="277"/>
      <c r="O55" s="804" t="s">
        <v>531</v>
      </c>
      <c r="P55" s="805"/>
      <c r="R55" s="238"/>
      <c r="S55" s="439"/>
      <c r="T55" s="446"/>
      <c r="U55" s="238"/>
      <c r="V55" s="238"/>
      <c r="W55" s="238"/>
      <c r="X55" s="238"/>
      <c r="Y55" s="238"/>
      <c r="Z55" s="238"/>
      <c r="AA55" s="238"/>
      <c r="AB55" s="238"/>
      <c r="AC55" s="238"/>
      <c r="AD55" s="238"/>
      <c r="AE55" s="238"/>
      <c r="AF55" s="238"/>
      <c r="AG55" s="238"/>
      <c r="AH55" s="238"/>
      <c r="AI55" s="238"/>
      <c r="AJ55" s="238"/>
    </row>
    <row r="56" spans="1:36" s="136" customFormat="1" ht="50.15" customHeight="1">
      <c r="A56" s="848"/>
      <c r="B56" s="851"/>
      <c r="C56" s="263">
        <v>4</v>
      </c>
      <c r="D56" s="244"/>
      <c r="E56" s="245"/>
      <c r="F56" s="246"/>
      <c r="G56" s="244"/>
      <c r="H56" s="245"/>
      <c r="I56" s="275"/>
      <c r="J56" s="276"/>
      <c r="K56" s="265"/>
      <c r="L56" s="264"/>
      <c r="M56" s="336">
        <f t="shared" si="5"/>
        <v>0</v>
      </c>
      <c r="N56" s="277"/>
      <c r="O56" s="804"/>
      <c r="P56" s="805"/>
      <c r="R56" s="238"/>
      <c r="S56" s="238"/>
      <c r="T56"/>
      <c r="U56" s="238"/>
      <c r="V56" s="238"/>
      <c r="W56" s="238"/>
      <c r="X56" s="238"/>
      <c r="Y56" s="238"/>
      <c r="Z56" s="238"/>
      <c r="AA56" s="238"/>
      <c r="AB56" s="238"/>
      <c r="AC56" s="238"/>
      <c r="AD56" s="238"/>
      <c r="AE56" s="238"/>
      <c r="AF56" s="238"/>
      <c r="AG56" s="238"/>
      <c r="AH56" s="238"/>
      <c r="AI56" s="238"/>
      <c r="AJ56" s="238"/>
    </row>
    <row r="57" spans="1:36" s="136" customFormat="1" ht="30" customHeight="1" thickBot="1">
      <c r="A57" s="848"/>
      <c r="B57" s="851"/>
      <c r="C57" s="269">
        <v>5</v>
      </c>
      <c r="D57" s="251"/>
      <c r="E57" s="252"/>
      <c r="F57" s="253"/>
      <c r="G57" s="414"/>
      <c r="H57" s="415"/>
      <c r="I57" s="416"/>
      <c r="J57" s="279"/>
      <c r="K57" s="271"/>
      <c r="L57" s="280"/>
      <c r="M57" s="336">
        <f t="shared" si="5"/>
        <v>0</v>
      </c>
      <c r="N57" s="277"/>
      <c r="O57" s="804"/>
      <c r="P57" s="805"/>
      <c r="R57" s="238"/>
      <c r="S57" s="238"/>
      <c r="T57"/>
      <c r="U57" s="238"/>
      <c r="V57" s="238"/>
      <c r="W57" s="238"/>
      <c r="X57" s="238"/>
      <c r="Y57" s="238"/>
      <c r="Z57" s="238"/>
      <c r="AA57" s="238"/>
      <c r="AB57" s="238"/>
      <c r="AC57" s="238"/>
      <c r="AD57" s="238"/>
      <c r="AE57" s="238"/>
      <c r="AF57" s="238"/>
      <c r="AG57" s="238"/>
      <c r="AH57" s="238"/>
      <c r="AI57" s="238"/>
      <c r="AJ57" s="238"/>
    </row>
    <row r="58" spans="1:36" s="136" customFormat="1" ht="15.75" customHeight="1" thickTop="1">
      <c r="A58" s="849"/>
      <c r="B58" s="852"/>
      <c r="C58" s="721"/>
      <c r="D58" s="722"/>
      <c r="E58" s="722"/>
      <c r="F58" s="722"/>
      <c r="G58" s="722"/>
      <c r="H58" s="722"/>
      <c r="I58" s="855"/>
      <c r="J58" s="281" t="s">
        <v>58</v>
      </c>
      <c r="K58" s="213">
        <f>M58/'生產管理報表 7-1 (週)'!$B$20</f>
        <v>5.1214992741323545E-2</v>
      </c>
      <c r="L58" s="281" t="s">
        <v>59</v>
      </c>
      <c r="M58" s="337">
        <f>SUM(M53:M57)</f>
        <v>3526.3887999999997</v>
      </c>
      <c r="N58" s="806"/>
      <c r="O58" s="807"/>
      <c r="P58" s="808"/>
      <c r="R58" s="238"/>
      <c r="S58" s="238"/>
      <c r="T58"/>
      <c r="U58" s="238"/>
      <c r="V58" s="238"/>
      <c r="W58" s="238"/>
      <c r="X58" s="238"/>
      <c r="Y58" s="238"/>
      <c r="Z58" s="238"/>
      <c r="AA58" s="238"/>
      <c r="AB58" s="238"/>
      <c r="AC58" s="238"/>
      <c r="AD58" s="238"/>
      <c r="AE58" s="238"/>
      <c r="AF58" s="238"/>
      <c r="AG58" s="238"/>
      <c r="AH58" s="238"/>
      <c r="AI58" s="238"/>
      <c r="AJ58" s="238"/>
    </row>
    <row r="59" spans="1:36" s="136" customFormat="1" ht="15.75" customHeight="1">
      <c r="A59" s="866" t="s">
        <v>683</v>
      </c>
      <c r="B59" s="866"/>
      <c r="C59" s="866"/>
      <c r="D59" s="866"/>
      <c r="E59" s="866"/>
      <c r="F59" s="866"/>
      <c r="G59" s="866"/>
      <c r="H59" s="866"/>
      <c r="I59" s="866"/>
      <c r="J59" s="866"/>
      <c r="K59" s="866"/>
      <c r="L59" s="866"/>
      <c r="M59" s="866"/>
      <c r="R59" s="238"/>
      <c r="S59" s="238"/>
      <c r="T59" s="238"/>
      <c r="U59" s="238"/>
    </row>
    <row r="60" spans="1:36" s="137" customFormat="1" ht="15.75" customHeight="1">
      <c r="A60" s="799"/>
      <c r="B60" s="799"/>
      <c r="C60" s="799"/>
      <c r="D60" s="799"/>
      <c r="E60" s="799"/>
      <c r="F60" s="799"/>
      <c r="G60" s="799"/>
      <c r="H60" s="799"/>
      <c r="I60" s="799"/>
      <c r="J60" s="799"/>
      <c r="K60" s="799"/>
      <c r="L60" s="799"/>
      <c r="M60" s="799"/>
    </row>
    <row r="61" spans="1:36" s="136" customFormat="1" ht="15.75" customHeight="1">
      <c r="A61" s="800" t="s">
        <v>193</v>
      </c>
      <c r="B61" s="793">
        <v>1</v>
      </c>
      <c r="C61" s="794"/>
      <c r="D61" s="793">
        <v>2</v>
      </c>
      <c r="E61" s="794"/>
      <c r="F61" s="793">
        <v>3</v>
      </c>
      <c r="G61" s="794"/>
      <c r="H61" s="802">
        <v>4</v>
      </c>
      <c r="I61" s="803"/>
      <c r="J61" s="802">
        <v>5</v>
      </c>
      <c r="K61" s="803"/>
      <c r="L61" s="802">
        <v>6</v>
      </c>
      <c r="M61" s="803"/>
      <c r="N61" s="802">
        <v>7</v>
      </c>
      <c r="O61" s="803"/>
      <c r="P61" s="802">
        <v>8</v>
      </c>
      <c r="Q61" s="803"/>
      <c r="R61" s="238"/>
      <c r="S61" s="238"/>
      <c r="T61" s="238"/>
      <c r="U61" s="238"/>
    </row>
    <row r="62" spans="1:36" s="136" customFormat="1" ht="15.75" customHeight="1">
      <c r="A62" s="801"/>
      <c r="B62" s="795" t="s">
        <v>500</v>
      </c>
      <c r="C62" s="796"/>
      <c r="D62" s="795" t="s">
        <v>214</v>
      </c>
      <c r="E62" s="796"/>
      <c r="F62" s="795" t="s">
        <v>168</v>
      </c>
      <c r="G62" s="796"/>
      <c r="H62" s="797" t="s">
        <v>465</v>
      </c>
      <c r="I62" s="798"/>
      <c r="J62" s="797" t="s">
        <v>191</v>
      </c>
      <c r="K62" s="798"/>
      <c r="L62" s="797" t="s">
        <v>169</v>
      </c>
      <c r="M62" s="798"/>
      <c r="N62" s="797" t="s">
        <v>192</v>
      </c>
      <c r="O62" s="798"/>
      <c r="P62" s="856" t="s">
        <v>219</v>
      </c>
      <c r="Q62" s="857"/>
      <c r="R62" s="238"/>
      <c r="S62" s="238"/>
      <c r="T62" s="238"/>
      <c r="U62" s="238"/>
    </row>
    <row r="63" spans="1:36" s="136" customFormat="1" ht="15.75" customHeight="1">
      <c r="B63" s="239"/>
      <c r="C63" s="240"/>
      <c r="R63" s="238"/>
      <c r="S63" s="238"/>
      <c r="T63" s="238"/>
      <c r="U63" s="238"/>
    </row>
    <row r="64" spans="1:36" s="242" customFormat="1" ht="15.75" customHeight="1">
      <c r="A64" s="802" t="s">
        <v>193</v>
      </c>
      <c r="B64" s="803"/>
      <c r="C64" s="241" t="s">
        <v>47</v>
      </c>
      <c r="D64" s="858" t="s">
        <v>12</v>
      </c>
      <c r="E64" s="719"/>
      <c r="F64" s="846"/>
      <c r="G64" s="859" t="s">
        <v>53</v>
      </c>
      <c r="H64" s="860"/>
      <c r="I64" s="861"/>
      <c r="J64" s="241" t="s">
        <v>54</v>
      </c>
      <c r="K64" s="241" t="s">
        <v>55</v>
      </c>
      <c r="L64" s="241" t="s">
        <v>56</v>
      </c>
      <c r="M64" s="241" t="s">
        <v>11</v>
      </c>
      <c r="N64" s="241" t="s">
        <v>335</v>
      </c>
      <c r="O64" s="862" t="s">
        <v>51</v>
      </c>
      <c r="P64" s="863"/>
    </row>
    <row r="65" spans="1:75" s="136" customFormat="1" ht="50.15" customHeight="1">
      <c r="A65" s="847">
        <v>1</v>
      </c>
      <c r="B65" s="850" t="s">
        <v>501</v>
      </c>
      <c r="C65" s="243">
        <v>1</v>
      </c>
      <c r="D65" s="244" t="s">
        <v>479</v>
      </c>
      <c r="E65" s="245"/>
      <c r="F65" s="245"/>
      <c r="G65" s="383" t="s">
        <v>480</v>
      </c>
      <c r="H65" s="312"/>
      <c r="I65" s="313"/>
      <c r="J65" s="243">
        <v>181.60999999999999</v>
      </c>
      <c r="K65" s="249">
        <v>1.2435003426175985E-2</v>
      </c>
      <c r="L65" s="243">
        <v>6.17</v>
      </c>
      <c r="M65" s="333">
        <f>L65*J65</f>
        <v>1120.5337</v>
      </c>
      <c r="N65" s="250"/>
      <c r="O65" s="784" t="s">
        <v>544</v>
      </c>
      <c r="P65" s="785"/>
      <c r="R65" s="238"/>
      <c r="S65" s="437"/>
      <c r="T65" s="268"/>
      <c r="U65" s="238"/>
    </row>
    <row r="66" spans="1:75" s="136" customFormat="1" ht="50.15" customHeight="1">
      <c r="A66" s="848"/>
      <c r="B66" s="851"/>
      <c r="C66" s="243">
        <v>2</v>
      </c>
      <c r="D66" s="244" t="s">
        <v>346</v>
      </c>
      <c r="E66" s="245"/>
      <c r="F66" s="245"/>
      <c r="G66" s="383" t="s">
        <v>338</v>
      </c>
      <c r="H66" s="312"/>
      <c r="I66" s="313"/>
      <c r="J66" s="243">
        <v>141.66999999999999</v>
      </c>
      <c r="K66" s="249">
        <v>1.2046140744754973E-2</v>
      </c>
      <c r="L66" s="243">
        <v>7.7799999999999994</v>
      </c>
      <c r="M66" s="333">
        <f t="shared" ref="M66:M69" si="6">L66*J66</f>
        <v>1102.1925999999999</v>
      </c>
      <c r="N66" s="250"/>
      <c r="O66" s="864" t="s">
        <v>554</v>
      </c>
      <c r="P66" s="854"/>
      <c r="R66" s="238"/>
      <c r="S66" s="438"/>
      <c r="T66" s="438"/>
      <c r="U66" s="238"/>
      <c r="V66" s="238"/>
      <c r="W66" s="238"/>
      <c r="X66" s="238"/>
      <c r="Y66" s="238"/>
      <c r="Z66" s="238"/>
      <c r="AA66" s="238"/>
      <c r="AB66" s="238"/>
      <c r="AC66" s="238"/>
      <c r="AD66" s="238"/>
      <c r="AE66" s="238"/>
      <c r="AF66" s="238"/>
      <c r="AG66" s="238"/>
      <c r="AH66" s="238"/>
      <c r="AI66" s="238"/>
      <c r="AJ66" s="238"/>
      <c r="AK66" s="238"/>
      <c r="AL66" s="238"/>
      <c r="AM66" s="238"/>
      <c r="AN66" s="238"/>
      <c r="AO66" s="238"/>
      <c r="AP66" s="238"/>
      <c r="AQ66" s="238"/>
      <c r="AR66" s="238"/>
      <c r="AS66" s="238"/>
      <c r="AT66" s="238"/>
      <c r="AU66" s="238"/>
      <c r="AV66" s="238"/>
      <c r="AW66" s="238"/>
      <c r="AX66" s="238"/>
      <c r="AY66" s="238"/>
      <c r="AZ66" s="238"/>
      <c r="BA66" s="238"/>
      <c r="BB66" s="238"/>
      <c r="BC66" s="238"/>
      <c r="BD66" s="238"/>
      <c r="BE66" s="238"/>
      <c r="BF66" s="238"/>
      <c r="BG66" s="238"/>
      <c r="BH66" s="238"/>
      <c r="BI66" s="238"/>
      <c r="BJ66" s="238"/>
      <c r="BK66" s="238"/>
      <c r="BL66" s="238"/>
      <c r="BM66" s="238"/>
      <c r="BN66" s="238"/>
      <c r="BO66" s="238"/>
      <c r="BP66" s="238"/>
      <c r="BQ66" s="238"/>
      <c r="BR66" s="238"/>
      <c r="BS66" s="238"/>
      <c r="BT66" s="238"/>
      <c r="BU66" s="238"/>
      <c r="BV66" s="238"/>
      <c r="BW66" s="238"/>
    </row>
    <row r="67" spans="1:75" s="136" customFormat="1" ht="50.15" customHeight="1">
      <c r="A67" s="848"/>
      <c r="B67" s="851"/>
      <c r="C67" s="243">
        <v>3</v>
      </c>
      <c r="D67" s="244" t="s">
        <v>360</v>
      </c>
      <c r="E67" s="245"/>
      <c r="F67" s="245"/>
      <c r="G67" s="383" t="s">
        <v>368</v>
      </c>
      <c r="H67" s="312"/>
      <c r="I67" s="313"/>
      <c r="J67" s="243">
        <v>253.92000000000002</v>
      </c>
      <c r="K67" s="249">
        <v>1.4643741803875855E-2</v>
      </c>
      <c r="L67" s="243">
        <v>4.0199999999999996</v>
      </c>
      <c r="M67" s="333">
        <f t="shared" si="6"/>
        <v>1020.7583999999999</v>
      </c>
      <c r="N67" s="250"/>
      <c r="O67" s="865" t="s">
        <v>745</v>
      </c>
      <c r="P67" s="805"/>
      <c r="R67" s="238"/>
      <c r="S67" s="437"/>
      <c r="T67" s="437"/>
      <c r="U67" s="238"/>
      <c r="V67" s="238"/>
      <c r="W67" s="238"/>
      <c r="X67" s="238"/>
      <c r="Y67" s="238"/>
      <c r="Z67" s="238"/>
      <c r="AA67" s="238"/>
      <c r="AB67" s="238"/>
      <c r="AC67" s="238"/>
      <c r="AD67" s="238"/>
      <c r="AE67" s="238"/>
      <c r="AF67" s="238"/>
      <c r="AG67" s="238"/>
      <c r="AH67" s="238"/>
      <c r="AI67" s="238"/>
      <c r="AJ67" s="238"/>
      <c r="AK67" s="238"/>
      <c r="AL67" s="238"/>
      <c r="AM67" s="238"/>
      <c r="AN67" s="238"/>
      <c r="AO67" s="238"/>
      <c r="AP67" s="238"/>
      <c r="AQ67" s="238"/>
      <c r="AR67" s="238"/>
      <c r="AS67" s="238"/>
      <c r="AT67" s="238"/>
      <c r="AU67" s="238"/>
      <c r="AV67" s="238"/>
      <c r="AW67" s="238"/>
      <c r="AX67" s="238"/>
      <c r="AY67" s="238"/>
      <c r="AZ67" s="238"/>
      <c r="BA67" s="238"/>
      <c r="BB67" s="238"/>
      <c r="BC67" s="238"/>
      <c r="BD67" s="238"/>
      <c r="BE67" s="238"/>
      <c r="BF67" s="238"/>
      <c r="BG67" s="238"/>
      <c r="BH67" s="238"/>
      <c r="BI67" s="238"/>
      <c r="BJ67" s="238"/>
      <c r="BK67" s="238"/>
      <c r="BL67" s="238"/>
      <c r="BM67" s="238"/>
      <c r="BN67" s="238"/>
      <c r="BO67" s="238"/>
      <c r="BP67" s="238"/>
      <c r="BQ67" s="238"/>
      <c r="BR67" s="238"/>
      <c r="BS67" s="238"/>
      <c r="BT67" s="238"/>
      <c r="BU67" s="238"/>
      <c r="BV67" s="238"/>
      <c r="BW67" s="238"/>
    </row>
    <row r="68" spans="1:75" s="136" customFormat="1" ht="50.15" customHeight="1">
      <c r="A68" s="848"/>
      <c r="B68" s="851"/>
      <c r="C68" s="243">
        <v>4</v>
      </c>
      <c r="D68" s="244" t="s">
        <v>522</v>
      </c>
      <c r="E68" s="245"/>
      <c r="F68" s="245"/>
      <c r="G68" s="383" t="s">
        <v>520</v>
      </c>
      <c r="H68" s="312"/>
      <c r="I68" s="313"/>
      <c r="J68" s="243">
        <v>153.19000000000003</v>
      </c>
      <c r="K68" s="249">
        <v>2.3671393783125626E-2</v>
      </c>
      <c r="L68" s="243">
        <v>6.61</v>
      </c>
      <c r="M68" s="333">
        <f t="shared" si="6"/>
        <v>1012.5859000000003</v>
      </c>
      <c r="N68" s="250"/>
      <c r="O68" s="865" t="s">
        <v>692</v>
      </c>
      <c r="P68" s="805"/>
      <c r="R68" s="238"/>
      <c r="S68" s="438"/>
      <c r="T68" s="438"/>
      <c r="U68" s="238"/>
      <c r="V68" s="238"/>
      <c r="W68" s="238"/>
      <c r="X68" s="238"/>
      <c r="Y68" s="238"/>
      <c r="Z68" s="238"/>
      <c r="AA68" s="238"/>
      <c r="AB68" s="238"/>
      <c r="AC68" s="238"/>
      <c r="AD68" s="238"/>
      <c r="AE68" s="238"/>
      <c r="AF68" s="238"/>
      <c r="AG68" s="238"/>
      <c r="AH68" s="238"/>
      <c r="AI68" s="238"/>
      <c r="AJ68" s="238"/>
      <c r="AK68" s="238"/>
      <c r="AL68" s="238"/>
      <c r="AM68" s="238"/>
      <c r="AN68" s="238"/>
      <c r="AO68" s="238"/>
      <c r="AP68" s="238"/>
      <c r="AQ68" s="238"/>
      <c r="AR68" s="238"/>
      <c r="AS68" s="238"/>
      <c r="AT68" s="238"/>
      <c r="AU68" s="238"/>
      <c r="AV68" s="238"/>
      <c r="AW68" s="238"/>
      <c r="AX68" s="238"/>
      <c r="AY68" s="238"/>
      <c r="AZ68" s="238"/>
      <c r="BA68" s="238"/>
      <c r="BB68" s="238"/>
      <c r="BC68" s="238"/>
      <c r="BD68" s="238"/>
      <c r="BE68" s="238"/>
      <c r="BF68" s="238"/>
      <c r="BG68" s="238"/>
      <c r="BH68" s="238"/>
      <c r="BI68" s="238"/>
      <c r="BJ68" s="238"/>
      <c r="BK68" s="238"/>
      <c r="BL68" s="238"/>
      <c r="BM68" s="238"/>
      <c r="BN68" s="238"/>
      <c r="BO68" s="238"/>
      <c r="BP68" s="238"/>
      <c r="BQ68" s="238"/>
      <c r="BR68" s="238"/>
      <c r="BS68" s="238"/>
      <c r="BT68" s="238"/>
      <c r="BU68" s="238"/>
      <c r="BV68" s="238"/>
      <c r="BW68" s="238"/>
    </row>
    <row r="69" spans="1:75" s="136" customFormat="1" ht="50.15" customHeight="1" thickBot="1">
      <c r="A69" s="848"/>
      <c r="B69" s="851"/>
      <c r="C69" s="243">
        <v>5</v>
      </c>
      <c r="D69" s="251" t="s">
        <v>474</v>
      </c>
      <c r="E69" s="252"/>
      <c r="F69" s="252"/>
      <c r="G69" s="383" t="s">
        <v>521</v>
      </c>
      <c r="H69" s="312"/>
      <c r="I69" s="313"/>
      <c r="J69" s="254">
        <v>169.79</v>
      </c>
      <c r="K69" s="255">
        <v>3.8361508452535768E-2</v>
      </c>
      <c r="L69" s="254">
        <v>5.9</v>
      </c>
      <c r="M69" s="334">
        <f t="shared" si="6"/>
        <v>1001.761</v>
      </c>
      <c r="N69" s="250"/>
      <c r="O69" s="865" t="s">
        <v>544</v>
      </c>
      <c r="P69" s="805"/>
      <c r="R69" s="238"/>
      <c r="S69" s="437"/>
      <c r="T69" s="268"/>
      <c r="U69" s="238"/>
      <c r="V69" s="439"/>
      <c r="W69" s="238"/>
      <c r="X69" s="238"/>
      <c r="Y69" s="238"/>
      <c r="Z69" s="238"/>
      <c r="AA69" s="238"/>
      <c r="AB69" s="238"/>
      <c r="AC69" s="238"/>
      <c r="AD69" s="238"/>
      <c r="AE69" s="238"/>
      <c r="AF69" s="238"/>
      <c r="AG69" s="238"/>
      <c r="AH69" s="238"/>
      <c r="AI69" s="238"/>
      <c r="AJ69" s="238"/>
      <c r="AK69" s="238"/>
      <c r="AL69" s="238"/>
      <c r="AM69" s="238"/>
      <c r="AN69" s="238"/>
      <c r="AO69" s="238"/>
      <c r="AP69" s="238"/>
      <c r="AQ69" s="238"/>
      <c r="AR69" s="238"/>
      <c r="AS69" s="238"/>
      <c r="AT69" s="238"/>
      <c r="AU69" s="238"/>
      <c r="AV69" s="238"/>
      <c r="AW69" s="238"/>
      <c r="AX69" s="238"/>
      <c r="AY69" s="238"/>
      <c r="AZ69" s="238"/>
      <c r="BA69" s="238"/>
      <c r="BB69" s="238"/>
      <c r="BC69" s="238"/>
      <c r="BD69" s="238"/>
      <c r="BE69" s="238"/>
      <c r="BF69" s="238"/>
      <c r="BG69" s="238"/>
      <c r="BH69" s="238"/>
      <c r="BI69" s="238"/>
      <c r="BJ69" s="238"/>
      <c r="BK69" s="238"/>
      <c r="BL69" s="238"/>
      <c r="BM69" s="238"/>
      <c r="BN69" s="238"/>
      <c r="BO69" s="238"/>
      <c r="BP69" s="238"/>
      <c r="BQ69" s="238"/>
      <c r="BR69" s="238"/>
      <c r="BS69" s="238"/>
      <c r="BT69" s="238"/>
      <c r="BU69" s="238"/>
      <c r="BV69" s="238"/>
      <c r="BW69" s="238"/>
    </row>
    <row r="70" spans="1:75" s="136" customFormat="1" ht="15.75" customHeight="1" thickTop="1">
      <c r="A70" s="849"/>
      <c r="B70" s="852"/>
      <c r="C70" s="721"/>
      <c r="D70" s="722"/>
      <c r="E70" s="722"/>
      <c r="F70" s="722"/>
      <c r="G70" s="722"/>
      <c r="H70" s="722"/>
      <c r="I70" s="855"/>
      <c r="J70" s="256" t="s">
        <v>58</v>
      </c>
      <c r="K70" s="213">
        <f>M70/'生產管理報表 7-1 (週)'!$B$31</f>
        <v>7.9209096003237889E-2</v>
      </c>
      <c r="L70" s="256" t="s">
        <v>59</v>
      </c>
      <c r="M70" s="335">
        <f>SUM(M65:M69)</f>
        <v>5257.8315999999995</v>
      </c>
      <c r="N70" s="820"/>
      <c r="O70" s="821"/>
      <c r="P70" s="822"/>
      <c r="R70" s="238"/>
      <c r="S70" s="211"/>
      <c r="T70" s="211"/>
      <c r="U70" s="238"/>
      <c r="V70" s="238"/>
      <c r="W70" s="238"/>
      <c r="X70" s="238"/>
      <c r="Y70" s="238"/>
      <c r="Z70" s="238"/>
      <c r="AA70" s="238"/>
      <c r="AB70" s="238"/>
      <c r="AC70" s="238"/>
      <c r="AD70" s="238"/>
      <c r="AE70" s="238"/>
      <c r="AF70" s="238"/>
      <c r="AG70" s="238"/>
      <c r="AH70" s="238"/>
      <c r="AI70" s="238"/>
      <c r="AJ70" s="238"/>
      <c r="AK70" s="238"/>
      <c r="AL70" s="238"/>
      <c r="AM70" s="238"/>
      <c r="AN70" s="238"/>
      <c r="AO70" s="238"/>
      <c r="AP70" s="238"/>
      <c r="AQ70" s="238"/>
      <c r="AR70" s="238"/>
      <c r="AS70" s="238"/>
      <c r="AT70" s="238"/>
      <c r="AU70" s="238"/>
      <c r="AV70" s="238"/>
      <c r="AW70" s="238"/>
      <c r="AX70" s="238"/>
      <c r="AY70" s="238"/>
      <c r="AZ70" s="238"/>
      <c r="BA70" s="238"/>
      <c r="BB70" s="238"/>
      <c r="BC70" s="238"/>
      <c r="BD70" s="238"/>
      <c r="BE70" s="238"/>
      <c r="BF70" s="238"/>
      <c r="BG70" s="238"/>
      <c r="BH70" s="238"/>
      <c r="BI70" s="238"/>
      <c r="BJ70" s="238"/>
      <c r="BK70" s="238"/>
      <c r="BL70" s="238"/>
      <c r="BM70" s="238"/>
      <c r="BN70" s="238"/>
      <c r="BO70" s="238"/>
      <c r="BP70" s="238"/>
      <c r="BQ70" s="238"/>
      <c r="BR70" s="238"/>
      <c r="BS70" s="238"/>
      <c r="BT70" s="238"/>
      <c r="BU70" s="238"/>
      <c r="BV70" s="238"/>
      <c r="BW70" s="238"/>
    </row>
    <row r="71" spans="1:75" s="136" customFormat="1" ht="15.75" customHeight="1">
      <c r="B71" s="239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58"/>
      <c r="O71" s="258"/>
      <c r="P71" s="258"/>
      <c r="R71" s="238"/>
      <c r="S71" s="268"/>
      <c r="T71" s="268"/>
      <c r="U71" s="238"/>
      <c r="V71" s="238"/>
      <c r="W71" s="238"/>
      <c r="X71" s="238"/>
      <c r="Y71" s="238"/>
      <c r="Z71" s="238"/>
      <c r="AA71" s="238"/>
      <c r="AB71" s="238"/>
      <c r="AC71" s="238"/>
      <c r="AD71" s="238"/>
      <c r="AE71" s="238"/>
      <c r="AF71" s="238"/>
      <c r="AG71" s="238"/>
      <c r="AH71" s="238"/>
      <c r="AI71" s="238"/>
      <c r="AJ71" s="238"/>
      <c r="AK71" s="238"/>
      <c r="AL71" s="238"/>
      <c r="AM71" s="238"/>
      <c r="AN71" s="238"/>
      <c r="AO71" s="238"/>
      <c r="AP71" s="238"/>
      <c r="AQ71" s="238"/>
      <c r="AR71" s="238"/>
      <c r="AS71" s="238"/>
      <c r="AT71" s="238"/>
      <c r="AU71" s="238"/>
      <c r="AV71" s="238"/>
      <c r="AW71" s="238"/>
      <c r="AX71" s="238"/>
      <c r="AY71" s="238"/>
      <c r="AZ71" s="238"/>
      <c r="BA71" s="238"/>
      <c r="BB71" s="238"/>
      <c r="BC71" s="238"/>
      <c r="BD71" s="238"/>
      <c r="BE71" s="238"/>
      <c r="BF71" s="238"/>
      <c r="BG71" s="238"/>
      <c r="BH71" s="238"/>
      <c r="BI71" s="238"/>
      <c r="BJ71" s="238"/>
      <c r="BK71" s="238"/>
      <c r="BL71" s="238"/>
      <c r="BM71" s="238"/>
      <c r="BN71" s="238"/>
      <c r="BO71" s="238"/>
      <c r="BP71" s="238"/>
      <c r="BQ71" s="238"/>
      <c r="BR71" s="238"/>
      <c r="BS71" s="238"/>
      <c r="BT71" s="238"/>
      <c r="BU71" s="238"/>
      <c r="BV71" s="238"/>
      <c r="BW71" s="238"/>
    </row>
    <row r="72" spans="1:75" s="136" customFormat="1" ht="15.75" customHeight="1">
      <c r="A72" s="802" t="s">
        <v>193</v>
      </c>
      <c r="B72" s="803"/>
      <c r="C72" s="259" t="s">
        <v>47</v>
      </c>
      <c r="D72" s="718" t="s">
        <v>12</v>
      </c>
      <c r="E72" s="719"/>
      <c r="F72" s="720"/>
      <c r="G72" s="718" t="s">
        <v>53</v>
      </c>
      <c r="H72" s="719"/>
      <c r="I72" s="720"/>
      <c r="J72" s="261" t="s">
        <v>54</v>
      </c>
      <c r="K72" s="261" t="s">
        <v>55</v>
      </c>
      <c r="L72" s="261" t="s">
        <v>56</v>
      </c>
      <c r="M72" s="261" t="s">
        <v>11</v>
      </c>
      <c r="N72" s="262" t="s">
        <v>335</v>
      </c>
      <c r="O72" s="811" t="s">
        <v>51</v>
      </c>
      <c r="P72" s="812"/>
      <c r="R72" s="238"/>
      <c r="S72" s="211"/>
      <c r="T72" s="211"/>
      <c r="U72" s="238"/>
      <c r="V72" s="238"/>
      <c r="W72" s="238"/>
      <c r="X72" s="238"/>
      <c r="Y72" s="238"/>
      <c r="Z72" s="238"/>
      <c r="AA72" s="238"/>
      <c r="AB72" s="238"/>
      <c r="AC72" s="238"/>
      <c r="AD72" s="238"/>
      <c r="AE72" s="238"/>
      <c r="AF72" s="238"/>
      <c r="AG72" s="238"/>
      <c r="AH72" s="238"/>
      <c r="AI72" s="238"/>
      <c r="AJ72" s="238"/>
    </row>
    <row r="73" spans="1:75" s="136" customFormat="1" ht="20.149999999999999" customHeight="1">
      <c r="A73" s="847">
        <v>2</v>
      </c>
      <c r="B73" s="850" t="s">
        <v>215</v>
      </c>
      <c r="C73" s="263">
        <v>1</v>
      </c>
      <c r="D73" s="244"/>
      <c r="E73" s="245"/>
      <c r="F73" s="246"/>
      <c r="G73" s="244"/>
      <c r="H73" s="245"/>
      <c r="I73" s="246"/>
      <c r="J73" s="264"/>
      <c r="K73" s="265"/>
      <c r="L73" s="264"/>
      <c r="M73" s="266">
        <f t="shared" ref="M73:M77" si="7">L73*J73</f>
        <v>0</v>
      </c>
      <c r="N73" s="267"/>
      <c r="O73" s="813"/>
      <c r="P73" s="814"/>
      <c r="R73" s="238"/>
      <c r="S73" s="268"/>
      <c r="T73" s="268"/>
      <c r="U73" s="238"/>
      <c r="V73" s="238"/>
      <c r="W73" s="238"/>
      <c r="X73" s="238"/>
      <c r="Y73" s="238"/>
      <c r="Z73" s="238"/>
      <c r="AA73" s="238"/>
      <c r="AB73" s="238"/>
      <c r="AC73" s="238"/>
      <c r="AD73" s="238"/>
      <c r="AE73" s="238"/>
      <c r="AF73" s="238"/>
      <c r="AG73" s="238"/>
      <c r="AH73" s="238"/>
      <c r="AI73" s="238"/>
      <c r="AJ73" s="238"/>
    </row>
    <row r="74" spans="1:75" s="136" customFormat="1" ht="20.149999999999999" customHeight="1">
      <c r="A74" s="848"/>
      <c r="B74" s="851"/>
      <c r="C74" s="263">
        <v>2</v>
      </c>
      <c r="D74" s="244"/>
      <c r="E74" s="245"/>
      <c r="F74" s="246"/>
      <c r="G74" s="244"/>
      <c r="H74" s="245"/>
      <c r="I74" s="246"/>
      <c r="J74" s="264"/>
      <c r="K74" s="265"/>
      <c r="L74" s="264"/>
      <c r="M74" s="266">
        <f t="shared" si="7"/>
        <v>0</v>
      </c>
      <c r="N74" s="267"/>
      <c r="O74" s="813"/>
      <c r="P74" s="814"/>
      <c r="R74" s="238"/>
      <c r="S74" s="211"/>
      <c r="T74" s="211"/>
      <c r="U74" s="238"/>
      <c r="V74" s="238"/>
      <c r="W74" s="238"/>
      <c r="X74" s="238"/>
      <c r="Y74" s="238"/>
      <c r="Z74" s="238"/>
      <c r="AA74" s="238"/>
      <c r="AB74" s="238"/>
      <c r="AC74" s="238"/>
      <c r="AD74" s="238"/>
      <c r="AE74" s="238"/>
      <c r="AF74" s="238"/>
      <c r="AG74" s="238"/>
      <c r="AH74" s="238"/>
      <c r="AI74" s="238"/>
      <c r="AJ74" s="238"/>
    </row>
    <row r="75" spans="1:75" s="136" customFormat="1" ht="20.149999999999999" customHeight="1">
      <c r="A75" s="848"/>
      <c r="B75" s="851"/>
      <c r="C75" s="263">
        <v>3</v>
      </c>
      <c r="D75" s="244"/>
      <c r="E75" s="245"/>
      <c r="F75" s="246"/>
      <c r="G75" s="244"/>
      <c r="H75" s="245"/>
      <c r="I75" s="275"/>
      <c r="J75" s="264"/>
      <c r="K75" s="265"/>
      <c r="L75" s="264"/>
      <c r="M75" s="266">
        <f t="shared" si="7"/>
        <v>0</v>
      </c>
      <c r="N75" s="267"/>
      <c r="O75" s="813"/>
      <c r="P75" s="814"/>
      <c r="R75" s="238"/>
      <c r="S75" s="268"/>
      <c r="T75" s="268"/>
      <c r="U75" s="238"/>
      <c r="V75" s="238"/>
      <c r="W75" s="238"/>
      <c r="X75" s="238"/>
      <c r="Y75" s="238"/>
      <c r="Z75" s="238"/>
      <c r="AA75" s="238"/>
      <c r="AB75" s="238"/>
      <c r="AC75" s="238"/>
      <c r="AD75" s="238"/>
      <c r="AE75" s="238"/>
      <c r="AF75" s="238"/>
      <c r="AG75" s="238"/>
      <c r="AH75" s="238"/>
    </row>
    <row r="76" spans="1:75" s="136" customFormat="1" ht="20.149999999999999" customHeight="1">
      <c r="A76" s="848"/>
      <c r="B76" s="851"/>
      <c r="C76" s="263">
        <v>4</v>
      </c>
      <c r="D76" s="244"/>
      <c r="E76" s="245"/>
      <c r="F76" s="246"/>
      <c r="G76" s="244"/>
      <c r="H76" s="245"/>
      <c r="I76" s="246"/>
      <c r="J76" s="264"/>
      <c r="K76" s="265"/>
      <c r="L76" s="264"/>
      <c r="M76" s="266">
        <f t="shared" si="7"/>
        <v>0</v>
      </c>
      <c r="N76" s="267"/>
      <c r="O76" s="813"/>
      <c r="P76" s="814"/>
      <c r="R76" s="238"/>
      <c r="S76" s="211"/>
      <c r="T76" s="211"/>
      <c r="U76" s="238"/>
      <c r="V76" s="238"/>
      <c r="W76" s="238"/>
      <c r="X76" s="238"/>
      <c r="Y76" s="238"/>
      <c r="Z76" s="238"/>
      <c r="AA76" s="238"/>
      <c r="AB76" s="238"/>
      <c r="AC76" s="238"/>
      <c r="AD76" s="238"/>
      <c r="AE76" s="238"/>
      <c r="AF76" s="238"/>
      <c r="AG76" s="238"/>
      <c r="AH76" s="238"/>
    </row>
    <row r="77" spans="1:75" s="136" customFormat="1" ht="20.149999999999999" customHeight="1" thickBot="1">
      <c r="A77" s="848"/>
      <c r="B77" s="851"/>
      <c r="C77" s="269">
        <v>5</v>
      </c>
      <c r="D77" s="251"/>
      <c r="E77" s="252"/>
      <c r="F77" s="253"/>
      <c r="G77" s="244"/>
      <c r="H77" s="245"/>
      <c r="I77" s="246"/>
      <c r="J77" s="270"/>
      <c r="K77" s="271"/>
      <c r="L77" s="270"/>
      <c r="M77" s="272">
        <f t="shared" si="7"/>
        <v>0</v>
      </c>
      <c r="N77" s="273"/>
      <c r="O77" s="813"/>
      <c r="P77" s="814"/>
      <c r="R77" s="238"/>
      <c r="S77" s="238"/>
      <c r="T77" s="238"/>
      <c r="U77" s="238"/>
      <c r="V77" s="238"/>
      <c r="W77" s="238"/>
      <c r="X77" s="238"/>
      <c r="Y77" s="238"/>
      <c r="Z77" s="238"/>
      <c r="AA77" s="238"/>
      <c r="AB77" s="238"/>
      <c r="AC77" s="238"/>
      <c r="AD77" s="238"/>
      <c r="AE77" s="238"/>
      <c r="AF77" s="238"/>
      <c r="AG77" s="238"/>
      <c r="AH77" s="238"/>
    </row>
    <row r="78" spans="1:75" s="136" customFormat="1" ht="15.75" customHeight="1" thickTop="1">
      <c r="A78" s="849"/>
      <c r="B78" s="852"/>
      <c r="C78" s="721"/>
      <c r="D78" s="722"/>
      <c r="E78" s="722"/>
      <c r="F78" s="722"/>
      <c r="G78" s="722"/>
      <c r="H78" s="722"/>
      <c r="I78" s="855"/>
      <c r="J78" s="256" t="s">
        <v>58</v>
      </c>
      <c r="K78" s="213">
        <f>M78/'生產管理報表 7-1 (週)'!$B$31</f>
        <v>0</v>
      </c>
      <c r="L78" s="256" t="s">
        <v>59</v>
      </c>
      <c r="M78" s="257">
        <f>SUM(M73:M77)</f>
        <v>0</v>
      </c>
      <c r="N78" s="815"/>
      <c r="O78" s="816"/>
      <c r="P78" s="817"/>
      <c r="R78" s="238"/>
      <c r="S78" s="238"/>
      <c r="T78" s="238"/>
      <c r="U78" s="238"/>
      <c r="V78" s="238"/>
      <c r="W78" s="238"/>
      <c r="X78" s="238"/>
      <c r="Y78" s="238"/>
      <c r="Z78" s="238"/>
      <c r="AA78" s="238"/>
      <c r="AB78" s="238"/>
      <c r="AC78" s="238"/>
      <c r="AD78" s="238"/>
      <c r="AE78" s="238"/>
      <c r="AF78" s="238"/>
      <c r="AG78" s="238"/>
      <c r="AH78" s="238"/>
    </row>
    <row r="79" spans="1:75" s="136" customFormat="1" ht="15.75" customHeight="1">
      <c r="B79" s="239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74"/>
      <c r="O79" s="274"/>
      <c r="P79" s="274"/>
      <c r="R79" s="238"/>
      <c r="S79" s="238"/>
      <c r="T79" s="238"/>
      <c r="U79" s="238"/>
      <c r="V79" s="238"/>
      <c r="W79" s="238"/>
      <c r="X79" s="238"/>
      <c r="Y79" s="238"/>
      <c r="Z79" s="238"/>
      <c r="AA79" s="238"/>
      <c r="AB79" s="238"/>
      <c r="AC79" s="238"/>
      <c r="AD79" s="238"/>
      <c r="AE79" s="238"/>
      <c r="AF79" s="238"/>
      <c r="AG79" s="238"/>
      <c r="AH79" s="238"/>
    </row>
    <row r="80" spans="1:75" s="136" customFormat="1" ht="15.75" customHeight="1">
      <c r="A80" s="802" t="s">
        <v>193</v>
      </c>
      <c r="B80" s="803"/>
      <c r="C80" s="259" t="s">
        <v>47</v>
      </c>
      <c r="D80" s="718" t="s">
        <v>12</v>
      </c>
      <c r="E80" s="719"/>
      <c r="F80" s="720"/>
      <c r="G80" s="718" t="s">
        <v>53</v>
      </c>
      <c r="H80" s="719"/>
      <c r="I80" s="846"/>
      <c r="J80" s="260" t="s">
        <v>54</v>
      </c>
      <c r="K80" s="261" t="s">
        <v>55</v>
      </c>
      <c r="L80" s="261" t="s">
        <v>56</v>
      </c>
      <c r="M80" s="261" t="s">
        <v>11</v>
      </c>
      <c r="N80" s="262" t="s">
        <v>335</v>
      </c>
      <c r="O80" s="809" t="s">
        <v>51</v>
      </c>
      <c r="P80" s="810"/>
      <c r="R80" s="238"/>
      <c r="S80" s="238"/>
      <c r="T80" s="238"/>
      <c r="U80" s="238"/>
      <c r="V80" s="238"/>
      <c r="W80" s="238"/>
      <c r="X80" s="238"/>
      <c r="Y80" s="238"/>
      <c r="Z80" s="238"/>
      <c r="AA80" s="238"/>
      <c r="AB80" s="238"/>
      <c r="AC80" s="238"/>
      <c r="AD80" s="238"/>
      <c r="AE80" s="238"/>
      <c r="AF80" s="238"/>
      <c r="AG80" s="238"/>
      <c r="AH80" s="238"/>
      <c r="AI80" s="238"/>
      <c r="AJ80" s="238"/>
    </row>
    <row r="81" spans="1:75" s="136" customFormat="1" ht="50.15" customHeight="1">
      <c r="A81" s="847">
        <v>3</v>
      </c>
      <c r="B81" s="850" t="s">
        <v>451</v>
      </c>
      <c r="C81" s="263">
        <v>1</v>
      </c>
      <c r="D81" s="244" t="s">
        <v>344</v>
      </c>
      <c r="E81" s="245"/>
      <c r="F81" s="246"/>
      <c r="G81" s="313" t="s">
        <v>494</v>
      </c>
      <c r="H81" s="312"/>
      <c r="I81" s="313"/>
      <c r="J81" s="264">
        <v>2.4499999999999997</v>
      </c>
      <c r="K81" s="265">
        <v>4.8416215329066137E-3</v>
      </c>
      <c r="L81" s="264">
        <v>708</v>
      </c>
      <c r="M81" s="336">
        <f t="shared" ref="M81:M85" si="8">L81*J81</f>
        <v>1734.6</v>
      </c>
      <c r="N81" s="277"/>
      <c r="O81" s="853" t="s">
        <v>532</v>
      </c>
      <c r="P81" s="854"/>
      <c r="R81" s="238"/>
      <c r="S81" s="439"/>
      <c r="T81" s="439"/>
      <c r="U81" s="238"/>
      <c r="V81" s="238"/>
      <c r="W81" s="238"/>
      <c r="X81" s="238"/>
      <c r="Y81" s="238"/>
      <c r="Z81" s="238"/>
      <c r="AA81" s="238"/>
      <c r="AB81" s="238"/>
      <c r="AC81" s="238"/>
      <c r="AD81" s="238"/>
      <c r="AE81" s="238"/>
      <c r="AF81" s="238"/>
      <c r="AG81" s="238"/>
      <c r="AH81" s="238"/>
      <c r="AI81" s="238"/>
      <c r="AJ81" s="238"/>
    </row>
    <row r="82" spans="1:75" s="136" customFormat="1" ht="50.15" customHeight="1">
      <c r="A82" s="848"/>
      <c r="B82" s="851"/>
      <c r="C82" s="263">
        <v>2</v>
      </c>
      <c r="D82" s="244" t="s">
        <v>344</v>
      </c>
      <c r="E82" s="245"/>
      <c r="F82" s="246"/>
      <c r="G82" s="313" t="s">
        <v>493</v>
      </c>
      <c r="H82" s="312"/>
      <c r="I82" s="313"/>
      <c r="J82" s="264">
        <v>1.17</v>
      </c>
      <c r="K82" s="265">
        <v>5.0818578524476623E-3</v>
      </c>
      <c r="L82" s="264">
        <v>1196</v>
      </c>
      <c r="M82" s="336">
        <f t="shared" si="8"/>
        <v>1399.32</v>
      </c>
      <c r="N82" s="277"/>
      <c r="O82" s="804" t="s">
        <v>691</v>
      </c>
      <c r="P82" s="805"/>
      <c r="R82" s="238"/>
      <c r="S82" s="439"/>
      <c r="T82" s="446"/>
      <c r="U82" s="238"/>
      <c r="V82" s="238"/>
      <c r="W82" s="238"/>
      <c r="X82" s="238"/>
      <c r="Y82" s="238"/>
      <c r="Z82" s="238"/>
      <c r="AA82" s="238"/>
      <c r="AB82" s="238"/>
      <c r="AC82" s="238"/>
      <c r="AD82" s="238"/>
      <c r="AE82" s="238"/>
      <c r="AF82" s="238"/>
      <c r="AG82" s="238"/>
      <c r="AH82" s="238"/>
      <c r="AI82" s="238"/>
      <c r="AJ82" s="238"/>
    </row>
    <row r="83" spans="1:75" s="136" customFormat="1" ht="50.15" customHeight="1">
      <c r="A83" s="848"/>
      <c r="B83" s="851"/>
      <c r="C83" s="263">
        <v>3</v>
      </c>
      <c r="D83" s="244"/>
      <c r="E83" s="245"/>
      <c r="F83" s="246"/>
      <c r="G83" s="370"/>
      <c r="H83" s="312"/>
      <c r="I83" s="458"/>
      <c r="J83" s="264"/>
      <c r="K83" s="265"/>
      <c r="L83" s="264"/>
      <c r="M83" s="336">
        <f t="shared" si="8"/>
        <v>0</v>
      </c>
      <c r="N83" s="277"/>
      <c r="O83" s="804"/>
      <c r="P83" s="805"/>
      <c r="R83" s="238"/>
      <c r="S83" s="439"/>
      <c r="T83" s="446"/>
      <c r="U83" s="238"/>
      <c r="V83" s="238"/>
      <c r="W83" s="238"/>
      <c r="X83" s="238"/>
      <c r="Y83" s="238"/>
      <c r="Z83" s="238"/>
      <c r="AA83" s="238"/>
      <c r="AB83" s="238"/>
      <c r="AC83" s="238"/>
      <c r="AD83" s="238"/>
      <c r="AE83" s="238"/>
      <c r="AF83" s="238"/>
      <c r="AG83" s="238"/>
      <c r="AH83" s="238"/>
      <c r="AI83" s="238"/>
      <c r="AJ83" s="238"/>
    </row>
    <row r="84" spans="1:75" s="136" customFormat="1" ht="50.15" customHeight="1">
      <c r="A84" s="848"/>
      <c r="B84" s="851"/>
      <c r="C84" s="263">
        <v>4</v>
      </c>
      <c r="D84" s="244"/>
      <c r="E84" s="245"/>
      <c r="F84" s="246"/>
      <c r="G84" s="384"/>
      <c r="H84" s="385"/>
      <c r="I84" s="386"/>
      <c r="J84" s="276"/>
      <c r="K84" s="265"/>
      <c r="L84" s="264"/>
      <c r="M84" s="336">
        <f t="shared" si="8"/>
        <v>0</v>
      </c>
      <c r="N84" s="277"/>
      <c r="O84" s="804"/>
      <c r="P84" s="805"/>
      <c r="R84" s="238"/>
      <c r="S84" s="238"/>
      <c r="T84"/>
      <c r="U84" s="238"/>
      <c r="V84" s="238"/>
      <c r="W84" s="238"/>
      <c r="X84" s="238"/>
      <c r="Y84" s="238"/>
      <c r="Z84" s="238"/>
      <c r="AA84" s="238"/>
      <c r="AB84" s="238"/>
      <c r="AC84" s="238"/>
      <c r="AD84" s="238"/>
      <c r="AE84" s="238"/>
      <c r="AF84" s="238"/>
      <c r="AG84" s="238"/>
      <c r="AH84" s="238"/>
      <c r="AI84" s="238"/>
      <c r="AJ84" s="238"/>
    </row>
    <row r="85" spans="1:75" s="136" customFormat="1" ht="30" customHeight="1" thickBot="1">
      <c r="A85" s="848"/>
      <c r="B85" s="851"/>
      <c r="C85" s="269">
        <v>5</v>
      </c>
      <c r="D85" s="251"/>
      <c r="E85" s="252"/>
      <c r="F85" s="253"/>
      <c r="G85" s="414"/>
      <c r="H85" s="415"/>
      <c r="I85" s="416"/>
      <c r="J85" s="279"/>
      <c r="K85" s="271"/>
      <c r="L85" s="280"/>
      <c r="M85" s="336">
        <f t="shared" si="8"/>
        <v>0</v>
      </c>
      <c r="N85" s="277"/>
      <c r="O85" s="804"/>
      <c r="P85" s="805"/>
      <c r="R85" s="238"/>
      <c r="S85" s="238"/>
      <c r="T85"/>
      <c r="U85" s="238"/>
      <c r="V85" s="238"/>
      <c r="W85" s="238"/>
      <c r="X85" s="238"/>
      <c r="Y85" s="238"/>
      <c r="Z85" s="238"/>
      <c r="AA85" s="238"/>
      <c r="AB85" s="238"/>
      <c r="AC85" s="238"/>
      <c r="AD85" s="238"/>
      <c r="AE85" s="238"/>
      <c r="AF85" s="238"/>
      <c r="AG85" s="238"/>
      <c r="AH85" s="238"/>
      <c r="AI85" s="238"/>
      <c r="AJ85" s="238"/>
    </row>
    <row r="86" spans="1:75" s="136" customFormat="1" ht="15.75" customHeight="1" thickTop="1">
      <c r="A86" s="849"/>
      <c r="B86" s="852"/>
      <c r="C86" s="721"/>
      <c r="D86" s="722"/>
      <c r="E86" s="722"/>
      <c r="F86" s="722"/>
      <c r="G86" s="722"/>
      <c r="H86" s="722"/>
      <c r="I86" s="855"/>
      <c r="J86" s="281" t="s">
        <v>58</v>
      </c>
      <c r="K86" s="213">
        <f>M86/'生產管理報表 7-1 (週)'!$B$31</f>
        <v>4.7212423111167599E-2</v>
      </c>
      <c r="L86" s="281" t="s">
        <v>59</v>
      </c>
      <c r="M86" s="337">
        <f>SUM(M81:M85)</f>
        <v>3133.92</v>
      </c>
      <c r="N86" s="806"/>
      <c r="O86" s="807"/>
      <c r="P86" s="808"/>
      <c r="R86" s="238"/>
      <c r="S86" s="238"/>
      <c r="T86"/>
      <c r="U86" s="238"/>
      <c r="V86" s="238"/>
      <c r="W86" s="238"/>
      <c r="X86" s="238"/>
      <c r="Y86" s="238"/>
      <c r="Z86" s="238"/>
      <c r="AA86" s="238"/>
      <c r="AB86" s="238"/>
      <c r="AC86" s="238"/>
      <c r="AD86" s="238"/>
      <c r="AE86" s="238"/>
      <c r="AF86" s="238"/>
      <c r="AG86" s="238"/>
      <c r="AH86" s="238"/>
      <c r="AI86" s="238"/>
      <c r="AJ86" s="238"/>
    </row>
    <row r="87" spans="1:75" s="136" customFormat="1" ht="15.75" customHeight="1">
      <c r="A87" s="866" t="s">
        <v>743</v>
      </c>
      <c r="B87" s="866"/>
      <c r="C87" s="866"/>
      <c r="D87" s="866"/>
      <c r="E87" s="866"/>
      <c r="F87" s="866"/>
      <c r="G87" s="866"/>
      <c r="H87" s="866"/>
      <c r="I87" s="866"/>
      <c r="J87" s="866"/>
      <c r="K87" s="866"/>
      <c r="L87" s="866"/>
      <c r="M87" s="866"/>
      <c r="R87" s="238"/>
      <c r="S87" s="238"/>
      <c r="T87" s="238"/>
      <c r="U87" s="238"/>
    </row>
    <row r="88" spans="1:75" s="137" customFormat="1" ht="15.75" customHeight="1">
      <c r="A88" s="799"/>
      <c r="B88" s="799"/>
      <c r="C88" s="799"/>
      <c r="D88" s="799"/>
      <c r="E88" s="799"/>
      <c r="F88" s="799"/>
      <c r="G88" s="799"/>
      <c r="H88" s="799"/>
      <c r="I88" s="799"/>
      <c r="J88" s="799"/>
      <c r="K88" s="799"/>
      <c r="L88" s="799"/>
      <c r="M88" s="799"/>
    </row>
    <row r="89" spans="1:75" s="136" customFormat="1" ht="15.75" customHeight="1">
      <c r="A89" s="800" t="s">
        <v>193</v>
      </c>
      <c r="B89" s="793">
        <v>1</v>
      </c>
      <c r="C89" s="794"/>
      <c r="D89" s="793">
        <v>2</v>
      </c>
      <c r="E89" s="794"/>
      <c r="F89" s="793">
        <v>3</v>
      </c>
      <c r="G89" s="794"/>
      <c r="H89" s="802">
        <v>4</v>
      </c>
      <c r="I89" s="803"/>
      <c r="J89" s="802">
        <v>5</v>
      </c>
      <c r="K89" s="803"/>
      <c r="L89" s="802">
        <v>6</v>
      </c>
      <c r="M89" s="803"/>
      <c r="N89" s="802">
        <v>7</v>
      </c>
      <c r="O89" s="803"/>
      <c r="P89" s="802">
        <v>8</v>
      </c>
      <c r="Q89" s="803"/>
      <c r="R89" s="238"/>
      <c r="S89" s="238"/>
      <c r="T89" s="238"/>
      <c r="U89" s="238"/>
    </row>
    <row r="90" spans="1:75" s="136" customFormat="1" ht="15.75" customHeight="1">
      <c r="A90" s="801"/>
      <c r="B90" s="795" t="s">
        <v>500</v>
      </c>
      <c r="C90" s="796"/>
      <c r="D90" s="795" t="s">
        <v>214</v>
      </c>
      <c r="E90" s="796"/>
      <c r="F90" s="795" t="s">
        <v>168</v>
      </c>
      <c r="G90" s="796"/>
      <c r="H90" s="797" t="s">
        <v>465</v>
      </c>
      <c r="I90" s="798"/>
      <c r="J90" s="797" t="s">
        <v>191</v>
      </c>
      <c r="K90" s="798"/>
      <c r="L90" s="797" t="s">
        <v>169</v>
      </c>
      <c r="M90" s="798"/>
      <c r="N90" s="797" t="s">
        <v>192</v>
      </c>
      <c r="O90" s="798"/>
      <c r="P90" s="856" t="s">
        <v>219</v>
      </c>
      <c r="Q90" s="857"/>
      <c r="R90" s="238"/>
      <c r="S90" s="238"/>
      <c r="T90" s="238"/>
      <c r="U90" s="238"/>
    </row>
    <row r="91" spans="1:75" s="136" customFormat="1" ht="15.75" customHeight="1">
      <c r="B91" s="239"/>
      <c r="C91" s="240"/>
      <c r="R91" s="238"/>
      <c r="S91" s="238"/>
      <c r="T91" s="238"/>
      <c r="U91" s="238"/>
    </row>
    <row r="92" spans="1:75" s="242" customFormat="1" ht="15.75" customHeight="1">
      <c r="A92" s="802" t="s">
        <v>193</v>
      </c>
      <c r="B92" s="803"/>
      <c r="C92" s="241" t="s">
        <v>47</v>
      </c>
      <c r="D92" s="858" t="s">
        <v>12</v>
      </c>
      <c r="E92" s="719"/>
      <c r="F92" s="846"/>
      <c r="G92" s="859" t="s">
        <v>53</v>
      </c>
      <c r="H92" s="860"/>
      <c r="I92" s="861"/>
      <c r="J92" s="241" t="s">
        <v>54</v>
      </c>
      <c r="K92" s="241" t="s">
        <v>55</v>
      </c>
      <c r="L92" s="241" t="s">
        <v>56</v>
      </c>
      <c r="M92" s="241" t="s">
        <v>11</v>
      </c>
      <c r="N92" s="241" t="s">
        <v>335</v>
      </c>
      <c r="O92" s="862" t="s">
        <v>51</v>
      </c>
      <c r="P92" s="863"/>
    </row>
    <row r="93" spans="1:75" s="136" customFormat="1" ht="50.15" customHeight="1">
      <c r="A93" s="847">
        <v>1</v>
      </c>
      <c r="B93" s="850" t="s">
        <v>501</v>
      </c>
      <c r="C93" s="243">
        <v>1</v>
      </c>
      <c r="D93" s="244" t="s">
        <v>479</v>
      </c>
      <c r="E93" s="245"/>
      <c r="F93" s="245"/>
      <c r="G93" s="383" t="s">
        <v>480</v>
      </c>
      <c r="H93" s="312"/>
      <c r="I93" s="313"/>
      <c r="J93" s="243">
        <v>181.61</v>
      </c>
      <c r="K93" s="249">
        <v>1.5398735468080767E-2</v>
      </c>
      <c r="L93" s="243">
        <v>6.04</v>
      </c>
      <c r="M93" s="333">
        <f>L93*J93</f>
        <v>1096.9244000000001</v>
      </c>
      <c r="N93" s="250"/>
      <c r="O93" s="784" t="s">
        <v>544</v>
      </c>
      <c r="P93" s="785"/>
      <c r="R93" s="238"/>
      <c r="S93" s="437"/>
      <c r="T93" s="268"/>
      <c r="U93" s="238"/>
    </row>
    <row r="94" spans="1:75" s="136" customFormat="1" ht="50.15" customHeight="1">
      <c r="A94" s="848"/>
      <c r="B94" s="851"/>
      <c r="C94" s="243">
        <v>2</v>
      </c>
      <c r="D94" s="244" t="s">
        <v>344</v>
      </c>
      <c r="E94" s="245"/>
      <c r="F94" s="245"/>
      <c r="G94" s="383" t="s">
        <v>436</v>
      </c>
      <c r="H94" s="312"/>
      <c r="I94" s="313"/>
      <c r="J94" s="243">
        <v>157.87</v>
      </c>
      <c r="K94" s="249">
        <v>4.3316955780607633E-3</v>
      </c>
      <c r="L94" s="243">
        <v>6.4799999999999995</v>
      </c>
      <c r="M94" s="333">
        <f t="shared" ref="M94:M97" si="9">L94*J94</f>
        <v>1022.9975999999999</v>
      </c>
      <c r="N94" s="250"/>
      <c r="O94" s="864" t="s">
        <v>544</v>
      </c>
      <c r="P94" s="854"/>
      <c r="R94" s="238"/>
      <c r="S94" s="438"/>
      <c r="T94" s="438"/>
      <c r="U94" s="238"/>
      <c r="V94" s="238"/>
      <c r="W94" s="238"/>
      <c r="X94" s="238"/>
      <c r="Y94" s="238"/>
      <c r="Z94" s="238"/>
      <c r="AA94" s="238"/>
      <c r="AB94" s="238"/>
      <c r="AC94" s="238"/>
      <c r="AD94" s="238"/>
      <c r="AE94" s="238"/>
      <c r="AF94" s="238"/>
      <c r="AG94" s="238"/>
      <c r="AH94" s="238"/>
      <c r="AI94" s="238"/>
      <c r="AJ94" s="238"/>
      <c r="AK94" s="238"/>
      <c r="AL94" s="238"/>
      <c r="AM94" s="238"/>
      <c r="AN94" s="238"/>
      <c r="AO94" s="238"/>
      <c r="AP94" s="238"/>
      <c r="AQ94" s="238"/>
      <c r="AR94" s="238"/>
      <c r="AS94" s="238"/>
      <c r="AT94" s="238"/>
      <c r="AU94" s="238"/>
      <c r="AV94" s="238"/>
      <c r="AW94" s="238"/>
      <c r="AX94" s="238"/>
      <c r="AY94" s="238"/>
      <c r="AZ94" s="238"/>
      <c r="BA94" s="238"/>
      <c r="BB94" s="238"/>
      <c r="BC94" s="238"/>
      <c r="BD94" s="238"/>
      <c r="BE94" s="238"/>
      <c r="BF94" s="238"/>
      <c r="BG94" s="238"/>
      <c r="BH94" s="238"/>
      <c r="BI94" s="238"/>
      <c r="BJ94" s="238"/>
      <c r="BK94" s="238"/>
      <c r="BL94" s="238"/>
      <c r="BM94" s="238"/>
      <c r="BN94" s="238"/>
      <c r="BO94" s="238"/>
      <c r="BP94" s="238"/>
      <c r="BQ94" s="238"/>
      <c r="BR94" s="238"/>
      <c r="BS94" s="238"/>
      <c r="BT94" s="238"/>
      <c r="BU94" s="238"/>
      <c r="BV94" s="238"/>
      <c r="BW94" s="238"/>
    </row>
    <row r="95" spans="1:75" s="136" customFormat="1" ht="50.15" customHeight="1">
      <c r="A95" s="848"/>
      <c r="B95" s="851"/>
      <c r="C95" s="243">
        <v>3</v>
      </c>
      <c r="D95" s="244" t="s">
        <v>346</v>
      </c>
      <c r="E95" s="245"/>
      <c r="F95" s="245"/>
      <c r="G95" s="383" t="s">
        <v>338</v>
      </c>
      <c r="H95" s="312"/>
      <c r="I95" s="313"/>
      <c r="J95" s="243">
        <v>141.66999999999999</v>
      </c>
      <c r="K95" s="249">
        <v>1.3329910344010426E-2</v>
      </c>
      <c r="L95" s="243">
        <v>6.75</v>
      </c>
      <c r="M95" s="333">
        <f t="shared" si="9"/>
        <v>956.27249999999992</v>
      </c>
      <c r="N95" s="250"/>
      <c r="O95" s="865" t="s">
        <v>554</v>
      </c>
      <c r="P95" s="805"/>
      <c r="R95" s="238"/>
      <c r="S95" s="437"/>
      <c r="T95" s="437"/>
      <c r="U95" s="238"/>
      <c r="V95" s="238"/>
      <c r="W95" s="238"/>
      <c r="X95" s="238"/>
      <c r="Y95" s="238"/>
      <c r="Z95" s="238"/>
      <c r="AA95" s="238"/>
      <c r="AB95" s="238"/>
      <c r="AC95" s="238"/>
      <c r="AD95" s="238"/>
      <c r="AE95" s="238"/>
      <c r="AF95" s="238"/>
      <c r="AG95" s="238"/>
      <c r="AH95" s="238"/>
      <c r="AI95" s="238"/>
      <c r="AJ95" s="238"/>
      <c r="AK95" s="238"/>
      <c r="AL95" s="238"/>
      <c r="AM95" s="238"/>
      <c r="AN95" s="238"/>
      <c r="AO95" s="238"/>
      <c r="AP95" s="238"/>
      <c r="AQ95" s="238"/>
      <c r="AR95" s="238"/>
      <c r="AS95" s="238"/>
      <c r="AT95" s="238"/>
      <c r="AU95" s="238"/>
      <c r="AV95" s="238"/>
      <c r="AW95" s="238"/>
      <c r="AX95" s="238"/>
      <c r="AY95" s="238"/>
      <c r="AZ95" s="238"/>
      <c r="BA95" s="238"/>
      <c r="BB95" s="238"/>
      <c r="BC95" s="238"/>
      <c r="BD95" s="238"/>
      <c r="BE95" s="238"/>
      <c r="BF95" s="238"/>
      <c r="BG95" s="238"/>
      <c r="BH95" s="238"/>
      <c r="BI95" s="238"/>
      <c r="BJ95" s="238"/>
      <c r="BK95" s="238"/>
      <c r="BL95" s="238"/>
      <c r="BM95" s="238"/>
      <c r="BN95" s="238"/>
      <c r="BO95" s="238"/>
      <c r="BP95" s="238"/>
      <c r="BQ95" s="238"/>
      <c r="BR95" s="238"/>
      <c r="BS95" s="238"/>
      <c r="BT95" s="238"/>
      <c r="BU95" s="238"/>
      <c r="BV95" s="238"/>
      <c r="BW95" s="238"/>
    </row>
    <row r="96" spans="1:75" s="136" customFormat="1" ht="50.15" customHeight="1">
      <c r="A96" s="848"/>
      <c r="B96" s="851"/>
      <c r="C96" s="243">
        <v>4</v>
      </c>
      <c r="D96" s="244" t="s">
        <v>462</v>
      </c>
      <c r="E96" s="245"/>
      <c r="F96" s="245"/>
      <c r="G96" s="383" t="s">
        <v>603</v>
      </c>
      <c r="H96" s="312"/>
      <c r="I96" s="313"/>
      <c r="J96" s="243">
        <v>345.84999999999997</v>
      </c>
      <c r="K96" s="249">
        <v>2.1744627054361566E-2</v>
      </c>
      <c r="L96" s="243">
        <v>2.58</v>
      </c>
      <c r="M96" s="333">
        <f t="shared" si="9"/>
        <v>892.29299999999989</v>
      </c>
      <c r="N96" s="250"/>
      <c r="O96" s="865" t="s">
        <v>770</v>
      </c>
      <c r="P96" s="805"/>
      <c r="R96" s="238"/>
      <c r="S96" s="438"/>
      <c r="T96" s="438"/>
      <c r="U96" s="238"/>
      <c r="V96" s="238"/>
      <c r="W96" s="238"/>
      <c r="X96" s="238"/>
      <c r="Y96" s="238"/>
      <c r="Z96" s="238"/>
      <c r="AA96" s="238"/>
      <c r="AB96" s="238"/>
      <c r="AC96" s="238"/>
      <c r="AD96" s="238"/>
      <c r="AE96" s="238"/>
      <c r="AF96" s="238"/>
      <c r="AG96" s="238"/>
      <c r="AH96" s="238"/>
      <c r="AI96" s="238"/>
      <c r="AJ96" s="238"/>
      <c r="AK96" s="238"/>
      <c r="AL96" s="238"/>
      <c r="AM96" s="238"/>
      <c r="AN96" s="238"/>
      <c r="AO96" s="238"/>
      <c r="AP96" s="238"/>
      <c r="AQ96" s="238"/>
      <c r="AR96" s="238"/>
      <c r="AS96" s="238"/>
      <c r="AT96" s="238"/>
      <c r="AU96" s="238"/>
      <c r="AV96" s="238"/>
      <c r="AW96" s="238"/>
      <c r="AX96" s="238"/>
      <c r="AY96" s="238"/>
      <c r="AZ96" s="238"/>
      <c r="BA96" s="238"/>
      <c r="BB96" s="238"/>
      <c r="BC96" s="238"/>
      <c r="BD96" s="238"/>
      <c r="BE96" s="238"/>
      <c r="BF96" s="238"/>
      <c r="BG96" s="238"/>
      <c r="BH96" s="238"/>
      <c r="BI96" s="238"/>
      <c r="BJ96" s="238"/>
      <c r="BK96" s="238"/>
      <c r="BL96" s="238"/>
      <c r="BM96" s="238"/>
      <c r="BN96" s="238"/>
      <c r="BO96" s="238"/>
      <c r="BP96" s="238"/>
      <c r="BQ96" s="238"/>
      <c r="BR96" s="238"/>
      <c r="BS96" s="238"/>
      <c r="BT96" s="238"/>
      <c r="BU96" s="238"/>
      <c r="BV96" s="238"/>
      <c r="BW96" s="238"/>
    </row>
    <row r="97" spans="1:75" s="136" customFormat="1" ht="50.15" customHeight="1" thickBot="1">
      <c r="A97" s="848"/>
      <c r="B97" s="851"/>
      <c r="C97" s="243">
        <v>5</v>
      </c>
      <c r="D97" s="251" t="s">
        <v>360</v>
      </c>
      <c r="E97" s="252"/>
      <c r="F97" s="252"/>
      <c r="G97" s="383" t="s">
        <v>368</v>
      </c>
      <c r="H97" s="312"/>
      <c r="I97" s="313"/>
      <c r="J97" s="254">
        <v>253.92</v>
      </c>
      <c r="K97" s="255">
        <v>1.5576880160678418E-2</v>
      </c>
      <c r="L97" s="254">
        <v>3.4899999999999998</v>
      </c>
      <c r="M97" s="334">
        <f t="shared" si="9"/>
        <v>886.18079999999986</v>
      </c>
      <c r="N97" s="250"/>
      <c r="O97" s="865" t="s">
        <v>745</v>
      </c>
      <c r="P97" s="805"/>
      <c r="R97" s="238"/>
      <c r="S97" s="437"/>
      <c r="T97" s="268"/>
      <c r="U97" s="238"/>
      <c r="V97" s="439"/>
      <c r="W97" s="238"/>
      <c r="X97" s="238"/>
      <c r="Y97" s="238"/>
      <c r="Z97" s="238"/>
      <c r="AA97" s="238"/>
      <c r="AB97" s="238"/>
      <c r="AC97" s="238"/>
      <c r="AD97" s="238"/>
      <c r="AE97" s="238"/>
      <c r="AF97" s="238"/>
      <c r="AG97" s="238"/>
      <c r="AH97" s="238"/>
      <c r="AI97" s="238"/>
      <c r="AJ97" s="238"/>
      <c r="AK97" s="238"/>
      <c r="AL97" s="238"/>
      <c r="AM97" s="238"/>
      <c r="AN97" s="238"/>
      <c r="AO97" s="238"/>
      <c r="AP97" s="238"/>
      <c r="AQ97" s="238"/>
      <c r="AR97" s="238"/>
      <c r="AS97" s="238"/>
      <c r="AT97" s="238"/>
      <c r="AU97" s="238"/>
      <c r="AV97" s="238"/>
      <c r="AW97" s="238"/>
      <c r="AX97" s="238"/>
      <c r="AY97" s="238"/>
      <c r="AZ97" s="238"/>
      <c r="BA97" s="238"/>
      <c r="BB97" s="238"/>
      <c r="BC97" s="238"/>
      <c r="BD97" s="238"/>
      <c r="BE97" s="238"/>
      <c r="BF97" s="238"/>
      <c r="BG97" s="238"/>
      <c r="BH97" s="238"/>
      <c r="BI97" s="238"/>
      <c r="BJ97" s="238"/>
      <c r="BK97" s="238"/>
      <c r="BL97" s="238"/>
      <c r="BM97" s="238"/>
      <c r="BN97" s="238"/>
      <c r="BO97" s="238"/>
      <c r="BP97" s="238"/>
      <c r="BQ97" s="238"/>
      <c r="BR97" s="238"/>
      <c r="BS97" s="238"/>
      <c r="BT97" s="238"/>
      <c r="BU97" s="238"/>
      <c r="BV97" s="238"/>
      <c r="BW97" s="238"/>
    </row>
    <row r="98" spans="1:75" s="136" customFormat="1" ht="15.75" customHeight="1" thickTop="1">
      <c r="A98" s="849"/>
      <c r="B98" s="852"/>
      <c r="C98" s="721"/>
      <c r="D98" s="722"/>
      <c r="E98" s="722"/>
      <c r="F98" s="722"/>
      <c r="G98" s="722"/>
      <c r="H98" s="722"/>
      <c r="I98" s="855"/>
      <c r="J98" s="256" t="s">
        <v>58</v>
      </c>
      <c r="K98" s="213">
        <f>M98/'生產管理報表 7-1 (週)'!$B$42</f>
        <v>7.2465815759352709E-2</v>
      </c>
      <c r="L98" s="256" t="s">
        <v>59</v>
      </c>
      <c r="M98" s="335">
        <f>SUM(M93:M97)</f>
        <v>4854.6683000000003</v>
      </c>
      <c r="N98" s="820"/>
      <c r="O98" s="821"/>
      <c r="P98" s="822"/>
      <c r="R98" s="238"/>
      <c r="S98" s="211"/>
      <c r="T98" s="211"/>
      <c r="U98" s="238"/>
      <c r="V98" s="238"/>
      <c r="W98" s="238"/>
      <c r="X98" s="238"/>
      <c r="Y98" s="238"/>
      <c r="Z98" s="238"/>
      <c r="AA98" s="238"/>
      <c r="AB98" s="238"/>
      <c r="AC98" s="238"/>
      <c r="AD98" s="238"/>
      <c r="AE98" s="238"/>
      <c r="AF98" s="238"/>
      <c r="AG98" s="238"/>
      <c r="AH98" s="238"/>
      <c r="AI98" s="238"/>
      <c r="AJ98" s="238"/>
      <c r="AK98" s="238"/>
      <c r="AL98" s="238"/>
      <c r="AM98" s="238"/>
      <c r="AN98" s="238"/>
      <c r="AO98" s="238"/>
      <c r="AP98" s="238"/>
      <c r="AQ98" s="238"/>
      <c r="AR98" s="238"/>
      <c r="AS98" s="238"/>
      <c r="AT98" s="238"/>
      <c r="AU98" s="238"/>
      <c r="AV98" s="238"/>
      <c r="AW98" s="238"/>
      <c r="AX98" s="238"/>
      <c r="AY98" s="238"/>
      <c r="AZ98" s="238"/>
      <c r="BA98" s="238"/>
      <c r="BB98" s="238"/>
      <c r="BC98" s="238"/>
      <c r="BD98" s="238"/>
      <c r="BE98" s="238"/>
      <c r="BF98" s="238"/>
      <c r="BG98" s="238"/>
      <c r="BH98" s="238"/>
      <c r="BI98" s="238"/>
      <c r="BJ98" s="238"/>
      <c r="BK98" s="238"/>
      <c r="BL98" s="238"/>
      <c r="BM98" s="238"/>
      <c r="BN98" s="238"/>
      <c r="BO98" s="238"/>
      <c r="BP98" s="238"/>
      <c r="BQ98" s="238"/>
      <c r="BR98" s="238"/>
      <c r="BS98" s="238"/>
      <c r="BT98" s="238"/>
      <c r="BU98" s="238"/>
      <c r="BV98" s="238"/>
      <c r="BW98" s="238"/>
    </row>
    <row r="99" spans="1:75" s="136" customFormat="1" ht="15.75" customHeight="1">
      <c r="B99" s="239"/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58"/>
      <c r="O99" s="258"/>
      <c r="P99" s="258"/>
      <c r="R99" s="238"/>
      <c r="S99" s="268"/>
      <c r="T99" s="268"/>
      <c r="U99" s="238"/>
      <c r="V99" s="238"/>
      <c r="W99" s="238"/>
      <c r="X99" s="238"/>
      <c r="Y99" s="238"/>
      <c r="Z99" s="238"/>
      <c r="AA99" s="238"/>
      <c r="AB99" s="238"/>
      <c r="AC99" s="238"/>
      <c r="AD99" s="238"/>
      <c r="AE99" s="238"/>
      <c r="AF99" s="238"/>
      <c r="AG99" s="238"/>
      <c r="AH99" s="238"/>
      <c r="AI99" s="238"/>
      <c r="AJ99" s="238"/>
      <c r="AK99" s="238"/>
      <c r="AL99" s="238"/>
      <c r="AM99" s="238"/>
      <c r="AN99" s="238"/>
      <c r="AO99" s="238"/>
      <c r="AP99" s="238"/>
      <c r="AQ99" s="238"/>
      <c r="AR99" s="238"/>
      <c r="AS99" s="238"/>
      <c r="AT99" s="238"/>
      <c r="AU99" s="238"/>
      <c r="AV99" s="238"/>
      <c r="AW99" s="238"/>
      <c r="AX99" s="238"/>
      <c r="AY99" s="238"/>
      <c r="AZ99" s="238"/>
      <c r="BA99" s="238"/>
      <c r="BB99" s="238"/>
      <c r="BC99" s="238"/>
      <c r="BD99" s="238"/>
      <c r="BE99" s="238"/>
      <c r="BF99" s="238"/>
      <c r="BG99" s="238"/>
      <c r="BH99" s="238"/>
      <c r="BI99" s="238"/>
      <c r="BJ99" s="238"/>
      <c r="BK99" s="238"/>
      <c r="BL99" s="238"/>
      <c r="BM99" s="238"/>
      <c r="BN99" s="238"/>
      <c r="BO99" s="238"/>
      <c r="BP99" s="238"/>
      <c r="BQ99" s="238"/>
      <c r="BR99" s="238"/>
      <c r="BS99" s="238"/>
      <c r="BT99" s="238"/>
      <c r="BU99" s="238"/>
      <c r="BV99" s="238"/>
      <c r="BW99" s="238"/>
    </row>
    <row r="100" spans="1:75" s="136" customFormat="1" ht="15.75" customHeight="1">
      <c r="A100" s="802" t="s">
        <v>193</v>
      </c>
      <c r="B100" s="803"/>
      <c r="C100" s="259" t="s">
        <v>47</v>
      </c>
      <c r="D100" s="718" t="s">
        <v>12</v>
      </c>
      <c r="E100" s="719"/>
      <c r="F100" s="720"/>
      <c r="G100" s="718" t="s">
        <v>53</v>
      </c>
      <c r="H100" s="719"/>
      <c r="I100" s="720"/>
      <c r="J100" s="261" t="s">
        <v>54</v>
      </c>
      <c r="K100" s="261" t="s">
        <v>55</v>
      </c>
      <c r="L100" s="261" t="s">
        <v>56</v>
      </c>
      <c r="M100" s="261" t="s">
        <v>11</v>
      </c>
      <c r="N100" s="262" t="s">
        <v>335</v>
      </c>
      <c r="O100" s="811" t="s">
        <v>51</v>
      </c>
      <c r="P100" s="812"/>
      <c r="R100" s="238"/>
      <c r="S100" s="211"/>
      <c r="T100" s="211"/>
      <c r="U100" s="238"/>
      <c r="V100" s="238"/>
      <c r="W100" s="238"/>
      <c r="X100" s="238"/>
      <c r="Y100" s="238"/>
      <c r="Z100" s="238"/>
      <c r="AA100" s="238"/>
      <c r="AB100" s="238"/>
      <c r="AC100" s="238"/>
      <c r="AD100" s="238"/>
      <c r="AE100" s="238"/>
      <c r="AF100" s="238"/>
      <c r="AG100" s="238"/>
      <c r="AH100" s="238"/>
      <c r="AI100" s="238"/>
      <c r="AJ100" s="238"/>
    </row>
    <row r="101" spans="1:75" s="136" customFormat="1" ht="20.149999999999999" customHeight="1">
      <c r="A101" s="847">
        <v>2</v>
      </c>
      <c r="B101" s="850" t="s">
        <v>215</v>
      </c>
      <c r="C101" s="263">
        <v>1</v>
      </c>
      <c r="D101" s="244"/>
      <c r="E101" s="245"/>
      <c r="F101" s="246"/>
      <c r="G101" s="244"/>
      <c r="H101" s="245"/>
      <c r="I101" s="246"/>
      <c r="J101" s="264"/>
      <c r="K101" s="265"/>
      <c r="L101" s="264"/>
      <c r="M101" s="266">
        <f t="shared" ref="M101:M105" si="10">L101*J101</f>
        <v>0</v>
      </c>
      <c r="N101" s="267"/>
      <c r="O101" s="813"/>
      <c r="P101" s="814"/>
      <c r="R101" s="238"/>
      <c r="S101" s="268"/>
      <c r="T101" s="268"/>
      <c r="U101" s="238"/>
      <c r="V101" s="238"/>
      <c r="W101" s="238"/>
      <c r="X101" s="238"/>
      <c r="Y101" s="238"/>
      <c r="Z101" s="238"/>
      <c r="AA101" s="238"/>
      <c r="AB101" s="238"/>
      <c r="AC101" s="238"/>
      <c r="AD101" s="238"/>
      <c r="AE101" s="238"/>
      <c r="AF101" s="238"/>
      <c r="AG101" s="238"/>
      <c r="AH101" s="238"/>
      <c r="AI101" s="238"/>
      <c r="AJ101" s="238"/>
    </row>
    <row r="102" spans="1:75" s="136" customFormat="1" ht="20.149999999999999" customHeight="1">
      <c r="A102" s="848"/>
      <c r="B102" s="851"/>
      <c r="C102" s="263">
        <v>2</v>
      </c>
      <c r="D102" s="244"/>
      <c r="E102" s="245"/>
      <c r="F102" s="246"/>
      <c r="G102" s="244"/>
      <c r="H102" s="245"/>
      <c r="I102" s="246"/>
      <c r="J102" s="264"/>
      <c r="K102" s="265"/>
      <c r="L102" s="264"/>
      <c r="M102" s="266">
        <f t="shared" si="10"/>
        <v>0</v>
      </c>
      <c r="N102" s="267"/>
      <c r="O102" s="813"/>
      <c r="P102" s="814"/>
      <c r="R102" s="238"/>
      <c r="S102" s="211"/>
      <c r="T102" s="211"/>
      <c r="U102" s="238"/>
      <c r="V102" s="238"/>
      <c r="W102" s="238"/>
      <c r="X102" s="238"/>
      <c r="Y102" s="238"/>
      <c r="Z102" s="238"/>
      <c r="AA102" s="238"/>
      <c r="AB102" s="238"/>
      <c r="AC102" s="238"/>
      <c r="AD102" s="238"/>
      <c r="AE102" s="238"/>
      <c r="AF102" s="238"/>
      <c r="AG102" s="238"/>
      <c r="AH102" s="238"/>
      <c r="AI102" s="238"/>
      <c r="AJ102" s="238"/>
    </row>
    <row r="103" spans="1:75" s="136" customFormat="1" ht="20.149999999999999" customHeight="1">
      <c r="A103" s="848"/>
      <c r="B103" s="851"/>
      <c r="C103" s="263">
        <v>3</v>
      </c>
      <c r="D103" s="244"/>
      <c r="E103" s="245"/>
      <c r="F103" s="246"/>
      <c r="G103" s="244"/>
      <c r="H103" s="245"/>
      <c r="I103" s="275"/>
      <c r="J103" s="264"/>
      <c r="K103" s="265"/>
      <c r="L103" s="264"/>
      <c r="M103" s="266">
        <f t="shared" si="10"/>
        <v>0</v>
      </c>
      <c r="N103" s="267"/>
      <c r="O103" s="813"/>
      <c r="P103" s="814"/>
      <c r="R103" s="238"/>
      <c r="S103" s="268"/>
      <c r="T103" s="268"/>
      <c r="U103" s="238"/>
      <c r="V103" s="238"/>
      <c r="W103" s="238"/>
      <c r="X103" s="238"/>
      <c r="Y103" s="238"/>
      <c r="Z103" s="238"/>
      <c r="AA103" s="238"/>
      <c r="AB103" s="238"/>
      <c r="AC103" s="238"/>
      <c r="AD103" s="238"/>
      <c r="AE103" s="238"/>
      <c r="AF103" s="238"/>
      <c r="AG103" s="238"/>
      <c r="AH103" s="238"/>
    </row>
    <row r="104" spans="1:75" s="136" customFormat="1" ht="20.149999999999999" customHeight="1">
      <c r="A104" s="848"/>
      <c r="B104" s="851"/>
      <c r="C104" s="263">
        <v>4</v>
      </c>
      <c r="D104" s="244"/>
      <c r="E104" s="245"/>
      <c r="F104" s="246"/>
      <c r="G104" s="244"/>
      <c r="H104" s="245"/>
      <c r="I104" s="246"/>
      <c r="J104" s="264"/>
      <c r="K104" s="265"/>
      <c r="L104" s="264"/>
      <c r="M104" s="266">
        <f t="shared" si="10"/>
        <v>0</v>
      </c>
      <c r="N104" s="267"/>
      <c r="O104" s="813"/>
      <c r="P104" s="814"/>
      <c r="R104" s="238"/>
      <c r="S104" s="211"/>
      <c r="T104" s="211"/>
      <c r="U104" s="238"/>
      <c r="V104" s="238"/>
      <c r="W104" s="238"/>
      <c r="X104" s="238"/>
      <c r="Y104" s="238"/>
      <c r="Z104" s="238"/>
      <c r="AA104" s="238"/>
      <c r="AB104" s="238"/>
      <c r="AC104" s="238"/>
      <c r="AD104" s="238"/>
      <c r="AE104" s="238"/>
      <c r="AF104" s="238"/>
      <c r="AG104" s="238"/>
      <c r="AH104" s="238"/>
    </row>
    <row r="105" spans="1:75" s="136" customFormat="1" ht="20.149999999999999" customHeight="1" thickBot="1">
      <c r="A105" s="848"/>
      <c r="B105" s="851"/>
      <c r="C105" s="269">
        <v>5</v>
      </c>
      <c r="D105" s="251"/>
      <c r="E105" s="252"/>
      <c r="F105" s="253"/>
      <c r="G105" s="244"/>
      <c r="H105" s="245"/>
      <c r="I105" s="246"/>
      <c r="J105" s="270"/>
      <c r="K105" s="271"/>
      <c r="L105" s="270"/>
      <c r="M105" s="272">
        <f t="shared" si="10"/>
        <v>0</v>
      </c>
      <c r="N105" s="273"/>
      <c r="O105" s="813"/>
      <c r="P105" s="814"/>
      <c r="R105" s="238"/>
      <c r="S105" s="238"/>
      <c r="T105" s="238"/>
      <c r="U105" s="238"/>
      <c r="V105" s="238"/>
      <c r="W105" s="238"/>
      <c r="X105" s="238"/>
      <c r="Y105" s="238"/>
      <c r="Z105" s="238"/>
      <c r="AA105" s="238"/>
      <c r="AB105" s="238"/>
      <c r="AC105" s="238"/>
      <c r="AD105" s="238"/>
      <c r="AE105" s="238"/>
      <c r="AF105" s="238"/>
      <c r="AG105" s="238"/>
      <c r="AH105" s="238"/>
    </row>
    <row r="106" spans="1:75" s="136" customFormat="1" ht="15.75" customHeight="1" thickTop="1">
      <c r="A106" s="849"/>
      <c r="B106" s="852"/>
      <c r="C106" s="721"/>
      <c r="D106" s="722"/>
      <c r="E106" s="722"/>
      <c r="F106" s="722"/>
      <c r="G106" s="722"/>
      <c r="H106" s="722"/>
      <c r="I106" s="855"/>
      <c r="J106" s="256" t="s">
        <v>58</v>
      </c>
      <c r="K106" s="213">
        <f>M106/'生產管理報表 7-1 (週)'!$B$42</f>
        <v>0</v>
      </c>
      <c r="L106" s="256" t="s">
        <v>59</v>
      </c>
      <c r="M106" s="257">
        <f>SUM(M101:M105)</f>
        <v>0</v>
      </c>
      <c r="N106" s="815"/>
      <c r="O106" s="816"/>
      <c r="P106" s="817"/>
      <c r="R106" s="238"/>
      <c r="S106" s="238"/>
      <c r="T106" s="238"/>
      <c r="U106" s="238"/>
      <c r="V106" s="238"/>
      <c r="W106" s="238"/>
      <c r="X106" s="238"/>
      <c r="Y106" s="238"/>
      <c r="Z106" s="238"/>
      <c r="AA106" s="238"/>
      <c r="AB106" s="238"/>
      <c r="AC106" s="238"/>
      <c r="AD106" s="238"/>
      <c r="AE106" s="238"/>
      <c r="AF106" s="238"/>
      <c r="AG106" s="238"/>
      <c r="AH106" s="238"/>
    </row>
    <row r="107" spans="1:75" s="136" customFormat="1" ht="15.75" customHeight="1">
      <c r="B107" s="239"/>
      <c r="C107" s="240"/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74"/>
      <c r="O107" s="274"/>
      <c r="P107" s="274"/>
      <c r="R107" s="238"/>
      <c r="S107" s="238"/>
      <c r="T107" s="238"/>
      <c r="U107" s="238"/>
      <c r="V107" s="238"/>
      <c r="W107" s="238"/>
      <c r="X107" s="238"/>
      <c r="Y107" s="238"/>
      <c r="Z107" s="238"/>
      <c r="AA107" s="238"/>
      <c r="AB107" s="238"/>
      <c r="AC107" s="238"/>
      <c r="AD107" s="238"/>
      <c r="AE107" s="238"/>
      <c r="AF107" s="238"/>
      <c r="AG107" s="238"/>
      <c r="AH107" s="238"/>
    </row>
    <row r="108" spans="1:75" s="136" customFormat="1" ht="15.75" customHeight="1">
      <c r="A108" s="802" t="s">
        <v>193</v>
      </c>
      <c r="B108" s="803"/>
      <c r="C108" s="259" t="s">
        <v>47</v>
      </c>
      <c r="D108" s="718" t="s">
        <v>12</v>
      </c>
      <c r="E108" s="719"/>
      <c r="F108" s="720"/>
      <c r="G108" s="718" t="s">
        <v>53</v>
      </c>
      <c r="H108" s="719"/>
      <c r="I108" s="846"/>
      <c r="J108" s="260" t="s">
        <v>54</v>
      </c>
      <c r="K108" s="261" t="s">
        <v>55</v>
      </c>
      <c r="L108" s="261" t="s">
        <v>56</v>
      </c>
      <c r="M108" s="261" t="s">
        <v>11</v>
      </c>
      <c r="N108" s="262" t="s">
        <v>335</v>
      </c>
      <c r="O108" s="809" t="s">
        <v>51</v>
      </c>
      <c r="P108" s="810"/>
      <c r="R108" s="238"/>
      <c r="S108" s="238"/>
      <c r="T108" s="238"/>
      <c r="U108" s="238"/>
      <c r="V108" s="238"/>
      <c r="W108" s="238"/>
      <c r="X108" s="238"/>
      <c r="Y108" s="238"/>
      <c r="Z108" s="238"/>
      <c r="AA108" s="238"/>
      <c r="AB108" s="238"/>
      <c r="AC108" s="238"/>
      <c r="AD108" s="238"/>
      <c r="AE108" s="238"/>
      <c r="AF108" s="238"/>
      <c r="AG108" s="238"/>
      <c r="AH108" s="238"/>
      <c r="AI108" s="238"/>
      <c r="AJ108" s="238"/>
    </row>
    <row r="109" spans="1:75" s="136" customFormat="1" ht="50.15" customHeight="1">
      <c r="A109" s="847">
        <v>3</v>
      </c>
      <c r="B109" s="850" t="s">
        <v>451</v>
      </c>
      <c r="C109" s="263">
        <v>1</v>
      </c>
      <c r="D109" s="244" t="s">
        <v>344</v>
      </c>
      <c r="E109" s="245"/>
      <c r="F109" s="246"/>
      <c r="G109" s="313" t="s">
        <v>494</v>
      </c>
      <c r="H109" s="312"/>
      <c r="I109" s="313"/>
      <c r="J109" s="264">
        <v>2.4499999999999997</v>
      </c>
      <c r="K109" s="265">
        <v>4.0722830236701452E-3</v>
      </c>
      <c r="L109" s="264">
        <v>512</v>
      </c>
      <c r="M109" s="336">
        <f t="shared" ref="M109:M113" si="11">L109*J109</f>
        <v>1254.3999999999999</v>
      </c>
      <c r="N109" s="277"/>
      <c r="O109" s="853" t="s">
        <v>532</v>
      </c>
      <c r="P109" s="854"/>
      <c r="R109" s="238"/>
      <c r="S109" s="439"/>
      <c r="T109" s="439"/>
      <c r="U109" s="238"/>
      <c r="V109" s="238"/>
      <c r="W109" s="238"/>
      <c r="X109" s="238"/>
      <c r="Y109" s="238"/>
      <c r="Z109" s="238"/>
      <c r="AA109" s="238"/>
      <c r="AB109" s="238"/>
      <c r="AC109" s="238"/>
      <c r="AD109" s="238"/>
      <c r="AE109" s="238"/>
      <c r="AF109" s="238"/>
      <c r="AG109" s="238"/>
      <c r="AH109" s="238"/>
      <c r="AI109" s="238"/>
      <c r="AJ109" s="238"/>
    </row>
    <row r="110" spans="1:75" s="136" customFormat="1" ht="50.15" customHeight="1">
      <c r="A110" s="848"/>
      <c r="B110" s="851"/>
      <c r="C110" s="263">
        <v>2</v>
      </c>
      <c r="D110" s="244" t="s">
        <v>344</v>
      </c>
      <c r="E110" s="245"/>
      <c r="F110" s="246"/>
      <c r="G110" s="313" t="s">
        <v>493</v>
      </c>
      <c r="H110" s="312"/>
      <c r="I110" s="313"/>
      <c r="J110" s="264">
        <v>1.17</v>
      </c>
      <c r="K110" s="265">
        <v>4.2594311434347547E-3</v>
      </c>
      <c r="L110" s="264">
        <v>1005</v>
      </c>
      <c r="M110" s="336">
        <f t="shared" si="11"/>
        <v>1175.8499999999999</v>
      </c>
      <c r="N110" s="277"/>
      <c r="O110" s="804" t="s">
        <v>691</v>
      </c>
      <c r="P110" s="805"/>
      <c r="R110" s="238"/>
      <c r="S110" s="439"/>
      <c r="T110" s="446"/>
      <c r="U110" s="238"/>
      <c r="V110" s="238"/>
      <c r="W110" s="238"/>
      <c r="X110" s="238"/>
      <c r="Y110" s="238"/>
      <c r="Z110" s="238"/>
      <c r="AA110" s="238"/>
      <c r="AB110" s="238"/>
      <c r="AC110" s="238"/>
      <c r="AD110" s="238"/>
      <c r="AE110" s="238"/>
      <c r="AF110" s="238"/>
      <c r="AG110" s="238"/>
      <c r="AH110" s="238"/>
      <c r="AI110" s="238"/>
      <c r="AJ110" s="238"/>
    </row>
    <row r="111" spans="1:75" s="136" customFormat="1" ht="50.15" customHeight="1">
      <c r="A111" s="848"/>
      <c r="B111" s="851"/>
      <c r="C111" s="263">
        <v>3</v>
      </c>
      <c r="D111" s="244"/>
      <c r="E111" s="245"/>
      <c r="F111" s="246"/>
      <c r="G111" s="384"/>
      <c r="H111" s="385"/>
      <c r="I111" s="419"/>
      <c r="J111" s="264"/>
      <c r="K111" s="265"/>
      <c r="L111" s="264"/>
      <c r="M111" s="336">
        <f t="shared" si="11"/>
        <v>0</v>
      </c>
      <c r="N111" s="277"/>
      <c r="O111" s="804"/>
      <c r="P111" s="805"/>
      <c r="R111" s="238"/>
      <c r="S111" s="439"/>
      <c r="T111" s="446"/>
      <c r="U111" s="238"/>
      <c r="V111" s="238"/>
      <c r="W111" s="238"/>
      <c r="X111" s="238"/>
      <c r="Y111" s="238"/>
      <c r="Z111" s="238"/>
      <c r="AA111" s="238"/>
      <c r="AB111" s="238"/>
      <c r="AC111" s="238"/>
      <c r="AD111" s="238"/>
      <c r="AE111" s="238"/>
      <c r="AF111" s="238"/>
      <c r="AG111" s="238"/>
      <c r="AH111" s="238"/>
      <c r="AI111" s="238"/>
      <c r="AJ111" s="238"/>
    </row>
    <row r="112" spans="1:75" s="136" customFormat="1" ht="50.15" customHeight="1">
      <c r="A112" s="848"/>
      <c r="B112" s="851"/>
      <c r="C112" s="263">
        <v>4</v>
      </c>
      <c r="D112" s="244"/>
      <c r="E112" s="245"/>
      <c r="F112" s="246"/>
      <c r="G112" s="384"/>
      <c r="H112" s="385"/>
      <c r="I112" s="419"/>
      <c r="J112" s="276"/>
      <c r="K112" s="265"/>
      <c r="L112" s="264"/>
      <c r="M112" s="336">
        <f t="shared" si="11"/>
        <v>0</v>
      </c>
      <c r="N112" s="277"/>
      <c r="O112" s="804"/>
      <c r="P112" s="805"/>
      <c r="R112" s="238"/>
      <c r="S112" s="238"/>
      <c r="T112"/>
      <c r="U112" s="238"/>
      <c r="V112" s="238"/>
      <c r="W112" s="238"/>
      <c r="X112" s="238"/>
      <c r="Y112" s="238"/>
      <c r="Z112" s="238"/>
      <c r="AA112" s="238"/>
      <c r="AB112" s="238"/>
      <c r="AC112" s="238"/>
      <c r="AD112" s="238"/>
      <c r="AE112" s="238"/>
      <c r="AF112" s="238"/>
      <c r="AG112" s="238"/>
      <c r="AH112" s="238"/>
      <c r="AI112" s="238"/>
      <c r="AJ112" s="238"/>
    </row>
    <row r="113" spans="1:75" s="136" customFormat="1" ht="30" customHeight="1" thickBot="1">
      <c r="A113" s="848"/>
      <c r="B113" s="851"/>
      <c r="C113" s="269">
        <v>5</v>
      </c>
      <c r="D113" s="251"/>
      <c r="E113" s="252"/>
      <c r="F113" s="253"/>
      <c r="G113" s="414"/>
      <c r="H113" s="415"/>
      <c r="I113" s="416"/>
      <c r="J113" s="279"/>
      <c r="K113" s="271"/>
      <c r="L113" s="280"/>
      <c r="M113" s="336">
        <f t="shared" si="11"/>
        <v>0</v>
      </c>
      <c r="N113" s="277"/>
      <c r="O113" s="804"/>
      <c r="P113" s="805"/>
      <c r="R113" s="238"/>
      <c r="S113" s="238"/>
      <c r="T113"/>
      <c r="U113" s="238"/>
      <c r="V113" s="238"/>
      <c r="W113" s="238"/>
      <c r="X113" s="238"/>
      <c r="Y113" s="238"/>
      <c r="Z113" s="238"/>
      <c r="AA113" s="238"/>
      <c r="AB113" s="238"/>
      <c r="AC113" s="238"/>
      <c r="AD113" s="238"/>
      <c r="AE113" s="238"/>
      <c r="AF113" s="238"/>
      <c r="AG113" s="238"/>
      <c r="AH113" s="238"/>
      <c r="AI113" s="238"/>
      <c r="AJ113" s="238"/>
    </row>
    <row r="114" spans="1:75" s="136" customFormat="1" ht="15.75" customHeight="1" thickTop="1">
      <c r="A114" s="849"/>
      <c r="B114" s="852"/>
      <c r="C114" s="721"/>
      <c r="D114" s="722"/>
      <c r="E114" s="722"/>
      <c r="F114" s="722"/>
      <c r="G114" s="722"/>
      <c r="H114" s="722"/>
      <c r="I114" s="855"/>
      <c r="J114" s="281" t="s">
        <v>58</v>
      </c>
      <c r="K114" s="213">
        <f>M114/'生產管理報表 7-1 (週)'!$B$42</f>
        <v>3.6276432881967836E-2</v>
      </c>
      <c r="L114" s="281" t="s">
        <v>59</v>
      </c>
      <c r="M114" s="337">
        <f>SUM(M109:M113)</f>
        <v>2430.25</v>
      </c>
      <c r="N114" s="806"/>
      <c r="O114" s="807"/>
      <c r="P114" s="808"/>
      <c r="R114" s="238"/>
      <c r="S114" s="238"/>
      <c r="T114"/>
      <c r="U114" s="238"/>
      <c r="V114" s="238"/>
      <c r="W114" s="238"/>
      <c r="X114" s="238"/>
      <c r="Y114" s="238"/>
      <c r="Z114" s="238"/>
      <c r="AA114" s="238"/>
      <c r="AB114" s="238"/>
      <c r="AC114" s="238"/>
      <c r="AD114" s="238"/>
      <c r="AE114" s="238"/>
      <c r="AF114" s="238"/>
      <c r="AG114" s="238"/>
      <c r="AH114" s="238"/>
      <c r="AI114" s="238"/>
      <c r="AJ114" s="238"/>
    </row>
    <row r="115" spans="1:75" s="136" customFormat="1" ht="15.75" customHeight="1">
      <c r="A115" s="866" t="s">
        <v>768</v>
      </c>
      <c r="B115" s="866"/>
      <c r="C115" s="866"/>
      <c r="D115" s="866"/>
      <c r="E115" s="866"/>
      <c r="F115" s="866"/>
      <c r="G115" s="866"/>
      <c r="H115" s="866"/>
      <c r="I115" s="866"/>
      <c r="J115" s="866"/>
      <c r="K115" s="866"/>
      <c r="L115" s="866"/>
      <c r="M115" s="866"/>
      <c r="R115" s="238"/>
      <c r="S115" s="238"/>
      <c r="T115" s="238"/>
      <c r="U115" s="238"/>
    </row>
    <row r="116" spans="1:75" s="137" customFormat="1" ht="15.75" customHeight="1">
      <c r="A116" s="799"/>
      <c r="B116" s="799"/>
      <c r="C116" s="799"/>
      <c r="D116" s="799"/>
      <c r="E116" s="799"/>
      <c r="F116" s="799"/>
      <c r="G116" s="799"/>
      <c r="H116" s="799"/>
      <c r="I116" s="799"/>
      <c r="J116" s="799"/>
      <c r="K116" s="799"/>
      <c r="L116" s="799"/>
      <c r="M116" s="799"/>
    </row>
    <row r="117" spans="1:75" s="136" customFormat="1" ht="15.75" customHeight="1">
      <c r="A117" s="800" t="s">
        <v>193</v>
      </c>
      <c r="B117" s="793">
        <v>1</v>
      </c>
      <c r="C117" s="794"/>
      <c r="D117" s="793">
        <v>2</v>
      </c>
      <c r="E117" s="794"/>
      <c r="F117" s="793">
        <v>3</v>
      </c>
      <c r="G117" s="794"/>
      <c r="H117" s="802">
        <v>4</v>
      </c>
      <c r="I117" s="803"/>
      <c r="J117" s="802">
        <v>5</v>
      </c>
      <c r="K117" s="803"/>
      <c r="L117" s="802">
        <v>6</v>
      </c>
      <c r="M117" s="803"/>
      <c r="N117" s="802">
        <v>7</v>
      </c>
      <c r="O117" s="803"/>
      <c r="P117" s="802">
        <v>8</v>
      </c>
      <c r="Q117" s="803"/>
      <c r="R117" s="238"/>
      <c r="S117" s="238"/>
      <c r="T117" s="238"/>
      <c r="U117" s="238"/>
    </row>
    <row r="118" spans="1:75" s="136" customFormat="1" ht="15.75" customHeight="1">
      <c r="A118" s="801"/>
      <c r="B118" s="795" t="s">
        <v>500</v>
      </c>
      <c r="C118" s="796"/>
      <c r="D118" s="795" t="s">
        <v>214</v>
      </c>
      <c r="E118" s="796"/>
      <c r="F118" s="795" t="s">
        <v>168</v>
      </c>
      <c r="G118" s="796"/>
      <c r="H118" s="797" t="s">
        <v>465</v>
      </c>
      <c r="I118" s="798"/>
      <c r="J118" s="797" t="s">
        <v>191</v>
      </c>
      <c r="K118" s="798"/>
      <c r="L118" s="797" t="s">
        <v>169</v>
      </c>
      <c r="M118" s="798"/>
      <c r="N118" s="797" t="s">
        <v>192</v>
      </c>
      <c r="O118" s="798"/>
      <c r="P118" s="856" t="s">
        <v>219</v>
      </c>
      <c r="Q118" s="857"/>
      <c r="R118" s="238"/>
      <c r="S118" s="238"/>
      <c r="T118" s="238"/>
      <c r="U118" s="238"/>
    </row>
    <row r="119" spans="1:75" s="136" customFormat="1" ht="15.75" customHeight="1">
      <c r="B119" s="239"/>
      <c r="C119" s="240"/>
      <c r="R119" s="238"/>
      <c r="S119" s="238"/>
      <c r="T119" s="238"/>
      <c r="U119" s="238"/>
    </row>
    <row r="120" spans="1:75" s="242" customFormat="1" ht="15.75" customHeight="1">
      <c r="A120" s="802" t="s">
        <v>193</v>
      </c>
      <c r="B120" s="803"/>
      <c r="C120" s="241" t="s">
        <v>47</v>
      </c>
      <c r="D120" s="858" t="s">
        <v>12</v>
      </c>
      <c r="E120" s="719"/>
      <c r="F120" s="846"/>
      <c r="G120" s="859" t="s">
        <v>53</v>
      </c>
      <c r="H120" s="860"/>
      <c r="I120" s="861"/>
      <c r="J120" s="241" t="s">
        <v>54</v>
      </c>
      <c r="K120" s="241" t="s">
        <v>55</v>
      </c>
      <c r="L120" s="241" t="s">
        <v>56</v>
      </c>
      <c r="M120" s="241" t="s">
        <v>11</v>
      </c>
      <c r="N120" s="241" t="s">
        <v>335</v>
      </c>
      <c r="O120" s="862" t="s">
        <v>51</v>
      </c>
      <c r="P120" s="863"/>
    </row>
    <row r="121" spans="1:75" s="136" customFormat="1" ht="50.15" customHeight="1">
      <c r="A121" s="847">
        <v>1</v>
      </c>
      <c r="B121" s="850" t="s">
        <v>501</v>
      </c>
      <c r="C121" s="243">
        <v>1</v>
      </c>
      <c r="D121" s="244" t="s">
        <v>479</v>
      </c>
      <c r="E121" s="245"/>
      <c r="F121" s="245"/>
      <c r="G121" s="417" t="s">
        <v>480</v>
      </c>
      <c r="H121" s="312"/>
      <c r="I121" s="313"/>
      <c r="J121" s="243">
        <v>181.61</v>
      </c>
      <c r="K121" s="249">
        <v>1.7374246882443607E-2</v>
      </c>
      <c r="L121" s="243">
        <v>9.9200000000000017</v>
      </c>
      <c r="M121" s="333">
        <f>L121*J121</f>
        <v>1801.5712000000005</v>
      </c>
      <c r="N121" s="250"/>
      <c r="O121" s="784" t="s">
        <v>544</v>
      </c>
      <c r="P121" s="785"/>
      <c r="R121" s="238"/>
      <c r="S121" s="437"/>
      <c r="T121" s="268"/>
      <c r="U121" s="238"/>
    </row>
    <row r="122" spans="1:75" s="136" customFormat="1" ht="50.15" customHeight="1">
      <c r="A122" s="848"/>
      <c r="B122" s="851"/>
      <c r="C122" s="243">
        <v>2</v>
      </c>
      <c r="D122" s="244" t="s">
        <v>360</v>
      </c>
      <c r="E122" s="245"/>
      <c r="F122" s="245"/>
      <c r="G122" s="417" t="s">
        <v>368</v>
      </c>
      <c r="H122" s="312"/>
      <c r="I122" s="313"/>
      <c r="J122" s="243">
        <v>253.92000000000002</v>
      </c>
      <c r="K122" s="249">
        <v>1.9818358741485569E-2</v>
      </c>
      <c r="L122" s="243">
        <v>6.11</v>
      </c>
      <c r="M122" s="333">
        <f t="shared" ref="M122:M125" si="12">L122*J122</f>
        <v>1551.4512000000002</v>
      </c>
      <c r="N122" s="250"/>
      <c r="O122" s="864" t="s">
        <v>790</v>
      </c>
      <c r="P122" s="854"/>
      <c r="R122" s="238"/>
      <c r="S122" s="438"/>
      <c r="T122" s="438"/>
      <c r="U122" s="238"/>
      <c r="V122" s="238"/>
      <c r="W122" s="238"/>
      <c r="X122" s="238"/>
      <c r="Y122" s="238"/>
      <c r="Z122" s="238"/>
      <c r="AA122" s="238"/>
      <c r="AB122" s="238"/>
      <c r="AC122" s="238"/>
      <c r="AD122" s="238"/>
      <c r="AE122" s="238"/>
      <c r="AF122" s="238"/>
      <c r="AG122" s="238"/>
      <c r="AH122" s="238"/>
      <c r="AI122" s="238"/>
      <c r="AJ122" s="238"/>
      <c r="AK122" s="238"/>
      <c r="AL122" s="238"/>
      <c r="AM122" s="238"/>
      <c r="AN122" s="238"/>
      <c r="AO122" s="238"/>
      <c r="AP122" s="238"/>
      <c r="AQ122" s="238"/>
      <c r="AR122" s="238"/>
      <c r="AS122" s="238"/>
      <c r="AT122" s="238"/>
      <c r="AU122" s="238"/>
      <c r="AV122" s="238"/>
      <c r="AW122" s="238"/>
      <c r="AX122" s="238"/>
      <c r="AY122" s="238"/>
      <c r="AZ122" s="238"/>
      <c r="BA122" s="238"/>
      <c r="BB122" s="238"/>
      <c r="BC122" s="238"/>
      <c r="BD122" s="238"/>
      <c r="BE122" s="238"/>
      <c r="BF122" s="238"/>
      <c r="BG122" s="238"/>
      <c r="BH122" s="238"/>
      <c r="BI122" s="238"/>
      <c r="BJ122" s="238"/>
      <c r="BK122" s="238"/>
      <c r="BL122" s="238"/>
      <c r="BM122" s="238"/>
      <c r="BN122" s="238"/>
      <c r="BO122" s="238"/>
      <c r="BP122" s="238"/>
      <c r="BQ122" s="238"/>
      <c r="BR122" s="238"/>
      <c r="BS122" s="238"/>
      <c r="BT122" s="238"/>
      <c r="BU122" s="238"/>
      <c r="BV122" s="238"/>
      <c r="BW122" s="238"/>
    </row>
    <row r="123" spans="1:75" s="136" customFormat="1" ht="50.15" customHeight="1">
      <c r="A123" s="848"/>
      <c r="B123" s="851"/>
      <c r="C123" s="243">
        <v>3</v>
      </c>
      <c r="D123" s="244" t="s">
        <v>475</v>
      </c>
      <c r="E123" s="245"/>
      <c r="F123" s="245"/>
      <c r="G123" s="417" t="s">
        <v>776</v>
      </c>
      <c r="H123" s="312"/>
      <c r="I123" s="313"/>
      <c r="J123" s="243">
        <v>1.1500000000000001</v>
      </c>
      <c r="K123" s="249">
        <v>2.2351595799979206E-2</v>
      </c>
      <c r="L123" s="243">
        <v>1290</v>
      </c>
      <c r="M123" s="333">
        <f t="shared" si="12"/>
        <v>1483.5000000000002</v>
      </c>
      <c r="N123" s="250"/>
      <c r="O123" s="865" t="s">
        <v>791</v>
      </c>
      <c r="P123" s="805"/>
      <c r="R123" s="238"/>
      <c r="S123" s="437"/>
      <c r="T123" s="437"/>
      <c r="U123" s="238"/>
      <c r="V123" s="238"/>
      <c r="W123" s="238"/>
      <c r="X123" s="238"/>
      <c r="Y123" s="238"/>
      <c r="Z123" s="238"/>
      <c r="AA123" s="238"/>
      <c r="AB123" s="238"/>
      <c r="AC123" s="238"/>
      <c r="AD123" s="238"/>
      <c r="AE123" s="238"/>
      <c r="AF123" s="238"/>
      <c r="AG123" s="238"/>
      <c r="AH123" s="238"/>
      <c r="AI123" s="238"/>
      <c r="AJ123" s="238"/>
      <c r="AK123" s="238"/>
      <c r="AL123" s="238"/>
      <c r="AM123" s="238"/>
      <c r="AN123" s="238"/>
      <c r="AO123" s="238"/>
      <c r="AP123" s="238"/>
      <c r="AQ123" s="238"/>
      <c r="AR123" s="238"/>
      <c r="AS123" s="238"/>
      <c r="AT123" s="238"/>
      <c r="AU123" s="238"/>
      <c r="AV123" s="238"/>
      <c r="AW123" s="238"/>
      <c r="AX123" s="238"/>
      <c r="AY123" s="238"/>
      <c r="AZ123" s="238"/>
      <c r="BA123" s="238"/>
      <c r="BB123" s="238"/>
      <c r="BC123" s="238"/>
      <c r="BD123" s="238"/>
      <c r="BE123" s="238"/>
      <c r="BF123" s="238"/>
      <c r="BG123" s="238"/>
      <c r="BH123" s="238"/>
      <c r="BI123" s="238"/>
      <c r="BJ123" s="238"/>
      <c r="BK123" s="238"/>
      <c r="BL123" s="238"/>
      <c r="BM123" s="238"/>
      <c r="BN123" s="238"/>
      <c r="BO123" s="238"/>
      <c r="BP123" s="238"/>
      <c r="BQ123" s="238"/>
      <c r="BR123" s="238"/>
      <c r="BS123" s="238"/>
      <c r="BT123" s="238"/>
      <c r="BU123" s="238"/>
      <c r="BV123" s="238"/>
      <c r="BW123" s="238"/>
    </row>
    <row r="124" spans="1:75" s="136" customFormat="1" ht="50.15" customHeight="1">
      <c r="A124" s="848"/>
      <c r="B124" s="851"/>
      <c r="C124" s="243">
        <v>4</v>
      </c>
      <c r="D124" s="244" t="s">
        <v>522</v>
      </c>
      <c r="E124" s="245"/>
      <c r="F124" s="245"/>
      <c r="G124" s="417" t="s">
        <v>520</v>
      </c>
      <c r="H124" s="312"/>
      <c r="I124" s="313"/>
      <c r="J124" s="243">
        <v>153.19000000000003</v>
      </c>
      <c r="K124" s="249">
        <v>2.5201281015234504E-2</v>
      </c>
      <c r="L124" s="243">
        <v>8.42</v>
      </c>
      <c r="M124" s="333">
        <f t="shared" si="12"/>
        <v>1289.8598000000002</v>
      </c>
      <c r="N124" s="250"/>
      <c r="O124" s="865" t="s">
        <v>692</v>
      </c>
      <c r="P124" s="805"/>
      <c r="R124" s="238"/>
      <c r="S124" s="438"/>
      <c r="T124" s="438"/>
      <c r="U124" s="238"/>
      <c r="V124" s="238"/>
      <c r="W124" s="238"/>
      <c r="X124" s="238"/>
      <c r="Y124" s="238"/>
      <c r="Z124" s="238"/>
      <c r="AA124" s="238"/>
      <c r="AB124" s="238"/>
      <c r="AC124" s="238"/>
      <c r="AD124" s="238"/>
      <c r="AE124" s="238"/>
      <c r="AF124" s="238"/>
      <c r="AG124" s="238"/>
      <c r="AH124" s="238"/>
      <c r="AI124" s="238"/>
      <c r="AJ124" s="238"/>
      <c r="AK124" s="238"/>
      <c r="AL124" s="238"/>
      <c r="AM124" s="238"/>
      <c r="AN124" s="238"/>
      <c r="AO124" s="238"/>
      <c r="AP124" s="238"/>
      <c r="AQ124" s="238"/>
      <c r="AR124" s="238"/>
      <c r="AS124" s="238"/>
      <c r="AT124" s="238"/>
      <c r="AU124" s="238"/>
      <c r="AV124" s="238"/>
      <c r="AW124" s="238"/>
      <c r="AX124" s="238"/>
      <c r="AY124" s="238"/>
      <c r="AZ124" s="238"/>
      <c r="BA124" s="238"/>
      <c r="BB124" s="238"/>
      <c r="BC124" s="238"/>
      <c r="BD124" s="238"/>
      <c r="BE124" s="238"/>
      <c r="BF124" s="238"/>
      <c r="BG124" s="238"/>
      <c r="BH124" s="238"/>
      <c r="BI124" s="238"/>
      <c r="BJ124" s="238"/>
      <c r="BK124" s="238"/>
      <c r="BL124" s="238"/>
      <c r="BM124" s="238"/>
      <c r="BN124" s="238"/>
      <c r="BO124" s="238"/>
      <c r="BP124" s="238"/>
      <c r="BQ124" s="238"/>
      <c r="BR124" s="238"/>
      <c r="BS124" s="238"/>
      <c r="BT124" s="238"/>
      <c r="BU124" s="238"/>
      <c r="BV124" s="238"/>
      <c r="BW124" s="238"/>
    </row>
    <row r="125" spans="1:75" s="136" customFormat="1" ht="50.15" customHeight="1" thickBot="1">
      <c r="A125" s="848"/>
      <c r="B125" s="851"/>
      <c r="C125" s="243">
        <v>5</v>
      </c>
      <c r="D125" s="251" t="s">
        <v>346</v>
      </c>
      <c r="E125" s="252"/>
      <c r="F125" s="252"/>
      <c r="G125" s="417" t="s">
        <v>338</v>
      </c>
      <c r="H125" s="312"/>
      <c r="I125" s="313"/>
      <c r="J125" s="254">
        <v>141.66999999999999</v>
      </c>
      <c r="K125" s="255">
        <v>1.2999814288367309E-2</v>
      </c>
      <c r="L125" s="254">
        <v>9.1</v>
      </c>
      <c r="M125" s="334">
        <f t="shared" si="12"/>
        <v>1289.1969999999999</v>
      </c>
      <c r="N125" s="250"/>
      <c r="O125" s="865" t="s">
        <v>554</v>
      </c>
      <c r="P125" s="805"/>
      <c r="R125" s="238"/>
      <c r="S125" s="437"/>
      <c r="T125" s="268"/>
      <c r="U125" s="238"/>
      <c r="V125" s="439"/>
      <c r="W125" s="238"/>
      <c r="X125" s="238"/>
      <c r="Y125" s="238"/>
      <c r="Z125" s="238"/>
      <c r="AA125" s="238"/>
      <c r="AB125" s="238"/>
      <c r="AC125" s="238"/>
      <c r="AD125" s="238"/>
      <c r="AE125" s="238"/>
      <c r="AF125" s="238"/>
      <c r="AG125" s="238"/>
      <c r="AH125" s="238"/>
      <c r="AI125" s="238"/>
      <c r="AJ125" s="238"/>
      <c r="AK125" s="238"/>
      <c r="AL125" s="238"/>
      <c r="AM125" s="238"/>
      <c r="AN125" s="238"/>
      <c r="AO125" s="238"/>
      <c r="AP125" s="238"/>
      <c r="AQ125" s="238"/>
      <c r="AR125" s="238"/>
      <c r="AS125" s="238"/>
      <c r="AT125" s="238"/>
      <c r="AU125" s="238"/>
      <c r="AV125" s="238"/>
      <c r="AW125" s="238"/>
      <c r="AX125" s="238"/>
      <c r="AY125" s="238"/>
      <c r="AZ125" s="238"/>
      <c r="BA125" s="238"/>
      <c r="BB125" s="238"/>
      <c r="BC125" s="238"/>
      <c r="BD125" s="238"/>
      <c r="BE125" s="238"/>
      <c r="BF125" s="238"/>
      <c r="BG125" s="238"/>
      <c r="BH125" s="238"/>
      <c r="BI125" s="238"/>
      <c r="BJ125" s="238"/>
      <c r="BK125" s="238"/>
      <c r="BL125" s="238"/>
      <c r="BM125" s="238"/>
      <c r="BN125" s="238"/>
      <c r="BO125" s="238"/>
      <c r="BP125" s="238"/>
      <c r="BQ125" s="238"/>
      <c r="BR125" s="238"/>
      <c r="BS125" s="238"/>
      <c r="BT125" s="238"/>
      <c r="BU125" s="238"/>
      <c r="BV125" s="238"/>
      <c r="BW125" s="238"/>
    </row>
    <row r="126" spans="1:75" s="136" customFormat="1" ht="15.75" customHeight="1" thickTop="1">
      <c r="A126" s="849"/>
      <c r="B126" s="852"/>
      <c r="C126" s="721"/>
      <c r="D126" s="722"/>
      <c r="E126" s="722"/>
      <c r="F126" s="722"/>
      <c r="G126" s="722"/>
      <c r="H126" s="722"/>
      <c r="I126" s="855"/>
      <c r="J126" s="256" t="s">
        <v>58</v>
      </c>
      <c r="K126" s="213">
        <f>M126/'生產管理報表 7-1 (週)'!$B$53</f>
        <v>0.11461820915365233</v>
      </c>
      <c r="L126" s="256" t="s">
        <v>59</v>
      </c>
      <c r="M126" s="335">
        <f>SUM(M121:M125)</f>
        <v>7415.579200000001</v>
      </c>
      <c r="N126" s="820"/>
      <c r="O126" s="821"/>
      <c r="P126" s="822"/>
      <c r="R126" s="238"/>
      <c r="S126" s="211"/>
      <c r="T126" s="211"/>
      <c r="U126" s="238"/>
      <c r="V126" s="238"/>
      <c r="W126" s="238"/>
      <c r="X126" s="238"/>
      <c r="Y126" s="238"/>
      <c r="Z126" s="238"/>
      <c r="AA126" s="238"/>
      <c r="AB126" s="238"/>
      <c r="AC126" s="238"/>
      <c r="AD126" s="238"/>
      <c r="AE126" s="238"/>
      <c r="AF126" s="238"/>
      <c r="AG126" s="238"/>
      <c r="AH126" s="238"/>
      <c r="AI126" s="238"/>
      <c r="AJ126" s="238"/>
      <c r="AK126" s="238"/>
      <c r="AL126" s="238"/>
      <c r="AM126" s="238"/>
      <c r="AN126" s="238"/>
      <c r="AO126" s="238"/>
      <c r="AP126" s="238"/>
      <c r="AQ126" s="238"/>
      <c r="AR126" s="238"/>
      <c r="AS126" s="238"/>
      <c r="AT126" s="238"/>
      <c r="AU126" s="238"/>
      <c r="AV126" s="238"/>
      <c r="AW126" s="238"/>
      <c r="AX126" s="238"/>
      <c r="AY126" s="238"/>
      <c r="AZ126" s="238"/>
      <c r="BA126" s="238"/>
      <c r="BB126" s="238"/>
      <c r="BC126" s="238"/>
      <c r="BD126" s="238"/>
      <c r="BE126" s="238"/>
      <c r="BF126" s="238"/>
      <c r="BG126" s="238"/>
      <c r="BH126" s="238"/>
      <c r="BI126" s="238"/>
      <c r="BJ126" s="238"/>
      <c r="BK126" s="238"/>
      <c r="BL126" s="238"/>
      <c r="BM126" s="238"/>
      <c r="BN126" s="238"/>
      <c r="BO126" s="238"/>
      <c r="BP126" s="238"/>
      <c r="BQ126" s="238"/>
      <c r="BR126" s="238"/>
      <c r="BS126" s="238"/>
      <c r="BT126" s="238"/>
      <c r="BU126" s="238"/>
      <c r="BV126" s="238"/>
      <c r="BW126" s="238"/>
    </row>
    <row r="127" spans="1:75" s="136" customFormat="1" ht="15.75" customHeight="1">
      <c r="B127" s="239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258"/>
      <c r="O127" s="258"/>
      <c r="P127" s="258"/>
      <c r="R127" s="238"/>
      <c r="S127" s="268"/>
      <c r="T127" s="268"/>
      <c r="U127" s="238"/>
      <c r="V127" s="238"/>
      <c r="W127" s="238"/>
      <c r="X127" s="238"/>
      <c r="Y127" s="238"/>
      <c r="Z127" s="238"/>
      <c r="AA127" s="238"/>
      <c r="AB127" s="238"/>
      <c r="AC127" s="238"/>
      <c r="AD127" s="238"/>
      <c r="AE127" s="238"/>
      <c r="AF127" s="238"/>
      <c r="AG127" s="238"/>
      <c r="AH127" s="238"/>
      <c r="AI127" s="238"/>
      <c r="AJ127" s="238"/>
      <c r="AK127" s="238"/>
      <c r="AL127" s="238"/>
      <c r="AM127" s="238"/>
      <c r="AN127" s="238"/>
      <c r="AO127" s="238"/>
      <c r="AP127" s="238"/>
      <c r="AQ127" s="238"/>
      <c r="AR127" s="238"/>
      <c r="AS127" s="238"/>
      <c r="AT127" s="238"/>
      <c r="AU127" s="238"/>
      <c r="AV127" s="238"/>
      <c r="AW127" s="238"/>
      <c r="AX127" s="238"/>
      <c r="AY127" s="238"/>
      <c r="AZ127" s="238"/>
      <c r="BA127" s="238"/>
      <c r="BB127" s="238"/>
      <c r="BC127" s="238"/>
      <c r="BD127" s="238"/>
      <c r="BE127" s="238"/>
      <c r="BF127" s="238"/>
      <c r="BG127" s="238"/>
      <c r="BH127" s="238"/>
      <c r="BI127" s="238"/>
      <c r="BJ127" s="238"/>
      <c r="BK127" s="238"/>
      <c r="BL127" s="238"/>
      <c r="BM127" s="238"/>
      <c r="BN127" s="238"/>
      <c r="BO127" s="238"/>
      <c r="BP127" s="238"/>
      <c r="BQ127" s="238"/>
      <c r="BR127" s="238"/>
      <c r="BS127" s="238"/>
      <c r="BT127" s="238"/>
      <c r="BU127" s="238"/>
      <c r="BV127" s="238"/>
      <c r="BW127" s="238"/>
    </row>
    <row r="128" spans="1:75" s="136" customFormat="1" ht="15.75" customHeight="1">
      <c r="A128" s="802" t="s">
        <v>193</v>
      </c>
      <c r="B128" s="803"/>
      <c r="C128" s="259" t="s">
        <v>47</v>
      </c>
      <c r="D128" s="718" t="s">
        <v>12</v>
      </c>
      <c r="E128" s="719"/>
      <c r="F128" s="720"/>
      <c r="G128" s="718" t="s">
        <v>53</v>
      </c>
      <c r="H128" s="719"/>
      <c r="I128" s="720"/>
      <c r="J128" s="261" t="s">
        <v>54</v>
      </c>
      <c r="K128" s="261" t="s">
        <v>55</v>
      </c>
      <c r="L128" s="261" t="s">
        <v>56</v>
      </c>
      <c r="M128" s="261" t="s">
        <v>11</v>
      </c>
      <c r="N128" s="262" t="s">
        <v>335</v>
      </c>
      <c r="O128" s="811" t="s">
        <v>51</v>
      </c>
      <c r="P128" s="812"/>
      <c r="R128" s="238"/>
      <c r="S128" s="211"/>
      <c r="T128" s="211"/>
      <c r="U128" s="238"/>
      <c r="V128" s="238"/>
      <c r="W128" s="238"/>
      <c r="X128" s="238"/>
      <c r="Y128" s="238"/>
      <c r="Z128" s="238"/>
      <c r="AA128" s="238"/>
      <c r="AB128" s="238"/>
      <c r="AC128" s="238"/>
      <c r="AD128" s="238"/>
      <c r="AE128" s="238"/>
      <c r="AF128" s="238"/>
      <c r="AG128" s="238"/>
      <c r="AH128" s="238"/>
      <c r="AI128" s="238"/>
      <c r="AJ128" s="238"/>
    </row>
    <row r="129" spans="1:36" s="136" customFormat="1" ht="20.149999999999999" customHeight="1">
      <c r="A129" s="847">
        <v>2</v>
      </c>
      <c r="B129" s="850" t="s">
        <v>215</v>
      </c>
      <c r="C129" s="263">
        <v>1</v>
      </c>
      <c r="D129" s="244"/>
      <c r="E129" s="245"/>
      <c r="F129" s="246"/>
      <c r="G129" s="244"/>
      <c r="H129" s="245"/>
      <c r="I129" s="246"/>
      <c r="J129" s="264"/>
      <c r="K129" s="265"/>
      <c r="L129" s="264"/>
      <c r="M129" s="266">
        <f t="shared" ref="M129:M133" si="13">L129*J129</f>
        <v>0</v>
      </c>
      <c r="N129" s="267"/>
      <c r="O129" s="813"/>
      <c r="P129" s="814"/>
      <c r="R129" s="238"/>
      <c r="S129" s="268"/>
      <c r="T129" s="268"/>
      <c r="U129" s="238"/>
      <c r="V129" s="238"/>
      <c r="W129" s="238"/>
      <c r="X129" s="238"/>
      <c r="Y129" s="238"/>
      <c r="Z129" s="238"/>
      <c r="AA129" s="238"/>
      <c r="AB129" s="238"/>
      <c r="AC129" s="238"/>
      <c r="AD129" s="238"/>
      <c r="AE129" s="238"/>
      <c r="AF129" s="238"/>
      <c r="AG129" s="238"/>
      <c r="AH129" s="238"/>
      <c r="AI129" s="238"/>
      <c r="AJ129" s="238"/>
    </row>
    <row r="130" spans="1:36" s="136" customFormat="1" ht="20.149999999999999" customHeight="1">
      <c r="A130" s="848"/>
      <c r="B130" s="851"/>
      <c r="C130" s="263">
        <v>2</v>
      </c>
      <c r="D130" s="244"/>
      <c r="E130" s="245"/>
      <c r="F130" s="246"/>
      <c r="G130" s="244"/>
      <c r="H130" s="245"/>
      <c r="I130" s="246"/>
      <c r="J130" s="264"/>
      <c r="K130" s="265"/>
      <c r="L130" s="264"/>
      <c r="M130" s="266">
        <f t="shared" si="13"/>
        <v>0</v>
      </c>
      <c r="N130" s="267"/>
      <c r="O130" s="813"/>
      <c r="P130" s="814"/>
      <c r="R130" s="238"/>
      <c r="S130" s="211"/>
      <c r="T130" s="211"/>
      <c r="U130" s="238"/>
      <c r="V130" s="238"/>
      <c r="W130" s="238"/>
      <c r="X130" s="238"/>
      <c r="Y130" s="238"/>
      <c r="Z130" s="238"/>
      <c r="AA130" s="238"/>
      <c r="AB130" s="238"/>
      <c r="AC130" s="238"/>
      <c r="AD130" s="238"/>
      <c r="AE130" s="238"/>
      <c r="AF130" s="238"/>
      <c r="AG130" s="238"/>
      <c r="AH130" s="238"/>
      <c r="AI130" s="238"/>
      <c r="AJ130" s="238"/>
    </row>
    <row r="131" spans="1:36" s="136" customFormat="1" ht="20.149999999999999" customHeight="1">
      <c r="A131" s="848"/>
      <c r="B131" s="851"/>
      <c r="C131" s="263">
        <v>3</v>
      </c>
      <c r="D131" s="244"/>
      <c r="E131" s="245"/>
      <c r="F131" s="246"/>
      <c r="G131" s="244"/>
      <c r="H131" s="245"/>
      <c r="I131" s="275"/>
      <c r="J131" s="264"/>
      <c r="K131" s="265"/>
      <c r="L131" s="264"/>
      <c r="M131" s="266">
        <f t="shared" si="13"/>
        <v>0</v>
      </c>
      <c r="N131" s="267"/>
      <c r="O131" s="813"/>
      <c r="P131" s="814"/>
      <c r="R131" s="238"/>
      <c r="S131" s="268"/>
      <c r="T131" s="268"/>
      <c r="U131" s="238"/>
      <c r="V131" s="238"/>
      <c r="W131" s="238"/>
      <c r="X131" s="238"/>
      <c r="Y131" s="238"/>
      <c r="Z131" s="238"/>
      <c r="AA131" s="238"/>
      <c r="AB131" s="238"/>
      <c r="AC131" s="238"/>
      <c r="AD131" s="238"/>
      <c r="AE131" s="238"/>
      <c r="AF131" s="238"/>
      <c r="AG131" s="238"/>
      <c r="AH131" s="238"/>
    </row>
    <row r="132" spans="1:36" s="136" customFormat="1" ht="20.149999999999999" customHeight="1">
      <c r="A132" s="848"/>
      <c r="B132" s="851"/>
      <c r="C132" s="263">
        <v>4</v>
      </c>
      <c r="D132" s="244"/>
      <c r="E132" s="245"/>
      <c r="F132" s="246"/>
      <c r="G132" s="244"/>
      <c r="H132" s="245"/>
      <c r="I132" s="246"/>
      <c r="J132" s="264"/>
      <c r="K132" s="265"/>
      <c r="L132" s="264"/>
      <c r="M132" s="266">
        <f t="shared" si="13"/>
        <v>0</v>
      </c>
      <c r="N132" s="267"/>
      <c r="O132" s="813"/>
      <c r="P132" s="814"/>
      <c r="R132" s="238"/>
      <c r="S132" s="211"/>
      <c r="T132" s="211"/>
      <c r="U132" s="238"/>
      <c r="V132" s="238"/>
      <c r="W132" s="238"/>
      <c r="X132" s="238"/>
      <c r="Y132" s="238"/>
      <c r="Z132" s="238"/>
      <c r="AA132" s="238"/>
      <c r="AB132" s="238"/>
      <c r="AC132" s="238"/>
      <c r="AD132" s="238"/>
      <c r="AE132" s="238"/>
      <c r="AF132" s="238"/>
      <c r="AG132" s="238"/>
      <c r="AH132" s="238"/>
    </row>
    <row r="133" spans="1:36" s="136" customFormat="1" ht="20.149999999999999" customHeight="1" thickBot="1">
      <c r="A133" s="848"/>
      <c r="B133" s="851"/>
      <c r="C133" s="269">
        <v>5</v>
      </c>
      <c r="D133" s="251"/>
      <c r="E133" s="252"/>
      <c r="F133" s="253"/>
      <c r="G133" s="244"/>
      <c r="H133" s="245"/>
      <c r="I133" s="246"/>
      <c r="J133" s="270"/>
      <c r="K133" s="271"/>
      <c r="L133" s="270"/>
      <c r="M133" s="272">
        <f t="shared" si="13"/>
        <v>0</v>
      </c>
      <c r="N133" s="273"/>
      <c r="O133" s="813"/>
      <c r="P133" s="814"/>
      <c r="R133" s="238"/>
      <c r="S133" s="238"/>
      <c r="T133" s="238"/>
      <c r="U133" s="238"/>
      <c r="V133" s="238"/>
      <c r="W133" s="238"/>
      <c r="X133" s="238"/>
      <c r="Y133" s="238"/>
      <c r="Z133" s="238"/>
      <c r="AA133" s="238"/>
      <c r="AB133" s="238"/>
      <c r="AC133" s="238"/>
      <c r="AD133" s="238"/>
      <c r="AE133" s="238"/>
      <c r="AF133" s="238"/>
      <c r="AG133" s="238"/>
      <c r="AH133" s="238"/>
    </row>
    <row r="134" spans="1:36" s="136" customFormat="1" ht="15.75" customHeight="1" thickTop="1">
      <c r="A134" s="849"/>
      <c r="B134" s="852"/>
      <c r="C134" s="721"/>
      <c r="D134" s="722"/>
      <c r="E134" s="722"/>
      <c r="F134" s="722"/>
      <c r="G134" s="722"/>
      <c r="H134" s="722"/>
      <c r="I134" s="855"/>
      <c r="J134" s="256" t="s">
        <v>58</v>
      </c>
      <c r="K134" s="213">
        <f>M134/'生產管理報表 7-1 (週)'!$B$53</f>
        <v>0</v>
      </c>
      <c r="L134" s="256" t="s">
        <v>59</v>
      </c>
      <c r="M134" s="257">
        <f>SUM(M129:M133)</f>
        <v>0</v>
      </c>
      <c r="N134" s="815"/>
      <c r="O134" s="816"/>
      <c r="P134" s="817"/>
      <c r="R134" s="238"/>
      <c r="S134" s="238"/>
      <c r="T134" s="238"/>
      <c r="U134" s="238"/>
      <c r="V134" s="238"/>
      <c r="W134" s="238"/>
      <c r="X134" s="238"/>
      <c r="Y134" s="238"/>
      <c r="Z134" s="238"/>
      <c r="AA134" s="238"/>
      <c r="AB134" s="238"/>
      <c r="AC134" s="238"/>
      <c r="AD134" s="238"/>
      <c r="AE134" s="238"/>
      <c r="AF134" s="238"/>
      <c r="AG134" s="238"/>
      <c r="AH134" s="238"/>
    </row>
    <row r="135" spans="1:36" s="136" customFormat="1" ht="15.75" customHeight="1">
      <c r="B135" s="239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274"/>
      <c r="O135" s="274"/>
      <c r="P135" s="274"/>
      <c r="R135" s="238"/>
      <c r="S135" s="238"/>
      <c r="T135" s="238"/>
      <c r="U135" s="238"/>
      <c r="V135" s="238"/>
      <c r="W135" s="238"/>
      <c r="X135" s="238"/>
      <c r="Y135" s="238"/>
      <c r="Z135" s="238"/>
      <c r="AA135" s="238"/>
      <c r="AB135" s="238"/>
      <c r="AC135" s="238"/>
      <c r="AD135" s="238"/>
      <c r="AE135" s="238"/>
      <c r="AF135" s="238"/>
      <c r="AG135" s="238"/>
      <c r="AH135" s="238"/>
    </row>
    <row r="136" spans="1:36" s="136" customFormat="1" ht="15.75" customHeight="1">
      <c r="A136" s="802" t="s">
        <v>193</v>
      </c>
      <c r="B136" s="803"/>
      <c r="C136" s="259" t="s">
        <v>47</v>
      </c>
      <c r="D136" s="718" t="s">
        <v>12</v>
      </c>
      <c r="E136" s="719"/>
      <c r="F136" s="720"/>
      <c r="G136" s="718" t="s">
        <v>53</v>
      </c>
      <c r="H136" s="719"/>
      <c r="I136" s="846"/>
      <c r="J136" s="260" t="s">
        <v>54</v>
      </c>
      <c r="K136" s="261" t="s">
        <v>55</v>
      </c>
      <c r="L136" s="261" t="s">
        <v>56</v>
      </c>
      <c r="M136" s="261" t="s">
        <v>11</v>
      </c>
      <c r="N136" s="262" t="s">
        <v>335</v>
      </c>
      <c r="O136" s="809" t="s">
        <v>51</v>
      </c>
      <c r="P136" s="810"/>
      <c r="R136" s="238"/>
      <c r="S136" s="238"/>
      <c r="T136" s="238"/>
      <c r="U136" s="238"/>
      <c r="V136" s="238"/>
      <c r="W136" s="238"/>
      <c r="X136" s="238"/>
      <c r="Y136" s="238"/>
      <c r="Z136" s="238"/>
      <c r="AA136" s="238"/>
      <c r="AB136" s="238"/>
      <c r="AC136" s="238"/>
      <c r="AD136" s="238"/>
      <c r="AE136" s="238"/>
      <c r="AF136" s="238"/>
      <c r="AG136" s="238"/>
      <c r="AH136" s="238"/>
      <c r="AI136" s="238"/>
      <c r="AJ136" s="238"/>
    </row>
    <row r="137" spans="1:36" s="136" customFormat="1" ht="50.15" customHeight="1">
      <c r="A137" s="847">
        <v>3</v>
      </c>
      <c r="B137" s="850" t="s">
        <v>451</v>
      </c>
      <c r="C137" s="263">
        <v>1</v>
      </c>
      <c r="D137" s="244" t="s">
        <v>344</v>
      </c>
      <c r="E137" s="245"/>
      <c r="F137" s="246"/>
      <c r="G137" s="253" t="s">
        <v>493</v>
      </c>
      <c r="H137" s="252"/>
      <c r="I137" s="253"/>
      <c r="J137" s="264">
        <v>1.17</v>
      </c>
      <c r="K137" s="265">
        <v>4.6088262511946839E-3</v>
      </c>
      <c r="L137" s="264">
        <v>1519</v>
      </c>
      <c r="M137" s="336">
        <f t="shared" ref="M137:M141" si="14">L137*J137</f>
        <v>1777.2299999999998</v>
      </c>
      <c r="N137" s="277"/>
      <c r="O137" s="853" t="s">
        <v>691</v>
      </c>
      <c r="P137" s="854"/>
      <c r="R137" s="238"/>
      <c r="S137" s="439"/>
      <c r="T137" s="439"/>
      <c r="U137" s="238"/>
      <c r="V137" s="238"/>
      <c r="W137" s="238"/>
      <c r="X137" s="238"/>
      <c r="Y137" s="238"/>
      <c r="Z137" s="238"/>
      <c r="AA137" s="238"/>
      <c r="AB137" s="238"/>
      <c r="AC137" s="238"/>
      <c r="AD137" s="238"/>
      <c r="AE137" s="238"/>
      <c r="AF137" s="238"/>
      <c r="AG137" s="238"/>
      <c r="AH137" s="238"/>
      <c r="AI137" s="238"/>
      <c r="AJ137" s="238"/>
    </row>
    <row r="138" spans="1:36" s="136" customFormat="1" ht="50.15" customHeight="1">
      <c r="A138" s="848"/>
      <c r="B138" s="851"/>
      <c r="C138" s="263">
        <v>2</v>
      </c>
      <c r="D138" s="244" t="s">
        <v>344</v>
      </c>
      <c r="E138" s="245"/>
      <c r="F138" s="246"/>
      <c r="G138" s="253" t="s">
        <v>494</v>
      </c>
      <c r="H138" s="252"/>
      <c r="I138" s="253"/>
      <c r="J138" s="264">
        <v>2.4499999999999997</v>
      </c>
      <c r="K138" s="265">
        <v>3.9422641660793378E-3</v>
      </c>
      <c r="L138" s="264">
        <v>688</v>
      </c>
      <c r="M138" s="336">
        <f t="shared" si="14"/>
        <v>1685.6</v>
      </c>
      <c r="N138" s="277"/>
      <c r="O138" s="804" t="s">
        <v>532</v>
      </c>
      <c r="P138" s="805"/>
      <c r="R138" s="238"/>
      <c r="S138" s="439"/>
      <c r="T138" s="446"/>
      <c r="U138" s="238"/>
      <c r="V138" s="238"/>
      <c r="W138" s="238"/>
      <c r="X138" s="238"/>
      <c r="Y138" s="238"/>
      <c r="Z138" s="238"/>
      <c r="AA138" s="238"/>
      <c r="AB138" s="238"/>
      <c r="AC138" s="238"/>
      <c r="AD138" s="238"/>
      <c r="AE138" s="238"/>
      <c r="AF138" s="238"/>
      <c r="AG138" s="238"/>
      <c r="AH138" s="238"/>
      <c r="AI138" s="238"/>
      <c r="AJ138" s="238"/>
    </row>
    <row r="139" spans="1:36" s="136" customFormat="1" ht="50.15" customHeight="1">
      <c r="A139" s="848"/>
      <c r="B139" s="851"/>
      <c r="C139" s="263">
        <v>3</v>
      </c>
      <c r="D139" s="244"/>
      <c r="E139" s="245"/>
      <c r="F139" s="246"/>
      <c r="G139" s="251"/>
      <c r="H139" s="252"/>
      <c r="I139" s="253"/>
      <c r="J139" s="264"/>
      <c r="K139" s="265"/>
      <c r="L139" s="264"/>
      <c r="M139" s="336">
        <f t="shared" si="14"/>
        <v>0</v>
      </c>
      <c r="N139" s="277"/>
      <c r="O139" s="804"/>
      <c r="P139" s="805"/>
      <c r="R139" s="238"/>
      <c r="S139" s="439"/>
      <c r="T139" s="446"/>
      <c r="U139" s="238"/>
      <c r="V139" s="238"/>
      <c r="W139" s="238"/>
      <c r="X139" s="238"/>
      <c r="Y139" s="238"/>
      <c r="Z139" s="238"/>
      <c r="AA139" s="238"/>
      <c r="AB139" s="238"/>
      <c r="AC139" s="238"/>
      <c r="AD139" s="238"/>
      <c r="AE139" s="238"/>
      <c r="AF139" s="238"/>
      <c r="AG139" s="238"/>
      <c r="AH139" s="238"/>
      <c r="AI139" s="238"/>
      <c r="AJ139" s="238"/>
    </row>
    <row r="140" spans="1:36" s="136" customFormat="1" ht="50.15" customHeight="1">
      <c r="A140" s="848"/>
      <c r="B140" s="851"/>
      <c r="C140" s="263">
        <v>4</v>
      </c>
      <c r="D140" s="244"/>
      <c r="E140" s="245"/>
      <c r="F140" s="246"/>
      <c r="G140" s="251"/>
      <c r="H140" s="252"/>
      <c r="I140" s="253"/>
      <c r="J140" s="276"/>
      <c r="K140" s="265"/>
      <c r="L140" s="264"/>
      <c r="M140" s="336">
        <f t="shared" si="14"/>
        <v>0</v>
      </c>
      <c r="N140" s="277"/>
      <c r="O140" s="804"/>
      <c r="P140" s="805"/>
      <c r="R140" s="238"/>
      <c r="S140" s="238"/>
      <c r="T140"/>
      <c r="U140" s="238"/>
      <c r="V140" s="238"/>
      <c r="W140" s="238"/>
      <c r="X140" s="238"/>
      <c r="Y140" s="238"/>
      <c r="Z140" s="238"/>
      <c r="AA140" s="238"/>
      <c r="AB140" s="238"/>
      <c r="AC140" s="238"/>
      <c r="AD140" s="238"/>
      <c r="AE140" s="238"/>
      <c r="AF140" s="238"/>
      <c r="AG140" s="238"/>
      <c r="AH140" s="238"/>
      <c r="AI140" s="238"/>
      <c r="AJ140" s="238"/>
    </row>
    <row r="141" spans="1:36" s="136" customFormat="1" ht="30" customHeight="1" thickBot="1">
      <c r="A141" s="848"/>
      <c r="B141" s="851"/>
      <c r="C141" s="269">
        <v>5</v>
      </c>
      <c r="D141" s="251"/>
      <c r="E141" s="252"/>
      <c r="F141" s="253"/>
      <c r="G141" s="414"/>
      <c r="H141" s="415"/>
      <c r="I141" s="416"/>
      <c r="J141" s="279"/>
      <c r="K141" s="271"/>
      <c r="L141" s="280"/>
      <c r="M141" s="336">
        <f t="shared" si="14"/>
        <v>0</v>
      </c>
      <c r="N141" s="277"/>
      <c r="O141" s="804"/>
      <c r="P141" s="805"/>
      <c r="R141" s="238"/>
      <c r="S141" s="238"/>
      <c r="T141"/>
      <c r="U141" s="238"/>
      <c r="V141" s="238"/>
      <c r="W141" s="238"/>
      <c r="X141" s="238"/>
      <c r="Y141" s="238"/>
      <c r="Z141" s="238"/>
      <c r="AA141" s="238"/>
      <c r="AB141" s="238"/>
      <c r="AC141" s="238"/>
      <c r="AD141" s="238"/>
      <c r="AE141" s="238"/>
      <c r="AF141" s="238"/>
      <c r="AG141" s="238"/>
      <c r="AH141" s="238"/>
      <c r="AI141" s="238"/>
      <c r="AJ141" s="238"/>
    </row>
    <row r="142" spans="1:36" s="136" customFormat="1" ht="15.75" customHeight="1" thickTop="1">
      <c r="A142" s="849"/>
      <c r="B142" s="852"/>
      <c r="C142" s="721"/>
      <c r="D142" s="722"/>
      <c r="E142" s="722"/>
      <c r="F142" s="722"/>
      <c r="G142" s="722"/>
      <c r="H142" s="722"/>
      <c r="I142" s="855"/>
      <c r="J142" s="281" t="s">
        <v>58</v>
      </c>
      <c r="K142" s="213">
        <f>M142/'生產管理報表 7-1 (週)'!$B$42</f>
        <v>5.1689793262695065E-2</v>
      </c>
      <c r="L142" s="281" t="s">
        <v>59</v>
      </c>
      <c r="M142" s="337">
        <f>SUM(M137:M141)</f>
        <v>3462.83</v>
      </c>
      <c r="N142" s="806"/>
      <c r="O142" s="807"/>
      <c r="P142" s="808"/>
      <c r="R142" s="238"/>
      <c r="S142" s="238"/>
      <c r="T142"/>
      <c r="U142" s="238"/>
      <c r="V142" s="238"/>
      <c r="W142" s="238"/>
      <c r="X142" s="238"/>
      <c r="Y142" s="238"/>
      <c r="Z142" s="238"/>
      <c r="AA142" s="238"/>
      <c r="AB142" s="238"/>
      <c r="AC142" s="238"/>
      <c r="AD142" s="238"/>
      <c r="AE142" s="238"/>
      <c r="AF142" s="238"/>
      <c r="AG142" s="238"/>
      <c r="AH142" s="238"/>
      <c r="AI142" s="238"/>
      <c r="AJ142" s="238"/>
    </row>
  </sheetData>
  <mergeCells count="286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N5:O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4" manualBreakCount="4">
    <brk id="30" max="16" man="1"/>
    <brk id="58" max="16" man="1"/>
    <brk id="86" max="16" man="1"/>
    <brk id="114" max="1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92D050"/>
    <outlinePr summaryBelow="0" summaryRight="0"/>
  </sheetPr>
  <dimension ref="A1:U183"/>
  <sheetViews>
    <sheetView view="pageBreakPreview" topLeftCell="A171" zoomScale="91" zoomScaleNormal="60" zoomScaleSheetLayoutView="91" workbookViewId="0">
      <selection activeCell="O161" sqref="O161:P161"/>
    </sheetView>
  </sheetViews>
  <sheetFormatPr defaultColWidth="12.54296875" defaultRowHeight="15.75" customHeight="1"/>
  <cols>
    <col min="1" max="1" width="5.453125" style="2" customWidth="1"/>
    <col min="2" max="2" width="11.453125" style="98" customWidth="1"/>
    <col min="3" max="3" width="4" style="97" customWidth="1"/>
    <col min="4" max="4" width="9.54296875" style="2" customWidth="1"/>
    <col min="5" max="5" width="10.26953125" style="2" customWidth="1"/>
    <col min="6" max="15" width="9.54296875" style="2" customWidth="1"/>
    <col min="16" max="16" width="51.453125" style="2" customWidth="1"/>
    <col min="17" max="16384" width="12.54296875" style="2"/>
  </cols>
  <sheetData>
    <row r="1" spans="1:21" s="99" customFormat="1" ht="15.75" customHeight="1">
      <c r="A1" s="507" t="s">
        <v>375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</row>
    <row r="2" spans="1:21" s="100" customFormat="1" ht="15.75" customHeight="1">
      <c r="A2" s="507"/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07"/>
    </row>
    <row r="3" spans="1:21" s="136" customFormat="1" ht="15.75" customHeight="1">
      <c r="A3" s="866" t="s">
        <v>636</v>
      </c>
      <c r="B3" s="866"/>
      <c r="C3" s="866"/>
      <c r="D3" s="866"/>
      <c r="E3" s="866"/>
      <c r="F3" s="866"/>
      <c r="G3" s="866"/>
      <c r="H3" s="866"/>
      <c r="I3" s="866"/>
      <c r="J3" s="866"/>
      <c r="K3" s="866"/>
      <c r="L3" s="866"/>
      <c r="M3" s="866"/>
      <c r="R3" s="238"/>
      <c r="S3" s="238"/>
      <c r="T3" s="238"/>
      <c r="U3" s="238"/>
    </row>
    <row r="4" spans="1:21" s="137" customFormat="1" ht="15.75" customHeight="1">
      <c r="A4" s="799"/>
      <c r="B4" s="799"/>
      <c r="C4" s="799"/>
      <c r="D4" s="799"/>
      <c r="E4" s="799"/>
      <c r="F4" s="799"/>
      <c r="G4" s="799"/>
      <c r="H4" s="799"/>
      <c r="I4" s="799"/>
      <c r="J4" s="799"/>
      <c r="K4" s="799"/>
      <c r="L4" s="799"/>
      <c r="M4" s="799"/>
    </row>
    <row r="5" spans="1:21" s="136" customFormat="1" ht="15.75" customHeight="1">
      <c r="A5" s="800" t="s">
        <v>193</v>
      </c>
      <c r="B5" s="802">
        <v>1</v>
      </c>
      <c r="C5" s="803"/>
      <c r="D5" s="802">
        <v>2</v>
      </c>
      <c r="E5" s="803"/>
      <c r="F5" s="802">
        <v>3</v>
      </c>
      <c r="G5" s="803"/>
      <c r="H5" s="793">
        <v>4</v>
      </c>
      <c r="I5" s="794"/>
      <c r="J5" s="793">
        <v>5</v>
      </c>
      <c r="K5" s="794"/>
      <c r="L5" s="793">
        <v>6</v>
      </c>
      <c r="M5" s="794"/>
      <c r="N5" s="793">
        <v>7</v>
      </c>
      <c r="O5" s="794"/>
      <c r="P5" s="338">
        <v>8</v>
      </c>
    </row>
    <row r="6" spans="1:21" s="136" customFormat="1" ht="15.75" customHeight="1">
      <c r="A6" s="801"/>
      <c r="B6" s="797" t="s">
        <v>500</v>
      </c>
      <c r="C6" s="798"/>
      <c r="D6" s="797" t="s">
        <v>214</v>
      </c>
      <c r="E6" s="798"/>
      <c r="F6" s="797" t="s">
        <v>168</v>
      </c>
      <c r="G6" s="798"/>
      <c r="H6" s="795" t="s">
        <v>465</v>
      </c>
      <c r="I6" s="796"/>
      <c r="J6" s="795" t="s">
        <v>191</v>
      </c>
      <c r="K6" s="796"/>
      <c r="L6" s="795" t="s">
        <v>169</v>
      </c>
      <c r="M6" s="796"/>
      <c r="N6" s="795" t="s">
        <v>192</v>
      </c>
      <c r="O6" s="796"/>
      <c r="P6" s="339" t="s">
        <v>219</v>
      </c>
    </row>
    <row r="7" spans="1:21" s="136" customFormat="1" ht="15.75" customHeight="1">
      <c r="B7" s="239"/>
      <c r="C7" s="240"/>
    </row>
    <row r="8" spans="1:21" s="285" customFormat="1" ht="15.75" customHeight="1">
      <c r="A8" s="737" t="s">
        <v>193</v>
      </c>
      <c r="B8" s="738"/>
      <c r="C8" s="282" t="s">
        <v>47</v>
      </c>
      <c r="D8" s="765" t="s">
        <v>12</v>
      </c>
      <c r="E8" s="766"/>
      <c r="F8" s="767"/>
      <c r="G8" s="768" t="s">
        <v>53</v>
      </c>
      <c r="H8" s="769"/>
      <c r="I8" s="770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335</v>
      </c>
      <c r="O8" s="745" t="s">
        <v>51</v>
      </c>
      <c r="P8" s="746"/>
      <c r="R8" s="211"/>
      <c r="S8" s="268"/>
    </row>
    <row r="9" spans="1:21" s="305" customFormat="1" ht="20.149999999999999" customHeight="1">
      <c r="A9" s="747">
        <v>4</v>
      </c>
      <c r="B9" s="781" t="s">
        <v>465</v>
      </c>
      <c r="C9" s="286">
        <v>1</v>
      </c>
      <c r="D9" s="244"/>
      <c r="E9" s="245"/>
      <c r="F9" s="246"/>
      <c r="G9" s="370"/>
      <c r="H9" s="312"/>
      <c r="I9" s="313"/>
      <c r="J9" s="323"/>
      <c r="K9" s="324"/>
      <c r="L9" s="325"/>
      <c r="M9" s="333">
        <f t="shared" ref="M9:M13" si="0">L9*J9</f>
        <v>0</v>
      </c>
      <c r="N9" s="325"/>
      <c r="O9" s="784"/>
      <c r="P9" s="785"/>
      <c r="R9" s="326"/>
      <c r="S9" s="268"/>
    </row>
    <row r="10" spans="1:21" s="305" customFormat="1" ht="20.149999999999999" customHeight="1">
      <c r="A10" s="748"/>
      <c r="B10" s="782"/>
      <c r="C10" s="286">
        <v>2</v>
      </c>
      <c r="D10" s="244"/>
      <c r="E10" s="245"/>
      <c r="F10" s="246"/>
      <c r="G10" s="370"/>
      <c r="H10" s="312"/>
      <c r="I10" s="313"/>
      <c r="J10" s="323"/>
      <c r="K10" s="324"/>
      <c r="L10" s="325"/>
      <c r="M10" s="333">
        <f t="shared" si="0"/>
        <v>0</v>
      </c>
      <c r="N10" s="325"/>
      <c r="O10" s="777"/>
      <c r="P10" s="778"/>
      <c r="R10" s="326"/>
      <c r="S10" s="211"/>
      <c r="T10" s="350"/>
    </row>
    <row r="11" spans="1:21" s="305" customFormat="1" ht="20.149999999999999" customHeight="1">
      <c r="A11" s="748"/>
      <c r="B11" s="782"/>
      <c r="C11" s="286">
        <v>3</v>
      </c>
      <c r="D11" s="244"/>
      <c r="E11" s="245"/>
      <c r="F11" s="246"/>
      <c r="G11" s="370"/>
      <c r="H11" s="312"/>
      <c r="I11" s="313"/>
      <c r="J11" s="323"/>
      <c r="K11" s="324"/>
      <c r="L11" s="325"/>
      <c r="M11" s="333">
        <f t="shared" si="0"/>
        <v>0</v>
      </c>
      <c r="N11" s="325"/>
      <c r="O11" s="784"/>
      <c r="P11" s="785"/>
      <c r="R11" s="326"/>
      <c r="S11" s="268"/>
    </row>
    <row r="12" spans="1:21" s="305" customFormat="1" ht="20.149999999999999" customHeight="1">
      <c r="A12" s="748"/>
      <c r="B12" s="782"/>
      <c r="C12" s="286">
        <v>4</v>
      </c>
      <c r="D12" s="244"/>
      <c r="E12" s="245"/>
      <c r="F12" s="246"/>
      <c r="G12" s="370"/>
      <c r="H12" s="312"/>
      <c r="I12" s="313"/>
      <c r="J12" s="323"/>
      <c r="K12" s="324"/>
      <c r="L12" s="325"/>
      <c r="M12" s="333">
        <f t="shared" si="0"/>
        <v>0</v>
      </c>
      <c r="N12" s="325"/>
      <c r="O12" s="784"/>
      <c r="P12" s="785"/>
      <c r="R12" s="326"/>
      <c r="S12" s="211"/>
      <c r="T12" s="350"/>
    </row>
    <row r="13" spans="1:21" s="305" customFormat="1" ht="20.149999999999999" customHeight="1" thickBot="1">
      <c r="A13" s="748"/>
      <c r="B13" s="782"/>
      <c r="C13" s="286">
        <v>5</v>
      </c>
      <c r="D13" s="244"/>
      <c r="E13" s="252"/>
      <c r="F13" s="253"/>
      <c r="G13" s="370"/>
      <c r="H13" s="312"/>
      <c r="I13" s="313"/>
      <c r="J13" s="435"/>
      <c r="K13" s="428"/>
      <c r="L13" s="328"/>
      <c r="M13" s="333">
        <f t="shared" si="0"/>
        <v>0</v>
      </c>
      <c r="N13" s="325"/>
      <c r="O13" s="784"/>
      <c r="P13" s="785"/>
      <c r="R13" s="329"/>
      <c r="S13" s="268"/>
      <c r="T13" s="296"/>
    </row>
    <row r="14" spans="1:21" s="296" customFormat="1" ht="15.75" customHeight="1" thickTop="1" thickBot="1">
      <c r="A14" s="749"/>
      <c r="B14" s="783"/>
      <c r="C14" s="790"/>
      <c r="D14" s="791"/>
      <c r="E14" s="791"/>
      <c r="F14" s="791"/>
      <c r="G14" s="791"/>
      <c r="H14" s="791"/>
      <c r="I14" s="792"/>
      <c r="J14" s="363" t="s">
        <v>58</v>
      </c>
      <c r="K14" s="213">
        <f>M14/'生產管理報表 7-1 (週)'!$B$9</f>
        <v>0</v>
      </c>
      <c r="L14" s="364" t="s">
        <v>59</v>
      </c>
      <c r="M14" s="436">
        <f>SUM(M9:M13)</f>
        <v>0</v>
      </c>
      <c r="N14" s="734"/>
      <c r="O14" s="735"/>
      <c r="P14" s="736"/>
      <c r="R14" s="211"/>
      <c r="S14" s="211"/>
    </row>
    <row r="15" spans="1:21" s="296" customFormat="1" ht="15.75" customHeight="1" thickTop="1">
      <c r="B15" s="304"/>
      <c r="C15" s="305"/>
      <c r="M15" s="340"/>
      <c r="S15" s="268"/>
    </row>
    <row r="16" spans="1:21" s="296" customFormat="1" ht="15.75" customHeight="1">
      <c r="A16" s="737" t="s">
        <v>193</v>
      </c>
      <c r="B16" s="738"/>
      <c r="C16" s="282" t="s">
        <v>47</v>
      </c>
      <c r="D16" s="765" t="s">
        <v>12</v>
      </c>
      <c r="E16" s="766"/>
      <c r="F16" s="767"/>
      <c r="G16" s="768" t="s">
        <v>53</v>
      </c>
      <c r="H16" s="769"/>
      <c r="I16" s="770"/>
      <c r="J16" s="283" t="s">
        <v>54</v>
      </c>
      <c r="K16" s="283" t="s">
        <v>55</v>
      </c>
      <c r="L16" s="283" t="s">
        <v>56</v>
      </c>
      <c r="M16" s="341" t="s">
        <v>11</v>
      </c>
      <c r="N16" s="284" t="s">
        <v>335</v>
      </c>
      <c r="O16" s="745" t="s">
        <v>51</v>
      </c>
      <c r="P16" s="746"/>
      <c r="S16" s="211"/>
      <c r="T16" s="350"/>
    </row>
    <row r="17" spans="1:20" s="305" customFormat="1" ht="40" customHeight="1">
      <c r="A17" s="747">
        <v>5</v>
      </c>
      <c r="B17" s="760" t="s">
        <v>217</v>
      </c>
      <c r="C17" s="286">
        <v>1</v>
      </c>
      <c r="D17" s="244" t="s">
        <v>359</v>
      </c>
      <c r="E17" s="245"/>
      <c r="F17" s="246"/>
      <c r="G17" s="313" t="s">
        <v>370</v>
      </c>
      <c r="H17" s="312"/>
      <c r="I17" s="313"/>
      <c r="J17" s="323">
        <v>96</v>
      </c>
      <c r="K17" s="324">
        <v>1.9153666715264611E-2</v>
      </c>
      <c r="L17" s="325">
        <v>10.509999999999998</v>
      </c>
      <c r="M17" s="333">
        <f>L17*J17</f>
        <v>1008.9599999999998</v>
      </c>
      <c r="N17" s="325"/>
      <c r="O17" s="777" t="s">
        <v>598</v>
      </c>
      <c r="P17" s="778"/>
      <c r="R17" s="444"/>
      <c r="S17" s="437"/>
    </row>
    <row r="18" spans="1:20" s="305" customFormat="1" ht="20.149999999999999" customHeight="1">
      <c r="A18" s="748"/>
      <c r="B18" s="761"/>
      <c r="C18" s="286">
        <v>2</v>
      </c>
      <c r="D18" s="244"/>
      <c r="E18" s="245"/>
      <c r="F18" s="246"/>
      <c r="G18" s="370"/>
      <c r="H18" s="312"/>
      <c r="I18" s="313"/>
      <c r="J18" s="323"/>
      <c r="K18" s="324"/>
      <c r="L18" s="325"/>
      <c r="M18" s="333">
        <f t="shared" ref="M18:M21" si="1">L18*J18</f>
        <v>0</v>
      </c>
      <c r="N18" s="325"/>
      <c r="O18" s="777"/>
      <c r="P18" s="778"/>
      <c r="S18" s="211"/>
      <c r="T18" s="351"/>
    </row>
    <row r="19" spans="1:20" s="296" customFormat="1" ht="20.149999999999999" customHeight="1">
      <c r="A19" s="748"/>
      <c r="B19" s="761"/>
      <c r="C19" s="286">
        <v>3</v>
      </c>
      <c r="D19" s="244"/>
      <c r="E19" s="288"/>
      <c r="F19" s="289"/>
      <c r="G19" s="370"/>
      <c r="H19" s="312"/>
      <c r="I19" s="313"/>
      <c r="J19" s="323"/>
      <c r="K19" s="324"/>
      <c r="L19" s="325"/>
      <c r="M19" s="333">
        <f t="shared" si="1"/>
        <v>0</v>
      </c>
      <c r="N19" s="295"/>
      <c r="O19" s="773"/>
      <c r="P19" s="774"/>
    </row>
    <row r="20" spans="1:20" s="296" customFormat="1" ht="20.149999999999999" customHeight="1">
      <c r="A20" s="748"/>
      <c r="B20" s="761"/>
      <c r="C20" s="286">
        <v>4</v>
      </c>
      <c r="D20" s="244"/>
      <c r="E20" s="288"/>
      <c r="F20" s="289"/>
      <c r="G20" s="370"/>
      <c r="H20" s="312"/>
      <c r="I20" s="313"/>
      <c r="J20" s="323"/>
      <c r="K20" s="324"/>
      <c r="L20" s="325"/>
      <c r="M20" s="333">
        <f t="shared" si="1"/>
        <v>0</v>
      </c>
      <c r="N20" s="295"/>
      <c r="O20" s="777"/>
      <c r="P20" s="778"/>
    </row>
    <row r="21" spans="1:20" s="296" customFormat="1" ht="20.149999999999999" customHeight="1" thickBot="1">
      <c r="A21" s="748"/>
      <c r="B21" s="761"/>
      <c r="C21" s="286">
        <v>5</v>
      </c>
      <c r="D21" s="251"/>
      <c r="E21" s="298"/>
      <c r="F21" s="299"/>
      <c r="G21" s="370"/>
      <c r="H21" s="312"/>
      <c r="I21" s="313"/>
      <c r="J21" s="435"/>
      <c r="K21" s="428"/>
      <c r="L21" s="328"/>
      <c r="M21" s="333">
        <f t="shared" si="1"/>
        <v>0</v>
      </c>
      <c r="N21" s="295"/>
      <c r="O21" s="867"/>
      <c r="P21" s="868"/>
      <c r="R21" s="212"/>
    </row>
    <row r="22" spans="1:20" s="296" customFormat="1" ht="15.75" customHeight="1" thickTop="1" thickBot="1">
      <c r="A22" s="749"/>
      <c r="B22" s="762"/>
      <c r="C22" s="757"/>
      <c r="D22" s="758"/>
      <c r="E22" s="758"/>
      <c r="F22" s="758"/>
      <c r="G22" s="758"/>
      <c r="H22" s="758"/>
      <c r="I22" s="759"/>
      <c r="J22" s="363" t="s">
        <v>58</v>
      </c>
      <c r="K22" s="213">
        <f>M22/'生產管理報表 7-1 (週)'!$B$9</f>
        <v>1.3993147347599696E-2</v>
      </c>
      <c r="L22" s="364" t="s">
        <v>59</v>
      </c>
      <c r="M22" s="436">
        <f>SUM(M17:M21)</f>
        <v>1008.9599999999998</v>
      </c>
      <c r="N22" s="734"/>
      <c r="O22" s="735"/>
      <c r="P22" s="736"/>
      <c r="R22" s="211"/>
    </row>
    <row r="23" spans="1:20" s="296" customFormat="1" ht="15.75" customHeight="1" thickTop="1">
      <c r="B23" s="304"/>
      <c r="C23" s="305"/>
      <c r="M23" s="340"/>
      <c r="R23" s="211"/>
    </row>
    <row r="24" spans="1:20" s="296" customFormat="1" ht="15.75" customHeight="1">
      <c r="A24" s="737" t="s">
        <v>193</v>
      </c>
      <c r="B24" s="738"/>
      <c r="C24" s="310" t="s">
        <v>47</v>
      </c>
      <c r="D24" s="739" t="s">
        <v>12</v>
      </c>
      <c r="E24" s="740"/>
      <c r="F24" s="741"/>
      <c r="G24" s="742" t="s">
        <v>53</v>
      </c>
      <c r="H24" s="743"/>
      <c r="I24" s="744"/>
      <c r="J24" s="311" t="s">
        <v>54</v>
      </c>
      <c r="K24" s="283" t="s">
        <v>55</v>
      </c>
      <c r="L24" s="283" t="s">
        <v>56</v>
      </c>
      <c r="M24" s="341" t="s">
        <v>11</v>
      </c>
      <c r="N24" s="284" t="s">
        <v>335</v>
      </c>
      <c r="O24" s="745" t="s">
        <v>51</v>
      </c>
      <c r="P24" s="746"/>
      <c r="R24" s="211"/>
      <c r="S24" s="2"/>
    </row>
    <row r="25" spans="1:20" s="296" customFormat="1" ht="40" customHeight="1">
      <c r="A25" s="747">
        <v>6</v>
      </c>
      <c r="B25" s="760" t="s">
        <v>218</v>
      </c>
      <c r="C25" s="286">
        <v>1</v>
      </c>
      <c r="D25" s="352" t="s">
        <v>343</v>
      </c>
      <c r="E25" s="288"/>
      <c r="F25" s="289"/>
      <c r="G25" s="313" t="s">
        <v>337</v>
      </c>
      <c r="H25" s="312"/>
      <c r="I25" s="313"/>
      <c r="J25" s="323">
        <v>15.450000000000001</v>
      </c>
      <c r="K25" s="324">
        <v>4.2819843342036552E-3</v>
      </c>
      <c r="L25" s="325">
        <v>82</v>
      </c>
      <c r="M25" s="333">
        <f t="shared" ref="M25" si="2">L25*J25</f>
        <v>1266.9000000000001</v>
      </c>
      <c r="N25" s="295"/>
      <c r="O25" s="773" t="s">
        <v>599</v>
      </c>
      <c r="P25" s="774"/>
      <c r="R25" s="351"/>
      <c r="S25" s="445"/>
    </row>
    <row r="26" spans="1:20" s="296" customFormat="1" ht="20.149999999999999" customHeight="1">
      <c r="A26" s="748"/>
      <c r="B26" s="761"/>
      <c r="C26" s="286">
        <v>2</v>
      </c>
      <c r="D26" s="287"/>
      <c r="E26" s="288"/>
      <c r="F26" s="289"/>
      <c r="G26" s="290"/>
      <c r="H26" s="291"/>
      <c r="I26" s="292"/>
      <c r="J26" s="293"/>
      <c r="K26" s="294"/>
      <c r="L26" s="295"/>
      <c r="M26" s="342">
        <v>0</v>
      </c>
      <c r="N26" s="295"/>
      <c r="O26" s="306"/>
      <c r="P26" s="307"/>
      <c r="S26" s="2"/>
    </row>
    <row r="27" spans="1:20" s="296" customFormat="1" ht="20.149999999999999" customHeight="1">
      <c r="A27" s="748"/>
      <c r="B27" s="761"/>
      <c r="C27" s="286">
        <v>3</v>
      </c>
      <c r="D27" s="287"/>
      <c r="E27" s="288"/>
      <c r="F27" s="289"/>
      <c r="G27" s="290"/>
      <c r="H27" s="291"/>
      <c r="I27" s="292"/>
      <c r="J27" s="293"/>
      <c r="K27" s="294"/>
      <c r="L27" s="295"/>
      <c r="M27" s="342">
        <v>0</v>
      </c>
      <c r="N27" s="295"/>
      <c r="O27" s="306"/>
      <c r="P27" s="307"/>
      <c r="S27" s="2"/>
    </row>
    <row r="28" spans="1:20" s="296" customFormat="1" ht="20.149999999999999" customHeight="1">
      <c r="A28" s="748"/>
      <c r="B28" s="761"/>
      <c r="C28" s="286">
        <v>4</v>
      </c>
      <c r="D28" s="287"/>
      <c r="E28" s="288"/>
      <c r="F28" s="289"/>
      <c r="G28" s="290"/>
      <c r="H28" s="291"/>
      <c r="I28" s="292"/>
      <c r="J28" s="293"/>
      <c r="K28" s="294"/>
      <c r="L28" s="295"/>
      <c r="M28" s="342">
        <v>0</v>
      </c>
      <c r="N28" s="295"/>
      <c r="O28" s="306"/>
      <c r="P28" s="307"/>
      <c r="R28" s="2"/>
      <c r="S28" s="2"/>
    </row>
    <row r="29" spans="1:20" s="296" customFormat="1" ht="20.149999999999999" customHeight="1" thickBot="1">
      <c r="A29" s="748"/>
      <c r="B29" s="761"/>
      <c r="C29" s="286">
        <v>5</v>
      </c>
      <c r="D29" s="297"/>
      <c r="E29" s="298"/>
      <c r="F29" s="299"/>
      <c r="G29" s="290"/>
      <c r="H29" s="291"/>
      <c r="I29" s="292"/>
      <c r="J29" s="435"/>
      <c r="K29" s="428"/>
      <c r="L29" s="328"/>
      <c r="M29" s="333">
        <v>0</v>
      </c>
      <c r="N29" s="295"/>
      <c r="O29" s="308"/>
      <c r="P29" s="309"/>
      <c r="R29" s="2"/>
      <c r="S29" s="2"/>
    </row>
    <row r="30" spans="1:20" s="296" customFormat="1" ht="15.75" customHeight="1" thickTop="1" thickBot="1">
      <c r="A30" s="749"/>
      <c r="B30" s="762"/>
      <c r="C30" s="757"/>
      <c r="D30" s="758"/>
      <c r="E30" s="758"/>
      <c r="F30" s="758"/>
      <c r="G30" s="758"/>
      <c r="H30" s="758"/>
      <c r="I30" s="759"/>
      <c r="J30" s="363" t="s">
        <v>58</v>
      </c>
      <c r="K30" s="213">
        <f>M30/'生產管理報表 7-1 (週)'!$B$9</f>
        <v>1.7570486812831094E-2</v>
      </c>
      <c r="L30" s="364" t="s">
        <v>59</v>
      </c>
      <c r="M30" s="436">
        <f>SUM(M25:M29)</f>
        <v>1266.9000000000001</v>
      </c>
      <c r="N30" s="734"/>
      <c r="O30" s="735"/>
      <c r="P30" s="736"/>
      <c r="R30" s="2"/>
      <c r="S30" s="2"/>
    </row>
    <row r="31" spans="1:20" s="296" customFormat="1" ht="15.75" customHeight="1" thickTop="1">
      <c r="B31" s="304"/>
      <c r="C31" s="305"/>
      <c r="M31" s="340"/>
      <c r="R31" s="2"/>
      <c r="S31" s="2"/>
    </row>
    <row r="32" spans="1:20" s="296" customFormat="1" ht="15.75" customHeight="1">
      <c r="A32" s="737" t="s">
        <v>193</v>
      </c>
      <c r="B32" s="738"/>
      <c r="C32" s="310" t="s">
        <v>47</v>
      </c>
      <c r="D32" s="739" t="s">
        <v>12</v>
      </c>
      <c r="E32" s="740"/>
      <c r="F32" s="741"/>
      <c r="G32" s="742" t="s">
        <v>53</v>
      </c>
      <c r="H32" s="743"/>
      <c r="I32" s="744"/>
      <c r="J32" s="311" t="s">
        <v>54</v>
      </c>
      <c r="K32" s="283" t="s">
        <v>55</v>
      </c>
      <c r="L32" s="283" t="s">
        <v>56</v>
      </c>
      <c r="M32" s="341" t="s">
        <v>11</v>
      </c>
      <c r="N32" s="284" t="s">
        <v>335</v>
      </c>
      <c r="O32" s="745" t="s">
        <v>51</v>
      </c>
      <c r="P32" s="746"/>
      <c r="R32" s="2"/>
      <c r="S32" s="2"/>
    </row>
    <row r="33" spans="1:21" s="296" customFormat="1" ht="20.149999999999999" customHeight="1">
      <c r="A33" s="747">
        <v>7</v>
      </c>
      <c r="B33" s="750" t="s">
        <v>251</v>
      </c>
      <c r="C33" s="286">
        <v>1</v>
      </c>
      <c r="D33" s="287"/>
      <c r="E33" s="288"/>
      <c r="F33" s="289"/>
      <c r="G33" s="290"/>
      <c r="H33" s="291"/>
      <c r="I33" s="292"/>
      <c r="J33" s="293"/>
      <c r="K33" s="294"/>
      <c r="L33" s="295"/>
      <c r="M33" s="342">
        <f t="shared" ref="M33:M35" si="3">L33*J33</f>
        <v>0</v>
      </c>
      <c r="N33" s="295"/>
      <c r="O33" s="753"/>
      <c r="P33" s="754"/>
      <c r="R33" s="2"/>
      <c r="S33" s="2"/>
    </row>
    <row r="34" spans="1:21" s="296" customFormat="1" ht="20.149999999999999" customHeight="1">
      <c r="A34" s="748"/>
      <c r="B34" s="751"/>
      <c r="C34" s="286">
        <v>2</v>
      </c>
      <c r="D34" s="287"/>
      <c r="E34" s="288"/>
      <c r="F34" s="289"/>
      <c r="G34" s="290"/>
      <c r="H34" s="291"/>
      <c r="I34" s="292"/>
      <c r="J34" s="293"/>
      <c r="K34" s="294"/>
      <c r="L34" s="295"/>
      <c r="M34" s="342">
        <f t="shared" si="3"/>
        <v>0</v>
      </c>
      <c r="N34" s="295"/>
      <c r="O34" s="755"/>
      <c r="P34" s="756"/>
      <c r="R34" s="2"/>
      <c r="S34" s="2"/>
    </row>
    <row r="35" spans="1:21" s="296" customFormat="1" ht="20.149999999999999" customHeight="1">
      <c r="A35" s="748"/>
      <c r="B35" s="751"/>
      <c r="C35" s="286">
        <v>3</v>
      </c>
      <c r="D35" s="287"/>
      <c r="E35" s="288"/>
      <c r="F35" s="289"/>
      <c r="G35" s="290"/>
      <c r="H35" s="291"/>
      <c r="I35" s="292"/>
      <c r="J35" s="293"/>
      <c r="K35" s="294"/>
      <c r="L35" s="295"/>
      <c r="M35" s="342">
        <f t="shared" si="3"/>
        <v>0</v>
      </c>
      <c r="N35" s="295"/>
      <c r="O35" s="755"/>
      <c r="P35" s="756"/>
      <c r="R35" s="2"/>
      <c r="S35" s="2"/>
    </row>
    <row r="36" spans="1:21" s="296" customFormat="1" ht="20.149999999999999" customHeight="1">
      <c r="A36" s="748"/>
      <c r="B36" s="751"/>
      <c r="C36" s="286">
        <v>4</v>
      </c>
      <c r="D36" s="287"/>
      <c r="E36" s="288"/>
      <c r="F36" s="289"/>
      <c r="G36" s="290"/>
      <c r="H36" s="291"/>
      <c r="I36" s="292"/>
      <c r="J36" s="293"/>
      <c r="K36" s="294"/>
      <c r="L36" s="295"/>
      <c r="M36" s="343">
        <v>0</v>
      </c>
      <c r="N36" s="295"/>
      <c r="O36" s="306"/>
      <c r="P36" s="307"/>
      <c r="R36" s="2"/>
      <c r="S36" s="2"/>
    </row>
    <row r="37" spans="1:21" s="296" customFormat="1" ht="20.149999999999999" customHeight="1" thickBot="1">
      <c r="A37" s="748"/>
      <c r="B37" s="751"/>
      <c r="C37" s="286">
        <v>5</v>
      </c>
      <c r="D37" s="297"/>
      <c r="E37" s="298"/>
      <c r="F37" s="299"/>
      <c r="G37" s="290"/>
      <c r="H37" s="291"/>
      <c r="I37" s="292"/>
      <c r="J37" s="435"/>
      <c r="K37" s="428"/>
      <c r="L37" s="328"/>
      <c r="M37" s="344">
        <v>0</v>
      </c>
      <c r="N37" s="295"/>
      <c r="O37" s="308"/>
      <c r="P37" s="309"/>
      <c r="R37" s="2"/>
      <c r="S37" s="2"/>
    </row>
    <row r="38" spans="1:21" s="296" customFormat="1" ht="15.75" customHeight="1" thickTop="1" thickBot="1">
      <c r="A38" s="749"/>
      <c r="B38" s="752"/>
      <c r="C38" s="757"/>
      <c r="D38" s="758"/>
      <c r="E38" s="758"/>
      <c r="F38" s="758"/>
      <c r="G38" s="758"/>
      <c r="H38" s="758"/>
      <c r="I38" s="759"/>
      <c r="J38" s="363" t="s">
        <v>58</v>
      </c>
      <c r="K38" s="213">
        <f>M38/'生產管理報表 7-1 (週)'!$B$9</f>
        <v>0</v>
      </c>
      <c r="L38" s="364" t="s">
        <v>59</v>
      </c>
      <c r="M38" s="436">
        <f>SUM(M33:M37)</f>
        <v>0</v>
      </c>
      <c r="N38" s="734"/>
      <c r="O38" s="735"/>
      <c r="P38" s="736"/>
      <c r="R38" s="2"/>
      <c r="S38" s="2"/>
      <c r="T38" s="2"/>
    </row>
    <row r="39" spans="1:21" s="136" customFormat="1" ht="15.75" customHeight="1" thickTop="1">
      <c r="A39" s="866" t="s">
        <v>682</v>
      </c>
      <c r="B39" s="866"/>
      <c r="C39" s="866"/>
      <c r="D39" s="866"/>
      <c r="E39" s="866"/>
      <c r="F39" s="866"/>
      <c r="G39" s="866"/>
      <c r="H39" s="866"/>
      <c r="I39" s="866"/>
      <c r="J39" s="866"/>
      <c r="K39" s="866"/>
      <c r="L39" s="866"/>
      <c r="M39" s="866"/>
      <c r="R39" s="238"/>
      <c r="S39" s="238"/>
      <c r="T39" s="238"/>
      <c r="U39" s="238"/>
    </row>
    <row r="40" spans="1:21" s="137" customFormat="1" ht="15.75" customHeight="1">
      <c r="A40" s="799"/>
      <c r="B40" s="799"/>
      <c r="C40" s="799"/>
      <c r="D40" s="799"/>
      <c r="E40" s="799"/>
      <c r="F40" s="799"/>
      <c r="G40" s="799"/>
      <c r="H40" s="799"/>
      <c r="I40" s="799"/>
      <c r="J40" s="799"/>
      <c r="K40" s="799"/>
      <c r="L40" s="799"/>
      <c r="M40" s="799"/>
    </row>
    <row r="41" spans="1:21" s="136" customFormat="1" ht="15.75" customHeight="1">
      <c r="A41" s="800" t="s">
        <v>193</v>
      </c>
      <c r="B41" s="802">
        <v>1</v>
      </c>
      <c r="C41" s="803"/>
      <c r="D41" s="802">
        <v>2</v>
      </c>
      <c r="E41" s="803"/>
      <c r="F41" s="802">
        <v>3</v>
      </c>
      <c r="G41" s="803"/>
      <c r="H41" s="793">
        <v>4</v>
      </c>
      <c r="I41" s="794"/>
      <c r="J41" s="793">
        <v>5</v>
      </c>
      <c r="K41" s="794"/>
      <c r="L41" s="793">
        <v>6</v>
      </c>
      <c r="M41" s="794"/>
      <c r="N41" s="793">
        <v>7</v>
      </c>
      <c r="O41" s="794"/>
      <c r="P41" s="338">
        <v>8</v>
      </c>
    </row>
    <row r="42" spans="1:21" s="136" customFormat="1" ht="15.75" customHeight="1">
      <c r="A42" s="801"/>
      <c r="B42" s="797" t="s">
        <v>500</v>
      </c>
      <c r="C42" s="798"/>
      <c r="D42" s="797" t="s">
        <v>214</v>
      </c>
      <c r="E42" s="798"/>
      <c r="F42" s="797" t="s">
        <v>168</v>
      </c>
      <c r="G42" s="798"/>
      <c r="H42" s="795" t="s">
        <v>465</v>
      </c>
      <c r="I42" s="796"/>
      <c r="J42" s="795" t="s">
        <v>191</v>
      </c>
      <c r="K42" s="796"/>
      <c r="L42" s="795" t="s">
        <v>169</v>
      </c>
      <c r="M42" s="796"/>
      <c r="N42" s="795" t="s">
        <v>192</v>
      </c>
      <c r="O42" s="796"/>
      <c r="P42" s="339" t="s">
        <v>219</v>
      </c>
    </row>
    <row r="43" spans="1:21" s="136" customFormat="1" ht="15.75" customHeight="1">
      <c r="B43" s="239"/>
      <c r="C43" s="240"/>
    </row>
    <row r="44" spans="1:21" s="285" customFormat="1" ht="15.75" customHeight="1">
      <c r="A44" s="737" t="s">
        <v>193</v>
      </c>
      <c r="B44" s="738"/>
      <c r="C44" s="282" t="s">
        <v>47</v>
      </c>
      <c r="D44" s="765" t="s">
        <v>12</v>
      </c>
      <c r="E44" s="766"/>
      <c r="F44" s="767"/>
      <c r="G44" s="768" t="s">
        <v>53</v>
      </c>
      <c r="H44" s="769"/>
      <c r="I44" s="770"/>
      <c r="J44" s="283" t="s">
        <v>54</v>
      </c>
      <c r="K44" s="283" t="s">
        <v>55</v>
      </c>
      <c r="L44" s="283" t="s">
        <v>56</v>
      </c>
      <c r="M44" s="284" t="s">
        <v>11</v>
      </c>
      <c r="N44" s="284" t="s">
        <v>335</v>
      </c>
      <c r="O44" s="745" t="s">
        <v>51</v>
      </c>
      <c r="P44" s="746"/>
      <c r="R44" s="211"/>
      <c r="S44" s="268"/>
    </row>
    <row r="45" spans="1:21" s="305" customFormat="1" ht="20.149999999999999" customHeight="1">
      <c r="A45" s="747">
        <v>4</v>
      </c>
      <c r="B45" s="781" t="s">
        <v>465</v>
      </c>
      <c r="C45" s="286">
        <v>1</v>
      </c>
      <c r="D45" s="244"/>
      <c r="E45" s="245"/>
      <c r="F45" s="246"/>
      <c r="G45" s="370"/>
      <c r="H45" s="312"/>
      <c r="I45" s="313"/>
      <c r="J45" s="323"/>
      <c r="K45" s="324"/>
      <c r="L45" s="325"/>
      <c r="M45" s="333">
        <f t="shared" ref="M45:M49" si="4">L45*J45</f>
        <v>0</v>
      </c>
      <c r="N45" s="325"/>
      <c r="O45" s="784"/>
      <c r="P45" s="785"/>
      <c r="R45" s="326"/>
      <c r="S45" s="268"/>
    </row>
    <row r="46" spans="1:21" s="305" customFormat="1" ht="20.149999999999999" customHeight="1">
      <c r="A46" s="748"/>
      <c r="B46" s="782"/>
      <c r="C46" s="286">
        <v>2</v>
      </c>
      <c r="D46" s="244"/>
      <c r="E46" s="245"/>
      <c r="F46" s="246"/>
      <c r="G46" s="370"/>
      <c r="H46" s="312"/>
      <c r="I46" s="313"/>
      <c r="J46" s="323"/>
      <c r="K46" s="324"/>
      <c r="L46" s="325"/>
      <c r="M46" s="333">
        <f t="shared" si="4"/>
        <v>0</v>
      </c>
      <c r="N46" s="325"/>
      <c r="O46" s="777"/>
      <c r="P46" s="778"/>
      <c r="R46" s="326"/>
      <c r="S46" s="211"/>
      <c r="T46" s="350"/>
    </row>
    <row r="47" spans="1:21" s="305" customFormat="1" ht="20.149999999999999" customHeight="1">
      <c r="A47" s="748"/>
      <c r="B47" s="782"/>
      <c r="C47" s="286">
        <v>3</v>
      </c>
      <c r="D47" s="244"/>
      <c r="E47" s="245"/>
      <c r="F47" s="246"/>
      <c r="G47" s="370"/>
      <c r="H47" s="312"/>
      <c r="I47" s="313"/>
      <c r="J47" s="323"/>
      <c r="K47" s="324"/>
      <c r="L47" s="325"/>
      <c r="M47" s="333">
        <f t="shared" si="4"/>
        <v>0</v>
      </c>
      <c r="N47" s="325"/>
      <c r="O47" s="784"/>
      <c r="P47" s="785"/>
      <c r="R47" s="326"/>
      <c r="S47" s="268"/>
    </row>
    <row r="48" spans="1:21" s="305" customFormat="1" ht="20.149999999999999" customHeight="1">
      <c r="A48" s="748"/>
      <c r="B48" s="782"/>
      <c r="C48" s="286">
        <v>4</v>
      </c>
      <c r="D48" s="244"/>
      <c r="E48" s="245"/>
      <c r="F48" s="246"/>
      <c r="G48" s="370"/>
      <c r="H48" s="312"/>
      <c r="I48" s="313"/>
      <c r="J48" s="323"/>
      <c r="K48" s="324"/>
      <c r="L48" s="325"/>
      <c r="M48" s="333">
        <f t="shared" si="4"/>
        <v>0</v>
      </c>
      <c r="N48" s="325"/>
      <c r="O48" s="784"/>
      <c r="P48" s="785"/>
      <c r="R48" s="326"/>
      <c r="S48" s="211"/>
      <c r="T48" s="350"/>
    </row>
    <row r="49" spans="1:20" s="305" customFormat="1" ht="20.149999999999999" customHeight="1" thickBot="1">
      <c r="A49" s="748"/>
      <c r="B49" s="782"/>
      <c r="C49" s="286">
        <v>5</v>
      </c>
      <c r="D49" s="244"/>
      <c r="E49" s="252"/>
      <c r="F49" s="253"/>
      <c r="G49" s="370"/>
      <c r="H49" s="312"/>
      <c r="I49" s="313"/>
      <c r="J49" s="435"/>
      <c r="K49" s="428"/>
      <c r="L49" s="328"/>
      <c r="M49" s="333">
        <f t="shared" si="4"/>
        <v>0</v>
      </c>
      <c r="N49" s="325"/>
      <c r="O49" s="784"/>
      <c r="P49" s="785"/>
      <c r="R49" s="329"/>
      <c r="S49" s="268"/>
      <c r="T49" s="296"/>
    </row>
    <row r="50" spans="1:20" s="296" customFormat="1" ht="15.75" customHeight="1" thickTop="1" thickBot="1">
      <c r="A50" s="749"/>
      <c r="B50" s="783"/>
      <c r="C50" s="790"/>
      <c r="D50" s="791"/>
      <c r="E50" s="791"/>
      <c r="F50" s="791"/>
      <c r="G50" s="791"/>
      <c r="H50" s="791"/>
      <c r="I50" s="792"/>
      <c r="J50" s="363" t="s">
        <v>58</v>
      </c>
      <c r="K50" s="213">
        <f>M50/'生產管理報表 7-1 (週)'!$B$20</f>
        <v>0</v>
      </c>
      <c r="L50" s="364" t="s">
        <v>59</v>
      </c>
      <c r="M50" s="436">
        <f>SUM(M45:M49)</f>
        <v>0</v>
      </c>
      <c r="N50" s="734"/>
      <c r="O50" s="735"/>
      <c r="P50" s="736"/>
      <c r="R50" s="211"/>
      <c r="S50" s="211"/>
    </row>
    <row r="51" spans="1:20" s="296" customFormat="1" ht="15.75" customHeight="1" thickTop="1">
      <c r="B51" s="304"/>
      <c r="C51" s="305"/>
      <c r="M51" s="340"/>
      <c r="S51" s="268"/>
    </row>
    <row r="52" spans="1:20" s="296" customFormat="1" ht="15.75" customHeight="1">
      <c r="A52" s="737" t="s">
        <v>193</v>
      </c>
      <c r="B52" s="738"/>
      <c r="C52" s="282" t="s">
        <v>47</v>
      </c>
      <c r="D52" s="765" t="s">
        <v>12</v>
      </c>
      <c r="E52" s="766"/>
      <c r="F52" s="767"/>
      <c r="G52" s="768" t="s">
        <v>53</v>
      </c>
      <c r="H52" s="769"/>
      <c r="I52" s="770"/>
      <c r="J52" s="283" t="s">
        <v>54</v>
      </c>
      <c r="K52" s="283" t="s">
        <v>55</v>
      </c>
      <c r="L52" s="283" t="s">
        <v>56</v>
      </c>
      <c r="M52" s="341" t="s">
        <v>11</v>
      </c>
      <c r="N52" s="284" t="s">
        <v>335</v>
      </c>
      <c r="O52" s="745" t="s">
        <v>51</v>
      </c>
      <c r="P52" s="746"/>
      <c r="S52" s="211"/>
      <c r="T52" s="350"/>
    </row>
    <row r="53" spans="1:20" s="305" customFormat="1" ht="40" customHeight="1">
      <c r="A53" s="747">
        <v>5</v>
      </c>
      <c r="B53" s="760" t="s">
        <v>217</v>
      </c>
      <c r="C53" s="286">
        <v>1</v>
      </c>
      <c r="D53" s="244" t="s">
        <v>359</v>
      </c>
      <c r="E53" s="245"/>
      <c r="F53" s="246"/>
      <c r="G53" s="313" t="s">
        <v>370</v>
      </c>
      <c r="H53" s="312"/>
      <c r="I53" s="313"/>
      <c r="J53" s="323">
        <v>96</v>
      </c>
      <c r="K53" s="324">
        <v>1.8126791971965598E-2</v>
      </c>
      <c r="L53" s="325">
        <v>11.38</v>
      </c>
      <c r="M53" s="333">
        <f>L53*J53</f>
        <v>1092.48</v>
      </c>
      <c r="N53" s="325"/>
      <c r="O53" s="777" t="s">
        <v>598</v>
      </c>
      <c r="P53" s="778"/>
      <c r="R53" s="444"/>
      <c r="S53" s="437"/>
    </row>
    <row r="54" spans="1:20" s="305" customFormat="1" ht="20.149999999999999" customHeight="1">
      <c r="A54" s="748"/>
      <c r="B54" s="761"/>
      <c r="C54" s="286">
        <v>2</v>
      </c>
      <c r="D54" s="244"/>
      <c r="E54" s="245"/>
      <c r="F54" s="246"/>
      <c r="G54" s="370"/>
      <c r="H54" s="312"/>
      <c r="I54" s="313"/>
      <c r="J54" s="323"/>
      <c r="K54" s="324"/>
      <c r="L54" s="325"/>
      <c r="M54" s="333">
        <f t="shared" ref="M54:M57" si="5">L54*J54</f>
        <v>0</v>
      </c>
      <c r="N54" s="325"/>
      <c r="O54" s="777"/>
      <c r="P54" s="778"/>
      <c r="S54" s="211"/>
      <c r="T54" s="351"/>
    </row>
    <row r="55" spans="1:20" s="296" customFormat="1" ht="20.149999999999999" customHeight="1">
      <c r="A55" s="748"/>
      <c r="B55" s="761"/>
      <c r="C55" s="286">
        <v>3</v>
      </c>
      <c r="D55" s="244"/>
      <c r="E55" s="288"/>
      <c r="F55" s="289"/>
      <c r="G55" s="370"/>
      <c r="H55" s="312"/>
      <c r="I55" s="313"/>
      <c r="J55" s="323"/>
      <c r="K55" s="324"/>
      <c r="L55" s="325"/>
      <c r="M55" s="333">
        <f t="shared" si="5"/>
        <v>0</v>
      </c>
      <c r="N55" s="295"/>
      <c r="O55" s="773"/>
      <c r="P55" s="774"/>
    </row>
    <row r="56" spans="1:20" s="296" customFormat="1" ht="20.149999999999999" customHeight="1">
      <c r="A56" s="748"/>
      <c r="B56" s="761"/>
      <c r="C56" s="286">
        <v>4</v>
      </c>
      <c r="D56" s="244"/>
      <c r="E56" s="288"/>
      <c r="F56" s="289"/>
      <c r="G56" s="370"/>
      <c r="H56" s="312"/>
      <c r="I56" s="313"/>
      <c r="J56" s="323"/>
      <c r="K56" s="324"/>
      <c r="L56" s="325"/>
      <c r="M56" s="333">
        <f t="shared" si="5"/>
        <v>0</v>
      </c>
      <c r="N56" s="295"/>
      <c r="O56" s="777"/>
      <c r="P56" s="778"/>
    </row>
    <row r="57" spans="1:20" s="296" customFormat="1" ht="20.149999999999999" customHeight="1" thickBot="1">
      <c r="A57" s="748"/>
      <c r="B57" s="761"/>
      <c r="C57" s="286">
        <v>5</v>
      </c>
      <c r="D57" s="251"/>
      <c r="E57" s="298"/>
      <c r="F57" s="299"/>
      <c r="G57" s="370"/>
      <c r="H57" s="312"/>
      <c r="I57" s="313"/>
      <c r="J57" s="435"/>
      <c r="K57" s="428"/>
      <c r="L57" s="328"/>
      <c r="M57" s="333">
        <f t="shared" si="5"/>
        <v>0</v>
      </c>
      <c r="N57" s="295"/>
      <c r="O57" s="867"/>
      <c r="P57" s="868"/>
      <c r="R57" s="212"/>
    </row>
    <row r="58" spans="1:20" s="296" customFormat="1" ht="15.75" customHeight="1" thickTop="1" thickBot="1">
      <c r="A58" s="749"/>
      <c r="B58" s="762"/>
      <c r="C58" s="757"/>
      <c r="D58" s="758"/>
      <c r="E58" s="758"/>
      <c r="F58" s="758"/>
      <c r="G58" s="758"/>
      <c r="H58" s="758"/>
      <c r="I58" s="759"/>
      <c r="J58" s="363" t="s">
        <v>58</v>
      </c>
      <c r="K58" s="213">
        <f>M58/'生產管理報表 7-1 (週)'!$B$20</f>
        <v>1.5866473733707739E-2</v>
      </c>
      <c r="L58" s="364" t="s">
        <v>59</v>
      </c>
      <c r="M58" s="436">
        <f>SUM(M53:M57)</f>
        <v>1092.48</v>
      </c>
      <c r="N58" s="734"/>
      <c r="O58" s="735"/>
      <c r="P58" s="736"/>
      <c r="R58" s="211"/>
    </row>
    <row r="59" spans="1:20" s="296" customFormat="1" ht="15.75" customHeight="1" thickTop="1">
      <c r="B59" s="304"/>
      <c r="C59" s="305"/>
      <c r="M59" s="340"/>
      <c r="R59" s="211"/>
    </row>
    <row r="60" spans="1:20" s="296" customFormat="1" ht="15.75" customHeight="1">
      <c r="A60" s="737" t="s">
        <v>193</v>
      </c>
      <c r="B60" s="738"/>
      <c r="C60" s="310" t="s">
        <v>47</v>
      </c>
      <c r="D60" s="739" t="s">
        <v>12</v>
      </c>
      <c r="E60" s="740"/>
      <c r="F60" s="741"/>
      <c r="G60" s="742" t="s">
        <v>53</v>
      </c>
      <c r="H60" s="743"/>
      <c r="I60" s="744"/>
      <c r="J60" s="311" t="s">
        <v>54</v>
      </c>
      <c r="K60" s="283" t="s">
        <v>55</v>
      </c>
      <c r="L60" s="283" t="s">
        <v>56</v>
      </c>
      <c r="M60" s="341" t="s">
        <v>11</v>
      </c>
      <c r="N60" s="284" t="s">
        <v>335</v>
      </c>
      <c r="O60" s="745" t="s">
        <v>51</v>
      </c>
      <c r="P60" s="746"/>
      <c r="R60" s="211"/>
      <c r="S60" s="2"/>
    </row>
    <row r="61" spans="1:20" s="296" customFormat="1" ht="40" customHeight="1">
      <c r="A61" s="747">
        <v>6</v>
      </c>
      <c r="B61" s="760" t="s">
        <v>218</v>
      </c>
      <c r="C61" s="286">
        <v>1</v>
      </c>
      <c r="D61" s="352" t="s">
        <v>343</v>
      </c>
      <c r="E61" s="288"/>
      <c r="F61" s="289"/>
      <c r="G61" s="313" t="s">
        <v>337</v>
      </c>
      <c r="H61" s="312"/>
      <c r="I61" s="313"/>
      <c r="J61" s="323">
        <v>15.450000000000001</v>
      </c>
      <c r="K61" s="324">
        <v>4.002700617283951E-3</v>
      </c>
      <c r="L61" s="325">
        <v>83</v>
      </c>
      <c r="M61" s="333">
        <f t="shared" ref="M61" si="6">L61*J61</f>
        <v>1282.3500000000001</v>
      </c>
      <c r="N61" s="295"/>
      <c r="O61" s="773" t="s">
        <v>599</v>
      </c>
      <c r="P61" s="774"/>
      <c r="R61" s="351"/>
      <c r="S61" s="445"/>
    </row>
    <row r="62" spans="1:20" s="296" customFormat="1" ht="20.149999999999999" customHeight="1">
      <c r="A62" s="748"/>
      <c r="B62" s="761"/>
      <c r="C62" s="286">
        <v>2</v>
      </c>
      <c r="D62" s="287"/>
      <c r="E62" s="288"/>
      <c r="F62" s="289"/>
      <c r="G62" s="290"/>
      <c r="H62" s="291"/>
      <c r="I62" s="292"/>
      <c r="J62" s="293"/>
      <c r="K62" s="294"/>
      <c r="L62" s="295"/>
      <c r="M62" s="342">
        <v>0</v>
      </c>
      <c r="N62" s="295"/>
      <c r="O62" s="306"/>
      <c r="P62" s="307"/>
      <c r="S62" s="2"/>
    </row>
    <row r="63" spans="1:20" s="296" customFormat="1" ht="20.149999999999999" customHeight="1">
      <c r="A63" s="748"/>
      <c r="B63" s="761"/>
      <c r="C63" s="286">
        <v>3</v>
      </c>
      <c r="D63" s="287"/>
      <c r="E63" s="288"/>
      <c r="F63" s="289"/>
      <c r="G63" s="290"/>
      <c r="H63" s="291"/>
      <c r="I63" s="292"/>
      <c r="J63" s="293"/>
      <c r="K63" s="294"/>
      <c r="L63" s="295"/>
      <c r="M63" s="342">
        <v>0</v>
      </c>
      <c r="N63" s="295"/>
      <c r="O63" s="306"/>
      <c r="P63" s="307"/>
      <c r="S63" s="2"/>
    </row>
    <row r="64" spans="1:20" s="296" customFormat="1" ht="20.149999999999999" customHeight="1">
      <c r="A64" s="748"/>
      <c r="B64" s="761"/>
      <c r="C64" s="286">
        <v>4</v>
      </c>
      <c r="D64" s="287"/>
      <c r="E64" s="288"/>
      <c r="F64" s="289"/>
      <c r="G64" s="290"/>
      <c r="H64" s="291"/>
      <c r="I64" s="292"/>
      <c r="J64" s="293"/>
      <c r="K64" s="294"/>
      <c r="L64" s="295"/>
      <c r="M64" s="342">
        <v>0</v>
      </c>
      <c r="N64" s="295"/>
      <c r="O64" s="306"/>
      <c r="P64" s="307"/>
      <c r="R64" s="2"/>
      <c r="S64" s="2"/>
    </row>
    <row r="65" spans="1:21" s="296" customFormat="1" ht="20.149999999999999" customHeight="1" thickBot="1">
      <c r="A65" s="748"/>
      <c r="B65" s="761"/>
      <c r="C65" s="286">
        <v>5</v>
      </c>
      <c r="D65" s="297"/>
      <c r="E65" s="298"/>
      <c r="F65" s="299"/>
      <c r="G65" s="290"/>
      <c r="H65" s="291"/>
      <c r="I65" s="292"/>
      <c r="J65" s="435"/>
      <c r="K65" s="428"/>
      <c r="L65" s="328"/>
      <c r="M65" s="333">
        <v>0</v>
      </c>
      <c r="N65" s="295"/>
      <c r="O65" s="308"/>
      <c r="P65" s="309"/>
      <c r="R65" s="2"/>
      <c r="S65" s="2"/>
    </row>
    <row r="66" spans="1:21" s="296" customFormat="1" ht="15.75" customHeight="1" thickTop="1" thickBot="1">
      <c r="A66" s="749"/>
      <c r="B66" s="762"/>
      <c r="C66" s="757"/>
      <c r="D66" s="758"/>
      <c r="E66" s="758"/>
      <c r="F66" s="758"/>
      <c r="G66" s="758"/>
      <c r="H66" s="758"/>
      <c r="I66" s="759"/>
      <c r="J66" s="363" t="s">
        <v>58</v>
      </c>
      <c r="K66" s="213">
        <f>M66/'生產管理報表 7-1 (週)'!$B$20</f>
        <v>1.8624022950003771E-2</v>
      </c>
      <c r="L66" s="364" t="s">
        <v>59</v>
      </c>
      <c r="M66" s="436">
        <f>SUM(M61:M65)</f>
        <v>1282.3500000000001</v>
      </c>
      <c r="N66" s="734"/>
      <c r="O66" s="735"/>
      <c r="P66" s="736"/>
      <c r="R66" s="2"/>
      <c r="S66" s="2"/>
    </row>
    <row r="67" spans="1:21" s="296" customFormat="1" ht="15.75" customHeight="1" thickTop="1">
      <c r="B67" s="304"/>
      <c r="C67" s="305"/>
      <c r="M67" s="340"/>
      <c r="R67" s="2"/>
      <c r="S67" s="2"/>
    </row>
    <row r="68" spans="1:21" s="296" customFormat="1" ht="15.75" customHeight="1">
      <c r="A68" s="737" t="s">
        <v>193</v>
      </c>
      <c r="B68" s="738"/>
      <c r="C68" s="310" t="s">
        <v>47</v>
      </c>
      <c r="D68" s="739" t="s">
        <v>12</v>
      </c>
      <c r="E68" s="740"/>
      <c r="F68" s="741"/>
      <c r="G68" s="742" t="s">
        <v>53</v>
      </c>
      <c r="H68" s="743"/>
      <c r="I68" s="744"/>
      <c r="J68" s="311" t="s">
        <v>54</v>
      </c>
      <c r="K68" s="283" t="s">
        <v>55</v>
      </c>
      <c r="L68" s="283" t="s">
        <v>56</v>
      </c>
      <c r="M68" s="341" t="s">
        <v>11</v>
      </c>
      <c r="N68" s="284" t="s">
        <v>335</v>
      </c>
      <c r="O68" s="745" t="s">
        <v>51</v>
      </c>
      <c r="P68" s="746"/>
      <c r="R68" s="2"/>
      <c r="S68" s="2"/>
    </row>
    <row r="69" spans="1:21" s="296" customFormat="1" ht="20.149999999999999" customHeight="1">
      <c r="A69" s="747">
        <v>7</v>
      </c>
      <c r="B69" s="750" t="s">
        <v>251</v>
      </c>
      <c r="C69" s="286">
        <v>1</v>
      </c>
      <c r="D69" s="287"/>
      <c r="E69" s="288"/>
      <c r="F69" s="289"/>
      <c r="G69" s="290"/>
      <c r="H69" s="291"/>
      <c r="I69" s="292"/>
      <c r="J69" s="293"/>
      <c r="K69" s="294"/>
      <c r="L69" s="295"/>
      <c r="M69" s="342">
        <f t="shared" ref="M69:M71" si="7">L69*J69</f>
        <v>0</v>
      </c>
      <c r="N69" s="295"/>
      <c r="O69" s="753"/>
      <c r="P69" s="754"/>
      <c r="R69" s="2"/>
      <c r="S69" s="2"/>
    </row>
    <row r="70" spans="1:21" s="296" customFormat="1" ht="20.149999999999999" customHeight="1">
      <c r="A70" s="748"/>
      <c r="B70" s="751"/>
      <c r="C70" s="286">
        <v>2</v>
      </c>
      <c r="D70" s="287"/>
      <c r="E70" s="288"/>
      <c r="F70" s="289"/>
      <c r="G70" s="290"/>
      <c r="H70" s="291"/>
      <c r="I70" s="292"/>
      <c r="J70" s="293"/>
      <c r="K70" s="294"/>
      <c r="L70" s="295"/>
      <c r="M70" s="342">
        <f t="shared" si="7"/>
        <v>0</v>
      </c>
      <c r="N70" s="295"/>
      <c r="O70" s="755"/>
      <c r="P70" s="756"/>
      <c r="R70" s="2"/>
      <c r="S70" s="2"/>
    </row>
    <row r="71" spans="1:21" s="296" customFormat="1" ht="20.149999999999999" customHeight="1">
      <c r="A71" s="748"/>
      <c r="B71" s="751"/>
      <c r="C71" s="286">
        <v>3</v>
      </c>
      <c r="D71" s="287"/>
      <c r="E71" s="288"/>
      <c r="F71" s="289"/>
      <c r="G71" s="290"/>
      <c r="H71" s="291"/>
      <c r="I71" s="292"/>
      <c r="J71" s="293"/>
      <c r="K71" s="294"/>
      <c r="L71" s="295"/>
      <c r="M71" s="342">
        <f t="shared" si="7"/>
        <v>0</v>
      </c>
      <c r="N71" s="295"/>
      <c r="O71" s="755"/>
      <c r="P71" s="756"/>
      <c r="R71" s="2"/>
      <c r="S71" s="2"/>
    </row>
    <row r="72" spans="1:21" s="296" customFormat="1" ht="20.149999999999999" customHeight="1">
      <c r="A72" s="748"/>
      <c r="B72" s="751"/>
      <c r="C72" s="286">
        <v>4</v>
      </c>
      <c r="D72" s="287"/>
      <c r="E72" s="288"/>
      <c r="F72" s="289"/>
      <c r="G72" s="290"/>
      <c r="H72" s="291"/>
      <c r="I72" s="292"/>
      <c r="J72" s="293"/>
      <c r="K72" s="294"/>
      <c r="L72" s="295"/>
      <c r="M72" s="343">
        <v>0</v>
      </c>
      <c r="N72" s="295"/>
      <c r="O72" s="306"/>
      <c r="P72" s="307"/>
      <c r="R72" s="2"/>
      <c r="S72" s="2"/>
    </row>
    <row r="73" spans="1:21" s="296" customFormat="1" ht="20.149999999999999" customHeight="1" thickBot="1">
      <c r="A73" s="748"/>
      <c r="B73" s="751"/>
      <c r="C73" s="286">
        <v>5</v>
      </c>
      <c r="D73" s="297"/>
      <c r="E73" s="298"/>
      <c r="F73" s="299"/>
      <c r="G73" s="290"/>
      <c r="H73" s="291"/>
      <c r="I73" s="292"/>
      <c r="J73" s="435"/>
      <c r="K73" s="428"/>
      <c r="L73" s="328"/>
      <c r="M73" s="344">
        <v>0</v>
      </c>
      <c r="N73" s="295"/>
      <c r="O73" s="308"/>
      <c r="P73" s="309"/>
      <c r="R73" s="2"/>
      <c r="S73" s="2"/>
    </row>
    <row r="74" spans="1:21" s="296" customFormat="1" ht="15.75" customHeight="1" thickTop="1" thickBot="1">
      <c r="A74" s="749"/>
      <c r="B74" s="752"/>
      <c r="C74" s="757"/>
      <c r="D74" s="758"/>
      <c r="E74" s="758"/>
      <c r="F74" s="758"/>
      <c r="G74" s="758"/>
      <c r="H74" s="758"/>
      <c r="I74" s="759"/>
      <c r="J74" s="363" t="s">
        <v>58</v>
      </c>
      <c r="K74" s="213">
        <f>M74/'生產管理報表 7-1 (週)'!$B$20</f>
        <v>0</v>
      </c>
      <c r="L74" s="364" t="s">
        <v>59</v>
      </c>
      <c r="M74" s="436">
        <f>SUM(M69:M73)</f>
        <v>0</v>
      </c>
      <c r="N74" s="734"/>
      <c r="O74" s="735"/>
      <c r="P74" s="736"/>
      <c r="R74" s="2"/>
      <c r="S74" s="2"/>
      <c r="T74" s="2"/>
    </row>
    <row r="75" spans="1:21" s="136" customFormat="1" ht="15.75" customHeight="1" thickTop="1">
      <c r="A75" s="866" t="s">
        <v>683</v>
      </c>
      <c r="B75" s="866"/>
      <c r="C75" s="866"/>
      <c r="D75" s="866"/>
      <c r="E75" s="866"/>
      <c r="F75" s="866"/>
      <c r="G75" s="866"/>
      <c r="H75" s="866"/>
      <c r="I75" s="866"/>
      <c r="J75" s="866"/>
      <c r="K75" s="866"/>
      <c r="L75" s="866"/>
      <c r="M75" s="866"/>
      <c r="R75" s="238"/>
      <c r="S75" s="238"/>
      <c r="T75" s="238"/>
      <c r="U75" s="238"/>
    </row>
    <row r="76" spans="1:21" s="137" customFormat="1" ht="15.75" customHeight="1">
      <c r="A76" s="799"/>
      <c r="B76" s="799"/>
      <c r="C76" s="799"/>
      <c r="D76" s="799"/>
      <c r="E76" s="799"/>
      <c r="F76" s="799"/>
      <c r="G76" s="799"/>
      <c r="H76" s="799"/>
      <c r="I76" s="799"/>
      <c r="J76" s="799"/>
      <c r="K76" s="799"/>
      <c r="L76" s="799"/>
      <c r="M76" s="799"/>
    </row>
    <row r="77" spans="1:21" s="136" customFormat="1" ht="15.75" customHeight="1">
      <c r="A77" s="800" t="s">
        <v>193</v>
      </c>
      <c r="B77" s="802">
        <v>1</v>
      </c>
      <c r="C77" s="803"/>
      <c r="D77" s="802">
        <v>2</v>
      </c>
      <c r="E77" s="803"/>
      <c r="F77" s="802">
        <v>3</v>
      </c>
      <c r="G77" s="803"/>
      <c r="H77" s="793">
        <v>4</v>
      </c>
      <c r="I77" s="794"/>
      <c r="J77" s="793">
        <v>5</v>
      </c>
      <c r="K77" s="794"/>
      <c r="L77" s="793">
        <v>6</v>
      </c>
      <c r="M77" s="794"/>
      <c r="N77" s="793">
        <v>7</v>
      </c>
      <c r="O77" s="794"/>
      <c r="P77" s="338">
        <v>8</v>
      </c>
    </row>
    <row r="78" spans="1:21" s="136" customFormat="1" ht="15.75" customHeight="1">
      <c r="A78" s="801"/>
      <c r="B78" s="797" t="s">
        <v>500</v>
      </c>
      <c r="C78" s="798"/>
      <c r="D78" s="797" t="s">
        <v>214</v>
      </c>
      <c r="E78" s="798"/>
      <c r="F78" s="797" t="s">
        <v>168</v>
      </c>
      <c r="G78" s="798"/>
      <c r="H78" s="795" t="s">
        <v>465</v>
      </c>
      <c r="I78" s="796"/>
      <c r="J78" s="795" t="s">
        <v>191</v>
      </c>
      <c r="K78" s="796"/>
      <c r="L78" s="795" t="s">
        <v>169</v>
      </c>
      <c r="M78" s="796"/>
      <c r="N78" s="795" t="s">
        <v>192</v>
      </c>
      <c r="O78" s="796"/>
      <c r="P78" s="339" t="s">
        <v>219</v>
      </c>
    </row>
    <row r="79" spans="1:21" s="136" customFormat="1" ht="15.75" customHeight="1">
      <c r="B79" s="239"/>
      <c r="C79" s="240"/>
    </row>
    <row r="80" spans="1:21" s="285" customFormat="1" ht="15.75" customHeight="1">
      <c r="A80" s="737" t="s">
        <v>193</v>
      </c>
      <c r="B80" s="738"/>
      <c r="C80" s="282" t="s">
        <v>47</v>
      </c>
      <c r="D80" s="765" t="s">
        <v>12</v>
      </c>
      <c r="E80" s="766"/>
      <c r="F80" s="767"/>
      <c r="G80" s="768" t="s">
        <v>53</v>
      </c>
      <c r="H80" s="769"/>
      <c r="I80" s="770"/>
      <c r="J80" s="283" t="s">
        <v>54</v>
      </c>
      <c r="K80" s="283" t="s">
        <v>55</v>
      </c>
      <c r="L80" s="283" t="s">
        <v>56</v>
      </c>
      <c r="M80" s="284" t="s">
        <v>11</v>
      </c>
      <c r="N80" s="284" t="s">
        <v>335</v>
      </c>
      <c r="O80" s="745" t="s">
        <v>51</v>
      </c>
      <c r="P80" s="746"/>
      <c r="R80" s="211"/>
      <c r="S80" s="268"/>
    </row>
    <row r="81" spans="1:20" s="305" customFormat="1" ht="20.149999999999999" customHeight="1">
      <c r="A81" s="747">
        <v>4</v>
      </c>
      <c r="B81" s="781" t="s">
        <v>465</v>
      </c>
      <c r="C81" s="286">
        <v>1</v>
      </c>
      <c r="D81" s="244"/>
      <c r="E81" s="245"/>
      <c r="F81" s="246"/>
      <c r="G81" s="370"/>
      <c r="H81" s="312"/>
      <c r="I81" s="313"/>
      <c r="J81" s="323"/>
      <c r="K81" s="324"/>
      <c r="L81" s="325"/>
      <c r="M81" s="333">
        <f t="shared" ref="M81:M85" si="8">L81*J81</f>
        <v>0</v>
      </c>
      <c r="N81" s="325"/>
      <c r="O81" s="784"/>
      <c r="P81" s="785"/>
      <c r="R81" s="326"/>
      <c r="S81" s="268"/>
    </row>
    <row r="82" spans="1:20" s="305" customFormat="1" ht="20.149999999999999" customHeight="1">
      <c r="A82" s="748"/>
      <c r="B82" s="782"/>
      <c r="C82" s="286">
        <v>2</v>
      </c>
      <c r="D82" s="244"/>
      <c r="E82" s="245"/>
      <c r="F82" s="246"/>
      <c r="G82" s="370"/>
      <c r="H82" s="312"/>
      <c r="I82" s="313"/>
      <c r="J82" s="323"/>
      <c r="K82" s="324"/>
      <c r="L82" s="325"/>
      <c r="M82" s="333">
        <f t="shared" si="8"/>
        <v>0</v>
      </c>
      <c r="N82" s="325"/>
      <c r="O82" s="777"/>
      <c r="P82" s="778"/>
      <c r="R82" s="326"/>
      <c r="S82" s="211"/>
      <c r="T82" s="350"/>
    </row>
    <row r="83" spans="1:20" s="305" customFormat="1" ht="20.149999999999999" customHeight="1">
      <c r="A83" s="748"/>
      <c r="B83" s="782"/>
      <c r="C83" s="286">
        <v>3</v>
      </c>
      <c r="D83" s="244"/>
      <c r="E83" s="245"/>
      <c r="F83" s="246"/>
      <c r="G83" s="370"/>
      <c r="H83" s="312"/>
      <c r="I83" s="313"/>
      <c r="J83" s="323"/>
      <c r="K83" s="324"/>
      <c r="L83" s="325"/>
      <c r="M83" s="333">
        <f t="shared" si="8"/>
        <v>0</v>
      </c>
      <c r="N83" s="325"/>
      <c r="O83" s="784"/>
      <c r="P83" s="785"/>
      <c r="R83" s="326"/>
      <c r="S83" s="268"/>
    </row>
    <row r="84" spans="1:20" s="305" customFormat="1" ht="20.149999999999999" customHeight="1">
      <c r="A84" s="748"/>
      <c r="B84" s="782"/>
      <c r="C84" s="286">
        <v>4</v>
      </c>
      <c r="D84" s="244"/>
      <c r="E84" s="245"/>
      <c r="F84" s="246"/>
      <c r="G84" s="370"/>
      <c r="H84" s="312"/>
      <c r="I84" s="313"/>
      <c r="J84" s="323"/>
      <c r="K84" s="324"/>
      <c r="L84" s="325"/>
      <c r="M84" s="333">
        <f t="shared" si="8"/>
        <v>0</v>
      </c>
      <c r="N84" s="325"/>
      <c r="O84" s="784"/>
      <c r="P84" s="785"/>
      <c r="R84" s="326"/>
      <c r="S84" s="211"/>
      <c r="T84" s="350"/>
    </row>
    <row r="85" spans="1:20" s="305" customFormat="1" ht="20.149999999999999" customHeight="1" thickBot="1">
      <c r="A85" s="748"/>
      <c r="B85" s="782"/>
      <c r="C85" s="286">
        <v>5</v>
      </c>
      <c r="D85" s="244"/>
      <c r="E85" s="252"/>
      <c r="F85" s="253"/>
      <c r="G85" s="370"/>
      <c r="H85" s="312"/>
      <c r="I85" s="313"/>
      <c r="J85" s="435"/>
      <c r="K85" s="428"/>
      <c r="L85" s="328"/>
      <c r="M85" s="333">
        <f t="shared" si="8"/>
        <v>0</v>
      </c>
      <c r="N85" s="325"/>
      <c r="O85" s="784"/>
      <c r="P85" s="785"/>
      <c r="R85" s="329"/>
      <c r="S85" s="268"/>
      <c r="T85" s="296"/>
    </row>
    <row r="86" spans="1:20" s="296" customFormat="1" ht="15.75" customHeight="1" thickTop="1" thickBot="1">
      <c r="A86" s="749"/>
      <c r="B86" s="783"/>
      <c r="C86" s="790"/>
      <c r="D86" s="791"/>
      <c r="E86" s="791"/>
      <c r="F86" s="791"/>
      <c r="G86" s="791"/>
      <c r="H86" s="791"/>
      <c r="I86" s="792"/>
      <c r="J86" s="363" t="s">
        <v>58</v>
      </c>
      <c r="K86" s="213">
        <f>M86/'生產管理報表 7-1 (週)'!$B$31</f>
        <v>0</v>
      </c>
      <c r="L86" s="364" t="s">
        <v>59</v>
      </c>
      <c r="M86" s="436">
        <f>SUM(M81:M85)</f>
        <v>0</v>
      </c>
      <c r="N86" s="734"/>
      <c r="O86" s="735"/>
      <c r="P86" s="736"/>
      <c r="R86" s="211"/>
      <c r="S86" s="211"/>
    </row>
    <row r="87" spans="1:20" s="296" customFormat="1" ht="15.75" customHeight="1" thickTop="1">
      <c r="B87" s="304"/>
      <c r="C87" s="305"/>
      <c r="M87" s="340"/>
      <c r="S87" s="268"/>
    </row>
    <row r="88" spans="1:20" s="296" customFormat="1" ht="15.75" customHeight="1">
      <c r="A88" s="737" t="s">
        <v>193</v>
      </c>
      <c r="B88" s="738"/>
      <c r="C88" s="282" t="s">
        <v>47</v>
      </c>
      <c r="D88" s="765" t="s">
        <v>12</v>
      </c>
      <c r="E88" s="766"/>
      <c r="F88" s="767"/>
      <c r="G88" s="768" t="s">
        <v>53</v>
      </c>
      <c r="H88" s="769"/>
      <c r="I88" s="770"/>
      <c r="J88" s="283" t="s">
        <v>54</v>
      </c>
      <c r="K88" s="283" t="s">
        <v>55</v>
      </c>
      <c r="L88" s="283" t="s">
        <v>56</v>
      </c>
      <c r="M88" s="341" t="s">
        <v>11</v>
      </c>
      <c r="N88" s="284" t="s">
        <v>335</v>
      </c>
      <c r="O88" s="745" t="s">
        <v>51</v>
      </c>
      <c r="P88" s="746"/>
      <c r="S88" s="211"/>
      <c r="T88" s="350"/>
    </row>
    <row r="89" spans="1:20" s="305" customFormat="1" ht="40" customHeight="1">
      <c r="A89" s="747">
        <v>5</v>
      </c>
      <c r="B89" s="760" t="s">
        <v>217</v>
      </c>
      <c r="C89" s="286">
        <v>1</v>
      </c>
      <c r="D89" s="244" t="s">
        <v>359</v>
      </c>
      <c r="E89" s="245"/>
      <c r="F89" s="246"/>
      <c r="G89" s="313" t="s">
        <v>370</v>
      </c>
      <c r="H89" s="312"/>
      <c r="I89" s="313"/>
      <c r="J89" s="323">
        <v>96</v>
      </c>
      <c r="K89" s="324">
        <v>1.7506631299734749E-2</v>
      </c>
      <c r="L89" s="325">
        <v>10.56</v>
      </c>
      <c r="M89" s="333">
        <f>L89*J89</f>
        <v>1013.76</v>
      </c>
      <c r="N89" s="325"/>
      <c r="O89" s="777" t="s">
        <v>598</v>
      </c>
      <c r="P89" s="778"/>
      <c r="R89" s="444"/>
      <c r="S89" s="437"/>
    </row>
    <row r="90" spans="1:20" s="305" customFormat="1" ht="20.149999999999999" customHeight="1">
      <c r="A90" s="748"/>
      <c r="B90" s="761"/>
      <c r="C90" s="286">
        <v>2</v>
      </c>
      <c r="D90" s="244"/>
      <c r="E90" s="245"/>
      <c r="F90" s="246"/>
      <c r="G90" s="370"/>
      <c r="H90" s="312"/>
      <c r="I90" s="313"/>
      <c r="J90" s="323"/>
      <c r="K90" s="324"/>
      <c r="L90" s="325"/>
      <c r="M90" s="333">
        <f t="shared" ref="M90:M93" si="9">L90*J90</f>
        <v>0</v>
      </c>
      <c r="N90" s="325"/>
      <c r="O90" s="777"/>
      <c r="P90" s="778"/>
      <c r="S90" s="211"/>
      <c r="T90" s="351"/>
    </row>
    <row r="91" spans="1:20" s="296" customFormat="1" ht="20.149999999999999" customHeight="1">
      <c r="A91" s="748"/>
      <c r="B91" s="761"/>
      <c r="C91" s="286">
        <v>3</v>
      </c>
      <c r="D91" s="244"/>
      <c r="E91" s="288"/>
      <c r="F91" s="289"/>
      <c r="G91" s="370"/>
      <c r="H91" s="312"/>
      <c r="I91" s="313"/>
      <c r="J91" s="323"/>
      <c r="K91" s="324"/>
      <c r="L91" s="325"/>
      <c r="M91" s="333">
        <f t="shared" si="9"/>
        <v>0</v>
      </c>
      <c r="N91" s="295"/>
      <c r="O91" s="773"/>
      <c r="P91" s="774"/>
    </row>
    <row r="92" spans="1:20" s="296" customFormat="1" ht="20.149999999999999" customHeight="1">
      <c r="A92" s="748"/>
      <c r="B92" s="761"/>
      <c r="C92" s="286">
        <v>4</v>
      </c>
      <c r="D92" s="244"/>
      <c r="E92" s="288"/>
      <c r="F92" s="289"/>
      <c r="G92" s="370"/>
      <c r="H92" s="312"/>
      <c r="I92" s="313"/>
      <c r="J92" s="323"/>
      <c r="K92" s="324"/>
      <c r="L92" s="325"/>
      <c r="M92" s="333">
        <f t="shared" si="9"/>
        <v>0</v>
      </c>
      <c r="N92" s="295"/>
      <c r="O92" s="777"/>
      <c r="P92" s="778"/>
    </row>
    <row r="93" spans="1:20" s="296" customFormat="1" ht="20.149999999999999" customHeight="1" thickBot="1">
      <c r="A93" s="748"/>
      <c r="B93" s="761"/>
      <c r="C93" s="286">
        <v>5</v>
      </c>
      <c r="D93" s="251"/>
      <c r="E93" s="298"/>
      <c r="F93" s="299"/>
      <c r="G93" s="370"/>
      <c r="H93" s="312"/>
      <c r="I93" s="313"/>
      <c r="J93" s="435"/>
      <c r="K93" s="428"/>
      <c r="L93" s="328"/>
      <c r="M93" s="333">
        <f t="shared" si="9"/>
        <v>0</v>
      </c>
      <c r="N93" s="295"/>
      <c r="O93" s="867"/>
      <c r="P93" s="868"/>
      <c r="R93" s="212"/>
    </row>
    <row r="94" spans="1:20" s="296" customFormat="1" ht="15.75" customHeight="1" thickTop="1" thickBot="1">
      <c r="A94" s="749"/>
      <c r="B94" s="762"/>
      <c r="C94" s="757"/>
      <c r="D94" s="758"/>
      <c r="E94" s="758"/>
      <c r="F94" s="758"/>
      <c r="G94" s="758"/>
      <c r="H94" s="758"/>
      <c r="I94" s="759"/>
      <c r="J94" s="363" t="s">
        <v>58</v>
      </c>
      <c r="K94" s="213">
        <f>M94/'生產管理報表 7-1 (週)'!$B$31</f>
        <v>1.5272267975308005E-2</v>
      </c>
      <c r="L94" s="364" t="s">
        <v>59</v>
      </c>
      <c r="M94" s="436">
        <f>SUM(M89:M93)</f>
        <v>1013.76</v>
      </c>
      <c r="N94" s="734"/>
      <c r="O94" s="735"/>
      <c r="P94" s="736"/>
      <c r="R94" s="211"/>
    </row>
    <row r="95" spans="1:20" s="296" customFormat="1" ht="15.75" customHeight="1" thickTop="1">
      <c r="B95" s="304"/>
      <c r="C95" s="305"/>
      <c r="M95" s="340"/>
      <c r="R95" s="211"/>
    </row>
    <row r="96" spans="1:20" s="296" customFormat="1" ht="15.75" customHeight="1">
      <c r="A96" s="737" t="s">
        <v>193</v>
      </c>
      <c r="B96" s="738"/>
      <c r="C96" s="310" t="s">
        <v>47</v>
      </c>
      <c r="D96" s="739" t="s">
        <v>12</v>
      </c>
      <c r="E96" s="740"/>
      <c r="F96" s="741"/>
      <c r="G96" s="742" t="s">
        <v>53</v>
      </c>
      <c r="H96" s="743"/>
      <c r="I96" s="744"/>
      <c r="J96" s="311" t="s">
        <v>54</v>
      </c>
      <c r="K96" s="283" t="s">
        <v>55</v>
      </c>
      <c r="L96" s="283" t="s">
        <v>56</v>
      </c>
      <c r="M96" s="341" t="s">
        <v>11</v>
      </c>
      <c r="N96" s="284" t="s">
        <v>335</v>
      </c>
      <c r="O96" s="745" t="s">
        <v>51</v>
      </c>
      <c r="P96" s="746"/>
      <c r="R96" s="211"/>
      <c r="S96" s="2"/>
    </row>
    <row r="97" spans="1:21" s="296" customFormat="1" ht="40" customHeight="1">
      <c r="A97" s="747">
        <v>6</v>
      </c>
      <c r="B97" s="760" t="s">
        <v>218</v>
      </c>
      <c r="C97" s="286">
        <v>1</v>
      </c>
      <c r="D97" s="352" t="s">
        <v>343</v>
      </c>
      <c r="E97" s="288"/>
      <c r="F97" s="289"/>
      <c r="G97" s="313" t="s">
        <v>337</v>
      </c>
      <c r="H97" s="312"/>
      <c r="I97" s="313"/>
      <c r="J97" s="323">
        <v>15.450000000000001</v>
      </c>
      <c r="K97" s="324">
        <v>4.064263172994167E-3</v>
      </c>
      <c r="L97" s="325">
        <v>85</v>
      </c>
      <c r="M97" s="333">
        <f t="shared" ref="M97" si="10">L97*J97</f>
        <v>1313.25</v>
      </c>
      <c r="N97" s="295"/>
      <c r="O97" s="773" t="s">
        <v>599</v>
      </c>
      <c r="P97" s="774"/>
      <c r="R97" s="351"/>
      <c r="S97" s="445"/>
    </row>
    <row r="98" spans="1:21" s="296" customFormat="1" ht="20.149999999999999" customHeight="1">
      <c r="A98" s="748"/>
      <c r="B98" s="761"/>
      <c r="C98" s="286">
        <v>2</v>
      </c>
      <c r="D98" s="287"/>
      <c r="E98" s="288"/>
      <c r="F98" s="289"/>
      <c r="G98" s="290"/>
      <c r="H98" s="291"/>
      <c r="I98" s="292"/>
      <c r="J98" s="293"/>
      <c r="K98" s="294"/>
      <c r="L98" s="295"/>
      <c r="M98" s="342">
        <v>0</v>
      </c>
      <c r="N98" s="295"/>
      <c r="O98" s="306"/>
      <c r="P98" s="307"/>
      <c r="S98" s="2"/>
    </row>
    <row r="99" spans="1:21" s="296" customFormat="1" ht="20.149999999999999" customHeight="1">
      <c r="A99" s="748"/>
      <c r="B99" s="761"/>
      <c r="C99" s="286">
        <v>3</v>
      </c>
      <c r="D99" s="287"/>
      <c r="E99" s="288"/>
      <c r="F99" s="289"/>
      <c r="G99" s="290"/>
      <c r="H99" s="291"/>
      <c r="I99" s="292"/>
      <c r="J99" s="293"/>
      <c r="K99" s="294"/>
      <c r="L99" s="295"/>
      <c r="M99" s="342">
        <v>0</v>
      </c>
      <c r="N99" s="295"/>
      <c r="O99" s="306"/>
      <c r="P99" s="307"/>
      <c r="S99" s="2"/>
    </row>
    <row r="100" spans="1:21" s="296" customFormat="1" ht="20.149999999999999" customHeight="1">
      <c r="A100" s="748"/>
      <c r="B100" s="761"/>
      <c r="C100" s="286">
        <v>4</v>
      </c>
      <c r="D100" s="287"/>
      <c r="E100" s="288"/>
      <c r="F100" s="289"/>
      <c r="G100" s="290"/>
      <c r="H100" s="291"/>
      <c r="I100" s="292"/>
      <c r="J100" s="293"/>
      <c r="K100" s="294"/>
      <c r="L100" s="295"/>
      <c r="M100" s="342">
        <v>0</v>
      </c>
      <c r="N100" s="295"/>
      <c r="O100" s="306"/>
      <c r="P100" s="307"/>
      <c r="R100" s="2"/>
      <c r="S100" s="2"/>
    </row>
    <row r="101" spans="1:21" s="296" customFormat="1" ht="20.149999999999999" customHeight="1" thickBot="1">
      <c r="A101" s="748"/>
      <c r="B101" s="761"/>
      <c r="C101" s="286">
        <v>5</v>
      </c>
      <c r="D101" s="297"/>
      <c r="E101" s="298"/>
      <c r="F101" s="299"/>
      <c r="G101" s="290"/>
      <c r="H101" s="291"/>
      <c r="I101" s="292"/>
      <c r="J101" s="435"/>
      <c r="K101" s="428"/>
      <c r="L101" s="328"/>
      <c r="M101" s="333">
        <v>0</v>
      </c>
      <c r="N101" s="295"/>
      <c r="O101" s="308"/>
      <c r="P101" s="309"/>
      <c r="R101" s="2"/>
      <c r="S101" s="2"/>
    </row>
    <row r="102" spans="1:21" s="296" customFormat="1" ht="15.75" customHeight="1" thickTop="1" thickBot="1">
      <c r="A102" s="749"/>
      <c r="B102" s="762"/>
      <c r="C102" s="757"/>
      <c r="D102" s="758"/>
      <c r="E102" s="758"/>
      <c r="F102" s="758"/>
      <c r="G102" s="758"/>
      <c r="H102" s="758"/>
      <c r="I102" s="759"/>
      <c r="J102" s="363" t="s">
        <v>58</v>
      </c>
      <c r="K102" s="213">
        <f>M102/'生產管理報表 7-1 (週)'!$B$31</f>
        <v>1.9784077018794623E-2</v>
      </c>
      <c r="L102" s="364" t="s">
        <v>59</v>
      </c>
      <c r="M102" s="436">
        <f>SUM(M97:M101)</f>
        <v>1313.25</v>
      </c>
      <c r="N102" s="734"/>
      <c r="O102" s="735"/>
      <c r="P102" s="736"/>
      <c r="R102" s="2"/>
      <c r="S102" s="2"/>
    </row>
    <row r="103" spans="1:21" s="296" customFormat="1" ht="15.75" customHeight="1" thickTop="1">
      <c r="B103" s="304"/>
      <c r="C103" s="305"/>
      <c r="M103" s="340"/>
      <c r="R103" s="2"/>
      <c r="S103" s="2"/>
    </row>
    <row r="104" spans="1:21" s="296" customFormat="1" ht="15.75" customHeight="1">
      <c r="A104" s="737" t="s">
        <v>193</v>
      </c>
      <c r="B104" s="738"/>
      <c r="C104" s="310" t="s">
        <v>47</v>
      </c>
      <c r="D104" s="739" t="s">
        <v>12</v>
      </c>
      <c r="E104" s="740"/>
      <c r="F104" s="741"/>
      <c r="G104" s="742" t="s">
        <v>53</v>
      </c>
      <c r="H104" s="743"/>
      <c r="I104" s="744"/>
      <c r="J104" s="311" t="s">
        <v>54</v>
      </c>
      <c r="K104" s="283" t="s">
        <v>55</v>
      </c>
      <c r="L104" s="283" t="s">
        <v>56</v>
      </c>
      <c r="M104" s="341" t="s">
        <v>11</v>
      </c>
      <c r="N104" s="284" t="s">
        <v>335</v>
      </c>
      <c r="O104" s="745" t="s">
        <v>51</v>
      </c>
      <c r="P104" s="746"/>
      <c r="R104" s="2"/>
      <c r="S104" s="2"/>
    </row>
    <row r="105" spans="1:21" s="296" customFormat="1" ht="20.149999999999999" customHeight="1">
      <c r="A105" s="747">
        <v>7</v>
      </c>
      <c r="B105" s="750" t="s">
        <v>251</v>
      </c>
      <c r="C105" s="286">
        <v>1</v>
      </c>
      <c r="D105" s="287"/>
      <c r="E105" s="288"/>
      <c r="F105" s="289"/>
      <c r="G105" s="290"/>
      <c r="H105" s="291"/>
      <c r="I105" s="292"/>
      <c r="J105" s="293"/>
      <c r="K105" s="294"/>
      <c r="L105" s="295"/>
      <c r="M105" s="342">
        <f t="shared" ref="M105:M107" si="11">L105*J105</f>
        <v>0</v>
      </c>
      <c r="N105" s="295"/>
      <c r="O105" s="753"/>
      <c r="P105" s="754"/>
      <c r="R105" s="2"/>
      <c r="S105" s="2"/>
    </row>
    <row r="106" spans="1:21" s="296" customFormat="1" ht="20.149999999999999" customHeight="1">
      <c r="A106" s="748"/>
      <c r="B106" s="751"/>
      <c r="C106" s="286">
        <v>2</v>
      </c>
      <c r="D106" s="287"/>
      <c r="E106" s="288"/>
      <c r="F106" s="289"/>
      <c r="G106" s="290"/>
      <c r="H106" s="291"/>
      <c r="I106" s="292"/>
      <c r="J106" s="293"/>
      <c r="K106" s="294"/>
      <c r="L106" s="295"/>
      <c r="M106" s="342">
        <f t="shared" si="11"/>
        <v>0</v>
      </c>
      <c r="N106" s="295"/>
      <c r="O106" s="755"/>
      <c r="P106" s="756"/>
      <c r="R106" s="2"/>
      <c r="S106" s="2"/>
    </row>
    <row r="107" spans="1:21" s="296" customFormat="1" ht="20.149999999999999" customHeight="1">
      <c r="A107" s="748"/>
      <c r="B107" s="751"/>
      <c r="C107" s="286">
        <v>3</v>
      </c>
      <c r="D107" s="287"/>
      <c r="E107" s="288"/>
      <c r="F107" s="289"/>
      <c r="G107" s="290"/>
      <c r="H107" s="291"/>
      <c r="I107" s="292"/>
      <c r="J107" s="293"/>
      <c r="K107" s="294"/>
      <c r="L107" s="295"/>
      <c r="M107" s="342">
        <f t="shared" si="11"/>
        <v>0</v>
      </c>
      <c r="N107" s="295"/>
      <c r="O107" s="755"/>
      <c r="P107" s="756"/>
      <c r="R107" s="2"/>
      <c r="S107" s="2"/>
    </row>
    <row r="108" spans="1:21" s="296" customFormat="1" ht="20.149999999999999" customHeight="1">
      <c r="A108" s="748"/>
      <c r="B108" s="751"/>
      <c r="C108" s="286">
        <v>4</v>
      </c>
      <c r="D108" s="287"/>
      <c r="E108" s="288"/>
      <c r="F108" s="289"/>
      <c r="G108" s="290"/>
      <c r="H108" s="291"/>
      <c r="I108" s="292"/>
      <c r="J108" s="293"/>
      <c r="K108" s="294"/>
      <c r="L108" s="295"/>
      <c r="M108" s="343">
        <v>0</v>
      </c>
      <c r="N108" s="295"/>
      <c r="O108" s="306"/>
      <c r="P108" s="307"/>
      <c r="R108" s="2"/>
      <c r="S108" s="2"/>
    </row>
    <row r="109" spans="1:21" s="296" customFormat="1" ht="20.149999999999999" customHeight="1" thickBot="1">
      <c r="A109" s="748"/>
      <c r="B109" s="751"/>
      <c r="C109" s="286">
        <v>5</v>
      </c>
      <c r="D109" s="297"/>
      <c r="E109" s="298"/>
      <c r="F109" s="299"/>
      <c r="G109" s="290"/>
      <c r="H109" s="291"/>
      <c r="I109" s="292"/>
      <c r="J109" s="435"/>
      <c r="K109" s="428"/>
      <c r="L109" s="328"/>
      <c r="M109" s="344">
        <v>0</v>
      </c>
      <c r="N109" s="295"/>
      <c r="O109" s="308"/>
      <c r="P109" s="309"/>
      <c r="R109" s="2"/>
      <c r="S109" s="2"/>
    </row>
    <row r="110" spans="1:21" s="296" customFormat="1" ht="15.75" customHeight="1" thickTop="1" thickBot="1">
      <c r="A110" s="749"/>
      <c r="B110" s="752"/>
      <c r="C110" s="757"/>
      <c r="D110" s="758"/>
      <c r="E110" s="758"/>
      <c r="F110" s="758"/>
      <c r="G110" s="758"/>
      <c r="H110" s="758"/>
      <c r="I110" s="759"/>
      <c r="J110" s="363" t="s">
        <v>58</v>
      </c>
      <c r="K110" s="213">
        <f>M110/'生產管理報表 7-1 (週)'!$B$31</f>
        <v>0</v>
      </c>
      <c r="L110" s="364" t="s">
        <v>59</v>
      </c>
      <c r="M110" s="436">
        <f>SUM(M105:M109)</f>
        <v>0</v>
      </c>
      <c r="N110" s="734"/>
      <c r="O110" s="735"/>
      <c r="P110" s="736"/>
      <c r="R110" s="2"/>
      <c r="S110" s="2"/>
      <c r="T110" s="2"/>
    </row>
    <row r="111" spans="1:21" s="136" customFormat="1" ht="15.75" customHeight="1" thickTop="1">
      <c r="A111" s="866" t="s">
        <v>743</v>
      </c>
      <c r="B111" s="866"/>
      <c r="C111" s="866"/>
      <c r="D111" s="866"/>
      <c r="E111" s="866"/>
      <c r="F111" s="866"/>
      <c r="G111" s="866"/>
      <c r="H111" s="866"/>
      <c r="I111" s="866"/>
      <c r="J111" s="866"/>
      <c r="K111" s="866"/>
      <c r="L111" s="866"/>
      <c r="M111" s="866"/>
      <c r="R111" s="238"/>
      <c r="S111" s="238"/>
      <c r="T111" s="238"/>
      <c r="U111" s="238"/>
    </row>
    <row r="112" spans="1:21" s="137" customFormat="1" ht="15.75" customHeight="1">
      <c r="A112" s="799"/>
      <c r="B112" s="799"/>
      <c r="C112" s="799"/>
      <c r="D112" s="799"/>
      <c r="E112" s="799"/>
      <c r="F112" s="799"/>
      <c r="G112" s="799"/>
      <c r="H112" s="799"/>
      <c r="I112" s="799"/>
      <c r="J112" s="799"/>
      <c r="K112" s="799"/>
      <c r="L112" s="799"/>
      <c r="M112" s="799"/>
    </row>
    <row r="113" spans="1:20" s="136" customFormat="1" ht="15.75" customHeight="1">
      <c r="A113" s="800" t="s">
        <v>193</v>
      </c>
      <c r="B113" s="802">
        <v>1</v>
      </c>
      <c r="C113" s="803"/>
      <c r="D113" s="802">
        <v>2</v>
      </c>
      <c r="E113" s="803"/>
      <c r="F113" s="802">
        <v>3</v>
      </c>
      <c r="G113" s="803"/>
      <c r="H113" s="793">
        <v>4</v>
      </c>
      <c r="I113" s="794"/>
      <c r="J113" s="793">
        <v>5</v>
      </c>
      <c r="K113" s="794"/>
      <c r="L113" s="793">
        <v>6</v>
      </c>
      <c r="M113" s="794"/>
      <c r="N113" s="793">
        <v>7</v>
      </c>
      <c r="O113" s="794"/>
      <c r="P113" s="338">
        <v>8</v>
      </c>
    </row>
    <row r="114" spans="1:20" s="136" customFormat="1" ht="15.75" customHeight="1">
      <c r="A114" s="801"/>
      <c r="B114" s="797" t="s">
        <v>500</v>
      </c>
      <c r="C114" s="798"/>
      <c r="D114" s="797" t="s">
        <v>214</v>
      </c>
      <c r="E114" s="798"/>
      <c r="F114" s="797" t="s">
        <v>168</v>
      </c>
      <c r="G114" s="798"/>
      <c r="H114" s="795" t="s">
        <v>465</v>
      </c>
      <c r="I114" s="796"/>
      <c r="J114" s="795" t="s">
        <v>191</v>
      </c>
      <c r="K114" s="796"/>
      <c r="L114" s="795" t="s">
        <v>169</v>
      </c>
      <c r="M114" s="796"/>
      <c r="N114" s="795" t="s">
        <v>192</v>
      </c>
      <c r="O114" s="796"/>
      <c r="P114" s="339" t="s">
        <v>219</v>
      </c>
    </row>
    <row r="115" spans="1:20" s="136" customFormat="1" ht="15.75" customHeight="1">
      <c r="B115" s="239"/>
      <c r="C115" s="240"/>
    </row>
    <row r="116" spans="1:20" s="285" customFormat="1" ht="15.75" customHeight="1">
      <c r="A116" s="737" t="s">
        <v>193</v>
      </c>
      <c r="B116" s="738"/>
      <c r="C116" s="282" t="s">
        <v>47</v>
      </c>
      <c r="D116" s="765" t="s">
        <v>12</v>
      </c>
      <c r="E116" s="766"/>
      <c r="F116" s="767"/>
      <c r="G116" s="768" t="s">
        <v>53</v>
      </c>
      <c r="H116" s="769"/>
      <c r="I116" s="770"/>
      <c r="J116" s="283" t="s">
        <v>54</v>
      </c>
      <c r="K116" s="283" t="s">
        <v>55</v>
      </c>
      <c r="L116" s="283" t="s">
        <v>56</v>
      </c>
      <c r="M116" s="284" t="s">
        <v>11</v>
      </c>
      <c r="N116" s="284" t="s">
        <v>335</v>
      </c>
      <c r="O116" s="745" t="s">
        <v>51</v>
      </c>
      <c r="P116" s="746"/>
      <c r="R116" s="211"/>
      <c r="S116" s="268"/>
    </row>
    <row r="117" spans="1:20" s="305" customFormat="1" ht="20.149999999999999" customHeight="1">
      <c r="A117" s="747">
        <v>4</v>
      </c>
      <c r="B117" s="781" t="s">
        <v>465</v>
      </c>
      <c r="C117" s="286">
        <v>1</v>
      </c>
      <c r="D117" s="244"/>
      <c r="E117" s="245"/>
      <c r="F117" s="246"/>
      <c r="G117" s="370"/>
      <c r="H117" s="312"/>
      <c r="I117" s="313"/>
      <c r="J117" s="323"/>
      <c r="K117" s="324"/>
      <c r="L117" s="325"/>
      <c r="M117" s="333">
        <f t="shared" ref="M117:M121" si="12">L117*J117</f>
        <v>0</v>
      </c>
      <c r="N117" s="325"/>
      <c r="O117" s="784"/>
      <c r="P117" s="785"/>
      <c r="R117" s="326"/>
      <c r="S117" s="268"/>
    </row>
    <row r="118" spans="1:20" s="305" customFormat="1" ht="20.149999999999999" customHeight="1">
      <c r="A118" s="748"/>
      <c r="B118" s="782"/>
      <c r="C118" s="286">
        <v>2</v>
      </c>
      <c r="D118" s="244"/>
      <c r="E118" s="245"/>
      <c r="F118" s="246"/>
      <c r="G118" s="370"/>
      <c r="H118" s="312"/>
      <c r="I118" s="313"/>
      <c r="J118" s="323"/>
      <c r="K118" s="324"/>
      <c r="L118" s="325"/>
      <c r="M118" s="333">
        <f t="shared" si="12"/>
        <v>0</v>
      </c>
      <c r="N118" s="325"/>
      <c r="O118" s="777"/>
      <c r="P118" s="778"/>
      <c r="R118" s="326"/>
      <c r="S118" s="211"/>
      <c r="T118" s="350"/>
    </row>
    <row r="119" spans="1:20" s="305" customFormat="1" ht="20.149999999999999" customHeight="1">
      <c r="A119" s="748"/>
      <c r="B119" s="782"/>
      <c r="C119" s="286">
        <v>3</v>
      </c>
      <c r="D119" s="244"/>
      <c r="E119" s="245"/>
      <c r="F119" s="246"/>
      <c r="G119" s="370"/>
      <c r="H119" s="312"/>
      <c r="I119" s="313"/>
      <c r="J119" s="323"/>
      <c r="K119" s="324"/>
      <c r="L119" s="325"/>
      <c r="M119" s="333">
        <f t="shared" si="12"/>
        <v>0</v>
      </c>
      <c r="N119" s="325"/>
      <c r="O119" s="784"/>
      <c r="P119" s="785"/>
      <c r="R119" s="326"/>
      <c r="S119" s="268"/>
    </row>
    <row r="120" spans="1:20" s="305" customFormat="1" ht="20.149999999999999" customHeight="1">
      <c r="A120" s="748"/>
      <c r="B120" s="782"/>
      <c r="C120" s="286">
        <v>4</v>
      </c>
      <c r="D120" s="244"/>
      <c r="E120" s="245"/>
      <c r="F120" s="246"/>
      <c r="G120" s="370"/>
      <c r="H120" s="312"/>
      <c r="I120" s="313"/>
      <c r="J120" s="323"/>
      <c r="K120" s="324"/>
      <c r="L120" s="325"/>
      <c r="M120" s="333">
        <f t="shared" si="12"/>
        <v>0</v>
      </c>
      <c r="N120" s="325"/>
      <c r="O120" s="784"/>
      <c r="P120" s="785"/>
      <c r="R120" s="326"/>
      <c r="S120" s="211"/>
      <c r="T120" s="350"/>
    </row>
    <row r="121" spans="1:20" s="305" customFormat="1" ht="20.149999999999999" customHeight="1" thickBot="1">
      <c r="A121" s="748"/>
      <c r="B121" s="782"/>
      <c r="C121" s="286">
        <v>5</v>
      </c>
      <c r="D121" s="244"/>
      <c r="E121" s="252"/>
      <c r="F121" s="253"/>
      <c r="G121" s="370"/>
      <c r="H121" s="312"/>
      <c r="I121" s="313"/>
      <c r="J121" s="435"/>
      <c r="K121" s="428"/>
      <c r="L121" s="328"/>
      <c r="M121" s="333">
        <f t="shared" si="12"/>
        <v>0</v>
      </c>
      <c r="N121" s="325"/>
      <c r="O121" s="784"/>
      <c r="P121" s="785"/>
      <c r="R121" s="329"/>
      <c r="S121" s="268"/>
      <c r="T121" s="296"/>
    </row>
    <row r="122" spans="1:20" s="296" customFormat="1" ht="15.75" customHeight="1" thickTop="1" thickBot="1">
      <c r="A122" s="749"/>
      <c r="B122" s="783"/>
      <c r="C122" s="790"/>
      <c r="D122" s="791"/>
      <c r="E122" s="791"/>
      <c r="F122" s="791"/>
      <c r="G122" s="791"/>
      <c r="H122" s="791"/>
      <c r="I122" s="792"/>
      <c r="J122" s="363" t="s">
        <v>58</v>
      </c>
      <c r="K122" s="213">
        <f>M122/'生產管理報表 7-1 (週)'!$B$42</f>
        <v>0</v>
      </c>
      <c r="L122" s="364" t="s">
        <v>59</v>
      </c>
      <c r="M122" s="436">
        <f>SUM(M117:M121)</f>
        <v>0</v>
      </c>
      <c r="N122" s="734"/>
      <c r="O122" s="735"/>
      <c r="P122" s="736"/>
      <c r="R122" s="211"/>
      <c r="S122" s="211"/>
    </row>
    <row r="123" spans="1:20" s="296" customFormat="1" ht="15.75" customHeight="1" thickTop="1">
      <c r="B123" s="304"/>
      <c r="C123" s="305"/>
      <c r="M123" s="340"/>
      <c r="S123" s="268"/>
    </row>
    <row r="124" spans="1:20" s="296" customFormat="1" ht="15.75" customHeight="1">
      <c r="A124" s="737" t="s">
        <v>193</v>
      </c>
      <c r="B124" s="738"/>
      <c r="C124" s="282" t="s">
        <v>47</v>
      </c>
      <c r="D124" s="765" t="s">
        <v>12</v>
      </c>
      <c r="E124" s="766"/>
      <c r="F124" s="767"/>
      <c r="G124" s="768" t="s">
        <v>53</v>
      </c>
      <c r="H124" s="769"/>
      <c r="I124" s="770"/>
      <c r="J124" s="283" t="s">
        <v>54</v>
      </c>
      <c r="K124" s="283" t="s">
        <v>55</v>
      </c>
      <c r="L124" s="283" t="s">
        <v>56</v>
      </c>
      <c r="M124" s="341" t="s">
        <v>11</v>
      </c>
      <c r="N124" s="284" t="s">
        <v>335</v>
      </c>
      <c r="O124" s="745" t="s">
        <v>51</v>
      </c>
      <c r="P124" s="746"/>
      <c r="S124" s="211"/>
      <c r="T124" s="350"/>
    </row>
    <row r="125" spans="1:20" s="305" customFormat="1" ht="40" customHeight="1">
      <c r="A125" s="747">
        <v>5</v>
      </c>
      <c r="B125" s="760" t="s">
        <v>217</v>
      </c>
      <c r="C125" s="286">
        <v>1</v>
      </c>
      <c r="D125" s="244" t="s">
        <v>359</v>
      </c>
      <c r="E125" s="245"/>
      <c r="F125" s="246"/>
      <c r="G125" s="313" t="s">
        <v>370</v>
      </c>
      <c r="H125" s="312"/>
      <c r="I125" s="313"/>
      <c r="J125" s="323">
        <v>96</v>
      </c>
      <c r="K125" s="324">
        <v>1.9343891402714936E-2</v>
      </c>
      <c r="L125" s="325">
        <v>10.260000000000002</v>
      </c>
      <c r="M125" s="333">
        <f>L125*J125</f>
        <v>984.96000000000015</v>
      </c>
      <c r="N125" s="325"/>
      <c r="O125" s="777" t="s">
        <v>598</v>
      </c>
      <c r="P125" s="778"/>
      <c r="R125" s="444"/>
      <c r="S125" s="437"/>
    </row>
    <row r="126" spans="1:20" s="305" customFormat="1" ht="20.149999999999999" customHeight="1">
      <c r="A126" s="748"/>
      <c r="B126" s="761"/>
      <c r="C126" s="286">
        <v>2</v>
      </c>
      <c r="D126" s="244"/>
      <c r="E126" s="245"/>
      <c r="F126" s="246"/>
      <c r="G126" s="370"/>
      <c r="H126" s="312"/>
      <c r="I126" s="313"/>
      <c r="J126" s="323"/>
      <c r="K126" s="324"/>
      <c r="L126" s="325"/>
      <c r="M126" s="333">
        <f t="shared" ref="M126:M129" si="13">L126*J126</f>
        <v>0</v>
      </c>
      <c r="N126" s="325"/>
      <c r="O126" s="777"/>
      <c r="P126" s="778"/>
      <c r="S126" s="211"/>
      <c r="T126" s="351"/>
    </row>
    <row r="127" spans="1:20" s="296" customFormat="1" ht="20.149999999999999" customHeight="1">
      <c r="A127" s="748"/>
      <c r="B127" s="761"/>
      <c r="C127" s="286">
        <v>3</v>
      </c>
      <c r="D127" s="244"/>
      <c r="E127" s="288"/>
      <c r="F127" s="289"/>
      <c r="G127" s="370"/>
      <c r="H127" s="312"/>
      <c r="I127" s="313"/>
      <c r="J127" s="323"/>
      <c r="K127" s="324"/>
      <c r="L127" s="325"/>
      <c r="M127" s="333">
        <f t="shared" si="13"/>
        <v>0</v>
      </c>
      <c r="N127" s="295"/>
      <c r="O127" s="773"/>
      <c r="P127" s="774"/>
    </row>
    <row r="128" spans="1:20" s="296" customFormat="1" ht="20.149999999999999" customHeight="1">
      <c r="A128" s="748"/>
      <c r="B128" s="761"/>
      <c r="C128" s="286">
        <v>4</v>
      </c>
      <c r="D128" s="244"/>
      <c r="E128" s="288"/>
      <c r="F128" s="289"/>
      <c r="G128" s="370"/>
      <c r="H128" s="312"/>
      <c r="I128" s="313"/>
      <c r="J128" s="323"/>
      <c r="K128" s="324"/>
      <c r="L128" s="325"/>
      <c r="M128" s="333">
        <f t="shared" si="13"/>
        <v>0</v>
      </c>
      <c r="N128" s="295"/>
      <c r="O128" s="777"/>
      <c r="P128" s="778"/>
    </row>
    <row r="129" spans="1:19" s="296" customFormat="1" ht="20.149999999999999" customHeight="1" thickBot="1">
      <c r="A129" s="748"/>
      <c r="B129" s="761"/>
      <c r="C129" s="286">
        <v>5</v>
      </c>
      <c r="D129" s="251"/>
      <c r="E129" s="298"/>
      <c r="F129" s="299"/>
      <c r="G129" s="370"/>
      <c r="H129" s="312"/>
      <c r="I129" s="313"/>
      <c r="J129" s="435"/>
      <c r="K129" s="428"/>
      <c r="L129" s="328"/>
      <c r="M129" s="333">
        <f t="shared" si="13"/>
        <v>0</v>
      </c>
      <c r="N129" s="295"/>
      <c r="O129" s="867"/>
      <c r="P129" s="868"/>
      <c r="R129" s="212"/>
    </row>
    <row r="130" spans="1:19" s="296" customFormat="1" ht="15.75" customHeight="1" thickTop="1" thickBot="1">
      <c r="A130" s="749"/>
      <c r="B130" s="762"/>
      <c r="C130" s="757"/>
      <c r="D130" s="758"/>
      <c r="E130" s="758"/>
      <c r="F130" s="758"/>
      <c r="G130" s="758"/>
      <c r="H130" s="758"/>
      <c r="I130" s="759"/>
      <c r="J130" s="363" t="s">
        <v>58</v>
      </c>
      <c r="K130" s="213">
        <f>M130/'生產管理報表 7-1 (週)'!$B$42</f>
        <v>1.47025348550244E-2</v>
      </c>
      <c r="L130" s="364" t="s">
        <v>59</v>
      </c>
      <c r="M130" s="436">
        <f>SUM(M125:M129)</f>
        <v>984.96000000000015</v>
      </c>
      <c r="N130" s="734"/>
      <c r="O130" s="735"/>
      <c r="P130" s="736"/>
      <c r="R130" s="211"/>
    </row>
    <row r="131" spans="1:19" s="296" customFormat="1" ht="15.75" customHeight="1" thickTop="1">
      <c r="B131" s="304"/>
      <c r="C131" s="305"/>
      <c r="M131" s="340"/>
      <c r="R131" s="211"/>
    </row>
    <row r="132" spans="1:19" s="296" customFormat="1" ht="15.75" customHeight="1">
      <c r="A132" s="737" t="s">
        <v>193</v>
      </c>
      <c r="B132" s="738"/>
      <c r="C132" s="310" t="s">
        <v>47</v>
      </c>
      <c r="D132" s="739" t="s">
        <v>12</v>
      </c>
      <c r="E132" s="740"/>
      <c r="F132" s="741"/>
      <c r="G132" s="742" t="s">
        <v>53</v>
      </c>
      <c r="H132" s="743"/>
      <c r="I132" s="744"/>
      <c r="J132" s="311" t="s">
        <v>54</v>
      </c>
      <c r="K132" s="283" t="s">
        <v>55</v>
      </c>
      <c r="L132" s="283" t="s">
        <v>56</v>
      </c>
      <c r="M132" s="341" t="s">
        <v>11</v>
      </c>
      <c r="N132" s="284" t="s">
        <v>335</v>
      </c>
      <c r="O132" s="745" t="s">
        <v>51</v>
      </c>
      <c r="P132" s="746"/>
      <c r="R132" s="211"/>
      <c r="S132" s="2"/>
    </row>
    <row r="133" spans="1:19" s="296" customFormat="1" ht="40" customHeight="1">
      <c r="A133" s="747">
        <v>6</v>
      </c>
      <c r="B133" s="760" t="s">
        <v>218</v>
      </c>
      <c r="C133" s="286">
        <v>1</v>
      </c>
      <c r="D133" s="352"/>
      <c r="E133" s="288"/>
      <c r="F133" s="289"/>
      <c r="G133" s="313"/>
      <c r="H133" s="312"/>
      <c r="I133" s="313"/>
      <c r="J133" s="323"/>
      <c r="K133" s="324"/>
      <c r="L133" s="325"/>
      <c r="M133" s="333">
        <f t="shared" ref="M133" si="14">L133*J133</f>
        <v>0</v>
      </c>
      <c r="N133" s="295"/>
      <c r="O133" s="773"/>
      <c r="P133" s="774"/>
      <c r="R133" s="351"/>
      <c r="S133" s="445"/>
    </row>
    <row r="134" spans="1:19" s="296" customFormat="1" ht="20.149999999999999" customHeight="1">
      <c r="A134" s="748"/>
      <c r="B134" s="761"/>
      <c r="C134" s="286">
        <v>2</v>
      </c>
      <c r="D134" s="287"/>
      <c r="E134" s="288"/>
      <c r="F134" s="289"/>
      <c r="G134" s="290"/>
      <c r="H134" s="291"/>
      <c r="I134" s="292"/>
      <c r="J134" s="293"/>
      <c r="K134" s="294"/>
      <c r="L134" s="295"/>
      <c r="M134" s="342">
        <v>0</v>
      </c>
      <c r="N134" s="295"/>
      <c r="O134" s="306"/>
      <c r="P134" s="307"/>
      <c r="S134" s="2"/>
    </row>
    <row r="135" spans="1:19" s="296" customFormat="1" ht="20.149999999999999" customHeight="1">
      <c r="A135" s="748"/>
      <c r="B135" s="761"/>
      <c r="C135" s="286">
        <v>3</v>
      </c>
      <c r="D135" s="287"/>
      <c r="E135" s="288"/>
      <c r="F135" s="289"/>
      <c r="G135" s="290"/>
      <c r="H135" s="291"/>
      <c r="I135" s="292"/>
      <c r="J135" s="293"/>
      <c r="K135" s="294"/>
      <c r="L135" s="295"/>
      <c r="M135" s="342">
        <v>0</v>
      </c>
      <c r="N135" s="295"/>
      <c r="O135" s="306"/>
      <c r="P135" s="307"/>
      <c r="S135" s="2"/>
    </row>
    <row r="136" spans="1:19" s="296" customFormat="1" ht="20.149999999999999" customHeight="1">
      <c r="A136" s="748"/>
      <c r="B136" s="761"/>
      <c r="C136" s="286">
        <v>4</v>
      </c>
      <c r="D136" s="287"/>
      <c r="E136" s="288"/>
      <c r="F136" s="289"/>
      <c r="G136" s="290"/>
      <c r="H136" s="291"/>
      <c r="I136" s="292"/>
      <c r="J136" s="293"/>
      <c r="K136" s="294"/>
      <c r="L136" s="295"/>
      <c r="M136" s="342">
        <v>0</v>
      </c>
      <c r="N136" s="295"/>
      <c r="O136" s="306"/>
      <c r="P136" s="307"/>
      <c r="R136" s="2"/>
      <c r="S136" s="2"/>
    </row>
    <row r="137" spans="1:19" s="296" customFormat="1" ht="20.149999999999999" customHeight="1" thickBot="1">
      <c r="A137" s="748"/>
      <c r="B137" s="761"/>
      <c r="C137" s="286">
        <v>5</v>
      </c>
      <c r="D137" s="297"/>
      <c r="E137" s="298"/>
      <c r="F137" s="299"/>
      <c r="G137" s="290"/>
      <c r="H137" s="291"/>
      <c r="I137" s="292"/>
      <c r="J137" s="435"/>
      <c r="K137" s="428"/>
      <c r="L137" s="328"/>
      <c r="M137" s="333">
        <v>0</v>
      </c>
      <c r="N137" s="295"/>
      <c r="O137" s="308"/>
      <c r="P137" s="309"/>
      <c r="R137" s="2"/>
      <c r="S137" s="2"/>
    </row>
    <row r="138" spans="1:19" s="296" customFormat="1" ht="15.75" customHeight="1" thickTop="1" thickBot="1">
      <c r="A138" s="749"/>
      <c r="B138" s="762"/>
      <c r="C138" s="757"/>
      <c r="D138" s="758"/>
      <c r="E138" s="758"/>
      <c r="F138" s="758"/>
      <c r="G138" s="758"/>
      <c r="H138" s="758"/>
      <c r="I138" s="759"/>
      <c r="J138" s="363" t="s">
        <v>58</v>
      </c>
      <c r="K138" s="213">
        <f>M138/'生產管理報表 7-1 (週)'!$B$42</f>
        <v>0</v>
      </c>
      <c r="L138" s="364" t="s">
        <v>59</v>
      </c>
      <c r="M138" s="436">
        <f>SUM(M133:M137)</f>
        <v>0</v>
      </c>
      <c r="N138" s="734"/>
      <c r="O138" s="735"/>
      <c r="P138" s="736"/>
      <c r="R138" s="2"/>
      <c r="S138" s="2"/>
    </row>
    <row r="139" spans="1:19" s="296" customFormat="1" ht="15.75" customHeight="1" thickTop="1">
      <c r="B139" s="304"/>
      <c r="C139" s="305"/>
      <c r="M139" s="340"/>
      <c r="R139" s="2"/>
      <c r="S139" s="2"/>
    </row>
    <row r="140" spans="1:19" s="296" customFormat="1" ht="15.75" customHeight="1">
      <c r="A140" s="737" t="s">
        <v>193</v>
      </c>
      <c r="B140" s="738"/>
      <c r="C140" s="310" t="s">
        <v>47</v>
      </c>
      <c r="D140" s="739" t="s">
        <v>12</v>
      </c>
      <c r="E140" s="740"/>
      <c r="F140" s="741"/>
      <c r="G140" s="742" t="s">
        <v>53</v>
      </c>
      <c r="H140" s="743"/>
      <c r="I140" s="744"/>
      <c r="J140" s="311" t="s">
        <v>54</v>
      </c>
      <c r="K140" s="283" t="s">
        <v>55</v>
      </c>
      <c r="L140" s="283" t="s">
        <v>56</v>
      </c>
      <c r="M140" s="341" t="s">
        <v>11</v>
      </c>
      <c r="N140" s="284" t="s">
        <v>335</v>
      </c>
      <c r="O140" s="745" t="s">
        <v>51</v>
      </c>
      <c r="P140" s="746"/>
      <c r="R140" s="2"/>
      <c r="S140" s="2"/>
    </row>
    <row r="141" spans="1:19" s="296" customFormat="1" ht="20.149999999999999" customHeight="1">
      <c r="A141" s="747">
        <v>7</v>
      </c>
      <c r="B141" s="750" t="s">
        <v>251</v>
      </c>
      <c r="C141" s="286">
        <v>1</v>
      </c>
      <c r="D141" s="287"/>
      <c r="E141" s="288"/>
      <c r="F141" s="289"/>
      <c r="G141" s="290"/>
      <c r="H141" s="291"/>
      <c r="I141" s="292"/>
      <c r="J141" s="293"/>
      <c r="K141" s="294"/>
      <c r="L141" s="295"/>
      <c r="M141" s="342">
        <f t="shared" ref="M141:M143" si="15">L141*J141</f>
        <v>0</v>
      </c>
      <c r="N141" s="295"/>
      <c r="O141" s="753"/>
      <c r="P141" s="754"/>
      <c r="R141" s="2"/>
      <c r="S141" s="2"/>
    </row>
    <row r="142" spans="1:19" s="296" customFormat="1" ht="20.149999999999999" customHeight="1">
      <c r="A142" s="748"/>
      <c r="B142" s="751"/>
      <c r="C142" s="286">
        <v>2</v>
      </c>
      <c r="D142" s="287"/>
      <c r="E142" s="288"/>
      <c r="F142" s="289"/>
      <c r="G142" s="290"/>
      <c r="H142" s="291"/>
      <c r="I142" s="292"/>
      <c r="J142" s="293"/>
      <c r="K142" s="294"/>
      <c r="L142" s="295"/>
      <c r="M142" s="342">
        <f t="shared" si="15"/>
        <v>0</v>
      </c>
      <c r="N142" s="295"/>
      <c r="O142" s="755"/>
      <c r="P142" s="756"/>
      <c r="R142" s="2"/>
      <c r="S142" s="2"/>
    </row>
    <row r="143" spans="1:19" s="296" customFormat="1" ht="20.149999999999999" customHeight="1">
      <c r="A143" s="748"/>
      <c r="B143" s="751"/>
      <c r="C143" s="286">
        <v>3</v>
      </c>
      <c r="D143" s="287"/>
      <c r="E143" s="288"/>
      <c r="F143" s="289"/>
      <c r="G143" s="290"/>
      <c r="H143" s="291"/>
      <c r="I143" s="292"/>
      <c r="J143" s="293"/>
      <c r="K143" s="294"/>
      <c r="L143" s="295"/>
      <c r="M143" s="342">
        <f t="shared" si="15"/>
        <v>0</v>
      </c>
      <c r="N143" s="295"/>
      <c r="O143" s="755"/>
      <c r="P143" s="756"/>
      <c r="R143" s="2"/>
      <c r="S143" s="2"/>
    </row>
    <row r="144" spans="1:19" s="296" customFormat="1" ht="20.149999999999999" customHeight="1">
      <c r="A144" s="748"/>
      <c r="B144" s="751"/>
      <c r="C144" s="286">
        <v>4</v>
      </c>
      <c r="D144" s="287"/>
      <c r="E144" s="288"/>
      <c r="F144" s="289"/>
      <c r="G144" s="290"/>
      <c r="H144" s="291"/>
      <c r="I144" s="292"/>
      <c r="J144" s="293"/>
      <c r="K144" s="294"/>
      <c r="L144" s="295"/>
      <c r="M144" s="343">
        <v>0</v>
      </c>
      <c r="N144" s="295"/>
      <c r="O144" s="306"/>
      <c r="P144" s="307"/>
      <c r="R144" s="2"/>
      <c r="S144" s="2"/>
    </row>
    <row r="145" spans="1:21" s="296" customFormat="1" ht="20.149999999999999" customHeight="1" thickBot="1">
      <c r="A145" s="748"/>
      <c r="B145" s="751"/>
      <c r="C145" s="286">
        <v>5</v>
      </c>
      <c r="D145" s="297"/>
      <c r="E145" s="298"/>
      <c r="F145" s="299"/>
      <c r="G145" s="290"/>
      <c r="H145" s="291"/>
      <c r="I145" s="292"/>
      <c r="J145" s="435"/>
      <c r="K145" s="428"/>
      <c r="L145" s="328"/>
      <c r="M145" s="344">
        <v>0</v>
      </c>
      <c r="N145" s="295"/>
      <c r="O145" s="308"/>
      <c r="P145" s="309"/>
      <c r="R145" s="2"/>
      <c r="S145" s="2"/>
    </row>
    <row r="146" spans="1:21" s="296" customFormat="1" ht="15.75" customHeight="1" thickTop="1" thickBot="1">
      <c r="A146" s="749"/>
      <c r="B146" s="752"/>
      <c r="C146" s="757"/>
      <c r="D146" s="758"/>
      <c r="E146" s="758"/>
      <c r="F146" s="758"/>
      <c r="G146" s="758"/>
      <c r="H146" s="758"/>
      <c r="I146" s="759"/>
      <c r="J146" s="363" t="s">
        <v>58</v>
      </c>
      <c r="K146" s="213">
        <f>M146/'生產管理報表 7-1 (週)'!$B$42</f>
        <v>0</v>
      </c>
      <c r="L146" s="364" t="s">
        <v>59</v>
      </c>
      <c r="M146" s="436">
        <f>SUM(M141:M145)</f>
        <v>0</v>
      </c>
      <c r="N146" s="734"/>
      <c r="O146" s="735"/>
      <c r="P146" s="736"/>
      <c r="R146" s="2"/>
      <c r="S146" s="2"/>
      <c r="T146" s="2"/>
    </row>
    <row r="147" spans="1:21" s="136" customFormat="1" ht="15.75" customHeight="1" thickTop="1">
      <c r="A147" s="866" t="s">
        <v>768</v>
      </c>
      <c r="B147" s="866"/>
      <c r="C147" s="866"/>
      <c r="D147" s="866"/>
      <c r="E147" s="866"/>
      <c r="F147" s="866"/>
      <c r="G147" s="866"/>
      <c r="H147" s="866"/>
      <c r="I147" s="866"/>
      <c r="J147" s="866"/>
      <c r="K147" s="866"/>
      <c r="L147" s="866"/>
      <c r="M147" s="866"/>
      <c r="R147" s="238"/>
      <c r="S147" s="238"/>
      <c r="T147" s="238"/>
      <c r="U147" s="238"/>
    </row>
    <row r="148" spans="1:21" s="137" customFormat="1" ht="15.75" customHeight="1">
      <c r="A148" s="799"/>
      <c r="B148" s="799"/>
      <c r="C148" s="799"/>
      <c r="D148" s="799"/>
      <c r="E148" s="799"/>
      <c r="F148" s="799"/>
      <c r="G148" s="799"/>
      <c r="H148" s="799"/>
      <c r="I148" s="799"/>
      <c r="J148" s="799"/>
      <c r="K148" s="799"/>
      <c r="L148" s="799"/>
      <c r="M148" s="799"/>
    </row>
    <row r="149" spans="1:21" s="136" customFormat="1" ht="15.75" customHeight="1">
      <c r="A149" s="800" t="s">
        <v>193</v>
      </c>
      <c r="B149" s="802">
        <v>1</v>
      </c>
      <c r="C149" s="803"/>
      <c r="D149" s="802">
        <v>2</v>
      </c>
      <c r="E149" s="803"/>
      <c r="F149" s="802">
        <v>3</v>
      </c>
      <c r="G149" s="803"/>
      <c r="H149" s="793">
        <v>4</v>
      </c>
      <c r="I149" s="794"/>
      <c r="J149" s="793">
        <v>5</v>
      </c>
      <c r="K149" s="794"/>
      <c r="L149" s="793">
        <v>6</v>
      </c>
      <c r="M149" s="794"/>
      <c r="N149" s="793">
        <v>7</v>
      </c>
      <c r="O149" s="794"/>
      <c r="P149" s="338">
        <v>8</v>
      </c>
    </row>
    <row r="150" spans="1:21" s="136" customFormat="1" ht="15.75" customHeight="1">
      <c r="A150" s="801"/>
      <c r="B150" s="797" t="s">
        <v>500</v>
      </c>
      <c r="C150" s="798"/>
      <c r="D150" s="797" t="s">
        <v>214</v>
      </c>
      <c r="E150" s="798"/>
      <c r="F150" s="797" t="s">
        <v>168</v>
      </c>
      <c r="G150" s="798"/>
      <c r="H150" s="795" t="s">
        <v>465</v>
      </c>
      <c r="I150" s="796"/>
      <c r="J150" s="795" t="s">
        <v>191</v>
      </c>
      <c r="K150" s="796"/>
      <c r="L150" s="795" t="s">
        <v>169</v>
      </c>
      <c r="M150" s="796"/>
      <c r="N150" s="795" t="s">
        <v>192</v>
      </c>
      <c r="O150" s="796"/>
      <c r="P150" s="339" t="s">
        <v>219</v>
      </c>
    </row>
    <row r="151" spans="1:21" s="136" customFormat="1" ht="15.75" customHeight="1">
      <c r="B151" s="239"/>
      <c r="C151" s="240"/>
    </row>
    <row r="152" spans="1:21" s="285" customFormat="1" ht="15.75" customHeight="1">
      <c r="A152" s="737" t="s">
        <v>193</v>
      </c>
      <c r="B152" s="738"/>
      <c r="C152" s="282" t="s">
        <v>47</v>
      </c>
      <c r="D152" s="765" t="s">
        <v>12</v>
      </c>
      <c r="E152" s="766"/>
      <c r="F152" s="767"/>
      <c r="G152" s="768" t="s">
        <v>53</v>
      </c>
      <c r="H152" s="769"/>
      <c r="I152" s="770"/>
      <c r="J152" s="283" t="s">
        <v>54</v>
      </c>
      <c r="K152" s="283" t="s">
        <v>55</v>
      </c>
      <c r="L152" s="283" t="s">
        <v>56</v>
      </c>
      <c r="M152" s="284" t="s">
        <v>11</v>
      </c>
      <c r="N152" s="284" t="s">
        <v>335</v>
      </c>
      <c r="O152" s="745" t="s">
        <v>51</v>
      </c>
      <c r="P152" s="746"/>
      <c r="R152" s="211"/>
      <c r="S152" s="268"/>
    </row>
    <row r="153" spans="1:21" s="305" customFormat="1" ht="20.149999999999999" customHeight="1">
      <c r="A153" s="747">
        <v>4</v>
      </c>
      <c r="B153" s="781" t="s">
        <v>465</v>
      </c>
      <c r="C153" s="286">
        <v>1</v>
      </c>
      <c r="D153" s="244"/>
      <c r="E153" s="245"/>
      <c r="F153" s="246"/>
      <c r="G153" s="370"/>
      <c r="H153" s="312"/>
      <c r="I153" s="313"/>
      <c r="J153" s="323"/>
      <c r="K153" s="324"/>
      <c r="L153" s="325"/>
      <c r="M153" s="333">
        <f t="shared" ref="M153:M157" si="16">L153*J153</f>
        <v>0</v>
      </c>
      <c r="N153" s="325"/>
      <c r="O153" s="784"/>
      <c r="P153" s="785"/>
      <c r="R153" s="326"/>
      <c r="S153" s="268"/>
    </row>
    <row r="154" spans="1:21" s="305" customFormat="1" ht="20.149999999999999" customHeight="1">
      <c r="A154" s="748"/>
      <c r="B154" s="782"/>
      <c r="C154" s="286">
        <v>2</v>
      </c>
      <c r="D154" s="244"/>
      <c r="E154" s="245"/>
      <c r="F154" s="246"/>
      <c r="G154" s="370"/>
      <c r="H154" s="312"/>
      <c r="I154" s="313"/>
      <c r="J154" s="323"/>
      <c r="K154" s="324"/>
      <c r="L154" s="325"/>
      <c r="M154" s="333">
        <f t="shared" si="16"/>
        <v>0</v>
      </c>
      <c r="N154" s="325"/>
      <c r="O154" s="777"/>
      <c r="P154" s="778"/>
      <c r="R154" s="326"/>
      <c r="S154" s="211"/>
      <c r="T154" s="350"/>
    </row>
    <row r="155" spans="1:21" s="305" customFormat="1" ht="20.149999999999999" customHeight="1">
      <c r="A155" s="748"/>
      <c r="B155" s="782"/>
      <c r="C155" s="286">
        <v>3</v>
      </c>
      <c r="D155" s="244"/>
      <c r="E155" s="245"/>
      <c r="F155" s="246"/>
      <c r="G155" s="370"/>
      <c r="H155" s="312"/>
      <c r="I155" s="313"/>
      <c r="J155" s="323"/>
      <c r="K155" s="324"/>
      <c r="L155" s="325"/>
      <c r="M155" s="333">
        <f t="shared" si="16"/>
        <v>0</v>
      </c>
      <c r="N155" s="325"/>
      <c r="O155" s="784"/>
      <c r="P155" s="785"/>
      <c r="R155" s="326"/>
      <c r="S155" s="268"/>
    </row>
    <row r="156" spans="1:21" s="305" customFormat="1" ht="20.149999999999999" customHeight="1">
      <c r="A156" s="748"/>
      <c r="B156" s="782"/>
      <c r="C156" s="286">
        <v>4</v>
      </c>
      <c r="D156" s="244"/>
      <c r="E156" s="245"/>
      <c r="F156" s="246"/>
      <c r="G156" s="370"/>
      <c r="H156" s="312"/>
      <c r="I156" s="313"/>
      <c r="J156" s="323"/>
      <c r="K156" s="324"/>
      <c r="L156" s="325"/>
      <c r="M156" s="333">
        <f t="shared" si="16"/>
        <v>0</v>
      </c>
      <c r="N156" s="325"/>
      <c r="O156" s="784"/>
      <c r="P156" s="785"/>
      <c r="R156" s="326"/>
      <c r="S156" s="211"/>
      <c r="T156" s="350"/>
    </row>
    <row r="157" spans="1:21" s="305" customFormat="1" ht="20.149999999999999" customHeight="1" thickBot="1">
      <c r="A157" s="748"/>
      <c r="B157" s="782"/>
      <c r="C157" s="286">
        <v>5</v>
      </c>
      <c r="D157" s="244"/>
      <c r="E157" s="252"/>
      <c r="F157" s="253"/>
      <c r="G157" s="370"/>
      <c r="H157" s="312"/>
      <c r="I157" s="313"/>
      <c r="J157" s="435"/>
      <c r="K157" s="428"/>
      <c r="L157" s="328"/>
      <c r="M157" s="333">
        <f t="shared" si="16"/>
        <v>0</v>
      </c>
      <c r="N157" s="325"/>
      <c r="O157" s="784"/>
      <c r="P157" s="785"/>
      <c r="R157" s="329"/>
      <c r="S157" s="268"/>
      <c r="T157" s="296"/>
    </row>
    <row r="158" spans="1:21" s="296" customFormat="1" ht="15.75" customHeight="1" thickTop="1" thickBot="1">
      <c r="A158" s="749"/>
      <c r="B158" s="783"/>
      <c r="C158" s="790"/>
      <c r="D158" s="791"/>
      <c r="E158" s="791"/>
      <c r="F158" s="791"/>
      <c r="G158" s="791"/>
      <c r="H158" s="791"/>
      <c r="I158" s="792"/>
      <c r="J158" s="363" t="s">
        <v>58</v>
      </c>
      <c r="K158" s="213">
        <f>M158/'生產管理報表 7-1 (週)'!$B$53</f>
        <v>0</v>
      </c>
      <c r="L158" s="364" t="s">
        <v>59</v>
      </c>
      <c r="M158" s="436">
        <f>SUM(M153:M157)</f>
        <v>0</v>
      </c>
      <c r="N158" s="734"/>
      <c r="O158" s="735"/>
      <c r="P158" s="736"/>
      <c r="R158" s="211"/>
      <c r="S158" s="211"/>
    </row>
    <row r="159" spans="1:21" s="296" customFormat="1" ht="15.75" customHeight="1" thickTop="1">
      <c r="B159" s="304"/>
      <c r="C159" s="305"/>
      <c r="M159" s="340"/>
      <c r="S159" s="268"/>
    </row>
    <row r="160" spans="1:21" s="296" customFormat="1" ht="15.75" customHeight="1">
      <c r="A160" s="737" t="s">
        <v>193</v>
      </c>
      <c r="B160" s="738"/>
      <c r="C160" s="282" t="s">
        <v>47</v>
      </c>
      <c r="D160" s="765" t="s">
        <v>12</v>
      </c>
      <c r="E160" s="766"/>
      <c r="F160" s="767"/>
      <c r="G160" s="768" t="s">
        <v>53</v>
      </c>
      <c r="H160" s="769"/>
      <c r="I160" s="770"/>
      <c r="J160" s="283" t="s">
        <v>54</v>
      </c>
      <c r="K160" s="283" t="s">
        <v>55</v>
      </c>
      <c r="L160" s="283" t="s">
        <v>56</v>
      </c>
      <c r="M160" s="341" t="s">
        <v>11</v>
      </c>
      <c r="N160" s="284" t="s">
        <v>335</v>
      </c>
      <c r="O160" s="745" t="s">
        <v>51</v>
      </c>
      <c r="P160" s="746"/>
      <c r="S160" s="211"/>
      <c r="T160" s="350"/>
    </row>
    <row r="161" spans="1:20" s="305" customFormat="1" ht="40" customHeight="1">
      <c r="A161" s="747">
        <v>5</v>
      </c>
      <c r="B161" s="760" t="s">
        <v>217</v>
      </c>
      <c r="C161" s="286">
        <v>1</v>
      </c>
      <c r="D161" s="244"/>
      <c r="E161" s="245"/>
      <c r="F161" s="246"/>
      <c r="G161" s="313"/>
      <c r="H161" s="312"/>
      <c r="I161" s="313"/>
      <c r="J161" s="323"/>
      <c r="K161" s="324"/>
      <c r="L161" s="325"/>
      <c r="M161" s="333">
        <f>L161*J161</f>
        <v>0</v>
      </c>
      <c r="N161" s="325"/>
      <c r="O161" s="777"/>
      <c r="P161" s="778"/>
      <c r="R161" s="444"/>
      <c r="S161" s="437"/>
    </row>
    <row r="162" spans="1:20" s="305" customFormat="1" ht="20.149999999999999" customHeight="1">
      <c r="A162" s="748"/>
      <c r="B162" s="761"/>
      <c r="C162" s="286">
        <v>2</v>
      </c>
      <c r="D162" s="244"/>
      <c r="E162" s="245"/>
      <c r="F162" s="246"/>
      <c r="G162" s="370"/>
      <c r="H162" s="312"/>
      <c r="I162" s="313"/>
      <c r="J162" s="323"/>
      <c r="K162" s="324"/>
      <c r="L162" s="325"/>
      <c r="M162" s="333">
        <f t="shared" ref="M162:M165" si="17">L162*J162</f>
        <v>0</v>
      </c>
      <c r="N162" s="325"/>
      <c r="O162" s="777"/>
      <c r="P162" s="778"/>
      <c r="S162" s="211"/>
      <c r="T162" s="351"/>
    </row>
    <row r="163" spans="1:20" s="296" customFormat="1" ht="20.149999999999999" customHeight="1">
      <c r="A163" s="748"/>
      <c r="B163" s="761"/>
      <c r="C163" s="286">
        <v>3</v>
      </c>
      <c r="D163" s="244"/>
      <c r="E163" s="288"/>
      <c r="F163" s="289"/>
      <c r="G163" s="370"/>
      <c r="H163" s="312"/>
      <c r="I163" s="313"/>
      <c r="J163" s="323"/>
      <c r="K163" s="324"/>
      <c r="L163" s="325"/>
      <c r="M163" s="333">
        <f t="shared" si="17"/>
        <v>0</v>
      </c>
      <c r="N163" s="295"/>
      <c r="O163" s="773"/>
      <c r="P163" s="774"/>
    </row>
    <row r="164" spans="1:20" s="296" customFormat="1" ht="20.149999999999999" customHeight="1">
      <c r="A164" s="748"/>
      <c r="B164" s="761"/>
      <c r="C164" s="286">
        <v>4</v>
      </c>
      <c r="D164" s="244"/>
      <c r="E164" s="288"/>
      <c r="F164" s="289"/>
      <c r="G164" s="370"/>
      <c r="H164" s="312"/>
      <c r="I164" s="313"/>
      <c r="J164" s="323"/>
      <c r="K164" s="324"/>
      <c r="L164" s="325"/>
      <c r="M164" s="333">
        <f t="shared" si="17"/>
        <v>0</v>
      </c>
      <c r="N164" s="295"/>
      <c r="O164" s="777"/>
      <c r="P164" s="778"/>
    </row>
    <row r="165" spans="1:20" s="296" customFormat="1" ht="20.149999999999999" customHeight="1" thickBot="1">
      <c r="A165" s="748"/>
      <c r="B165" s="761"/>
      <c r="C165" s="286">
        <v>5</v>
      </c>
      <c r="D165" s="251"/>
      <c r="E165" s="298"/>
      <c r="F165" s="299"/>
      <c r="G165" s="370"/>
      <c r="H165" s="312"/>
      <c r="I165" s="313"/>
      <c r="J165" s="435"/>
      <c r="K165" s="428"/>
      <c r="L165" s="328"/>
      <c r="M165" s="333">
        <f t="shared" si="17"/>
        <v>0</v>
      </c>
      <c r="N165" s="295"/>
      <c r="O165" s="867"/>
      <c r="P165" s="868"/>
      <c r="R165" s="212"/>
    </row>
    <row r="166" spans="1:20" s="296" customFormat="1" ht="15.75" customHeight="1" thickTop="1" thickBot="1">
      <c r="A166" s="749"/>
      <c r="B166" s="762"/>
      <c r="C166" s="757"/>
      <c r="D166" s="758"/>
      <c r="E166" s="758"/>
      <c r="F166" s="758"/>
      <c r="G166" s="758"/>
      <c r="H166" s="758"/>
      <c r="I166" s="759"/>
      <c r="J166" s="363" t="s">
        <v>58</v>
      </c>
      <c r="K166" s="213">
        <f>M166/'生產管理報表 7-1 (週)'!$B$53</f>
        <v>0</v>
      </c>
      <c r="L166" s="364" t="s">
        <v>59</v>
      </c>
      <c r="M166" s="436">
        <f>SUM(M161:M165)</f>
        <v>0</v>
      </c>
      <c r="N166" s="734"/>
      <c r="O166" s="735"/>
      <c r="P166" s="736"/>
      <c r="R166" s="211"/>
    </row>
    <row r="167" spans="1:20" s="296" customFormat="1" ht="15.75" customHeight="1" thickTop="1">
      <c r="B167" s="304"/>
      <c r="C167" s="305"/>
      <c r="M167" s="340"/>
      <c r="R167" s="211"/>
    </row>
    <row r="168" spans="1:20" s="296" customFormat="1" ht="15.75" customHeight="1">
      <c r="A168" s="737" t="s">
        <v>193</v>
      </c>
      <c r="B168" s="738"/>
      <c r="C168" s="310" t="s">
        <v>47</v>
      </c>
      <c r="D168" s="739" t="s">
        <v>12</v>
      </c>
      <c r="E168" s="740"/>
      <c r="F168" s="741"/>
      <c r="G168" s="742" t="s">
        <v>53</v>
      </c>
      <c r="H168" s="743"/>
      <c r="I168" s="744"/>
      <c r="J168" s="311" t="s">
        <v>54</v>
      </c>
      <c r="K168" s="283" t="s">
        <v>55</v>
      </c>
      <c r="L168" s="283" t="s">
        <v>56</v>
      </c>
      <c r="M168" s="341" t="s">
        <v>11</v>
      </c>
      <c r="N168" s="284" t="s">
        <v>335</v>
      </c>
      <c r="O168" s="745" t="s">
        <v>51</v>
      </c>
      <c r="P168" s="746"/>
      <c r="R168" s="211"/>
      <c r="S168" s="2"/>
    </row>
    <row r="169" spans="1:20" s="296" customFormat="1" ht="40" customHeight="1">
      <c r="A169" s="747">
        <v>6</v>
      </c>
      <c r="B169" s="760" t="s">
        <v>218</v>
      </c>
      <c r="C169" s="286">
        <v>1</v>
      </c>
      <c r="D169" s="352"/>
      <c r="E169" s="288"/>
      <c r="F169" s="289"/>
      <c r="G169" s="313"/>
      <c r="H169" s="312"/>
      <c r="I169" s="313"/>
      <c r="J169" s="323"/>
      <c r="K169" s="324"/>
      <c r="L169" s="325"/>
      <c r="M169" s="333">
        <f t="shared" ref="M169" si="18">L169*J169</f>
        <v>0</v>
      </c>
      <c r="N169" s="295"/>
      <c r="O169" s="773"/>
      <c r="P169" s="774"/>
      <c r="R169" s="351"/>
      <c r="S169" s="445"/>
    </row>
    <row r="170" spans="1:20" s="296" customFormat="1" ht="20.149999999999999" customHeight="1">
      <c r="A170" s="748"/>
      <c r="B170" s="761"/>
      <c r="C170" s="286">
        <v>2</v>
      </c>
      <c r="D170" s="287"/>
      <c r="E170" s="288"/>
      <c r="F170" s="289"/>
      <c r="G170" s="290"/>
      <c r="H170" s="291"/>
      <c r="I170" s="292"/>
      <c r="J170" s="293"/>
      <c r="K170" s="294"/>
      <c r="L170" s="295"/>
      <c r="M170" s="342">
        <v>0</v>
      </c>
      <c r="N170" s="295"/>
      <c r="O170" s="306"/>
      <c r="P170" s="307"/>
      <c r="S170" s="2"/>
    </row>
    <row r="171" spans="1:20" s="296" customFormat="1" ht="20.149999999999999" customHeight="1">
      <c r="A171" s="748"/>
      <c r="B171" s="761"/>
      <c r="C171" s="286">
        <v>3</v>
      </c>
      <c r="D171" s="287"/>
      <c r="E171" s="288"/>
      <c r="F171" s="289"/>
      <c r="G171" s="290"/>
      <c r="H171" s="291"/>
      <c r="I171" s="292"/>
      <c r="J171" s="293"/>
      <c r="K171" s="294"/>
      <c r="L171" s="295"/>
      <c r="M171" s="342">
        <v>0</v>
      </c>
      <c r="N171" s="295"/>
      <c r="O171" s="306"/>
      <c r="P171" s="307"/>
      <c r="S171" s="2"/>
    </row>
    <row r="172" spans="1:20" s="296" customFormat="1" ht="20.149999999999999" customHeight="1">
      <c r="A172" s="748"/>
      <c r="B172" s="761"/>
      <c r="C172" s="286">
        <v>4</v>
      </c>
      <c r="D172" s="287"/>
      <c r="E172" s="288"/>
      <c r="F172" s="289"/>
      <c r="G172" s="290"/>
      <c r="H172" s="291"/>
      <c r="I172" s="292"/>
      <c r="J172" s="293"/>
      <c r="K172" s="294"/>
      <c r="L172" s="295"/>
      <c r="M172" s="342">
        <v>0</v>
      </c>
      <c r="N172" s="295"/>
      <c r="O172" s="306"/>
      <c r="P172" s="307"/>
      <c r="R172" s="2"/>
      <c r="S172" s="2"/>
    </row>
    <row r="173" spans="1:20" s="296" customFormat="1" ht="20.149999999999999" customHeight="1" thickBot="1">
      <c r="A173" s="748"/>
      <c r="B173" s="761"/>
      <c r="C173" s="286">
        <v>5</v>
      </c>
      <c r="D173" s="297"/>
      <c r="E173" s="298"/>
      <c r="F173" s="299"/>
      <c r="G173" s="290"/>
      <c r="H173" s="291"/>
      <c r="I173" s="292"/>
      <c r="J173" s="435"/>
      <c r="K173" s="428"/>
      <c r="L173" s="328"/>
      <c r="M173" s="333">
        <v>0</v>
      </c>
      <c r="N173" s="295"/>
      <c r="O173" s="308"/>
      <c r="P173" s="309"/>
      <c r="R173" s="2"/>
      <c r="S173" s="2"/>
    </row>
    <row r="174" spans="1:20" s="296" customFormat="1" ht="15.75" customHeight="1" thickTop="1" thickBot="1">
      <c r="A174" s="749"/>
      <c r="B174" s="762"/>
      <c r="C174" s="757"/>
      <c r="D174" s="758"/>
      <c r="E174" s="758"/>
      <c r="F174" s="758"/>
      <c r="G174" s="758"/>
      <c r="H174" s="758"/>
      <c r="I174" s="759"/>
      <c r="J174" s="363" t="s">
        <v>58</v>
      </c>
      <c r="K174" s="213">
        <f>M174/'生產管理報表 7-1 (週)'!$B$53</f>
        <v>0</v>
      </c>
      <c r="L174" s="364" t="s">
        <v>59</v>
      </c>
      <c r="M174" s="436">
        <f>SUM(M169:M173)</f>
        <v>0</v>
      </c>
      <c r="N174" s="734"/>
      <c r="O174" s="735"/>
      <c r="P174" s="736"/>
      <c r="R174" s="2"/>
      <c r="S174" s="2"/>
    </row>
    <row r="175" spans="1:20" s="296" customFormat="1" ht="15.75" customHeight="1" thickTop="1">
      <c r="B175" s="304"/>
      <c r="C175" s="305"/>
      <c r="M175" s="340"/>
      <c r="R175" s="2"/>
      <c r="S175" s="2"/>
    </row>
    <row r="176" spans="1:20" s="296" customFormat="1" ht="15.75" customHeight="1">
      <c r="A176" s="737" t="s">
        <v>193</v>
      </c>
      <c r="B176" s="738"/>
      <c r="C176" s="310" t="s">
        <v>47</v>
      </c>
      <c r="D176" s="739" t="s">
        <v>12</v>
      </c>
      <c r="E176" s="740"/>
      <c r="F176" s="741"/>
      <c r="G176" s="742" t="s">
        <v>53</v>
      </c>
      <c r="H176" s="743"/>
      <c r="I176" s="744"/>
      <c r="J176" s="311" t="s">
        <v>54</v>
      </c>
      <c r="K176" s="283" t="s">
        <v>55</v>
      </c>
      <c r="L176" s="283" t="s">
        <v>56</v>
      </c>
      <c r="M176" s="341" t="s">
        <v>11</v>
      </c>
      <c r="N176" s="284" t="s">
        <v>335</v>
      </c>
      <c r="O176" s="745" t="s">
        <v>51</v>
      </c>
      <c r="P176" s="746"/>
      <c r="R176" s="2"/>
      <c r="S176" s="2"/>
    </row>
    <row r="177" spans="1:20" s="296" customFormat="1" ht="20.149999999999999" customHeight="1">
      <c r="A177" s="747">
        <v>7</v>
      </c>
      <c r="B177" s="750" t="s">
        <v>251</v>
      </c>
      <c r="C177" s="286">
        <v>1</v>
      </c>
      <c r="D177" s="287"/>
      <c r="E177" s="288"/>
      <c r="F177" s="289"/>
      <c r="G177" s="290"/>
      <c r="H177" s="291"/>
      <c r="I177" s="292"/>
      <c r="J177" s="293"/>
      <c r="K177" s="294"/>
      <c r="L177" s="295"/>
      <c r="M177" s="342">
        <f t="shared" ref="M177:M179" si="19">L177*J177</f>
        <v>0</v>
      </c>
      <c r="N177" s="295"/>
      <c r="O177" s="753"/>
      <c r="P177" s="754"/>
      <c r="R177" s="2"/>
      <c r="S177" s="2"/>
    </row>
    <row r="178" spans="1:20" s="296" customFormat="1" ht="20.149999999999999" customHeight="1">
      <c r="A178" s="748"/>
      <c r="B178" s="751"/>
      <c r="C178" s="286">
        <v>2</v>
      </c>
      <c r="D178" s="287"/>
      <c r="E178" s="288"/>
      <c r="F178" s="289"/>
      <c r="G178" s="290"/>
      <c r="H178" s="291"/>
      <c r="I178" s="292"/>
      <c r="J178" s="293"/>
      <c r="K178" s="294"/>
      <c r="L178" s="295"/>
      <c r="M178" s="342">
        <f t="shared" si="19"/>
        <v>0</v>
      </c>
      <c r="N178" s="295"/>
      <c r="O178" s="755"/>
      <c r="P178" s="756"/>
      <c r="R178" s="2"/>
      <c r="S178" s="2"/>
    </row>
    <row r="179" spans="1:20" s="296" customFormat="1" ht="20.149999999999999" customHeight="1">
      <c r="A179" s="748"/>
      <c r="B179" s="751"/>
      <c r="C179" s="286">
        <v>3</v>
      </c>
      <c r="D179" s="287"/>
      <c r="E179" s="288"/>
      <c r="F179" s="289"/>
      <c r="G179" s="290"/>
      <c r="H179" s="291"/>
      <c r="I179" s="292"/>
      <c r="J179" s="293"/>
      <c r="K179" s="294"/>
      <c r="L179" s="295"/>
      <c r="M179" s="342">
        <f t="shared" si="19"/>
        <v>0</v>
      </c>
      <c r="N179" s="295"/>
      <c r="O179" s="755"/>
      <c r="P179" s="756"/>
      <c r="R179" s="2"/>
      <c r="S179" s="2"/>
    </row>
    <row r="180" spans="1:20" s="296" customFormat="1" ht="20.149999999999999" customHeight="1">
      <c r="A180" s="748"/>
      <c r="B180" s="751"/>
      <c r="C180" s="286">
        <v>4</v>
      </c>
      <c r="D180" s="287"/>
      <c r="E180" s="288"/>
      <c r="F180" s="289"/>
      <c r="G180" s="290"/>
      <c r="H180" s="291"/>
      <c r="I180" s="292"/>
      <c r="J180" s="293"/>
      <c r="K180" s="294"/>
      <c r="L180" s="295"/>
      <c r="M180" s="343">
        <v>0</v>
      </c>
      <c r="N180" s="295"/>
      <c r="O180" s="306"/>
      <c r="P180" s="307"/>
      <c r="R180" s="2"/>
      <c r="S180" s="2"/>
    </row>
    <row r="181" spans="1:20" s="296" customFormat="1" ht="20.149999999999999" customHeight="1" thickBot="1">
      <c r="A181" s="748"/>
      <c r="B181" s="751"/>
      <c r="C181" s="286">
        <v>5</v>
      </c>
      <c r="D181" s="297"/>
      <c r="E181" s="298"/>
      <c r="F181" s="299"/>
      <c r="G181" s="290"/>
      <c r="H181" s="291"/>
      <c r="I181" s="292"/>
      <c r="J181" s="435"/>
      <c r="K181" s="428"/>
      <c r="L181" s="328"/>
      <c r="M181" s="344">
        <v>0</v>
      </c>
      <c r="N181" s="295"/>
      <c r="O181" s="308"/>
      <c r="P181" s="309"/>
      <c r="R181" s="2"/>
      <c r="S181" s="2"/>
    </row>
    <row r="182" spans="1:20" s="296" customFormat="1" ht="15.75" customHeight="1" thickTop="1" thickBot="1">
      <c r="A182" s="749"/>
      <c r="B182" s="752"/>
      <c r="C182" s="757"/>
      <c r="D182" s="758"/>
      <c r="E182" s="758"/>
      <c r="F182" s="758"/>
      <c r="G182" s="758"/>
      <c r="H182" s="758"/>
      <c r="I182" s="759"/>
      <c r="J182" s="363" t="s">
        <v>58</v>
      </c>
      <c r="K182" s="213">
        <f>M182/'生產管理報表 7-1 (週)'!$B$42</f>
        <v>0</v>
      </c>
      <c r="L182" s="364" t="s">
        <v>59</v>
      </c>
      <c r="M182" s="436">
        <f>SUM(M177:M181)</f>
        <v>0</v>
      </c>
      <c r="N182" s="734"/>
      <c r="O182" s="735"/>
      <c r="P182" s="736"/>
      <c r="R182" s="2"/>
      <c r="S182" s="2"/>
      <c r="T182" s="2"/>
    </row>
    <row r="183" spans="1:20" ht="15.75" customHeight="1" thickTop="1"/>
  </sheetData>
  <mergeCells count="311"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N77:O77"/>
    <mergeCell ref="B78:C78"/>
    <mergeCell ref="D78:E78"/>
    <mergeCell ref="F78:G78"/>
    <mergeCell ref="H78:I78"/>
    <mergeCell ref="J78:K78"/>
    <mergeCell ref="L78:M78"/>
    <mergeCell ref="N78:O78"/>
    <mergeCell ref="A75:M76"/>
    <mergeCell ref="A77:A78"/>
    <mergeCell ref="B77:C77"/>
    <mergeCell ref="D77:E77"/>
    <mergeCell ref="F77:G77"/>
    <mergeCell ref="H77:I77"/>
    <mergeCell ref="J77:K77"/>
    <mergeCell ref="L77:M77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N41:O41"/>
    <mergeCell ref="B42:C42"/>
    <mergeCell ref="D42:E42"/>
    <mergeCell ref="F42:G42"/>
    <mergeCell ref="H42:I42"/>
    <mergeCell ref="J42:K42"/>
    <mergeCell ref="L42:M42"/>
    <mergeCell ref="N42:O42"/>
    <mergeCell ref="A39:M40"/>
    <mergeCell ref="A41:A42"/>
    <mergeCell ref="B41:C41"/>
    <mergeCell ref="D41:E41"/>
    <mergeCell ref="F41:G41"/>
    <mergeCell ref="H41:I41"/>
    <mergeCell ref="J41:K41"/>
    <mergeCell ref="L41:M41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A8:B8"/>
    <mergeCell ref="D8:F8"/>
    <mergeCell ref="G8:I8"/>
    <mergeCell ref="O8:P8"/>
    <mergeCell ref="N6:O6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</mergeCells>
  <phoneticPr fontId="13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8" max="15" man="1"/>
    <brk id="74" max="15" man="1"/>
    <brk id="110" max="15" man="1"/>
    <brk id="146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K14" sqref="K14"/>
    </sheetView>
  </sheetViews>
  <sheetFormatPr defaultColWidth="12.54296875" defaultRowHeight="15.75" customHeight="1"/>
  <cols>
    <col min="1" max="1" width="5.453125" style="136" customWidth="1"/>
    <col min="2" max="2" width="11.453125" style="239" customWidth="1"/>
    <col min="3" max="3" width="4" style="240" customWidth="1"/>
    <col min="4" max="15" width="9.54296875" style="136" customWidth="1"/>
    <col min="16" max="16" width="47.81640625" style="136" customWidth="1"/>
    <col min="17" max="17" width="9.54296875" style="136" customWidth="1"/>
    <col min="18" max="21" width="12.54296875" style="238"/>
    <col min="22" max="22" width="24.453125" style="136" bestFit="1" customWidth="1"/>
    <col min="23" max="23" width="19.453125" style="136" bestFit="1" customWidth="1"/>
    <col min="24" max="24" width="23" style="136" bestFit="1" customWidth="1"/>
    <col min="25" max="25" width="11.7265625" style="136" bestFit="1" customWidth="1"/>
    <col min="26" max="26" width="15.81640625" style="136" bestFit="1" customWidth="1"/>
    <col min="27" max="27" width="23.54296875" style="136" bestFit="1" customWidth="1"/>
    <col min="28" max="28" width="23" style="136" bestFit="1" customWidth="1"/>
    <col min="29" max="29" width="11.7265625" style="136" bestFit="1" customWidth="1"/>
    <col min="30" max="30" width="20.54296875" style="136" bestFit="1" customWidth="1"/>
    <col min="31" max="31" width="15" style="136" bestFit="1" customWidth="1"/>
    <col min="32" max="32" width="23" style="136" bestFit="1" customWidth="1"/>
    <col min="33" max="33" width="11.7265625" style="136" bestFit="1" customWidth="1"/>
    <col min="34" max="34" width="15.8164062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265625" style="136" bestFit="1" customWidth="1"/>
    <col min="40" max="40" width="13.81640625" style="136" bestFit="1" customWidth="1"/>
    <col min="41" max="41" width="27.81640625" style="136" bestFit="1" customWidth="1"/>
    <col min="42" max="42" width="23" style="136" bestFit="1" customWidth="1"/>
    <col min="43" max="43" width="8" style="136" bestFit="1" customWidth="1"/>
    <col min="44" max="44" width="30.7265625" style="136" bestFit="1" customWidth="1"/>
    <col min="45" max="45" width="25.726562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265625" style="136" bestFit="1" customWidth="1"/>
    <col min="50" max="50" width="20.1796875" style="136" bestFit="1" customWidth="1"/>
    <col min="51" max="51" width="23.54296875" style="136" bestFit="1" customWidth="1"/>
    <col min="52" max="52" width="23" style="136" bestFit="1" customWidth="1"/>
    <col min="53" max="53" width="11.7265625" style="136" bestFit="1" customWidth="1"/>
    <col min="54" max="54" width="21.453125" style="136" bestFit="1" customWidth="1"/>
    <col min="55" max="55" width="15" style="136" bestFit="1" customWidth="1"/>
    <col min="56" max="56" width="23" style="136" bestFit="1" customWidth="1"/>
    <col min="57" max="57" width="11.7265625" style="136" bestFit="1" customWidth="1"/>
    <col min="58" max="58" width="13.8164062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265625" style="136" bestFit="1" customWidth="1"/>
    <col min="64" max="64" width="24.7265625" style="136" bestFit="1" customWidth="1"/>
    <col min="65" max="65" width="18.726562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1640625" style="136" bestFit="1" customWidth="1"/>
    <col min="73" max="73" width="10.54296875" style="136" bestFit="1" customWidth="1"/>
    <col min="74" max="74" width="21.453125" style="136" bestFit="1" customWidth="1"/>
    <col min="75" max="75" width="5.453125" style="136" bestFit="1" customWidth="1"/>
    <col min="76" max="16384" width="12.54296875" style="136"/>
  </cols>
  <sheetData>
    <row r="1" spans="1:75" ht="15.75" customHeight="1">
      <c r="A1" s="703" t="s">
        <v>375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</row>
    <row r="2" spans="1:75" s="137" customFormat="1" ht="15.75" customHeight="1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3"/>
      <c r="Q2" s="703"/>
    </row>
    <row r="3" spans="1:75" ht="15.75" customHeight="1">
      <c r="A3" s="704" t="s">
        <v>468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</row>
    <row r="4" spans="1:75" s="137" customFormat="1" ht="15.75" customHeight="1">
      <c r="A4" s="704"/>
      <c r="B4" s="704"/>
      <c r="C4" s="704"/>
      <c r="D4" s="704"/>
      <c r="E4" s="704"/>
      <c r="F4" s="704"/>
      <c r="G4" s="704"/>
      <c r="H4" s="704"/>
      <c r="I4" s="704"/>
      <c r="J4" s="704"/>
      <c r="K4" s="704"/>
      <c r="L4" s="704"/>
      <c r="M4" s="704"/>
    </row>
    <row r="5" spans="1:75" ht="15.75" customHeight="1">
      <c r="A5" s="706" t="s">
        <v>193</v>
      </c>
      <c r="B5" s="731">
        <v>1</v>
      </c>
      <c r="C5" s="731"/>
      <c r="D5" s="731">
        <v>2</v>
      </c>
      <c r="E5" s="731"/>
      <c r="F5" s="731">
        <v>3</v>
      </c>
      <c r="G5" s="731"/>
      <c r="H5" s="709">
        <v>4</v>
      </c>
      <c r="I5" s="709"/>
      <c r="J5" s="709">
        <v>5</v>
      </c>
      <c r="K5" s="709"/>
      <c r="L5" s="709">
        <v>6</v>
      </c>
      <c r="M5" s="709"/>
      <c r="N5" s="709">
        <v>7</v>
      </c>
      <c r="O5" s="709"/>
      <c r="P5" s="709">
        <v>8</v>
      </c>
      <c r="Q5" s="709"/>
    </row>
    <row r="6" spans="1:75" ht="15.75" customHeight="1">
      <c r="A6" s="706"/>
      <c r="B6" s="732" t="s">
        <v>500</v>
      </c>
      <c r="C6" s="732"/>
      <c r="D6" s="732" t="s">
        <v>214</v>
      </c>
      <c r="E6" s="732"/>
      <c r="F6" s="732" t="s">
        <v>168</v>
      </c>
      <c r="G6" s="732"/>
      <c r="H6" s="706" t="s">
        <v>465</v>
      </c>
      <c r="I6" s="706"/>
      <c r="J6" s="706" t="s">
        <v>191</v>
      </c>
      <c r="K6" s="706"/>
      <c r="L6" s="706" t="s">
        <v>169</v>
      </c>
      <c r="M6" s="706"/>
      <c r="N6" s="706" t="s">
        <v>192</v>
      </c>
      <c r="O6" s="706"/>
      <c r="P6" s="823" t="s">
        <v>219</v>
      </c>
      <c r="Q6" s="823"/>
    </row>
    <row r="8" spans="1:75" s="242" customFormat="1" ht="15.75" customHeight="1">
      <c r="A8" s="802" t="s">
        <v>193</v>
      </c>
      <c r="B8" s="803"/>
      <c r="C8" s="241" t="s">
        <v>47</v>
      </c>
      <c r="D8" s="858" t="s">
        <v>12</v>
      </c>
      <c r="E8" s="719"/>
      <c r="F8" s="846"/>
      <c r="G8" s="859" t="s">
        <v>53</v>
      </c>
      <c r="H8" s="860"/>
      <c r="I8" s="861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335</v>
      </c>
      <c r="O8" s="862" t="s">
        <v>51</v>
      </c>
      <c r="P8" s="863"/>
    </row>
    <row r="9" spans="1:75" ht="20.149999999999999" customHeight="1">
      <c r="A9" s="847">
        <v>1</v>
      </c>
      <c r="B9" s="850" t="s">
        <v>501</v>
      </c>
      <c r="C9" s="243">
        <v>1</v>
      </c>
      <c r="D9" s="244"/>
      <c r="E9" s="245"/>
      <c r="F9" s="245"/>
      <c r="G9" s="244"/>
      <c r="H9" s="245"/>
      <c r="I9" s="246"/>
      <c r="J9" s="243"/>
      <c r="K9" s="249"/>
      <c r="L9" s="243"/>
      <c r="M9" s="333">
        <f>L9*J9</f>
        <v>0</v>
      </c>
      <c r="N9" s="250"/>
      <c r="O9" s="784"/>
      <c r="P9" s="785"/>
      <c r="S9" s="355"/>
      <c r="T9" s="354"/>
    </row>
    <row r="10" spans="1:75" ht="20.149999999999999" customHeight="1">
      <c r="A10" s="848"/>
      <c r="B10" s="851"/>
      <c r="C10" s="243">
        <v>2</v>
      </c>
      <c r="D10" s="244"/>
      <c r="E10" s="245"/>
      <c r="F10" s="246"/>
      <c r="G10" s="244"/>
      <c r="H10" s="245"/>
      <c r="I10" s="246"/>
      <c r="J10" s="243"/>
      <c r="K10" s="249"/>
      <c r="L10" s="243"/>
      <c r="M10" s="333">
        <f t="shared" ref="M10:M13" si="0">L10*J10</f>
        <v>0</v>
      </c>
      <c r="N10" s="250"/>
      <c r="O10" s="865"/>
      <c r="P10" s="805"/>
      <c r="S10" s="354"/>
      <c r="T10" s="354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</row>
    <row r="11" spans="1:75" ht="20.149999999999999" customHeight="1">
      <c r="A11" s="848"/>
      <c r="B11" s="851"/>
      <c r="C11" s="243">
        <v>3</v>
      </c>
      <c r="D11" s="244"/>
      <c r="E11" s="245"/>
      <c r="F11" s="246"/>
      <c r="G11" s="244"/>
      <c r="H11" s="245"/>
      <c r="I11" s="246"/>
      <c r="J11" s="243"/>
      <c r="K11" s="249"/>
      <c r="L11" s="243"/>
      <c r="M11" s="333">
        <f t="shared" si="0"/>
        <v>0</v>
      </c>
      <c r="N11" s="250"/>
      <c r="O11" s="865"/>
      <c r="P11" s="805"/>
      <c r="S11" s="355"/>
      <c r="T11" s="354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</row>
    <row r="12" spans="1:75" ht="20.149999999999999" customHeight="1">
      <c r="A12" s="848"/>
      <c r="B12" s="851"/>
      <c r="C12" s="243">
        <v>4</v>
      </c>
      <c r="D12" s="244"/>
      <c r="E12" s="245"/>
      <c r="F12" s="246"/>
      <c r="G12" s="244"/>
      <c r="H12" s="245"/>
      <c r="I12" s="246"/>
      <c r="J12" s="243"/>
      <c r="K12" s="249"/>
      <c r="L12" s="243"/>
      <c r="M12" s="333">
        <f t="shared" si="0"/>
        <v>0</v>
      </c>
      <c r="N12" s="250"/>
      <c r="O12" s="865"/>
      <c r="P12" s="805"/>
      <c r="S12" s="354"/>
      <c r="T12" s="354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</row>
    <row r="13" spans="1:75" ht="20.149999999999999" customHeight="1" thickBot="1">
      <c r="A13" s="848"/>
      <c r="B13" s="851"/>
      <c r="C13" s="243">
        <v>5</v>
      </c>
      <c r="D13" s="251"/>
      <c r="E13" s="252"/>
      <c r="F13" s="253"/>
      <c r="G13" s="244"/>
      <c r="H13" s="245"/>
      <c r="I13" s="275"/>
      <c r="J13" s="254"/>
      <c r="K13" s="255"/>
      <c r="L13" s="254"/>
      <c r="M13" s="334">
        <f t="shared" si="0"/>
        <v>0</v>
      </c>
      <c r="N13" s="250"/>
      <c r="O13" s="865"/>
      <c r="P13" s="805"/>
      <c r="S13" s="355"/>
      <c r="T13" s="354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</row>
    <row r="14" spans="1:75" ht="15.75" customHeight="1" thickTop="1" thickBot="1">
      <c r="A14" s="849"/>
      <c r="B14" s="852"/>
      <c r="C14" s="721"/>
      <c r="D14" s="722"/>
      <c r="E14" s="722"/>
      <c r="F14" s="722"/>
      <c r="G14" s="722"/>
      <c r="H14" s="722"/>
      <c r="I14" s="855"/>
      <c r="J14" s="360" t="s">
        <v>58</v>
      </c>
      <c r="K14" s="361">
        <f>M14/'生產管理報表 7-1 (週)'!$B$10</f>
        <v>0</v>
      </c>
      <c r="L14" s="360" t="s">
        <v>59</v>
      </c>
      <c r="M14" s="335">
        <f>SUM(M9:M13)</f>
        <v>0</v>
      </c>
      <c r="N14" s="820"/>
      <c r="O14" s="821"/>
      <c r="P14" s="822"/>
      <c r="S14" s="354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</row>
    <row r="15" spans="1:75" ht="15.75" customHeight="1" thickTop="1"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S15" s="355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</row>
    <row r="16" spans="1:75" ht="15.75" customHeight="1">
      <c r="A16" s="802" t="s">
        <v>193</v>
      </c>
      <c r="B16" s="803"/>
      <c r="C16" s="259" t="s">
        <v>47</v>
      </c>
      <c r="D16" s="718" t="s">
        <v>12</v>
      </c>
      <c r="E16" s="719"/>
      <c r="F16" s="720"/>
      <c r="G16" s="718" t="s">
        <v>53</v>
      </c>
      <c r="H16" s="719"/>
      <c r="I16" s="720"/>
      <c r="J16" s="261" t="s">
        <v>54</v>
      </c>
      <c r="K16" s="261" t="s">
        <v>55</v>
      </c>
      <c r="L16" s="261" t="s">
        <v>56</v>
      </c>
      <c r="M16" s="261" t="s">
        <v>11</v>
      </c>
      <c r="N16" s="262" t="s">
        <v>335</v>
      </c>
      <c r="O16" s="811" t="s">
        <v>51</v>
      </c>
      <c r="P16" s="812"/>
      <c r="S16" s="354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</row>
    <row r="17" spans="1:36" ht="20.149999999999999" customHeight="1">
      <c r="A17" s="847">
        <v>2</v>
      </c>
      <c r="B17" s="850" t="s">
        <v>215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67"/>
      <c r="O17" s="813"/>
      <c r="P17" s="814"/>
      <c r="S17" s="355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</row>
    <row r="18" spans="1:36" ht="20.149999999999999" customHeight="1">
      <c r="A18" s="848"/>
      <c r="B18" s="851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67"/>
      <c r="O18" s="813"/>
      <c r="P18" s="814"/>
      <c r="S18" s="354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</row>
    <row r="19" spans="1:36" ht="20.149999999999999" customHeight="1">
      <c r="A19" s="848"/>
      <c r="B19" s="851"/>
      <c r="C19" s="263">
        <v>3</v>
      </c>
      <c r="D19" s="244"/>
      <c r="E19" s="245"/>
      <c r="F19" s="246"/>
      <c r="G19" s="244"/>
      <c r="H19" s="245"/>
      <c r="I19" s="246"/>
      <c r="J19" s="264"/>
      <c r="K19" s="265"/>
      <c r="L19" s="264"/>
      <c r="M19" s="266">
        <f t="shared" si="1"/>
        <v>0</v>
      </c>
      <c r="N19" s="267"/>
      <c r="O19" s="813"/>
      <c r="P19" s="814"/>
      <c r="S19" s="355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</row>
    <row r="20" spans="1:36" ht="20.149999999999999" customHeight="1">
      <c r="A20" s="848"/>
      <c r="B20" s="851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67"/>
      <c r="O20" s="813"/>
      <c r="P20" s="814"/>
      <c r="S20" s="354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</row>
    <row r="21" spans="1:36" ht="20.149999999999999" customHeight="1" thickBot="1">
      <c r="A21" s="848"/>
      <c r="B21" s="851"/>
      <c r="C21" s="269">
        <v>5</v>
      </c>
      <c r="D21" s="251"/>
      <c r="E21" s="252"/>
      <c r="F21" s="253"/>
      <c r="G21" s="251"/>
      <c r="H21" s="252"/>
      <c r="I21" s="253"/>
      <c r="J21" s="270"/>
      <c r="K21" s="271"/>
      <c r="L21" s="270"/>
      <c r="M21" s="272">
        <f t="shared" si="1"/>
        <v>0</v>
      </c>
      <c r="N21" s="273"/>
      <c r="O21" s="813"/>
      <c r="P21" s="814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</row>
    <row r="22" spans="1:36" ht="15.75" customHeight="1" thickTop="1" thickBot="1">
      <c r="A22" s="849"/>
      <c r="B22" s="852"/>
      <c r="C22" s="721"/>
      <c r="D22" s="722"/>
      <c r="E22" s="722"/>
      <c r="F22" s="722"/>
      <c r="G22" s="722"/>
      <c r="H22" s="722"/>
      <c r="I22" s="855"/>
      <c r="J22" s="360" t="s">
        <v>58</v>
      </c>
      <c r="K22" s="361">
        <f>M22/'生產管理報表 7-1 (週)'!$B$10</f>
        <v>0</v>
      </c>
      <c r="L22" s="360" t="s">
        <v>59</v>
      </c>
      <c r="M22" s="257">
        <f>SUM(M17:M21)</f>
        <v>0</v>
      </c>
      <c r="N22" s="815"/>
      <c r="O22" s="816"/>
      <c r="P22" s="817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</row>
    <row r="23" spans="1:36" ht="15.75" customHeight="1" thickTop="1"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</row>
    <row r="24" spans="1:36" ht="15.75" customHeight="1">
      <c r="A24" s="802" t="s">
        <v>193</v>
      </c>
      <c r="B24" s="803"/>
      <c r="C24" s="259" t="s">
        <v>47</v>
      </c>
      <c r="D24" s="718" t="s">
        <v>12</v>
      </c>
      <c r="E24" s="719"/>
      <c r="F24" s="720"/>
      <c r="G24" s="718" t="s">
        <v>53</v>
      </c>
      <c r="H24" s="719"/>
      <c r="I24" s="846"/>
      <c r="J24" s="260" t="s">
        <v>54</v>
      </c>
      <c r="K24" s="261" t="s">
        <v>55</v>
      </c>
      <c r="L24" s="261" t="s">
        <v>56</v>
      </c>
      <c r="M24" s="261" t="s">
        <v>11</v>
      </c>
      <c r="N24" s="262" t="s">
        <v>335</v>
      </c>
      <c r="O24" s="809" t="s">
        <v>51</v>
      </c>
      <c r="P24" s="810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</row>
    <row r="25" spans="1:36" ht="20.149999999999999" customHeight="1">
      <c r="A25" s="847">
        <v>3</v>
      </c>
      <c r="B25" s="850" t="s">
        <v>451</v>
      </c>
      <c r="C25" s="263">
        <v>1</v>
      </c>
      <c r="D25" s="244"/>
      <c r="E25" s="245"/>
      <c r="F25" s="246"/>
      <c r="G25" s="244"/>
      <c r="H25" s="245"/>
      <c r="I25" s="246"/>
      <c r="J25" s="264"/>
      <c r="K25" s="265"/>
      <c r="L25" s="264"/>
      <c r="M25" s="336">
        <f t="shared" ref="M25:M29" si="2">L25*J25</f>
        <v>0</v>
      </c>
      <c r="N25" s="277"/>
      <c r="O25" s="804"/>
      <c r="P25" s="805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</row>
    <row r="26" spans="1:36" ht="20.149999999999999" customHeight="1">
      <c r="A26" s="848"/>
      <c r="B26" s="851"/>
      <c r="C26" s="263">
        <v>2</v>
      </c>
      <c r="D26" s="244"/>
      <c r="E26" s="245"/>
      <c r="F26" s="246"/>
      <c r="G26" s="244"/>
      <c r="H26" s="245"/>
      <c r="I26" s="246"/>
      <c r="J26" s="264"/>
      <c r="K26" s="265"/>
      <c r="L26" s="264"/>
      <c r="M26" s="336">
        <f t="shared" si="2"/>
        <v>0</v>
      </c>
      <c r="N26" s="277"/>
      <c r="O26" s="804"/>
      <c r="P26" s="805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</row>
    <row r="27" spans="1:36" ht="20.149999999999999" customHeight="1">
      <c r="A27" s="848"/>
      <c r="B27" s="851"/>
      <c r="C27" s="263">
        <v>3</v>
      </c>
      <c r="D27" s="244"/>
      <c r="E27" s="245"/>
      <c r="F27" s="246"/>
      <c r="G27" s="244"/>
      <c r="H27" s="245"/>
      <c r="I27" s="246"/>
      <c r="J27" s="264"/>
      <c r="K27" s="265"/>
      <c r="L27" s="264"/>
      <c r="M27" s="336">
        <f t="shared" si="2"/>
        <v>0</v>
      </c>
      <c r="N27" s="277"/>
      <c r="O27" s="804"/>
      <c r="P27" s="805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</row>
    <row r="28" spans="1:36" ht="20.149999999999999" customHeight="1">
      <c r="A28" s="848"/>
      <c r="B28" s="851"/>
      <c r="C28" s="263">
        <v>4</v>
      </c>
      <c r="D28" s="244"/>
      <c r="E28" s="245"/>
      <c r="F28" s="246"/>
      <c r="G28" s="244"/>
      <c r="H28" s="245"/>
      <c r="I28" s="275"/>
      <c r="J28" s="276"/>
      <c r="K28" s="265"/>
      <c r="L28" s="264"/>
      <c r="M28" s="336">
        <f t="shared" si="2"/>
        <v>0</v>
      </c>
      <c r="N28" s="277"/>
      <c r="O28" s="804"/>
      <c r="P28" s="805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</row>
    <row r="29" spans="1:36" ht="20.149999999999999" customHeight="1" thickBot="1">
      <c r="A29" s="848"/>
      <c r="B29" s="851"/>
      <c r="C29" s="269">
        <v>5</v>
      </c>
      <c r="D29" s="251"/>
      <c r="E29" s="252"/>
      <c r="F29" s="253"/>
      <c r="G29" s="251"/>
      <c r="H29" s="252"/>
      <c r="I29" s="278"/>
      <c r="J29" s="279"/>
      <c r="K29" s="271"/>
      <c r="L29" s="280"/>
      <c r="M29" s="336">
        <f t="shared" si="2"/>
        <v>0</v>
      </c>
      <c r="N29" s="277"/>
      <c r="O29" s="804"/>
      <c r="P29" s="805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</row>
    <row r="30" spans="1:36" ht="15.75" customHeight="1" thickTop="1" thickBot="1">
      <c r="A30" s="849"/>
      <c r="B30" s="852"/>
      <c r="C30" s="721"/>
      <c r="D30" s="722"/>
      <c r="E30" s="722"/>
      <c r="F30" s="722"/>
      <c r="G30" s="722"/>
      <c r="H30" s="722"/>
      <c r="I30" s="855"/>
      <c r="J30" s="362" t="s">
        <v>58</v>
      </c>
      <c r="K30" s="361">
        <f>M30/'生產管理報表 7-1 (週)'!$B$10</f>
        <v>0</v>
      </c>
      <c r="L30" s="362" t="s">
        <v>59</v>
      </c>
      <c r="M30" s="337">
        <f>SUM(M25:M29)</f>
        <v>0</v>
      </c>
      <c r="N30" s="806"/>
      <c r="O30" s="807"/>
      <c r="P30" s="80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</row>
    <row r="31" spans="1:36" ht="15.75" customHeight="1" thickTop="1"/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T143"/>
  <sheetViews>
    <sheetView view="pageBreakPreview" topLeftCell="A109" zoomScale="91" zoomScaleNormal="60" zoomScaleSheetLayoutView="91" workbookViewId="0">
      <selection activeCell="U134" sqref="U134"/>
    </sheetView>
  </sheetViews>
  <sheetFormatPr defaultColWidth="12.54296875" defaultRowHeight="15.75" customHeight="1"/>
  <cols>
    <col min="1" max="1" width="5.453125" style="296" customWidth="1"/>
    <col min="2" max="2" width="11.453125" style="304" customWidth="1"/>
    <col min="3" max="3" width="4" style="305" customWidth="1"/>
    <col min="4" max="4" width="9.54296875" style="296" customWidth="1"/>
    <col min="5" max="5" width="10.26953125" style="296" customWidth="1"/>
    <col min="6" max="15" width="9.54296875" style="296" customWidth="1"/>
    <col min="16" max="16" width="35.453125" style="296" customWidth="1"/>
    <col min="17" max="16384" width="12.54296875" style="296"/>
  </cols>
  <sheetData>
    <row r="1" spans="1:20" s="136" customFormat="1" ht="15.75" customHeight="1">
      <c r="A1" s="703" t="s">
        <v>375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</row>
    <row r="2" spans="1:20" s="137" customFormat="1" ht="15.75" customHeight="1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3"/>
    </row>
    <row r="3" spans="1:20" s="136" customFormat="1" ht="15.75" customHeight="1">
      <c r="A3" s="704" t="s">
        <v>637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</row>
    <row r="4" spans="1:20" s="137" customFormat="1" ht="15.75" customHeight="1">
      <c r="A4" s="799"/>
      <c r="B4" s="799"/>
      <c r="C4" s="799"/>
      <c r="D4" s="799"/>
      <c r="E4" s="799"/>
      <c r="F4" s="799"/>
      <c r="G4" s="799"/>
      <c r="H4" s="799"/>
      <c r="I4" s="799"/>
      <c r="J4" s="799"/>
      <c r="K4" s="799"/>
      <c r="L4" s="799"/>
      <c r="M4" s="799"/>
    </row>
    <row r="5" spans="1:20" s="136" customFormat="1" ht="15.75" customHeight="1">
      <c r="A5" s="800" t="s">
        <v>193</v>
      </c>
      <c r="B5" s="802">
        <v>1</v>
      </c>
      <c r="C5" s="803"/>
      <c r="D5" s="802">
        <v>2</v>
      </c>
      <c r="E5" s="803"/>
      <c r="F5" s="802">
        <v>3</v>
      </c>
      <c r="G5" s="803"/>
      <c r="H5" s="793">
        <v>4</v>
      </c>
      <c r="I5" s="794"/>
      <c r="J5" s="793">
        <v>5</v>
      </c>
      <c r="K5" s="794"/>
      <c r="L5" s="793">
        <v>6</v>
      </c>
      <c r="M5" s="794"/>
      <c r="N5" s="793">
        <v>7</v>
      </c>
      <c r="O5" s="794"/>
      <c r="P5" s="338">
        <v>8</v>
      </c>
    </row>
    <row r="6" spans="1:20" s="136" customFormat="1" ht="15.75" customHeight="1">
      <c r="A6" s="801"/>
      <c r="B6" s="797" t="s">
        <v>500</v>
      </c>
      <c r="C6" s="798"/>
      <c r="D6" s="797" t="s">
        <v>214</v>
      </c>
      <c r="E6" s="798"/>
      <c r="F6" s="797" t="s">
        <v>168</v>
      </c>
      <c r="G6" s="798"/>
      <c r="H6" s="795" t="s">
        <v>465</v>
      </c>
      <c r="I6" s="796"/>
      <c r="J6" s="795" t="s">
        <v>191</v>
      </c>
      <c r="K6" s="796"/>
      <c r="L6" s="795" t="s">
        <v>169</v>
      </c>
      <c r="M6" s="796"/>
      <c r="N6" s="795" t="s">
        <v>192</v>
      </c>
      <c r="O6" s="796"/>
      <c r="P6" s="339" t="s">
        <v>219</v>
      </c>
    </row>
    <row r="7" spans="1:20" s="136" customFormat="1" ht="15.75" customHeight="1">
      <c r="B7" s="239"/>
      <c r="C7" s="240"/>
    </row>
    <row r="8" spans="1:20" s="285" customFormat="1" ht="15.75" customHeight="1">
      <c r="A8" s="737" t="s">
        <v>193</v>
      </c>
      <c r="B8" s="738"/>
      <c r="C8" s="282" t="s">
        <v>47</v>
      </c>
      <c r="D8" s="765" t="s">
        <v>12</v>
      </c>
      <c r="E8" s="766"/>
      <c r="F8" s="767"/>
      <c r="G8" s="768" t="s">
        <v>53</v>
      </c>
      <c r="H8" s="769"/>
      <c r="I8" s="770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335</v>
      </c>
      <c r="O8" s="745" t="s">
        <v>51</v>
      </c>
      <c r="P8" s="746"/>
      <c r="R8" s="354"/>
      <c r="S8" s="355"/>
    </row>
    <row r="9" spans="1:20" s="305" customFormat="1" ht="60" customHeight="1">
      <c r="A9" s="747">
        <v>4</v>
      </c>
      <c r="B9" s="781" t="s">
        <v>465</v>
      </c>
      <c r="C9" s="286">
        <v>1</v>
      </c>
      <c r="D9" s="244" t="s">
        <v>511</v>
      </c>
      <c r="E9" s="245"/>
      <c r="F9" s="246"/>
      <c r="G9" s="313" t="s">
        <v>515</v>
      </c>
      <c r="H9" s="312"/>
      <c r="I9" s="313"/>
      <c r="J9" s="323">
        <v>144.78</v>
      </c>
      <c r="K9" s="324">
        <v>0</v>
      </c>
      <c r="L9" s="325">
        <v>63.080000000000155</v>
      </c>
      <c r="M9" s="333">
        <f t="shared" ref="M9:M13" si="0">L9*J9</f>
        <v>9132.7224000000224</v>
      </c>
      <c r="N9" s="325"/>
      <c r="O9" s="777" t="s">
        <v>575</v>
      </c>
      <c r="P9" s="778"/>
      <c r="R9" s="440"/>
      <c r="S9" s="355"/>
    </row>
    <row r="10" spans="1:20" s="305" customFormat="1" ht="60" customHeight="1">
      <c r="A10" s="748"/>
      <c r="B10" s="782"/>
      <c r="C10" s="286">
        <v>2</v>
      </c>
      <c r="D10" s="244" t="s">
        <v>344</v>
      </c>
      <c r="E10" s="245"/>
      <c r="F10" s="246"/>
      <c r="G10" s="313" t="s">
        <v>400</v>
      </c>
      <c r="H10" s="312"/>
      <c r="I10" s="313"/>
      <c r="J10" s="323">
        <v>127.84000000000002</v>
      </c>
      <c r="K10" s="324">
        <v>2.264398002407154E-4</v>
      </c>
      <c r="L10" s="325">
        <v>55.970000000000326</v>
      </c>
      <c r="M10" s="333">
        <f t="shared" si="0"/>
        <v>7155.2048000000423</v>
      </c>
      <c r="N10" s="325"/>
      <c r="O10" s="777" t="s">
        <v>574</v>
      </c>
      <c r="P10" s="778"/>
      <c r="R10" s="440"/>
      <c r="S10" s="441"/>
      <c r="T10" s="350"/>
    </row>
    <row r="11" spans="1:20" s="305" customFormat="1" ht="60" customHeight="1">
      <c r="A11" s="748"/>
      <c r="B11" s="782"/>
      <c r="C11" s="286">
        <v>3</v>
      </c>
      <c r="D11" s="244" t="s">
        <v>471</v>
      </c>
      <c r="E11" s="245"/>
      <c r="F11" s="246"/>
      <c r="G11" s="313" t="s">
        <v>539</v>
      </c>
      <c r="H11" s="312"/>
      <c r="I11" s="313"/>
      <c r="J11" s="323">
        <v>160.49</v>
      </c>
      <c r="K11" s="324">
        <v>0</v>
      </c>
      <c r="L11" s="325">
        <v>35.700000000000045</v>
      </c>
      <c r="M11" s="333">
        <f t="shared" si="0"/>
        <v>5729.4930000000077</v>
      </c>
      <c r="N11" s="325"/>
      <c r="O11" s="786" t="s">
        <v>574</v>
      </c>
      <c r="P11" s="787"/>
      <c r="R11" s="440"/>
      <c r="S11" s="442"/>
    </row>
    <row r="12" spans="1:20" s="305" customFormat="1" ht="60" customHeight="1">
      <c r="A12" s="748"/>
      <c r="B12" s="782"/>
      <c r="C12" s="286">
        <v>4</v>
      </c>
      <c r="D12" s="244" t="s">
        <v>372</v>
      </c>
      <c r="E12" s="245"/>
      <c r="F12" s="246"/>
      <c r="G12" s="313" t="s">
        <v>371</v>
      </c>
      <c r="H12" s="312"/>
      <c r="I12" s="313"/>
      <c r="J12" s="323">
        <v>426.69</v>
      </c>
      <c r="K12" s="324">
        <v>9.3066542577943234E-4</v>
      </c>
      <c r="L12" s="325">
        <v>12.080000000000027</v>
      </c>
      <c r="M12" s="333">
        <f t="shared" si="0"/>
        <v>5154.4152000000113</v>
      </c>
      <c r="N12" s="325"/>
      <c r="O12" s="786" t="s">
        <v>638</v>
      </c>
      <c r="P12" s="787"/>
      <c r="R12" s="440"/>
      <c r="S12" s="441"/>
      <c r="T12" s="350"/>
    </row>
    <row r="13" spans="1:20" s="305" customFormat="1" ht="60" customHeight="1" thickBot="1">
      <c r="A13" s="748"/>
      <c r="B13" s="782"/>
      <c r="C13" s="286">
        <v>5</v>
      </c>
      <c r="D13" s="244" t="s">
        <v>372</v>
      </c>
      <c r="E13" s="252"/>
      <c r="F13" s="253"/>
      <c r="G13" s="370" t="s">
        <v>369</v>
      </c>
      <c r="H13" s="312"/>
      <c r="I13" s="313"/>
      <c r="J13" s="327">
        <v>152.75</v>
      </c>
      <c r="K13" s="255">
        <v>1.5749158851743146E-3</v>
      </c>
      <c r="L13" s="328">
        <v>32.290000000000184</v>
      </c>
      <c r="M13" s="333">
        <f t="shared" si="0"/>
        <v>4932.2975000000279</v>
      </c>
      <c r="N13" s="325"/>
      <c r="O13" s="786" t="s">
        <v>639</v>
      </c>
      <c r="P13" s="787"/>
      <c r="R13" s="443"/>
      <c r="S13" s="442"/>
      <c r="T13" s="296"/>
    </row>
    <row r="14" spans="1:20" ht="15.75" customHeight="1" thickTop="1" thickBot="1">
      <c r="A14" s="749"/>
      <c r="B14" s="783"/>
      <c r="C14" s="790"/>
      <c r="D14" s="791"/>
      <c r="E14" s="791"/>
      <c r="F14" s="791"/>
      <c r="G14" s="791"/>
      <c r="H14" s="791"/>
      <c r="I14" s="792"/>
      <c r="J14" s="363" t="s">
        <v>58</v>
      </c>
      <c r="K14" s="361">
        <f>M14/'生產管理報表 7-1 (週)'!$B$10</f>
        <v>0.19533091737514185</v>
      </c>
      <c r="L14" s="364" t="s">
        <v>59</v>
      </c>
      <c r="M14" s="365">
        <f>SUM(M9:M13)</f>
        <v>32104.132900000113</v>
      </c>
      <c r="N14" s="734"/>
      <c r="O14" s="735"/>
      <c r="P14" s="736"/>
      <c r="R14" s="354"/>
      <c r="S14" s="354"/>
    </row>
    <row r="15" spans="1:20" ht="15.75" customHeight="1" thickTop="1">
      <c r="M15" s="340"/>
      <c r="S15" s="355"/>
    </row>
    <row r="16" spans="1:20" ht="15.75" customHeight="1">
      <c r="A16" s="737" t="s">
        <v>193</v>
      </c>
      <c r="B16" s="738"/>
      <c r="C16" s="282" t="s">
        <v>47</v>
      </c>
      <c r="D16" s="765" t="s">
        <v>12</v>
      </c>
      <c r="E16" s="766"/>
      <c r="F16" s="767"/>
      <c r="G16" s="768" t="s">
        <v>53</v>
      </c>
      <c r="H16" s="769"/>
      <c r="I16" s="770"/>
      <c r="J16" s="418" t="s">
        <v>54</v>
      </c>
      <c r="K16" s="283" t="s">
        <v>55</v>
      </c>
      <c r="L16" s="283" t="s">
        <v>56</v>
      </c>
      <c r="M16" s="341" t="s">
        <v>11</v>
      </c>
      <c r="N16" s="284" t="s">
        <v>335</v>
      </c>
      <c r="O16" s="745" t="s">
        <v>51</v>
      </c>
      <c r="P16" s="746"/>
      <c r="S16" s="354"/>
      <c r="T16" s="350"/>
    </row>
    <row r="17" spans="1:20" s="305" customFormat="1" ht="60" customHeight="1">
      <c r="A17" s="747">
        <v>5</v>
      </c>
      <c r="B17" s="760" t="s">
        <v>217</v>
      </c>
      <c r="C17" s="286">
        <v>1</v>
      </c>
      <c r="D17" s="244" t="s">
        <v>344</v>
      </c>
      <c r="E17" s="245"/>
      <c r="F17" s="246"/>
      <c r="G17" s="313" t="s">
        <v>339</v>
      </c>
      <c r="H17" s="312"/>
      <c r="I17" s="313"/>
      <c r="J17" s="323">
        <v>147.43000000000004</v>
      </c>
      <c r="K17" s="324">
        <v>0</v>
      </c>
      <c r="L17" s="325">
        <v>98.140000000000327</v>
      </c>
      <c r="M17" s="333">
        <f>L17*J17</f>
        <v>14468.780200000052</v>
      </c>
      <c r="N17" s="325"/>
      <c r="O17" s="826" t="s">
        <v>640</v>
      </c>
      <c r="P17" s="827"/>
      <c r="S17" s="442"/>
      <c r="T17" s="350"/>
    </row>
    <row r="18" spans="1:20" s="305" customFormat="1" ht="25" customHeight="1">
      <c r="A18" s="748"/>
      <c r="B18" s="761"/>
      <c r="C18" s="286">
        <v>2</v>
      </c>
      <c r="D18" s="244"/>
      <c r="E18" s="245"/>
      <c r="F18" s="246"/>
      <c r="G18" s="370"/>
      <c r="H18" s="312"/>
      <c r="I18" s="313"/>
      <c r="J18" s="323"/>
      <c r="K18" s="324"/>
      <c r="L18" s="325"/>
      <c r="M18" s="333">
        <f t="shared" ref="M18:M21" si="1">L18*J18</f>
        <v>0</v>
      </c>
      <c r="N18" s="325"/>
      <c r="O18" s="773"/>
      <c r="P18" s="774"/>
      <c r="S18" s="354"/>
      <c r="T18" s="351"/>
    </row>
    <row r="19" spans="1:20" ht="25" customHeight="1">
      <c r="A19" s="748"/>
      <c r="B19" s="761"/>
      <c r="C19" s="286">
        <v>3</v>
      </c>
      <c r="D19" s="244"/>
      <c r="E19" s="245"/>
      <c r="F19" s="246"/>
      <c r="G19" s="370"/>
      <c r="H19" s="312"/>
      <c r="I19" s="313"/>
      <c r="J19" s="323"/>
      <c r="K19" s="324"/>
      <c r="L19" s="325"/>
      <c r="M19" s="333">
        <f t="shared" si="1"/>
        <v>0</v>
      </c>
      <c r="N19" s="295"/>
      <c r="O19" s="755"/>
      <c r="P19" s="756"/>
    </row>
    <row r="20" spans="1:20" ht="25" customHeight="1">
      <c r="A20" s="748"/>
      <c r="B20" s="761"/>
      <c r="C20" s="286">
        <v>4</v>
      </c>
      <c r="D20" s="287"/>
      <c r="E20" s="288"/>
      <c r="F20" s="289"/>
      <c r="G20" s="370"/>
      <c r="H20" s="312"/>
      <c r="I20" s="313"/>
      <c r="J20" s="293"/>
      <c r="K20" s="294"/>
      <c r="L20" s="295"/>
      <c r="M20" s="333">
        <f t="shared" si="1"/>
        <v>0</v>
      </c>
      <c r="N20" s="295"/>
      <c r="O20" s="306"/>
      <c r="P20" s="307"/>
    </row>
    <row r="21" spans="1:20" ht="25" customHeight="1" thickBot="1">
      <c r="A21" s="748"/>
      <c r="B21" s="761"/>
      <c r="C21" s="286">
        <v>5</v>
      </c>
      <c r="D21" s="297"/>
      <c r="E21" s="298"/>
      <c r="F21" s="299"/>
      <c r="G21" s="370"/>
      <c r="H21" s="312"/>
      <c r="I21" s="313"/>
      <c r="J21" s="300"/>
      <c r="K21" s="255"/>
      <c r="L21" s="301"/>
      <c r="M21" s="333">
        <f t="shared" si="1"/>
        <v>0</v>
      </c>
      <c r="N21" s="295"/>
      <c r="O21" s="308"/>
      <c r="P21" s="309"/>
      <c r="R21" s="358"/>
    </row>
    <row r="22" spans="1:20" ht="15.75" customHeight="1" thickTop="1" thickBot="1">
      <c r="A22" s="749"/>
      <c r="B22" s="762"/>
      <c r="C22" s="757"/>
      <c r="D22" s="758"/>
      <c r="E22" s="758"/>
      <c r="F22" s="758"/>
      <c r="G22" s="758"/>
      <c r="H22" s="758"/>
      <c r="I22" s="759"/>
      <c r="J22" s="363" t="s">
        <v>58</v>
      </c>
      <c r="K22" s="361">
        <f>M22/'生產管理報表 7-1 (週)'!$B$10</f>
        <v>8.8032282901659945E-2</v>
      </c>
      <c r="L22" s="364" t="s">
        <v>59</v>
      </c>
      <c r="M22" s="365">
        <f>SUM(M17:M21)</f>
        <v>14468.780200000052</v>
      </c>
      <c r="N22" s="734"/>
      <c r="O22" s="735"/>
      <c r="P22" s="736"/>
      <c r="R22" s="354"/>
    </row>
    <row r="23" spans="1:20" ht="15.75" customHeight="1" thickTop="1">
      <c r="K23" s="296" t="s">
        <v>509</v>
      </c>
      <c r="M23" s="340"/>
      <c r="R23" s="354"/>
    </row>
    <row r="24" spans="1:20" ht="25" customHeight="1">
      <c r="A24" s="737" t="s">
        <v>193</v>
      </c>
      <c r="B24" s="738"/>
      <c r="C24" s="310" t="s">
        <v>47</v>
      </c>
      <c r="D24" s="739" t="s">
        <v>12</v>
      </c>
      <c r="E24" s="740"/>
      <c r="F24" s="741"/>
      <c r="G24" s="742" t="s">
        <v>53</v>
      </c>
      <c r="H24" s="743"/>
      <c r="I24" s="744"/>
      <c r="J24" s="311" t="s">
        <v>54</v>
      </c>
      <c r="K24" s="283" t="s">
        <v>55</v>
      </c>
      <c r="L24" s="283" t="s">
        <v>56</v>
      </c>
      <c r="M24" s="341" t="s">
        <v>11</v>
      </c>
      <c r="N24" s="284" t="s">
        <v>335</v>
      </c>
      <c r="O24" s="745" t="s">
        <v>51</v>
      </c>
      <c r="P24" s="746"/>
      <c r="R24" s="354"/>
    </row>
    <row r="25" spans="1:20" ht="55" customHeight="1">
      <c r="A25" s="747">
        <v>6</v>
      </c>
      <c r="B25" s="760" t="s">
        <v>218</v>
      </c>
      <c r="C25" s="286">
        <v>1</v>
      </c>
      <c r="D25" s="359" t="s">
        <v>346</v>
      </c>
      <c r="E25" s="288"/>
      <c r="F25" s="289"/>
      <c r="G25" s="313" t="s">
        <v>523</v>
      </c>
      <c r="H25" s="312"/>
      <c r="I25" s="313"/>
      <c r="J25" s="323">
        <v>605.77999999999986</v>
      </c>
      <c r="K25" s="324">
        <v>5.5499028766996565E-4</v>
      </c>
      <c r="L25" s="325">
        <v>8.9599999999996083</v>
      </c>
      <c r="M25" s="333">
        <f t="shared" ref="M25:M29" si="2">L25*J25</f>
        <v>5427.7887999997611</v>
      </c>
      <c r="N25" s="295"/>
      <c r="O25" s="788" t="s">
        <v>536</v>
      </c>
      <c r="P25" s="789"/>
      <c r="R25" s="351"/>
      <c r="S25" s="351"/>
    </row>
    <row r="26" spans="1:20" ht="55" customHeight="1">
      <c r="A26" s="748"/>
      <c r="B26" s="761"/>
      <c r="C26" s="286">
        <v>2</v>
      </c>
      <c r="D26" s="244" t="s">
        <v>511</v>
      </c>
      <c r="E26" s="288"/>
      <c r="F26" s="289"/>
      <c r="G26" s="313" t="s">
        <v>514</v>
      </c>
      <c r="H26" s="312"/>
      <c r="I26" s="313"/>
      <c r="J26" s="323">
        <v>327.16000000000003</v>
      </c>
      <c r="K26" s="324">
        <v>1.7909204498125783E-3</v>
      </c>
      <c r="L26" s="325">
        <v>14.630000000000067</v>
      </c>
      <c r="M26" s="333">
        <f t="shared" si="2"/>
        <v>4786.350800000022</v>
      </c>
      <c r="N26" s="295"/>
      <c r="O26" s="788" t="s">
        <v>579</v>
      </c>
      <c r="P26" s="789"/>
      <c r="R26" s="351"/>
      <c r="S26" s="351"/>
    </row>
    <row r="27" spans="1:20" ht="55" customHeight="1">
      <c r="A27" s="748"/>
      <c r="B27" s="761"/>
      <c r="C27" s="286">
        <v>3</v>
      </c>
      <c r="D27" s="244" t="s">
        <v>484</v>
      </c>
      <c r="E27" s="288"/>
      <c r="F27" s="289"/>
      <c r="G27" s="313" t="s">
        <v>485</v>
      </c>
      <c r="H27" s="312"/>
      <c r="I27" s="313"/>
      <c r="J27" s="323">
        <v>68.42</v>
      </c>
      <c r="K27" s="324">
        <v>2.2281138694732333E-3</v>
      </c>
      <c r="L27" s="325">
        <v>63.980000000000103</v>
      </c>
      <c r="M27" s="333">
        <f t="shared" si="2"/>
        <v>4377.5116000000071</v>
      </c>
      <c r="N27" s="295"/>
      <c r="O27" s="788" t="s">
        <v>535</v>
      </c>
      <c r="P27" s="789"/>
      <c r="R27" s="351"/>
    </row>
    <row r="28" spans="1:20" ht="55" customHeight="1">
      <c r="A28" s="748"/>
      <c r="B28" s="761"/>
      <c r="C28" s="286">
        <v>4</v>
      </c>
      <c r="D28" s="244" t="s">
        <v>344</v>
      </c>
      <c r="E28" s="288"/>
      <c r="F28" s="289"/>
      <c r="G28" s="313" t="s">
        <v>512</v>
      </c>
      <c r="H28" s="312"/>
      <c r="I28" s="313"/>
      <c r="J28" s="323">
        <v>3.2199999999999998</v>
      </c>
      <c r="K28" s="324">
        <v>0</v>
      </c>
      <c r="L28" s="325">
        <v>832</v>
      </c>
      <c r="M28" s="333">
        <f t="shared" si="2"/>
        <v>2679.04</v>
      </c>
      <c r="N28" s="295"/>
      <c r="O28" s="788" t="s">
        <v>541</v>
      </c>
      <c r="P28" s="789"/>
      <c r="R28" s="351"/>
      <c r="S28" s="351"/>
    </row>
    <row r="29" spans="1:20" ht="55" customHeight="1" thickBot="1">
      <c r="A29" s="748"/>
      <c r="B29" s="761"/>
      <c r="C29" s="286">
        <v>5</v>
      </c>
      <c r="D29" s="251" t="s">
        <v>548</v>
      </c>
      <c r="E29" s="298"/>
      <c r="F29" s="299"/>
      <c r="G29" s="313" t="s">
        <v>550</v>
      </c>
      <c r="H29" s="312"/>
      <c r="I29" s="313"/>
      <c r="J29" s="327">
        <v>65.12</v>
      </c>
      <c r="K29" s="255">
        <v>5.835652834008098E-3</v>
      </c>
      <c r="L29" s="328">
        <v>34.950000000000152</v>
      </c>
      <c r="M29" s="333">
        <f t="shared" si="2"/>
        <v>2275.94400000001</v>
      </c>
      <c r="N29" s="295"/>
      <c r="O29" s="788" t="s">
        <v>535</v>
      </c>
      <c r="P29" s="789"/>
    </row>
    <row r="30" spans="1:20" ht="15.75" customHeight="1" thickTop="1" thickBot="1">
      <c r="A30" s="749"/>
      <c r="B30" s="762"/>
      <c r="C30" s="757"/>
      <c r="D30" s="758"/>
      <c r="E30" s="758"/>
      <c r="F30" s="758"/>
      <c r="G30" s="758"/>
      <c r="H30" s="758"/>
      <c r="I30" s="759"/>
      <c r="J30" s="363" t="s">
        <v>58</v>
      </c>
      <c r="K30" s="361">
        <f>M30/'生產管理報表 7-1 (週)'!$B$10</f>
        <v>0.11892743520299802</v>
      </c>
      <c r="L30" s="364" t="s">
        <v>59</v>
      </c>
      <c r="M30" s="365">
        <f>SUM(M25:M29)</f>
        <v>19546.635199999801</v>
      </c>
      <c r="N30" s="734"/>
      <c r="O30" s="735"/>
      <c r="P30" s="736"/>
    </row>
    <row r="31" spans="1:20" s="136" customFormat="1" ht="15.75" customHeight="1" thickTop="1">
      <c r="A31" s="704" t="s">
        <v>684</v>
      </c>
      <c r="B31" s="704"/>
      <c r="C31" s="704"/>
      <c r="D31" s="704"/>
      <c r="E31" s="704"/>
      <c r="F31" s="704"/>
      <c r="G31" s="704"/>
      <c r="H31" s="704"/>
      <c r="I31" s="704"/>
      <c r="J31" s="704"/>
      <c r="K31" s="704"/>
      <c r="L31" s="704"/>
      <c r="M31" s="704"/>
    </row>
    <row r="32" spans="1:20" s="137" customFormat="1" ht="15.75" customHeight="1">
      <c r="A32" s="799"/>
      <c r="B32" s="799"/>
      <c r="C32" s="799"/>
      <c r="D32" s="799"/>
      <c r="E32" s="799"/>
      <c r="F32" s="799"/>
      <c r="G32" s="799"/>
      <c r="H32" s="799"/>
      <c r="I32" s="799"/>
      <c r="J32" s="799"/>
      <c r="K32" s="799"/>
      <c r="L32" s="799"/>
      <c r="M32" s="799"/>
    </row>
    <row r="33" spans="1:20" s="136" customFormat="1" ht="15.75" customHeight="1">
      <c r="A33" s="800" t="s">
        <v>193</v>
      </c>
      <c r="B33" s="802">
        <v>1</v>
      </c>
      <c r="C33" s="803"/>
      <c r="D33" s="802">
        <v>2</v>
      </c>
      <c r="E33" s="803"/>
      <c r="F33" s="802">
        <v>3</v>
      </c>
      <c r="G33" s="803"/>
      <c r="H33" s="793">
        <v>4</v>
      </c>
      <c r="I33" s="794"/>
      <c r="J33" s="793">
        <v>5</v>
      </c>
      <c r="K33" s="794"/>
      <c r="L33" s="793">
        <v>6</v>
      </c>
      <c r="M33" s="794"/>
      <c r="N33" s="793">
        <v>7</v>
      </c>
      <c r="O33" s="794"/>
      <c r="P33" s="338">
        <v>8</v>
      </c>
    </row>
    <row r="34" spans="1:20" s="136" customFormat="1" ht="15.75" customHeight="1">
      <c r="A34" s="801"/>
      <c r="B34" s="797" t="s">
        <v>500</v>
      </c>
      <c r="C34" s="798"/>
      <c r="D34" s="797" t="s">
        <v>214</v>
      </c>
      <c r="E34" s="798"/>
      <c r="F34" s="797" t="s">
        <v>168</v>
      </c>
      <c r="G34" s="798"/>
      <c r="H34" s="795" t="s">
        <v>465</v>
      </c>
      <c r="I34" s="796"/>
      <c r="J34" s="795" t="s">
        <v>191</v>
      </c>
      <c r="K34" s="796"/>
      <c r="L34" s="795" t="s">
        <v>169</v>
      </c>
      <c r="M34" s="796"/>
      <c r="N34" s="795" t="s">
        <v>192</v>
      </c>
      <c r="O34" s="796"/>
      <c r="P34" s="339" t="s">
        <v>219</v>
      </c>
    </row>
    <row r="35" spans="1:20" s="136" customFormat="1" ht="15.75" customHeight="1">
      <c r="B35" s="239"/>
      <c r="C35" s="240"/>
    </row>
    <row r="36" spans="1:20" s="285" customFormat="1" ht="15.75" customHeight="1">
      <c r="A36" s="737" t="s">
        <v>193</v>
      </c>
      <c r="B36" s="738"/>
      <c r="C36" s="282" t="s">
        <v>47</v>
      </c>
      <c r="D36" s="765" t="s">
        <v>12</v>
      </c>
      <c r="E36" s="766"/>
      <c r="F36" s="767"/>
      <c r="G36" s="768" t="s">
        <v>53</v>
      </c>
      <c r="H36" s="769"/>
      <c r="I36" s="770"/>
      <c r="J36" s="283" t="s">
        <v>54</v>
      </c>
      <c r="K36" s="283" t="s">
        <v>55</v>
      </c>
      <c r="L36" s="283" t="s">
        <v>56</v>
      </c>
      <c r="M36" s="284" t="s">
        <v>11</v>
      </c>
      <c r="N36" s="284" t="s">
        <v>335</v>
      </c>
      <c r="O36" s="745" t="s">
        <v>51</v>
      </c>
      <c r="P36" s="746"/>
      <c r="R36" s="354"/>
      <c r="S36" s="355"/>
    </row>
    <row r="37" spans="1:20" s="305" customFormat="1" ht="60" customHeight="1">
      <c r="A37" s="747">
        <v>4</v>
      </c>
      <c r="B37" s="781" t="s">
        <v>465</v>
      </c>
      <c r="C37" s="286">
        <v>1</v>
      </c>
      <c r="D37" s="244" t="s">
        <v>372</v>
      </c>
      <c r="E37" s="245"/>
      <c r="F37" s="246"/>
      <c r="G37" s="313" t="s">
        <v>371</v>
      </c>
      <c r="H37" s="312"/>
      <c r="I37" s="313"/>
      <c r="J37" s="323">
        <v>426.69</v>
      </c>
      <c r="K37" s="324">
        <v>0</v>
      </c>
      <c r="L37" s="325">
        <v>20.490000000000009</v>
      </c>
      <c r="M37" s="333">
        <f t="shared" ref="M37:M41" si="3">L37*J37</f>
        <v>8742.8781000000035</v>
      </c>
      <c r="N37" s="325"/>
      <c r="O37" s="777" t="s">
        <v>638</v>
      </c>
      <c r="P37" s="778"/>
      <c r="R37" s="440"/>
      <c r="S37" s="355"/>
    </row>
    <row r="38" spans="1:20" s="305" customFormat="1" ht="60" customHeight="1">
      <c r="A38" s="748"/>
      <c r="B38" s="782"/>
      <c r="C38" s="286">
        <v>2</v>
      </c>
      <c r="D38" s="244" t="s">
        <v>344</v>
      </c>
      <c r="E38" s="245"/>
      <c r="F38" s="246"/>
      <c r="G38" s="313" t="s">
        <v>400</v>
      </c>
      <c r="H38" s="312"/>
      <c r="I38" s="313"/>
      <c r="J38" s="323">
        <v>127.84000000000002</v>
      </c>
      <c r="K38" s="324">
        <v>2.0882228769355786E-4</v>
      </c>
      <c r="L38" s="325">
        <v>68.150000000000617</v>
      </c>
      <c r="M38" s="333">
        <f t="shared" si="3"/>
        <v>8712.2960000000803</v>
      </c>
      <c r="N38" s="325"/>
      <c r="O38" s="777" t="s">
        <v>688</v>
      </c>
      <c r="P38" s="778"/>
      <c r="R38" s="440"/>
      <c r="S38" s="441"/>
      <c r="T38" s="350"/>
    </row>
    <row r="39" spans="1:20" s="305" customFormat="1" ht="60" customHeight="1">
      <c r="A39" s="748"/>
      <c r="B39" s="782"/>
      <c r="C39" s="286">
        <v>3</v>
      </c>
      <c r="D39" s="244" t="s">
        <v>611</v>
      </c>
      <c r="E39" s="245"/>
      <c r="F39" s="246"/>
      <c r="G39" s="313" t="s">
        <v>657</v>
      </c>
      <c r="H39" s="312"/>
      <c r="I39" s="313"/>
      <c r="J39" s="323">
        <v>84.3</v>
      </c>
      <c r="K39" s="324">
        <v>1.3868128217904001E-3</v>
      </c>
      <c r="L39" s="325">
        <v>73.649999999999778</v>
      </c>
      <c r="M39" s="333">
        <f t="shared" si="3"/>
        <v>6208.6949999999815</v>
      </c>
      <c r="N39" s="325"/>
      <c r="O39" s="786" t="s">
        <v>535</v>
      </c>
      <c r="P39" s="787"/>
      <c r="R39" s="440"/>
      <c r="S39" s="442"/>
    </row>
    <row r="40" spans="1:20" s="305" customFormat="1" ht="60" customHeight="1">
      <c r="A40" s="748"/>
      <c r="B40" s="782"/>
      <c r="C40" s="286">
        <v>4</v>
      </c>
      <c r="D40" s="244" t="s">
        <v>511</v>
      </c>
      <c r="E40" s="245"/>
      <c r="F40" s="246"/>
      <c r="G40" s="313" t="s">
        <v>515</v>
      </c>
      <c r="H40" s="312"/>
      <c r="I40" s="313"/>
      <c r="J40" s="323">
        <v>144.78</v>
      </c>
      <c r="K40" s="324">
        <v>2.8529885644673239E-3</v>
      </c>
      <c r="L40" s="325">
        <v>41.139999999999979</v>
      </c>
      <c r="M40" s="333">
        <f t="shared" si="3"/>
        <v>5956.2491999999975</v>
      </c>
      <c r="N40" s="325"/>
      <c r="O40" s="786" t="s">
        <v>689</v>
      </c>
      <c r="P40" s="787"/>
      <c r="R40" s="440"/>
      <c r="S40" s="441"/>
      <c r="T40" s="350"/>
    </row>
    <row r="41" spans="1:20" s="305" customFormat="1" ht="60" customHeight="1" thickBot="1">
      <c r="A41" s="748"/>
      <c r="B41" s="782"/>
      <c r="C41" s="286">
        <v>5</v>
      </c>
      <c r="D41" s="244" t="s">
        <v>610</v>
      </c>
      <c r="E41" s="252"/>
      <c r="F41" s="253"/>
      <c r="G41" s="313" t="s">
        <v>658</v>
      </c>
      <c r="H41" s="312"/>
      <c r="I41" s="313"/>
      <c r="J41" s="327">
        <v>118.30999999999997</v>
      </c>
      <c r="K41" s="255">
        <v>1.2948737299513032E-3</v>
      </c>
      <c r="L41" s="328">
        <v>38.359999999999438</v>
      </c>
      <c r="M41" s="333">
        <f t="shared" si="3"/>
        <v>4538.3715999999322</v>
      </c>
      <c r="N41" s="325"/>
      <c r="O41" s="786" t="s">
        <v>690</v>
      </c>
      <c r="P41" s="787"/>
      <c r="R41" s="443"/>
      <c r="S41" s="442"/>
      <c r="T41" s="296"/>
    </row>
    <row r="42" spans="1:20" ht="15.75" customHeight="1" thickTop="1" thickBot="1">
      <c r="A42" s="749"/>
      <c r="B42" s="783"/>
      <c r="C42" s="790"/>
      <c r="D42" s="791"/>
      <c r="E42" s="791"/>
      <c r="F42" s="791"/>
      <c r="G42" s="791"/>
      <c r="H42" s="791"/>
      <c r="I42" s="792"/>
      <c r="J42" s="363" t="s">
        <v>58</v>
      </c>
      <c r="K42" s="361">
        <f>M42/'生產管理報表 7-1 (週)'!$B$21</f>
        <v>0.20025479698957407</v>
      </c>
      <c r="L42" s="364" t="s">
        <v>59</v>
      </c>
      <c r="M42" s="365">
        <f>SUM(M37:M41)</f>
        <v>34158.489899999993</v>
      </c>
      <c r="N42" s="734"/>
      <c r="O42" s="735"/>
      <c r="P42" s="736"/>
      <c r="R42" s="354"/>
      <c r="S42" s="354"/>
    </row>
    <row r="43" spans="1:20" ht="15.75" customHeight="1" thickTop="1">
      <c r="M43" s="340"/>
      <c r="S43" s="355"/>
    </row>
    <row r="44" spans="1:20" ht="15.75" customHeight="1">
      <c r="A44" s="737" t="s">
        <v>193</v>
      </c>
      <c r="B44" s="738"/>
      <c r="C44" s="282" t="s">
        <v>47</v>
      </c>
      <c r="D44" s="765" t="s">
        <v>12</v>
      </c>
      <c r="E44" s="766"/>
      <c r="F44" s="767"/>
      <c r="G44" s="768" t="s">
        <v>53</v>
      </c>
      <c r="H44" s="769"/>
      <c r="I44" s="770"/>
      <c r="J44" s="418" t="s">
        <v>54</v>
      </c>
      <c r="K44" s="283" t="s">
        <v>55</v>
      </c>
      <c r="L44" s="283" t="s">
        <v>56</v>
      </c>
      <c r="M44" s="341" t="s">
        <v>11</v>
      </c>
      <c r="N44" s="284" t="s">
        <v>335</v>
      </c>
      <c r="O44" s="745" t="s">
        <v>51</v>
      </c>
      <c r="P44" s="746"/>
      <c r="S44" s="354"/>
      <c r="T44" s="350"/>
    </row>
    <row r="45" spans="1:20" s="305" customFormat="1" ht="60" customHeight="1">
      <c r="A45" s="747">
        <v>5</v>
      </c>
      <c r="B45" s="760" t="s">
        <v>217</v>
      </c>
      <c r="C45" s="286">
        <v>1</v>
      </c>
      <c r="D45" s="244" t="s">
        <v>344</v>
      </c>
      <c r="E45" s="245"/>
      <c r="F45" s="246"/>
      <c r="G45" s="313" t="s">
        <v>339</v>
      </c>
      <c r="H45" s="312"/>
      <c r="I45" s="313"/>
      <c r="J45" s="323">
        <v>147.43000000000004</v>
      </c>
      <c r="K45" s="324">
        <v>0</v>
      </c>
      <c r="L45" s="325">
        <v>139.36999999999989</v>
      </c>
      <c r="M45" s="333">
        <f>L45*J45</f>
        <v>20547.31909999999</v>
      </c>
      <c r="N45" s="325"/>
      <c r="O45" s="826" t="s">
        <v>686</v>
      </c>
      <c r="P45" s="827"/>
      <c r="S45" s="442"/>
      <c r="T45" s="350"/>
    </row>
    <row r="46" spans="1:20" s="305" customFormat="1" ht="25" customHeight="1">
      <c r="A46" s="748"/>
      <c r="B46" s="761"/>
      <c r="C46" s="286">
        <v>2</v>
      </c>
      <c r="D46" s="244"/>
      <c r="E46" s="245"/>
      <c r="F46" s="246"/>
      <c r="G46" s="370"/>
      <c r="H46" s="312"/>
      <c r="I46" s="313"/>
      <c r="J46" s="323"/>
      <c r="K46" s="324"/>
      <c r="L46" s="325"/>
      <c r="M46" s="333">
        <f t="shared" ref="M46:M49" si="4">L46*J46</f>
        <v>0</v>
      </c>
      <c r="N46" s="325"/>
      <c r="O46" s="773"/>
      <c r="P46" s="774"/>
      <c r="S46" s="354"/>
      <c r="T46" s="351"/>
    </row>
    <row r="47" spans="1:20" ht="25" customHeight="1">
      <c r="A47" s="748"/>
      <c r="B47" s="761"/>
      <c r="C47" s="286">
        <v>3</v>
      </c>
      <c r="D47" s="244"/>
      <c r="E47" s="245"/>
      <c r="F47" s="246"/>
      <c r="G47" s="370"/>
      <c r="H47" s="312"/>
      <c r="I47" s="313"/>
      <c r="J47" s="323"/>
      <c r="K47" s="324"/>
      <c r="L47" s="325"/>
      <c r="M47" s="333">
        <f t="shared" si="4"/>
        <v>0</v>
      </c>
      <c r="N47" s="295"/>
      <c r="O47" s="755"/>
      <c r="P47" s="756"/>
    </row>
    <row r="48" spans="1:20" ht="25" customHeight="1">
      <c r="A48" s="748"/>
      <c r="B48" s="761"/>
      <c r="C48" s="286">
        <v>4</v>
      </c>
      <c r="D48" s="287"/>
      <c r="E48" s="288"/>
      <c r="F48" s="289"/>
      <c r="G48" s="370"/>
      <c r="H48" s="312"/>
      <c r="I48" s="313"/>
      <c r="J48" s="293"/>
      <c r="K48" s="294"/>
      <c r="L48" s="295"/>
      <c r="M48" s="333">
        <f t="shared" si="4"/>
        <v>0</v>
      </c>
      <c r="N48" s="295"/>
      <c r="O48" s="306"/>
      <c r="P48" s="307"/>
    </row>
    <row r="49" spans="1:19" ht="25" customHeight="1" thickBot="1">
      <c r="A49" s="748"/>
      <c r="B49" s="761"/>
      <c r="C49" s="286">
        <v>5</v>
      </c>
      <c r="D49" s="297"/>
      <c r="E49" s="298"/>
      <c r="F49" s="299"/>
      <c r="G49" s="370"/>
      <c r="H49" s="312"/>
      <c r="I49" s="313"/>
      <c r="J49" s="300"/>
      <c r="K49" s="255"/>
      <c r="L49" s="301"/>
      <c r="M49" s="333">
        <f t="shared" si="4"/>
        <v>0</v>
      </c>
      <c r="N49" s="295"/>
      <c r="O49" s="308"/>
      <c r="P49" s="309"/>
      <c r="R49" s="358"/>
    </row>
    <row r="50" spans="1:19" ht="15.75" customHeight="1" thickTop="1" thickBot="1">
      <c r="A50" s="749"/>
      <c r="B50" s="762"/>
      <c r="C50" s="757"/>
      <c r="D50" s="758"/>
      <c r="E50" s="758"/>
      <c r="F50" s="758"/>
      <c r="G50" s="758"/>
      <c r="H50" s="758"/>
      <c r="I50" s="759"/>
      <c r="J50" s="363" t="s">
        <v>58</v>
      </c>
      <c r="K50" s="361">
        <f>M50/'生產管理報表 7-1 (週)'!$B$21</f>
        <v>0.12045904918795888</v>
      </c>
      <c r="L50" s="364" t="s">
        <v>59</v>
      </c>
      <c r="M50" s="365">
        <f>SUM(M45:M49)</f>
        <v>20547.31909999999</v>
      </c>
      <c r="N50" s="734"/>
      <c r="O50" s="735"/>
      <c r="P50" s="736"/>
      <c r="R50" s="354"/>
    </row>
    <row r="51" spans="1:19" ht="15.75" customHeight="1" thickTop="1">
      <c r="K51" s="296" t="s">
        <v>509</v>
      </c>
      <c r="M51" s="340"/>
      <c r="R51" s="354"/>
    </row>
    <row r="52" spans="1:19" ht="25" customHeight="1">
      <c r="A52" s="737" t="s">
        <v>193</v>
      </c>
      <c r="B52" s="738"/>
      <c r="C52" s="310" t="s">
        <v>47</v>
      </c>
      <c r="D52" s="739" t="s">
        <v>12</v>
      </c>
      <c r="E52" s="740"/>
      <c r="F52" s="741"/>
      <c r="G52" s="742" t="s">
        <v>53</v>
      </c>
      <c r="H52" s="743"/>
      <c r="I52" s="744"/>
      <c r="J52" s="311" t="s">
        <v>54</v>
      </c>
      <c r="K52" s="283" t="s">
        <v>55</v>
      </c>
      <c r="L52" s="283" t="s">
        <v>56</v>
      </c>
      <c r="M52" s="341" t="s">
        <v>11</v>
      </c>
      <c r="N52" s="284" t="s">
        <v>335</v>
      </c>
      <c r="O52" s="745" t="s">
        <v>51</v>
      </c>
      <c r="P52" s="746"/>
      <c r="R52" s="354"/>
    </row>
    <row r="53" spans="1:19" ht="55" customHeight="1">
      <c r="A53" s="747">
        <v>6</v>
      </c>
      <c r="B53" s="760" t="s">
        <v>218</v>
      </c>
      <c r="C53" s="286">
        <v>1</v>
      </c>
      <c r="D53" s="359" t="s">
        <v>540</v>
      </c>
      <c r="E53" s="288"/>
      <c r="F53" s="289"/>
      <c r="G53" s="313" t="s">
        <v>538</v>
      </c>
      <c r="H53" s="312"/>
      <c r="I53" s="313"/>
      <c r="J53" s="323">
        <v>407.74000000000007</v>
      </c>
      <c r="K53" s="324">
        <v>8.6107195015912958E-4</v>
      </c>
      <c r="L53" s="325">
        <v>9.23</v>
      </c>
      <c r="M53" s="333">
        <f t="shared" ref="M53:M57" si="5">L53*J53</f>
        <v>3763.4402000000009</v>
      </c>
      <c r="N53" s="295"/>
      <c r="O53" s="788" t="s">
        <v>687</v>
      </c>
      <c r="P53" s="789"/>
      <c r="R53" s="351"/>
      <c r="S53" s="351"/>
    </row>
    <row r="54" spans="1:19" ht="55" customHeight="1">
      <c r="A54" s="748"/>
      <c r="B54" s="761"/>
      <c r="C54" s="286">
        <v>2</v>
      </c>
      <c r="D54" s="244" t="s">
        <v>346</v>
      </c>
      <c r="E54" s="288"/>
      <c r="F54" s="289"/>
      <c r="G54" s="313" t="s">
        <v>523</v>
      </c>
      <c r="H54" s="312"/>
      <c r="I54" s="313"/>
      <c r="J54" s="323">
        <v>605.77999999999986</v>
      </c>
      <c r="K54" s="324">
        <v>5.9264048273261134E-4</v>
      </c>
      <c r="L54" s="325">
        <v>5.7399999999998634</v>
      </c>
      <c r="M54" s="333">
        <f t="shared" si="5"/>
        <v>3477.1771999999164</v>
      </c>
      <c r="N54" s="295"/>
      <c r="O54" s="788" t="s">
        <v>536</v>
      </c>
      <c r="P54" s="789"/>
      <c r="R54" s="351"/>
      <c r="S54" s="351"/>
    </row>
    <row r="55" spans="1:19" ht="55" customHeight="1">
      <c r="A55" s="748"/>
      <c r="B55" s="761"/>
      <c r="C55" s="286">
        <v>3</v>
      </c>
      <c r="D55" s="244" t="s">
        <v>344</v>
      </c>
      <c r="E55" s="288"/>
      <c r="F55" s="289"/>
      <c r="G55" s="313" t="s">
        <v>512</v>
      </c>
      <c r="H55" s="312"/>
      <c r="I55" s="313"/>
      <c r="J55" s="323">
        <v>3.2199999999999998</v>
      </c>
      <c r="K55" s="324">
        <v>0</v>
      </c>
      <c r="L55" s="325">
        <v>673</v>
      </c>
      <c r="M55" s="333">
        <f t="shared" si="5"/>
        <v>2167.06</v>
      </c>
      <c r="N55" s="295"/>
      <c r="O55" s="788" t="s">
        <v>541</v>
      </c>
      <c r="P55" s="789"/>
      <c r="R55" s="351"/>
    </row>
    <row r="56" spans="1:19" ht="55" customHeight="1">
      <c r="A56" s="748"/>
      <c r="B56" s="761"/>
      <c r="C56" s="286">
        <v>4</v>
      </c>
      <c r="D56" s="244"/>
      <c r="E56" s="288"/>
      <c r="F56" s="289"/>
      <c r="G56" s="370"/>
      <c r="H56" s="312"/>
      <c r="I56" s="313"/>
      <c r="J56" s="323"/>
      <c r="K56" s="324"/>
      <c r="L56" s="325"/>
      <c r="M56" s="333">
        <f t="shared" si="5"/>
        <v>0</v>
      </c>
      <c r="N56" s="295"/>
      <c r="O56" s="788"/>
      <c r="P56" s="789"/>
      <c r="R56" s="351"/>
      <c r="S56" s="351"/>
    </row>
    <row r="57" spans="1:19" ht="55" customHeight="1" thickBot="1">
      <c r="A57" s="748"/>
      <c r="B57" s="761"/>
      <c r="C57" s="286">
        <v>5</v>
      </c>
      <c r="D57" s="251"/>
      <c r="E57" s="298"/>
      <c r="F57" s="299"/>
      <c r="G57" s="457"/>
      <c r="H57" s="456"/>
      <c r="I57" s="455"/>
      <c r="J57" s="327"/>
      <c r="K57" s="255"/>
      <c r="L57" s="328"/>
      <c r="M57" s="333">
        <f t="shared" si="5"/>
        <v>0</v>
      </c>
      <c r="N57" s="295"/>
      <c r="O57" s="788"/>
      <c r="P57" s="789"/>
    </row>
    <row r="58" spans="1:19" ht="15.75" customHeight="1" thickTop="1" thickBot="1">
      <c r="A58" s="749"/>
      <c r="B58" s="762"/>
      <c r="C58" s="757"/>
      <c r="D58" s="758"/>
      <c r="E58" s="758"/>
      <c r="F58" s="758"/>
      <c r="G58" s="758"/>
      <c r="H58" s="758"/>
      <c r="I58" s="759"/>
      <c r="J58" s="363" t="s">
        <v>58</v>
      </c>
      <c r="K58" s="361">
        <f>M58/'生產管理報表 7-1 (週)'!$B$21</f>
        <v>5.5152687762124633E-2</v>
      </c>
      <c r="L58" s="364" t="s">
        <v>59</v>
      </c>
      <c r="M58" s="365">
        <f>SUM(M53:M57)</f>
        <v>9407.6773999999168</v>
      </c>
      <c r="N58" s="734"/>
      <c r="O58" s="735"/>
      <c r="P58" s="736"/>
    </row>
    <row r="59" spans="1:19" s="136" customFormat="1" ht="15.75" customHeight="1" thickTop="1">
      <c r="A59" s="704" t="s">
        <v>685</v>
      </c>
      <c r="B59" s="704"/>
      <c r="C59" s="704"/>
      <c r="D59" s="704"/>
      <c r="E59" s="704"/>
      <c r="F59" s="704"/>
      <c r="G59" s="704"/>
      <c r="H59" s="704"/>
      <c r="I59" s="704"/>
      <c r="J59" s="704"/>
      <c r="K59" s="704"/>
      <c r="L59" s="704"/>
      <c r="M59" s="704"/>
    </row>
    <row r="60" spans="1:19" s="137" customFormat="1" ht="15.75" customHeight="1">
      <c r="A60" s="799"/>
      <c r="B60" s="799"/>
      <c r="C60" s="799"/>
      <c r="D60" s="799"/>
      <c r="E60" s="799"/>
      <c r="F60" s="799"/>
      <c r="G60" s="799"/>
      <c r="H60" s="799"/>
      <c r="I60" s="799"/>
      <c r="J60" s="799"/>
      <c r="K60" s="799"/>
      <c r="L60" s="799"/>
      <c r="M60" s="799"/>
    </row>
    <row r="61" spans="1:19" s="136" customFormat="1" ht="15.75" customHeight="1">
      <c r="A61" s="800" t="s">
        <v>193</v>
      </c>
      <c r="B61" s="802">
        <v>1</v>
      </c>
      <c r="C61" s="803"/>
      <c r="D61" s="802">
        <v>2</v>
      </c>
      <c r="E61" s="803"/>
      <c r="F61" s="802">
        <v>3</v>
      </c>
      <c r="G61" s="803"/>
      <c r="H61" s="793">
        <v>4</v>
      </c>
      <c r="I61" s="794"/>
      <c r="J61" s="793">
        <v>5</v>
      </c>
      <c r="K61" s="794"/>
      <c r="L61" s="793">
        <v>6</v>
      </c>
      <c r="M61" s="794"/>
      <c r="N61" s="793">
        <v>7</v>
      </c>
      <c r="O61" s="794"/>
      <c r="P61" s="338">
        <v>8</v>
      </c>
    </row>
    <row r="62" spans="1:19" s="136" customFormat="1" ht="15.75" customHeight="1">
      <c r="A62" s="801"/>
      <c r="B62" s="797" t="s">
        <v>500</v>
      </c>
      <c r="C62" s="798"/>
      <c r="D62" s="797" t="s">
        <v>214</v>
      </c>
      <c r="E62" s="798"/>
      <c r="F62" s="797" t="s">
        <v>168</v>
      </c>
      <c r="G62" s="798"/>
      <c r="H62" s="795" t="s">
        <v>465</v>
      </c>
      <c r="I62" s="796"/>
      <c r="J62" s="795" t="s">
        <v>191</v>
      </c>
      <c r="K62" s="796"/>
      <c r="L62" s="795" t="s">
        <v>169</v>
      </c>
      <c r="M62" s="796"/>
      <c r="N62" s="795" t="s">
        <v>192</v>
      </c>
      <c r="O62" s="796"/>
      <c r="P62" s="339" t="s">
        <v>219</v>
      </c>
    </row>
    <row r="63" spans="1:19" s="136" customFormat="1" ht="15.75" customHeight="1">
      <c r="B63" s="239"/>
      <c r="C63" s="240"/>
    </row>
    <row r="64" spans="1:19" s="285" customFormat="1" ht="15.75" customHeight="1">
      <c r="A64" s="737" t="s">
        <v>193</v>
      </c>
      <c r="B64" s="738"/>
      <c r="C64" s="282" t="s">
        <v>47</v>
      </c>
      <c r="D64" s="765" t="s">
        <v>12</v>
      </c>
      <c r="E64" s="766"/>
      <c r="F64" s="767"/>
      <c r="G64" s="768" t="s">
        <v>53</v>
      </c>
      <c r="H64" s="769"/>
      <c r="I64" s="770"/>
      <c r="J64" s="283" t="s">
        <v>54</v>
      </c>
      <c r="K64" s="283" t="s">
        <v>55</v>
      </c>
      <c r="L64" s="283" t="s">
        <v>56</v>
      </c>
      <c r="M64" s="284" t="s">
        <v>11</v>
      </c>
      <c r="N64" s="284" t="s">
        <v>335</v>
      </c>
      <c r="O64" s="745" t="s">
        <v>51</v>
      </c>
      <c r="P64" s="746"/>
      <c r="R64" s="354"/>
      <c r="S64" s="355"/>
    </row>
    <row r="65" spans="1:20" s="305" customFormat="1" ht="60" customHeight="1">
      <c r="A65" s="747">
        <v>4</v>
      </c>
      <c r="B65" s="781" t="s">
        <v>465</v>
      </c>
      <c r="C65" s="286">
        <v>1</v>
      </c>
      <c r="D65" s="244" t="s">
        <v>344</v>
      </c>
      <c r="E65" s="245"/>
      <c r="F65" s="246"/>
      <c r="G65" s="313" t="s">
        <v>400</v>
      </c>
      <c r="H65" s="312"/>
      <c r="I65" s="313"/>
      <c r="J65" s="323">
        <v>127.84000000000002</v>
      </c>
      <c r="K65" s="324">
        <v>2.7437673097713289E-4</v>
      </c>
      <c r="L65" s="325">
        <v>80.460000000000107</v>
      </c>
      <c r="M65" s="333">
        <f t="shared" ref="M65:M69" si="6">L65*J65</f>
        <v>10286.006400000015</v>
      </c>
      <c r="N65" s="325"/>
      <c r="O65" s="777" t="s">
        <v>688</v>
      </c>
      <c r="P65" s="778"/>
      <c r="R65" s="440"/>
      <c r="S65" s="355"/>
    </row>
    <row r="66" spans="1:20" s="305" customFormat="1" ht="60" customHeight="1">
      <c r="A66" s="748"/>
      <c r="B66" s="782"/>
      <c r="C66" s="286">
        <v>2</v>
      </c>
      <c r="D66" s="244" t="s">
        <v>611</v>
      </c>
      <c r="E66" s="245"/>
      <c r="F66" s="246"/>
      <c r="G66" s="313" t="s">
        <v>657</v>
      </c>
      <c r="H66" s="312"/>
      <c r="I66" s="313"/>
      <c r="J66" s="323">
        <v>84.3</v>
      </c>
      <c r="K66" s="324">
        <v>7.490668951177198E-4</v>
      </c>
      <c r="L66" s="325">
        <v>69.520000000000223</v>
      </c>
      <c r="M66" s="333">
        <f t="shared" si="6"/>
        <v>5860.5360000000182</v>
      </c>
      <c r="N66" s="325"/>
      <c r="O66" s="777" t="s">
        <v>535</v>
      </c>
      <c r="P66" s="778"/>
      <c r="R66" s="440"/>
      <c r="S66" s="441"/>
      <c r="T66" s="350"/>
    </row>
    <row r="67" spans="1:20" s="305" customFormat="1" ht="60" customHeight="1">
      <c r="A67" s="748"/>
      <c r="B67" s="782"/>
      <c r="C67" s="286">
        <v>3</v>
      </c>
      <c r="D67" s="244" t="s">
        <v>372</v>
      </c>
      <c r="E67" s="245"/>
      <c r="F67" s="246"/>
      <c r="G67" s="313" t="s">
        <v>371</v>
      </c>
      <c r="H67" s="312"/>
      <c r="I67" s="313"/>
      <c r="J67" s="323">
        <v>426.69</v>
      </c>
      <c r="K67" s="324">
        <v>9.4208847556626247E-4</v>
      </c>
      <c r="L67" s="325">
        <v>13.170000000000005</v>
      </c>
      <c r="M67" s="333">
        <f t="shared" si="6"/>
        <v>5619.507300000002</v>
      </c>
      <c r="N67" s="325"/>
      <c r="O67" s="786" t="s">
        <v>749</v>
      </c>
      <c r="P67" s="787"/>
      <c r="R67" s="440"/>
      <c r="S67" s="442"/>
    </row>
    <row r="68" spans="1:20" s="305" customFormat="1" ht="60" customHeight="1">
      <c r="A68" s="748"/>
      <c r="B68" s="782"/>
      <c r="C68" s="286">
        <v>4</v>
      </c>
      <c r="D68" s="244" t="s">
        <v>610</v>
      </c>
      <c r="E68" s="245"/>
      <c r="F68" s="246"/>
      <c r="G68" s="313" t="s">
        <v>658</v>
      </c>
      <c r="H68" s="312"/>
      <c r="I68" s="313"/>
      <c r="J68" s="323">
        <v>118.30999999999997</v>
      </c>
      <c r="K68" s="324">
        <v>6.9283856861351314E-4</v>
      </c>
      <c r="L68" s="325">
        <v>45.989999999999746</v>
      </c>
      <c r="M68" s="333">
        <f t="shared" si="6"/>
        <v>5441.0768999999691</v>
      </c>
      <c r="N68" s="325"/>
      <c r="O68" s="786" t="s">
        <v>690</v>
      </c>
      <c r="P68" s="787"/>
      <c r="R68" s="440"/>
      <c r="S68" s="441"/>
      <c r="T68" s="350"/>
    </row>
    <row r="69" spans="1:20" s="305" customFormat="1" ht="60" customHeight="1" thickBot="1">
      <c r="A69" s="748"/>
      <c r="B69" s="782"/>
      <c r="C69" s="286">
        <v>5</v>
      </c>
      <c r="D69" s="244" t="s">
        <v>347</v>
      </c>
      <c r="E69" s="252"/>
      <c r="F69" s="253"/>
      <c r="G69" s="313" t="s">
        <v>340</v>
      </c>
      <c r="H69" s="312"/>
      <c r="I69" s="313"/>
      <c r="J69" s="327">
        <v>70.220000000000013</v>
      </c>
      <c r="K69" s="255">
        <v>1.1762535172286546E-3</v>
      </c>
      <c r="L69" s="328">
        <v>69.149999999999821</v>
      </c>
      <c r="M69" s="333">
        <f t="shared" si="6"/>
        <v>4855.7129999999879</v>
      </c>
      <c r="N69" s="325"/>
      <c r="O69" s="786" t="s">
        <v>535</v>
      </c>
      <c r="P69" s="787"/>
      <c r="R69" s="443"/>
      <c r="S69" s="442"/>
      <c r="T69" s="296"/>
    </row>
    <row r="70" spans="1:20" ht="15.75" customHeight="1" thickTop="1" thickBot="1">
      <c r="A70" s="749"/>
      <c r="B70" s="783"/>
      <c r="C70" s="790"/>
      <c r="D70" s="791"/>
      <c r="E70" s="791"/>
      <c r="F70" s="791"/>
      <c r="G70" s="791"/>
      <c r="H70" s="791"/>
      <c r="I70" s="792"/>
      <c r="J70" s="363" t="s">
        <v>58</v>
      </c>
      <c r="K70" s="361">
        <f>M70/'生產管理報表 7-1 (週)'!$B$32</f>
        <v>0.19593127773515578</v>
      </c>
      <c r="L70" s="364" t="s">
        <v>59</v>
      </c>
      <c r="M70" s="365">
        <f>SUM(M65:M69)</f>
        <v>32062.839599999992</v>
      </c>
      <c r="N70" s="734"/>
      <c r="O70" s="735"/>
      <c r="P70" s="736"/>
      <c r="R70" s="354"/>
      <c r="S70" s="354"/>
    </row>
    <row r="71" spans="1:20" ht="15.75" customHeight="1" thickTop="1">
      <c r="M71" s="340"/>
      <c r="S71" s="355"/>
    </row>
    <row r="72" spans="1:20" ht="15.75" customHeight="1">
      <c r="A72" s="737" t="s">
        <v>193</v>
      </c>
      <c r="B72" s="738"/>
      <c r="C72" s="282" t="s">
        <v>47</v>
      </c>
      <c r="D72" s="765" t="s">
        <v>12</v>
      </c>
      <c r="E72" s="766"/>
      <c r="F72" s="767"/>
      <c r="G72" s="768" t="s">
        <v>53</v>
      </c>
      <c r="H72" s="769"/>
      <c r="I72" s="770"/>
      <c r="J72" s="418" t="s">
        <v>54</v>
      </c>
      <c r="K72" s="283" t="s">
        <v>55</v>
      </c>
      <c r="L72" s="283" t="s">
        <v>56</v>
      </c>
      <c r="M72" s="341" t="s">
        <v>11</v>
      </c>
      <c r="N72" s="284" t="s">
        <v>335</v>
      </c>
      <c r="O72" s="745" t="s">
        <v>51</v>
      </c>
      <c r="P72" s="746"/>
      <c r="S72" s="354"/>
      <c r="T72" s="350"/>
    </row>
    <row r="73" spans="1:20" s="305" customFormat="1" ht="60" customHeight="1">
      <c r="A73" s="747">
        <v>5</v>
      </c>
      <c r="B73" s="760" t="s">
        <v>217</v>
      </c>
      <c r="C73" s="286">
        <v>1</v>
      </c>
      <c r="D73" s="244" t="s">
        <v>344</v>
      </c>
      <c r="E73" s="245"/>
      <c r="F73" s="246"/>
      <c r="G73" s="313" t="s">
        <v>339</v>
      </c>
      <c r="H73" s="312"/>
      <c r="I73" s="313"/>
      <c r="J73" s="323">
        <v>147.43000000000004</v>
      </c>
      <c r="K73" s="324">
        <v>4.550834842805646E-4</v>
      </c>
      <c r="L73" s="325">
        <v>122.0900000000008</v>
      </c>
      <c r="M73" s="333">
        <f>L73*J73</f>
        <v>17999.728700000123</v>
      </c>
      <c r="N73" s="325"/>
      <c r="O73" s="826" t="s">
        <v>746</v>
      </c>
      <c r="P73" s="827"/>
      <c r="S73" s="442"/>
      <c r="T73" s="350"/>
    </row>
    <row r="74" spans="1:20" s="305" customFormat="1" ht="25" customHeight="1">
      <c r="A74" s="748"/>
      <c r="B74" s="761"/>
      <c r="C74" s="286">
        <v>2</v>
      </c>
      <c r="D74" s="244"/>
      <c r="E74" s="245"/>
      <c r="F74" s="246"/>
      <c r="G74" s="370"/>
      <c r="H74" s="312"/>
      <c r="I74" s="313"/>
      <c r="J74" s="323"/>
      <c r="K74" s="324"/>
      <c r="L74" s="325"/>
      <c r="M74" s="333">
        <f t="shared" ref="M74:M76" si="7">L74*J74</f>
        <v>0</v>
      </c>
      <c r="N74" s="325"/>
      <c r="O74" s="773"/>
      <c r="P74" s="774"/>
      <c r="S74" s="354"/>
      <c r="T74" s="351"/>
    </row>
    <row r="75" spans="1:20" ht="25" customHeight="1">
      <c r="A75" s="748"/>
      <c r="B75" s="761"/>
      <c r="C75" s="286">
        <v>3</v>
      </c>
      <c r="D75" s="244"/>
      <c r="E75" s="245"/>
      <c r="F75" s="246"/>
      <c r="G75" s="370"/>
      <c r="H75" s="312"/>
      <c r="I75" s="313"/>
      <c r="J75" s="323"/>
      <c r="K75" s="324"/>
      <c r="L75" s="325"/>
      <c r="M75" s="333">
        <f t="shared" si="7"/>
        <v>0</v>
      </c>
      <c r="N75" s="295"/>
      <c r="O75" s="755"/>
      <c r="P75" s="756"/>
    </row>
    <row r="76" spans="1:20" ht="25" customHeight="1">
      <c r="A76" s="748"/>
      <c r="B76" s="761"/>
      <c r="C76" s="286">
        <v>4</v>
      </c>
      <c r="D76" s="287"/>
      <c r="E76" s="288"/>
      <c r="F76" s="289"/>
      <c r="G76" s="370"/>
      <c r="H76" s="312"/>
      <c r="I76" s="313"/>
      <c r="J76" s="293"/>
      <c r="K76" s="294"/>
      <c r="L76" s="295"/>
      <c r="M76" s="333">
        <f t="shared" si="7"/>
        <v>0</v>
      </c>
      <c r="N76" s="295"/>
      <c r="O76" s="306"/>
      <c r="P76" s="307"/>
    </row>
    <row r="77" spans="1:20" ht="25" customHeight="1" thickBot="1">
      <c r="A77" s="748"/>
      <c r="B77" s="761"/>
      <c r="C77" s="286">
        <v>5</v>
      </c>
      <c r="D77" s="297"/>
      <c r="E77" s="298"/>
      <c r="F77" s="299"/>
      <c r="G77" s="370"/>
      <c r="H77" s="312"/>
      <c r="I77" s="313"/>
      <c r="J77" s="300"/>
      <c r="K77" s="255"/>
      <c r="L77" s="301"/>
      <c r="M77" s="333" t="s">
        <v>748</v>
      </c>
      <c r="N77" s="295"/>
      <c r="O77" s="308"/>
      <c r="P77" s="309"/>
      <c r="R77" s="357"/>
    </row>
    <row r="78" spans="1:20" ht="15.75" customHeight="1" thickTop="1" thickBot="1">
      <c r="A78" s="749"/>
      <c r="B78" s="762"/>
      <c r="C78" s="757"/>
      <c r="D78" s="758"/>
      <c r="E78" s="758"/>
      <c r="F78" s="758"/>
      <c r="G78" s="758"/>
      <c r="H78" s="758"/>
      <c r="I78" s="759"/>
      <c r="J78" s="363" t="s">
        <v>58</v>
      </c>
      <c r="K78" s="361">
        <f>M78/'生產管理報表 7-1 (週)'!$B$32</f>
        <v>0.1099936838743746</v>
      </c>
      <c r="L78" s="364" t="s">
        <v>59</v>
      </c>
      <c r="M78" s="365">
        <f>SUM(M73:M77)</f>
        <v>17999.728700000123</v>
      </c>
      <c r="N78" s="734"/>
      <c r="O78" s="735"/>
      <c r="P78" s="736"/>
      <c r="R78" s="354"/>
    </row>
    <row r="79" spans="1:20" ht="15.75" customHeight="1" thickTop="1">
      <c r="K79" s="296" t="s">
        <v>509</v>
      </c>
      <c r="M79" s="340"/>
      <c r="R79" s="354"/>
    </row>
    <row r="80" spans="1:20" ht="25" customHeight="1">
      <c r="A80" s="737" t="s">
        <v>193</v>
      </c>
      <c r="B80" s="738"/>
      <c r="C80" s="310" t="s">
        <v>47</v>
      </c>
      <c r="D80" s="739" t="s">
        <v>12</v>
      </c>
      <c r="E80" s="740"/>
      <c r="F80" s="741"/>
      <c r="G80" s="742" t="s">
        <v>53</v>
      </c>
      <c r="H80" s="743"/>
      <c r="I80" s="744"/>
      <c r="J80" s="311" t="s">
        <v>54</v>
      </c>
      <c r="K80" s="283" t="s">
        <v>55</v>
      </c>
      <c r="L80" s="283" t="s">
        <v>56</v>
      </c>
      <c r="M80" s="341" t="s">
        <v>11</v>
      </c>
      <c r="N80" s="284" t="s">
        <v>335</v>
      </c>
      <c r="O80" s="745" t="s">
        <v>51</v>
      </c>
      <c r="P80" s="746"/>
      <c r="R80" s="354"/>
    </row>
    <row r="81" spans="1:20" ht="55" customHeight="1">
      <c r="A81" s="747">
        <v>6</v>
      </c>
      <c r="B81" s="760" t="s">
        <v>218</v>
      </c>
      <c r="C81" s="286">
        <v>1</v>
      </c>
      <c r="D81" s="359" t="s">
        <v>344</v>
      </c>
      <c r="E81" s="288"/>
      <c r="F81" s="289"/>
      <c r="G81" s="313" t="s">
        <v>512</v>
      </c>
      <c r="H81" s="312"/>
      <c r="I81" s="313"/>
      <c r="J81" s="323">
        <v>3.2199999999999998</v>
      </c>
      <c r="K81" s="324">
        <v>0</v>
      </c>
      <c r="L81" s="325">
        <v>993</v>
      </c>
      <c r="M81" s="333">
        <f t="shared" ref="M81:M85" si="8">L81*J81</f>
        <v>3197.4599999999996</v>
      </c>
      <c r="N81" s="295"/>
      <c r="O81" s="788" t="s">
        <v>541</v>
      </c>
      <c r="P81" s="789"/>
      <c r="R81" s="351"/>
      <c r="S81" s="351"/>
    </row>
    <row r="82" spans="1:20" ht="55" customHeight="1">
      <c r="A82" s="748"/>
      <c r="B82" s="761"/>
      <c r="C82" s="286">
        <v>2</v>
      </c>
      <c r="D82" s="244" t="s">
        <v>346</v>
      </c>
      <c r="E82" s="288"/>
      <c r="F82" s="289"/>
      <c r="G82" s="313" t="s">
        <v>523</v>
      </c>
      <c r="H82" s="312"/>
      <c r="I82" s="313"/>
      <c r="J82" s="323">
        <v>605.77999999999986</v>
      </c>
      <c r="K82" s="324">
        <v>3.9753528125621143E-4</v>
      </c>
      <c r="L82" s="325">
        <v>4.8799999999999182</v>
      </c>
      <c r="M82" s="333">
        <f t="shared" si="8"/>
        <v>2956.2063999999496</v>
      </c>
      <c r="N82" s="295"/>
      <c r="O82" s="788" t="s">
        <v>536</v>
      </c>
      <c r="P82" s="789"/>
      <c r="R82" s="351"/>
      <c r="S82" s="351"/>
    </row>
    <row r="83" spans="1:20" ht="55" customHeight="1">
      <c r="A83" s="748"/>
      <c r="B83" s="761"/>
      <c r="C83" s="286">
        <v>3</v>
      </c>
      <c r="D83" s="244" t="s">
        <v>540</v>
      </c>
      <c r="E83" s="288"/>
      <c r="F83" s="289"/>
      <c r="G83" s="313" t="s">
        <v>538</v>
      </c>
      <c r="H83" s="312"/>
      <c r="I83" s="313"/>
      <c r="J83" s="323">
        <v>407.74000000000007</v>
      </c>
      <c r="K83" s="324">
        <v>1.1835137399898062E-3</v>
      </c>
      <c r="L83" s="325">
        <v>6.3200000000000545</v>
      </c>
      <c r="M83" s="333">
        <f t="shared" si="8"/>
        <v>2576.9168000000227</v>
      </c>
      <c r="N83" s="295"/>
      <c r="O83" s="788" t="s">
        <v>747</v>
      </c>
      <c r="P83" s="789"/>
      <c r="R83" s="351"/>
    </row>
    <row r="84" spans="1:20" ht="55" customHeight="1">
      <c r="A84" s="748"/>
      <c r="B84" s="761"/>
      <c r="C84" s="286">
        <v>4</v>
      </c>
      <c r="D84" s="244"/>
      <c r="E84" s="288"/>
      <c r="F84" s="289"/>
      <c r="G84" s="370"/>
      <c r="H84" s="312"/>
      <c r="I84" s="313"/>
      <c r="J84" s="323"/>
      <c r="K84" s="324"/>
      <c r="L84" s="325"/>
      <c r="M84" s="333">
        <f t="shared" si="8"/>
        <v>0</v>
      </c>
      <c r="N84" s="295"/>
      <c r="O84" s="788"/>
      <c r="P84" s="789"/>
      <c r="R84" s="351"/>
      <c r="S84" s="351"/>
    </row>
    <row r="85" spans="1:20" ht="55" customHeight="1" thickBot="1">
      <c r="A85" s="748"/>
      <c r="B85" s="761"/>
      <c r="C85" s="286">
        <v>5</v>
      </c>
      <c r="D85" s="251"/>
      <c r="E85" s="298"/>
      <c r="F85" s="299"/>
      <c r="G85" s="370"/>
      <c r="H85" s="312"/>
      <c r="I85" s="313"/>
      <c r="J85" s="327"/>
      <c r="K85" s="255"/>
      <c r="L85" s="328"/>
      <c r="M85" s="333">
        <f t="shared" si="8"/>
        <v>0</v>
      </c>
      <c r="N85" s="295"/>
      <c r="O85" s="788"/>
      <c r="P85" s="789"/>
    </row>
    <row r="86" spans="1:20" ht="15.75" customHeight="1" thickTop="1" thickBot="1">
      <c r="A86" s="749"/>
      <c r="B86" s="762"/>
      <c r="C86" s="757"/>
      <c r="D86" s="758"/>
      <c r="E86" s="758"/>
      <c r="F86" s="758"/>
      <c r="G86" s="758"/>
      <c r="H86" s="758"/>
      <c r="I86" s="759"/>
      <c r="J86" s="363" t="s">
        <v>58</v>
      </c>
      <c r="K86" s="361">
        <f>M86/'生產管理報表 7-1 (週)'!$B$32</f>
        <v>5.335130459714741E-2</v>
      </c>
      <c r="L86" s="364" t="s">
        <v>59</v>
      </c>
      <c r="M86" s="365">
        <f>SUM(M81:M85)</f>
        <v>8730.5831999999718</v>
      </c>
      <c r="N86" s="734"/>
      <c r="O86" s="735"/>
      <c r="P86" s="736"/>
    </row>
    <row r="87" spans="1:20" s="136" customFormat="1" ht="15.75" customHeight="1" thickTop="1">
      <c r="A87" s="704" t="s">
        <v>744</v>
      </c>
      <c r="B87" s="704"/>
      <c r="C87" s="704"/>
      <c r="D87" s="704"/>
      <c r="E87" s="704"/>
      <c r="F87" s="704"/>
      <c r="G87" s="704"/>
      <c r="H87" s="704"/>
      <c r="I87" s="704"/>
      <c r="J87" s="704"/>
      <c r="K87" s="704"/>
      <c r="L87" s="704"/>
      <c r="M87" s="704"/>
    </row>
    <row r="88" spans="1:20" s="137" customFormat="1" ht="15.75" customHeight="1">
      <c r="A88" s="799"/>
      <c r="B88" s="799"/>
      <c r="C88" s="799"/>
      <c r="D88" s="799"/>
      <c r="E88" s="799"/>
      <c r="F88" s="799"/>
      <c r="G88" s="799"/>
      <c r="H88" s="799"/>
      <c r="I88" s="799"/>
      <c r="J88" s="799"/>
      <c r="K88" s="799"/>
      <c r="L88" s="799"/>
      <c r="M88" s="799"/>
    </row>
    <row r="89" spans="1:20" s="136" customFormat="1" ht="15.75" customHeight="1">
      <c r="A89" s="800" t="s">
        <v>193</v>
      </c>
      <c r="B89" s="802">
        <v>1</v>
      </c>
      <c r="C89" s="803"/>
      <c r="D89" s="802">
        <v>2</v>
      </c>
      <c r="E89" s="803"/>
      <c r="F89" s="802">
        <v>3</v>
      </c>
      <c r="G89" s="803"/>
      <c r="H89" s="793">
        <v>4</v>
      </c>
      <c r="I89" s="794"/>
      <c r="J89" s="793">
        <v>5</v>
      </c>
      <c r="K89" s="794"/>
      <c r="L89" s="793">
        <v>6</v>
      </c>
      <c r="M89" s="794"/>
      <c r="N89" s="793">
        <v>7</v>
      </c>
      <c r="O89" s="794"/>
      <c r="P89" s="338">
        <v>8</v>
      </c>
    </row>
    <row r="90" spans="1:20" s="136" customFormat="1" ht="15.75" customHeight="1">
      <c r="A90" s="801"/>
      <c r="B90" s="797" t="s">
        <v>500</v>
      </c>
      <c r="C90" s="798"/>
      <c r="D90" s="797" t="s">
        <v>214</v>
      </c>
      <c r="E90" s="798"/>
      <c r="F90" s="797" t="s">
        <v>168</v>
      </c>
      <c r="G90" s="798"/>
      <c r="H90" s="795" t="s">
        <v>465</v>
      </c>
      <c r="I90" s="796"/>
      <c r="J90" s="795" t="s">
        <v>191</v>
      </c>
      <c r="K90" s="796"/>
      <c r="L90" s="795" t="s">
        <v>169</v>
      </c>
      <c r="M90" s="796"/>
      <c r="N90" s="795" t="s">
        <v>192</v>
      </c>
      <c r="O90" s="796"/>
      <c r="P90" s="339" t="s">
        <v>219</v>
      </c>
    </row>
    <row r="91" spans="1:20" s="136" customFormat="1" ht="15.75" customHeight="1">
      <c r="B91" s="239"/>
      <c r="C91" s="240"/>
    </row>
    <row r="92" spans="1:20" s="285" customFormat="1" ht="15.75" customHeight="1">
      <c r="A92" s="737" t="s">
        <v>193</v>
      </c>
      <c r="B92" s="738"/>
      <c r="C92" s="282" t="s">
        <v>47</v>
      </c>
      <c r="D92" s="765" t="s">
        <v>12</v>
      </c>
      <c r="E92" s="766"/>
      <c r="F92" s="767"/>
      <c r="G92" s="768" t="s">
        <v>53</v>
      </c>
      <c r="H92" s="769"/>
      <c r="I92" s="770"/>
      <c r="J92" s="283" t="s">
        <v>54</v>
      </c>
      <c r="K92" s="283" t="s">
        <v>55</v>
      </c>
      <c r="L92" s="283" t="s">
        <v>56</v>
      </c>
      <c r="M92" s="284" t="s">
        <v>11</v>
      </c>
      <c r="N92" s="284" t="s">
        <v>335</v>
      </c>
      <c r="O92" s="745" t="s">
        <v>51</v>
      </c>
      <c r="P92" s="746"/>
      <c r="R92" s="354"/>
      <c r="S92" s="355"/>
    </row>
    <row r="93" spans="1:20" s="305" customFormat="1" ht="60" customHeight="1">
      <c r="A93" s="747">
        <v>4</v>
      </c>
      <c r="B93" s="781" t="s">
        <v>465</v>
      </c>
      <c r="C93" s="286">
        <v>1</v>
      </c>
      <c r="D93" s="244" t="s">
        <v>584</v>
      </c>
      <c r="E93" s="245"/>
      <c r="F93" s="246"/>
      <c r="G93" s="313" t="s">
        <v>583</v>
      </c>
      <c r="H93" s="312"/>
      <c r="I93" s="313"/>
      <c r="J93" s="323">
        <v>190.87</v>
      </c>
      <c r="K93" s="324">
        <v>7.7067483450251966E-4</v>
      </c>
      <c r="L93" s="325">
        <v>32.97</v>
      </c>
      <c r="M93" s="333">
        <f t="shared" ref="M93:M97" si="9">L93*J93</f>
        <v>6292.9839000000002</v>
      </c>
      <c r="N93" s="325"/>
      <c r="O93" s="777" t="s">
        <v>771</v>
      </c>
      <c r="P93" s="778"/>
      <c r="R93" s="440"/>
      <c r="S93" s="355"/>
    </row>
    <row r="94" spans="1:20" s="305" customFormat="1" ht="60" customHeight="1">
      <c r="A94" s="748"/>
      <c r="B94" s="782"/>
      <c r="C94" s="286">
        <v>2</v>
      </c>
      <c r="D94" s="244" t="s">
        <v>372</v>
      </c>
      <c r="E94" s="245"/>
      <c r="F94" s="246"/>
      <c r="G94" s="313" t="s">
        <v>371</v>
      </c>
      <c r="H94" s="312"/>
      <c r="I94" s="313"/>
      <c r="J94" s="323">
        <v>426.69</v>
      </c>
      <c r="K94" s="324">
        <v>5.4945917518328397E-4</v>
      </c>
      <c r="L94" s="325">
        <v>12.490000000000032</v>
      </c>
      <c r="M94" s="333">
        <f t="shared" si="9"/>
        <v>5329.358100000014</v>
      </c>
      <c r="N94" s="325"/>
      <c r="O94" s="777" t="s">
        <v>772</v>
      </c>
      <c r="P94" s="778"/>
      <c r="R94" s="440"/>
      <c r="S94" s="441"/>
      <c r="T94" s="350"/>
    </row>
    <row r="95" spans="1:20" s="305" customFormat="1" ht="60" customHeight="1">
      <c r="A95" s="748"/>
      <c r="B95" s="782"/>
      <c r="C95" s="286">
        <v>3</v>
      </c>
      <c r="D95" s="244" t="s">
        <v>344</v>
      </c>
      <c r="E95" s="245"/>
      <c r="F95" s="246"/>
      <c r="G95" s="313" t="s">
        <v>400</v>
      </c>
      <c r="H95" s="312"/>
      <c r="I95" s="313"/>
      <c r="J95" s="323">
        <v>127.84000000000002</v>
      </c>
      <c r="K95" s="324">
        <v>3.2695446111198048E-4</v>
      </c>
      <c r="L95" s="325">
        <v>41.359999999999744</v>
      </c>
      <c r="M95" s="333">
        <f t="shared" si="9"/>
        <v>5287.4623999999676</v>
      </c>
      <c r="N95" s="325"/>
      <c r="O95" s="786" t="s">
        <v>688</v>
      </c>
      <c r="P95" s="787"/>
      <c r="R95" s="440"/>
      <c r="S95" s="442"/>
    </row>
    <row r="96" spans="1:20" s="305" customFormat="1" ht="60" customHeight="1">
      <c r="A96" s="748"/>
      <c r="B96" s="782"/>
      <c r="C96" s="286">
        <v>4</v>
      </c>
      <c r="D96" s="244" t="s">
        <v>358</v>
      </c>
      <c r="E96" s="245"/>
      <c r="F96" s="246"/>
      <c r="G96" s="370" t="s">
        <v>463</v>
      </c>
      <c r="H96" s="312"/>
      <c r="I96" s="313"/>
      <c r="J96" s="323">
        <v>99.51</v>
      </c>
      <c r="K96" s="324">
        <v>5.7477657878147374E-4</v>
      </c>
      <c r="L96" s="325">
        <v>51.700000000000166</v>
      </c>
      <c r="M96" s="333">
        <f t="shared" si="9"/>
        <v>5144.6670000000167</v>
      </c>
      <c r="N96" s="325"/>
      <c r="O96" s="786" t="s">
        <v>773</v>
      </c>
      <c r="P96" s="787"/>
      <c r="R96" s="440"/>
      <c r="S96" s="441"/>
      <c r="T96" s="350"/>
    </row>
    <row r="97" spans="1:20" s="305" customFormat="1" ht="60" customHeight="1" thickBot="1">
      <c r="A97" s="748"/>
      <c r="B97" s="782"/>
      <c r="C97" s="286">
        <v>5</v>
      </c>
      <c r="D97" s="244" t="s">
        <v>363</v>
      </c>
      <c r="E97" s="252"/>
      <c r="F97" s="253"/>
      <c r="G97" s="313" t="s">
        <v>756</v>
      </c>
      <c r="H97" s="312"/>
      <c r="I97" s="313"/>
      <c r="J97" s="327">
        <v>370.51</v>
      </c>
      <c r="K97" s="255">
        <v>1.1937490956446246E-3</v>
      </c>
      <c r="L97" s="328">
        <v>13.190000000000023</v>
      </c>
      <c r="M97" s="333">
        <f t="shared" si="9"/>
        <v>4887.026900000008</v>
      </c>
      <c r="N97" s="325"/>
      <c r="O97" s="786" t="s">
        <v>774</v>
      </c>
      <c r="P97" s="787"/>
      <c r="R97" s="443"/>
      <c r="S97" s="442"/>
      <c r="T97" s="296"/>
    </row>
    <row r="98" spans="1:20" ht="15.75" customHeight="1" thickTop="1" thickBot="1">
      <c r="A98" s="749"/>
      <c r="B98" s="783"/>
      <c r="C98" s="790"/>
      <c r="D98" s="791"/>
      <c r="E98" s="791"/>
      <c r="F98" s="791"/>
      <c r="G98" s="791"/>
      <c r="H98" s="791"/>
      <c r="I98" s="792"/>
      <c r="J98" s="363" t="s">
        <v>58</v>
      </c>
      <c r="K98" s="361">
        <f>M98/'生產管理報表 7-1 (週)'!$B$43</f>
        <v>0.1658751610683534</v>
      </c>
      <c r="L98" s="364" t="s">
        <v>59</v>
      </c>
      <c r="M98" s="365">
        <f>SUM(M93:M97)</f>
        <v>26941.498300000007</v>
      </c>
      <c r="N98" s="734"/>
      <c r="O98" s="735"/>
      <c r="P98" s="736"/>
      <c r="R98" s="354"/>
      <c r="S98" s="354"/>
    </row>
    <row r="99" spans="1:20" ht="15.75" customHeight="1" thickTop="1">
      <c r="M99" s="340"/>
      <c r="S99" s="355"/>
    </row>
    <row r="100" spans="1:20" ht="15.75" customHeight="1">
      <c r="A100" s="737" t="s">
        <v>193</v>
      </c>
      <c r="B100" s="738"/>
      <c r="C100" s="282" t="s">
        <v>47</v>
      </c>
      <c r="D100" s="765" t="s">
        <v>12</v>
      </c>
      <c r="E100" s="766"/>
      <c r="F100" s="767"/>
      <c r="G100" s="768" t="s">
        <v>53</v>
      </c>
      <c r="H100" s="769"/>
      <c r="I100" s="770"/>
      <c r="J100" s="418" t="s">
        <v>54</v>
      </c>
      <c r="K100" s="283" t="s">
        <v>55</v>
      </c>
      <c r="L100" s="283" t="s">
        <v>56</v>
      </c>
      <c r="M100" s="341" t="s">
        <v>11</v>
      </c>
      <c r="N100" s="284" t="s">
        <v>335</v>
      </c>
      <c r="O100" s="745" t="s">
        <v>51</v>
      </c>
      <c r="P100" s="746"/>
      <c r="S100" s="354"/>
      <c r="T100" s="350"/>
    </row>
    <row r="101" spans="1:20" s="305" customFormat="1" ht="60" customHeight="1">
      <c r="A101" s="747">
        <v>5</v>
      </c>
      <c r="B101" s="760" t="s">
        <v>217</v>
      </c>
      <c r="C101" s="286">
        <v>1</v>
      </c>
      <c r="D101" s="244" t="s">
        <v>344</v>
      </c>
      <c r="E101" s="245"/>
      <c r="F101" s="246"/>
      <c r="G101" s="313" t="s">
        <v>339</v>
      </c>
      <c r="H101" s="312"/>
      <c r="I101" s="313"/>
      <c r="J101" s="323">
        <v>147.43000000000004</v>
      </c>
      <c r="K101" s="324">
        <v>0</v>
      </c>
      <c r="L101" s="325">
        <v>114.6599999999994</v>
      </c>
      <c r="M101" s="333">
        <f>L101*J101</f>
        <v>16904.323799999915</v>
      </c>
      <c r="N101" s="325"/>
      <c r="O101" s="826" t="s">
        <v>746</v>
      </c>
      <c r="P101" s="827"/>
      <c r="S101" s="442"/>
      <c r="T101" s="350"/>
    </row>
    <row r="102" spans="1:20" s="305" customFormat="1" ht="25" customHeight="1">
      <c r="A102" s="748"/>
      <c r="B102" s="761"/>
      <c r="C102" s="286">
        <v>2</v>
      </c>
      <c r="D102" s="244"/>
      <c r="E102" s="245"/>
      <c r="F102" s="246"/>
      <c r="G102" s="370"/>
      <c r="H102" s="312"/>
      <c r="I102" s="313"/>
      <c r="J102" s="323"/>
      <c r="K102" s="324"/>
      <c r="L102" s="325"/>
      <c r="M102" s="333">
        <f t="shared" ref="M102:M105" si="10">L102*J102</f>
        <v>0</v>
      </c>
      <c r="N102" s="325"/>
      <c r="O102" s="773"/>
      <c r="P102" s="774"/>
      <c r="S102" s="354"/>
      <c r="T102" s="351"/>
    </row>
    <row r="103" spans="1:20" ht="25" customHeight="1">
      <c r="A103" s="748"/>
      <c r="B103" s="761"/>
      <c r="C103" s="286">
        <v>3</v>
      </c>
      <c r="D103" s="244"/>
      <c r="E103" s="245"/>
      <c r="F103" s="246"/>
      <c r="G103" s="370"/>
      <c r="H103" s="312"/>
      <c r="I103" s="313"/>
      <c r="J103" s="323"/>
      <c r="K103" s="324"/>
      <c r="L103" s="325"/>
      <c r="M103" s="333">
        <f t="shared" si="10"/>
        <v>0</v>
      </c>
      <c r="N103" s="295"/>
      <c r="O103" s="755"/>
      <c r="P103" s="756"/>
    </row>
    <row r="104" spans="1:20" ht="25" customHeight="1">
      <c r="A104" s="748"/>
      <c r="B104" s="761"/>
      <c r="C104" s="286">
        <v>4</v>
      </c>
      <c r="D104" s="287"/>
      <c r="E104" s="288"/>
      <c r="F104" s="289"/>
      <c r="G104" s="370"/>
      <c r="H104" s="312"/>
      <c r="I104" s="313"/>
      <c r="J104" s="293"/>
      <c r="K104" s="294"/>
      <c r="L104" s="295"/>
      <c r="M104" s="333">
        <f t="shared" si="10"/>
        <v>0</v>
      </c>
      <c r="N104" s="295"/>
      <c r="O104" s="306"/>
      <c r="P104" s="307"/>
    </row>
    <row r="105" spans="1:20" ht="25" customHeight="1" thickBot="1">
      <c r="A105" s="748"/>
      <c r="B105" s="761"/>
      <c r="C105" s="286">
        <v>5</v>
      </c>
      <c r="D105" s="297"/>
      <c r="E105" s="298"/>
      <c r="F105" s="299"/>
      <c r="G105" s="370"/>
      <c r="H105" s="312"/>
      <c r="I105" s="313"/>
      <c r="J105" s="300"/>
      <c r="K105" s="255"/>
      <c r="L105" s="301"/>
      <c r="M105" s="333">
        <f t="shared" si="10"/>
        <v>0</v>
      </c>
      <c r="N105" s="295"/>
      <c r="O105" s="308"/>
      <c r="P105" s="309"/>
      <c r="R105" s="358"/>
    </row>
    <row r="106" spans="1:20" ht="15.75" customHeight="1" thickTop="1" thickBot="1">
      <c r="A106" s="749"/>
      <c r="B106" s="762"/>
      <c r="C106" s="757"/>
      <c r="D106" s="758"/>
      <c r="E106" s="758"/>
      <c r="F106" s="758"/>
      <c r="G106" s="758"/>
      <c r="H106" s="758"/>
      <c r="I106" s="759"/>
      <c r="J106" s="363" t="s">
        <v>58</v>
      </c>
      <c r="K106" s="361">
        <f>M106/'生產管理報表 7-1 (週)'!$B$43</f>
        <v>0.1040776352470562</v>
      </c>
      <c r="L106" s="364" t="s">
        <v>59</v>
      </c>
      <c r="M106" s="365">
        <f>SUM(M101:M105)</f>
        <v>16904.323799999915</v>
      </c>
      <c r="N106" s="734"/>
      <c r="O106" s="735"/>
      <c r="P106" s="736"/>
      <c r="R106" s="354"/>
    </row>
    <row r="107" spans="1:20" ht="15.75" customHeight="1" thickTop="1">
      <c r="K107" s="296" t="s">
        <v>509</v>
      </c>
      <c r="M107" s="340"/>
      <c r="R107" s="354"/>
    </row>
    <row r="108" spans="1:20" ht="25" customHeight="1">
      <c r="A108" s="737" t="s">
        <v>193</v>
      </c>
      <c r="B108" s="738"/>
      <c r="C108" s="310" t="s">
        <v>47</v>
      </c>
      <c r="D108" s="739" t="s">
        <v>12</v>
      </c>
      <c r="E108" s="740"/>
      <c r="F108" s="741"/>
      <c r="G108" s="742" t="s">
        <v>53</v>
      </c>
      <c r="H108" s="743"/>
      <c r="I108" s="744"/>
      <c r="J108" s="311" t="s">
        <v>54</v>
      </c>
      <c r="K108" s="283" t="s">
        <v>55</v>
      </c>
      <c r="L108" s="283" t="s">
        <v>56</v>
      </c>
      <c r="M108" s="341" t="s">
        <v>11</v>
      </c>
      <c r="N108" s="284" t="s">
        <v>335</v>
      </c>
      <c r="O108" s="745" t="s">
        <v>51</v>
      </c>
      <c r="P108" s="746"/>
      <c r="R108" s="354"/>
    </row>
    <row r="109" spans="1:20" ht="55" customHeight="1">
      <c r="A109" s="747">
        <v>6</v>
      </c>
      <c r="B109" s="760" t="s">
        <v>218</v>
      </c>
      <c r="C109" s="286">
        <v>1</v>
      </c>
      <c r="D109" s="359" t="s">
        <v>346</v>
      </c>
      <c r="E109" s="288"/>
      <c r="F109" s="289"/>
      <c r="G109" s="313" t="s">
        <v>523</v>
      </c>
      <c r="H109" s="312"/>
      <c r="I109" s="313"/>
      <c r="J109" s="323">
        <v>605.77999999999986</v>
      </c>
      <c r="K109" s="324">
        <v>5.2907136952328468E-4</v>
      </c>
      <c r="L109" s="325">
        <v>6.1200000000000223</v>
      </c>
      <c r="M109" s="333">
        <f t="shared" ref="M109:M113" si="11">L109*J109</f>
        <v>3707.3736000000126</v>
      </c>
      <c r="N109" s="295"/>
      <c r="O109" s="788" t="s">
        <v>536</v>
      </c>
      <c r="P109" s="789"/>
      <c r="R109" s="351"/>
      <c r="S109" s="351"/>
    </row>
    <row r="110" spans="1:20" ht="55" customHeight="1">
      <c r="A110" s="748"/>
      <c r="B110" s="761"/>
      <c r="C110" s="286">
        <v>2</v>
      </c>
      <c r="D110" s="244" t="s">
        <v>344</v>
      </c>
      <c r="E110" s="288"/>
      <c r="F110" s="289"/>
      <c r="G110" s="313" t="s">
        <v>512</v>
      </c>
      <c r="H110" s="312"/>
      <c r="I110" s="313"/>
      <c r="J110" s="323">
        <v>3.22</v>
      </c>
      <c r="K110" s="324">
        <v>0</v>
      </c>
      <c r="L110" s="325">
        <v>974</v>
      </c>
      <c r="M110" s="333">
        <f t="shared" si="11"/>
        <v>3136.28</v>
      </c>
      <c r="N110" s="295"/>
      <c r="O110" s="788" t="s">
        <v>541</v>
      </c>
      <c r="P110" s="789"/>
      <c r="R110" s="351"/>
      <c r="S110" s="351"/>
    </row>
    <row r="111" spans="1:20" ht="55" customHeight="1">
      <c r="A111" s="748"/>
      <c r="B111" s="761"/>
      <c r="C111" s="286">
        <v>3</v>
      </c>
      <c r="D111" s="244"/>
      <c r="E111" s="288"/>
      <c r="F111" s="289"/>
      <c r="G111" s="370"/>
      <c r="H111" s="312"/>
      <c r="I111" s="313"/>
      <c r="J111" s="323"/>
      <c r="K111" s="324"/>
      <c r="L111" s="325"/>
      <c r="M111" s="333">
        <f t="shared" si="11"/>
        <v>0</v>
      </c>
      <c r="N111" s="295"/>
      <c r="O111" s="788"/>
      <c r="P111" s="789"/>
      <c r="R111" s="351"/>
    </row>
    <row r="112" spans="1:20" ht="55" customHeight="1">
      <c r="A112" s="748"/>
      <c r="B112" s="761"/>
      <c r="C112" s="286">
        <v>4</v>
      </c>
      <c r="D112" s="244"/>
      <c r="E112" s="288"/>
      <c r="F112" s="289"/>
      <c r="G112" s="313"/>
      <c r="H112" s="312"/>
      <c r="I112" s="313"/>
      <c r="J112" s="323"/>
      <c r="K112" s="324"/>
      <c r="L112" s="325"/>
      <c r="M112" s="333">
        <f t="shared" si="11"/>
        <v>0</v>
      </c>
      <c r="N112" s="295"/>
      <c r="O112" s="788"/>
      <c r="P112" s="789"/>
      <c r="R112" s="351"/>
      <c r="S112" s="351"/>
    </row>
    <row r="113" spans="1:20" ht="55" customHeight="1" thickBot="1">
      <c r="A113" s="748"/>
      <c r="B113" s="761"/>
      <c r="C113" s="286">
        <v>5</v>
      </c>
      <c r="D113" s="251"/>
      <c r="E113" s="298"/>
      <c r="F113" s="299"/>
      <c r="G113" s="313"/>
      <c r="H113" s="312"/>
      <c r="I113" s="313"/>
      <c r="J113" s="327"/>
      <c r="K113" s="255"/>
      <c r="L113" s="328"/>
      <c r="M113" s="333">
        <f t="shared" si="11"/>
        <v>0</v>
      </c>
      <c r="N113" s="295"/>
      <c r="O113" s="788"/>
      <c r="P113" s="789"/>
    </row>
    <row r="114" spans="1:20" ht="15.75" customHeight="1" thickTop="1" thickBot="1">
      <c r="A114" s="749"/>
      <c r="B114" s="762"/>
      <c r="C114" s="757"/>
      <c r="D114" s="758"/>
      <c r="E114" s="758"/>
      <c r="F114" s="758"/>
      <c r="G114" s="758"/>
      <c r="H114" s="758"/>
      <c r="I114" s="759"/>
      <c r="J114" s="363" t="s">
        <v>58</v>
      </c>
      <c r="K114" s="361">
        <f>M114/'生產管理報表 7-1 (週)'!$B$43</f>
        <v>4.2135449578764458E-2</v>
      </c>
      <c r="L114" s="364" t="s">
        <v>59</v>
      </c>
      <c r="M114" s="365">
        <f>SUM(M109:M113)</f>
        <v>6843.6536000000124</v>
      </c>
      <c r="N114" s="734"/>
      <c r="O114" s="735"/>
      <c r="P114" s="736"/>
    </row>
    <row r="115" spans="1:20" s="136" customFormat="1" ht="15.75" customHeight="1" thickTop="1">
      <c r="A115" s="704" t="s">
        <v>769</v>
      </c>
      <c r="B115" s="704"/>
      <c r="C115" s="704"/>
      <c r="D115" s="704"/>
      <c r="E115" s="704"/>
      <c r="F115" s="704"/>
      <c r="G115" s="704"/>
      <c r="H115" s="704"/>
      <c r="I115" s="704"/>
      <c r="J115" s="704"/>
      <c r="K115" s="704"/>
      <c r="L115" s="704"/>
      <c r="M115" s="704"/>
    </row>
    <row r="116" spans="1:20" s="137" customFormat="1" ht="15.75" customHeight="1">
      <c r="A116" s="799"/>
      <c r="B116" s="799"/>
      <c r="C116" s="799"/>
      <c r="D116" s="799"/>
      <c r="E116" s="799"/>
      <c r="F116" s="799"/>
      <c r="G116" s="799"/>
      <c r="H116" s="799"/>
      <c r="I116" s="799"/>
      <c r="J116" s="799"/>
      <c r="K116" s="799"/>
      <c r="L116" s="799"/>
      <c r="M116" s="799"/>
    </row>
    <row r="117" spans="1:20" s="136" customFormat="1" ht="15.75" customHeight="1">
      <c r="A117" s="800" t="s">
        <v>193</v>
      </c>
      <c r="B117" s="802">
        <v>1</v>
      </c>
      <c r="C117" s="803"/>
      <c r="D117" s="802">
        <v>2</v>
      </c>
      <c r="E117" s="803"/>
      <c r="F117" s="802">
        <v>3</v>
      </c>
      <c r="G117" s="803"/>
      <c r="H117" s="793">
        <v>4</v>
      </c>
      <c r="I117" s="794"/>
      <c r="J117" s="793">
        <v>5</v>
      </c>
      <c r="K117" s="794"/>
      <c r="L117" s="793">
        <v>6</v>
      </c>
      <c r="M117" s="794"/>
      <c r="N117" s="793">
        <v>7</v>
      </c>
      <c r="O117" s="794"/>
      <c r="P117" s="338">
        <v>8</v>
      </c>
    </row>
    <row r="118" spans="1:20" s="136" customFormat="1" ht="15.75" customHeight="1">
      <c r="A118" s="801"/>
      <c r="B118" s="797" t="s">
        <v>500</v>
      </c>
      <c r="C118" s="798"/>
      <c r="D118" s="797" t="s">
        <v>214</v>
      </c>
      <c r="E118" s="798"/>
      <c r="F118" s="797" t="s">
        <v>168</v>
      </c>
      <c r="G118" s="798"/>
      <c r="H118" s="795" t="s">
        <v>465</v>
      </c>
      <c r="I118" s="796"/>
      <c r="J118" s="795" t="s">
        <v>191</v>
      </c>
      <c r="K118" s="796"/>
      <c r="L118" s="795" t="s">
        <v>169</v>
      </c>
      <c r="M118" s="796"/>
      <c r="N118" s="795" t="s">
        <v>192</v>
      </c>
      <c r="O118" s="796"/>
      <c r="P118" s="339" t="s">
        <v>219</v>
      </c>
    </row>
    <row r="119" spans="1:20" s="136" customFormat="1" ht="15.75" customHeight="1">
      <c r="B119" s="239"/>
      <c r="C119" s="240"/>
    </row>
    <row r="120" spans="1:20" s="285" customFormat="1" ht="15.75" customHeight="1">
      <c r="A120" s="737" t="s">
        <v>193</v>
      </c>
      <c r="B120" s="738"/>
      <c r="C120" s="282" t="s">
        <v>47</v>
      </c>
      <c r="D120" s="765" t="s">
        <v>12</v>
      </c>
      <c r="E120" s="766"/>
      <c r="F120" s="767"/>
      <c r="G120" s="768" t="s">
        <v>53</v>
      </c>
      <c r="H120" s="769"/>
      <c r="I120" s="770"/>
      <c r="J120" s="283" t="s">
        <v>54</v>
      </c>
      <c r="K120" s="283" t="s">
        <v>55</v>
      </c>
      <c r="L120" s="283" t="s">
        <v>56</v>
      </c>
      <c r="M120" s="284" t="s">
        <v>11</v>
      </c>
      <c r="N120" s="284" t="s">
        <v>335</v>
      </c>
      <c r="O120" s="745" t="s">
        <v>51</v>
      </c>
      <c r="P120" s="746"/>
      <c r="R120" s="354"/>
      <c r="S120" s="355"/>
    </row>
    <row r="121" spans="1:20" s="305" customFormat="1" ht="60" customHeight="1">
      <c r="A121" s="747">
        <v>4</v>
      </c>
      <c r="B121" s="781" t="s">
        <v>465</v>
      </c>
      <c r="C121" s="286">
        <v>1</v>
      </c>
      <c r="D121" s="244" t="s">
        <v>344</v>
      </c>
      <c r="E121" s="245"/>
      <c r="F121" s="246"/>
      <c r="G121" s="370" t="s">
        <v>400</v>
      </c>
      <c r="H121" s="312"/>
      <c r="I121" s="313"/>
      <c r="J121" s="323">
        <v>127.84000000000002</v>
      </c>
      <c r="K121" s="324">
        <v>6.8365838482238757E-4</v>
      </c>
      <c r="L121" s="325">
        <v>70.279999999999561</v>
      </c>
      <c r="M121" s="333">
        <f t="shared" ref="M121:M125" si="12">L121*J121</f>
        <v>8984.5951999999452</v>
      </c>
      <c r="N121" s="325"/>
      <c r="O121" s="777" t="s">
        <v>688</v>
      </c>
      <c r="P121" s="778"/>
      <c r="R121" s="440"/>
      <c r="S121" s="355"/>
    </row>
    <row r="122" spans="1:20" s="305" customFormat="1" ht="60" customHeight="1">
      <c r="A122" s="748"/>
      <c r="B122" s="782"/>
      <c r="C122" s="286">
        <v>2</v>
      </c>
      <c r="D122" s="244" t="s">
        <v>610</v>
      </c>
      <c r="E122" s="245"/>
      <c r="F122" s="246"/>
      <c r="G122" s="370" t="s">
        <v>658</v>
      </c>
      <c r="H122" s="312"/>
      <c r="I122" s="313"/>
      <c r="J122" s="323">
        <v>118.30999999999997</v>
      </c>
      <c r="K122" s="324">
        <v>6.3724790472888932E-4</v>
      </c>
      <c r="L122" s="325">
        <v>50.790000000000191</v>
      </c>
      <c r="M122" s="333">
        <f t="shared" si="12"/>
        <v>6008.9649000000209</v>
      </c>
      <c r="N122" s="325"/>
      <c r="O122" s="777" t="s">
        <v>690</v>
      </c>
      <c r="P122" s="778"/>
      <c r="R122" s="440"/>
      <c r="S122" s="441"/>
      <c r="T122" s="350"/>
    </row>
    <row r="123" spans="1:20" s="305" customFormat="1" ht="60" customHeight="1">
      <c r="A123" s="748"/>
      <c r="B123" s="782"/>
      <c r="C123" s="286">
        <v>3</v>
      </c>
      <c r="D123" s="244" t="s">
        <v>611</v>
      </c>
      <c r="E123" s="245"/>
      <c r="F123" s="246"/>
      <c r="G123" s="370" t="s">
        <v>657</v>
      </c>
      <c r="H123" s="312"/>
      <c r="I123" s="313"/>
      <c r="J123" s="323">
        <v>84.3</v>
      </c>
      <c r="K123" s="324">
        <v>1.3992016824756425E-3</v>
      </c>
      <c r="L123" s="325">
        <v>68.170000000000286</v>
      </c>
      <c r="M123" s="333">
        <f t="shared" si="12"/>
        <v>5746.7310000000243</v>
      </c>
      <c r="N123" s="325"/>
      <c r="O123" s="786" t="s">
        <v>535</v>
      </c>
      <c r="P123" s="787"/>
      <c r="R123" s="440"/>
      <c r="S123" s="442"/>
    </row>
    <row r="124" spans="1:20" s="305" customFormat="1" ht="60" customHeight="1">
      <c r="A124" s="748"/>
      <c r="B124" s="782"/>
      <c r="C124" s="286">
        <v>4</v>
      </c>
      <c r="D124" s="244" t="s">
        <v>363</v>
      </c>
      <c r="E124" s="245"/>
      <c r="F124" s="246"/>
      <c r="G124" s="370" t="s">
        <v>781</v>
      </c>
      <c r="H124" s="312"/>
      <c r="I124" s="313"/>
      <c r="J124" s="323">
        <v>122.06999999999996</v>
      </c>
      <c r="K124" s="324">
        <v>3.7686606117548808E-3</v>
      </c>
      <c r="L124" s="325">
        <v>41.410000000000096</v>
      </c>
      <c r="M124" s="333">
        <f t="shared" si="12"/>
        <v>5054.9187000000102</v>
      </c>
      <c r="N124" s="325"/>
      <c r="O124" s="786" t="s">
        <v>688</v>
      </c>
      <c r="P124" s="787"/>
      <c r="R124" s="440"/>
      <c r="S124" s="441"/>
      <c r="T124" s="350"/>
    </row>
    <row r="125" spans="1:20" s="305" customFormat="1" ht="60" customHeight="1" thickBot="1">
      <c r="A125" s="748"/>
      <c r="B125" s="782"/>
      <c r="C125" s="286">
        <v>5</v>
      </c>
      <c r="D125" s="244" t="s">
        <v>363</v>
      </c>
      <c r="E125" s="252"/>
      <c r="F125" s="253"/>
      <c r="G125" s="370" t="s">
        <v>756</v>
      </c>
      <c r="H125" s="312"/>
      <c r="I125" s="313"/>
      <c r="J125" s="327">
        <v>370.51</v>
      </c>
      <c r="K125" s="255">
        <v>6.2637018477920453E-4</v>
      </c>
      <c r="L125" s="328">
        <v>12.569999999999913</v>
      </c>
      <c r="M125" s="333">
        <f t="shared" si="12"/>
        <v>4657.3106999999682</v>
      </c>
      <c r="N125" s="325"/>
      <c r="O125" s="786" t="s">
        <v>774</v>
      </c>
      <c r="P125" s="787"/>
      <c r="R125" s="443"/>
      <c r="S125" s="442"/>
      <c r="T125" s="296"/>
    </row>
    <row r="126" spans="1:20" ht="15.75" customHeight="1" thickTop="1" thickBot="1">
      <c r="A126" s="749"/>
      <c r="B126" s="783"/>
      <c r="C126" s="790"/>
      <c r="D126" s="791"/>
      <c r="E126" s="791"/>
      <c r="F126" s="791"/>
      <c r="G126" s="791"/>
      <c r="H126" s="791"/>
      <c r="I126" s="792"/>
      <c r="J126" s="363" t="s">
        <v>58</v>
      </c>
      <c r="K126" s="361">
        <f>M126/'生產管理報表 7-1 (週)'!$B$54</f>
        <v>0.20853628314647035</v>
      </c>
      <c r="L126" s="364" t="s">
        <v>59</v>
      </c>
      <c r="M126" s="365">
        <f>SUM(M121:M125)</f>
        <v>30452.52049999997</v>
      </c>
      <c r="N126" s="734"/>
      <c r="O126" s="735"/>
      <c r="P126" s="736"/>
      <c r="R126" s="354"/>
      <c r="S126" s="354"/>
    </row>
    <row r="127" spans="1:20" ht="15.75" customHeight="1" thickTop="1">
      <c r="M127" s="340"/>
      <c r="S127" s="355"/>
    </row>
    <row r="128" spans="1:20" ht="15.75" customHeight="1">
      <c r="A128" s="737" t="s">
        <v>193</v>
      </c>
      <c r="B128" s="738"/>
      <c r="C128" s="282" t="s">
        <v>47</v>
      </c>
      <c r="D128" s="765" t="s">
        <v>12</v>
      </c>
      <c r="E128" s="766"/>
      <c r="F128" s="767"/>
      <c r="G128" s="768" t="s">
        <v>53</v>
      </c>
      <c r="H128" s="769"/>
      <c r="I128" s="770"/>
      <c r="J128" s="418" t="s">
        <v>54</v>
      </c>
      <c r="K128" s="283" t="s">
        <v>55</v>
      </c>
      <c r="L128" s="283" t="s">
        <v>56</v>
      </c>
      <c r="M128" s="341" t="s">
        <v>11</v>
      </c>
      <c r="N128" s="284" t="s">
        <v>335</v>
      </c>
      <c r="O128" s="745" t="s">
        <v>51</v>
      </c>
      <c r="P128" s="746"/>
      <c r="S128" s="354"/>
      <c r="T128" s="350"/>
    </row>
    <row r="129" spans="1:20" s="305" customFormat="1" ht="60" customHeight="1">
      <c r="A129" s="747">
        <v>5</v>
      </c>
      <c r="B129" s="760" t="s">
        <v>217</v>
      </c>
      <c r="C129" s="286">
        <v>1</v>
      </c>
      <c r="D129" s="244" t="s">
        <v>344</v>
      </c>
      <c r="E129" s="245"/>
      <c r="F129" s="246"/>
      <c r="G129" s="313" t="s">
        <v>339</v>
      </c>
      <c r="H129" s="312"/>
      <c r="I129" s="313"/>
      <c r="J129" s="323">
        <v>147.43000000000004</v>
      </c>
      <c r="K129" s="324">
        <v>0</v>
      </c>
      <c r="L129" s="325">
        <v>136.9399999999996</v>
      </c>
      <c r="M129" s="333">
        <f>L129*J129</f>
        <v>20189.064199999946</v>
      </c>
      <c r="N129" s="325"/>
      <c r="O129" s="826" t="s">
        <v>792</v>
      </c>
      <c r="P129" s="827"/>
      <c r="S129" s="442"/>
      <c r="T129" s="350"/>
    </row>
    <row r="130" spans="1:20" s="305" customFormat="1" ht="25" customHeight="1">
      <c r="A130" s="748"/>
      <c r="B130" s="761"/>
      <c r="C130" s="286">
        <v>2</v>
      </c>
      <c r="D130" s="244"/>
      <c r="E130" s="245"/>
      <c r="F130" s="246"/>
      <c r="G130" s="370"/>
      <c r="H130" s="312"/>
      <c r="I130" s="313"/>
      <c r="J130" s="323"/>
      <c r="K130" s="324"/>
      <c r="L130" s="325"/>
      <c r="M130" s="333">
        <f t="shared" ref="M130:M133" si="13">L130*J130</f>
        <v>0</v>
      </c>
      <c r="N130" s="325"/>
      <c r="O130" s="773"/>
      <c r="P130" s="774"/>
      <c r="S130" s="354"/>
      <c r="T130" s="351"/>
    </row>
    <row r="131" spans="1:20" ht="25" customHeight="1">
      <c r="A131" s="748"/>
      <c r="B131" s="761"/>
      <c r="C131" s="286">
        <v>3</v>
      </c>
      <c r="D131" s="244"/>
      <c r="E131" s="245"/>
      <c r="F131" s="246"/>
      <c r="G131" s="370"/>
      <c r="H131" s="312"/>
      <c r="I131" s="313"/>
      <c r="J131" s="323"/>
      <c r="K131" s="324"/>
      <c r="L131" s="325"/>
      <c r="M131" s="333">
        <f t="shared" si="13"/>
        <v>0</v>
      </c>
      <c r="N131" s="295"/>
      <c r="O131" s="755"/>
      <c r="P131" s="756"/>
    </row>
    <row r="132" spans="1:20" ht="25" customHeight="1">
      <c r="A132" s="748"/>
      <c r="B132" s="761"/>
      <c r="C132" s="286">
        <v>4</v>
      </c>
      <c r="D132" s="287"/>
      <c r="E132" s="288"/>
      <c r="F132" s="289"/>
      <c r="G132" s="370"/>
      <c r="H132" s="312"/>
      <c r="I132" s="313"/>
      <c r="J132" s="293"/>
      <c r="K132" s="294"/>
      <c r="L132" s="295"/>
      <c r="M132" s="333">
        <f t="shared" si="13"/>
        <v>0</v>
      </c>
      <c r="N132" s="295"/>
      <c r="O132" s="306"/>
      <c r="P132" s="307"/>
    </row>
    <row r="133" spans="1:20" ht="25" customHeight="1" thickBot="1">
      <c r="A133" s="748"/>
      <c r="B133" s="761"/>
      <c r="C133" s="286">
        <v>5</v>
      </c>
      <c r="D133" s="297"/>
      <c r="E133" s="298"/>
      <c r="F133" s="299"/>
      <c r="G133" s="370"/>
      <c r="H133" s="312"/>
      <c r="I133" s="313"/>
      <c r="J133" s="300"/>
      <c r="K133" s="255"/>
      <c r="L133" s="301"/>
      <c r="M133" s="333">
        <f t="shared" si="13"/>
        <v>0</v>
      </c>
      <c r="N133" s="295"/>
      <c r="O133" s="308"/>
      <c r="P133" s="309"/>
      <c r="R133" s="358"/>
    </row>
    <row r="134" spans="1:20" ht="15.75" customHeight="1" thickTop="1" thickBot="1">
      <c r="A134" s="749"/>
      <c r="B134" s="762"/>
      <c r="C134" s="757"/>
      <c r="D134" s="758"/>
      <c r="E134" s="758"/>
      <c r="F134" s="758"/>
      <c r="G134" s="758"/>
      <c r="H134" s="758"/>
      <c r="I134" s="759"/>
      <c r="J134" s="363" t="s">
        <v>58</v>
      </c>
      <c r="K134" s="361">
        <f>M134/'生產管理報表 7-1 (週)'!$B$54</f>
        <v>0.13825300301410062</v>
      </c>
      <c r="L134" s="364" t="s">
        <v>59</v>
      </c>
      <c r="M134" s="365">
        <f>SUM(M129:M133)</f>
        <v>20189.064199999946</v>
      </c>
      <c r="N134" s="734"/>
      <c r="O134" s="735"/>
      <c r="P134" s="736"/>
      <c r="R134" s="354"/>
    </row>
    <row r="135" spans="1:20" ht="15.75" customHeight="1" thickTop="1">
      <c r="K135" s="296" t="s">
        <v>509</v>
      </c>
      <c r="M135" s="340"/>
      <c r="R135" s="354"/>
    </row>
    <row r="136" spans="1:20" ht="25" customHeight="1">
      <c r="A136" s="737" t="s">
        <v>193</v>
      </c>
      <c r="B136" s="738"/>
      <c r="C136" s="310" t="s">
        <v>47</v>
      </c>
      <c r="D136" s="739" t="s">
        <v>12</v>
      </c>
      <c r="E136" s="740"/>
      <c r="F136" s="741"/>
      <c r="G136" s="742" t="s">
        <v>53</v>
      </c>
      <c r="H136" s="743"/>
      <c r="I136" s="744"/>
      <c r="J136" s="311" t="s">
        <v>54</v>
      </c>
      <c r="K136" s="283" t="s">
        <v>55</v>
      </c>
      <c r="L136" s="283" t="s">
        <v>56</v>
      </c>
      <c r="M136" s="341" t="s">
        <v>11</v>
      </c>
      <c r="N136" s="284" t="s">
        <v>335</v>
      </c>
      <c r="O136" s="745" t="s">
        <v>51</v>
      </c>
      <c r="P136" s="746"/>
      <c r="R136" s="354"/>
    </row>
    <row r="137" spans="1:20" ht="55" customHeight="1">
      <c r="A137" s="747">
        <v>6</v>
      </c>
      <c r="B137" s="760" t="s">
        <v>218</v>
      </c>
      <c r="C137" s="286">
        <v>1</v>
      </c>
      <c r="D137" s="359" t="s">
        <v>346</v>
      </c>
      <c r="E137" s="288"/>
      <c r="F137" s="289"/>
      <c r="G137" s="313" t="s">
        <v>523</v>
      </c>
      <c r="H137" s="312"/>
      <c r="I137" s="313"/>
      <c r="J137" s="323">
        <v>605.77999999999986</v>
      </c>
      <c r="K137" s="324">
        <v>1.7541341753177377E-4</v>
      </c>
      <c r="L137" s="325">
        <v>14.18000000000009</v>
      </c>
      <c r="M137" s="333">
        <f t="shared" ref="M137:M141" si="14">L137*J137</f>
        <v>8589.9604000000527</v>
      </c>
      <c r="N137" s="295"/>
      <c r="O137" s="788" t="s">
        <v>536</v>
      </c>
      <c r="P137" s="789"/>
      <c r="R137" s="351"/>
      <c r="S137" s="351"/>
    </row>
    <row r="138" spans="1:20" ht="55" customHeight="1">
      <c r="A138" s="748"/>
      <c r="B138" s="761"/>
      <c r="C138" s="286">
        <v>2</v>
      </c>
      <c r="D138" s="244" t="s">
        <v>540</v>
      </c>
      <c r="E138" s="288"/>
      <c r="F138" s="289"/>
      <c r="G138" s="313" t="s">
        <v>538</v>
      </c>
      <c r="H138" s="312"/>
      <c r="I138" s="313"/>
      <c r="J138" s="323">
        <v>407.74</v>
      </c>
      <c r="K138" s="324">
        <v>7.7341799191225739E-4</v>
      </c>
      <c r="L138" s="325">
        <v>12.130000000000063</v>
      </c>
      <c r="M138" s="333">
        <f t="shared" si="14"/>
        <v>4945.8862000000254</v>
      </c>
      <c r="N138" s="295"/>
      <c r="O138" s="788" t="s">
        <v>687</v>
      </c>
      <c r="P138" s="789"/>
      <c r="R138" s="351"/>
      <c r="S138" s="351"/>
    </row>
    <row r="139" spans="1:20" ht="55" customHeight="1">
      <c r="A139" s="748"/>
      <c r="B139" s="761"/>
      <c r="C139" s="286">
        <v>3</v>
      </c>
      <c r="D139" s="244" t="s">
        <v>344</v>
      </c>
      <c r="E139" s="288"/>
      <c r="F139" s="289"/>
      <c r="G139" s="370" t="s">
        <v>512</v>
      </c>
      <c r="H139" s="312"/>
      <c r="I139" s="313"/>
      <c r="J139" s="323">
        <v>3.2199999999999998</v>
      </c>
      <c r="K139" s="324">
        <v>0</v>
      </c>
      <c r="L139" s="325">
        <v>1073</v>
      </c>
      <c r="M139" s="333">
        <f t="shared" si="14"/>
        <v>3455.06</v>
      </c>
      <c r="N139" s="295"/>
      <c r="O139" s="788" t="s">
        <v>541</v>
      </c>
      <c r="P139" s="789"/>
      <c r="R139" s="351"/>
    </row>
    <row r="140" spans="1:20" ht="55" customHeight="1">
      <c r="A140" s="748"/>
      <c r="B140" s="761"/>
      <c r="C140" s="286">
        <v>4</v>
      </c>
      <c r="D140" s="244" t="s">
        <v>511</v>
      </c>
      <c r="E140" s="288"/>
      <c r="F140" s="289"/>
      <c r="G140" s="370" t="s">
        <v>514</v>
      </c>
      <c r="H140" s="312"/>
      <c r="I140" s="313"/>
      <c r="J140" s="323">
        <v>327.16000000000003</v>
      </c>
      <c r="K140" s="324">
        <v>6.9029850746268667E-3</v>
      </c>
      <c r="L140" s="325">
        <v>8.8999999999999559</v>
      </c>
      <c r="M140" s="333">
        <f t="shared" si="14"/>
        <v>2911.7239999999856</v>
      </c>
      <c r="N140" s="295"/>
      <c r="O140" s="788" t="s">
        <v>793</v>
      </c>
      <c r="P140" s="789"/>
      <c r="R140" s="351"/>
      <c r="S140" s="351"/>
    </row>
    <row r="141" spans="1:20" ht="55" customHeight="1" thickBot="1">
      <c r="A141" s="748"/>
      <c r="B141" s="761"/>
      <c r="C141" s="286">
        <v>5</v>
      </c>
      <c r="D141" s="251"/>
      <c r="E141" s="298"/>
      <c r="F141" s="299"/>
      <c r="G141" s="370"/>
      <c r="H141" s="312"/>
      <c r="I141" s="313"/>
      <c r="J141" s="327"/>
      <c r="K141" s="255"/>
      <c r="L141" s="328"/>
      <c r="M141" s="333">
        <f t="shared" si="14"/>
        <v>0</v>
      </c>
      <c r="N141" s="295"/>
      <c r="O141" s="788"/>
      <c r="P141" s="789"/>
    </row>
    <row r="142" spans="1:20" ht="15.75" customHeight="1" thickTop="1" thickBot="1">
      <c r="A142" s="749"/>
      <c r="B142" s="762"/>
      <c r="C142" s="757"/>
      <c r="D142" s="758"/>
      <c r="E142" s="758"/>
      <c r="F142" s="758"/>
      <c r="G142" s="758"/>
      <c r="H142" s="758"/>
      <c r="I142" s="759"/>
      <c r="J142" s="363" t="s">
        <v>58</v>
      </c>
      <c r="K142" s="361">
        <f>M142/'生產管理報表 7-1 (週)'!$B$54</f>
        <v>0.13629152996255997</v>
      </c>
      <c r="L142" s="364" t="s">
        <v>59</v>
      </c>
      <c r="M142" s="365">
        <f>SUM(M137:M141)</f>
        <v>19902.630600000062</v>
      </c>
      <c r="N142" s="734"/>
      <c r="O142" s="735"/>
      <c r="P142" s="736"/>
    </row>
    <row r="143" spans="1:20" ht="15.75" customHeight="1" thickTop="1"/>
  </sheetData>
  <mergeCells count="266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N61:O61"/>
    <mergeCell ref="B62:C62"/>
    <mergeCell ref="D62:E62"/>
    <mergeCell ref="F62:G62"/>
    <mergeCell ref="H62:I62"/>
    <mergeCell ref="J62:K62"/>
    <mergeCell ref="L62:M62"/>
    <mergeCell ref="N62:O62"/>
    <mergeCell ref="A59:M60"/>
    <mergeCell ref="A61:A62"/>
    <mergeCell ref="B61:C61"/>
    <mergeCell ref="D61:E61"/>
    <mergeCell ref="F61:G61"/>
    <mergeCell ref="H61:I61"/>
    <mergeCell ref="J61:K61"/>
    <mergeCell ref="L61:M61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3:O33"/>
    <mergeCell ref="B34:C34"/>
    <mergeCell ref="D34:E34"/>
    <mergeCell ref="F34:G34"/>
    <mergeCell ref="H34:I34"/>
    <mergeCell ref="J34:K34"/>
    <mergeCell ref="L34:M34"/>
    <mergeCell ref="N34:O34"/>
    <mergeCell ref="A31:M32"/>
    <mergeCell ref="A33:A34"/>
    <mergeCell ref="B33:C33"/>
    <mergeCell ref="D33:E33"/>
    <mergeCell ref="F33:G33"/>
    <mergeCell ref="H33:I33"/>
    <mergeCell ref="J33:K33"/>
    <mergeCell ref="L33:M3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0" max="15" man="1"/>
    <brk id="58" max="15" man="1"/>
    <brk id="86" max="15" man="1"/>
    <brk id="114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19" sqref="R19"/>
    </sheetView>
  </sheetViews>
  <sheetFormatPr defaultColWidth="12.54296875" defaultRowHeight="15.75" customHeight="1"/>
  <cols>
    <col min="1" max="1" width="5.453125" style="99" customWidth="1"/>
    <col min="2" max="2" width="7.81640625" style="133" customWidth="1"/>
    <col min="3" max="3" width="4" style="130" customWidth="1"/>
    <col min="4" max="17" width="8.54296875" style="99" customWidth="1"/>
    <col min="18" max="16384" width="12.54296875" style="99"/>
  </cols>
  <sheetData>
    <row r="1" spans="1:17" ht="15.75" customHeight="1">
      <c r="A1" s="507" t="s">
        <v>375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  <c r="Q1" s="507"/>
    </row>
    <row r="2" spans="1:17" s="100" customFormat="1" ht="15.75" customHeight="1">
      <c r="A2" s="507"/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07"/>
      <c r="Q2" s="507"/>
    </row>
    <row r="3" spans="1:17" ht="15.75" customHeight="1">
      <c r="A3" s="674" t="s">
        <v>396</v>
      </c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  <c r="M3" s="674"/>
      <c r="N3" s="674"/>
      <c r="O3" s="674"/>
      <c r="P3" s="674"/>
      <c r="Q3" s="674"/>
    </row>
    <row r="4" spans="1:17" s="100" customFormat="1" ht="15.75" customHeight="1">
      <c r="A4" s="871"/>
      <c r="B4" s="871"/>
      <c r="C4" s="871"/>
      <c r="D4" s="871"/>
      <c r="E4" s="871"/>
      <c r="F4" s="871"/>
      <c r="G4" s="871"/>
      <c r="H4" s="871"/>
      <c r="I4" s="871"/>
      <c r="J4" s="871"/>
      <c r="K4" s="871"/>
      <c r="L4" s="871"/>
      <c r="M4" s="871"/>
      <c r="N4" s="871"/>
      <c r="O4" s="871"/>
      <c r="P4" s="871"/>
      <c r="Q4" s="871"/>
    </row>
    <row r="5" spans="1:17" ht="15.75" customHeight="1">
      <c r="A5" s="540" t="s">
        <v>193</v>
      </c>
      <c r="B5" s="870">
        <v>1</v>
      </c>
      <c r="C5" s="870"/>
      <c r="D5" s="870">
        <v>2</v>
      </c>
      <c r="E5" s="870"/>
      <c r="F5" s="870">
        <v>3</v>
      </c>
      <c r="G5" s="870"/>
      <c r="H5" s="870">
        <v>4</v>
      </c>
      <c r="I5" s="870"/>
      <c r="J5" s="870">
        <v>5</v>
      </c>
      <c r="K5" s="870"/>
      <c r="L5" s="870">
        <v>6</v>
      </c>
      <c r="M5" s="870"/>
      <c r="N5" s="870">
        <v>7</v>
      </c>
      <c r="O5" s="870"/>
      <c r="P5" s="872">
        <v>8</v>
      </c>
      <c r="Q5" s="872"/>
    </row>
    <row r="6" spans="1:17" ht="15.75" customHeight="1">
      <c r="A6" s="540"/>
      <c r="B6" s="540" t="s">
        <v>253</v>
      </c>
      <c r="C6" s="540"/>
      <c r="D6" s="540" t="s">
        <v>342</v>
      </c>
      <c r="E6" s="540"/>
      <c r="F6" s="540" t="s">
        <v>168</v>
      </c>
      <c r="G6" s="540"/>
      <c r="H6" s="540" t="s">
        <v>465</v>
      </c>
      <c r="I6" s="540"/>
      <c r="J6" s="540" t="s">
        <v>191</v>
      </c>
      <c r="K6" s="540"/>
      <c r="L6" s="540" t="s">
        <v>169</v>
      </c>
      <c r="M6" s="540"/>
      <c r="N6" s="540" t="s">
        <v>192</v>
      </c>
      <c r="O6" s="540"/>
      <c r="P6" s="875" t="s">
        <v>220</v>
      </c>
      <c r="Q6" s="875"/>
    </row>
    <row r="8" spans="1:17" s="106" customFormat="1" ht="15.75" customHeight="1">
      <c r="A8" s="131" t="s">
        <v>195</v>
      </c>
      <c r="B8" s="131" t="s">
        <v>18</v>
      </c>
      <c r="C8" s="869" t="s">
        <v>12</v>
      </c>
      <c r="D8" s="869"/>
      <c r="E8" s="869"/>
      <c r="F8" s="869" t="s">
        <v>53</v>
      </c>
      <c r="G8" s="869"/>
      <c r="H8" s="869"/>
      <c r="I8" s="131" t="s">
        <v>54</v>
      </c>
      <c r="J8" s="134" t="s">
        <v>19</v>
      </c>
      <c r="K8" s="131" t="s">
        <v>57</v>
      </c>
      <c r="L8" s="131" t="s">
        <v>2</v>
      </c>
      <c r="M8" s="869" t="s">
        <v>50</v>
      </c>
      <c r="N8" s="869"/>
      <c r="O8" s="869"/>
      <c r="P8" s="869"/>
      <c r="Q8" s="869"/>
    </row>
    <row r="9" spans="1:17" ht="15.75" customHeight="1">
      <c r="A9" s="869" t="s">
        <v>194</v>
      </c>
      <c r="B9" s="129">
        <v>1</v>
      </c>
      <c r="C9" s="873"/>
      <c r="D9" s="874"/>
      <c r="E9" s="874"/>
      <c r="F9" s="873"/>
      <c r="G9" s="874"/>
      <c r="H9" s="874"/>
      <c r="I9" s="108"/>
      <c r="J9" s="118"/>
      <c r="K9" s="118"/>
      <c r="L9" s="135">
        <f t="shared" ref="L9:L13" si="0">K9-J9</f>
        <v>0</v>
      </c>
      <c r="M9" s="873"/>
      <c r="N9" s="873"/>
      <c r="O9" s="873"/>
      <c r="P9" s="873"/>
      <c r="Q9" s="873"/>
    </row>
    <row r="10" spans="1:17" ht="15.75" customHeight="1">
      <c r="A10" s="869"/>
      <c r="B10" s="129">
        <v>2</v>
      </c>
      <c r="C10" s="873"/>
      <c r="D10" s="874"/>
      <c r="E10" s="874"/>
      <c r="F10" s="873"/>
      <c r="G10" s="874"/>
      <c r="H10" s="874"/>
      <c r="I10" s="108"/>
      <c r="J10" s="118"/>
      <c r="K10" s="118"/>
      <c r="L10" s="135">
        <f t="shared" si="0"/>
        <v>0</v>
      </c>
      <c r="M10" s="873"/>
      <c r="N10" s="873"/>
      <c r="O10" s="873"/>
      <c r="P10" s="873"/>
      <c r="Q10" s="873"/>
    </row>
    <row r="11" spans="1:17" ht="15.75" customHeight="1">
      <c r="A11" s="869"/>
      <c r="B11" s="129">
        <v>3</v>
      </c>
      <c r="C11" s="873"/>
      <c r="D11" s="874"/>
      <c r="E11" s="874"/>
      <c r="F11" s="873"/>
      <c r="G11" s="874"/>
      <c r="H11" s="874"/>
      <c r="I11" s="108"/>
      <c r="J11" s="118"/>
      <c r="K11" s="118"/>
      <c r="L11" s="135">
        <f t="shared" si="0"/>
        <v>0</v>
      </c>
      <c r="M11" s="873"/>
      <c r="N11" s="873"/>
      <c r="O11" s="873"/>
      <c r="P11" s="873"/>
      <c r="Q11" s="873"/>
    </row>
    <row r="12" spans="1:17" ht="15.75" customHeight="1">
      <c r="A12" s="869"/>
      <c r="B12" s="129">
        <v>4</v>
      </c>
      <c r="C12" s="873"/>
      <c r="D12" s="874"/>
      <c r="E12" s="874"/>
      <c r="F12" s="873"/>
      <c r="G12" s="874"/>
      <c r="H12" s="874"/>
      <c r="I12" s="108"/>
      <c r="J12" s="118"/>
      <c r="K12" s="118"/>
      <c r="L12" s="135">
        <f t="shared" si="0"/>
        <v>0</v>
      </c>
      <c r="M12" s="873"/>
      <c r="N12" s="873"/>
      <c r="O12" s="873"/>
      <c r="P12" s="873"/>
      <c r="Q12" s="873"/>
    </row>
    <row r="13" spans="1:17" ht="15.75" customHeight="1">
      <c r="A13" s="869"/>
      <c r="B13" s="129">
        <v>5</v>
      </c>
      <c r="C13" s="873"/>
      <c r="D13" s="874"/>
      <c r="E13" s="874"/>
      <c r="F13" s="873"/>
      <c r="G13" s="874"/>
      <c r="H13" s="874"/>
      <c r="I13" s="108"/>
      <c r="J13" s="118"/>
      <c r="K13" s="118"/>
      <c r="L13" s="135">
        <f t="shared" si="0"/>
        <v>0</v>
      </c>
      <c r="M13" s="873"/>
      <c r="N13" s="873"/>
      <c r="O13" s="873"/>
      <c r="P13" s="873"/>
      <c r="Q13" s="873"/>
    </row>
    <row r="14" spans="1:17" ht="15.75" customHeight="1">
      <c r="A14" s="876"/>
      <c r="B14" s="876"/>
      <c r="C14" s="876"/>
      <c r="D14" s="876"/>
      <c r="E14" s="876"/>
      <c r="F14" s="876"/>
      <c r="G14" s="876"/>
      <c r="H14" s="876"/>
      <c r="I14" s="876"/>
      <c r="J14" s="876"/>
      <c r="K14" s="876"/>
      <c r="L14" s="876"/>
      <c r="M14" s="876"/>
      <c r="N14" s="876"/>
      <c r="O14" s="877"/>
    </row>
    <row r="15" spans="1:17" s="106" customFormat="1" ht="15.75" customHeight="1">
      <c r="A15" s="131" t="s">
        <v>195</v>
      </c>
      <c r="B15" s="131" t="s">
        <v>18</v>
      </c>
      <c r="C15" s="869" t="s">
        <v>12</v>
      </c>
      <c r="D15" s="869"/>
      <c r="E15" s="869"/>
      <c r="F15" s="869" t="s">
        <v>53</v>
      </c>
      <c r="G15" s="869"/>
      <c r="H15" s="869"/>
      <c r="I15" s="131" t="s">
        <v>54</v>
      </c>
      <c r="J15" s="134" t="s">
        <v>19</v>
      </c>
      <c r="K15" s="131" t="s">
        <v>57</v>
      </c>
      <c r="L15" s="131" t="s">
        <v>2</v>
      </c>
      <c r="M15" s="869" t="s">
        <v>50</v>
      </c>
      <c r="N15" s="869"/>
      <c r="O15" s="869"/>
      <c r="P15" s="869"/>
      <c r="Q15" s="869"/>
    </row>
    <row r="16" spans="1:17" ht="15.75" customHeight="1">
      <c r="A16" s="869" t="s">
        <v>196</v>
      </c>
      <c r="B16" s="129">
        <v>1</v>
      </c>
      <c r="C16" s="873"/>
      <c r="D16" s="874"/>
      <c r="E16" s="874"/>
      <c r="F16" s="873"/>
      <c r="G16" s="874"/>
      <c r="H16" s="874"/>
      <c r="I16" s="108"/>
      <c r="J16" s="118"/>
      <c r="K16" s="118"/>
      <c r="L16" s="135">
        <f t="shared" ref="L16:L19" si="1">K16-J16</f>
        <v>0</v>
      </c>
      <c r="M16" s="873"/>
      <c r="N16" s="873"/>
      <c r="O16" s="873"/>
      <c r="P16" s="873"/>
      <c r="Q16" s="873"/>
    </row>
    <row r="17" spans="1:17" ht="15.75" customHeight="1">
      <c r="A17" s="869"/>
      <c r="B17" s="129">
        <v>2</v>
      </c>
      <c r="C17" s="873"/>
      <c r="D17" s="874"/>
      <c r="E17" s="874"/>
      <c r="F17" s="873"/>
      <c r="G17" s="874"/>
      <c r="H17" s="874"/>
      <c r="I17" s="108"/>
      <c r="J17" s="118"/>
      <c r="K17" s="118"/>
      <c r="L17" s="135">
        <f t="shared" si="1"/>
        <v>0</v>
      </c>
      <c r="M17" s="873"/>
      <c r="N17" s="873"/>
      <c r="O17" s="873"/>
      <c r="P17" s="873"/>
      <c r="Q17" s="873"/>
    </row>
    <row r="18" spans="1:17" ht="15.75" customHeight="1">
      <c r="A18" s="869"/>
      <c r="B18" s="129">
        <v>3</v>
      </c>
      <c r="C18" s="873"/>
      <c r="D18" s="874"/>
      <c r="E18" s="874"/>
      <c r="F18" s="873"/>
      <c r="G18" s="874"/>
      <c r="H18" s="874"/>
      <c r="I18" s="108"/>
      <c r="J18" s="118"/>
      <c r="K18" s="118"/>
      <c r="L18" s="135">
        <f t="shared" si="1"/>
        <v>0</v>
      </c>
      <c r="M18" s="873"/>
      <c r="N18" s="873"/>
      <c r="O18" s="873"/>
      <c r="P18" s="873"/>
      <c r="Q18" s="873"/>
    </row>
    <row r="19" spans="1:17" ht="15.75" customHeight="1">
      <c r="A19" s="869"/>
      <c r="B19" s="129">
        <v>4</v>
      </c>
      <c r="C19" s="873"/>
      <c r="D19" s="874"/>
      <c r="E19" s="874"/>
      <c r="F19" s="873"/>
      <c r="G19" s="874"/>
      <c r="H19" s="874"/>
      <c r="I19" s="108"/>
      <c r="J19" s="118"/>
      <c r="K19" s="118"/>
      <c r="L19" s="135">
        <f t="shared" si="1"/>
        <v>0</v>
      </c>
      <c r="M19" s="873"/>
      <c r="N19" s="873"/>
      <c r="O19" s="873"/>
      <c r="P19" s="873"/>
      <c r="Q19" s="873"/>
    </row>
    <row r="20" spans="1:17" ht="15.75" customHeight="1">
      <c r="A20" s="869"/>
      <c r="B20" s="129">
        <v>5</v>
      </c>
      <c r="C20" s="873"/>
      <c r="D20" s="874"/>
      <c r="E20" s="874"/>
      <c r="F20" s="873"/>
      <c r="G20" s="874"/>
      <c r="H20" s="874"/>
      <c r="I20" s="108"/>
      <c r="J20" s="118"/>
      <c r="K20" s="118"/>
      <c r="L20" s="135">
        <f>K20-J20</f>
        <v>0</v>
      </c>
      <c r="M20" s="873"/>
      <c r="N20" s="873"/>
      <c r="O20" s="873"/>
      <c r="P20" s="873"/>
      <c r="Q20" s="873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>
    <tabColor rgb="FFFFFFCC"/>
  </sheetPr>
  <dimension ref="A1:AL47"/>
  <sheetViews>
    <sheetView topLeftCell="A22" zoomScale="70" zoomScaleNormal="70" workbookViewId="0">
      <selection activeCell="M32" sqref="M32:M38"/>
    </sheetView>
  </sheetViews>
  <sheetFormatPr defaultColWidth="9.1796875" defaultRowHeight="15.5"/>
  <cols>
    <col min="1" max="1" width="20.26953125" style="231" customWidth="1"/>
    <col min="2" max="2" width="22.54296875" style="231" bestFit="1" customWidth="1"/>
    <col min="3" max="4" width="15.7265625" style="231" customWidth="1"/>
    <col min="5" max="5" width="18.81640625" style="231" bestFit="1" customWidth="1"/>
    <col min="6" max="6" width="15.7265625" style="231" customWidth="1"/>
    <col min="7" max="10" width="20.26953125" style="231" customWidth="1"/>
    <col min="11" max="11" width="18.81640625" style="349" bestFit="1" customWidth="1"/>
    <col min="12" max="12" width="17.54296875" style="349" customWidth="1"/>
    <col min="13" max="13" width="18.81640625" style="231" bestFit="1" customWidth="1"/>
    <col min="14" max="14" width="15.453125" style="231" customWidth="1"/>
    <col min="15" max="15" width="9.1796875" style="231"/>
    <col min="16" max="17" width="12.453125" style="231" bestFit="1" customWidth="1"/>
    <col min="18" max="19" width="9.1796875" style="231"/>
    <col min="20" max="20" width="13.81640625" style="231" bestFit="1" customWidth="1"/>
    <col min="21" max="21" width="9.1796875" style="231"/>
    <col min="22" max="23" width="12.453125" style="231" bestFit="1" customWidth="1"/>
    <col min="24" max="25" width="9.1796875" style="231"/>
    <col min="26" max="26" width="13.81640625" style="231" bestFit="1" customWidth="1"/>
    <col min="27" max="28" width="9.1796875" style="231"/>
    <col min="29" max="29" width="12.453125" style="231" bestFit="1" customWidth="1"/>
    <col min="30" max="31" width="9.1796875" style="231"/>
    <col min="32" max="32" width="13.81640625" style="231" bestFit="1" customWidth="1"/>
    <col min="33" max="34" width="9.1796875" style="231"/>
    <col min="35" max="35" width="12.453125" style="231" bestFit="1" customWidth="1"/>
    <col min="36" max="37" width="9.1796875" style="231"/>
    <col min="38" max="38" width="13.81640625" style="231" bestFit="1" customWidth="1"/>
    <col min="39" max="16384" width="9.1796875" style="231"/>
  </cols>
  <sheetData>
    <row r="1" spans="1:38" ht="25.5">
      <c r="A1" s="880" t="s">
        <v>442</v>
      </c>
      <c r="B1" s="881"/>
      <c r="C1" s="881"/>
      <c r="D1" s="881"/>
      <c r="E1" s="881"/>
      <c r="F1" s="881"/>
      <c r="G1" s="881"/>
      <c r="H1" s="881"/>
      <c r="I1" s="881"/>
      <c r="J1" s="881"/>
      <c r="K1" s="881"/>
      <c r="L1" s="881"/>
      <c r="M1" s="881"/>
      <c r="N1" s="881"/>
    </row>
    <row r="2" spans="1:38" ht="16.5" customHeight="1">
      <c r="A2" s="883" t="s">
        <v>443</v>
      </c>
      <c r="B2" s="883" t="s">
        <v>136</v>
      </c>
      <c r="C2" s="883" t="s">
        <v>444</v>
      </c>
      <c r="D2" s="883" t="s">
        <v>445</v>
      </c>
      <c r="E2" s="883" t="s">
        <v>438</v>
      </c>
      <c r="F2" s="883" t="s">
        <v>439</v>
      </c>
      <c r="G2" s="883" t="s">
        <v>446</v>
      </c>
      <c r="H2" s="883"/>
      <c r="I2" s="883" t="s">
        <v>447</v>
      </c>
      <c r="J2" s="883"/>
      <c r="K2" s="879" t="s">
        <v>458</v>
      </c>
      <c r="L2" s="879"/>
      <c r="M2" s="882" t="s">
        <v>440</v>
      </c>
      <c r="N2" s="882" t="s">
        <v>441</v>
      </c>
    </row>
    <row r="3" spans="1:38" ht="37.5" customHeight="1">
      <c r="A3" s="883"/>
      <c r="B3" s="883"/>
      <c r="C3" s="883"/>
      <c r="D3" s="883"/>
      <c r="E3" s="883"/>
      <c r="F3" s="883"/>
      <c r="G3" s="232" t="s">
        <v>448</v>
      </c>
      <c r="H3" s="232" t="s">
        <v>449</v>
      </c>
      <c r="I3" s="232" t="s">
        <v>448</v>
      </c>
      <c r="J3" s="232" t="s">
        <v>449</v>
      </c>
      <c r="K3" s="346" t="s">
        <v>459</v>
      </c>
      <c r="L3" s="346" t="s">
        <v>460</v>
      </c>
      <c r="M3" s="882"/>
      <c r="N3" s="882"/>
      <c r="P3" s="426" t="s">
        <v>518</v>
      </c>
      <c r="Q3" s="366">
        <v>353129.03079999995</v>
      </c>
      <c r="S3" s="427" t="s">
        <v>519</v>
      </c>
      <c r="T3" s="366">
        <v>819267.9188799999</v>
      </c>
      <c r="V3" s="447" t="s">
        <v>600</v>
      </c>
      <c r="W3" s="366">
        <v>275849.81519999995</v>
      </c>
      <c r="Y3" s="427" t="s">
        <v>796</v>
      </c>
      <c r="Z3" s="366">
        <v>611955.97399999993</v>
      </c>
      <c r="AB3" s="427" t="s">
        <v>794</v>
      </c>
      <c r="AC3" s="366">
        <f>C47</f>
        <v>300999.54631999996</v>
      </c>
      <c r="AE3" s="427" t="s">
        <v>795</v>
      </c>
      <c r="AF3" s="366">
        <f>E47</f>
        <v>723832.20391999977</v>
      </c>
      <c r="AH3" s="413"/>
      <c r="AI3" s="366"/>
      <c r="AK3" s="413"/>
      <c r="AL3" s="366"/>
    </row>
    <row r="4" spans="1:38" ht="18">
      <c r="A4" s="234">
        <v>46077</v>
      </c>
      <c r="B4" s="368">
        <v>5238957.08</v>
      </c>
      <c r="C4" s="369">
        <v>12096.626799999998</v>
      </c>
      <c r="D4" s="314">
        <f t="shared" ref="D4:D45" si="0">C4/B4</f>
        <v>2.3089761216367891E-3</v>
      </c>
      <c r="E4" s="369">
        <v>26641.204400000006</v>
      </c>
      <c r="F4" s="230">
        <f t="shared" ref="F4:F45" si="1">E4/B4</f>
        <v>5.0852114253243713E-3</v>
      </c>
      <c r="G4" s="368">
        <v>2109.5826999999999</v>
      </c>
      <c r="H4" s="230">
        <f t="shared" ref="H4:H45" si="2">G4/C4</f>
        <v>0.17439429477976456</v>
      </c>
      <c r="I4" s="233">
        <v>9793.2510999999922</v>
      </c>
      <c r="J4" s="230">
        <f t="shared" ref="J4:J45" si="3">I4/E4</f>
        <v>0.36759791160192407</v>
      </c>
      <c r="K4" s="347">
        <v>1030.9449</v>
      </c>
      <c r="L4" s="348">
        <f t="shared" ref="L4:L45" si="4">K4/C4</f>
        <v>8.522581683680612E-2</v>
      </c>
      <c r="M4" s="878">
        <f>SUM(C4:C10)</f>
        <v>72103.864479999989</v>
      </c>
      <c r="N4" s="878">
        <f>SUM(E4:E10)</f>
        <v>164357.66202000002</v>
      </c>
    </row>
    <row r="5" spans="1:38" ht="18">
      <c r="A5" s="235">
        <f t="shared" ref="A5:A10" si="5">A4+1</f>
        <v>46078</v>
      </c>
      <c r="B5" s="368">
        <v>4692647.5</v>
      </c>
      <c r="C5" s="369">
        <v>10818.945299999999</v>
      </c>
      <c r="D5" s="314">
        <f t="shared" si="0"/>
        <v>2.3055099067210991E-3</v>
      </c>
      <c r="E5" s="369">
        <v>23743.868000000009</v>
      </c>
      <c r="F5" s="230">
        <f t="shared" si="1"/>
        <v>5.0598021692445493E-3</v>
      </c>
      <c r="G5" s="368">
        <v>1769.1214</v>
      </c>
      <c r="H5" s="230">
        <f t="shared" si="2"/>
        <v>0.16352068995117297</v>
      </c>
      <c r="I5" s="233">
        <v>10144.873699999998</v>
      </c>
      <c r="J5" s="230">
        <f t="shared" si="3"/>
        <v>0.42726289162321801</v>
      </c>
      <c r="K5" s="347">
        <v>1102.8848999999998</v>
      </c>
      <c r="L5" s="348">
        <f t="shared" si="4"/>
        <v>0.10194014937851657</v>
      </c>
      <c r="M5" s="878"/>
      <c r="N5" s="878"/>
    </row>
    <row r="6" spans="1:38" s="349" customFormat="1" ht="18">
      <c r="A6" s="234">
        <f t="shared" si="5"/>
        <v>46079</v>
      </c>
      <c r="B6" s="368">
        <v>3909306.83</v>
      </c>
      <c r="C6" s="369">
        <v>8990.5549999999967</v>
      </c>
      <c r="D6" s="314">
        <f t="shared" si="0"/>
        <v>2.2997823887873229E-3</v>
      </c>
      <c r="E6" s="369">
        <v>19741.525500000007</v>
      </c>
      <c r="F6" s="230">
        <f t="shared" si="1"/>
        <v>5.0498787530576118E-3</v>
      </c>
      <c r="G6" s="368">
        <v>2015.4870000000001</v>
      </c>
      <c r="H6" s="230">
        <f t="shared" si="2"/>
        <v>0.22417826263228474</v>
      </c>
      <c r="I6" s="233">
        <v>11396.703199999996</v>
      </c>
      <c r="J6" s="230">
        <f t="shared" si="3"/>
        <v>0.57729597441697156</v>
      </c>
      <c r="K6" s="347">
        <v>955.21399999999994</v>
      </c>
      <c r="L6" s="348">
        <f t="shared" si="4"/>
        <v>0.10624638857111716</v>
      </c>
      <c r="M6" s="878"/>
      <c r="N6" s="878"/>
      <c r="O6" s="231"/>
      <c r="P6" s="231"/>
      <c r="Q6" s="231"/>
      <c r="R6" s="231"/>
      <c r="S6" s="231"/>
    </row>
    <row r="7" spans="1:38" s="349" customFormat="1" ht="18">
      <c r="A7" s="234">
        <f t="shared" si="5"/>
        <v>46080</v>
      </c>
      <c r="B7" s="368">
        <v>3610052.06</v>
      </c>
      <c r="C7" s="369">
        <v>8296.0259999999998</v>
      </c>
      <c r="D7" s="314">
        <f t="shared" si="0"/>
        <v>2.29803500396058E-3</v>
      </c>
      <c r="E7" s="369">
        <v>18145.690100000007</v>
      </c>
      <c r="F7" s="230">
        <f t="shared" si="1"/>
        <v>5.0264344664325998E-3</v>
      </c>
      <c r="G7" s="368">
        <v>1977.2672</v>
      </c>
      <c r="H7" s="230">
        <f t="shared" si="2"/>
        <v>0.23833907945804414</v>
      </c>
      <c r="I7" s="233">
        <v>7518.8180999999986</v>
      </c>
      <c r="J7" s="230">
        <f t="shared" si="3"/>
        <v>0.41435834396841131</v>
      </c>
      <c r="K7" s="347">
        <v>490.67999999999995</v>
      </c>
      <c r="L7" s="348">
        <f t="shared" si="4"/>
        <v>5.9146391296266428E-2</v>
      </c>
      <c r="M7" s="878"/>
      <c r="N7" s="878"/>
      <c r="O7" s="231"/>
      <c r="P7" s="231"/>
      <c r="Q7" s="231"/>
      <c r="R7" s="231"/>
      <c r="S7" s="231"/>
    </row>
    <row r="8" spans="1:38" s="349" customFormat="1" ht="18">
      <c r="A8" s="234">
        <f t="shared" si="5"/>
        <v>46081</v>
      </c>
      <c r="B8" s="368">
        <v>3915929.62</v>
      </c>
      <c r="C8" s="369">
        <v>9023.3585000000003</v>
      </c>
      <c r="D8" s="314">
        <f t="shared" si="0"/>
        <v>2.3042698351662407E-3</v>
      </c>
      <c r="E8" s="369">
        <v>19845.366499999996</v>
      </c>
      <c r="F8" s="230">
        <f t="shared" si="1"/>
        <v>5.0678557649869093E-3</v>
      </c>
      <c r="G8" s="368">
        <v>1941.6584999999998</v>
      </c>
      <c r="H8" s="230">
        <f t="shared" si="2"/>
        <v>0.21518135403796709</v>
      </c>
      <c r="I8" s="233">
        <v>10268.872900000006</v>
      </c>
      <c r="J8" s="230">
        <f t="shared" si="3"/>
        <v>0.51744435659578303</v>
      </c>
      <c r="K8" s="347">
        <v>972.72490000000005</v>
      </c>
      <c r="L8" s="348">
        <f t="shared" si="4"/>
        <v>0.10780075955089227</v>
      </c>
      <c r="M8" s="878"/>
      <c r="N8" s="878"/>
      <c r="O8" s="231"/>
      <c r="P8" s="231"/>
      <c r="Q8" s="231"/>
      <c r="R8" s="231"/>
      <c r="S8" s="231"/>
    </row>
    <row r="9" spans="1:38" s="349" customFormat="1" ht="18">
      <c r="A9" s="234">
        <f t="shared" si="5"/>
        <v>46082</v>
      </c>
      <c r="B9" s="368">
        <v>5447490.2599999998</v>
      </c>
      <c r="C9" s="369">
        <v>11331.519379999996</v>
      </c>
      <c r="D9" s="314">
        <f t="shared" si="0"/>
        <v>2.0801357761399642E-3</v>
      </c>
      <c r="E9" s="369">
        <v>27881.750719999982</v>
      </c>
      <c r="F9" s="230">
        <f t="shared" si="1"/>
        <v>5.1182745428167108E-3</v>
      </c>
      <c r="G9" s="368">
        <v>2012.4623999999999</v>
      </c>
      <c r="H9" s="230">
        <f t="shared" si="2"/>
        <v>0.17759863726235806</v>
      </c>
      <c r="I9" s="233">
        <v>14137.703899999999</v>
      </c>
      <c r="J9" s="230">
        <f t="shared" si="3"/>
        <v>0.50705940390819215</v>
      </c>
      <c r="K9" s="347">
        <v>1075.69478</v>
      </c>
      <c r="L9" s="348">
        <f t="shared" si="4"/>
        <v>9.4929439197588034E-2</v>
      </c>
      <c r="M9" s="878"/>
      <c r="N9" s="878"/>
      <c r="O9" s="231"/>
      <c r="P9" s="231"/>
      <c r="Q9" s="231"/>
      <c r="R9" s="231"/>
      <c r="S9" s="231"/>
    </row>
    <row r="10" spans="1:38" s="349" customFormat="1" ht="18">
      <c r="A10" s="234">
        <f t="shared" si="5"/>
        <v>46083</v>
      </c>
      <c r="B10" s="368">
        <v>5524036.7599999998</v>
      </c>
      <c r="C10" s="369">
        <v>11546.833499999995</v>
      </c>
      <c r="D10" s="314">
        <f t="shared" si="0"/>
        <v>2.090289040726803E-3</v>
      </c>
      <c r="E10" s="369">
        <v>28358.25680000001</v>
      </c>
      <c r="F10" s="230">
        <f t="shared" si="1"/>
        <v>5.13361116735219E-3</v>
      </c>
      <c r="G10" s="368">
        <v>1947.1759</v>
      </c>
      <c r="H10" s="230">
        <f t="shared" si="2"/>
        <v>0.16863288970088647</v>
      </c>
      <c r="I10" s="233">
        <v>15618.587999999996</v>
      </c>
      <c r="J10" s="230">
        <f t="shared" si="3"/>
        <v>0.55075980551808779</v>
      </c>
      <c r="K10" s="347">
        <v>1277.4172000000001</v>
      </c>
      <c r="L10" s="348">
        <f t="shared" si="4"/>
        <v>0.11062922142247922</v>
      </c>
      <c r="M10" s="878"/>
      <c r="N10" s="878"/>
      <c r="O10" s="231"/>
      <c r="P10" s="231"/>
      <c r="Q10" s="231"/>
      <c r="R10" s="231"/>
      <c r="S10" s="231"/>
    </row>
    <row r="11" spans="1:38" s="349" customFormat="1" ht="18">
      <c r="A11" s="234">
        <f t="shared" ref="A11:A45" si="6">A10+1</f>
        <v>46084</v>
      </c>
      <c r="B11" s="368">
        <v>5503117.0599999996</v>
      </c>
      <c r="C11" s="369">
        <v>11225.2294</v>
      </c>
      <c r="D11" s="314">
        <f t="shared" si="0"/>
        <v>2.0397947704205296E-3</v>
      </c>
      <c r="E11" s="369">
        <v>27826.801499999969</v>
      </c>
      <c r="F11" s="230">
        <f t="shared" si="1"/>
        <v>5.0565527130545847E-3</v>
      </c>
      <c r="G11" s="368">
        <v>1914.2572</v>
      </c>
      <c r="H11" s="230">
        <f t="shared" si="2"/>
        <v>0.1705316775085238</v>
      </c>
      <c r="I11" s="233">
        <v>11959.049299999997</v>
      </c>
      <c r="J11" s="230">
        <f t="shared" si="3"/>
        <v>0.42976729826458893</v>
      </c>
      <c r="K11" s="347">
        <v>1048.8209000000002</v>
      </c>
      <c r="L11" s="348">
        <f t="shared" si="4"/>
        <v>9.3434250884886161E-2</v>
      </c>
      <c r="M11" s="878">
        <f>SUM(C11:C17)</f>
        <v>68854.618759999998</v>
      </c>
      <c r="N11" s="878">
        <f>SUM(E11:E17)</f>
        <v>170575.13933999991</v>
      </c>
      <c r="O11" s="231"/>
      <c r="P11" s="231"/>
      <c r="Q11" s="231"/>
      <c r="R11" s="231"/>
      <c r="S11" s="231"/>
    </row>
    <row r="12" spans="1:38" s="349" customFormat="1" ht="18">
      <c r="A12" s="235">
        <f t="shared" si="6"/>
        <v>46085</v>
      </c>
      <c r="B12" s="368">
        <v>5072703.08</v>
      </c>
      <c r="C12" s="369">
        <v>10287.0597</v>
      </c>
      <c r="D12" s="314">
        <f t="shared" si="0"/>
        <v>2.0279246661525476E-3</v>
      </c>
      <c r="E12" s="369">
        <v>25615.664999999975</v>
      </c>
      <c r="F12" s="230">
        <f t="shared" si="1"/>
        <v>5.0497071474563766E-3</v>
      </c>
      <c r="G12" s="368">
        <v>1937.019</v>
      </c>
      <c r="H12" s="230">
        <f t="shared" si="2"/>
        <v>0.18829666167874967</v>
      </c>
      <c r="I12" s="233">
        <v>15532.432200000005</v>
      </c>
      <c r="J12" s="230">
        <f t="shared" si="3"/>
        <v>0.60636458979300434</v>
      </c>
      <c r="K12" s="347">
        <v>963.33889999999997</v>
      </c>
      <c r="L12" s="348">
        <f t="shared" si="4"/>
        <v>9.3645699363443954E-2</v>
      </c>
      <c r="M12" s="878"/>
      <c r="N12" s="878"/>
      <c r="O12" s="231"/>
      <c r="P12" s="231"/>
      <c r="Q12" s="231"/>
      <c r="R12" s="231"/>
      <c r="S12" s="231"/>
    </row>
    <row r="13" spans="1:38" s="349" customFormat="1" ht="18">
      <c r="A13" s="234">
        <f t="shared" si="6"/>
        <v>46086</v>
      </c>
      <c r="B13" s="368">
        <v>4496569.9800000004</v>
      </c>
      <c r="C13" s="369">
        <v>9217.8333999999977</v>
      </c>
      <c r="D13" s="314">
        <f t="shared" si="0"/>
        <v>2.0499699639946441E-3</v>
      </c>
      <c r="E13" s="369">
        <v>22571.10649999998</v>
      </c>
      <c r="F13" s="230">
        <f t="shared" si="1"/>
        <v>5.0196275384109508E-3</v>
      </c>
      <c r="G13" s="368">
        <v>1774.4011999999998</v>
      </c>
      <c r="H13" s="230">
        <f t="shared" si="2"/>
        <v>0.19249655781368322</v>
      </c>
      <c r="I13" s="233">
        <v>12843.795599999976</v>
      </c>
      <c r="J13" s="230">
        <f t="shared" si="3"/>
        <v>0.56903703856964161</v>
      </c>
      <c r="K13" s="347">
        <v>919.69929999999999</v>
      </c>
      <c r="L13" s="348">
        <f t="shared" si="4"/>
        <v>9.9773912164652506E-2</v>
      </c>
      <c r="M13" s="878"/>
      <c r="N13" s="878"/>
      <c r="O13" s="231"/>
      <c r="P13" s="231"/>
      <c r="Q13" s="231"/>
      <c r="R13" s="231"/>
      <c r="S13" s="231"/>
    </row>
    <row r="14" spans="1:38" s="349" customFormat="1" ht="18">
      <c r="A14" s="234">
        <f t="shared" si="6"/>
        <v>46087</v>
      </c>
      <c r="B14" s="368">
        <v>3821772.9</v>
      </c>
      <c r="C14" s="369">
        <v>7757.3871999999992</v>
      </c>
      <c r="D14" s="314">
        <f t="shared" si="0"/>
        <v>2.029787588896242E-3</v>
      </c>
      <c r="E14" s="369">
        <v>19415.074500000013</v>
      </c>
      <c r="F14" s="230">
        <f t="shared" si="1"/>
        <v>5.0801225002144986E-3</v>
      </c>
      <c r="G14" s="368">
        <v>1692.1431</v>
      </c>
      <c r="H14" s="230">
        <f t="shared" si="2"/>
        <v>0.21813312348260766</v>
      </c>
      <c r="I14" s="233">
        <v>11933.283199999996</v>
      </c>
      <c r="J14" s="230">
        <f t="shared" si="3"/>
        <v>0.6146400931915037</v>
      </c>
      <c r="K14" s="347">
        <v>641.2088</v>
      </c>
      <c r="L14" s="348">
        <f t="shared" si="4"/>
        <v>8.2657830976904184E-2</v>
      </c>
      <c r="M14" s="878"/>
      <c r="N14" s="878"/>
      <c r="O14" s="231"/>
      <c r="P14" s="231"/>
      <c r="Q14" s="231"/>
      <c r="R14" s="231"/>
      <c r="S14" s="231"/>
    </row>
    <row r="15" spans="1:38" s="349" customFormat="1" ht="18">
      <c r="A15" s="234">
        <f t="shared" si="6"/>
        <v>46088</v>
      </c>
      <c r="B15" s="368">
        <v>4127790.83</v>
      </c>
      <c r="C15" s="369">
        <v>8486.7082000000009</v>
      </c>
      <c r="D15" s="314">
        <f t="shared" si="0"/>
        <v>2.0559927936077129E-3</v>
      </c>
      <c r="E15" s="369">
        <v>20645.393300000007</v>
      </c>
      <c r="F15" s="230">
        <f t="shared" si="1"/>
        <v>5.0015599506528308E-3</v>
      </c>
      <c r="G15" s="368">
        <v>1817.8358000000001</v>
      </c>
      <c r="H15" s="230">
        <f t="shared" si="2"/>
        <v>0.21419798550396724</v>
      </c>
      <c r="I15" s="233">
        <v>9199.0371000000014</v>
      </c>
      <c r="J15" s="230">
        <f t="shared" si="3"/>
        <v>0.44557335219184213</v>
      </c>
      <c r="K15" s="347">
        <v>945.21929999999998</v>
      </c>
      <c r="L15" s="348">
        <f t="shared" si="4"/>
        <v>0.11137643450495917</v>
      </c>
      <c r="M15" s="878"/>
      <c r="N15" s="878"/>
      <c r="O15" s="231"/>
      <c r="P15" s="231"/>
      <c r="Q15" s="231"/>
      <c r="R15" s="231"/>
      <c r="S15" s="231"/>
    </row>
    <row r="16" spans="1:38" s="349" customFormat="1" ht="18">
      <c r="A16" s="234">
        <f t="shared" si="6"/>
        <v>46089</v>
      </c>
      <c r="B16" s="368">
        <v>5624945.9800000004</v>
      </c>
      <c r="C16" s="369">
        <v>11342.494479999998</v>
      </c>
      <c r="D16" s="314">
        <f t="shared" si="0"/>
        <v>2.0164628283239078E-3</v>
      </c>
      <c r="E16" s="369">
        <v>28335.778019999991</v>
      </c>
      <c r="F16" s="230">
        <f t="shared" si="1"/>
        <v>5.0375200261034312E-3</v>
      </c>
      <c r="G16" s="368">
        <v>1900.5419999999997</v>
      </c>
      <c r="H16" s="230">
        <f t="shared" si="2"/>
        <v>0.16755943794825634</v>
      </c>
      <c r="I16" s="233">
        <v>12914.330299999992</v>
      </c>
      <c r="J16" s="230">
        <f t="shared" si="3"/>
        <v>0.45576056852523283</v>
      </c>
      <c r="K16" s="347">
        <v>758.50067999999999</v>
      </c>
      <c r="L16" s="348">
        <f t="shared" si="4"/>
        <v>6.6872475127711078E-2</v>
      </c>
      <c r="M16" s="878"/>
      <c r="N16" s="878"/>
      <c r="O16" s="231"/>
      <c r="P16" s="231"/>
      <c r="Q16" s="231"/>
      <c r="R16" s="231"/>
      <c r="S16" s="231"/>
    </row>
    <row r="17" spans="1:20" s="349" customFormat="1" ht="18">
      <c r="A17" s="234">
        <f t="shared" si="6"/>
        <v>46090</v>
      </c>
      <c r="B17" s="368">
        <v>5207196.28</v>
      </c>
      <c r="C17" s="369">
        <v>10537.906379999995</v>
      </c>
      <c r="D17" s="314">
        <f t="shared" si="0"/>
        <v>2.0237198318170551E-3</v>
      </c>
      <c r="E17" s="369">
        <v>26165.320519999983</v>
      </c>
      <c r="F17" s="230">
        <f t="shared" si="1"/>
        <v>5.0248385336455923E-3</v>
      </c>
      <c r="G17" s="368">
        <v>1913.7365</v>
      </c>
      <c r="H17" s="230">
        <f t="shared" si="2"/>
        <v>0.18160500112547032</v>
      </c>
      <c r="I17" s="233">
        <v>14514.80239999999</v>
      </c>
      <c r="J17" s="230">
        <f t="shared" si="3"/>
        <v>0.55473436256610398</v>
      </c>
      <c r="K17" s="347">
        <v>776.71068000000002</v>
      </c>
      <c r="L17" s="348">
        <f t="shared" si="4"/>
        <v>7.3706356081709695E-2</v>
      </c>
      <c r="M17" s="878"/>
      <c r="N17" s="878"/>
      <c r="O17" s="231"/>
      <c r="P17" s="231"/>
      <c r="Q17" s="231"/>
      <c r="R17" s="231"/>
      <c r="S17" s="231"/>
      <c r="T17" s="425"/>
    </row>
    <row r="18" spans="1:20" s="349" customFormat="1" ht="18">
      <c r="A18" s="234">
        <f t="shared" si="6"/>
        <v>46091</v>
      </c>
      <c r="B18" s="368">
        <v>5094346.5199999996</v>
      </c>
      <c r="C18" s="369">
        <v>10278.903479999997</v>
      </c>
      <c r="D18" s="314">
        <f t="shared" si="0"/>
        <v>2.0177079512840044E-3</v>
      </c>
      <c r="E18" s="369">
        <v>25635.957760000008</v>
      </c>
      <c r="F18" s="230">
        <f t="shared" si="1"/>
        <v>5.0322367470205008E-3</v>
      </c>
      <c r="G18" s="368">
        <v>1969.4355</v>
      </c>
      <c r="H18" s="230">
        <f t="shared" si="2"/>
        <v>0.19159976585362398</v>
      </c>
      <c r="I18" s="233">
        <v>15696.638899999991</v>
      </c>
      <c r="J18" s="230">
        <f t="shared" si="3"/>
        <v>0.61228993458912551</v>
      </c>
      <c r="K18" s="347">
        <v>1086.4034800000002</v>
      </c>
      <c r="L18" s="348">
        <f t="shared" si="4"/>
        <v>0.10569254610804074</v>
      </c>
      <c r="M18" s="878">
        <f t="shared" ref="M18" si="7">SUM(C18:C24)</f>
        <v>66379.139079999994</v>
      </c>
      <c r="N18" s="878">
        <f t="shared" ref="N18" si="8">SUM(E18:E24)</f>
        <v>163643.29356000002</v>
      </c>
      <c r="O18" s="231"/>
      <c r="P18" s="231"/>
      <c r="Q18" s="231"/>
      <c r="R18" s="231"/>
      <c r="S18" s="231"/>
    </row>
    <row r="19" spans="1:20" s="349" customFormat="1" ht="18">
      <c r="A19" s="235">
        <f t="shared" si="6"/>
        <v>46092</v>
      </c>
      <c r="B19" s="368">
        <v>4787261.34</v>
      </c>
      <c r="C19" s="369">
        <v>9652.6501000000007</v>
      </c>
      <c r="D19" s="314">
        <f t="shared" si="0"/>
        <v>2.0163198568975559E-3</v>
      </c>
      <c r="E19" s="369">
        <v>24062.471899999986</v>
      </c>
      <c r="F19" s="230">
        <f t="shared" si="1"/>
        <v>5.0263543581683771E-3</v>
      </c>
      <c r="G19" s="368">
        <v>2020.4241</v>
      </c>
      <c r="H19" s="230">
        <f t="shared" si="2"/>
        <v>0.20931289118208063</v>
      </c>
      <c r="I19" s="233">
        <v>10020.143799999996</v>
      </c>
      <c r="J19" s="230">
        <f t="shared" si="3"/>
        <v>0.41642204681390205</v>
      </c>
      <c r="K19" s="347">
        <v>1106.4285</v>
      </c>
      <c r="L19" s="348">
        <f t="shared" si="4"/>
        <v>0.11462432477480976</v>
      </c>
      <c r="M19" s="878"/>
      <c r="N19" s="878"/>
      <c r="O19" s="231"/>
      <c r="P19" s="231"/>
      <c r="Q19" s="231"/>
      <c r="R19" s="231"/>
      <c r="S19" s="231"/>
    </row>
    <row r="20" spans="1:20" s="349" customFormat="1" ht="18">
      <c r="A20" s="234">
        <f t="shared" si="6"/>
        <v>46093</v>
      </c>
      <c r="B20" s="368">
        <v>4340566.67</v>
      </c>
      <c r="C20" s="369">
        <v>8804.1219999999976</v>
      </c>
      <c r="D20" s="314">
        <f t="shared" si="0"/>
        <v>2.028334701284521E-3</v>
      </c>
      <c r="E20" s="369">
        <v>21858.032099999982</v>
      </c>
      <c r="F20" s="230">
        <f t="shared" si="1"/>
        <v>5.0357554120923067E-3</v>
      </c>
      <c r="G20" s="368">
        <v>1900.5551</v>
      </c>
      <c r="H20" s="230">
        <f t="shared" si="2"/>
        <v>0.2158710544901582</v>
      </c>
      <c r="I20" s="233">
        <v>12395.889299999984</v>
      </c>
      <c r="J20" s="230">
        <f t="shared" si="3"/>
        <v>0.56710911775081507</v>
      </c>
      <c r="K20" s="347">
        <v>916.03449999999987</v>
      </c>
      <c r="L20" s="348">
        <f t="shared" si="4"/>
        <v>0.10404609340942801</v>
      </c>
      <c r="M20" s="878"/>
      <c r="N20" s="878"/>
      <c r="O20" s="231"/>
      <c r="P20" s="231"/>
      <c r="Q20" s="231"/>
      <c r="R20" s="231"/>
      <c r="S20" s="231"/>
    </row>
    <row r="21" spans="1:20" s="349" customFormat="1" ht="18">
      <c r="A21" s="234">
        <f t="shared" si="6"/>
        <v>46094</v>
      </c>
      <c r="B21" s="368">
        <v>3843289.15</v>
      </c>
      <c r="C21" s="369">
        <v>7749.3419999999987</v>
      </c>
      <c r="D21" s="314">
        <f t="shared" si="0"/>
        <v>2.0163307254672728E-3</v>
      </c>
      <c r="E21" s="369">
        <v>20614.671999999999</v>
      </c>
      <c r="F21" s="230">
        <f t="shared" si="1"/>
        <v>5.3638097981776886E-3</v>
      </c>
      <c r="G21" s="368">
        <v>2100.1122</v>
      </c>
      <c r="H21" s="230">
        <f t="shared" si="2"/>
        <v>0.271005228572955</v>
      </c>
      <c r="I21" s="233">
        <v>10910.574000000017</v>
      </c>
      <c r="J21" s="230">
        <f t="shared" si="3"/>
        <v>0.5292625562997082</v>
      </c>
      <c r="K21" s="347">
        <v>679.33879999999999</v>
      </c>
      <c r="L21" s="348">
        <f t="shared" si="4"/>
        <v>8.7664062316516689E-2</v>
      </c>
      <c r="M21" s="878"/>
      <c r="N21" s="878"/>
      <c r="O21" s="231"/>
      <c r="P21" s="231"/>
      <c r="Q21" s="231"/>
      <c r="R21" s="231"/>
      <c r="S21" s="231"/>
    </row>
    <row r="22" spans="1:20" s="349" customFormat="1" ht="18">
      <c r="A22" s="234">
        <f t="shared" si="6"/>
        <v>46095</v>
      </c>
      <c r="B22" s="368">
        <v>4118703.79</v>
      </c>
      <c r="C22" s="369">
        <v>8379.1552999999985</v>
      </c>
      <c r="D22" s="314">
        <f t="shared" si="0"/>
        <v>2.0344156140444367E-3</v>
      </c>
      <c r="E22" s="369">
        <v>22151.558600000022</v>
      </c>
      <c r="F22" s="230">
        <f t="shared" si="1"/>
        <v>5.3782839770567777E-3</v>
      </c>
      <c r="G22" s="368">
        <v>2073.9949999999994</v>
      </c>
      <c r="H22" s="230">
        <f t="shared" si="2"/>
        <v>0.24751838648938751</v>
      </c>
      <c r="I22" s="233">
        <v>12828.779300000018</v>
      </c>
      <c r="J22" s="230">
        <f t="shared" si="3"/>
        <v>0.57913664368519902</v>
      </c>
      <c r="K22" s="347">
        <v>902.65349999999989</v>
      </c>
      <c r="L22" s="348">
        <f t="shared" si="4"/>
        <v>0.1077260735339277</v>
      </c>
      <c r="M22" s="878"/>
      <c r="N22" s="878"/>
      <c r="O22" s="231"/>
      <c r="P22" s="231"/>
      <c r="Q22" s="231"/>
      <c r="R22" s="231"/>
      <c r="S22" s="231"/>
    </row>
    <row r="23" spans="1:20" s="349" customFormat="1" ht="18">
      <c r="A23" s="234">
        <f t="shared" si="6"/>
        <v>46096</v>
      </c>
      <c r="B23" s="368">
        <v>5467294.6299999999</v>
      </c>
      <c r="C23" s="369">
        <v>11019.9606</v>
      </c>
      <c r="D23" s="314">
        <f t="shared" si="0"/>
        <v>2.0156149148303723E-3</v>
      </c>
      <c r="E23" s="369">
        <v>25532.219800000013</v>
      </c>
      <c r="F23" s="230">
        <f t="shared" si="1"/>
        <v>4.6699915639995451E-3</v>
      </c>
      <c r="G23" s="368">
        <v>1829.4567</v>
      </c>
      <c r="H23" s="230">
        <f t="shared" si="2"/>
        <v>0.16601299826788854</v>
      </c>
      <c r="I23" s="233">
        <v>10560.366200000006</v>
      </c>
      <c r="J23" s="230">
        <f t="shared" si="3"/>
        <v>0.41360940344090258</v>
      </c>
      <c r="K23" s="347">
        <v>594.26690000000008</v>
      </c>
      <c r="L23" s="348">
        <f t="shared" si="4"/>
        <v>5.3926408775000524E-2</v>
      </c>
      <c r="M23" s="878"/>
      <c r="N23" s="878"/>
      <c r="O23" s="231"/>
      <c r="P23" s="231"/>
      <c r="Q23" s="231"/>
      <c r="R23" s="231"/>
      <c r="S23" s="231"/>
    </row>
    <row r="24" spans="1:20" s="349" customFormat="1" ht="18">
      <c r="A24" s="234">
        <f t="shared" si="6"/>
        <v>46097</v>
      </c>
      <c r="B24" s="368">
        <v>5222607.68</v>
      </c>
      <c r="C24" s="369">
        <v>10495.0056</v>
      </c>
      <c r="D24" s="314">
        <f t="shared" si="0"/>
        <v>2.0095335975916155E-3</v>
      </c>
      <c r="E24" s="369">
        <v>23788.381400000017</v>
      </c>
      <c r="F24" s="230">
        <f t="shared" si="1"/>
        <v>4.554885769248518E-3</v>
      </c>
      <c r="G24" s="368">
        <v>1794.2535</v>
      </c>
      <c r="H24" s="230">
        <f t="shared" si="2"/>
        <v>0.17096260529865748</v>
      </c>
      <c r="I24" s="233">
        <v>10040.480100000008</v>
      </c>
      <c r="J24" s="230">
        <f t="shared" si="3"/>
        <v>0.42207495882843044</v>
      </c>
      <c r="K24" s="347">
        <v>895.6597999999999</v>
      </c>
      <c r="L24" s="348">
        <f t="shared" si="4"/>
        <v>8.5341526640062004E-2</v>
      </c>
      <c r="M24" s="878"/>
      <c r="N24" s="878"/>
      <c r="O24" s="231"/>
      <c r="P24" s="231"/>
      <c r="Q24" s="231"/>
      <c r="R24" s="231"/>
      <c r="S24" s="231"/>
    </row>
    <row r="25" spans="1:20" s="349" customFormat="1" ht="18">
      <c r="A25" s="234">
        <f t="shared" si="6"/>
        <v>46098</v>
      </c>
      <c r="B25" s="368">
        <v>5386755.8799999999</v>
      </c>
      <c r="C25" s="369">
        <v>10835.778600000001</v>
      </c>
      <c r="D25" s="314">
        <f t="shared" si="0"/>
        <v>2.0115592466759423E-3</v>
      </c>
      <c r="E25" s="369">
        <v>26989.295300000016</v>
      </c>
      <c r="F25" s="230">
        <f t="shared" si="1"/>
        <v>5.0103059988677295E-3</v>
      </c>
      <c r="G25" s="368">
        <v>1823.5374999999999</v>
      </c>
      <c r="H25" s="230">
        <f t="shared" si="2"/>
        <v>0.16828855288719166</v>
      </c>
      <c r="I25" s="233">
        <v>13476.811099999988</v>
      </c>
      <c r="J25" s="230">
        <f t="shared" si="3"/>
        <v>0.49933912501968808</v>
      </c>
      <c r="K25" s="347">
        <v>1007.1950999999999</v>
      </c>
      <c r="L25" s="348">
        <f t="shared" si="4"/>
        <v>9.2950874799158395E-2</v>
      </c>
      <c r="M25" s="878">
        <f t="shared" ref="M25" si="9">SUM(C25:C31)</f>
        <v>66992.52949999999</v>
      </c>
      <c r="N25" s="878">
        <f t="shared" ref="N25" si="10">SUM(E25:E31)</f>
        <v>162420.32939999996</v>
      </c>
      <c r="O25" s="231"/>
      <c r="P25" s="231"/>
      <c r="Q25" s="231"/>
      <c r="R25" s="231"/>
      <c r="S25" s="231"/>
    </row>
    <row r="26" spans="1:20" s="349" customFormat="1" ht="18">
      <c r="A26" s="235">
        <f t="shared" si="6"/>
        <v>46099</v>
      </c>
      <c r="B26" s="368">
        <v>4992178.21</v>
      </c>
      <c r="C26" s="369">
        <v>10026.384799999998</v>
      </c>
      <c r="D26" s="314">
        <f t="shared" si="0"/>
        <v>2.00841884608923E-3</v>
      </c>
      <c r="E26" s="369">
        <v>24978.535600000021</v>
      </c>
      <c r="F26" s="230">
        <f t="shared" si="1"/>
        <v>5.0035344391281301E-3</v>
      </c>
      <c r="G26" s="368">
        <v>1728.0545000000002</v>
      </c>
      <c r="H26" s="230">
        <f t="shared" si="2"/>
        <v>0.17235070610894573</v>
      </c>
      <c r="I26" s="233">
        <v>13677.477000000012</v>
      </c>
      <c r="J26" s="230">
        <f t="shared" si="3"/>
        <v>0.54756920978185764</v>
      </c>
      <c r="K26" s="347">
        <v>962.16750000000002</v>
      </c>
      <c r="L26" s="348">
        <f t="shared" si="4"/>
        <v>9.5963552087089274E-2</v>
      </c>
      <c r="M26" s="878"/>
      <c r="N26" s="878"/>
      <c r="O26" s="231"/>
      <c r="P26" s="231"/>
      <c r="Q26" s="231"/>
      <c r="R26" s="231"/>
      <c r="S26" s="231"/>
    </row>
    <row r="27" spans="1:20" s="349" customFormat="1" ht="18">
      <c r="A27" s="234">
        <f t="shared" si="6"/>
        <v>46100</v>
      </c>
      <c r="B27" s="368">
        <v>4465947.1900000004</v>
      </c>
      <c r="C27" s="369">
        <v>8942.7782999999945</v>
      </c>
      <c r="D27" s="314">
        <f t="shared" si="0"/>
        <v>2.0024370910664514E-3</v>
      </c>
      <c r="E27" s="369">
        <v>21801.042199999993</v>
      </c>
      <c r="F27" s="230">
        <f t="shared" si="1"/>
        <v>4.8816166587943889E-3</v>
      </c>
      <c r="G27" s="368">
        <v>1723.1588999999999</v>
      </c>
      <c r="H27" s="230">
        <f t="shared" si="2"/>
        <v>0.1926871987869811</v>
      </c>
      <c r="I27" s="233">
        <v>13280.037299999991</v>
      </c>
      <c r="J27" s="230">
        <f t="shared" si="3"/>
        <v>0.60914690124309723</v>
      </c>
      <c r="K27" s="347">
        <v>702.73149999999998</v>
      </c>
      <c r="L27" s="348">
        <f t="shared" si="4"/>
        <v>7.8580892472756528E-2</v>
      </c>
      <c r="M27" s="878"/>
      <c r="N27" s="878"/>
      <c r="O27" s="231"/>
      <c r="P27" s="231"/>
      <c r="Q27" s="231"/>
      <c r="R27" s="231"/>
      <c r="S27" s="231"/>
    </row>
    <row r="28" spans="1:20" s="349" customFormat="1" ht="18">
      <c r="A28" s="234">
        <f t="shared" si="6"/>
        <v>46101</v>
      </c>
      <c r="B28" s="368">
        <v>3808013.83</v>
      </c>
      <c r="C28" s="369">
        <v>7637.6736000000001</v>
      </c>
      <c r="D28" s="314">
        <f t="shared" si="0"/>
        <v>2.0056843123387501E-3</v>
      </c>
      <c r="E28" s="369">
        <v>18554.304999999978</v>
      </c>
      <c r="F28" s="230">
        <f t="shared" si="1"/>
        <v>4.8724363482681938E-3</v>
      </c>
      <c r="G28" s="368">
        <v>1869.9643999999998</v>
      </c>
      <c r="H28" s="230">
        <f t="shared" si="2"/>
        <v>0.2448342909024025</v>
      </c>
      <c r="I28" s="233">
        <v>9584.5121999999701</v>
      </c>
      <c r="J28" s="230">
        <f t="shared" si="3"/>
        <v>0.51656541163896907</v>
      </c>
      <c r="K28" s="347">
        <v>806.86570000000006</v>
      </c>
      <c r="L28" s="348">
        <f t="shared" si="4"/>
        <v>0.1056428622453832</v>
      </c>
      <c r="M28" s="878"/>
      <c r="N28" s="878"/>
      <c r="O28" s="231"/>
      <c r="P28" s="231"/>
      <c r="Q28" s="231"/>
      <c r="R28" s="231"/>
      <c r="S28" s="231"/>
    </row>
    <row r="29" spans="1:20" s="349" customFormat="1" ht="18">
      <c r="A29" s="234">
        <f t="shared" si="6"/>
        <v>46102</v>
      </c>
      <c r="B29" s="368">
        <v>4071503.5</v>
      </c>
      <c r="C29" s="369">
        <v>8182.6930000000011</v>
      </c>
      <c r="D29" s="314">
        <f t="shared" si="0"/>
        <v>2.0097472592127213E-3</v>
      </c>
      <c r="E29" s="369">
        <v>19753.084099999967</v>
      </c>
      <c r="F29" s="230">
        <f t="shared" si="1"/>
        <v>4.8515454057696293E-3</v>
      </c>
      <c r="G29" s="368">
        <v>1732.2366</v>
      </c>
      <c r="H29" s="230">
        <f t="shared" si="2"/>
        <v>0.21169517174846958</v>
      </c>
      <c r="I29" s="233">
        <v>9357.2772999999834</v>
      </c>
      <c r="J29" s="230">
        <f t="shared" si="3"/>
        <v>0.47371221894407867</v>
      </c>
      <c r="K29" s="347">
        <v>537.84260000000006</v>
      </c>
      <c r="L29" s="348">
        <f t="shared" si="4"/>
        <v>6.5729289856041276E-2</v>
      </c>
      <c r="M29" s="878"/>
      <c r="N29" s="878"/>
      <c r="O29" s="231"/>
      <c r="P29" s="231"/>
      <c r="Q29" s="231"/>
      <c r="R29" s="231"/>
      <c r="S29" s="231"/>
    </row>
    <row r="30" spans="1:20" s="349" customFormat="1" ht="18">
      <c r="A30" s="234">
        <f t="shared" si="6"/>
        <v>46103</v>
      </c>
      <c r="B30" s="368">
        <v>5501397.21</v>
      </c>
      <c r="C30" s="369">
        <v>11125.662200000001</v>
      </c>
      <c r="D30" s="314">
        <f t="shared" si="0"/>
        <v>2.0223339226945222E-3</v>
      </c>
      <c r="E30" s="369">
        <v>26156.452199999992</v>
      </c>
      <c r="F30" s="230">
        <f t="shared" si="1"/>
        <v>4.7545107545506598E-3</v>
      </c>
      <c r="G30" s="368">
        <v>2131.9911999999999</v>
      </c>
      <c r="H30" s="230">
        <f t="shared" si="2"/>
        <v>0.19162825202440534</v>
      </c>
      <c r="I30" s="233">
        <v>10813.678899999994</v>
      </c>
      <c r="J30" s="230">
        <f t="shared" si="3"/>
        <v>0.41342299855176828</v>
      </c>
      <c r="K30" s="347">
        <v>927.07749999999987</v>
      </c>
      <c r="L30" s="348">
        <f t="shared" si="4"/>
        <v>8.3327849015584876E-2</v>
      </c>
      <c r="M30" s="878"/>
      <c r="N30" s="878"/>
      <c r="O30" s="231"/>
      <c r="P30" s="231"/>
      <c r="Q30" s="231"/>
      <c r="R30" s="231"/>
      <c r="S30" s="231"/>
    </row>
    <row r="31" spans="1:20" s="349" customFormat="1" ht="18">
      <c r="A31" s="234">
        <f t="shared" si="6"/>
        <v>46104</v>
      </c>
      <c r="B31" s="368">
        <v>5094060.93</v>
      </c>
      <c r="C31" s="369">
        <v>10241.558999999999</v>
      </c>
      <c r="D31" s="314">
        <f t="shared" si="0"/>
        <v>2.0104900865408376E-3</v>
      </c>
      <c r="E31" s="369">
        <v>24187.614999999991</v>
      </c>
      <c r="F31" s="230">
        <f t="shared" si="1"/>
        <v>4.7481989972978185E-3</v>
      </c>
      <c r="G31" s="368">
        <v>2183.5662000000002</v>
      </c>
      <c r="H31" s="230">
        <f t="shared" si="2"/>
        <v>0.21320642687309621</v>
      </c>
      <c r="I31" s="233">
        <v>11844.21129999999</v>
      </c>
      <c r="J31" s="230">
        <f t="shared" si="3"/>
        <v>0.48968082632371956</v>
      </c>
      <c r="K31" s="347">
        <v>866.42319999999995</v>
      </c>
      <c r="L31" s="348">
        <f t="shared" si="4"/>
        <v>8.4598760794133004E-2</v>
      </c>
      <c r="M31" s="878"/>
      <c r="N31" s="878"/>
      <c r="O31" s="231"/>
      <c r="P31" s="231"/>
      <c r="Q31" s="231"/>
      <c r="R31" s="231"/>
      <c r="S31" s="231"/>
    </row>
    <row r="32" spans="1:20" s="349" customFormat="1" ht="18">
      <c r="A32" s="234">
        <f t="shared" si="6"/>
        <v>46105</v>
      </c>
      <c r="B32" s="368">
        <v>4902681.6100000003</v>
      </c>
      <c r="C32" s="369">
        <v>9835.8673999999992</v>
      </c>
      <c r="D32" s="314">
        <f t="shared" si="0"/>
        <v>2.0062219377937535E-3</v>
      </c>
      <c r="E32" s="369">
        <v>22955.289600000026</v>
      </c>
      <c r="F32" s="230">
        <f t="shared" si="1"/>
        <v>4.682190569580965E-3</v>
      </c>
      <c r="G32" s="368">
        <v>1780.8150000000001</v>
      </c>
      <c r="H32" s="230">
        <f t="shared" si="2"/>
        <v>0.18105317279897451</v>
      </c>
      <c r="I32" s="233">
        <v>13331.571600000014</v>
      </c>
      <c r="J32" s="230">
        <f t="shared" si="3"/>
        <v>0.58076250974415933</v>
      </c>
      <c r="K32" s="347">
        <v>793.58230000000003</v>
      </c>
      <c r="L32" s="348">
        <f t="shared" si="4"/>
        <v>8.0682492730636046E-2</v>
      </c>
      <c r="M32" s="878">
        <f>SUM(C32:C38)</f>
        <v>64698.089899999999</v>
      </c>
      <c r="N32" s="878">
        <f>SUM(E32:E38)</f>
        <v>146029.84210000007</v>
      </c>
      <c r="O32" s="231"/>
      <c r="P32" s="231"/>
      <c r="Q32" s="231"/>
      <c r="R32" s="231"/>
      <c r="S32" s="231"/>
    </row>
    <row r="33" spans="1:19" s="349" customFormat="1" ht="18">
      <c r="A33" s="234">
        <f t="shared" si="6"/>
        <v>46106</v>
      </c>
      <c r="B33" s="368">
        <v>4675847.41</v>
      </c>
      <c r="C33" s="369">
        <v>9370.0010000000038</v>
      </c>
      <c r="D33" s="314">
        <f t="shared" si="0"/>
        <v>2.0039150507693755E-3</v>
      </c>
      <c r="E33" s="369">
        <v>21781.472000000016</v>
      </c>
      <c r="F33" s="230">
        <f t="shared" si="1"/>
        <v>4.6582940139186487E-3</v>
      </c>
      <c r="G33" s="368">
        <v>2106.6579000000002</v>
      </c>
      <c r="H33" s="230">
        <f t="shared" si="2"/>
        <v>0.22483006138419828</v>
      </c>
      <c r="I33" s="233">
        <v>11043.125100000014</v>
      </c>
      <c r="J33" s="230">
        <f t="shared" si="3"/>
        <v>0.50699627187730956</v>
      </c>
      <c r="K33" s="347">
        <v>1161.3743000000002</v>
      </c>
      <c r="L33" s="348">
        <f t="shared" si="4"/>
        <v>0.12394601665464067</v>
      </c>
      <c r="M33" s="878"/>
      <c r="N33" s="878"/>
      <c r="O33" s="231"/>
      <c r="P33" s="231"/>
      <c r="Q33" s="231"/>
      <c r="R33" s="231"/>
      <c r="S33" s="231"/>
    </row>
    <row r="34" spans="1:19" s="349" customFormat="1" ht="18">
      <c r="A34" s="234">
        <f t="shared" si="6"/>
        <v>46107</v>
      </c>
      <c r="B34" s="368">
        <v>4316808.2699999996</v>
      </c>
      <c r="C34" s="369">
        <v>8660.9447999999993</v>
      </c>
      <c r="D34" s="314">
        <f t="shared" si="0"/>
        <v>2.0063306633722696E-3</v>
      </c>
      <c r="E34" s="369">
        <v>19415.42019999999</v>
      </c>
      <c r="F34" s="230">
        <f t="shared" si="1"/>
        <v>4.4976332015783486E-3</v>
      </c>
      <c r="G34" s="368">
        <v>2275.6798000000003</v>
      </c>
      <c r="H34" s="230">
        <f t="shared" si="2"/>
        <v>0.26275191131572628</v>
      </c>
      <c r="I34" s="233">
        <v>9464.1661999999924</v>
      </c>
      <c r="J34" s="230">
        <f t="shared" si="3"/>
        <v>0.48745616126299435</v>
      </c>
      <c r="K34" s="347">
        <v>1107.7451000000001</v>
      </c>
      <c r="L34" s="348">
        <f t="shared" si="4"/>
        <v>0.12790118463750053</v>
      </c>
      <c r="M34" s="878"/>
      <c r="N34" s="878"/>
      <c r="O34" s="231"/>
      <c r="P34" s="231"/>
      <c r="Q34" s="231"/>
      <c r="R34" s="231"/>
      <c r="S34" s="231"/>
    </row>
    <row r="35" spans="1:19" s="349" customFormat="1" ht="18">
      <c r="A35" s="234">
        <f t="shared" si="6"/>
        <v>46108</v>
      </c>
      <c r="B35" s="368">
        <v>3793881.75</v>
      </c>
      <c r="C35" s="369">
        <v>7624.6604000000025</v>
      </c>
      <c r="D35" s="314">
        <f t="shared" si="0"/>
        <v>2.0097253690102498E-3</v>
      </c>
      <c r="E35" s="369">
        <v>17231.438999999998</v>
      </c>
      <c r="F35" s="230">
        <f t="shared" si="1"/>
        <v>4.5419019715097868E-3</v>
      </c>
      <c r="G35" s="368">
        <v>1767.6307000000002</v>
      </c>
      <c r="H35" s="230">
        <f t="shared" si="2"/>
        <v>0.23183074488143754</v>
      </c>
      <c r="I35" s="233">
        <v>9721.8272000000034</v>
      </c>
      <c r="J35" s="230">
        <f t="shared" si="3"/>
        <v>0.56419125529794723</v>
      </c>
      <c r="K35" s="347">
        <v>1119.3661</v>
      </c>
      <c r="L35" s="348">
        <f t="shared" si="4"/>
        <v>0.1468086499957427</v>
      </c>
      <c r="M35" s="878"/>
      <c r="N35" s="878"/>
      <c r="O35" s="231"/>
      <c r="P35" s="231"/>
      <c r="Q35" s="231"/>
      <c r="R35" s="231"/>
      <c r="S35" s="231"/>
    </row>
    <row r="36" spans="1:19" s="349" customFormat="1" ht="18">
      <c r="A36" s="234">
        <f t="shared" si="6"/>
        <v>46109</v>
      </c>
      <c r="B36" s="368">
        <v>4079657.86</v>
      </c>
      <c r="C36" s="369">
        <v>8200.639799999999</v>
      </c>
      <c r="D36" s="314">
        <f t="shared" si="0"/>
        <v>2.010129300401676E-3</v>
      </c>
      <c r="E36" s="369">
        <v>18016.690200000008</v>
      </c>
      <c r="F36" s="230">
        <f t="shared" si="1"/>
        <v>4.4162257763448844E-3</v>
      </c>
      <c r="G36" s="368">
        <v>1912.8513</v>
      </c>
      <c r="H36" s="230">
        <f t="shared" si="2"/>
        <v>0.23325634909607909</v>
      </c>
      <c r="I36" s="233">
        <v>9265.8551000000207</v>
      </c>
      <c r="J36" s="230">
        <f t="shared" si="3"/>
        <v>0.51429285829647098</v>
      </c>
      <c r="K36" s="347">
        <v>1210.8479</v>
      </c>
      <c r="L36" s="348">
        <f t="shared" si="4"/>
        <v>0.14765285752460439</v>
      </c>
      <c r="M36" s="878"/>
      <c r="N36" s="878"/>
      <c r="O36" s="231"/>
      <c r="P36" s="231"/>
      <c r="Q36" s="231"/>
      <c r="R36" s="231"/>
      <c r="S36" s="231"/>
    </row>
    <row r="37" spans="1:19" s="349" customFormat="1" ht="18">
      <c r="A37" s="234">
        <f t="shared" si="6"/>
        <v>46110</v>
      </c>
      <c r="B37" s="368">
        <v>5382127.5800000001</v>
      </c>
      <c r="C37" s="369">
        <v>10795.875000000002</v>
      </c>
      <c r="D37" s="314">
        <f t="shared" si="0"/>
        <v>2.0058749703588414E-3</v>
      </c>
      <c r="E37" s="369">
        <v>23951.452300000026</v>
      </c>
      <c r="F37" s="230">
        <f t="shared" si="1"/>
        <v>4.4501829330474601E-3</v>
      </c>
      <c r="G37" s="368">
        <v>2071.1692000000003</v>
      </c>
      <c r="H37" s="230">
        <f t="shared" si="2"/>
        <v>0.19184820128058169</v>
      </c>
      <c r="I37" s="233">
        <v>13343.669000000018</v>
      </c>
      <c r="J37" s="230">
        <f t="shared" si="3"/>
        <v>0.55711314841647419</v>
      </c>
      <c r="K37" s="347">
        <v>1136.9494</v>
      </c>
      <c r="L37" s="348">
        <f t="shared" si="4"/>
        <v>0.10531331642872854</v>
      </c>
      <c r="M37" s="878"/>
      <c r="N37" s="878"/>
      <c r="O37" s="231"/>
      <c r="P37" s="231"/>
      <c r="Q37" s="231"/>
      <c r="R37" s="231"/>
      <c r="S37" s="231"/>
    </row>
    <row r="38" spans="1:19" s="349" customFormat="1" ht="18">
      <c r="A38" s="234">
        <f t="shared" si="6"/>
        <v>46111</v>
      </c>
      <c r="B38" s="368">
        <v>5101122.3099999996</v>
      </c>
      <c r="C38" s="369">
        <v>10210.101499999999</v>
      </c>
      <c r="D38" s="314">
        <f t="shared" si="0"/>
        <v>2.0015402257625931E-3</v>
      </c>
      <c r="E38" s="369">
        <v>22678.078799999985</v>
      </c>
      <c r="F38" s="230">
        <f t="shared" si="1"/>
        <v>4.4457037925836338E-3</v>
      </c>
      <c r="G38" s="368">
        <v>2063.5360000000001</v>
      </c>
      <c r="H38" s="230">
        <f t="shared" si="2"/>
        <v>0.20210729540739633</v>
      </c>
      <c r="I38" s="233">
        <v>12354.684599999975</v>
      </c>
      <c r="J38" s="230">
        <f t="shared" si="3"/>
        <v>0.5447853281116557</v>
      </c>
      <c r="K38" s="347">
        <v>903.89269999999999</v>
      </c>
      <c r="L38" s="348">
        <f t="shared" si="4"/>
        <v>8.8529257030402694E-2</v>
      </c>
      <c r="M38" s="878"/>
      <c r="N38" s="878"/>
      <c r="O38" s="231"/>
      <c r="P38" s="231"/>
      <c r="Q38" s="231"/>
      <c r="R38" s="231"/>
      <c r="S38" s="231"/>
    </row>
    <row r="39" spans="1:19" s="349" customFormat="1" ht="18">
      <c r="A39" s="234">
        <f t="shared" si="6"/>
        <v>46112</v>
      </c>
      <c r="B39" s="368">
        <v>5566321.9800000004</v>
      </c>
      <c r="C39" s="369">
        <v>11196.816200000003</v>
      </c>
      <c r="D39" s="314">
        <f t="shared" si="0"/>
        <v>2.0115286611573271E-3</v>
      </c>
      <c r="E39" s="369">
        <v>24923.591999999993</v>
      </c>
      <c r="F39" s="230">
        <f t="shared" si="1"/>
        <v>4.4775692260619086E-3</v>
      </c>
      <c r="G39" s="368">
        <v>2102.6657</v>
      </c>
      <c r="H39" s="230">
        <f t="shared" si="2"/>
        <v>0.18779139198516087</v>
      </c>
      <c r="I39" s="233">
        <v>15202.679400000026</v>
      </c>
      <c r="J39" s="230">
        <f t="shared" si="3"/>
        <v>0.60997144392349345</v>
      </c>
      <c r="K39" s="347">
        <v>779.36860000000001</v>
      </c>
      <c r="L39" s="348">
        <f t="shared" si="4"/>
        <v>6.9606268967780299E-2</v>
      </c>
      <c r="M39" s="878">
        <f>SUM(C39:C45)</f>
        <v>60576.4522</v>
      </c>
      <c r="N39" s="878">
        <f>SUM(E39:E45)</f>
        <v>133821.05619999993</v>
      </c>
      <c r="O39" s="231"/>
      <c r="P39" s="231"/>
      <c r="Q39" s="231"/>
      <c r="R39" s="231"/>
      <c r="S39" s="231"/>
    </row>
    <row r="40" spans="1:19" s="349" customFormat="1" ht="18">
      <c r="A40" s="234">
        <f t="shared" si="6"/>
        <v>46113</v>
      </c>
      <c r="B40" s="368">
        <v>4658389.7300000004</v>
      </c>
      <c r="C40" s="369">
        <v>9364.2979000000032</v>
      </c>
      <c r="D40" s="314">
        <f t="shared" si="0"/>
        <v>2.0102006149665804E-3</v>
      </c>
      <c r="E40" s="369">
        <v>20737.639899999976</v>
      </c>
      <c r="F40" s="230">
        <f t="shared" si="1"/>
        <v>4.4516756007874792E-3</v>
      </c>
      <c r="G40" s="368">
        <v>2218.7337000000002</v>
      </c>
      <c r="H40" s="230">
        <f t="shared" si="2"/>
        <v>0.23693540334721724</v>
      </c>
      <c r="I40" s="233">
        <v>12772.654599999985</v>
      </c>
      <c r="J40" s="230">
        <f t="shared" si="3"/>
        <v>0.61591650070073789</v>
      </c>
      <c r="K40" s="347">
        <v>1409.2616</v>
      </c>
      <c r="L40" s="348">
        <f t="shared" si="4"/>
        <v>0.15049303375963718</v>
      </c>
      <c r="M40" s="878"/>
      <c r="N40" s="878"/>
      <c r="O40" s="231"/>
      <c r="P40" s="231"/>
      <c r="Q40" s="231"/>
      <c r="R40" s="231"/>
      <c r="S40" s="231"/>
    </row>
    <row r="41" spans="1:19" s="349" customFormat="1" ht="18">
      <c r="A41" s="234">
        <f t="shared" si="6"/>
        <v>46114</v>
      </c>
      <c r="B41" s="368">
        <v>3718970.84</v>
      </c>
      <c r="C41" s="369">
        <v>7496.5574999999981</v>
      </c>
      <c r="D41" s="314">
        <f t="shared" si="0"/>
        <v>2.0157613013174359E-3</v>
      </c>
      <c r="E41" s="369">
        <v>16488.269899999992</v>
      </c>
      <c r="F41" s="230">
        <f t="shared" si="1"/>
        <v>4.4335571880956166E-3</v>
      </c>
      <c r="G41" s="368">
        <v>2324.154</v>
      </c>
      <c r="H41" s="230">
        <f t="shared" si="2"/>
        <v>0.31002950354212594</v>
      </c>
      <c r="I41" s="233">
        <v>9058.1026999999885</v>
      </c>
      <c r="J41" s="230">
        <f t="shared" si="3"/>
        <v>0.54936647416233719</v>
      </c>
      <c r="K41" s="347">
        <v>1276.5318</v>
      </c>
      <c r="L41" s="348">
        <f t="shared" si="4"/>
        <v>0.17028239962142627</v>
      </c>
      <c r="M41" s="878"/>
      <c r="N41" s="878"/>
      <c r="O41" s="231"/>
      <c r="P41" s="231"/>
      <c r="Q41" s="231"/>
      <c r="R41" s="231"/>
      <c r="S41" s="231"/>
    </row>
    <row r="42" spans="1:19" s="349" customFormat="1" ht="18">
      <c r="A42" s="234">
        <f t="shared" si="6"/>
        <v>46115</v>
      </c>
      <c r="B42" s="368">
        <v>3549995.84</v>
      </c>
      <c r="C42" s="369">
        <v>7136.2804999999998</v>
      </c>
      <c r="D42" s="314">
        <f t="shared" si="0"/>
        <v>2.0102222147956096E-3</v>
      </c>
      <c r="E42" s="369">
        <v>15659.664999999992</v>
      </c>
      <c r="F42" s="230">
        <f t="shared" si="1"/>
        <v>4.4111784085921609E-3</v>
      </c>
      <c r="G42" s="368">
        <v>2275.0208000000002</v>
      </c>
      <c r="H42" s="230">
        <f t="shared" si="2"/>
        <v>0.31879643744384772</v>
      </c>
      <c r="I42" s="233">
        <v>7682.5221999999976</v>
      </c>
      <c r="J42" s="230">
        <f t="shared" si="3"/>
        <v>0.49059301077002615</v>
      </c>
      <c r="K42" s="347">
        <v>1200.6416999999999</v>
      </c>
      <c r="L42" s="348">
        <f t="shared" si="4"/>
        <v>0.16824474598497074</v>
      </c>
      <c r="M42" s="878"/>
      <c r="N42" s="878"/>
      <c r="O42" s="231"/>
      <c r="P42" s="231"/>
      <c r="Q42" s="231"/>
      <c r="R42" s="231"/>
      <c r="S42" s="231"/>
    </row>
    <row r="43" spans="1:19" s="349" customFormat="1" ht="18">
      <c r="A43" s="234">
        <f t="shared" si="6"/>
        <v>46116</v>
      </c>
      <c r="B43" s="368">
        <v>3467991.88</v>
      </c>
      <c r="C43" s="369">
        <v>6956.0736999999999</v>
      </c>
      <c r="D43" s="314">
        <f t="shared" si="0"/>
        <v>2.0057929605071627E-3</v>
      </c>
      <c r="E43" s="369">
        <v>15271.984300000015</v>
      </c>
      <c r="F43" s="230">
        <f t="shared" si="1"/>
        <v>4.4036966718618772E-3</v>
      </c>
      <c r="G43" s="368">
        <v>1897.5771000000002</v>
      </c>
      <c r="H43" s="230">
        <f t="shared" si="2"/>
        <v>0.27279427761094599</v>
      </c>
      <c r="I43" s="233">
        <v>8295.1485000000048</v>
      </c>
      <c r="J43" s="230">
        <f t="shared" si="3"/>
        <v>0.54316114638750623</v>
      </c>
      <c r="K43" s="347">
        <v>884.4283999999999</v>
      </c>
      <c r="L43" s="348">
        <f t="shared" si="4"/>
        <v>0.12714477133846352</v>
      </c>
      <c r="M43" s="878"/>
      <c r="N43" s="878"/>
      <c r="O43" s="231"/>
      <c r="P43" s="231"/>
      <c r="Q43" s="231"/>
      <c r="R43" s="231"/>
      <c r="S43" s="231"/>
    </row>
    <row r="44" spans="1:19" s="349" customFormat="1" ht="18">
      <c r="A44" s="234">
        <f t="shared" si="6"/>
        <v>46117</v>
      </c>
      <c r="B44" s="368">
        <v>3900098.74</v>
      </c>
      <c r="C44" s="369">
        <v>7832.2422000000006</v>
      </c>
      <c r="D44" s="314">
        <f t="shared" si="0"/>
        <v>2.0082163868497338E-3</v>
      </c>
      <c r="E44" s="369">
        <v>17207.015900000017</v>
      </c>
      <c r="F44" s="230">
        <f t="shared" si="1"/>
        <v>4.411943657611093E-3</v>
      </c>
      <c r="G44" s="368">
        <v>1971.9782</v>
      </c>
      <c r="H44" s="230">
        <f t="shared" si="2"/>
        <v>0.25177696879700678</v>
      </c>
      <c r="I44" s="233">
        <v>9575.5978000000014</v>
      </c>
      <c r="J44" s="230">
        <f t="shared" si="3"/>
        <v>0.55649380785427138</v>
      </c>
      <c r="K44" s="347">
        <v>984.58799999999997</v>
      </c>
      <c r="L44" s="348">
        <f t="shared" si="4"/>
        <v>0.12570959565065543</v>
      </c>
      <c r="M44" s="878"/>
      <c r="N44" s="878"/>
      <c r="O44" s="231"/>
      <c r="P44" s="231"/>
      <c r="Q44" s="231"/>
      <c r="R44" s="231"/>
      <c r="S44" s="231"/>
    </row>
    <row r="45" spans="1:19" s="349" customFormat="1" ht="18">
      <c r="A45" s="234">
        <f t="shared" si="6"/>
        <v>46118</v>
      </c>
      <c r="B45" s="368">
        <v>5259985.6399999997</v>
      </c>
      <c r="C45" s="369">
        <v>10594.1842</v>
      </c>
      <c r="D45" s="314">
        <f t="shared" si="0"/>
        <v>2.0141089586700849E-3</v>
      </c>
      <c r="E45" s="369">
        <v>23532.889199999954</v>
      </c>
      <c r="F45" s="230">
        <f t="shared" si="1"/>
        <v>4.4739455220261697E-3</v>
      </c>
      <c r="G45" s="368">
        <v>2112.5313999999998</v>
      </c>
      <c r="H45" s="230">
        <f t="shared" si="2"/>
        <v>0.19940482061846723</v>
      </c>
      <c r="I45" s="233">
        <v>13443.48359999998</v>
      </c>
      <c r="J45" s="230">
        <f t="shared" si="3"/>
        <v>0.57126362537754205</v>
      </c>
      <c r="K45" s="347">
        <v>951.99349999999993</v>
      </c>
      <c r="L45" s="348">
        <f t="shared" si="4"/>
        <v>8.9860010174261457E-2</v>
      </c>
      <c r="M45" s="878"/>
      <c r="N45" s="878"/>
      <c r="O45" s="231"/>
      <c r="P45" s="231"/>
      <c r="Q45" s="231"/>
      <c r="R45" s="231"/>
      <c r="S45" s="231"/>
    </row>
    <row r="47" spans="1:19" ht="18">
      <c r="A47" s="234" t="s">
        <v>476</v>
      </c>
      <c r="B47" s="371">
        <f>SUM(B9:B39)</f>
        <v>148837998.42999995</v>
      </c>
      <c r="C47" s="371">
        <f>SUM(C9:C39)</f>
        <v>300999.54631999996</v>
      </c>
      <c r="D47" s="372">
        <f>C47/B47</f>
        <v>2.0223299795419057E-3</v>
      </c>
      <c r="E47" s="371">
        <f>SUM(E9:E39)</f>
        <v>723832.20391999977</v>
      </c>
      <c r="F47" s="373">
        <f>E47/B47</f>
        <v>4.8632218355208904E-3</v>
      </c>
      <c r="G47" s="371">
        <f>SUM(G9:G39)</f>
        <v>59871.32009999999</v>
      </c>
      <c r="H47" s="374">
        <f>G47/C47</f>
        <v>0.19890834000244415</v>
      </c>
      <c r="I47" s="371">
        <f>SUM(I9:I39)</f>
        <v>376867.47689999995</v>
      </c>
      <c r="J47" s="374">
        <f>I47/E47</f>
        <v>0.52065585761317212</v>
      </c>
      <c r="K47" s="371">
        <f>SUM(K9:K39)</f>
        <v>28610.825520000002</v>
      </c>
      <c r="L47" s="375">
        <f>K47/C47</f>
        <v>9.505271974590665E-2</v>
      </c>
    </row>
  </sheetData>
  <mergeCells count="24">
    <mergeCell ref="K2:L2"/>
    <mergeCell ref="A1:N1"/>
    <mergeCell ref="M2:M3"/>
    <mergeCell ref="N2:N3"/>
    <mergeCell ref="I2:J2"/>
    <mergeCell ref="A2:A3"/>
    <mergeCell ref="B2:B3"/>
    <mergeCell ref="C2:C3"/>
    <mergeCell ref="D2:D3"/>
    <mergeCell ref="E2:E3"/>
    <mergeCell ref="F2:F3"/>
    <mergeCell ref="G2:H2"/>
    <mergeCell ref="M4:M10"/>
    <mergeCell ref="N4:N10"/>
    <mergeCell ref="M11:M17"/>
    <mergeCell ref="N11:N17"/>
    <mergeCell ref="M18:M24"/>
    <mergeCell ref="N18:N24"/>
    <mergeCell ref="M32:M38"/>
    <mergeCell ref="N32:N38"/>
    <mergeCell ref="M25:M31"/>
    <mergeCell ref="N25:N31"/>
    <mergeCell ref="M39:M45"/>
    <mergeCell ref="N39:N45"/>
  </mergeCells>
  <phoneticPr fontId="16" type="noConversion"/>
  <conditionalFormatting sqref="A4:A45">
    <cfRule type="timePeriod" dxfId="6" priority="4" timePeriod="yesterday">
      <formula>FLOOR(A4,1)=TODAY()-1</formula>
    </cfRule>
  </conditionalFormatting>
  <conditionalFormatting sqref="D4:D45">
    <cfRule type="cellIs" dxfId="5" priority="7" operator="greaterThan">
      <formula>0.0025</formula>
    </cfRule>
  </conditionalFormatting>
  <conditionalFormatting sqref="D47">
    <cfRule type="cellIs" dxfId="4" priority="19" operator="greaterThan">
      <formula>0.0025</formula>
    </cfRule>
  </conditionalFormatting>
  <conditionalFormatting sqref="H47 J47">
    <cfRule type="cellIs" dxfId="3" priority="18" operator="greaterThan">
      <formula>0.16</formula>
    </cfRule>
  </conditionalFormatting>
  <conditionalFormatting sqref="H4:J45">
    <cfRule type="cellIs" dxfId="2" priority="2" operator="greaterThan">
      <formula>0.16</formula>
    </cfRule>
  </conditionalFormatting>
  <conditionalFormatting sqref="L4:L45">
    <cfRule type="cellIs" dxfId="1" priority="6" operator="greaterThan">
      <formula>0.15</formula>
    </cfRule>
  </conditionalFormatting>
  <conditionalFormatting sqref="L47">
    <cfRule type="cellIs" dxfId="0" priority="17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>
    <tabColor rgb="FF92D050"/>
    <pageSetUpPr fitToPage="1"/>
  </sheetPr>
  <dimension ref="B2:AH200"/>
  <sheetViews>
    <sheetView zoomScale="70" zoomScaleNormal="70" workbookViewId="0">
      <pane xSplit="3" ySplit="2" topLeftCell="W119" activePane="bottomRight" state="frozen"/>
      <selection pane="topRight" activeCell="D1" sqref="D1"/>
      <selection pane="bottomLeft" activeCell="A4" sqref="A4"/>
      <selection pane="bottomRight" activeCell="AB129" sqref="AB129"/>
    </sheetView>
  </sheetViews>
  <sheetFormatPr defaultColWidth="8.81640625" defaultRowHeight="16"/>
  <cols>
    <col min="1" max="1" width="8.81640625" style="146"/>
    <col min="2" max="2" width="12.453125" style="146" customWidth="1"/>
    <col min="3" max="3" width="8.81640625" style="146"/>
    <col min="4" max="4" width="11.54296875" style="146" customWidth="1"/>
    <col min="5" max="5" width="39.26953125" style="146" bestFit="1" customWidth="1"/>
    <col min="6" max="6" width="11.453125" style="146" bestFit="1" customWidth="1"/>
    <col min="7" max="8" width="17.26953125" style="146" bestFit="1" customWidth="1"/>
    <col min="9" max="9" width="16.81640625" style="146" customWidth="1"/>
    <col min="10" max="10" width="14" style="146" customWidth="1"/>
    <col min="11" max="11" width="11.54296875" style="146" bestFit="1" customWidth="1"/>
    <col min="12" max="12" width="10.81640625" style="146" bestFit="1" customWidth="1"/>
    <col min="13" max="13" width="19.1796875" style="146" bestFit="1" customWidth="1"/>
    <col min="14" max="14" width="15.26953125" style="146" bestFit="1" customWidth="1"/>
    <col min="15" max="15" width="12.54296875" style="146" bestFit="1" customWidth="1"/>
    <col min="16" max="16" width="12.81640625" style="146" bestFit="1" customWidth="1"/>
    <col min="17" max="17" width="13.453125" style="146" bestFit="1" customWidth="1"/>
    <col min="18" max="18" width="12.81640625" style="146" bestFit="1" customWidth="1"/>
    <col min="19" max="19" width="10.81640625" style="146" bestFit="1" customWidth="1"/>
    <col min="20" max="20" width="12.453125" style="146" bestFit="1" customWidth="1"/>
    <col min="21" max="21" width="25.26953125" style="146" bestFit="1" customWidth="1"/>
    <col min="22" max="22" width="88.26953125" style="146" customWidth="1"/>
    <col min="23" max="23" width="117.7265625" style="146" bestFit="1" customWidth="1"/>
    <col min="24" max="24" width="7.453125" style="146" bestFit="1" customWidth="1"/>
    <col min="25" max="25" width="69.54296875" style="146" bestFit="1" customWidth="1"/>
    <col min="26" max="26" width="11.453125" style="146" bestFit="1" customWidth="1"/>
    <col min="27" max="27" width="21.54296875" style="146" customWidth="1"/>
    <col min="28" max="28" width="19.453125" style="146" bestFit="1" customWidth="1"/>
    <col min="29" max="34" width="14.453125" style="146" customWidth="1"/>
    <col min="35" max="16384" width="8.81640625" style="146"/>
  </cols>
  <sheetData>
    <row r="2" spans="2:34" ht="41.15" customHeight="1">
      <c r="B2" s="915" t="s">
        <v>487</v>
      </c>
      <c r="C2" s="916"/>
      <c r="D2" s="916"/>
      <c r="E2" s="916"/>
      <c r="F2" s="916"/>
      <c r="G2" s="916"/>
      <c r="H2" s="916"/>
      <c r="I2" s="916"/>
      <c r="J2" s="916"/>
      <c r="K2" s="916"/>
      <c r="L2" s="916"/>
      <c r="M2" s="916"/>
      <c r="N2" s="916"/>
      <c r="O2" s="916"/>
      <c r="P2" s="916"/>
      <c r="Q2" s="916"/>
      <c r="R2" s="916"/>
      <c r="S2" s="916"/>
      <c r="T2" s="916"/>
      <c r="U2" s="916"/>
      <c r="V2" s="916"/>
      <c r="W2" s="916"/>
      <c r="X2" s="916"/>
      <c r="Y2" s="916"/>
      <c r="AA2" s="147"/>
      <c r="AB2" s="147"/>
    </row>
    <row r="3" spans="2:34" ht="17.149999999999999" customHeight="1">
      <c r="B3" s="903" t="s">
        <v>488</v>
      </c>
      <c r="C3" s="904"/>
      <c r="D3" s="900" t="s">
        <v>172</v>
      </c>
      <c r="E3" s="900"/>
      <c r="F3" s="900"/>
      <c r="G3" s="900" t="s">
        <v>186</v>
      </c>
      <c r="H3" s="900"/>
      <c r="I3" s="900"/>
      <c r="J3" s="900"/>
      <c r="K3" s="900"/>
      <c r="L3" s="900"/>
      <c r="M3" s="900"/>
      <c r="N3" s="900"/>
      <c r="O3" s="900"/>
      <c r="P3" s="900"/>
      <c r="Q3" s="900"/>
      <c r="R3" s="900"/>
      <c r="S3" s="900"/>
      <c r="T3" s="900" t="s">
        <v>173</v>
      </c>
      <c r="U3" s="890" t="s">
        <v>247</v>
      </c>
      <c r="V3" s="909" t="s">
        <v>489</v>
      </c>
      <c r="W3" s="909" t="s">
        <v>490</v>
      </c>
      <c r="X3" s="912" t="s">
        <v>248</v>
      </c>
      <c r="Y3" s="901" t="s">
        <v>174</v>
      </c>
      <c r="AA3" s="890" t="s">
        <v>249</v>
      </c>
      <c r="AB3" s="891"/>
      <c r="AC3" s="891"/>
      <c r="AD3" s="891"/>
      <c r="AE3" s="891"/>
      <c r="AF3" s="891"/>
      <c r="AG3" s="891"/>
      <c r="AH3" s="892"/>
    </row>
    <row r="4" spans="2:34" ht="17.149999999999999" customHeight="1">
      <c r="B4" s="905"/>
      <c r="C4" s="906"/>
      <c r="D4" s="899" t="s">
        <v>171</v>
      </c>
      <c r="E4" s="900" t="s">
        <v>175</v>
      </c>
      <c r="F4" s="900"/>
      <c r="G4" s="900" t="s">
        <v>187</v>
      </c>
      <c r="H4" s="900"/>
      <c r="I4" s="900"/>
      <c r="J4" s="900"/>
      <c r="K4" s="900"/>
      <c r="L4" s="900"/>
      <c r="M4" s="900"/>
      <c r="N4" s="900"/>
      <c r="O4" s="900" t="s">
        <v>176</v>
      </c>
      <c r="P4" s="900"/>
      <c r="Q4" s="900"/>
      <c r="R4" s="900"/>
      <c r="S4" s="900"/>
      <c r="T4" s="900"/>
      <c r="U4" s="893"/>
      <c r="V4" s="910"/>
      <c r="W4" s="910"/>
      <c r="X4" s="913"/>
      <c r="Y4" s="901"/>
      <c r="AA4" s="893"/>
      <c r="AB4" s="894"/>
      <c r="AC4" s="894"/>
      <c r="AD4" s="894"/>
      <c r="AE4" s="894"/>
      <c r="AF4" s="894"/>
      <c r="AG4" s="894"/>
      <c r="AH4" s="895"/>
    </row>
    <row r="5" spans="2:34" ht="17.149999999999999" customHeight="1">
      <c r="B5" s="905"/>
      <c r="C5" s="906"/>
      <c r="D5" s="899"/>
      <c r="E5" s="899" t="s">
        <v>177</v>
      </c>
      <c r="F5" s="901" t="s">
        <v>250</v>
      </c>
      <c r="G5" s="902" t="s">
        <v>188</v>
      </c>
      <c r="H5" s="902"/>
      <c r="I5" s="902"/>
      <c r="J5" s="902"/>
      <c r="K5" s="902"/>
      <c r="L5" s="902"/>
      <c r="M5" s="902"/>
      <c r="N5" s="902"/>
      <c r="O5" s="902" t="s">
        <v>170</v>
      </c>
      <c r="P5" s="902"/>
      <c r="Q5" s="902" t="s">
        <v>178</v>
      </c>
      <c r="R5" s="902"/>
      <c r="S5" s="902"/>
      <c r="T5" s="900"/>
      <c r="U5" s="893"/>
      <c r="V5" s="910"/>
      <c r="W5" s="910"/>
      <c r="X5" s="913"/>
      <c r="Y5" s="901"/>
      <c r="AA5" s="896"/>
      <c r="AB5" s="897"/>
      <c r="AC5" s="897"/>
      <c r="AD5" s="897"/>
      <c r="AE5" s="897"/>
      <c r="AF5" s="897"/>
      <c r="AG5" s="897"/>
      <c r="AH5" s="898"/>
    </row>
    <row r="6" spans="2:34" ht="38.5" customHeight="1">
      <c r="B6" s="907"/>
      <c r="C6" s="908"/>
      <c r="D6" s="899"/>
      <c r="E6" s="899"/>
      <c r="F6" s="901"/>
      <c r="G6" s="388" t="s">
        <v>179</v>
      </c>
      <c r="H6" s="388" t="s">
        <v>254</v>
      </c>
      <c r="I6" s="388" t="s">
        <v>255</v>
      </c>
      <c r="J6" s="388" t="s">
        <v>180</v>
      </c>
      <c r="K6" s="388" t="s">
        <v>252</v>
      </c>
      <c r="L6" s="388" t="s">
        <v>181</v>
      </c>
      <c r="M6" s="388" t="s">
        <v>189</v>
      </c>
      <c r="N6" s="388" t="s">
        <v>182</v>
      </c>
      <c r="O6" s="389" t="s">
        <v>183</v>
      </c>
      <c r="P6" s="389" t="s">
        <v>184</v>
      </c>
      <c r="Q6" s="389" t="s">
        <v>183</v>
      </c>
      <c r="R6" s="389" t="s">
        <v>184</v>
      </c>
      <c r="S6" s="388" t="s">
        <v>185</v>
      </c>
      <c r="T6" s="900"/>
      <c r="U6" s="896"/>
      <c r="V6" s="911"/>
      <c r="W6" s="911"/>
      <c r="X6" s="914"/>
      <c r="Y6" s="901"/>
      <c r="AA6" s="161" t="s">
        <v>246</v>
      </c>
      <c r="AB6" s="161" t="s">
        <v>491</v>
      </c>
      <c r="AC6" s="156" t="s">
        <v>397</v>
      </c>
      <c r="AD6" s="156" t="s">
        <v>341</v>
      </c>
      <c r="AE6" s="156" t="s">
        <v>465</v>
      </c>
      <c r="AF6" s="156" t="s">
        <v>217</v>
      </c>
      <c r="AG6" s="156" t="s">
        <v>218</v>
      </c>
      <c r="AH6" s="156" t="s">
        <v>398</v>
      </c>
    </row>
    <row r="7" spans="2:34" s="148" customFormat="1" ht="27" customHeight="1">
      <c r="B7" s="884" t="s">
        <v>559</v>
      </c>
      <c r="C7" s="885"/>
      <c r="D7" s="387">
        <v>1</v>
      </c>
      <c r="E7" s="390" t="s">
        <v>480</v>
      </c>
      <c r="F7" s="391">
        <v>1710.7662</v>
      </c>
      <c r="G7" s="392">
        <v>488.12</v>
      </c>
      <c r="H7" s="392">
        <v>498.69</v>
      </c>
      <c r="I7" s="393">
        <f>H7/G7</f>
        <v>1.021654511185774</v>
      </c>
      <c r="J7" s="392">
        <v>0</v>
      </c>
      <c r="K7" s="393">
        <f>J7/G7</f>
        <v>0</v>
      </c>
      <c r="L7" s="392">
        <v>181.60999999999999</v>
      </c>
      <c r="M7" s="393">
        <f>(H7+J7)/G7</f>
        <v>1.021654511185774</v>
      </c>
      <c r="N7" s="394">
        <v>1919.6177</v>
      </c>
      <c r="O7" s="392">
        <v>9.4200000000000017</v>
      </c>
      <c r="P7" s="393">
        <f>O7/G7</f>
        <v>1.9298533147586661E-2</v>
      </c>
      <c r="Q7" s="395">
        <f>((H7+J7)-G7)-O7</f>
        <v>1.1499999999999915</v>
      </c>
      <c r="R7" s="393">
        <f>Q7/G7</f>
        <v>2.3559780381873134E-3</v>
      </c>
      <c r="S7" s="396">
        <f>Q7*L7</f>
        <v>208.85149999999842</v>
      </c>
      <c r="T7" s="397" t="s">
        <v>432</v>
      </c>
      <c r="U7" s="397" t="s">
        <v>491</v>
      </c>
      <c r="V7" s="398" t="s">
        <v>502</v>
      </c>
      <c r="W7" s="398" t="s">
        <v>503</v>
      </c>
      <c r="X7" s="398">
        <v>1</v>
      </c>
      <c r="Y7" s="399" t="s">
        <v>479</v>
      </c>
      <c r="Z7" s="400" t="s">
        <v>492</v>
      </c>
      <c r="AA7" s="410">
        <f>SUM(X7:X26)</f>
        <v>20</v>
      </c>
      <c r="AB7" s="402">
        <f>SUMIF($U$7:$U$26,TRIM(AB6),$X$7:$X$26)</f>
        <v>14</v>
      </c>
      <c r="AC7" s="402">
        <f t="shared" ref="AC7:AG7" si="0">SUMIF($U$7:$U$26,TRIM(AC6),$X$7:$X$26)</f>
        <v>0</v>
      </c>
      <c r="AD7" s="402">
        <f t="shared" si="0"/>
        <v>4</v>
      </c>
      <c r="AE7" s="402">
        <f t="shared" si="0"/>
        <v>0</v>
      </c>
      <c r="AF7" s="402">
        <f t="shared" si="0"/>
        <v>1</v>
      </c>
      <c r="AG7" s="402">
        <f t="shared" si="0"/>
        <v>1</v>
      </c>
      <c r="AH7" s="402">
        <f>SUMIF($U$7:$U$26,TRIM(AH6),$X$7:$X$26)</f>
        <v>0</v>
      </c>
    </row>
    <row r="8" spans="2:34" s="148" customFormat="1" ht="27" customHeight="1">
      <c r="B8" s="886"/>
      <c r="C8" s="887"/>
      <c r="D8" s="387">
        <v>2</v>
      </c>
      <c r="E8" s="390" t="s">
        <v>494</v>
      </c>
      <c r="F8" s="391">
        <v>1376.9</v>
      </c>
      <c r="G8" s="392">
        <v>136778</v>
      </c>
      <c r="H8" s="392">
        <v>137340</v>
      </c>
      <c r="I8" s="393">
        <f t="shared" ref="I8:I9" si="1">H8/G8</f>
        <v>1.0041088479141382</v>
      </c>
      <c r="J8" s="392">
        <v>0</v>
      </c>
      <c r="K8" s="393">
        <f t="shared" ref="K8:K13" si="2">J8/G8</f>
        <v>0</v>
      </c>
      <c r="L8" s="392">
        <v>2.4499999999999997</v>
      </c>
      <c r="M8" s="393">
        <f t="shared" ref="M8:M13" si="3">(H8+J8)/G8</f>
        <v>1.0041088479141382</v>
      </c>
      <c r="N8" s="394">
        <v>1376.9</v>
      </c>
      <c r="O8" s="392">
        <v>562</v>
      </c>
      <c r="P8" s="393">
        <f t="shared" ref="P8:P26" si="4">O8/G8</f>
        <v>4.1088479141382387E-3</v>
      </c>
      <c r="Q8" s="395">
        <f t="shared" ref="Q8:Q26" si="5">((H8+J8)-G8)-O8</f>
        <v>0</v>
      </c>
      <c r="R8" s="393">
        <f t="shared" ref="R8:R26" si="6">Q8/G8</f>
        <v>0</v>
      </c>
      <c r="S8" s="396">
        <f t="shared" ref="S8:S26" si="7">Q8*L8</f>
        <v>0</v>
      </c>
      <c r="T8" s="397" t="s">
        <v>432</v>
      </c>
      <c r="U8" s="397" t="s">
        <v>341</v>
      </c>
      <c r="V8" s="398" t="s">
        <v>586</v>
      </c>
      <c r="W8" s="398" t="s">
        <v>587</v>
      </c>
      <c r="X8" s="398">
        <v>1</v>
      </c>
      <c r="Y8" s="399" t="s">
        <v>344</v>
      </c>
      <c r="AA8" s="411"/>
      <c r="AB8" s="408">
        <f>SUMIF($U7:$U$26,TRIM(AB6),$F$7:$F$26)</f>
        <v>15102.013300000001</v>
      </c>
      <c r="AC8" s="408">
        <f>SUMIF($U7:$U$26,TRIM(AC6),$F$7:$F$26)</f>
        <v>0</v>
      </c>
      <c r="AD8" s="408">
        <f>SUMIF($U7:$U$26,TRIM(AD6),$F$7:$F$26)</f>
        <v>4863.9854000000005</v>
      </c>
      <c r="AE8" s="408">
        <f>SUMIF($U7:$U$26,TRIM(AE6),$F$7:$F$26)</f>
        <v>0</v>
      </c>
      <c r="AF8" s="408">
        <f>SUMIF($U7:$U$26,TRIM(AF6),$F$7:$F$26)</f>
        <v>1008.96</v>
      </c>
      <c r="AG8" s="408">
        <f>SUMIF($U7:$U$26,TRIM(AG6),$F$7:$F$26)</f>
        <v>1266.9000000000001</v>
      </c>
      <c r="AH8" s="408">
        <f>SUMIF($U7:$U$26,TRIM(AH6),$F$7:$F$26)</f>
        <v>0</v>
      </c>
    </row>
    <row r="9" spans="2:34" s="148" customFormat="1" ht="27" customHeight="1">
      <c r="B9" s="886"/>
      <c r="C9" s="887"/>
      <c r="D9" s="387">
        <v>3</v>
      </c>
      <c r="E9" s="390" t="s">
        <v>493</v>
      </c>
      <c r="F9" s="391">
        <v>1295.1899999999998</v>
      </c>
      <c r="G9" s="392">
        <v>235161</v>
      </c>
      <c r="H9" s="392">
        <v>236268</v>
      </c>
      <c r="I9" s="393">
        <f t="shared" si="1"/>
        <v>1.0047074132190286</v>
      </c>
      <c r="J9" s="392">
        <v>0</v>
      </c>
      <c r="K9" s="393">
        <f t="shared" si="2"/>
        <v>0</v>
      </c>
      <c r="L9" s="392">
        <v>1.17</v>
      </c>
      <c r="M9" s="393">
        <f t="shared" si="3"/>
        <v>1.0047074132190286</v>
      </c>
      <c r="N9" s="394">
        <v>1295.1899999999998</v>
      </c>
      <c r="O9" s="392">
        <v>1107</v>
      </c>
      <c r="P9" s="393">
        <f t="shared" si="4"/>
        <v>4.7074132190286656E-3</v>
      </c>
      <c r="Q9" s="395">
        <f t="shared" si="5"/>
        <v>0</v>
      </c>
      <c r="R9" s="393">
        <f t="shared" si="6"/>
        <v>0</v>
      </c>
      <c r="S9" s="396">
        <f t="shared" si="7"/>
        <v>0</v>
      </c>
      <c r="T9" s="397" t="s">
        <v>432</v>
      </c>
      <c r="U9" s="397" t="s">
        <v>341</v>
      </c>
      <c r="V9" s="398" t="s">
        <v>589</v>
      </c>
      <c r="W9" s="398" t="s">
        <v>590</v>
      </c>
      <c r="X9" s="398">
        <v>1</v>
      </c>
      <c r="Y9" s="399" t="s">
        <v>344</v>
      </c>
      <c r="AA9" s="387"/>
      <c r="AB9" s="409">
        <f>AB7/$AA7</f>
        <v>0.7</v>
      </c>
      <c r="AC9" s="409">
        <f t="shared" ref="AC9:AH9" si="8">AC7/$AA7</f>
        <v>0</v>
      </c>
      <c r="AD9" s="409">
        <f t="shared" si="8"/>
        <v>0.2</v>
      </c>
      <c r="AE9" s="409">
        <f t="shared" si="8"/>
        <v>0</v>
      </c>
      <c r="AF9" s="409">
        <f t="shared" si="8"/>
        <v>0.05</v>
      </c>
      <c r="AG9" s="409">
        <f t="shared" si="8"/>
        <v>0.05</v>
      </c>
      <c r="AH9" s="409">
        <f t="shared" si="8"/>
        <v>0</v>
      </c>
    </row>
    <row r="10" spans="2:34" s="148" customFormat="1" ht="27" customHeight="1">
      <c r="B10" s="886"/>
      <c r="C10" s="887"/>
      <c r="D10" s="387">
        <v>4</v>
      </c>
      <c r="E10" s="390" t="s">
        <v>337</v>
      </c>
      <c r="F10" s="391">
        <v>1266.9000000000001</v>
      </c>
      <c r="G10" s="392">
        <v>19150</v>
      </c>
      <c r="H10" s="392">
        <v>19020</v>
      </c>
      <c r="I10" s="393">
        <f>H10/G10</f>
        <v>0.99321148825065275</v>
      </c>
      <c r="J10" s="392">
        <v>212</v>
      </c>
      <c r="K10" s="393">
        <f t="shared" si="2"/>
        <v>1.1070496083550914E-2</v>
      </c>
      <c r="L10" s="392">
        <v>15.450000000000001</v>
      </c>
      <c r="M10" s="393">
        <f t="shared" si="3"/>
        <v>1.0042819843342037</v>
      </c>
      <c r="N10" s="394">
        <v>1266.9000000000001</v>
      </c>
      <c r="O10" s="392">
        <v>82</v>
      </c>
      <c r="P10" s="393">
        <f t="shared" si="4"/>
        <v>4.2819843342036552E-3</v>
      </c>
      <c r="Q10" s="395">
        <f t="shared" si="5"/>
        <v>0</v>
      </c>
      <c r="R10" s="393">
        <f t="shared" si="6"/>
        <v>0</v>
      </c>
      <c r="S10" s="396">
        <f t="shared" si="7"/>
        <v>0</v>
      </c>
      <c r="T10" s="397" t="s">
        <v>432</v>
      </c>
      <c r="U10" s="397" t="s">
        <v>549</v>
      </c>
      <c r="V10" s="398" t="s">
        <v>585</v>
      </c>
      <c r="W10" s="398" t="s">
        <v>576</v>
      </c>
      <c r="X10" s="398">
        <v>1</v>
      </c>
      <c r="Y10" s="399" t="s">
        <v>343</v>
      </c>
    </row>
    <row r="11" spans="2:34" s="148" customFormat="1" ht="27" customHeight="1">
      <c r="B11" s="886"/>
      <c r="C11" s="887"/>
      <c r="D11" s="387">
        <v>5</v>
      </c>
      <c r="E11" s="390" t="s">
        <v>338</v>
      </c>
      <c r="F11" s="391">
        <v>1232.529</v>
      </c>
      <c r="G11" s="392">
        <v>724.08999999999992</v>
      </c>
      <c r="H11" s="392">
        <v>719.87</v>
      </c>
      <c r="I11" s="393">
        <f t="shared" ref="I11:I26" si="9">H11/G11</f>
        <v>0.99417199519396771</v>
      </c>
      <c r="J11" s="392">
        <v>13.780000000000001</v>
      </c>
      <c r="K11" s="393">
        <f t="shared" si="2"/>
        <v>1.9030783466143716E-2</v>
      </c>
      <c r="L11" s="392">
        <v>141.66999999999999</v>
      </c>
      <c r="M11" s="393">
        <f t="shared" si="3"/>
        <v>1.0132027786601114</v>
      </c>
      <c r="N11" s="394">
        <v>1354.3652000000063</v>
      </c>
      <c r="O11" s="392">
        <v>8.6999999999999993</v>
      </c>
      <c r="P11" s="393">
        <f t="shared" si="4"/>
        <v>1.2015080998218453E-2</v>
      </c>
      <c r="Q11" s="395">
        <f t="shared" si="5"/>
        <v>0.86000000000005983</v>
      </c>
      <c r="R11" s="393">
        <f t="shared" si="6"/>
        <v>1.1876976618929414E-3</v>
      </c>
      <c r="S11" s="396">
        <f t="shared" si="7"/>
        <v>121.83620000000846</v>
      </c>
      <c r="T11" s="397" t="s">
        <v>432</v>
      </c>
      <c r="U11" s="397" t="s">
        <v>491</v>
      </c>
      <c r="V11" s="398" t="s">
        <v>510</v>
      </c>
      <c r="W11" s="398" t="s">
        <v>588</v>
      </c>
      <c r="X11" s="398">
        <v>1</v>
      </c>
      <c r="Y11" s="399" t="s">
        <v>346</v>
      </c>
    </row>
    <row r="12" spans="2:34" s="148" customFormat="1" ht="27" customHeight="1">
      <c r="B12" s="886"/>
      <c r="C12" s="887"/>
      <c r="D12" s="387">
        <v>6</v>
      </c>
      <c r="E12" s="390" t="s">
        <v>368</v>
      </c>
      <c r="F12" s="391">
        <v>1114.7087999999999</v>
      </c>
      <c r="G12" s="392">
        <v>283.81</v>
      </c>
      <c r="H12" s="392">
        <v>285.74</v>
      </c>
      <c r="I12" s="393">
        <f t="shared" si="9"/>
        <v>1.0068003241605299</v>
      </c>
      <c r="J12" s="392">
        <v>6.04</v>
      </c>
      <c r="K12" s="393">
        <f t="shared" si="2"/>
        <v>2.1281843486839785E-2</v>
      </c>
      <c r="L12" s="392">
        <v>253.92000000000002</v>
      </c>
      <c r="M12" s="393">
        <f t="shared" si="3"/>
        <v>1.0280821676473697</v>
      </c>
      <c r="N12" s="394">
        <v>2023.7424000000015</v>
      </c>
      <c r="O12" s="392">
        <v>4.3899999999999997</v>
      </c>
      <c r="P12" s="393">
        <f t="shared" si="4"/>
        <v>1.5468094852189845E-2</v>
      </c>
      <c r="Q12" s="395">
        <f t="shared" si="5"/>
        <v>3.5800000000000276</v>
      </c>
      <c r="R12" s="393">
        <f t="shared" si="6"/>
        <v>1.2614072795179971E-2</v>
      </c>
      <c r="S12" s="396">
        <f t="shared" si="7"/>
        <v>909.03360000000703</v>
      </c>
      <c r="T12" s="397" t="s">
        <v>432</v>
      </c>
      <c r="U12" s="397" t="s">
        <v>491</v>
      </c>
      <c r="V12" s="398" t="s">
        <v>593</v>
      </c>
      <c r="W12" s="398" t="s">
        <v>594</v>
      </c>
      <c r="X12" s="398">
        <v>1</v>
      </c>
      <c r="Y12" s="399" t="s">
        <v>360</v>
      </c>
    </row>
    <row r="13" spans="2:34" s="148" customFormat="1" ht="27" customHeight="1">
      <c r="B13" s="886"/>
      <c r="C13" s="887"/>
      <c r="D13" s="387">
        <v>7</v>
      </c>
      <c r="E13" s="390" t="s">
        <v>453</v>
      </c>
      <c r="F13" s="391">
        <v>1101.6954000000001</v>
      </c>
      <c r="G13" s="392">
        <v>587.61</v>
      </c>
      <c r="H13" s="392">
        <v>575.6</v>
      </c>
      <c r="I13" s="393">
        <f t="shared" si="9"/>
        <v>0.9795612736338728</v>
      </c>
      <c r="J13" s="392">
        <v>26.54</v>
      </c>
      <c r="K13" s="393">
        <f t="shared" si="2"/>
        <v>4.5166011470192814E-2</v>
      </c>
      <c r="L13" s="392">
        <v>122.81999999999996</v>
      </c>
      <c r="M13" s="393">
        <f t="shared" si="3"/>
        <v>1.0247272851040656</v>
      </c>
      <c r="N13" s="394">
        <v>1784.5746000000026</v>
      </c>
      <c r="O13" s="392">
        <v>8.9700000000000006</v>
      </c>
      <c r="P13" s="393">
        <f t="shared" si="4"/>
        <v>1.5265226936233217E-2</v>
      </c>
      <c r="Q13" s="395">
        <f t="shared" si="5"/>
        <v>5.5599999999999721</v>
      </c>
      <c r="R13" s="393">
        <f t="shared" si="6"/>
        <v>9.462058167832358E-3</v>
      </c>
      <c r="S13" s="396">
        <f t="shared" si="7"/>
        <v>682.87919999999633</v>
      </c>
      <c r="T13" s="397" t="s">
        <v>432</v>
      </c>
      <c r="U13" s="397" t="s">
        <v>341</v>
      </c>
      <c r="V13" s="398" t="s">
        <v>504</v>
      </c>
      <c r="W13" s="421" t="s">
        <v>505</v>
      </c>
      <c r="X13" s="398">
        <v>1</v>
      </c>
      <c r="Y13" s="399" t="s">
        <v>437</v>
      </c>
      <c r="AC13" s="403"/>
    </row>
    <row r="14" spans="2:34" s="148" customFormat="1" ht="27" customHeight="1">
      <c r="B14" s="886"/>
      <c r="C14" s="887"/>
      <c r="D14" s="387">
        <v>8</v>
      </c>
      <c r="E14" s="390" t="s">
        <v>521</v>
      </c>
      <c r="F14" s="391">
        <v>1098.5412999999999</v>
      </c>
      <c r="G14" s="392">
        <v>181.01999999999998</v>
      </c>
      <c r="H14" s="392">
        <v>186.66</v>
      </c>
      <c r="I14" s="393">
        <f t="shared" si="9"/>
        <v>1.0311567782565463</v>
      </c>
      <c r="J14" s="392">
        <v>3.6</v>
      </c>
      <c r="K14" s="393">
        <f>J14/G14</f>
        <v>1.9887305270135901E-2</v>
      </c>
      <c r="L14" s="392">
        <v>169.79</v>
      </c>
      <c r="M14" s="393">
        <f>(H14+J14)/G14</f>
        <v>1.0510440835266821</v>
      </c>
      <c r="N14" s="394">
        <v>1568.8596000000002</v>
      </c>
      <c r="O14" s="392">
        <v>6.4700000000000006</v>
      </c>
      <c r="P14" s="393">
        <f t="shared" si="4"/>
        <v>3.5741906971605356E-2</v>
      </c>
      <c r="Q14" s="395">
        <f t="shared" si="5"/>
        <v>2.7700000000000085</v>
      </c>
      <c r="R14" s="393">
        <f t="shared" si="6"/>
        <v>1.5302176555076836E-2</v>
      </c>
      <c r="S14" s="396">
        <f t="shared" si="7"/>
        <v>470.31830000000139</v>
      </c>
      <c r="T14" s="397" t="s">
        <v>432</v>
      </c>
      <c r="U14" s="397" t="s">
        <v>491</v>
      </c>
      <c r="V14" s="398" t="s">
        <v>502</v>
      </c>
      <c r="W14" s="398" t="s">
        <v>503</v>
      </c>
      <c r="X14" s="398">
        <v>1</v>
      </c>
      <c r="Y14" s="399" t="s">
        <v>474</v>
      </c>
      <c r="AC14" s="403"/>
    </row>
    <row r="15" spans="2:34" s="148" customFormat="1" ht="27" customHeight="1">
      <c r="B15" s="886"/>
      <c r="C15" s="887"/>
      <c r="D15" s="387">
        <v>9</v>
      </c>
      <c r="E15" s="390" t="s">
        <v>562</v>
      </c>
      <c r="F15" s="391">
        <v>1090.2</v>
      </c>
      <c r="G15" s="392">
        <v>19266</v>
      </c>
      <c r="H15" s="392">
        <v>19680</v>
      </c>
      <c r="I15" s="393">
        <f t="shared" si="9"/>
        <v>1.0214886328246653</v>
      </c>
      <c r="J15" s="392">
        <v>60</v>
      </c>
      <c r="K15" s="393">
        <f t="shared" ref="K15:K26" si="10">J15/G15</f>
        <v>3.1142946122703209E-3</v>
      </c>
      <c r="L15" s="392">
        <v>2.3000000000000003</v>
      </c>
      <c r="M15" s="393">
        <f t="shared" ref="M15:M20" si="11">(H15+J15)/G15</f>
        <v>1.0246029274369355</v>
      </c>
      <c r="N15" s="394">
        <v>1090.2</v>
      </c>
      <c r="O15" s="392">
        <v>474</v>
      </c>
      <c r="P15" s="393">
        <f t="shared" si="4"/>
        <v>2.4602927436935533E-2</v>
      </c>
      <c r="Q15" s="395">
        <f t="shared" si="5"/>
        <v>0</v>
      </c>
      <c r="R15" s="393">
        <f t="shared" si="6"/>
        <v>0</v>
      </c>
      <c r="S15" s="396">
        <f t="shared" si="7"/>
        <v>0</v>
      </c>
      <c r="T15" s="397" t="s">
        <v>432</v>
      </c>
      <c r="U15" s="397" t="s">
        <v>341</v>
      </c>
      <c r="V15" s="398" t="s">
        <v>566</v>
      </c>
      <c r="W15" s="398" t="s">
        <v>567</v>
      </c>
      <c r="X15" s="398">
        <v>1</v>
      </c>
      <c r="Y15" s="399" t="s">
        <v>437</v>
      </c>
      <c r="AC15" s="403"/>
    </row>
    <row r="16" spans="2:34" s="148" customFormat="1" ht="27" customHeight="1">
      <c r="B16" s="886"/>
      <c r="C16" s="887"/>
      <c r="D16" s="387">
        <v>10</v>
      </c>
      <c r="E16" s="390" t="s">
        <v>367</v>
      </c>
      <c r="F16" s="391">
        <v>1072.5160000000001</v>
      </c>
      <c r="G16" s="392">
        <v>351.39</v>
      </c>
      <c r="H16" s="392">
        <v>356.78000000000003</v>
      </c>
      <c r="I16" s="393">
        <f t="shared" si="9"/>
        <v>1.0153390819317569</v>
      </c>
      <c r="J16" s="392">
        <v>7.57</v>
      </c>
      <c r="K16" s="393">
        <f t="shared" si="10"/>
        <v>2.1543014883747404E-2</v>
      </c>
      <c r="L16" s="392">
        <v>183.65000000000003</v>
      </c>
      <c r="M16" s="393">
        <f t="shared" si="11"/>
        <v>1.0368820968155041</v>
      </c>
      <c r="N16" s="394">
        <v>2380.1040000000016</v>
      </c>
      <c r="O16" s="392">
        <v>5.84</v>
      </c>
      <c r="P16" s="393">
        <f t="shared" si="4"/>
        <v>1.6619710293406188E-2</v>
      </c>
      <c r="Q16" s="395">
        <f t="shared" si="5"/>
        <v>7.1200000000000365</v>
      </c>
      <c r="R16" s="393">
        <f t="shared" si="6"/>
        <v>2.026238652209806E-2</v>
      </c>
      <c r="S16" s="396">
        <f t="shared" si="7"/>
        <v>1307.588000000007</v>
      </c>
      <c r="T16" s="397" t="s">
        <v>432</v>
      </c>
      <c r="U16" s="397" t="s">
        <v>491</v>
      </c>
      <c r="V16" s="398" t="s">
        <v>528</v>
      </c>
      <c r="W16" s="398" t="s">
        <v>529</v>
      </c>
      <c r="X16" s="398">
        <v>1</v>
      </c>
      <c r="Y16" s="399" t="s">
        <v>360</v>
      </c>
      <c r="AC16" s="403"/>
    </row>
    <row r="17" spans="2:34" s="148" customFormat="1" ht="27" customHeight="1">
      <c r="B17" s="886"/>
      <c r="C17" s="887"/>
      <c r="D17" s="387">
        <v>11</v>
      </c>
      <c r="E17" s="390" t="s">
        <v>520</v>
      </c>
      <c r="F17" s="391">
        <v>1057.011</v>
      </c>
      <c r="G17" s="392">
        <v>268.32</v>
      </c>
      <c r="H17" s="392">
        <v>276.11</v>
      </c>
      <c r="I17" s="393">
        <f t="shared" si="9"/>
        <v>1.0290324985092427</v>
      </c>
      <c r="J17" s="392">
        <v>3</v>
      </c>
      <c r="K17" s="393">
        <f t="shared" si="10"/>
        <v>1.1180679785330949E-2</v>
      </c>
      <c r="L17" s="392">
        <v>153.19000000000003</v>
      </c>
      <c r="M17" s="393">
        <f t="shared" si="11"/>
        <v>1.0402131782945738</v>
      </c>
      <c r="N17" s="394">
        <v>1652.9201000000016</v>
      </c>
      <c r="O17" s="392">
        <v>6.9</v>
      </c>
      <c r="P17" s="393">
        <f t="shared" si="4"/>
        <v>2.5715563506261183E-2</v>
      </c>
      <c r="Q17" s="395">
        <f t="shared" si="5"/>
        <v>3.8900000000000201</v>
      </c>
      <c r="R17" s="393">
        <f t="shared" si="6"/>
        <v>1.4497614788312537E-2</v>
      </c>
      <c r="S17" s="396">
        <f t="shared" si="7"/>
        <v>595.90910000000315</v>
      </c>
      <c r="T17" s="397" t="s">
        <v>432</v>
      </c>
      <c r="U17" s="397" t="s">
        <v>491</v>
      </c>
      <c r="V17" s="398" t="s">
        <v>592</v>
      </c>
      <c r="W17" s="398" t="s">
        <v>505</v>
      </c>
      <c r="X17" s="398">
        <v>1</v>
      </c>
      <c r="Y17" s="399" t="s">
        <v>522</v>
      </c>
      <c r="AC17" s="403"/>
    </row>
    <row r="18" spans="2:34" s="148" customFormat="1" ht="27" customHeight="1">
      <c r="B18" s="886"/>
      <c r="C18" s="887"/>
      <c r="D18" s="387">
        <v>12</v>
      </c>
      <c r="E18" s="390" t="s">
        <v>602</v>
      </c>
      <c r="F18" s="391">
        <v>1025.3556000000001</v>
      </c>
      <c r="G18" s="392">
        <v>478.12</v>
      </c>
      <c r="H18" s="392">
        <v>485.41</v>
      </c>
      <c r="I18" s="393">
        <f t="shared" si="9"/>
        <v>1.0152472182715637</v>
      </c>
      <c r="J18" s="392">
        <v>0</v>
      </c>
      <c r="K18" s="393">
        <f t="shared" si="10"/>
        <v>0</v>
      </c>
      <c r="L18" s="392">
        <v>189.18000000000004</v>
      </c>
      <c r="M18" s="393">
        <f t="shared" si="11"/>
        <v>1.0152472182715637</v>
      </c>
      <c r="N18" s="394">
        <v>1379.1221999999998</v>
      </c>
      <c r="O18" s="392">
        <v>5.419999999999999</v>
      </c>
      <c r="P18" s="393">
        <f t="shared" si="4"/>
        <v>1.1336066259516437E-2</v>
      </c>
      <c r="Q18" s="395">
        <f t="shared" si="5"/>
        <v>1.8700000000000214</v>
      </c>
      <c r="R18" s="393">
        <f t="shared" si="6"/>
        <v>3.9111520120472297E-3</v>
      </c>
      <c r="S18" s="396">
        <f t="shared" si="7"/>
        <v>353.76660000000413</v>
      </c>
      <c r="T18" s="397" t="s">
        <v>432</v>
      </c>
      <c r="U18" s="397" t="s">
        <v>491</v>
      </c>
      <c r="V18" s="398" t="s">
        <v>502</v>
      </c>
      <c r="W18" s="398" t="s">
        <v>503</v>
      </c>
      <c r="X18" s="398">
        <v>1</v>
      </c>
      <c r="Y18" s="399" t="s">
        <v>362</v>
      </c>
    </row>
    <row r="19" spans="2:34" s="148" customFormat="1" ht="27" customHeight="1">
      <c r="B19" s="886"/>
      <c r="C19" s="887"/>
      <c r="D19" s="387">
        <v>13</v>
      </c>
      <c r="E19" s="390" t="s">
        <v>370</v>
      </c>
      <c r="F19" s="391">
        <v>1008.96</v>
      </c>
      <c r="G19" s="392">
        <v>548.72</v>
      </c>
      <c r="H19" s="392">
        <v>543.64</v>
      </c>
      <c r="I19" s="393">
        <f t="shared" si="9"/>
        <v>0.99074209068377306</v>
      </c>
      <c r="J19" s="392">
        <v>23.590000000000003</v>
      </c>
      <c r="K19" s="393">
        <f t="shared" si="10"/>
        <v>4.2990960781455027E-2</v>
      </c>
      <c r="L19" s="392">
        <v>96</v>
      </c>
      <c r="M19" s="393">
        <f t="shared" si="11"/>
        <v>1.0337330514652281</v>
      </c>
      <c r="N19" s="394">
        <v>1776.9599999999984</v>
      </c>
      <c r="O19" s="392">
        <v>10.509999999999998</v>
      </c>
      <c r="P19" s="393">
        <f t="shared" si="4"/>
        <v>1.9153666715264611E-2</v>
      </c>
      <c r="Q19" s="395">
        <f t="shared" si="5"/>
        <v>7.9999999999999929</v>
      </c>
      <c r="R19" s="393">
        <f t="shared" si="6"/>
        <v>1.4579384749963538E-2</v>
      </c>
      <c r="S19" s="396">
        <f t="shared" si="7"/>
        <v>767.99999999999932</v>
      </c>
      <c r="T19" s="397" t="s">
        <v>432</v>
      </c>
      <c r="U19" s="397" t="s">
        <v>217</v>
      </c>
      <c r="V19" s="398" t="s">
        <v>591</v>
      </c>
      <c r="W19" s="398" t="s">
        <v>576</v>
      </c>
      <c r="X19" s="398">
        <v>1</v>
      </c>
      <c r="Y19" s="399" t="s">
        <v>359</v>
      </c>
    </row>
    <row r="20" spans="2:34" s="148" customFormat="1" ht="27" customHeight="1">
      <c r="B20" s="886"/>
      <c r="C20" s="887"/>
      <c r="D20" s="387">
        <v>14</v>
      </c>
      <c r="E20" s="390" t="s">
        <v>555</v>
      </c>
      <c r="F20" s="391">
        <v>1003.7986000000002</v>
      </c>
      <c r="G20" s="392">
        <v>108.61000000000001</v>
      </c>
      <c r="H20" s="392">
        <v>111.14999999999999</v>
      </c>
      <c r="I20" s="393">
        <f t="shared" si="9"/>
        <v>1.0233864285056622</v>
      </c>
      <c r="J20" s="392">
        <v>3.3600000000000003</v>
      </c>
      <c r="K20" s="393">
        <f t="shared" si="10"/>
        <v>3.0936377865758216E-2</v>
      </c>
      <c r="L20" s="392">
        <v>496.92999999999995</v>
      </c>
      <c r="M20" s="393">
        <f t="shared" si="11"/>
        <v>1.0543228063714205</v>
      </c>
      <c r="N20" s="394">
        <v>2931.8869999999988</v>
      </c>
      <c r="O20" s="392">
        <v>2.02</v>
      </c>
      <c r="P20" s="393">
        <f t="shared" si="4"/>
        <v>1.8598655740723689E-2</v>
      </c>
      <c r="Q20" s="395">
        <f t="shared" si="5"/>
        <v>3.8799999999999772</v>
      </c>
      <c r="R20" s="393">
        <f t="shared" si="6"/>
        <v>3.5724150630696776E-2</v>
      </c>
      <c r="S20" s="396">
        <f t="shared" si="7"/>
        <v>1928.0883999999885</v>
      </c>
      <c r="T20" s="397" t="s">
        <v>432</v>
      </c>
      <c r="U20" s="397" t="s">
        <v>491</v>
      </c>
      <c r="V20" s="398" t="s">
        <v>551</v>
      </c>
      <c r="W20" s="398" t="s">
        <v>543</v>
      </c>
      <c r="X20" s="398">
        <v>1</v>
      </c>
      <c r="Y20" s="399" t="s">
        <v>474</v>
      </c>
    </row>
    <row r="21" spans="2:34" s="148" customFormat="1" ht="27" customHeight="1">
      <c r="B21" s="886"/>
      <c r="C21" s="887"/>
      <c r="D21" s="387">
        <v>15</v>
      </c>
      <c r="E21" s="390" t="s">
        <v>538</v>
      </c>
      <c r="F21" s="391">
        <v>990.80820000000006</v>
      </c>
      <c r="G21" s="392">
        <v>1095.1600000000001</v>
      </c>
      <c r="H21" s="392">
        <v>1087.8600000000001</v>
      </c>
      <c r="I21" s="393">
        <f t="shared" si="9"/>
        <v>0.99333430731582606</v>
      </c>
      <c r="J21" s="392">
        <v>13.91</v>
      </c>
      <c r="K21" s="393">
        <f t="shared" si="10"/>
        <v>1.270134044340553E-2</v>
      </c>
      <c r="L21" s="392">
        <v>407.74000000000007</v>
      </c>
      <c r="M21" s="393">
        <f>(H21+J21)/G21</f>
        <v>1.0060356477592316</v>
      </c>
      <c r="N21" s="394">
        <v>2695.1613999999995</v>
      </c>
      <c r="O21" s="392">
        <v>2.4300000000000002</v>
      </c>
      <c r="P21" s="393">
        <f t="shared" si="4"/>
        <v>2.218853866101757E-3</v>
      </c>
      <c r="Q21" s="395">
        <f t="shared" si="5"/>
        <v>4.1800000000001276</v>
      </c>
      <c r="R21" s="393">
        <f t="shared" si="6"/>
        <v>3.8167938931298871E-3</v>
      </c>
      <c r="S21" s="396">
        <f t="shared" si="7"/>
        <v>1704.3532000000523</v>
      </c>
      <c r="T21" s="397" t="s">
        <v>432</v>
      </c>
      <c r="U21" s="397" t="s">
        <v>491</v>
      </c>
      <c r="V21" s="398" t="s">
        <v>577</v>
      </c>
      <c r="W21" s="398" t="s">
        <v>526</v>
      </c>
      <c r="X21" s="398">
        <v>1</v>
      </c>
      <c r="Y21" s="399" t="s">
        <v>540</v>
      </c>
    </row>
    <row r="22" spans="2:34" s="148" customFormat="1" ht="27" customHeight="1">
      <c r="B22" s="886"/>
      <c r="C22" s="887"/>
      <c r="D22" s="387">
        <v>16</v>
      </c>
      <c r="E22" s="390" t="s">
        <v>580</v>
      </c>
      <c r="F22" s="391">
        <v>970.32240000000002</v>
      </c>
      <c r="G22" s="392">
        <v>397.64000000000004</v>
      </c>
      <c r="H22" s="392">
        <v>402.19000000000005</v>
      </c>
      <c r="I22" s="393">
        <f t="shared" si="9"/>
        <v>1.0114425108138014</v>
      </c>
      <c r="J22" s="392">
        <v>0</v>
      </c>
      <c r="K22" s="393">
        <f t="shared" si="10"/>
        <v>0</v>
      </c>
      <c r="L22" s="392">
        <v>425.58</v>
      </c>
      <c r="M22" s="393">
        <f t="shared" ref="M22:M26" si="12">(H22+J22)/G22</f>
        <v>1.0114425108138014</v>
      </c>
      <c r="N22" s="394">
        <v>1936.3889999999988</v>
      </c>
      <c r="O22" s="392">
        <v>2.2800000000000002</v>
      </c>
      <c r="P22" s="393">
        <f t="shared" si="4"/>
        <v>5.7338295946081884E-3</v>
      </c>
      <c r="Q22" s="395">
        <f t="shared" si="5"/>
        <v>2.2700000000000111</v>
      </c>
      <c r="R22" s="393">
        <f t="shared" si="6"/>
        <v>5.7086812191932679E-3</v>
      </c>
      <c r="S22" s="396">
        <f t="shared" si="7"/>
        <v>966.06660000000466</v>
      </c>
      <c r="T22" s="397" t="s">
        <v>432</v>
      </c>
      <c r="U22" s="397" t="s">
        <v>491</v>
      </c>
      <c r="V22" s="398" t="s">
        <v>510</v>
      </c>
      <c r="W22" s="398" t="s">
        <v>595</v>
      </c>
      <c r="X22" s="398">
        <v>1</v>
      </c>
      <c r="Y22" s="399" t="s">
        <v>582</v>
      </c>
    </row>
    <row r="23" spans="2:34" s="148" customFormat="1" ht="27" customHeight="1">
      <c r="B23" s="886"/>
      <c r="C23" s="887"/>
      <c r="D23" s="387">
        <v>17</v>
      </c>
      <c r="E23" s="390" t="s">
        <v>603</v>
      </c>
      <c r="F23" s="391">
        <v>961.46299999999997</v>
      </c>
      <c r="G23" s="392">
        <v>133.63</v>
      </c>
      <c r="H23" s="392">
        <v>131.31</v>
      </c>
      <c r="I23" s="393">
        <f t="shared" si="9"/>
        <v>0.98263862905036303</v>
      </c>
      <c r="J23" s="392">
        <v>7.8199999999999994</v>
      </c>
      <c r="K23" s="393">
        <f t="shared" si="10"/>
        <v>5.8519793459552494E-2</v>
      </c>
      <c r="L23" s="392">
        <v>345.84999999999997</v>
      </c>
      <c r="M23" s="393">
        <f t="shared" si="12"/>
        <v>1.0411584225099155</v>
      </c>
      <c r="N23" s="394">
        <v>1902.1750000000006</v>
      </c>
      <c r="O23" s="392">
        <v>2.78</v>
      </c>
      <c r="P23" s="393">
        <f t="shared" si="4"/>
        <v>2.0803711741375439E-2</v>
      </c>
      <c r="Q23" s="395">
        <f t="shared" si="5"/>
        <v>2.72</v>
      </c>
      <c r="R23" s="393">
        <f t="shared" si="6"/>
        <v>2.0354710768540001E-2</v>
      </c>
      <c r="S23" s="396">
        <f t="shared" si="7"/>
        <v>940.71199999999999</v>
      </c>
      <c r="T23" s="397" t="s">
        <v>432</v>
      </c>
      <c r="U23" s="397" t="s">
        <v>491</v>
      </c>
      <c r="V23" s="398" t="s">
        <v>596</v>
      </c>
      <c r="W23" s="398" t="s">
        <v>618</v>
      </c>
      <c r="X23" s="398">
        <v>1</v>
      </c>
      <c r="Y23" s="399" t="s">
        <v>462</v>
      </c>
    </row>
    <row r="24" spans="2:34" s="148" customFormat="1" ht="27" customHeight="1">
      <c r="B24" s="886"/>
      <c r="C24" s="887"/>
      <c r="D24" s="387">
        <v>18</v>
      </c>
      <c r="E24" s="390" t="s">
        <v>581</v>
      </c>
      <c r="F24" s="391">
        <v>960.16480000000001</v>
      </c>
      <c r="G24" s="392">
        <v>210.45000000000002</v>
      </c>
      <c r="H24" s="392">
        <v>221.50999999999996</v>
      </c>
      <c r="I24" s="393">
        <f t="shared" si="9"/>
        <v>1.0525540508434306</v>
      </c>
      <c r="J24" s="392">
        <v>1.6</v>
      </c>
      <c r="K24" s="393">
        <f t="shared" si="10"/>
        <v>7.6027559990496556E-3</v>
      </c>
      <c r="L24" s="392">
        <v>145.04</v>
      </c>
      <c r="M24" s="393">
        <f t="shared" si="12"/>
        <v>1.06015680684248</v>
      </c>
      <c r="N24" s="394">
        <v>1836.2063999999996</v>
      </c>
      <c r="O24" s="392">
        <v>6.62</v>
      </c>
      <c r="P24" s="393">
        <f t="shared" si="4"/>
        <v>3.1456402946067948E-2</v>
      </c>
      <c r="Q24" s="395">
        <f t="shared" si="5"/>
        <v>6.0399999999999396</v>
      </c>
      <c r="R24" s="393">
        <f t="shared" si="6"/>
        <v>2.8700403896412159E-2</v>
      </c>
      <c r="S24" s="396">
        <f t="shared" si="7"/>
        <v>876.04159999999115</v>
      </c>
      <c r="T24" s="397" t="s">
        <v>432</v>
      </c>
      <c r="U24" s="397" t="s">
        <v>491</v>
      </c>
      <c r="V24" s="398" t="s">
        <v>510</v>
      </c>
      <c r="W24" s="398" t="s">
        <v>595</v>
      </c>
      <c r="X24" s="398">
        <v>1</v>
      </c>
      <c r="Y24" s="399" t="s">
        <v>345</v>
      </c>
    </row>
    <row r="25" spans="2:34" s="148" customFormat="1" ht="27" customHeight="1">
      <c r="B25" s="886"/>
      <c r="C25" s="887"/>
      <c r="D25" s="387">
        <v>19</v>
      </c>
      <c r="E25" s="390" t="s">
        <v>561</v>
      </c>
      <c r="F25" s="391">
        <v>954.37840000000006</v>
      </c>
      <c r="G25" s="392">
        <v>226.28</v>
      </c>
      <c r="H25" s="392">
        <v>222.02</v>
      </c>
      <c r="I25" s="393">
        <f t="shared" si="9"/>
        <v>0.98117376701431858</v>
      </c>
      <c r="J25" s="392">
        <v>8.93</v>
      </c>
      <c r="K25" s="393">
        <f t="shared" si="10"/>
        <v>3.9464380413646805E-2</v>
      </c>
      <c r="L25" s="392">
        <v>411.36999999999995</v>
      </c>
      <c r="M25" s="393">
        <f t="shared" si="12"/>
        <v>1.0206381474279653</v>
      </c>
      <c r="N25" s="394">
        <v>1921.0978999999988</v>
      </c>
      <c r="O25" s="392">
        <v>2.3199999999999998</v>
      </c>
      <c r="P25" s="393">
        <f t="shared" si="4"/>
        <v>1.0252784161216192E-2</v>
      </c>
      <c r="Q25" s="395">
        <f t="shared" si="5"/>
        <v>2.3500000000000161</v>
      </c>
      <c r="R25" s="393">
        <f t="shared" si="6"/>
        <v>1.0385363266749232E-2</v>
      </c>
      <c r="S25" s="396">
        <f t="shared" si="7"/>
        <v>966.71950000000652</v>
      </c>
      <c r="T25" s="397" t="s">
        <v>432</v>
      </c>
      <c r="U25" s="397" t="s">
        <v>491</v>
      </c>
      <c r="V25" s="397" t="s">
        <v>565</v>
      </c>
      <c r="W25" s="398" t="s">
        <v>527</v>
      </c>
      <c r="X25" s="398">
        <v>1</v>
      </c>
      <c r="Y25" s="399" t="s">
        <v>474</v>
      </c>
    </row>
    <row r="26" spans="2:34" s="148" customFormat="1" ht="27" customHeight="1">
      <c r="B26" s="888"/>
      <c r="C26" s="889"/>
      <c r="D26" s="387">
        <v>20</v>
      </c>
      <c r="E26" s="390" t="s">
        <v>604</v>
      </c>
      <c r="F26" s="391">
        <v>949.64999999999986</v>
      </c>
      <c r="G26" s="392">
        <v>144.51000000000002</v>
      </c>
      <c r="H26" s="392">
        <v>143.73000000000002</v>
      </c>
      <c r="I26" s="393">
        <f t="shared" si="9"/>
        <v>0.99460244965746314</v>
      </c>
      <c r="J26" s="392">
        <v>9.66</v>
      </c>
      <c r="K26" s="393">
        <f t="shared" si="10"/>
        <v>6.6846585011417881E-2</v>
      </c>
      <c r="L26" s="392">
        <v>189.93000000000004</v>
      </c>
      <c r="M26" s="393">
        <f t="shared" si="12"/>
        <v>1.061449034668881</v>
      </c>
      <c r="N26" s="394">
        <v>1686.5784000000012</v>
      </c>
      <c r="O26" s="392">
        <v>5.0000000000000009</v>
      </c>
      <c r="P26" s="393">
        <f t="shared" si="4"/>
        <v>3.4599681682928519E-2</v>
      </c>
      <c r="Q26" s="395">
        <f t="shared" si="5"/>
        <v>3.8799999999999946</v>
      </c>
      <c r="R26" s="393">
        <f t="shared" si="6"/>
        <v>2.684935298595249E-2</v>
      </c>
      <c r="S26" s="396">
        <f t="shared" si="7"/>
        <v>736.9283999999991</v>
      </c>
      <c r="T26" s="397" t="s">
        <v>432</v>
      </c>
      <c r="U26" s="397" t="s">
        <v>491</v>
      </c>
      <c r="V26" s="398" t="s">
        <v>510</v>
      </c>
      <c r="W26" s="398" t="s">
        <v>595</v>
      </c>
      <c r="X26" s="398">
        <v>1</v>
      </c>
      <c r="Y26" s="399" t="s">
        <v>437</v>
      </c>
    </row>
    <row r="27" spans="2:34" ht="17.149999999999999" customHeight="1">
      <c r="B27" s="903" t="s">
        <v>488</v>
      </c>
      <c r="C27" s="904"/>
      <c r="D27" s="900" t="s">
        <v>172</v>
      </c>
      <c r="E27" s="900"/>
      <c r="F27" s="900"/>
      <c r="G27" s="900" t="s">
        <v>186</v>
      </c>
      <c r="H27" s="900"/>
      <c r="I27" s="900"/>
      <c r="J27" s="900"/>
      <c r="K27" s="900"/>
      <c r="L27" s="900"/>
      <c r="M27" s="900"/>
      <c r="N27" s="900"/>
      <c r="O27" s="900"/>
      <c r="P27" s="900"/>
      <c r="Q27" s="900"/>
      <c r="R27" s="900"/>
      <c r="S27" s="900"/>
      <c r="T27" s="900" t="s">
        <v>173</v>
      </c>
      <c r="U27" s="890" t="s">
        <v>247</v>
      </c>
      <c r="V27" s="909" t="s">
        <v>489</v>
      </c>
      <c r="W27" s="909" t="s">
        <v>490</v>
      </c>
      <c r="X27" s="912" t="s">
        <v>248</v>
      </c>
      <c r="Y27" s="901" t="s">
        <v>174</v>
      </c>
      <c r="AA27" s="890" t="s">
        <v>249</v>
      </c>
      <c r="AB27" s="891"/>
      <c r="AC27" s="891"/>
      <c r="AD27" s="891"/>
      <c r="AE27" s="891"/>
      <c r="AF27" s="891"/>
      <c r="AG27" s="891"/>
      <c r="AH27" s="892"/>
    </row>
    <row r="28" spans="2:34" ht="17.149999999999999" customHeight="1">
      <c r="B28" s="905"/>
      <c r="C28" s="906"/>
      <c r="D28" s="899" t="s">
        <v>171</v>
      </c>
      <c r="E28" s="900" t="s">
        <v>175</v>
      </c>
      <c r="F28" s="900"/>
      <c r="G28" s="900" t="s">
        <v>187</v>
      </c>
      <c r="H28" s="900"/>
      <c r="I28" s="900"/>
      <c r="J28" s="900"/>
      <c r="K28" s="900"/>
      <c r="L28" s="900"/>
      <c r="M28" s="900"/>
      <c r="N28" s="900"/>
      <c r="O28" s="900" t="s">
        <v>176</v>
      </c>
      <c r="P28" s="900"/>
      <c r="Q28" s="900"/>
      <c r="R28" s="900"/>
      <c r="S28" s="900"/>
      <c r="T28" s="900"/>
      <c r="U28" s="893"/>
      <c r="V28" s="910"/>
      <c r="W28" s="910"/>
      <c r="X28" s="913"/>
      <c r="Y28" s="901"/>
      <c r="AA28" s="893"/>
      <c r="AB28" s="894"/>
      <c r="AC28" s="894"/>
      <c r="AD28" s="894"/>
      <c r="AE28" s="894"/>
      <c r="AF28" s="894"/>
      <c r="AG28" s="894"/>
      <c r="AH28" s="895"/>
    </row>
    <row r="29" spans="2:34" ht="17.149999999999999" customHeight="1">
      <c r="B29" s="905"/>
      <c r="C29" s="906"/>
      <c r="D29" s="899"/>
      <c r="E29" s="899" t="s">
        <v>177</v>
      </c>
      <c r="F29" s="901" t="s">
        <v>250</v>
      </c>
      <c r="G29" s="902" t="s">
        <v>188</v>
      </c>
      <c r="H29" s="902"/>
      <c r="I29" s="902"/>
      <c r="J29" s="902"/>
      <c r="K29" s="902"/>
      <c r="L29" s="902"/>
      <c r="M29" s="902"/>
      <c r="N29" s="902"/>
      <c r="O29" s="902" t="s">
        <v>170</v>
      </c>
      <c r="P29" s="902"/>
      <c r="Q29" s="902" t="s">
        <v>178</v>
      </c>
      <c r="R29" s="902"/>
      <c r="S29" s="902"/>
      <c r="T29" s="900"/>
      <c r="U29" s="893"/>
      <c r="V29" s="910"/>
      <c r="W29" s="910"/>
      <c r="X29" s="913"/>
      <c r="Y29" s="901"/>
      <c r="AA29" s="896"/>
      <c r="AB29" s="897"/>
      <c r="AC29" s="897"/>
      <c r="AD29" s="897"/>
      <c r="AE29" s="897"/>
      <c r="AF29" s="897"/>
      <c r="AG29" s="897"/>
      <c r="AH29" s="898"/>
    </row>
    <row r="30" spans="2:34" ht="38.5" customHeight="1">
      <c r="B30" s="907"/>
      <c r="C30" s="908"/>
      <c r="D30" s="899"/>
      <c r="E30" s="899"/>
      <c r="F30" s="901"/>
      <c r="G30" s="388" t="s">
        <v>179</v>
      </c>
      <c r="H30" s="388" t="s">
        <v>254</v>
      </c>
      <c r="I30" s="388" t="s">
        <v>255</v>
      </c>
      <c r="J30" s="388" t="s">
        <v>180</v>
      </c>
      <c r="K30" s="388" t="s">
        <v>252</v>
      </c>
      <c r="L30" s="388" t="s">
        <v>181</v>
      </c>
      <c r="M30" s="388" t="s">
        <v>189</v>
      </c>
      <c r="N30" s="388" t="s">
        <v>182</v>
      </c>
      <c r="O30" s="389" t="s">
        <v>183</v>
      </c>
      <c r="P30" s="389" t="s">
        <v>184</v>
      </c>
      <c r="Q30" s="389" t="s">
        <v>183</v>
      </c>
      <c r="R30" s="389" t="s">
        <v>184</v>
      </c>
      <c r="S30" s="388" t="s">
        <v>185</v>
      </c>
      <c r="T30" s="900"/>
      <c r="U30" s="896"/>
      <c r="V30" s="911"/>
      <c r="W30" s="911"/>
      <c r="X30" s="914"/>
      <c r="Y30" s="901"/>
      <c r="AA30" s="161" t="s">
        <v>246</v>
      </c>
      <c r="AB30" s="161" t="s">
        <v>491</v>
      </c>
      <c r="AC30" s="156" t="s">
        <v>397</v>
      </c>
      <c r="AD30" s="156" t="s">
        <v>341</v>
      </c>
      <c r="AE30" s="156" t="s">
        <v>465</v>
      </c>
      <c r="AF30" s="156" t="s">
        <v>217</v>
      </c>
      <c r="AG30" s="156" t="s">
        <v>218</v>
      </c>
      <c r="AH30" s="156" t="s">
        <v>398</v>
      </c>
    </row>
    <row r="31" spans="2:34" s="148" customFormat="1" ht="27" customHeight="1">
      <c r="B31" s="884" t="s">
        <v>619</v>
      </c>
      <c r="C31" s="885"/>
      <c r="D31" s="387">
        <v>1</v>
      </c>
      <c r="E31" s="390" t="s">
        <v>480</v>
      </c>
      <c r="F31" s="391">
        <v>1599.9841000000001</v>
      </c>
      <c r="G31" s="392">
        <v>477.64</v>
      </c>
      <c r="H31" s="392">
        <v>484.28</v>
      </c>
      <c r="I31" s="393">
        <f>H31/G31</f>
        <v>1.0139016832761074</v>
      </c>
      <c r="J31" s="392">
        <v>3.55</v>
      </c>
      <c r="K31" s="393">
        <f>J31/G31</f>
        <v>7.4323758479189345E-3</v>
      </c>
      <c r="L31" s="392">
        <v>181.60999999999999</v>
      </c>
      <c r="M31" s="393">
        <f>(H31+J31)/G31</f>
        <v>1.0213340591240265</v>
      </c>
      <c r="N31" s="394">
        <v>1850.6059000000027</v>
      </c>
      <c r="O31" s="392">
        <v>8.81</v>
      </c>
      <c r="P31" s="393">
        <f>O31/G31</f>
        <v>1.8444853864835443E-2</v>
      </c>
      <c r="Q31" s="395">
        <f>((H31+J31)-G31)-O31</f>
        <v>1.3799999999999972</v>
      </c>
      <c r="R31" s="393">
        <f>Q31/G31</f>
        <v>2.8892052591910169E-3</v>
      </c>
      <c r="S31" s="396">
        <f>Q31*L31</f>
        <v>250.62179999999947</v>
      </c>
      <c r="T31" s="397" t="s">
        <v>432</v>
      </c>
      <c r="U31" s="397" t="s">
        <v>491</v>
      </c>
      <c r="V31" s="398" t="s">
        <v>502</v>
      </c>
      <c r="W31" s="398" t="s">
        <v>503</v>
      </c>
      <c r="X31" s="398">
        <v>1</v>
      </c>
      <c r="Y31" s="399" t="s">
        <v>479</v>
      </c>
      <c r="Z31" s="400" t="s">
        <v>492</v>
      </c>
      <c r="AA31" s="410">
        <f>SUM(X31:X50)</f>
        <v>20</v>
      </c>
      <c r="AB31" s="402">
        <f>SUMIF($U$31:$U$50,TRIM(AB30),$X$31:$X$50)</f>
        <v>15</v>
      </c>
      <c r="AC31" s="402">
        <f t="shared" ref="AC31:AH31" si="13">SUMIF($U$31:$U$50,TRIM(AC30),$X$31:$X$50)</f>
        <v>0</v>
      </c>
      <c r="AD31" s="402">
        <f t="shared" si="13"/>
        <v>3</v>
      </c>
      <c r="AE31" s="402">
        <f t="shared" si="13"/>
        <v>0</v>
      </c>
      <c r="AF31" s="402">
        <f t="shared" si="13"/>
        <v>1</v>
      </c>
      <c r="AG31" s="402">
        <f t="shared" si="13"/>
        <v>1</v>
      </c>
      <c r="AH31" s="402">
        <f t="shared" si="13"/>
        <v>0</v>
      </c>
    </row>
    <row r="32" spans="2:34" s="148" customFormat="1" ht="27" customHeight="1">
      <c r="B32" s="886"/>
      <c r="C32" s="887"/>
      <c r="D32" s="387">
        <v>2</v>
      </c>
      <c r="E32" s="390" t="s">
        <v>337</v>
      </c>
      <c r="F32" s="391">
        <v>1282.3499999999999</v>
      </c>
      <c r="G32" s="392">
        <v>20736</v>
      </c>
      <c r="H32" s="392">
        <v>20449</v>
      </c>
      <c r="I32" s="393">
        <f t="shared" ref="I32:I33" si="14">H32/G32</f>
        <v>0.98615933641975306</v>
      </c>
      <c r="J32" s="392">
        <v>370</v>
      </c>
      <c r="K32" s="393">
        <f t="shared" ref="K32:K37" si="15">J32/G32</f>
        <v>1.7843364197530864E-2</v>
      </c>
      <c r="L32" s="392">
        <v>15.450000000000001</v>
      </c>
      <c r="M32" s="393">
        <f t="shared" ref="M32:M37" si="16">(H32+J32)/G32</f>
        <v>1.004002700617284</v>
      </c>
      <c r="N32" s="394">
        <v>1282.3499999999999</v>
      </c>
      <c r="O32" s="392">
        <v>83</v>
      </c>
      <c r="P32" s="393">
        <f t="shared" ref="P32:P50" si="17">O32/G32</f>
        <v>4.002700617283951E-3</v>
      </c>
      <c r="Q32" s="395">
        <f t="shared" ref="Q32:Q50" si="18">((H32+J32)-G32)-O32</f>
        <v>0</v>
      </c>
      <c r="R32" s="393">
        <f t="shared" ref="R32:R50" si="19">Q32/G32</f>
        <v>0</v>
      </c>
      <c r="S32" s="396">
        <f t="shared" ref="S32:S50" si="20">Q32*L32</f>
        <v>0</v>
      </c>
      <c r="T32" s="397" t="s">
        <v>432</v>
      </c>
      <c r="U32" s="397" t="s">
        <v>549</v>
      </c>
      <c r="V32" s="398" t="s">
        <v>585</v>
      </c>
      <c r="W32" s="398" t="s">
        <v>576</v>
      </c>
      <c r="X32" s="398">
        <v>1</v>
      </c>
      <c r="Y32" s="399" t="s">
        <v>343</v>
      </c>
      <c r="AA32" s="411"/>
      <c r="AB32" s="408">
        <f>SUMIF($U$31:$U$50,TRIM(AB30),$F$31:$F$50)</f>
        <v>15620.086900000002</v>
      </c>
      <c r="AC32" s="408">
        <f t="shared" ref="AC32:AH32" si="21">SUMIF($U$31:$U$50,TRIM(AC30),$F$31:$F$50)</f>
        <v>0</v>
      </c>
      <c r="AD32" s="408">
        <f t="shared" si="21"/>
        <v>3526.3887999999997</v>
      </c>
      <c r="AE32" s="408">
        <f t="shared" si="21"/>
        <v>0</v>
      </c>
      <c r="AF32" s="408">
        <f t="shared" si="21"/>
        <v>1092.48</v>
      </c>
      <c r="AG32" s="408">
        <f t="shared" si="21"/>
        <v>1282.3499999999999</v>
      </c>
      <c r="AH32" s="408">
        <f t="shared" si="21"/>
        <v>0</v>
      </c>
    </row>
    <row r="33" spans="2:34" s="148" customFormat="1" ht="27" customHeight="1">
      <c r="B33" s="886"/>
      <c r="C33" s="887"/>
      <c r="D33" s="387">
        <v>3</v>
      </c>
      <c r="E33" s="390" t="s">
        <v>493</v>
      </c>
      <c r="F33" s="391">
        <v>1267.1099999999999</v>
      </c>
      <c r="G33" s="392">
        <v>254025</v>
      </c>
      <c r="H33" s="392">
        <v>255108</v>
      </c>
      <c r="I33" s="393">
        <f t="shared" si="14"/>
        <v>1.0042633599055211</v>
      </c>
      <c r="J33" s="392">
        <v>0</v>
      </c>
      <c r="K33" s="393">
        <f t="shared" si="15"/>
        <v>0</v>
      </c>
      <c r="L33" s="392">
        <v>1.17</v>
      </c>
      <c r="M33" s="393">
        <f t="shared" si="16"/>
        <v>1.0042633599055211</v>
      </c>
      <c r="N33" s="394">
        <v>1267.1099999999999</v>
      </c>
      <c r="O33" s="392">
        <v>1083</v>
      </c>
      <c r="P33" s="393">
        <f t="shared" si="17"/>
        <v>4.2633599055211099E-3</v>
      </c>
      <c r="Q33" s="395">
        <f t="shared" si="18"/>
        <v>0</v>
      </c>
      <c r="R33" s="393">
        <f t="shared" si="19"/>
        <v>0</v>
      </c>
      <c r="S33" s="396">
        <f t="shared" si="20"/>
        <v>0</v>
      </c>
      <c r="T33" s="397" t="s">
        <v>432</v>
      </c>
      <c r="U33" s="397" t="s">
        <v>341</v>
      </c>
      <c r="V33" s="398" t="s">
        <v>589</v>
      </c>
      <c r="W33" s="398" t="s">
        <v>665</v>
      </c>
      <c r="X33" s="398">
        <v>1</v>
      </c>
      <c r="Y33" s="399" t="s">
        <v>344</v>
      </c>
      <c r="AA33" s="387"/>
      <c r="AB33" s="409">
        <f>AB31/$AA31</f>
        <v>0.75</v>
      </c>
      <c r="AC33" s="409">
        <f t="shared" ref="AC33:AH33" si="22">AC31/$AA31</f>
        <v>0</v>
      </c>
      <c r="AD33" s="409">
        <f t="shared" si="22"/>
        <v>0.15</v>
      </c>
      <c r="AE33" s="409">
        <f t="shared" si="22"/>
        <v>0</v>
      </c>
      <c r="AF33" s="409">
        <f t="shared" si="22"/>
        <v>0.05</v>
      </c>
      <c r="AG33" s="409">
        <f t="shared" si="22"/>
        <v>0.05</v>
      </c>
      <c r="AH33" s="409">
        <f t="shared" si="22"/>
        <v>0</v>
      </c>
    </row>
    <row r="34" spans="2:34" s="148" customFormat="1" ht="27" customHeight="1">
      <c r="B34" s="886"/>
      <c r="C34" s="887"/>
      <c r="D34" s="387">
        <v>4</v>
      </c>
      <c r="E34" s="390" t="s">
        <v>494</v>
      </c>
      <c r="F34" s="391">
        <v>1173.55</v>
      </c>
      <c r="G34" s="392">
        <v>151801</v>
      </c>
      <c r="H34" s="392">
        <v>152280</v>
      </c>
      <c r="I34" s="393">
        <f>H34/G34</f>
        <v>1.0031554469338146</v>
      </c>
      <c r="J34" s="392">
        <v>0</v>
      </c>
      <c r="K34" s="393">
        <f t="shared" si="15"/>
        <v>0</v>
      </c>
      <c r="L34" s="392">
        <v>2.4499999999999997</v>
      </c>
      <c r="M34" s="393">
        <f t="shared" si="16"/>
        <v>1.0031554469338146</v>
      </c>
      <c r="N34" s="394">
        <v>1173.55</v>
      </c>
      <c r="O34" s="392">
        <v>479</v>
      </c>
      <c r="P34" s="393">
        <f t="shared" si="17"/>
        <v>3.1554469338146655E-3</v>
      </c>
      <c r="Q34" s="395">
        <f t="shared" si="18"/>
        <v>0</v>
      </c>
      <c r="R34" s="393">
        <f t="shared" si="19"/>
        <v>0</v>
      </c>
      <c r="S34" s="396">
        <f t="shared" si="20"/>
        <v>0</v>
      </c>
      <c r="T34" s="397" t="s">
        <v>432</v>
      </c>
      <c r="U34" s="397" t="s">
        <v>341</v>
      </c>
      <c r="V34" s="398" t="s">
        <v>586</v>
      </c>
      <c r="W34" s="398" t="s">
        <v>587</v>
      </c>
      <c r="X34" s="398">
        <v>1</v>
      </c>
      <c r="Y34" s="399" t="s">
        <v>344</v>
      </c>
    </row>
    <row r="35" spans="2:34" s="148" customFormat="1" ht="27" customHeight="1">
      <c r="B35" s="886"/>
      <c r="C35" s="887"/>
      <c r="D35" s="387">
        <v>5</v>
      </c>
      <c r="E35" s="390" t="s">
        <v>367</v>
      </c>
      <c r="F35" s="391">
        <v>1127.6110000000001</v>
      </c>
      <c r="G35" s="392">
        <v>354.28000000000003</v>
      </c>
      <c r="H35" s="392">
        <v>363.29</v>
      </c>
      <c r="I35" s="393">
        <f t="shared" ref="I35:I50" si="23">H35/G35</f>
        <v>1.0254318618042226</v>
      </c>
      <c r="J35" s="392">
        <v>1.3</v>
      </c>
      <c r="K35" s="393">
        <f t="shared" si="15"/>
        <v>3.6694140228068191E-3</v>
      </c>
      <c r="L35" s="392">
        <v>183.65000000000003</v>
      </c>
      <c r="M35" s="393">
        <f t="shared" si="16"/>
        <v>1.0291012758270295</v>
      </c>
      <c r="N35" s="394">
        <v>1893.4315000000017</v>
      </c>
      <c r="O35" s="392">
        <v>6.1400000000000006</v>
      </c>
      <c r="P35" s="393">
        <f t="shared" si="17"/>
        <v>1.7330924692333747E-2</v>
      </c>
      <c r="Q35" s="395">
        <f t="shared" si="18"/>
        <v>4.1700000000000017</v>
      </c>
      <c r="R35" s="393">
        <f t="shared" si="19"/>
        <v>1.1770351134695725E-2</v>
      </c>
      <c r="S35" s="396">
        <f t="shared" si="20"/>
        <v>765.82050000000049</v>
      </c>
      <c r="T35" s="397" t="s">
        <v>432</v>
      </c>
      <c r="U35" s="397" t="s">
        <v>491</v>
      </c>
      <c r="V35" s="398" t="s">
        <v>528</v>
      </c>
      <c r="W35" s="398" t="s">
        <v>529</v>
      </c>
      <c r="X35" s="398">
        <v>1</v>
      </c>
      <c r="Y35" s="399" t="s">
        <v>360</v>
      </c>
    </row>
    <row r="36" spans="2:34" s="148" customFormat="1" ht="27" customHeight="1">
      <c r="B36" s="886"/>
      <c r="C36" s="887"/>
      <c r="D36" s="387">
        <v>6</v>
      </c>
      <c r="E36" s="390" t="s">
        <v>370</v>
      </c>
      <c r="F36" s="391">
        <v>1092.48</v>
      </c>
      <c r="G36" s="392">
        <v>627.79999999999995</v>
      </c>
      <c r="H36" s="392">
        <v>637.78</v>
      </c>
      <c r="I36" s="393">
        <f t="shared" si="23"/>
        <v>1.0158967824147818</v>
      </c>
      <c r="J36" s="392">
        <v>3.2</v>
      </c>
      <c r="K36" s="393">
        <f t="shared" si="15"/>
        <v>5.0971647021344386E-3</v>
      </c>
      <c r="L36" s="392">
        <v>96</v>
      </c>
      <c r="M36" s="393">
        <f t="shared" si="16"/>
        <v>1.0209939471169163</v>
      </c>
      <c r="N36" s="394">
        <v>1265.280000000002</v>
      </c>
      <c r="O36" s="392">
        <v>11.38</v>
      </c>
      <c r="P36" s="393">
        <f t="shared" si="17"/>
        <v>1.8126791971965598E-2</v>
      </c>
      <c r="Q36" s="395">
        <f t="shared" si="18"/>
        <v>1.8000000000000629</v>
      </c>
      <c r="R36" s="393">
        <f t="shared" si="19"/>
        <v>2.8671551449507217E-3</v>
      </c>
      <c r="S36" s="396">
        <f t="shared" si="20"/>
        <v>172.80000000000604</v>
      </c>
      <c r="T36" s="397" t="s">
        <v>432</v>
      </c>
      <c r="U36" s="397" t="s">
        <v>217</v>
      </c>
      <c r="V36" s="398" t="s">
        <v>591</v>
      </c>
      <c r="W36" s="398" t="s">
        <v>576</v>
      </c>
      <c r="X36" s="398">
        <v>1</v>
      </c>
      <c r="Y36" s="399" t="s">
        <v>359</v>
      </c>
    </row>
    <row r="37" spans="2:34" s="148" customFormat="1" ht="27" customHeight="1">
      <c r="B37" s="886"/>
      <c r="C37" s="887"/>
      <c r="D37" s="387">
        <v>7</v>
      </c>
      <c r="E37" s="390" t="s">
        <v>453</v>
      </c>
      <c r="F37" s="391">
        <v>1085.7288000000001</v>
      </c>
      <c r="G37" s="392">
        <v>624.21999999999991</v>
      </c>
      <c r="H37" s="392">
        <v>614.27</v>
      </c>
      <c r="I37" s="393">
        <f t="shared" si="23"/>
        <v>0.98406010701355306</v>
      </c>
      <c r="J37" s="392">
        <v>24.1</v>
      </c>
      <c r="K37" s="393">
        <f t="shared" si="15"/>
        <v>3.8608183012399482E-2</v>
      </c>
      <c r="L37" s="392">
        <v>122.81999999999996</v>
      </c>
      <c r="M37" s="393">
        <f t="shared" si="16"/>
        <v>1.0226682900259525</v>
      </c>
      <c r="N37" s="394">
        <v>1737.9030000000005</v>
      </c>
      <c r="O37" s="392">
        <v>8.84</v>
      </c>
      <c r="P37" s="393">
        <f t="shared" si="17"/>
        <v>1.4161673768863544E-2</v>
      </c>
      <c r="Q37" s="395">
        <f t="shared" si="18"/>
        <v>5.3100000000000911</v>
      </c>
      <c r="R37" s="393">
        <f t="shared" si="19"/>
        <v>8.506616257088994E-3</v>
      </c>
      <c r="S37" s="396">
        <f t="shared" si="20"/>
        <v>652.17420000001096</v>
      </c>
      <c r="T37" s="397" t="s">
        <v>432</v>
      </c>
      <c r="U37" s="397" t="s">
        <v>341</v>
      </c>
      <c r="V37" s="398" t="s">
        <v>504</v>
      </c>
      <c r="W37" s="421" t="s">
        <v>505</v>
      </c>
      <c r="X37" s="398">
        <v>1</v>
      </c>
      <c r="Y37" s="399" t="s">
        <v>437</v>
      </c>
    </row>
    <row r="38" spans="2:34" s="148" customFormat="1" ht="27" customHeight="1">
      <c r="B38" s="886"/>
      <c r="C38" s="887"/>
      <c r="D38" s="387">
        <v>8</v>
      </c>
      <c r="E38" s="390" t="s">
        <v>338</v>
      </c>
      <c r="F38" s="391">
        <v>1080.9420999999998</v>
      </c>
      <c r="G38" s="392">
        <v>621.56999999999994</v>
      </c>
      <c r="H38" s="392">
        <v>625.6</v>
      </c>
      <c r="I38" s="393">
        <f t="shared" si="23"/>
        <v>1.0064835818974533</v>
      </c>
      <c r="J38" s="392">
        <v>4.88</v>
      </c>
      <c r="K38" s="393">
        <f>J38/G38</f>
        <v>7.8510867641617202E-3</v>
      </c>
      <c r="L38" s="392">
        <v>141.66999999999999</v>
      </c>
      <c r="M38" s="393">
        <f>(H38+J38)/G38</f>
        <v>1.014334668661615</v>
      </c>
      <c r="N38" s="394">
        <v>1262.2796999999973</v>
      </c>
      <c r="O38" s="392">
        <v>7.63</v>
      </c>
      <c r="P38" s="393">
        <f t="shared" si="17"/>
        <v>1.2275367215277444E-2</v>
      </c>
      <c r="Q38" s="395">
        <f t="shared" si="18"/>
        <v>1.280000000000082</v>
      </c>
      <c r="R38" s="393">
        <f t="shared" si="19"/>
        <v>2.0593014463376321E-3</v>
      </c>
      <c r="S38" s="396">
        <f t="shared" si="20"/>
        <v>181.33760000001161</v>
      </c>
      <c r="T38" s="397" t="s">
        <v>432</v>
      </c>
      <c r="U38" s="397" t="s">
        <v>491</v>
      </c>
      <c r="V38" s="398" t="s">
        <v>510</v>
      </c>
      <c r="W38" s="398" t="s">
        <v>588</v>
      </c>
      <c r="X38" s="398">
        <v>1</v>
      </c>
      <c r="Y38" s="399" t="s">
        <v>346</v>
      </c>
    </row>
    <row r="39" spans="2:34" s="148" customFormat="1" ht="27" customHeight="1">
      <c r="B39" s="886"/>
      <c r="C39" s="887"/>
      <c r="D39" s="387">
        <v>9</v>
      </c>
      <c r="E39" s="390" t="s">
        <v>520</v>
      </c>
      <c r="F39" s="391">
        <v>1053.9471999999998</v>
      </c>
      <c r="G39" s="392">
        <v>279.83</v>
      </c>
      <c r="H39" s="392">
        <v>287.64999999999998</v>
      </c>
      <c r="I39" s="393">
        <f t="shared" si="23"/>
        <v>1.0279455383625773</v>
      </c>
      <c r="J39" s="392">
        <v>3.9400000000000004</v>
      </c>
      <c r="K39" s="393">
        <f t="shared" ref="K39:K50" si="24">J39/G39</f>
        <v>1.4079977128971164E-2</v>
      </c>
      <c r="L39" s="392">
        <v>153.19000000000003</v>
      </c>
      <c r="M39" s="393">
        <f t="shared" ref="M39:M50" si="25">(H39+J39)/G39</f>
        <v>1.0420255154915483</v>
      </c>
      <c r="N39" s="394">
        <v>1801.5144000000018</v>
      </c>
      <c r="O39" s="392">
        <v>6.88</v>
      </c>
      <c r="P39" s="393">
        <f t="shared" si="17"/>
        <v>2.4586356001858271E-2</v>
      </c>
      <c r="Q39" s="395">
        <f t="shared" si="18"/>
        <v>4.879999999999991</v>
      </c>
      <c r="R39" s="393">
        <f t="shared" si="19"/>
        <v>1.7439159489690138E-2</v>
      </c>
      <c r="S39" s="396">
        <f t="shared" si="20"/>
        <v>747.56719999999871</v>
      </c>
      <c r="T39" s="397" t="s">
        <v>432</v>
      </c>
      <c r="U39" s="397" t="s">
        <v>491</v>
      </c>
      <c r="V39" s="398" t="s">
        <v>592</v>
      </c>
      <c r="W39" s="398" t="s">
        <v>505</v>
      </c>
      <c r="X39" s="398">
        <v>1</v>
      </c>
      <c r="Y39" s="399" t="s">
        <v>522</v>
      </c>
    </row>
    <row r="40" spans="2:34" s="148" customFormat="1" ht="27" customHeight="1">
      <c r="B40" s="886"/>
      <c r="C40" s="887"/>
      <c r="D40" s="387">
        <v>10</v>
      </c>
      <c r="E40" s="390" t="s">
        <v>521</v>
      </c>
      <c r="F40" s="391">
        <v>1052.6980000000001</v>
      </c>
      <c r="G40" s="392">
        <v>168.70000000000002</v>
      </c>
      <c r="H40" s="392">
        <v>170.52</v>
      </c>
      <c r="I40" s="393">
        <f t="shared" si="23"/>
        <v>1.0107883817427386</v>
      </c>
      <c r="J40" s="392">
        <v>9.83</v>
      </c>
      <c r="K40" s="393">
        <f t="shared" si="24"/>
        <v>5.8269116775340836E-2</v>
      </c>
      <c r="L40" s="392">
        <v>169.79</v>
      </c>
      <c r="M40" s="393">
        <f t="shared" si="25"/>
        <v>1.0690574985180794</v>
      </c>
      <c r="N40" s="394">
        <v>1978.0535000000004</v>
      </c>
      <c r="O40" s="392">
        <v>6.2</v>
      </c>
      <c r="P40" s="393">
        <f t="shared" si="17"/>
        <v>3.6751630112625958E-2</v>
      </c>
      <c r="Q40" s="395">
        <f t="shared" si="18"/>
        <v>5.4500000000000055</v>
      </c>
      <c r="R40" s="393">
        <f t="shared" si="19"/>
        <v>3.2305868405453499E-2</v>
      </c>
      <c r="S40" s="396">
        <f t="shared" si="20"/>
        <v>925.35550000000092</v>
      </c>
      <c r="T40" s="397" t="s">
        <v>432</v>
      </c>
      <c r="U40" s="397" t="s">
        <v>491</v>
      </c>
      <c r="V40" s="398" t="s">
        <v>542</v>
      </c>
      <c r="W40" s="398" t="s">
        <v>503</v>
      </c>
      <c r="X40" s="398">
        <v>1</v>
      </c>
      <c r="Y40" s="399" t="s">
        <v>474</v>
      </c>
    </row>
    <row r="41" spans="2:34" s="148" customFormat="1" ht="27" customHeight="1">
      <c r="B41" s="886"/>
      <c r="C41" s="887"/>
      <c r="D41" s="387">
        <v>11</v>
      </c>
      <c r="E41" s="390" t="s">
        <v>368</v>
      </c>
      <c r="F41" s="391">
        <v>1015.68</v>
      </c>
      <c r="G41" s="392">
        <v>286.14</v>
      </c>
      <c r="H41" s="392">
        <v>290</v>
      </c>
      <c r="I41" s="393">
        <f t="shared" si="23"/>
        <v>1.0134899000489273</v>
      </c>
      <c r="J41" s="392">
        <v>3.8499999999999996</v>
      </c>
      <c r="K41" s="393">
        <f t="shared" si="24"/>
        <v>1.3454952121339203E-2</v>
      </c>
      <c r="L41" s="392">
        <v>253.92000000000002</v>
      </c>
      <c r="M41" s="393">
        <f t="shared" si="25"/>
        <v>1.0269448521702664</v>
      </c>
      <c r="N41" s="394">
        <v>1957.7231999999958</v>
      </c>
      <c r="O41" s="392">
        <v>4</v>
      </c>
      <c r="P41" s="393">
        <f t="shared" si="17"/>
        <v>1.3979171035157615E-2</v>
      </c>
      <c r="Q41" s="395">
        <f t="shared" si="18"/>
        <v>3.7100000000000364</v>
      </c>
      <c r="R41" s="393">
        <f t="shared" si="19"/>
        <v>1.2965681135108816E-2</v>
      </c>
      <c r="S41" s="396">
        <f t="shared" si="20"/>
        <v>942.04320000000928</v>
      </c>
      <c r="T41" s="397" t="s">
        <v>432</v>
      </c>
      <c r="U41" s="397" t="s">
        <v>491</v>
      </c>
      <c r="V41" s="398" t="s">
        <v>666</v>
      </c>
      <c r="W41" s="398" t="s">
        <v>594</v>
      </c>
      <c r="X41" s="398">
        <v>1</v>
      </c>
      <c r="Y41" s="399" t="s">
        <v>360</v>
      </c>
    </row>
    <row r="42" spans="2:34" s="148" customFormat="1" ht="27" customHeight="1">
      <c r="B42" s="886"/>
      <c r="C42" s="887"/>
      <c r="D42" s="387">
        <v>12</v>
      </c>
      <c r="E42" s="390" t="s">
        <v>649</v>
      </c>
      <c r="F42" s="391">
        <v>985.41520000000014</v>
      </c>
      <c r="G42" s="392">
        <v>623.01</v>
      </c>
      <c r="H42" s="392">
        <v>595.21</v>
      </c>
      <c r="I42" s="393">
        <f t="shared" si="23"/>
        <v>0.95537792330781213</v>
      </c>
      <c r="J42" s="392">
        <v>67.580000000000013</v>
      </c>
      <c r="K42" s="393">
        <f t="shared" si="24"/>
        <v>0.10847337923949858</v>
      </c>
      <c r="L42" s="392">
        <v>65.87</v>
      </c>
      <c r="M42" s="393">
        <f t="shared" si="25"/>
        <v>1.0638513025473109</v>
      </c>
      <c r="N42" s="394">
        <v>2620.3086000000012</v>
      </c>
      <c r="O42" s="392">
        <v>14.959999999999999</v>
      </c>
      <c r="P42" s="393">
        <f t="shared" si="17"/>
        <v>2.4012455658817676E-2</v>
      </c>
      <c r="Q42" s="395">
        <f t="shared" si="18"/>
        <v>24.820000000000086</v>
      </c>
      <c r="R42" s="393">
        <f t="shared" si="19"/>
        <v>3.9838846888493103E-2</v>
      </c>
      <c r="S42" s="396">
        <f t="shared" si="20"/>
        <v>1634.8934000000058</v>
      </c>
      <c r="T42" s="397" t="s">
        <v>432</v>
      </c>
      <c r="U42" s="397" t="s">
        <v>491</v>
      </c>
      <c r="V42" s="398" t="s">
        <v>667</v>
      </c>
      <c r="W42" s="398" t="s">
        <v>668</v>
      </c>
      <c r="X42" s="398">
        <v>1</v>
      </c>
      <c r="Y42" s="399" t="s">
        <v>479</v>
      </c>
    </row>
    <row r="43" spans="2:34" s="148" customFormat="1" ht="27" customHeight="1">
      <c r="B43" s="886"/>
      <c r="C43" s="887"/>
      <c r="D43" s="387">
        <v>13</v>
      </c>
      <c r="E43" s="390" t="s">
        <v>650</v>
      </c>
      <c r="F43" s="391">
        <v>978.17279999999982</v>
      </c>
      <c r="G43" s="392">
        <v>873.16</v>
      </c>
      <c r="H43" s="392">
        <v>848.9</v>
      </c>
      <c r="I43" s="393">
        <v>0.97221585963626367</v>
      </c>
      <c r="J43" s="392">
        <v>53.94</v>
      </c>
      <c r="K43" s="393">
        <v>6.1775619588620642E-2</v>
      </c>
      <c r="L43" s="392">
        <v>75.36</v>
      </c>
      <c r="M43" s="393">
        <f t="shared" si="25"/>
        <v>1.0339914792248843</v>
      </c>
      <c r="N43" s="394">
        <v>2236.6847999999986</v>
      </c>
      <c r="O43" s="392">
        <v>12.98</v>
      </c>
      <c r="P43" s="393">
        <f t="shared" si="17"/>
        <v>1.4865545833524212E-2</v>
      </c>
      <c r="Q43" s="395">
        <f t="shared" si="18"/>
        <v>16.69999999999995</v>
      </c>
      <c r="R43" s="393">
        <f t="shared" si="19"/>
        <v>1.912593339136006E-2</v>
      </c>
      <c r="S43" s="396">
        <f t="shared" si="20"/>
        <v>1258.5119999999961</v>
      </c>
      <c r="T43" s="397" t="s">
        <v>432</v>
      </c>
      <c r="U43" s="397" t="s">
        <v>491</v>
      </c>
      <c r="V43" s="398" t="s">
        <v>669</v>
      </c>
      <c r="W43" s="398" t="s">
        <v>670</v>
      </c>
      <c r="X43" s="398">
        <v>1</v>
      </c>
      <c r="Y43" s="399" t="s">
        <v>486</v>
      </c>
    </row>
    <row r="44" spans="2:34" s="148" customFormat="1" ht="27" customHeight="1">
      <c r="B44" s="886"/>
      <c r="C44" s="887"/>
      <c r="D44" s="387">
        <v>14</v>
      </c>
      <c r="E44" s="390" t="s">
        <v>651</v>
      </c>
      <c r="F44" s="391">
        <v>970.32000000000016</v>
      </c>
      <c r="G44" s="392">
        <v>134.57</v>
      </c>
      <c r="H44" s="392">
        <v>129.13</v>
      </c>
      <c r="I44" s="393">
        <v>0.95957494240915508</v>
      </c>
      <c r="J44" s="392">
        <v>8.99</v>
      </c>
      <c r="K44" s="393">
        <v>6.6805380099576428E-2</v>
      </c>
      <c r="L44" s="392">
        <v>485.15999999999997</v>
      </c>
      <c r="M44" s="393">
        <f t="shared" si="25"/>
        <v>1.0263803225087316</v>
      </c>
      <c r="N44" s="394">
        <v>1722.3180000000004</v>
      </c>
      <c r="O44" s="392">
        <v>2</v>
      </c>
      <c r="P44" s="393">
        <f t="shared" si="17"/>
        <v>1.4862153526045925E-2</v>
      </c>
      <c r="Q44" s="395">
        <f t="shared" si="18"/>
        <v>1.5500000000000114</v>
      </c>
      <c r="R44" s="393">
        <f t="shared" si="19"/>
        <v>1.1518168982685676E-2</v>
      </c>
      <c r="S44" s="396">
        <f t="shared" si="20"/>
        <v>751.9980000000055</v>
      </c>
      <c r="T44" s="397" t="s">
        <v>432</v>
      </c>
      <c r="U44" s="397" t="s">
        <v>491</v>
      </c>
      <c r="V44" s="398" t="s">
        <v>671</v>
      </c>
      <c r="W44" s="398" t="s">
        <v>618</v>
      </c>
      <c r="X44" s="398">
        <v>1</v>
      </c>
      <c r="Y44" s="399" t="s">
        <v>347</v>
      </c>
    </row>
    <row r="45" spans="2:34" s="148" customFormat="1" ht="27" customHeight="1">
      <c r="B45" s="886"/>
      <c r="C45" s="887"/>
      <c r="D45" s="387">
        <v>15</v>
      </c>
      <c r="E45" s="390" t="s">
        <v>652</v>
      </c>
      <c r="F45" s="391">
        <v>968.50199999999995</v>
      </c>
      <c r="G45" s="392">
        <v>148.4</v>
      </c>
      <c r="H45" s="392">
        <v>152.67000000000002</v>
      </c>
      <c r="I45" s="393">
        <v>1.0287735849056605</v>
      </c>
      <c r="J45" s="392">
        <v>3.74</v>
      </c>
      <c r="K45" s="393">
        <v>2.5202156334231805E-2</v>
      </c>
      <c r="L45" s="392">
        <v>190.65000000000003</v>
      </c>
      <c r="M45" s="393">
        <f t="shared" si="25"/>
        <v>1.0539757412398922</v>
      </c>
      <c r="N45" s="394">
        <v>1527.106500000001</v>
      </c>
      <c r="O45" s="392">
        <v>5.080000000000001</v>
      </c>
      <c r="P45" s="393">
        <f t="shared" si="17"/>
        <v>3.4231805929919146E-2</v>
      </c>
      <c r="Q45" s="395">
        <f t="shared" si="18"/>
        <v>2.9300000000000184</v>
      </c>
      <c r="R45" s="393">
        <f t="shared" si="19"/>
        <v>1.9743935309973169E-2</v>
      </c>
      <c r="S45" s="396">
        <f t="shared" si="20"/>
        <v>558.60450000000355</v>
      </c>
      <c r="T45" s="397" t="s">
        <v>432</v>
      </c>
      <c r="U45" s="397" t="s">
        <v>491</v>
      </c>
      <c r="V45" s="398" t="s">
        <v>510</v>
      </c>
      <c r="W45" s="398" t="s">
        <v>505</v>
      </c>
      <c r="X45" s="398">
        <v>1</v>
      </c>
      <c r="Y45" s="399" t="s">
        <v>472</v>
      </c>
    </row>
    <row r="46" spans="2:34" s="148" customFormat="1" ht="27" customHeight="1">
      <c r="B46" s="886"/>
      <c r="C46" s="887"/>
      <c r="D46" s="387">
        <v>16</v>
      </c>
      <c r="E46" s="390" t="s">
        <v>581</v>
      </c>
      <c r="F46" s="391">
        <v>960.16480000000001</v>
      </c>
      <c r="G46" s="392">
        <v>209.97000000000003</v>
      </c>
      <c r="H46" s="392">
        <v>213.32</v>
      </c>
      <c r="I46" s="393">
        <v>1.0159546601895508</v>
      </c>
      <c r="J46" s="392">
        <v>10</v>
      </c>
      <c r="K46" s="393">
        <v>4.7625851312092196E-2</v>
      </c>
      <c r="L46" s="392">
        <v>145.04</v>
      </c>
      <c r="M46" s="393">
        <f t="shared" si="25"/>
        <v>1.063580511501643</v>
      </c>
      <c r="N46" s="394">
        <v>1936.2839999999997</v>
      </c>
      <c r="O46" s="392">
        <v>6.62</v>
      </c>
      <c r="P46" s="393">
        <f t="shared" si="17"/>
        <v>3.1528313568605033E-2</v>
      </c>
      <c r="Q46" s="395">
        <f t="shared" si="18"/>
        <v>6.7299999999999658</v>
      </c>
      <c r="R46" s="393">
        <f t="shared" si="19"/>
        <v>3.2052197933037888E-2</v>
      </c>
      <c r="S46" s="396">
        <f t="shared" si="20"/>
        <v>976.11919999999498</v>
      </c>
      <c r="T46" s="397" t="s">
        <v>432</v>
      </c>
      <c r="U46" s="397" t="s">
        <v>491</v>
      </c>
      <c r="V46" s="398" t="s">
        <v>542</v>
      </c>
      <c r="W46" s="398" t="s">
        <v>543</v>
      </c>
      <c r="X46" s="398">
        <v>1</v>
      </c>
      <c r="Y46" s="399" t="s">
        <v>345</v>
      </c>
      <c r="AC46" s="403"/>
    </row>
    <row r="47" spans="2:34" s="148" customFormat="1" ht="27" customHeight="1">
      <c r="B47" s="886"/>
      <c r="C47" s="887"/>
      <c r="D47" s="387">
        <v>17</v>
      </c>
      <c r="E47" s="390" t="s">
        <v>653</v>
      </c>
      <c r="F47" s="391">
        <v>960.04440000000022</v>
      </c>
      <c r="G47" s="392">
        <v>1040.04</v>
      </c>
      <c r="H47" s="392">
        <v>1038.6200000000001</v>
      </c>
      <c r="I47" s="393">
        <v>0.99863466789738875</v>
      </c>
      <c r="J47" s="392">
        <v>15.23</v>
      </c>
      <c r="K47" s="393">
        <v>1.4643667551248031E-2</v>
      </c>
      <c r="L47" s="392">
        <v>126.99</v>
      </c>
      <c r="M47" s="393">
        <f t="shared" si="25"/>
        <v>1.0132783354486368</v>
      </c>
      <c r="N47" s="394">
        <v>1753.7319000000005</v>
      </c>
      <c r="O47" s="392">
        <v>7.5600000000000005</v>
      </c>
      <c r="P47" s="393">
        <f t="shared" si="17"/>
        <v>7.2689511941848401E-3</v>
      </c>
      <c r="Q47" s="395">
        <f t="shared" si="18"/>
        <v>6.2500000000001723</v>
      </c>
      <c r="R47" s="393">
        <f t="shared" si="19"/>
        <v>6.0093842544519174E-3</v>
      </c>
      <c r="S47" s="396">
        <f t="shared" si="20"/>
        <v>793.68750000002183</v>
      </c>
      <c r="T47" s="397" t="s">
        <v>432</v>
      </c>
      <c r="U47" s="397" t="s">
        <v>491</v>
      </c>
      <c r="V47" s="398" t="s">
        <v>502</v>
      </c>
      <c r="W47" s="398" t="s">
        <v>503</v>
      </c>
      <c r="X47" s="398">
        <v>1</v>
      </c>
      <c r="Y47" s="399" t="s">
        <v>344</v>
      </c>
      <c r="AB47" s="405"/>
      <c r="AC47" s="403"/>
    </row>
    <row r="48" spans="2:34" s="148" customFormat="1" ht="27" customHeight="1">
      <c r="B48" s="886"/>
      <c r="C48" s="887"/>
      <c r="D48" s="387">
        <v>18</v>
      </c>
      <c r="E48" s="390" t="s">
        <v>654</v>
      </c>
      <c r="F48" s="391">
        <v>957.83969999999999</v>
      </c>
      <c r="G48" s="392">
        <v>37.75</v>
      </c>
      <c r="H48" s="392">
        <v>40.56</v>
      </c>
      <c r="I48" s="393">
        <v>1.0744370860927153</v>
      </c>
      <c r="J48" s="392">
        <v>0.6</v>
      </c>
      <c r="K48" s="393">
        <v>1.5894039735099338E-2</v>
      </c>
      <c r="L48" s="392">
        <v>496.29</v>
      </c>
      <c r="M48" s="393">
        <f t="shared" si="25"/>
        <v>1.0903311258278148</v>
      </c>
      <c r="N48" s="394">
        <v>1692.3489000000011</v>
      </c>
      <c r="O48" s="392">
        <v>1.9300000000000002</v>
      </c>
      <c r="P48" s="393">
        <f t="shared" si="17"/>
        <v>5.1125827814569542E-2</v>
      </c>
      <c r="Q48" s="395">
        <f t="shared" si="18"/>
        <v>1.4800000000000035</v>
      </c>
      <c r="R48" s="393">
        <f t="shared" si="19"/>
        <v>3.9205298013245127E-2</v>
      </c>
      <c r="S48" s="396">
        <f t="shared" si="20"/>
        <v>734.50920000000178</v>
      </c>
      <c r="T48" s="397" t="s">
        <v>432</v>
      </c>
      <c r="U48" s="397" t="s">
        <v>491</v>
      </c>
      <c r="V48" s="398" t="s">
        <v>672</v>
      </c>
      <c r="W48" s="398" t="s">
        <v>505</v>
      </c>
      <c r="X48" s="398">
        <v>1</v>
      </c>
      <c r="Y48" s="399" t="s">
        <v>410</v>
      </c>
      <c r="AC48" s="403"/>
    </row>
    <row r="49" spans="2:34" s="148" customFormat="1" ht="27" customHeight="1">
      <c r="B49" s="886"/>
      <c r="C49" s="887"/>
      <c r="D49" s="387">
        <v>19</v>
      </c>
      <c r="E49" s="390" t="s">
        <v>655</v>
      </c>
      <c r="F49" s="391">
        <v>954.79020000000014</v>
      </c>
      <c r="G49" s="392">
        <v>207.19</v>
      </c>
      <c r="H49" s="392">
        <v>209.46000000000004</v>
      </c>
      <c r="I49" s="393">
        <v>1.0109561272262177</v>
      </c>
      <c r="J49" s="392">
        <v>3.25</v>
      </c>
      <c r="K49" s="393">
        <v>1.5686085235773927E-2</v>
      </c>
      <c r="L49" s="392">
        <v>203.57999999999998</v>
      </c>
      <c r="M49" s="393">
        <f t="shared" si="25"/>
        <v>1.0266422124619916</v>
      </c>
      <c r="N49" s="394">
        <v>1123.7616000000014</v>
      </c>
      <c r="O49" s="392">
        <v>4.6899999999999995</v>
      </c>
      <c r="P49" s="393">
        <f t="shared" si="17"/>
        <v>2.2636227617162989E-2</v>
      </c>
      <c r="Q49" s="395">
        <f t="shared" si="18"/>
        <v>0.83000000000003915</v>
      </c>
      <c r="R49" s="393">
        <f t="shared" si="19"/>
        <v>4.005984844828607E-3</v>
      </c>
      <c r="S49" s="396">
        <f t="shared" si="20"/>
        <v>168.97140000000795</v>
      </c>
      <c r="T49" s="397" t="s">
        <v>432</v>
      </c>
      <c r="U49" s="397" t="s">
        <v>491</v>
      </c>
      <c r="V49" s="398" t="s">
        <v>510</v>
      </c>
      <c r="W49" s="398" t="s">
        <v>673</v>
      </c>
      <c r="X49" s="398">
        <v>1</v>
      </c>
      <c r="Y49" s="399" t="s">
        <v>346</v>
      </c>
      <c r="AB49" s="406"/>
      <c r="AC49" s="403"/>
    </row>
    <row r="50" spans="2:34" s="148" customFormat="1" ht="27" customHeight="1">
      <c r="B50" s="888"/>
      <c r="C50" s="889"/>
      <c r="D50" s="387">
        <v>20</v>
      </c>
      <c r="E50" s="390" t="s">
        <v>656</v>
      </c>
      <c r="F50" s="391">
        <v>953.97540000000015</v>
      </c>
      <c r="G50" s="392">
        <v>609.21999999999991</v>
      </c>
      <c r="H50" s="392">
        <v>620.47</v>
      </c>
      <c r="I50" s="393">
        <f t="shared" si="23"/>
        <v>1.0184662355142644</v>
      </c>
      <c r="J50" s="392">
        <v>0</v>
      </c>
      <c r="K50" s="393">
        <f t="shared" si="24"/>
        <v>0</v>
      </c>
      <c r="L50" s="392">
        <v>110.66999999999999</v>
      </c>
      <c r="M50" s="393">
        <f t="shared" si="25"/>
        <v>1.0184662355142644</v>
      </c>
      <c r="N50" s="394">
        <v>1245.0375000000008</v>
      </c>
      <c r="O50" s="392">
        <v>8.6199999999999992</v>
      </c>
      <c r="P50" s="393">
        <f t="shared" si="17"/>
        <v>1.4149240011818392E-2</v>
      </c>
      <c r="Q50" s="395">
        <f t="shared" si="18"/>
        <v>2.6300000000001145</v>
      </c>
      <c r="R50" s="393">
        <f t="shared" si="19"/>
        <v>4.3169955024459387E-3</v>
      </c>
      <c r="S50" s="396">
        <f t="shared" si="20"/>
        <v>291.06210000001266</v>
      </c>
      <c r="T50" s="397" t="s">
        <v>432</v>
      </c>
      <c r="U50" s="397" t="s">
        <v>491</v>
      </c>
      <c r="V50" s="398" t="s">
        <v>674</v>
      </c>
      <c r="W50" s="398"/>
      <c r="X50" s="398">
        <v>1</v>
      </c>
      <c r="Y50" s="399" t="s">
        <v>540</v>
      </c>
      <c r="AB50" s="406"/>
      <c r="AC50" s="403"/>
    </row>
    <row r="51" spans="2:34" ht="17.149999999999999" customHeight="1">
      <c r="B51" s="903" t="s">
        <v>488</v>
      </c>
      <c r="C51" s="904"/>
      <c r="D51" s="900" t="s">
        <v>172</v>
      </c>
      <c r="E51" s="900"/>
      <c r="F51" s="900"/>
      <c r="G51" s="900" t="s">
        <v>186</v>
      </c>
      <c r="H51" s="900"/>
      <c r="I51" s="900"/>
      <c r="J51" s="900"/>
      <c r="K51" s="900"/>
      <c r="L51" s="900"/>
      <c r="M51" s="900"/>
      <c r="N51" s="900"/>
      <c r="O51" s="900"/>
      <c r="P51" s="900"/>
      <c r="Q51" s="900"/>
      <c r="R51" s="900"/>
      <c r="S51" s="900"/>
      <c r="T51" s="900" t="s">
        <v>173</v>
      </c>
      <c r="U51" s="890" t="s">
        <v>247</v>
      </c>
      <c r="V51" s="909" t="s">
        <v>489</v>
      </c>
      <c r="W51" s="909" t="s">
        <v>490</v>
      </c>
      <c r="X51" s="912" t="s">
        <v>248</v>
      </c>
      <c r="Y51" s="901" t="s">
        <v>174</v>
      </c>
      <c r="AA51" s="890" t="s">
        <v>249</v>
      </c>
      <c r="AB51" s="891"/>
      <c r="AC51" s="891"/>
      <c r="AD51" s="891"/>
      <c r="AE51" s="891"/>
      <c r="AF51" s="891"/>
      <c r="AG51" s="891"/>
      <c r="AH51" s="892"/>
    </row>
    <row r="52" spans="2:34" ht="17.149999999999999" customHeight="1">
      <c r="B52" s="905"/>
      <c r="C52" s="906"/>
      <c r="D52" s="899" t="s">
        <v>171</v>
      </c>
      <c r="E52" s="900" t="s">
        <v>175</v>
      </c>
      <c r="F52" s="900"/>
      <c r="G52" s="900" t="s">
        <v>187</v>
      </c>
      <c r="H52" s="900"/>
      <c r="I52" s="900"/>
      <c r="J52" s="900"/>
      <c r="K52" s="900"/>
      <c r="L52" s="900"/>
      <c r="M52" s="900"/>
      <c r="N52" s="900"/>
      <c r="O52" s="900" t="s">
        <v>176</v>
      </c>
      <c r="P52" s="900"/>
      <c r="Q52" s="900"/>
      <c r="R52" s="900"/>
      <c r="S52" s="900"/>
      <c r="T52" s="900"/>
      <c r="U52" s="893"/>
      <c r="V52" s="910"/>
      <c r="W52" s="910"/>
      <c r="X52" s="913"/>
      <c r="Y52" s="901"/>
      <c r="AA52" s="893"/>
      <c r="AB52" s="894"/>
      <c r="AC52" s="894"/>
      <c r="AD52" s="894"/>
      <c r="AE52" s="894"/>
      <c r="AF52" s="894"/>
      <c r="AG52" s="894"/>
      <c r="AH52" s="895"/>
    </row>
    <row r="53" spans="2:34" ht="17.149999999999999" customHeight="1">
      <c r="B53" s="905"/>
      <c r="C53" s="906"/>
      <c r="D53" s="899"/>
      <c r="E53" s="899" t="s">
        <v>177</v>
      </c>
      <c r="F53" s="901" t="s">
        <v>250</v>
      </c>
      <c r="G53" s="902" t="s">
        <v>188</v>
      </c>
      <c r="H53" s="902"/>
      <c r="I53" s="902"/>
      <c r="J53" s="902"/>
      <c r="K53" s="902"/>
      <c r="L53" s="902"/>
      <c r="M53" s="902"/>
      <c r="N53" s="902"/>
      <c r="O53" s="902" t="s">
        <v>170</v>
      </c>
      <c r="P53" s="902"/>
      <c r="Q53" s="902" t="s">
        <v>178</v>
      </c>
      <c r="R53" s="902"/>
      <c r="S53" s="902"/>
      <c r="T53" s="900"/>
      <c r="U53" s="893"/>
      <c r="V53" s="910"/>
      <c r="W53" s="910"/>
      <c r="X53" s="913"/>
      <c r="Y53" s="901"/>
      <c r="AA53" s="896"/>
      <c r="AB53" s="897"/>
      <c r="AC53" s="897"/>
      <c r="AD53" s="897"/>
      <c r="AE53" s="897"/>
      <c r="AF53" s="897"/>
      <c r="AG53" s="897"/>
      <c r="AH53" s="898"/>
    </row>
    <row r="54" spans="2:34" ht="38.5" customHeight="1">
      <c r="B54" s="907"/>
      <c r="C54" s="908"/>
      <c r="D54" s="899"/>
      <c r="E54" s="899"/>
      <c r="F54" s="901"/>
      <c r="G54" s="388" t="s">
        <v>179</v>
      </c>
      <c r="H54" s="388" t="s">
        <v>254</v>
      </c>
      <c r="I54" s="388" t="s">
        <v>255</v>
      </c>
      <c r="J54" s="388" t="s">
        <v>180</v>
      </c>
      <c r="K54" s="388" t="s">
        <v>252</v>
      </c>
      <c r="L54" s="388" t="s">
        <v>181</v>
      </c>
      <c r="M54" s="388" t="s">
        <v>189</v>
      </c>
      <c r="N54" s="388" t="s">
        <v>182</v>
      </c>
      <c r="O54" s="389" t="s">
        <v>183</v>
      </c>
      <c r="P54" s="389" t="s">
        <v>184</v>
      </c>
      <c r="Q54" s="389" t="s">
        <v>183</v>
      </c>
      <c r="R54" s="389" t="s">
        <v>184</v>
      </c>
      <c r="S54" s="388" t="s">
        <v>185</v>
      </c>
      <c r="T54" s="900"/>
      <c r="U54" s="896"/>
      <c r="V54" s="911"/>
      <c r="W54" s="911"/>
      <c r="X54" s="914"/>
      <c r="Y54" s="901"/>
      <c r="AA54" s="161" t="s">
        <v>246</v>
      </c>
      <c r="AB54" s="161" t="s">
        <v>491</v>
      </c>
      <c r="AC54" s="156" t="s">
        <v>397</v>
      </c>
      <c r="AD54" s="156" t="s">
        <v>341</v>
      </c>
      <c r="AE54" s="156" t="s">
        <v>465</v>
      </c>
      <c r="AF54" s="156" t="s">
        <v>217</v>
      </c>
      <c r="AG54" s="156" t="s">
        <v>218</v>
      </c>
      <c r="AH54" s="156" t="s">
        <v>398</v>
      </c>
    </row>
    <row r="55" spans="2:34" s="148" customFormat="1" ht="27" customHeight="1">
      <c r="B55" s="884" t="s">
        <v>620</v>
      </c>
      <c r="C55" s="885"/>
      <c r="D55" s="387">
        <v>1</v>
      </c>
      <c r="E55" s="390" t="s">
        <v>494</v>
      </c>
      <c r="F55" s="391">
        <v>1734.6000000000001</v>
      </c>
      <c r="G55" s="392">
        <v>146232</v>
      </c>
      <c r="H55" s="392">
        <v>146940</v>
      </c>
      <c r="I55" s="393">
        <f>H55/G55</f>
        <v>1.0048416215329066</v>
      </c>
      <c r="J55" s="392">
        <v>0</v>
      </c>
      <c r="K55" s="393">
        <f>J55/G55</f>
        <v>0</v>
      </c>
      <c r="L55" s="392">
        <v>2.4499999999999997</v>
      </c>
      <c r="M55" s="393">
        <f>(H55+J55)/G55</f>
        <v>1.0048416215329066</v>
      </c>
      <c r="N55" s="394">
        <v>1734.6000000000001</v>
      </c>
      <c r="O55" s="392">
        <v>708</v>
      </c>
      <c r="P55" s="393">
        <f>O55/G55</f>
        <v>4.8416215329066137E-3</v>
      </c>
      <c r="Q55" s="395">
        <f>((H55+J55)-G55)-O55</f>
        <v>0</v>
      </c>
      <c r="R55" s="393">
        <f>Q55/G55</f>
        <v>0</v>
      </c>
      <c r="S55" s="396">
        <f>Q55*L55</f>
        <v>0</v>
      </c>
      <c r="T55" s="397" t="s">
        <v>432</v>
      </c>
      <c r="U55" s="397" t="s">
        <v>341</v>
      </c>
      <c r="V55" s="398" t="s">
        <v>586</v>
      </c>
      <c r="W55" s="398" t="s">
        <v>587</v>
      </c>
      <c r="X55" s="398">
        <v>1</v>
      </c>
      <c r="Y55" s="399" t="s">
        <v>344</v>
      </c>
      <c r="Z55" s="400" t="s">
        <v>492</v>
      </c>
      <c r="AA55" s="410">
        <f>SUM(X55:X74)</f>
        <v>20</v>
      </c>
      <c r="AB55" s="402">
        <f>SUMIF($U$55:$U$74,TRIM(AB54),$X$55:$X$74)</f>
        <v>16</v>
      </c>
      <c r="AC55" s="402">
        <f t="shared" ref="AC55:AH55" si="26">SUMIF($U$55:$U$74,TRIM(AC54),$X$55:$X$74)</f>
        <v>0</v>
      </c>
      <c r="AD55" s="402">
        <f t="shared" si="26"/>
        <v>2</v>
      </c>
      <c r="AE55" s="402">
        <f t="shared" si="26"/>
        <v>0</v>
      </c>
      <c r="AF55" s="402">
        <f t="shared" si="26"/>
        <v>1</v>
      </c>
      <c r="AG55" s="402">
        <f t="shared" si="26"/>
        <v>1</v>
      </c>
      <c r="AH55" s="402">
        <f t="shared" si="26"/>
        <v>0</v>
      </c>
    </row>
    <row r="56" spans="2:34" s="148" customFormat="1" ht="27" customHeight="1">
      <c r="B56" s="886"/>
      <c r="C56" s="887"/>
      <c r="D56" s="387">
        <v>2</v>
      </c>
      <c r="E56" s="390" t="s">
        <v>493</v>
      </c>
      <c r="F56" s="391">
        <v>1399.32</v>
      </c>
      <c r="G56" s="392">
        <v>235347</v>
      </c>
      <c r="H56" s="392">
        <v>236958</v>
      </c>
      <c r="I56" s="393">
        <f t="shared" ref="I56:I57" si="27">H56/G56</f>
        <v>1.0068452115387068</v>
      </c>
      <c r="J56" s="392">
        <v>390</v>
      </c>
      <c r="K56" s="393">
        <f t="shared" ref="K56:K61" si="28">J56/G56</f>
        <v>1.6571275605807595E-3</v>
      </c>
      <c r="L56" s="392">
        <v>1.17</v>
      </c>
      <c r="M56" s="393">
        <f t="shared" ref="M56:M61" si="29">(H56+J56)/G56</f>
        <v>1.0085023390992873</v>
      </c>
      <c r="N56" s="394">
        <v>2341.1699999999996</v>
      </c>
      <c r="O56" s="392">
        <v>1196</v>
      </c>
      <c r="P56" s="393">
        <f t="shared" ref="P56:P74" si="30">O56/G56</f>
        <v>5.0818578524476623E-3</v>
      </c>
      <c r="Q56" s="395">
        <f t="shared" ref="Q56:Q74" si="31">((H56+J56)-G56)-O56</f>
        <v>805</v>
      </c>
      <c r="R56" s="393">
        <f t="shared" ref="R56:R74" si="32">Q56/G56</f>
        <v>3.420481246839773E-3</v>
      </c>
      <c r="S56" s="396">
        <f t="shared" ref="S56:S74" si="33">Q56*L56</f>
        <v>941.84999999999991</v>
      </c>
      <c r="T56" s="397" t="s">
        <v>432</v>
      </c>
      <c r="U56" s="397" t="s">
        <v>341</v>
      </c>
      <c r="V56" s="397" t="s">
        <v>589</v>
      </c>
      <c r="W56" s="398" t="s">
        <v>711</v>
      </c>
      <c r="X56" s="398">
        <v>1</v>
      </c>
      <c r="Y56" s="399" t="s">
        <v>344</v>
      </c>
      <c r="AA56" s="411"/>
      <c r="AB56" s="408">
        <f>SUMIF($U$55:$U$74,TRIM(AB54),$F$55:$F$74)</f>
        <v>15984.395699999997</v>
      </c>
      <c r="AC56" s="408">
        <f t="shared" ref="AC56:AH56" si="34">SUMIF($U$55:$U$74,TRIM(AC54),$F$55:$F$74)</f>
        <v>0</v>
      </c>
      <c r="AD56" s="408">
        <f t="shared" si="34"/>
        <v>3133.92</v>
      </c>
      <c r="AE56" s="408">
        <f t="shared" si="34"/>
        <v>0</v>
      </c>
      <c r="AF56" s="408">
        <f t="shared" si="34"/>
        <v>1013.76</v>
      </c>
      <c r="AG56" s="408">
        <f t="shared" si="34"/>
        <v>1313.25</v>
      </c>
      <c r="AH56" s="408">
        <f t="shared" si="34"/>
        <v>0</v>
      </c>
    </row>
    <row r="57" spans="2:34" s="148" customFormat="1" ht="27" customHeight="1">
      <c r="B57" s="886"/>
      <c r="C57" s="887"/>
      <c r="D57" s="387">
        <v>3</v>
      </c>
      <c r="E57" s="390" t="s">
        <v>337</v>
      </c>
      <c r="F57" s="391">
        <v>1313.25</v>
      </c>
      <c r="G57" s="392">
        <v>20914</v>
      </c>
      <c r="H57" s="392">
        <v>20557</v>
      </c>
      <c r="I57" s="393">
        <f t="shared" si="27"/>
        <v>0.98293009467342451</v>
      </c>
      <c r="J57" s="392">
        <v>442</v>
      </c>
      <c r="K57" s="393">
        <f t="shared" si="28"/>
        <v>2.1134168499569665E-2</v>
      </c>
      <c r="L57" s="392">
        <v>15.450000000000001</v>
      </c>
      <c r="M57" s="393">
        <f t="shared" si="29"/>
        <v>1.0040642631729941</v>
      </c>
      <c r="N57" s="394">
        <v>1313.25</v>
      </c>
      <c r="O57" s="392">
        <v>85</v>
      </c>
      <c r="P57" s="393">
        <f t="shared" si="30"/>
        <v>4.064263172994167E-3</v>
      </c>
      <c r="Q57" s="395">
        <f t="shared" si="31"/>
        <v>0</v>
      </c>
      <c r="R57" s="393">
        <f t="shared" si="32"/>
        <v>0</v>
      </c>
      <c r="S57" s="396">
        <f t="shared" si="33"/>
        <v>0</v>
      </c>
      <c r="T57" s="397" t="s">
        <v>432</v>
      </c>
      <c r="U57" s="397" t="s">
        <v>549</v>
      </c>
      <c r="V57" s="398" t="s">
        <v>585</v>
      </c>
      <c r="W57" s="398" t="s">
        <v>576</v>
      </c>
      <c r="X57" s="398">
        <v>1</v>
      </c>
      <c r="Y57" s="399" t="s">
        <v>343</v>
      </c>
      <c r="AA57" s="387"/>
      <c r="AB57" s="409">
        <f>AB55/$AA55</f>
        <v>0.8</v>
      </c>
      <c r="AC57" s="409">
        <f t="shared" ref="AC57:AH57" si="35">AC55/$AA55</f>
        <v>0</v>
      </c>
      <c r="AD57" s="409">
        <f t="shared" si="35"/>
        <v>0.1</v>
      </c>
      <c r="AE57" s="409">
        <f t="shared" si="35"/>
        <v>0</v>
      </c>
      <c r="AF57" s="409">
        <f t="shared" si="35"/>
        <v>0.05</v>
      </c>
      <c r="AG57" s="409">
        <f t="shared" si="35"/>
        <v>0.05</v>
      </c>
      <c r="AH57" s="409">
        <f t="shared" si="35"/>
        <v>0</v>
      </c>
    </row>
    <row r="58" spans="2:34" s="148" customFormat="1" ht="27" customHeight="1">
      <c r="B58" s="886"/>
      <c r="C58" s="887"/>
      <c r="D58" s="387">
        <v>4</v>
      </c>
      <c r="E58" s="390" t="s">
        <v>480</v>
      </c>
      <c r="F58" s="391">
        <v>1120.5337000000002</v>
      </c>
      <c r="G58" s="392">
        <v>496.17999999999995</v>
      </c>
      <c r="H58" s="392">
        <v>503.15</v>
      </c>
      <c r="I58" s="393">
        <f>H58/G58</f>
        <v>1.0140473215365393</v>
      </c>
      <c r="J58" s="392">
        <v>0</v>
      </c>
      <c r="K58" s="393">
        <f t="shared" si="28"/>
        <v>0</v>
      </c>
      <c r="L58" s="392">
        <v>181.60999999999999</v>
      </c>
      <c r="M58" s="393">
        <f t="shared" si="29"/>
        <v>1.0140473215365393</v>
      </c>
      <c r="N58" s="394">
        <v>1265.8217000000025</v>
      </c>
      <c r="O58" s="392">
        <v>6.17</v>
      </c>
      <c r="P58" s="393">
        <f t="shared" si="30"/>
        <v>1.2435003426175985E-2</v>
      </c>
      <c r="Q58" s="395">
        <f t="shared" si="31"/>
        <v>0.80000000000002736</v>
      </c>
      <c r="R58" s="393">
        <f t="shared" si="32"/>
        <v>1.61231811036323E-3</v>
      </c>
      <c r="S58" s="396">
        <f t="shared" si="33"/>
        <v>145.28800000000496</v>
      </c>
      <c r="T58" s="397" t="s">
        <v>432</v>
      </c>
      <c r="U58" s="397" t="s">
        <v>491</v>
      </c>
      <c r="V58" s="398" t="s">
        <v>502</v>
      </c>
      <c r="W58" s="398" t="s">
        <v>503</v>
      </c>
      <c r="X58" s="398">
        <v>1</v>
      </c>
      <c r="Y58" s="399" t="s">
        <v>479</v>
      </c>
    </row>
    <row r="59" spans="2:34" s="148" customFormat="1" ht="27" customHeight="1">
      <c r="B59" s="886"/>
      <c r="C59" s="887"/>
      <c r="D59" s="387">
        <v>5</v>
      </c>
      <c r="E59" s="390" t="s">
        <v>338</v>
      </c>
      <c r="F59" s="391">
        <v>1102.1925999999999</v>
      </c>
      <c r="G59" s="392">
        <v>645.85</v>
      </c>
      <c r="H59" s="392">
        <v>652.56000000000006</v>
      </c>
      <c r="I59" s="393">
        <f t="shared" ref="I59:I74" si="36">H59/G59</f>
        <v>1.0103894093055663</v>
      </c>
      <c r="J59" s="392">
        <v>1.59</v>
      </c>
      <c r="K59" s="393">
        <f t="shared" si="28"/>
        <v>2.4618719516915693E-3</v>
      </c>
      <c r="L59" s="392">
        <v>141.66999999999999</v>
      </c>
      <c r="M59" s="393">
        <f t="shared" si="29"/>
        <v>1.0128512812572579</v>
      </c>
      <c r="N59" s="394">
        <v>1175.8609999999974</v>
      </c>
      <c r="O59" s="392">
        <v>7.7799999999999994</v>
      </c>
      <c r="P59" s="393">
        <f t="shared" si="30"/>
        <v>1.2046140744754973E-2</v>
      </c>
      <c r="Q59" s="395">
        <f t="shared" si="31"/>
        <v>0.52000000000006885</v>
      </c>
      <c r="R59" s="393">
        <f t="shared" si="32"/>
        <v>8.0514051250300974E-4</v>
      </c>
      <c r="S59" s="396">
        <f t="shared" si="33"/>
        <v>73.668400000009754</v>
      </c>
      <c r="T59" s="397" t="s">
        <v>432</v>
      </c>
      <c r="U59" s="397" t="s">
        <v>491</v>
      </c>
      <c r="V59" s="398" t="s">
        <v>510</v>
      </c>
      <c r="W59" s="398" t="s">
        <v>588</v>
      </c>
      <c r="X59" s="398">
        <v>1</v>
      </c>
      <c r="Y59" s="399" t="s">
        <v>346</v>
      </c>
    </row>
    <row r="60" spans="2:34" s="148" customFormat="1" ht="27" customHeight="1">
      <c r="B60" s="886"/>
      <c r="C60" s="887"/>
      <c r="D60" s="387">
        <v>6</v>
      </c>
      <c r="E60" s="390" t="s">
        <v>368</v>
      </c>
      <c r="F60" s="391">
        <v>1020.7583999999999</v>
      </c>
      <c r="G60" s="392">
        <v>274.52</v>
      </c>
      <c r="H60" s="392">
        <v>275.83999999999997</v>
      </c>
      <c r="I60" s="393">
        <f t="shared" si="36"/>
        <v>1.0048083928311233</v>
      </c>
      <c r="J60" s="392">
        <v>8.2200000000000006</v>
      </c>
      <c r="K60" s="393">
        <f t="shared" si="28"/>
        <v>2.9943173539268546E-2</v>
      </c>
      <c r="L60" s="392">
        <v>253.92000000000002</v>
      </c>
      <c r="M60" s="393">
        <f t="shared" si="29"/>
        <v>1.0347515663703921</v>
      </c>
      <c r="N60" s="394">
        <v>2422.3968000000036</v>
      </c>
      <c r="O60" s="392">
        <v>4.0199999999999996</v>
      </c>
      <c r="P60" s="393">
        <f t="shared" si="30"/>
        <v>1.4643741803875855E-2</v>
      </c>
      <c r="Q60" s="395">
        <f t="shared" si="31"/>
        <v>5.5200000000000209</v>
      </c>
      <c r="R60" s="393">
        <f t="shared" si="32"/>
        <v>2.0107824566516178E-2</v>
      </c>
      <c r="S60" s="396">
        <f t="shared" si="33"/>
        <v>1401.6384000000055</v>
      </c>
      <c r="T60" s="397" t="s">
        <v>432</v>
      </c>
      <c r="U60" s="397" t="s">
        <v>491</v>
      </c>
      <c r="V60" s="398" t="s">
        <v>712</v>
      </c>
      <c r="W60" s="398" t="s">
        <v>594</v>
      </c>
      <c r="X60" s="398">
        <v>1</v>
      </c>
      <c r="Y60" s="399" t="s">
        <v>360</v>
      </c>
    </row>
    <row r="61" spans="2:34" s="148" customFormat="1" ht="27" customHeight="1">
      <c r="B61" s="886"/>
      <c r="C61" s="887"/>
      <c r="D61" s="387">
        <v>7</v>
      </c>
      <c r="E61" s="390" t="s">
        <v>370</v>
      </c>
      <c r="F61" s="391">
        <v>1013.76</v>
      </c>
      <c r="G61" s="392">
        <v>603.20000000000005</v>
      </c>
      <c r="H61" s="392">
        <v>618.17999999999995</v>
      </c>
      <c r="I61" s="393">
        <f t="shared" si="36"/>
        <v>1.0248342175066312</v>
      </c>
      <c r="J61" s="392">
        <v>4</v>
      </c>
      <c r="K61" s="393">
        <f t="shared" si="28"/>
        <v>6.6312997347480101E-3</v>
      </c>
      <c r="L61" s="392">
        <v>96</v>
      </c>
      <c r="M61" s="393">
        <f t="shared" si="29"/>
        <v>1.0314655172413791</v>
      </c>
      <c r="N61" s="394">
        <v>1822.0800000000004</v>
      </c>
      <c r="O61" s="392">
        <v>10.56</v>
      </c>
      <c r="P61" s="393">
        <f t="shared" si="30"/>
        <v>1.7506631299734749E-2</v>
      </c>
      <c r="Q61" s="395">
        <f t="shared" si="31"/>
        <v>8.419999999999904</v>
      </c>
      <c r="R61" s="393">
        <f t="shared" si="32"/>
        <v>1.3958885941644402E-2</v>
      </c>
      <c r="S61" s="396">
        <f t="shared" si="33"/>
        <v>808.31999999999084</v>
      </c>
      <c r="T61" s="397" t="s">
        <v>432</v>
      </c>
      <c r="U61" s="397" t="s">
        <v>217</v>
      </c>
      <c r="V61" s="398" t="s">
        <v>591</v>
      </c>
      <c r="W61" s="398" t="s">
        <v>576</v>
      </c>
      <c r="X61" s="398">
        <v>1</v>
      </c>
      <c r="Y61" s="399" t="s">
        <v>359</v>
      </c>
    </row>
    <row r="62" spans="2:34" s="148" customFormat="1" ht="27" customHeight="1">
      <c r="B62" s="886"/>
      <c r="C62" s="887"/>
      <c r="D62" s="387">
        <v>8</v>
      </c>
      <c r="E62" s="390" t="s">
        <v>520</v>
      </c>
      <c r="F62" s="391">
        <v>1012.5859</v>
      </c>
      <c r="G62" s="392">
        <v>279.24</v>
      </c>
      <c r="H62" s="392">
        <v>286.64</v>
      </c>
      <c r="I62" s="393">
        <f t="shared" si="36"/>
        <v>1.0265005013608364</v>
      </c>
      <c r="J62" s="392">
        <v>2.88</v>
      </c>
      <c r="K62" s="393">
        <f>J62/G62</f>
        <v>1.0313708637730984E-2</v>
      </c>
      <c r="L62" s="392">
        <v>153.19000000000003</v>
      </c>
      <c r="M62" s="393">
        <f>(H62+J62)/G62</f>
        <v>1.0368142099985675</v>
      </c>
      <c r="N62" s="394">
        <v>1574.7932000000012</v>
      </c>
      <c r="O62" s="392">
        <v>6.61</v>
      </c>
      <c r="P62" s="393">
        <f t="shared" si="30"/>
        <v>2.3671393783125626E-2</v>
      </c>
      <c r="Q62" s="395">
        <f t="shared" si="31"/>
        <v>3.6699999999999724</v>
      </c>
      <c r="R62" s="393">
        <f t="shared" si="32"/>
        <v>1.3142816215441815E-2</v>
      </c>
      <c r="S62" s="396">
        <f t="shared" si="33"/>
        <v>562.20729999999583</v>
      </c>
      <c r="T62" s="397" t="s">
        <v>432</v>
      </c>
      <c r="U62" s="397" t="s">
        <v>491</v>
      </c>
      <c r="V62" s="434" t="s">
        <v>592</v>
      </c>
      <c r="W62" s="398" t="s">
        <v>505</v>
      </c>
      <c r="X62" s="398">
        <v>1</v>
      </c>
      <c r="Y62" s="399" t="s">
        <v>522</v>
      </c>
    </row>
    <row r="63" spans="2:34" s="148" customFormat="1" ht="27" customHeight="1">
      <c r="B63" s="886"/>
      <c r="C63" s="887"/>
      <c r="D63" s="387">
        <v>9</v>
      </c>
      <c r="E63" s="390" t="s">
        <v>521</v>
      </c>
      <c r="F63" s="391">
        <v>1001.761</v>
      </c>
      <c r="G63" s="392">
        <v>153.79999999999998</v>
      </c>
      <c r="H63" s="392">
        <v>154.57</v>
      </c>
      <c r="I63" s="393">
        <f t="shared" si="36"/>
        <v>1.0050065019505852</v>
      </c>
      <c r="J63" s="392">
        <v>9.64</v>
      </c>
      <c r="K63" s="393">
        <f t="shared" ref="K63:K74" si="37">J63/G63</f>
        <v>6.2678803641092337E-2</v>
      </c>
      <c r="L63" s="392">
        <v>169.79</v>
      </c>
      <c r="M63" s="393">
        <f t="shared" ref="M63:M74" si="38">(H63+J63)/G63</f>
        <v>1.0676853055916775</v>
      </c>
      <c r="N63" s="394">
        <v>1767.5139000000004</v>
      </c>
      <c r="O63" s="392">
        <v>5.9</v>
      </c>
      <c r="P63" s="393">
        <f t="shared" si="30"/>
        <v>3.8361508452535768E-2</v>
      </c>
      <c r="Q63" s="395">
        <f t="shared" si="31"/>
        <v>4.5099999999999962</v>
      </c>
      <c r="R63" s="393">
        <f t="shared" si="32"/>
        <v>2.9323797139141721E-2</v>
      </c>
      <c r="S63" s="396">
        <f t="shared" si="33"/>
        <v>765.75289999999927</v>
      </c>
      <c r="T63" s="397" t="s">
        <v>432</v>
      </c>
      <c r="U63" s="397" t="s">
        <v>491</v>
      </c>
      <c r="V63" s="398" t="s">
        <v>502</v>
      </c>
      <c r="W63" s="398" t="s">
        <v>503</v>
      </c>
      <c r="X63" s="398">
        <v>1</v>
      </c>
      <c r="Y63" s="399" t="s">
        <v>474</v>
      </c>
    </row>
    <row r="64" spans="2:34" s="148" customFormat="1" ht="27" customHeight="1">
      <c r="B64" s="886"/>
      <c r="C64" s="887"/>
      <c r="D64" s="387">
        <v>10</v>
      </c>
      <c r="E64" s="390" t="s">
        <v>695</v>
      </c>
      <c r="F64" s="391">
        <v>985.13580000000002</v>
      </c>
      <c r="G64" s="392">
        <v>1210.95</v>
      </c>
      <c r="H64" s="392">
        <v>1176.3</v>
      </c>
      <c r="I64" s="393">
        <f t="shared" si="36"/>
        <v>0.97138610182088436</v>
      </c>
      <c r="J64" s="392">
        <v>80.210000000000008</v>
      </c>
      <c r="K64" s="393">
        <f t="shared" si="37"/>
        <v>6.6237251744498127E-2</v>
      </c>
      <c r="L64" s="392">
        <v>51.470000000000013</v>
      </c>
      <c r="M64" s="393">
        <f t="shared" si="38"/>
        <v>1.0376233535653825</v>
      </c>
      <c r="N64" s="394">
        <v>2344.9732000000013</v>
      </c>
      <c r="O64" s="392">
        <v>19.14</v>
      </c>
      <c r="P64" s="393">
        <f t="shared" si="30"/>
        <v>1.5805772327511458E-2</v>
      </c>
      <c r="Q64" s="395">
        <f t="shared" si="31"/>
        <v>26.419999999999945</v>
      </c>
      <c r="R64" s="393">
        <f t="shared" si="32"/>
        <v>2.1817581237871045E-2</v>
      </c>
      <c r="S64" s="396">
        <f t="shared" si="33"/>
        <v>1359.8373999999976</v>
      </c>
      <c r="T64" s="397" t="s">
        <v>432</v>
      </c>
      <c r="U64" s="397" t="s">
        <v>491</v>
      </c>
      <c r="V64" s="398" t="s">
        <v>713</v>
      </c>
      <c r="W64" s="398" t="s">
        <v>670</v>
      </c>
      <c r="X64" s="398">
        <v>1</v>
      </c>
      <c r="Y64" s="399" t="s">
        <v>346</v>
      </c>
    </row>
    <row r="65" spans="2:34" s="148" customFormat="1" ht="27" customHeight="1">
      <c r="B65" s="886"/>
      <c r="C65" s="887"/>
      <c r="D65" s="387">
        <v>11</v>
      </c>
      <c r="E65" s="390" t="s">
        <v>656</v>
      </c>
      <c r="F65" s="391">
        <v>984.96300000000008</v>
      </c>
      <c r="G65" s="392">
        <v>595.31999999999994</v>
      </c>
      <c r="H65" s="392">
        <v>609.32999999999993</v>
      </c>
      <c r="I65" s="393">
        <f t="shared" si="36"/>
        <v>1.0235335617818988</v>
      </c>
      <c r="J65" s="392">
        <v>0</v>
      </c>
      <c r="K65" s="393">
        <f t="shared" si="37"/>
        <v>0</v>
      </c>
      <c r="L65" s="392">
        <v>110.66999999999999</v>
      </c>
      <c r="M65" s="393">
        <f t="shared" si="38"/>
        <v>1.0235335617818988</v>
      </c>
      <c r="N65" s="394">
        <v>1550.4866999999974</v>
      </c>
      <c r="O65" s="392">
        <v>8.9</v>
      </c>
      <c r="P65" s="393">
        <f t="shared" si="30"/>
        <v>1.4949942887858633E-2</v>
      </c>
      <c r="Q65" s="395">
        <f t="shared" si="31"/>
        <v>5.1099999999999905</v>
      </c>
      <c r="R65" s="393">
        <f t="shared" si="32"/>
        <v>8.5836188940401643E-3</v>
      </c>
      <c r="S65" s="396">
        <f t="shared" si="33"/>
        <v>565.52369999999894</v>
      </c>
      <c r="T65" s="397" t="s">
        <v>432</v>
      </c>
      <c r="U65" s="397" t="s">
        <v>491</v>
      </c>
      <c r="V65" s="398" t="s">
        <v>714</v>
      </c>
      <c r="W65" s="398" t="s">
        <v>503</v>
      </c>
      <c r="X65" s="398">
        <v>1</v>
      </c>
      <c r="Y65" s="399" t="s">
        <v>540</v>
      </c>
    </row>
    <row r="66" spans="2:34" s="148" customFormat="1" ht="27" customHeight="1">
      <c r="B66" s="886"/>
      <c r="C66" s="887"/>
      <c r="D66" s="387">
        <v>12</v>
      </c>
      <c r="E66" s="390" t="s">
        <v>650</v>
      </c>
      <c r="F66" s="391">
        <v>984.20159999999987</v>
      </c>
      <c r="G66" s="392">
        <v>858.62</v>
      </c>
      <c r="H66" s="392">
        <v>820.79</v>
      </c>
      <c r="I66" s="393">
        <f t="shared" si="36"/>
        <v>0.95594092846660916</v>
      </c>
      <c r="J66" s="392">
        <v>68.839999999999989</v>
      </c>
      <c r="K66" s="393">
        <f t="shared" si="37"/>
        <v>8.0175164799329138E-2</v>
      </c>
      <c r="L66" s="392">
        <v>75.36</v>
      </c>
      <c r="M66" s="393">
        <f t="shared" si="38"/>
        <v>1.0361160932659383</v>
      </c>
      <c r="N66" s="394">
        <v>2336.9135999999971</v>
      </c>
      <c r="O66" s="392">
        <v>13.06</v>
      </c>
      <c r="P66" s="393">
        <f t="shared" si="30"/>
        <v>1.521045398430039E-2</v>
      </c>
      <c r="Q66" s="395">
        <f t="shared" si="31"/>
        <v>17.949999999999989</v>
      </c>
      <c r="R66" s="393">
        <f t="shared" si="32"/>
        <v>2.0905639281637963E-2</v>
      </c>
      <c r="S66" s="396">
        <f t="shared" si="33"/>
        <v>1352.7119999999991</v>
      </c>
      <c r="T66" s="397" t="s">
        <v>432</v>
      </c>
      <c r="U66" s="397" t="s">
        <v>491</v>
      </c>
      <c r="V66" s="398" t="s">
        <v>713</v>
      </c>
      <c r="W66" s="398" t="s">
        <v>670</v>
      </c>
      <c r="X66" s="398">
        <v>1</v>
      </c>
      <c r="Y66" s="399" t="s">
        <v>486</v>
      </c>
    </row>
    <row r="67" spans="2:34" s="148" customFormat="1" ht="27" customHeight="1">
      <c r="B67" s="886"/>
      <c r="C67" s="887"/>
      <c r="D67" s="387">
        <v>13</v>
      </c>
      <c r="E67" s="390" t="s">
        <v>564</v>
      </c>
      <c r="F67" s="391">
        <v>981.24000000000012</v>
      </c>
      <c r="G67" s="392">
        <v>159.57</v>
      </c>
      <c r="H67" s="392">
        <v>150.88</v>
      </c>
      <c r="I67" s="393">
        <f t="shared" si="36"/>
        <v>0.94554114181863758</v>
      </c>
      <c r="J67" s="392">
        <v>12.26</v>
      </c>
      <c r="K67" s="393">
        <f t="shared" si="37"/>
        <v>7.6831484614902551E-2</v>
      </c>
      <c r="L67" s="392">
        <v>629</v>
      </c>
      <c r="M67" s="393">
        <f t="shared" si="38"/>
        <v>1.02237262643354</v>
      </c>
      <c r="N67" s="394">
        <v>2245.5300000000002</v>
      </c>
      <c r="O67" s="392">
        <v>1.56</v>
      </c>
      <c r="P67" s="393">
        <f t="shared" si="30"/>
        <v>9.7762737356645989E-3</v>
      </c>
      <c r="Q67" s="395">
        <f t="shared" si="31"/>
        <v>2.0099999999999931</v>
      </c>
      <c r="R67" s="393">
        <f t="shared" si="32"/>
        <v>1.2596352697875499E-2</v>
      </c>
      <c r="S67" s="396">
        <f t="shared" si="33"/>
        <v>1264.2899999999956</v>
      </c>
      <c r="T67" s="397" t="s">
        <v>432</v>
      </c>
      <c r="U67" s="397" t="s">
        <v>491</v>
      </c>
      <c r="V67" s="398" t="s">
        <v>592</v>
      </c>
      <c r="W67" s="398" t="s">
        <v>505</v>
      </c>
      <c r="X67" s="398">
        <v>1</v>
      </c>
      <c r="Y67" s="399" t="s">
        <v>522</v>
      </c>
    </row>
    <row r="68" spans="2:34" s="148" customFormat="1" ht="27" customHeight="1">
      <c r="B68" s="886"/>
      <c r="C68" s="887"/>
      <c r="D68" s="387">
        <v>14</v>
      </c>
      <c r="E68" s="390" t="s">
        <v>696</v>
      </c>
      <c r="F68" s="391">
        <v>980.22359999999992</v>
      </c>
      <c r="G68" s="392">
        <v>366.28000000000003</v>
      </c>
      <c r="H68" s="392">
        <v>359.88</v>
      </c>
      <c r="I68" s="393">
        <f t="shared" si="36"/>
        <v>0.98252702850278462</v>
      </c>
      <c r="J68" s="392">
        <v>51.02</v>
      </c>
      <c r="K68" s="393">
        <f t="shared" si="37"/>
        <v>0.13929234465436277</v>
      </c>
      <c r="L68" s="392">
        <v>45.13</v>
      </c>
      <c r="M68" s="393">
        <f t="shared" si="38"/>
        <v>1.1218193731571473</v>
      </c>
      <c r="N68" s="394">
        <v>2013.7005999999992</v>
      </c>
      <c r="O68" s="392">
        <v>21.72</v>
      </c>
      <c r="P68" s="393">
        <f t="shared" si="30"/>
        <v>5.9298897018674232E-2</v>
      </c>
      <c r="Q68" s="395">
        <f t="shared" si="31"/>
        <v>22.899999999999949</v>
      </c>
      <c r="R68" s="393">
        <f t="shared" si="32"/>
        <v>6.2520476138473155E-2</v>
      </c>
      <c r="S68" s="396">
        <f t="shared" si="33"/>
        <v>1033.4769999999978</v>
      </c>
      <c r="T68" s="397" t="s">
        <v>432</v>
      </c>
      <c r="U68" s="397" t="s">
        <v>491</v>
      </c>
      <c r="V68" s="398" t="s">
        <v>715</v>
      </c>
      <c r="W68" s="398" t="s">
        <v>716</v>
      </c>
      <c r="X68" s="398">
        <v>1</v>
      </c>
      <c r="Y68" s="399" t="s">
        <v>511</v>
      </c>
    </row>
    <row r="69" spans="2:34" s="148" customFormat="1" ht="27" customHeight="1">
      <c r="B69" s="886"/>
      <c r="C69" s="887"/>
      <c r="D69" s="387">
        <v>15</v>
      </c>
      <c r="E69" s="390" t="s">
        <v>581</v>
      </c>
      <c r="F69" s="391">
        <v>976.11919999999986</v>
      </c>
      <c r="G69" s="392">
        <v>219.36</v>
      </c>
      <c r="H69" s="392">
        <v>224.14000000000001</v>
      </c>
      <c r="I69" s="393">
        <f t="shared" si="36"/>
        <v>1.0217906637490883</v>
      </c>
      <c r="J69" s="392">
        <v>5.15</v>
      </c>
      <c r="K69" s="393">
        <f t="shared" si="37"/>
        <v>2.3477388767323124E-2</v>
      </c>
      <c r="L69" s="392">
        <v>145.04</v>
      </c>
      <c r="M69" s="393">
        <f t="shared" si="38"/>
        <v>1.0452680525164113</v>
      </c>
      <c r="N69" s="394">
        <v>1440.2472000000009</v>
      </c>
      <c r="O69" s="392">
        <v>6.7299999999999986</v>
      </c>
      <c r="P69" s="393">
        <f t="shared" si="30"/>
        <v>3.0680160466812538E-2</v>
      </c>
      <c r="Q69" s="395">
        <f t="shared" si="31"/>
        <v>3.2000000000000082</v>
      </c>
      <c r="R69" s="393">
        <f t="shared" si="32"/>
        <v>1.458789204959887E-2</v>
      </c>
      <c r="S69" s="396">
        <f t="shared" si="33"/>
        <v>464.12800000000118</v>
      </c>
      <c r="T69" s="397" t="s">
        <v>432</v>
      </c>
      <c r="U69" s="397" t="s">
        <v>491</v>
      </c>
      <c r="V69" s="397" t="s">
        <v>502</v>
      </c>
      <c r="W69" s="398" t="s">
        <v>503</v>
      </c>
      <c r="X69" s="398">
        <v>1</v>
      </c>
      <c r="Y69" s="399" t="s">
        <v>345</v>
      </c>
    </row>
    <row r="70" spans="2:34" s="148" customFormat="1" ht="27" customHeight="1">
      <c r="B70" s="886"/>
      <c r="C70" s="887"/>
      <c r="D70" s="387">
        <v>16</v>
      </c>
      <c r="E70" s="390" t="s">
        <v>654</v>
      </c>
      <c r="F70" s="391">
        <v>972.72839999999997</v>
      </c>
      <c r="G70" s="392">
        <v>36.36</v>
      </c>
      <c r="H70" s="392">
        <v>39.46</v>
      </c>
      <c r="I70" s="393">
        <f t="shared" si="36"/>
        <v>1.0852585258525853</v>
      </c>
      <c r="J70" s="392">
        <v>0.42</v>
      </c>
      <c r="K70" s="393">
        <f t="shared" si="37"/>
        <v>1.155115511551155E-2</v>
      </c>
      <c r="L70" s="392">
        <v>496.29</v>
      </c>
      <c r="M70" s="393">
        <f t="shared" si="38"/>
        <v>1.0968096809680969</v>
      </c>
      <c r="N70" s="394">
        <v>1746.9408000000003</v>
      </c>
      <c r="O70" s="392">
        <v>1.9600000000000002</v>
      </c>
      <c r="P70" s="393">
        <f t="shared" si="30"/>
        <v>5.390539053905391E-2</v>
      </c>
      <c r="Q70" s="395">
        <f t="shared" si="31"/>
        <v>1.5600000000000029</v>
      </c>
      <c r="R70" s="393">
        <f t="shared" si="32"/>
        <v>4.2904290429042986E-2</v>
      </c>
      <c r="S70" s="396">
        <f t="shared" si="33"/>
        <v>774.21240000000148</v>
      </c>
      <c r="T70" s="397" t="s">
        <v>432</v>
      </c>
      <c r="U70" s="397" t="s">
        <v>491</v>
      </c>
      <c r="V70" s="398" t="s">
        <v>510</v>
      </c>
      <c r="W70" s="398" t="s">
        <v>717</v>
      </c>
      <c r="X70" s="398">
        <v>1</v>
      </c>
      <c r="Y70" s="399" t="s">
        <v>410</v>
      </c>
      <c r="AC70" s="403"/>
    </row>
    <row r="71" spans="2:34" s="148" customFormat="1" ht="27" customHeight="1">
      <c r="B71" s="886"/>
      <c r="C71" s="887"/>
      <c r="D71" s="387">
        <v>17</v>
      </c>
      <c r="E71" s="390" t="s">
        <v>697</v>
      </c>
      <c r="F71" s="391">
        <v>970.7754000000001</v>
      </c>
      <c r="G71" s="392">
        <v>111.49</v>
      </c>
      <c r="H71" s="392">
        <v>110.08999999999999</v>
      </c>
      <c r="I71" s="393">
        <f t="shared" si="36"/>
        <v>0.98744281998385497</v>
      </c>
      <c r="J71" s="392">
        <v>5.9600000000000009</v>
      </c>
      <c r="K71" s="393">
        <f t="shared" si="37"/>
        <v>5.3457709211588496E-2</v>
      </c>
      <c r="L71" s="392">
        <v>536.34</v>
      </c>
      <c r="M71" s="393">
        <f t="shared" si="38"/>
        <v>1.0409005291954434</v>
      </c>
      <c r="N71" s="394">
        <v>2445.7104000000013</v>
      </c>
      <c r="O71" s="392">
        <v>1.81</v>
      </c>
      <c r="P71" s="393">
        <f t="shared" si="30"/>
        <v>1.6234639878015968E-2</v>
      </c>
      <c r="Q71" s="395">
        <f t="shared" si="31"/>
        <v>2.749999999999988</v>
      </c>
      <c r="R71" s="393">
        <f t="shared" si="32"/>
        <v>2.4665889317427466E-2</v>
      </c>
      <c r="S71" s="396">
        <f t="shared" si="33"/>
        <v>1474.9349999999936</v>
      </c>
      <c r="T71" s="397" t="s">
        <v>432</v>
      </c>
      <c r="U71" s="397" t="s">
        <v>491</v>
      </c>
      <c r="V71" s="398" t="s">
        <v>510</v>
      </c>
      <c r="W71" s="398" t="s">
        <v>717</v>
      </c>
      <c r="X71" s="398">
        <v>1</v>
      </c>
      <c r="Y71" s="399" t="s">
        <v>347</v>
      </c>
      <c r="AB71" s="405"/>
      <c r="AC71" s="403"/>
    </row>
    <row r="72" spans="2:34" s="148" customFormat="1" ht="27" customHeight="1">
      <c r="B72" s="886"/>
      <c r="C72" s="887"/>
      <c r="D72" s="387">
        <v>18</v>
      </c>
      <c r="E72" s="390" t="s">
        <v>698</v>
      </c>
      <c r="F72" s="391">
        <v>966.54330000000004</v>
      </c>
      <c r="G72" s="392">
        <v>132.22</v>
      </c>
      <c r="H72" s="392">
        <v>142.39999999999998</v>
      </c>
      <c r="I72" s="393">
        <f t="shared" si="36"/>
        <v>1.0769928906368174</v>
      </c>
      <c r="J72" s="392">
        <v>2.2999999999999998</v>
      </c>
      <c r="K72" s="393">
        <f t="shared" si="37"/>
        <v>1.7395250340341853E-2</v>
      </c>
      <c r="L72" s="392">
        <v>129.38999999999999</v>
      </c>
      <c r="M72" s="393">
        <f t="shared" si="38"/>
        <v>1.0943881409771592</v>
      </c>
      <c r="N72" s="394">
        <v>1614.7871999999998</v>
      </c>
      <c r="O72" s="392">
        <v>7.4699999999999989</v>
      </c>
      <c r="P72" s="393">
        <f t="shared" si="30"/>
        <v>5.649674784450158E-2</v>
      </c>
      <c r="Q72" s="395">
        <f t="shared" si="31"/>
        <v>5.0099999999999909</v>
      </c>
      <c r="R72" s="393">
        <f t="shared" si="32"/>
        <v>3.7891393132657623E-2</v>
      </c>
      <c r="S72" s="396">
        <f t="shared" si="33"/>
        <v>648.2438999999988</v>
      </c>
      <c r="T72" s="397" t="s">
        <v>432</v>
      </c>
      <c r="U72" s="397" t="s">
        <v>491</v>
      </c>
      <c r="V72" s="421" t="s">
        <v>592</v>
      </c>
      <c r="W72" s="398" t="s">
        <v>505</v>
      </c>
      <c r="X72" s="398">
        <v>1</v>
      </c>
      <c r="Y72" s="399" t="s">
        <v>508</v>
      </c>
      <c r="AC72" s="403"/>
    </row>
    <row r="73" spans="2:34" s="148" customFormat="1" ht="27" customHeight="1">
      <c r="B73" s="886"/>
      <c r="C73" s="887"/>
      <c r="D73" s="387">
        <v>19</v>
      </c>
      <c r="E73" s="390" t="s">
        <v>699</v>
      </c>
      <c r="F73" s="391">
        <v>964.01700000000005</v>
      </c>
      <c r="G73" s="392">
        <v>111.71000000000001</v>
      </c>
      <c r="H73" s="392">
        <v>118.24000000000001</v>
      </c>
      <c r="I73" s="393">
        <f t="shared" si="36"/>
        <v>1.0584549279384119</v>
      </c>
      <c r="J73" s="392">
        <v>1.4</v>
      </c>
      <c r="K73" s="393">
        <f t="shared" si="37"/>
        <v>1.2532450093993374E-2</v>
      </c>
      <c r="L73" s="392">
        <v>205.11000000000007</v>
      </c>
      <c r="M73" s="393">
        <f t="shared" si="38"/>
        <v>1.0709873780324053</v>
      </c>
      <c r="N73" s="394">
        <v>1626.522300000001</v>
      </c>
      <c r="O73" s="392">
        <v>4.7</v>
      </c>
      <c r="P73" s="393">
        <f t="shared" si="30"/>
        <v>4.207322531554919E-2</v>
      </c>
      <c r="Q73" s="395">
        <f t="shared" si="31"/>
        <v>3.2300000000000066</v>
      </c>
      <c r="R73" s="393">
        <f t="shared" si="32"/>
        <v>2.8914152716856201E-2</v>
      </c>
      <c r="S73" s="396">
        <f t="shared" si="33"/>
        <v>662.50530000000163</v>
      </c>
      <c r="T73" s="397" t="s">
        <v>432</v>
      </c>
      <c r="U73" s="397" t="s">
        <v>491</v>
      </c>
      <c r="V73" s="398" t="s">
        <v>718</v>
      </c>
      <c r="W73" s="398" t="s">
        <v>719</v>
      </c>
      <c r="X73" s="398">
        <v>1</v>
      </c>
      <c r="Y73" s="399" t="s">
        <v>473</v>
      </c>
      <c r="AB73" s="406"/>
      <c r="AC73" s="403"/>
    </row>
    <row r="74" spans="2:34" s="148" customFormat="1" ht="27" customHeight="1">
      <c r="B74" s="888"/>
      <c r="C74" s="889"/>
      <c r="D74" s="387">
        <v>20</v>
      </c>
      <c r="E74" s="390" t="s">
        <v>651</v>
      </c>
      <c r="F74" s="391">
        <v>960.61680000000013</v>
      </c>
      <c r="G74" s="392">
        <v>136.27000000000001</v>
      </c>
      <c r="H74" s="392">
        <v>131.35</v>
      </c>
      <c r="I74" s="393">
        <f t="shared" si="36"/>
        <v>0.963895208042856</v>
      </c>
      <c r="J74" s="392">
        <v>9.75</v>
      </c>
      <c r="K74" s="393">
        <f t="shared" si="37"/>
        <v>7.1549130402876637E-2</v>
      </c>
      <c r="L74" s="392">
        <v>485.15999999999997</v>
      </c>
      <c r="M74" s="393">
        <f t="shared" si="38"/>
        <v>1.0354443384457326</v>
      </c>
      <c r="N74" s="394">
        <v>2343.3227999999976</v>
      </c>
      <c r="O74" s="392">
        <v>1.98</v>
      </c>
      <c r="P74" s="393">
        <f t="shared" si="30"/>
        <v>1.4529977251045717E-2</v>
      </c>
      <c r="Q74" s="395">
        <f t="shared" si="31"/>
        <v>2.8499999999999841</v>
      </c>
      <c r="R74" s="393">
        <f t="shared" si="32"/>
        <v>2.0914361194686901E-2</v>
      </c>
      <c r="S74" s="396">
        <f t="shared" si="33"/>
        <v>1382.7059999999922</v>
      </c>
      <c r="T74" s="397" t="s">
        <v>432</v>
      </c>
      <c r="U74" s="397" t="s">
        <v>491</v>
      </c>
      <c r="V74" s="398" t="s">
        <v>671</v>
      </c>
      <c r="W74" s="398" t="s">
        <v>503</v>
      </c>
      <c r="X74" s="398">
        <v>1</v>
      </c>
      <c r="Y74" s="399" t="s">
        <v>347</v>
      </c>
      <c r="AB74" s="406"/>
      <c r="AC74" s="403"/>
    </row>
    <row r="75" spans="2:34" ht="17.149999999999999" customHeight="1">
      <c r="B75" s="903" t="s">
        <v>488</v>
      </c>
      <c r="C75" s="904"/>
      <c r="D75" s="900" t="s">
        <v>172</v>
      </c>
      <c r="E75" s="900"/>
      <c r="F75" s="900"/>
      <c r="G75" s="900" t="s">
        <v>186</v>
      </c>
      <c r="H75" s="900"/>
      <c r="I75" s="900"/>
      <c r="J75" s="900"/>
      <c r="K75" s="900"/>
      <c r="L75" s="900"/>
      <c r="M75" s="900"/>
      <c r="N75" s="900"/>
      <c r="O75" s="900"/>
      <c r="P75" s="900"/>
      <c r="Q75" s="900"/>
      <c r="R75" s="900"/>
      <c r="S75" s="900"/>
      <c r="T75" s="900" t="s">
        <v>173</v>
      </c>
      <c r="U75" s="890" t="s">
        <v>247</v>
      </c>
      <c r="V75" s="909" t="s">
        <v>489</v>
      </c>
      <c r="W75" s="909" t="s">
        <v>490</v>
      </c>
      <c r="X75" s="912" t="s">
        <v>248</v>
      </c>
      <c r="Y75" s="901" t="s">
        <v>174</v>
      </c>
      <c r="AA75" s="890" t="s">
        <v>249</v>
      </c>
      <c r="AB75" s="891"/>
      <c r="AC75" s="891"/>
      <c r="AD75" s="891"/>
      <c r="AE75" s="891"/>
      <c r="AF75" s="891"/>
      <c r="AG75" s="891"/>
      <c r="AH75" s="892"/>
    </row>
    <row r="76" spans="2:34" ht="17.149999999999999" customHeight="1">
      <c r="B76" s="905"/>
      <c r="C76" s="906"/>
      <c r="D76" s="899" t="s">
        <v>171</v>
      </c>
      <c r="E76" s="900" t="s">
        <v>175</v>
      </c>
      <c r="F76" s="900"/>
      <c r="G76" s="900" t="s">
        <v>187</v>
      </c>
      <c r="H76" s="900"/>
      <c r="I76" s="900"/>
      <c r="J76" s="900"/>
      <c r="K76" s="900"/>
      <c r="L76" s="900"/>
      <c r="M76" s="900"/>
      <c r="N76" s="900"/>
      <c r="O76" s="900" t="s">
        <v>176</v>
      </c>
      <c r="P76" s="900"/>
      <c r="Q76" s="900"/>
      <c r="R76" s="900"/>
      <c r="S76" s="900"/>
      <c r="T76" s="900"/>
      <c r="U76" s="893"/>
      <c r="V76" s="910"/>
      <c r="W76" s="910"/>
      <c r="X76" s="913"/>
      <c r="Y76" s="901"/>
      <c r="AA76" s="893"/>
      <c r="AB76" s="894"/>
      <c r="AC76" s="894"/>
      <c r="AD76" s="894"/>
      <c r="AE76" s="894"/>
      <c r="AF76" s="894"/>
      <c r="AG76" s="894"/>
      <c r="AH76" s="895"/>
    </row>
    <row r="77" spans="2:34" ht="17.149999999999999" customHeight="1">
      <c r="B77" s="905"/>
      <c r="C77" s="906"/>
      <c r="D77" s="899"/>
      <c r="E77" s="899" t="s">
        <v>177</v>
      </c>
      <c r="F77" s="901" t="s">
        <v>250</v>
      </c>
      <c r="G77" s="902" t="s">
        <v>188</v>
      </c>
      <c r="H77" s="902"/>
      <c r="I77" s="902"/>
      <c r="J77" s="902"/>
      <c r="K77" s="902"/>
      <c r="L77" s="902"/>
      <c r="M77" s="902"/>
      <c r="N77" s="902"/>
      <c r="O77" s="902" t="s">
        <v>170</v>
      </c>
      <c r="P77" s="902"/>
      <c r="Q77" s="902" t="s">
        <v>178</v>
      </c>
      <c r="R77" s="902"/>
      <c r="S77" s="902"/>
      <c r="T77" s="900"/>
      <c r="U77" s="893"/>
      <c r="V77" s="910"/>
      <c r="W77" s="910"/>
      <c r="X77" s="913"/>
      <c r="Y77" s="901"/>
      <c r="AA77" s="896"/>
      <c r="AB77" s="897"/>
      <c r="AC77" s="897"/>
      <c r="AD77" s="897"/>
      <c r="AE77" s="897"/>
      <c r="AF77" s="897"/>
      <c r="AG77" s="897"/>
      <c r="AH77" s="898"/>
    </row>
    <row r="78" spans="2:34" ht="38.5" customHeight="1">
      <c r="B78" s="907"/>
      <c r="C78" s="908"/>
      <c r="D78" s="899"/>
      <c r="E78" s="899"/>
      <c r="F78" s="901"/>
      <c r="G78" s="388" t="s">
        <v>179</v>
      </c>
      <c r="H78" s="388" t="s">
        <v>254</v>
      </c>
      <c r="I78" s="388" t="s">
        <v>255</v>
      </c>
      <c r="J78" s="388" t="s">
        <v>180</v>
      </c>
      <c r="K78" s="388" t="s">
        <v>252</v>
      </c>
      <c r="L78" s="388" t="s">
        <v>181</v>
      </c>
      <c r="M78" s="388" t="s">
        <v>189</v>
      </c>
      <c r="N78" s="388" t="s">
        <v>182</v>
      </c>
      <c r="O78" s="389" t="s">
        <v>183</v>
      </c>
      <c r="P78" s="389" t="s">
        <v>184</v>
      </c>
      <c r="Q78" s="389" t="s">
        <v>183</v>
      </c>
      <c r="R78" s="389" t="s">
        <v>184</v>
      </c>
      <c r="S78" s="388" t="s">
        <v>185</v>
      </c>
      <c r="T78" s="900"/>
      <c r="U78" s="896"/>
      <c r="V78" s="911"/>
      <c r="W78" s="911"/>
      <c r="X78" s="914"/>
      <c r="Y78" s="901"/>
      <c r="AA78" s="161" t="s">
        <v>246</v>
      </c>
      <c r="AB78" s="161" t="s">
        <v>491</v>
      </c>
      <c r="AC78" s="156" t="s">
        <v>397</v>
      </c>
      <c r="AD78" s="156" t="s">
        <v>341</v>
      </c>
      <c r="AE78" s="156" t="s">
        <v>465</v>
      </c>
      <c r="AF78" s="156" t="s">
        <v>217</v>
      </c>
      <c r="AG78" s="156" t="s">
        <v>218</v>
      </c>
      <c r="AH78" s="156" t="s">
        <v>398</v>
      </c>
    </row>
    <row r="79" spans="2:34" s="148" customFormat="1" ht="27" customHeight="1">
      <c r="B79" s="884" t="s">
        <v>621</v>
      </c>
      <c r="C79" s="885"/>
      <c r="D79" s="387">
        <v>1</v>
      </c>
      <c r="E79" s="390" t="s">
        <v>337</v>
      </c>
      <c r="F79" s="391">
        <v>1297.8</v>
      </c>
      <c r="G79" s="392">
        <v>18124</v>
      </c>
      <c r="H79" s="392">
        <v>17681</v>
      </c>
      <c r="I79" s="393">
        <f>H79/G79</f>
        <v>0.97555727212535859</v>
      </c>
      <c r="J79" s="392">
        <v>527</v>
      </c>
      <c r="K79" s="393">
        <f>J79/G79</f>
        <v>2.9077466342970648E-2</v>
      </c>
      <c r="L79" s="392">
        <v>15.450000000000001</v>
      </c>
      <c r="M79" s="393">
        <f>(H79+J79)/G79</f>
        <v>1.0046347384683292</v>
      </c>
      <c r="N79" s="394">
        <v>1297.8</v>
      </c>
      <c r="O79" s="392">
        <v>84</v>
      </c>
      <c r="P79" s="393">
        <f>O79/G79</f>
        <v>4.634738468329287E-3</v>
      </c>
      <c r="Q79" s="395">
        <f>((H79+J79)-G79)-O79</f>
        <v>0</v>
      </c>
      <c r="R79" s="393">
        <f>Q79/G79</f>
        <v>0</v>
      </c>
      <c r="S79" s="396">
        <f>Q79*L79</f>
        <v>0</v>
      </c>
      <c r="T79" s="397" t="s">
        <v>432</v>
      </c>
      <c r="U79" s="397" t="s">
        <v>549</v>
      </c>
      <c r="V79" s="398" t="s">
        <v>585</v>
      </c>
      <c r="W79" s="398" t="s">
        <v>576</v>
      </c>
      <c r="X79" s="398">
        <v>1</v>
      </c>
      <c r="Y79" s="399" t="s">
        <v>343</v>
      </c>
      <c r="Z79" s="400" t="s">
        <v>492</v>
      </c>
      <c r="AA79" s="410">
        <f>SUM(X79:X98)</f>
        <v>20</v>
      </c>
      <c r="AB79" s="402">
        <f>SUMIF($U$79:$U$98,TRIM(AB78),$X$79:$X$98)</f>
        <v>16</v>
      </c>
      <c r="AC79" s="402">
        <f t="shared" ref="AC79:AH79" si="39">SUMIF($U$79:$U$98,TRIM(AC78),$X$79:$X$98)</f>
        <v>0</v>
      </c>
      <c r="AD79" s="402">
        <f t="shared" si="39"/>
        <v>2</v>
      </c>
      <c r="AE79" s="402">
        <f t="shared" si="39"/>
        <v>0</v>
      </c>
      <c r="AF79" s="402">
        <f t="shared" si="39"/>
        <v>1</v>
      </c>
      <c r="AG79" s="402">
        <f t="shared" si="39"/>
        <v>1</v>
      </c>
      <c r="AH79" s="402">
        <f t="shared" si="39"/>
        <v>0</v>
      </c>
    </row>
    <row r="80" spans="2:34" s="148" customFormat="1" ht="27" customHeight="1">
      <c r="B80" s="886"/>
      <c r="C80" s="887"/>
      <c r="D80" s="387">
        <v>2</v>
      </c>
      <c r="E80" s="390" t="s">
        <v>494</v>
      </c>
      <c r="F80" s="391">
        <v>1254.4000000000001</v>
      </c>
      <c r="G80" s="392">
        <v>125728</v>
      </c>
      <c r="H80" s="392">
        <v>126240</v>
      </c>
      <c r="I80" s="393">
        <f t="shared" ref="I80:I81" si="40">H80/G80</f>
        <v>1.0040722830236701</v>
      </c>
      <c r="J80" s="392">
        <v>0</v>
      </c>
      <c r="K80" s="393">
        <f t="shared" ref="K80:K85" si="41">J80/G80</f>
        <v>0</v>
      </c>
      <c r="L80" s="392">
        <v>2.4499999999999997</v>
      </c>
      <c r="M80" s="393">
        <f t="shared" ref="M80:M85" si="42">(H80+J80)/G80</f>
        <v>1.0040722830236701</v>
      </c>
      <c r="N80" s="394">
        <v>1254.4000000000001</v>
      </c>
      <c r="O80" s="392">
        <v>512</v>
      </c>
      <c r="P80" s="393">
        <f t="shared" ref="P80:P98" si="43">O80/G80</f>
        <v>4.0722830236701452E-3</v>
      </c>
      <c r="Q80" s="395">
        <f t="shared" ref="Q80:Q98" si="44">((H80+J80)-G80)-O80</f>
        <v>0</v>
      </c>
      <c r="R80" s="393">
        <f t="shared" ref="R80:R98" si="45">Q80/G80</f>
        <v>0</v>
      </c>
      <c r="S80" s="396">
        <f t="shared" ref="S80:S98" si="46">Q80*L80</f>
        <v>0</v>
      </c>
      <c r="T80" s="397" t="s">
        <v>432</v>
      </c>
      <c r="U80" s="397" t="s">
        <v>341</v>
      </c>
      <c r="V80" s="397" t="s">
        <v>586</v>
      </c>
      <c r="W80" s="398" t="s">
        <v>587</v>
      </c>
      <c r="X80" s="398">
        <v>1</v>
      </c>
      <c r="Y80" s="399" t="s">
        <v>344</v>
      </c>
      <c r="AA80" s="411"/>
      <c r="AB80" s="408">
        <f>SUMIF($U$79:$U$98,TRIM(AB78),$F$79:$F$98)</f>
        <v>14128.552399999999</v>
      </c>
      <c r="AC80" s="408">
        <f t="shared" ref="AC80:AH80" si="47">SUMIF($U$79:$U$98,TRIM(AC78),$F$79:$F$98)</f>
        <v>0</v>
      </c>
      <c r="AD80" s="408">
        <f t="shared" si="47"/>
        <v>2430.25</v>
      </c>
      <c r="AE80" s="408">
        <f t="shared" si="47"/>
        <v>0</v>
      </c>
      <c r="AF80" s="408">
        <f t="shared" si="47"/>
        <v>984.95999999999992</v>
      </c>
      <c r="AG80" s="408">
        <f t="shared" si="47"/>
        <v>1297.8</v>
      </c>
      <c r="AH80" s="408">
        <f t="shared" si="47"/>
        <v>0</v>
      </c>
    </row>
    <row r="81" spans="2:34" s="148" customFormat="1" ht="27" customHeight="1">
      <c r="B81" s="886"/>
      <c r="C81" s="887"/>
      <c r="D81" s="387">
        <v>3</v>
      </c>
      <c r="E81" s="390" t="s">
        <v>493</v>
      </c>
      <c r="F81" s="391">
        <v>1175.8499999999999</v>
      </c>
      <c r="G81" s="392">
        <v>235947</v>
      </c>
      <c r="H81" s="392">
        <v>236952</v>
      </c>
      <c r="I81" s="393">
        <f t="shared" si="40"/>
        <v>1.0042594311434347</v>
      </c>
      <c r="J81" s="392">
        <v>0</v>
      </c>
      <c r="K81" s="393">
        <f t="shared" si="41"/>
        <v>0</v>
      </c>
      <c r="L81" s="392">
        <v>1.17</v>
      </c>
      <c r="M81" s="393">
        <f t="shared" si="42"/>
        <v>1.0042594311434347</v>
      </c>
      <c r="N81" s="394">
        <v>1175.8499999999999</v>
      </c>
      <c r="O81" s="392">
        <v>1005</v>
      </c>
      <c r="P81" s="393">
        <f t="shared" si="43"/>
        <v>4.2594311434347547E-3</v>
      </c>
      <c r="Q81" s="395">
        <f t="shared" si="44"/>
        <v>0</v>
      </c>
      <c r="R81" s="393">
        <f t="shared" si="45"/>
        <v>0</v>
      </c>
      <c r="S81" s="396">
        <f t="shared" si="46"/>
        <v>0</v>
      </c>
      <c r="T81" s="397" t="s">
        <v>432</v>
      </c>
      <c r="U81" s="397" t="s">
        <v>341</v>
      </c>
      <c r="V81" s="398" t="s">
        <v>589</v>
      </c>
      <c r="W81" s="398" t="s">
        <v>711</v>
      </c>
      <c r="X81" s="398">
        <v>1</v>
      </c>
      <c r="Y81" s="399" t="s">
        <v>344</v>
      </c>
      <c r="AA81" s="387"/>
      <c r="AB81" s="409">
        <f>AB79/$AA79</f>
        <v>0.8</v>
      </c>
      <c r="AC81" s="409">
        <f t="shared" ref="AC81:AH81" si="48">AC79/$AA79</f>
        <v>0</v>
      </c>
      <c r="AD81" s="409">
        <f t="shared" si="48"/>
        <v>0.1</v>
      </c>
      <c r="AE81" s="409">
        <f t="shared" si="48"/>
        <v>0</v>
      </c>
      <c r="AF81" s="409">
        <f t="shared" si="48"/>
        <v>0.05</v>
      </c>
      <c r="AG81" s="409">
        <f t="shared" si="48"/>
        <v>0.05</v>
      </c>
      <c r="AH81" s="409">
        <f t="shared" si="48"/>
        <v>0</v>
      </c>
    </row>
    <row r="82" spans="2:34" s="148" customFormat="1" ht="27" customHeight="1">
      <c r="B82" s="886"/>
      <c r="C82" s="887"/>
      <c r="D82" s="387">
        <v>4</v>
      </c>
      <c r="E82" s="390" t="s">
        <v>480</v>
      </c>
      <c r="F82" s="391">
        <v>1096.9244000000001</v>
      </c>
      <c r="G82" s="392">
        <v>392.24</v>
      </c>
      <c r="H82" s="392">
        <v>399.12</v>
      </c>
      <c r="I82" s="393">
        <f>H82/G82</f>
        <v>1.0175402814603305</v>
      </c>
      <c r="J82" s="392">
        <v>0</v>
      </c>
      <c r="K82" s="393">
        <f t="shared" si="41"/>
        <v>0</v>
      </c>
      <c r="L82" s="392">
        <v>181.61</v>
      </c>
      <c r="M82" s="393">
        <f t="shared" si="42"/>
        <v>1.0175402814603305</v>
      </c>
      <c r="N82" s="394">
        <v>1249.4767999999981</v>
      </c>
      <c r="O82" s="392">
        <v>6.04</v>
      </c>
      <c r="P82" s="393">
        <f t="shared" si="43"/>
        <v>1.5398735468080767E-2</v>
      </c>
      <c r="Q82" s="395">
        <f t="shared" si="44"/>
        <v>0.83999999999999542</v>
      </c>
      <c r="R82" s="393">
        <f t="shared" si="45"/>
        <v>2.1415459922496313E-3</v>
      </c>
      <c r="S82" s="396">
        <f t="shared" si="46"/>
        <v>152.55239999999918</v>
      </c>
      <c r="T82" s="397" t="s">
        <v>432</v>
      </c>
      <c r="U82" s="397" t="s">
        <v>491</v>
      </c>
      <c r="V82" s="398" t="s">
        <v>502</v>
      </c>
      <c r="W82" s="398" t="s">
        <v>503</v>
      </c>
      <c r="X82" s="398">
        <v>1</v>
      </c>
      <c r="Y82" s="399" t="s">
        <v>479</v>
      </c>
    </row>
    <row r="83" spans="2:34" s="148" customFormat="1" ht="27" customHeight="1">
      <c r="B83" s="886"/>
      <c r="C83" s="887"/>
      <c r="D83" s="387">
        <v>5</v>
      </c>
      <c r="E83" s="390" t="s">
        <v>436</v>
      </c>
      <c r="F83" s="391">
        <v>1022.9976000000001</v>
      </c>
      <c r="G83" s="392">
        <v>1495.95</v>
      </c>
      <c r="H83" s="392">
        <v>1501.0300000000002</v>
      </c>
      <c r="I83" s="393">
        <f t="shared" ref="I83:I98" si="49">H83/G83</f>
        <v>1.0033958354223069</v>
      </c>
      <c r="J83" s="392">
        <v>1.4</v>
      </c>
      <c r="K83" s="393">
        <f t="shared" si="41"/>
        <v>9.3586015575386873E-4</v>
      </c>
      <c r="L83" s="392">
        <v>157.87</v>
      </c>
      <c r="M83" s="393">
        <f t="shared" si="42"/>
        <v>1.004331695578061</v>
      </c>
      <c r="N83" s="394">
        <v>1022.9975999999984</v>
      </c>
      <c r="O83" s="392">
        <v>6.4799999999999995</v>
      </c>
      <c r="P83" s="393">
        <f t="shared" si="43"/>
        <v>4.3316955780607633E-3</v>
      </c>
      <c r="Q83" s="395">
        <f t="shared" si="44"/>
        <v>2.4602542225693469E-13</v>
      </c>
      <c r="R83" s="393">
        <f t="shared" si="45"/>
        <v>1.6446099285199016E-16</v>
      </c>
      <c r="S83" s="396">
        <f t="shared" si="46"/>
        <v>3.8840033411702278E-11</v>
      </c>
      <c r="T83" s="397" t="s">
        <v>432</v>
      </c>
      <c r="U83" s="397" t="s">
        <v>491</v>
      </c>
      <c r="V83" s="398" t="s">
        <v>502</v>
      </c>
      <c r="W83" s="398" t="s">
        <v>503</v>
      </c>
      <c r="X83" s="398">
        <v>1</v>
      </c>
      <c r="Y83" s="399" t="s">
        <v>344</v>
      </c>
    </row>
    <row r="84" spans="2:34" s="148" customFormat="1" ht="27" customHeight="1">
      <c r="B84" s="886"/>
      <c r="C84" s="887"/>
      <c r="D84" s="387">
        <v>6</v>
      </c>
      <c r="E84" s="390" t="s">
        <v>370</v>
      </c>
      <c r="F84" s="391">
        <v>984.95999999999992</v>
      </c>
      <c r="G84" s="392">
        <v>530.4</v>
      </c>
      <c r="H84" s="392">
        <v>541.57000000000005</v>
      </c>
      <c r="I84" s="393">
        <f t="shared" si="49"/>
        <v>1.0210595776772249</v>
      </c>
      <c r="J84" s="392">
        <v>4.9000000000000004</v>
      </c>
      <c r="K84" s="393">
        <f t="shared" si="41"/>
        <v>9.2383107088989461E-3</v>
      </c>
      <c r="L84" s="392">
        <v>96</v>
      </c>
      <c r="M84" s="393">
        <f t="shared" si="42"/>
        <v>1.0302978883861238</v>
      </c>
      <c r="N84" s="394">
        <v>1542.7200000000034</v>
      </c>
      <c r="O84" s="392">
        <v>10.260000000000002</v>
      </c>
      <c r="P84" s="393">
        <f t="shared" si="43"/>
        <v>1.9343891402714936E-2</v>
      </c>
      <c r="Q84" s="395">
        <f t="shared" si="44"/>
        <v>5.8100000000000485</v>
      </c>
      <c r="R84" s="393">
        <f t="shared" si="45"/>
        <v>1.0953996983408839E-2</v>
      </c>
      <c r="S84" s="396">
        <f t="shared" si="46"/>
        <v>557.76000000000465</v>
      </c>
      <c r="T84" s="397" t="s">
        <v>432</v>
      </c>
      <c r="U84" s="397" t="s">
        <v>217</v>
      </c>
      <c r="V84" s="398" t="s">
        <v>591</v>
      </c>
      <c r="W84" s="398" t="s">
        <v>576</v>
      </c>
      <c r="X84" s="398">
        <v>1</v>
      </c>
      <c r="Y84" s="399" t="s">
        <v>359</v>
      </c>
    </row>
    <row r="85" spans="2:34" s="148" customFormat="1" ht="27" customHeight="1">
      <c r="B85" s="886"/>
      <c r="C85" s="887"/>
      <c r="D85" s="387">
        <v>7</v>
      </c>
      <c r="E85" s="390" t="s">
        <v>338</v>
      </c>
      <c r="F85" s="391">
        <v>956.27249999999981</v>
      </c>
      <c r="G85" s="392">
        <v>506.38</v>
      </c>
      <c r="H85" s="392">
        <v>514.31999999999994</v>
      </c>
      <c r="I85" s="393">
        <f t="shared" si="49"/>
        <v>1.0156799241676211</v>
      </c>
      <c r="J85" s="392">
        <v>0</v>
      </c>
      <c r="K85" s="393">
        <f t="shared" si="41"/>
        <v>0</v>
      </c>
      <c r="L85" s="392">
        <v>141.66999999999999</v>
      </c>
      <c r="M85" s="393">
        <f t="shared" si="42"/>
        <v>1.0156799241676211</v>
      </c>
      <c r="N85" s="394">
        <v>1124.8597999999997</v>
      </c>
      <c r="O85" s="392">
        <v>6.75</v>
      </c>
      <c r="P85" s="393">
        <f t="shared" si="43"/>
        <v>1.3329910344010426E-2</v>
      </c>
      <c r="Q85" s="395">
        <f t="shared" si="44"/>
        <v>1.1899999999999409</v>
      </c>
      <c r="R85" s="393">
        <f t="shared" si="45"/>
        <v>2.3500138236106105E-3</v>
      </c>
      <c r="S85" s="396">
        <f t="shared" si="46"/>
        <v>168.58729999999161</v>
      </c>
      <c r="T85" s="397" t="s">
        <v>432</v>
      </c>
      <c r="U85" s="397" t="s">
        <v>491</v>
      </c>
      <c r="V85" s="398" t="s">
        <v>510</v>
      </c>
      <c r="W85" s="398" t="s">
        <v>588</v>
      </c>
      <c r="X85" s="398">
        <v>1</v>
      </c>
      <c r="Y85" s="399" t="s">
        <v>346</v>
      </c>
      <c r="AC85" s="403"/>
    </row>
    <row r="86" spans="2:34" s="148" customFormat="1" ht="27" customHeight="1">
      <c r="B86" s="886"/>
      <c r="C86" s="887"/>
      <c r="D86" s="387">
        <v>8</v>
      </c>
      <c r="E86" s="390" t="s">
        <v>603</v>
      </c>
      <c r="F86" s="391">
        <v>892.29300000000001</v>
      </c>
      <c r="G86" s="392">
        <v>118.65</v>
      </c>
      <c r="H86" s="392">
        <v>115.66000000000003</v>
      </c>
      <c r="I86" s="393">
        <f t="shared" si="49"/>
        <v>0.97479983143699978</v>
      </c>
      <c r="J86" s="392">
        <v>9.7000000000000011</v>
      </c>
      <c r="K86" s="393">
        <f>J86/G86</f>
        <v>8.1753055204382641E-2</v>
      </c>
      <c r="L86" s="392">
        <v>345.84999999999997</v>
      </c>
      <c r="M86" s="393">
        <f>(H86+J86)/G86</f>
        <v>1.0565528866413825</v>
      </c>
      <c r="N86" s="394">
        <v>2320.6535000000003</v>
      </c>
      <c r="O86" s="392">
        <v>2.58</v>
      </c>
      <c r="P86" s="393">
        <f t="shared" si="43"/>
        <v>2.1744627054361566E-2</v>
      </c>
      <c r="Q86" s="395">
        <f t="shared" si="44"/>
        <v>4.1300000000000221</v>
      </c>
      <c r="R86" s="393">
        <f t="shared" si="45"/>
        <v>3.4808259587020836E-2</v>
      </c>
      <c r="S86" s="396">
        <f t="shared" si="46"/>
        <v>1428.3605000000075</v>
      </c>
      <c r="T86" s="397" t="s">
        <v>432</v>
      </c>
      <c r="U86" s="397" t="s">
        <v>491</v>
      </c>
      <c r="V86" s="434" t="s">
        <v>759</v>
      </c>
      <c r="W86" s="398" t="s">
        <v>717</v>
      </c>
      <c r="X86" s="398">
        <v>1</v>
      </c>
      <c r="Y86" s="399" t="s">
        <v>462</v>
      </c>
      <c r="AC86" s="403"/>
    </row>
    <row r="87" spans="2:34" s="148" customFormat="1" ht="27" customHeight="1">
      <c r="B87" s="886"/>
      <c r="C87" s="887"/>
      <c r="D87" s="387">
        <v>9</v>
      </c>
      <c r="E87" s="390" t="s">
        <v>368</v>
      </c>
      <c r="F87" s="391">
        <v>886.18079999999998</v>
      </c>
      <c r="G87" s="392">
        <v>224.05</v>
      </c>
      <c r="H87" s="392">
        <v>223.34</v>
      </c>
      <c r="I87" s="393">
        <f t="shared" si="49"/>
        <v>0.9968310644945324</v>
      </c>
      <c r="J87" s="392">
        <v>6.8299999999999992</v>
      </c>
      <c r="K87" s="393">
        <f t="shared" ref="K87:K98" si="50">J87/G87</f>
        <v>3.0484266904708766E-2</v>
      </c>
      <c r="L87" s="392">
        <v>253.92</v>
      </c>
      <c r="M87" s="393">
        <f t="shared" ref="M87:M98" si="51">(H87+J87)/G87</f>
        <v>1.0273153313992414</v>
      </c>
      <c r="N87" s="394">
        <v>1553.9903999999999</v>
      </c>
      <c r="O87" s="392">
        <v>3.4899999999999998</v>
      </c>
      <c r="P87" s="393">
        <f t="shared" si="43"/>
        <v>1.5576880160678418E-2</v>
      </c>
      <c r="Q87" s="395">
        <f t="shared" si="44"/>
        <v>2.6300000000000048</v>
      </c>
      <c r="R87" s="393">
        <f t="shared" si="45"/>
        <v>1.1738451238562842E-2</v>
      </c>
      <c r="S87" s="396">
        <f t="shared" si="46"/>
        <v>667.80960000000118</v>
      </c>
      <c r="T87" s="397" t="s">
        <v>432</v>
      </c>
      <c r="U87" s="397" t="s">
        <v>491</v>
      </c>
      <c r="V87" s="398" t="s">
        <v>712</v>
      </c>
      <c r="W87" s="398" t="s">
        <v>594</v>
      </c>
      <c r="X87" s="398">
        <v>1</v>
      </c>
      <c r="Y87" s="399" t="s">
        <v>360</v>
      </c>
      <c r="AC87" s="403"/>
    </row>
    <row r="88" spans="2:34" s="148" customFormat="1" ht="27" customHeight="1">
      <c r="B88" s="886"/>
      <c r="C88" s="887"/>
      <c r="D88" s="387">
        <v>10</v>
      </c>
      <c r="E88" s="390" t="s">
        <v>695</v>
      </c>
      <c r="F88" s="391">
        <v>856.46079999999995</v>
      </c>
      <c r="G88" s="392">
        <v>949.47000000000014</v>
      </c>
      <c r="H88" s="392">
        <v>928.62</v>
      </c>
      <c r="I88" s="393">
        <f t="shared" si="49"/>
        <v>0.97804038042276198</v>
      </c>
      <c r="J88" s="392">
        <v>51.55</v>
      </c>
      <c r="K88" s="393">
        <f t="shared" si="50"/>
        <v>5.429344792357841E-2</v>
      </c>
      <c r="L88" s="392">
        <v>51.470000000000006</v>
      </c>
      <c r="M88" s="393">
        <f t="shared" si="51"/>
        <v>1.0323338283463404</v>
      </c>
      <c r="N88" s="394">
        <v>1580.1289999999992</v>
      </c>
      <c r="O88" s="392">
        <v>16.64</v>
      </c>
      <c r="P88" s="393">
        <f t="shared" si="43"/>
        <v>1.7525566895215224E-2</v>
      </c>
      <c r="Q88" s="395">
        <f t="shared" si="44"/>
        <v>14.059999999999818</v>
      </c>
      <c r="R88" s="393">
        <f t="shared" si="45"/>
        <v>1.480826145112517E-2</v>
      </c>
      <c r="S88" s="396">
        <f t="shared" si="46"/>
        <v>723.66819999999075</v>
      </c>
      <c r="T88" s="397" t="s">
        <v>432</v>
      </c>
      <c r="U88" s="397" t="s">
        <v>491</v>
      </c>
      <c r="V88" s="398" t="s">
        <v>713</v>
      </c>
      <c r="W88" s="398" t="s">
        <v>670</v>
      </c>
      <c r="X88" s="398">
        <v>1</v>
      </c>
      <c r="Y88" s="399" t="s">
        <v>346</v>
      </c>
      <c r="AC88" s="403"/>
    </row>
    <row r="89" spans="2:34" s="148" customFormat="1" ht="27" customHeight="1">
      <c r="B89" s="886"/>
      <c r="C89" s="887"/>
      <c r="D89" s="387">
        <v>11</v>
      </c>
      <c r="E89" s="390" t="s">
        <v>696</v>
      </c>
      <c r="F89" s="391">
        <v>855.6647999999999</v>
      </c>
      <c r="G89" s="392">
        <v>288.09000000000003</v>
      </c>
      <c r="H89" s="392">
        <v>277.56</v>
      </c>
      <c r="I89" s="393">
        <f t="shared" si="49"/>
        <v>0.96344892221180867</v>
      </c>
      <c r="J89" s="392">
        <v>43</v>
      </c>
      <c r="K89" s="393">
        <f t="shared" si="50"/>
        <v>0.14925891214551007</v>
      </c>
      <c r="L89" s="392">
        <v>45.13</v>
      </c>
      <c r="M89" s="393">
        <f t="shared" si="51"/>
        <v>1.1127078343573187</v>
      </c>
      <c r="N89" s="394">
        <v>1465.3710999999998</v>
      </c>
      <c r="O89" s="392">
        <v>18.96</v>
      </c>
      <c r="P89" s="393">
        <f t="shared" si="43"/>
        <v>6.5812766843694678E-2</v>
      </c>
      <c r="Q89" s="395">
        <f t="shared" si="44"/>
        <v>13.50999999999997</v>
      </c>
      <c r="R89" s="393">
        <f t="shared" si="45"/>
        <v>4.6895067513624107E-2</v>
      </c>
      <c r="S89" s="396">
        <f t="shared" si="46"/>
        <v>609.70629999999869</v>
      </c>
      <c r="T89" s="397" t="s">
        <v>432</v>
      </c>
      <c r="U89" s="397" t="s">
        <v>491</v>
      </c>
      <c r="V89" s="398" t="s">
        <v>713</v>
      </c>
      <c r="W89" s="398" t="s">
        <v>670</v>
      </c>
      <c r="X89" s="398">
        <v>1</v>
      </c>
      <c r="Y89" s="399" t="s">
        <v>511</v>
      </c>
      <c r="AC89" s="403"/>
    </row>
    <row r="90" spans="2:34" s="148" customFormat="1" ht="27" customHeight="1">
      <c r="B90" s="886"/>
      <c r="C90" s="887"/>
      <c r="D90" s="387">
        <v>12</v>
      </c>
      <c r="E90" s="390" t="s">
        <v>655</v>
      </c>
      <c r="F90" s="391">
        <v>853.00020000000018</v>
      </c>
      <c r="G90" s="392">
        <v>168.78</v>
      </c>
      <c r="H90" s="392">
        <v>173.01999999999998</v>
      </c>
      <c r="I90" s="393">
        <f t="shared" si="49"/>
        <v>1.0251214598886123</v>
      </c>
      <c r="J90" s="392">
        <v>1.82</v>
      </c>
      <c r="K90" s="393">
        <f t="shared" si="50"/>
        <v>1.0783268159734566E-2</v>
      </c>
      <c r="L90" s="392">
        <v>203.58</v>
      </c>
      <c r="M90" s="393">
        <f t="shared" si="51"/>
        <v>1.0359047280483469</v>
      </c>
      <c r="N90" s="394">
        <v>1233.6948000000004</v>
      </c>
      <c r="O90" s="392">
        <v>4.1900000000000004</v>
      </c>
      <c r="P90" s="393">
        <f t="shared" si="43"/>
        <v>2.4825216257850457E-2</v>
      </c>
      <c r="Q90" s="395">
        <f t="shared" si="44"/>
        <v>1.8699999999999735</v>
      </c>
      <c r="R90" s="393">
        <f t="shared" si="45"/>
        <v>1.1079511790496347E-2</v>
      </c>
      <c r="S90" s="396">
        <f t="shared" si="46"/>
        <v>380.69459999999464</v>
      </c>
      <c r="T90" s="397" t="s">
        <v>432</v>
      </c>
      <c r="U90" s="397" t="s">
        <v>491</v>
      </c>
      <c r="V90" s="398" t="s">
        <v>510</v>
      </c>
      <c r="W90" s="398" t="s">
        <v>588</v>
      </c>
      <c r="X90" s="398">
        <v>1</v>
      </c>
      <c r="Y90" s="399" t="s">
        <v>346</v>
      </c>
      <c r="AC90" s="403"/>
    </row>
    <row r="91" spans="2:34" s="148" customFormat="1" ht="27" customHeight="1">
      <c r="B91" s="886"/>
      <c r="C91" s="887"/>
      <c r="D91" s="387">
        <v>13</v>
      </c>
      <c r="E91" s="390" t="s">
        <v>752</v>
      </c>
      <c r="F91" s="391">
        <v>850.73040000000015</v>
      </c>
      <c r="G91" s="392">
        <v>46.65</v>
      </c>
      <c r="H91" s="392">
        <v>56.830000000000005</v>
      </c>
      <c r="I91" s="393">
        <f t="shared" si="49"/>
        <v>1.2182207931404074</v>
      </c>
      <c r="J91" s="392">
        <v>2.11</v>
      </c>
      <c r="K91" s="393">
        <f t="shared" si="50"/>
        <v>4.5230439442658088E-2</v>
      </c>
      <c r="L91" s="392">
        <v>90.89</v>
      </c>
      <c r="M91" s="393">
        <f t="shared" si="51"/>
        <v>1.2634512325830656</v>
      </c>
      <c r="N91" s="394">
        <v>1117.0381</v>
      </c>
      <c r="O91" s="392">
        <v>9.36</v>
      </c>
      <c r="P91" s="393">
        <f t="shared" si="43"/>
        <v>0.20064308681672025</v>
      </c>
      <c r="Q91" s="395">
        <f t="shared" si="44"/>
        <v>2.9300000000000068</v>
      </c>
      <c r="R91" s="393">
        <f t="shared" si="45"/>
        <v>6.2808145766345275E-2</v>
      </c>
      <c r="S91" s="396">
        <f t="shared" si="46"/>
        <v>266.30770000000064</v>
      </c>
      <c r="T91" s="397" t="s">
        <v>432</v>
      </c>
      <c r="U91" s="397" t="s">
        <v>491</v>
      </c>
      <c r="V91" s="398" t="s">
        <v>760</v>
      </c>
      <c r="W91" s="398" t="s">
        <v>761</v>
      </c>
      <c r="X91" s="398">
        <v>1</v>
      </c>
      <c r="Y91" s="399" t="s">
        <v>410</v>
      </c>
      <c r="AC91" s="403"/>
    </row>
    <row r="92" spans="2:34" s="148" customFormat="1" ht="27" customHeight="1">
      <c r="B92" s="886"/>
      <c r="C92" s="887"/>
      <c r="D92" s="387">
        <v>14</v>
      </c>
      <c r="E92" s="390" t="s">
        <v>521</v>
      </c>
      <c r="F92" s="391">
        <v>848.95</v>
      </c>
      <c r="G92" s="392">
        <v>119.00000000000001</v>
      </c>
      <c r="H92" s="392">
        <v>120.98999999999998</v>
      </c>
      <c r="I92" s="393">
        <f t="shared" si="49"/>
        <v>1.01672268907563</v>
      </c>
      <c r="J92" s="392">
        <v>6.78</v>
      </c>
      <c r="K92" s="393">
        <f t="shared" si="50"/>
        <v>5.6974789915966384E-2</v>
      </c>
      <c r="L92" s="392">
        <v>169.79</v>
      </c>
      <c r="M92" s="393">
        <f t="shared" si="51"/>
        <v>1.0736974789915963</v>
      </c>
      <c r="N92" s="394">
        <v>1489.0583000000001</v>
      </c>
      <c r="O92" s="392">
        <v>5</v>
      </c>
      <c r="P92" s="393">
        <f t="shared" si="43"/>
        <v>4.2016806722689072E-2</v>
      </c>
      <c r="Q92" s="395">
        <f t="shared" si="44"/>
        <v>3.7699999999999676</v>
      </c>
      <c r="R92" s="393">
        <f t="shared" si="45"/>
        <v>3.1680672268907285E-2</v>
      </c>
      <c r="S92" s="396">
        <f t="shared" si="46"/>
        <v>640.10829999999441</v>
      </c>
      <c r="T92" s="397" t="s">
        <v>432</v>
      </c>
      <c r="U92" s="397" t="s">
        <v>491</v>
      </c>
      <c r="V92" s="398" t="s">
        <v>502</v>
      </c>
      <c r="W92" s="398" t="s">
        <v>503</v>
      </c>
      <c r="X92" s="398">
        <v>1</v>
      </c>
      <c r="Y92" s="399" t="s">
        <v>474</v>
      </c>
      <c r="AC92" s="404"/>
    </row>
    <row r="93" spans="2:34" s="148" customFormat="1" ht="27" customHeight="1">
      <c r="B93" s="886"/>
      <c r="C93" s="887"/>
      <c r="D93" s="387">
        <v>15</v>
      </c>
      <c r="E93" s="390" t="s">
        <v>656</v>
      </c>
      <c r="F93" s="391">
        <v>846.62549999999999</v>
      </c>
      <c r="G93" s="392">
        <v>494.81</v>
      </c>
      <c r="H93" s="392">
        <v>505.97</v>
      </c>
      <c r="I93" s="393">
        <f t="shared" si="49"/>
        <v>1.0225541116792305</v>
      </c>
      <c r="J93" s="392">
        <v>0</v>
      </c>
      <c r="K93" s="393">
        <f t="shared" si="50"/>
        <v>0</v>
      </c>
      <c r="L93" s="392">
        <v>110.67</v>
      </c>
      <c r="M93" s="393">
        <f t="shared" si="51"/>
        <v>1.0225541116792305</v>
      </c>
      <c r="N93" s="394">
        <v>1235.0772000000004</v>
      </c>
      <c r="O93" s="392">
        <v>7.65</v>
      </c>
      <c r="P93" s="393">
        <f t="shared" si="43"/>
        <v>1.5460479780117621E-2</v>
      </c>
      <c r="Q93" s="395">
        <f t="shared" si="44"/>
        <v>3.5100000000000247</v>
      </c>
      <c r="R93" s="393">
        <f t="shared" si="45"/>
        <v>7.0936318991128402E-3</v>
      </c>
      <c r="S93" s="396">
        <f t="shared" si="46"/>
        <v>388.45170000000275</v>
      </c>
      <c r="T93" s="397" t="s">
        <v>432</v>
      </c>
      <c r="U93" s="397" t="s">
        <v>491</v>
      </c>
      <c r="V93" s="397" t="s">
        <v>714</v>
      </c>
      <c r="W93" s="398" t="s">
        <v>503</v>
      </c>
      <c r="X93" s="398">
        <v>1</v>
      </c>
      <c r="Y93" s="399" t="s">
        <v>540</v>
      </c>
      <c r="AC93" s="403"/>
    </row>
    <row r="94" spans="2:34" s="148" customFormat="1" ht="27" customHeight="1">
      <c r="B94" s="886"/>
      <c r="C94" s="887"/>
      <c r="D94" s="387">
        <v>16</v>
      </c>
      <c r="E94" s="390" t="s">
        <v>697</v>
      </c>
      <c r="F94" s="391">
        <v>842.05380000000014</v>
      </c>
      <c r="G94" s="392">
        <v>93.5</v>
      </c>
      <c r="H94" s="392">
        <v>95.71</v>
      </c>
      <c r="I94" s="393">
        <f t="shared" si="49"/>
        <v>1.0236363636363637</v>
      </c>
      <c r="J94" s="392">
        <v>1.44</v>
      </c>
      <c r="K94" s="393">
        <f t="shared" si="50"/>
        <v>1.5401069518716577E-2</v>
      </c>
      <c r="L94" s="392">
        <v>536.34</v>
      </c>
      <c r="M94" s="393">
        <f t="shared" si="51"/>
        <v>1.03903743315508</v>
      </c>
      <c r="N94" s="394">
        <v>1957.6410000000001</v>
      </c>
      <c r="O94" s="392">
        <v>1.57</v>
      </c>
      <c r="P94" s="393">
        <f t="shared" si="43"/>
        <v>1.679144385026738E-2</v>
      </c>
      <c r="Q94" s="395">
        <f t="shared" si="44"/>
        <v>2.0799999999999912</v>
      </c>
      <c r="R94" s="393">
        <f t="shared" si="45"/>
        <v>2.2245989304812738E-2</v>
      </c>
      <c r="S94" s="396">
        <f t="shared" si="46"/>
        <v>1115.5871999999954</v>
      </c>
      <c r="T94" s="397" t="s">
        <v>432</v>
      </c>
      <c r="U94" s="397" t="s">
        <v>491</v>
      </c>
      <c r="V94" s="398" t="s">
        <v>759</v>
      </c>
      <c r="W94" s="398" t="s">
        <v>717</v>
      </c>
      <c r="X94" s="398">
        <v>1</v>
      </c>
      <c r="Y94" s="399" t="s">
        <v>347</v>
      </c>
      <c r="AC94" s="403"/>
    </row>
    <row r="95" spans="2:34" s="148" customFormat="1" ht="27" customHeight="1">
      <c r="B95" s="886"/>
      <c r="C95" s="887"/>
      <c r="D95" s="387">
        <v>17</v>
      </c>
      <c r="E95" s="390" t="s">
        <v>555</v>
      </c>
      <c r="F95" s="391">
        <v>834.84240000000011</v>
      </c>
      <c r="G95" s="392">
        <v>71.39</v>
      </c>
      <c r="H95" s="392">
        <v>72.8</v>
      </c>
      <c r="I95" s="393">
        <f t="shared" si="49"/>
        <v>1.019750665359294</v>
      </c>
      <c r="J95" s="392">
        <v>3.12</v>
      </c>
      <c r="K95" s="393">
        <f t="shared" si="50"/>
        <v>4.3703599943969745E-2</v>
      </c>
      <c r="L95" s="392">
        <v>496.93</v>
      </c>
      <c r="M95" s="393">
        <f t="shared" si="51"/>
        <v>1.0634542653032637</v>
      </c>
      <c r="N95" s="394">
        <v>2251.0929000000015</v>
      </c>
      <c r="O95" s="392">
        <v>1.6800000000000002</v>
      </c>
      <c r="P95" s="393">
        <f t="shared" si="43"/>
        <v>2.3532707662137557E-2</v>
      </c>
      <c r="Q95" s="395">
        <f t="shared" si="44"/>
        <v>2.850000000000001</v>
      </c>
      <c r="R95" s="393">
        <f t="shared" si="45"/>
        <v>3.9921557641126225E-2</v>
      </c>
      <c r="S95" s="396">
        <f t="shared" si="46"/>
        <v>1416.2505000000006</v>
      </c>
      <c r="T95" s="397" t="s">
        <v>432</v>
      </c>
      <c r="U95" s="397" t="s">
        <v>491</v>
      </c>
      <c r="V95" s="398" t="s">
        <v>671</v>
      </c>
      <c r="W95" s="398" t="s">
        <v>503</v>
      </c>
      <c r="X95" s="398">
        <v>1</v>
      </c>
      <c r="Y95" s="399" t="s">
        <v>474</v>
      </c>
      <c r="AB95" s="405"/>
      <c r="AC95" s="403"/>
    </row>
    <row r="96" spans="2:34" s="148" customFormat="1" ht="27" customHeight="1">
      <c r="B96" s="886"/>
      <c r="C96" s="887"/>
      <c r="D96" s="387">
        <v>18</v>
      </c>
      <c r="E96" s="390" t="s">
        <v>367</v>
      </c>
      <c r="F96" s="391">
        <v>831.93450000000007</v>
      </c>
      <c r="G96" s="392">
        <v>277.40999999999997</v>
      </c>
      <c r="H96" s="392">
        <v>281.05</v>
      </c>
      <c r="I96" s="393">
        <f t="shared" si="49"/>
        <v>1.0131213726974515</v>
      </c>
      <c r="J96" s="392">
        <v>6.6000000000000005</v>
      </c>
      <c r="K96" s="393">
        <f t="shared" si="50"/>
        <v>2.3791499945928413E-2</v>
      </c>
      <c r="L96" s="392">
        <v>183.65</v>
      </c>
      <c r="M96" s="393">
        <f t="shared" si="51"/>
        <v>1.0369128726433801</v>
      </c>
      <c r="N96" s="394">
        <v>1880.5759999999977</v>
      </c>
      <c r="O96" s="392">
        <v>4.5299999999999994</v>
      </c>
      <c r="P96" s="393">
        <f t="shared" si="43"/>
        <v>1.6329620417432682E-2</v>
      </c>
      <c r="Q96" s="395">
        <f t="shared" si="44"/>
        <v>5.7100000000000666</v>
      </c>
      <c r="R96" s="393">
        <f t="shared" si="45"/>
        <v>2.0583252225947396E-2</v>
      </c>
      <c r="S96" s="396">
        <f t="shared" si="46"/>
        <v>1048.6415000000122</v>
      </c>
      <c r="T96" s="397" t="s">
        <v>432</v>
      </c>
      <c r="U96" s="397" t="s">
        <v>491</v>
      </c>
      <c r="V96" s="421" t="s">
        <v>596</v>
      </c>
      <c r="W96" s="398" t="s">
        <v>762</v>
      </c>
      <c r="X96" s="398">
        <v>1</v>
      </c>
      <c r="Y96" s="399" t="s">
        <v>360</v>
      </c>
      <c r="AC96" s="403"/>
    </row>
    <row r="97" spans="2:34" s="148" customFormat="1" ht="27" customHeight="1">
      <c r="B97" s="886"/>
      <c r="C97" s="887"/>
      <c r="D97" s="387">
        <v>19</v>
      </c>
      <c r="E97" s="390" t="s">
        <v>753</v>
      </c>
      <c r="F97" s="391">
        <v>827.86990000000003</v>
      </c>
      <c r="G97" s="392">
        <v>35.699999999999996</v>
      </c>
      <c r="H97" s="392">
        <v>39.49</v>
      </c>
      <c r="I97" s="393">
        <f t="shared" si="49"/>
        <v>1.1061624649859947</v>
      </c>
      <c r="J97" s="392">
        <v>0</v>
      </c>
      <c r="K97" s="393">
        <f t="shared" si="50"/>
        <v>0</v>
      </c>
      <c r="L97" s="392">
        <v>335.17</v>
      </c>
      <c r="M97" s="393">
        <f t="shared" si="51"/>
        <v>1.1061624649859947</v>
      </c>
      <c r="N97" s="394">
        <v>1270.2942999999998</v>
      </c>
      <c r="O97" s="392">
        <v>2.4700000000000002</v>
      </c>
      <c r="P97" s="393">
        <f t="shared" si="43"/>
        <v>6.9187675070028029E-2</v>
      </c>
      <c r="Q97" s="395">
        <f t="shared" si="44"/>
        <v>1.3200000000000061</v>
      </c>
      <c r="R97" s="393">
        <f t="shared" si="45"/>
        <v>3.6974789915966561E-2</v>
      </c>
      <c r="S97" s="396">
        <f t="shared" si="46"/>
        <v>442.42440000000204</v>
      </c>
      <c r="T97" s="397" t="s">
        <v>432</v>
      </c>
      <c r="U97" s="397" t="s">
        <v>491</v>
      </c>
      <c r="V97" s="398" t="s">
        <v>718</v>
      </c>
      <c r="W97" s="398" t="s">
        <v>719</v>
      </c>
      <c r="X97" s="398">
        <v>1</v>
      </c>
      <c r="Y97" s="399" t="s">
        <v>474</v>
      </c>
      <c r="AB97" s="406"/>
      <c r="AC97" s="403"/>
    </row>
    <row r="98" spans="2:34" s="148" customFormat="1" ht="27" customHeight="1">
      <c r="B98" s="888"/>
      <c r="C98" s="889"/>
      <c r="D98" s="387">
        <v>20</v>
      </c>
      <c r="E98" s="390" t="s">
        <v>754</v>
      </c>
      <c r="F98" s="391">
        <v>825.75180000000012</v>
      </c>
      <c r="G98" s="392">
        <v>338.41</v>
      </c>
      <c r="H98" s="392">
        <v>343.41</v>
      </c>
      <c r="I98" s="393">
        <f t="shared" si="49"/>
        <v>1.0147749770987855</v>
      </c>
      <c r="J98" s="392">
        <v>3.3</v>
      </c>
      <c r="K98" s="393">
        <f t="shared" si="50"/>
        <v>9.7514848851984262E-3</v>
      </c>
      <c r="L98" s="392">
        <v>158.19000000000003</v>
      </c>
      <c r="M98" s="393">
        <f t="shared" si="51"/>
        <v>1.024526461983984</v>
      </c>
      <c r="N98" s="394">
        <v>1312.9769999999971</v>
      </c>
      <c r="O98" s="392">
        <v>5.22</v>
      </c>
      <c r="P98" s="393">
        <f t="shared" si="43"/>
        <v>1.5425076091132056E-2</v>
      </c>
      <c r="Q98" s="395">
        <f t="shared" si="44"/>
        <v>3.0800000000000116</v>
      </c>
      <c r="R98" s="393">
        <f t="shared" si="45"/>
        <v>9.1013858928519001E-3</v>
      </c>
      <c r="S98" s="396">
        <f t="shared" si="46"/>
        <v>487.22520000000191</v>
      </c>
      <c r="T98" s="397" t="s">
        <v>432</v>
      </c>
      <c r="U98" s="397" t="s">
        <v>491</v>
      </c>
      <c r="V98" s="398" t="s">
        <v>718</v>
      </c>
      <c r="W98" s="398" t="s">
        <v>719</v>
      </c>
      <c r="X98" s="398">
        <v>1</v>
      </c>
      <c r="Y98" s="399" t="s">
        <v>755</v>
      </c>
      <c r="AB98" s="406"/>
      <c r="AC98" s="403"/>
    </row>
    <row r="99" spans="2:34" ht="17.149999999999999" customHeight="1">
      <c r="B99" s="903" t="s">
        <v>488</v>
      </c>
      <c r="C99" s="904"/>
      <c r="D99" s="900" t="s">
        <v>172</v>
      </c>
      <c r="E99" s="900"/>
      <c r="F99" s="900"/>
      <c r="G99" s="900" t="s">
        <v>186</v>
      </c>
      <c r="H99" s="900"/>
      <c r="I99" s="900"/>
      <c r="J99" s="900"/>
      <c r="K99" s="900"/>
      <c r="L99" s="900"/>
      <c r="M99" s="900"/>
      <c r="N99" s="900"/>
      <c r="O99" s="900"/>
      <c r="P99" s="900"/>
      <c r="Q99" s="900"/>
      <c r="R99" s="900"/>
      <c r="S99" s="900"/>
      <c r="T99" s="900" t="s">
        <v>173</v>
      </c>
      <c r="U99" s="890" t="s">
        <v>247</v>
      </c>
      <c r="V99" s="909" t="s">
        <v>489</v>
      </c>
      <c r="W99" s="909" t="s">
        <v>490</v>
      </c>
      <c r="X99" s="912" t="s">
        <v>248</v>
      </c>
      <c r="Y99" s="901" t="s">
        <v>174</v>
      </c>
      <c r="AA99" s="890" t="s">
        <v>249</v>
      </c>
      <c r="AB99" s="891"/>
      <c r="AC99" s="891"/>
      <c r="AD99" s="891"/>
      <c r="AE99" s="891"/>
      <c r="AF99" s="891"/>
      <c r="AG99" s="891"/>
      <c r="AH99" s="892"/>
    </row>
    <row r="100" spans="2:34" ht="17.149999999999999" customHeight="1">
      <c r="B100" s="905"/>
      <c r="C100" s="906"/>
      <c r="D100" s="899" t="s">
        <v>171</v>
      </c>
      <c r="E100" s="900" t="s">
        <v>175</v>
      </c>
      <c r="F100" s="900"/>
      <c r="G100" s="900" t="s">
        <v>187</v>
      </c>
      <c r="H100" s="900"/>
      <c r="I100" s="900"/>
      <c r="J100" s="900"/>
      <c r="K100" s="900"/>
      <c r="L100" s="900"/>
      <c r="M100" s="900"/>
      <c r="N100" s="900"/>
      <c r="O100" s="900" t="s">
        <v>176</v>
      </c>
      <c r="P100" s="900"/>
      <c r="Q100" s="900"/>
      <c r="R100" s="900"/>
      <c r="S100" s="900"/>
      <c r="T100" s="900"/>
      <c r="U100" s="893"/>
      <c r="V100" s="910"/>
      <c r="W100" s="910"/>
      <c r="X100" s="913"/>
      <c r="Y100" s="901"/>
      <c r="AA100" s="893"/>
      <c r="AB100" s="894"/>
      <c r="AC100" s="894"/>
      <c r="AD100" s="894"/>
      <c r="AE100" s="894"/>
      <c r="AF100" s="894"/>
      <c r="AG100" s="894"/>
      <c r="AH100" s="895"/>
    </row>
    <row r="101" spans="2:34" ht="17.149999999999999" customHeight="1">
      <c r="B101" s="905"/>
      <c r="C101" s="906"/>
      <c r="D101" s="899"/>
      <c r="E101" s="899" t="s">
        <v>177</v>
      </c>
      <c r="F101" s="901" t="s">
        <v>250</v>
      </c>
      <c r="G101" s="902" t="s">
        <v>188</v>
      </c>
      <c r="H101" s="902"/>
      <c r="I101" s="902"/>
      <c r="J101" s="902"/>
      <c r="K101" s="902"/>
      <c r="L101" s="902"/>
      <c r="M101" s="902"/>
      <c r="N101" s="902"/>
      <c r="O101" s="902" t="s">
        <v>170</v>
      </c>
      <c r="P101" s="902"/>
      <c r="Q101" s="902" t="s">
        <v>178</v>
      </c>
      <c r="R101" s="902"/>
      <c r="S101" s="902"/>
      <c r="T101" s="900"/>
      <c r="U101" s="893"/>
      <c r="V101" s="910"/>
      <c r="W101" s="910"/>
      <c r="X101" s="913"/>
      <c r="Y101" s="901"/>
      <c r="AA101" s="896"/>
      <c r="AB101" s="897"/>
      <c r="AC101" s="897"/>
      <c r="AD101" s="897"/>
      <c r="AE101" s="897"/>
      <c r="AF101" s="897"/>
      <c r="AG101" s="897"/>
      <c r="AH101" s="898"/>
    </row>
    <row r="102" spans="2:34" ht="38.5" customHeight="1">
      <c r="B102" s="907"/>
      <c r="C102" s="908"/>
      <c r="D102" s="899"/>
      <c r="E102" s="899"/>
      <c r="F102" s="901"/>
      <c r="G102" s="388" t="s">
        <v>179</v>
      </c>
      <c r="H102" s="388" t="s">
        <v>254</v>
      </c>
      <c r="I102" s="388" t="s">
        <v>255</v>
      </c>
      <c r="J102" s="388" t="s">
        <v>180</v>
      </c>
      <c r="K102" s="388" t="s">
        <v>252</v>
      </c>
      <c r="L102" s="388" t="s">
        <v>181</v>
      </c>
      <c r="M102" s="388" t="s">
        <v>189</v>
      </c>
      <c r="N102" s="388" t="s">
        <v>182</v>
      </c>
      <c r="O102" s="389" t="s">
        <v>183</v>
      </c>
      <c r="P102" s="389" t="s">
        <v>184</v>
      </c>
      <c r="Q102" s="389" t="s">
        <v>183</v>
      </c>
      <c r="R102" s="389" t="s">
        <v>184</v>
      </c>
      <c r="S102" s="388" t="s">
        <v>185</v>
      </c>
      <c r="T102" s="900"/>
      <c r="U102" s="896"/>
      <c r="V102" s="911"/>
      <c r="W102" s="911"/>
      <c r="X102" s="914"/>
      <c r="Y102" s="901"/>
      <c r="AA102" s="161" t="s">
        <v>246</v>
      </c>
      <c r="AB102" s="161" t="s">
        <v>491</v>
      </c>
      <c r="AC102" s="156" t="s">
        <v>397</v>
      </c>
      <c r="AD102" s="156" t="s">
        <v>341</v>
      </c>
      <c r="AE102" s="156" t="s">
        <v>465</v>
      </c>
      <c r="AF102" s="156" t="s">
        <v>217</v>
      </c>
      <c r="AG102" s="156" t="s">
        <v>218</v>
      </c>
      <c r="AH102" s="156" t="s">
        <v>398</v>
      </c>
    </row>
    <row r="103" spans="2:34" s="148" customFormat="1" ht="27" customHeight="1">
      <c r="B103" s="884" t="s">
        <v>622</v>
      </c>
      <c r="C103" s="885"/>
      <c r="D103" s="387">
        <v>1</v>
      </c>
      <c r="E103" s="390" t="s">
        <v>480</v>
      </c>
      <c r="F103" s="391">
        <v>1801.5712000000003</v>
      </c>
      <c r="G103" s="392">
        <v>570.96</v>
      </c>
      <c r="H103" s="392">
        <v>582.16999999999996</v>
      </c>
      <c r="I103" s="393">
        <f>H103/G103</f>
        <v>1.0196335995516321</v>
      </c>
      <c r="J103" s="392">
        <v>0</v>
      </c>
      <c r="K103" s="393">
        <f>J103/G103</f>
        <v>0</v>
      </c>
      <c r="L103" s="392">
        <v>181.61</v>
      </c>
      <c r="M103" s="393">
        <f>(H103+J103)/G103</f>
        <v>1.0196335995516321</v>
      </c>
      <c r="N103" s="394">
        <v>2035.8481000000029</v>
      </c>
      <c r="O103" s="392">
        <v>9.9200000000000017</v>
      </c>
      <c r="P103" s="393">
        <f>O103/G103</f>
        <v>1.7374246882443607E-2</v>
      </c>
      <c r="Q103" s="395">
        <f>((H103+J103)-G103)-O103</f>
        <v>1.289999999999921</v>
      </c>
      <c r="R103" s="393">
        <f>Q103/G103</f>
        <v>2.2593526691885961E-3</v>
      </c>
      <c r="S103" s="396">
        <f>Q103*L103</f>
        <v>234.27689999998566</v>
      </c>
      <c r="T103" s="397" t="s">
        <v>432</v>
      </c>
      <c r="U103" s="397" t="s">
        <v>491</v>
      </c>
      <c r="V103" s="398" t="s">
        <v>502</v>
      </c>
      <c r="W103" s="398" t="s">
        <v>503</v>
      </c>
      <c r="X103" s="398">
        <v>1</v>
      </c>
      <c r="Y103" s="399" t="s">
        <v>479</v>
      </c>
      <c r="Z103" s="400" t="s">
        <v>492</v>
      </c>
      <c r="AA103" s="410">
        <f>SUM(X103:X122)</f>
        <v>20</v>
      </c>
      <c r="AB103" s="402">
        <f>SUMIF($U$103:$U$122,TRIM(AB102),$X$103:$X$122)</f>
        <v>18</v>
      </c>
      <c r="AC103" s="402">
        <f t="shared" ref="AC103:AH103" si="52">SUMIF($U$103:$U$122,TRIM(AC102),$X$103:$X$122)</f>
        <v>0</v>
      </c>
      <c r="AD103" s="402">
        <f t="shared" si="52"/>
        <v>2</v>
      </c>
      <c r="AE103" s="402">
        <f t="shared" si="52"/>
        <v>0</v>
      </c>
      <c r="AF103" s="402">
        <f t="shared" si="52"/>
        <v>0</v>
      </c>
      <c r="AG103" s="402">
        <f t="shared" si="52"/>
        <v>0</v>
      </c>
      <c r="AH103" s="402">
        <f t="shared" si="52"/>
        <v>0</v>
      </c>
    </row>
    <row r="104" spans="2:34" s="148" customFormat="1" ht="27" customHeight="1">
      <c r="B104" s="886"/>
      <c r="C104" s="887"/>
      <c r="D104" s="387">
        <v>2</v>
      </c>
      <c r="E104" s="390" t="s">
        <v>493</v>
      </c>
      <c r="F104" s="391">
        <v>1777.2299999999998</v>
      </c>
      <c r="G104" s="392">
        <v>329585</v>
      </c>
      <c r="H104" s="392">
        <v>331104</v>
      </c>
      <c r="I104" s="393">
        <f t="shared" ref="I104:I105" si="53">H104/G104</f>
        <v>1.0046088262511947</v>
      </c>
      <c r="J104" s="392">
        <v>0</v>
      </c>
      <c r="K104" s="393">
        <f t="shared" ref="K104:K109" si="54">J104/G104</f>
        <v>0</v>
      </c>
      <c r="L104" s="392">
        <v>1.17</v>
      </c>
      <c r="M104" s="393">
        <f t="shared" ref="M104:M109" si="55">(H104+J104)/G104</f>
        <v>1.0046088262511947</v>
      </c>
      <c r="N104" s="394">
        <v>1777.2299999999998</v>
      </c>
      <c r="O104" s="392">
        <v>1519</v>
      </c>
      <c r="P104" s="393">
        <f t="shared" ref="P104:P122" si="56">O104/G104</f>
        <v>4.6088262511946839E-3</v>
      </c>
      <c r="Q104" s="395">
        <f t="shared" ref="Q104:Q122" si="57">((H104+J104)-G104)-O104</f>
        <v>0</v>
      </c>
      <c r="R104" s="393">
        <f t="shared" ref="R104:R122" si="58">Q104/G104</f>
        <v>0</v>
      </c>
      <c r="S104" s="396">
        <f t="shared" ref="S104:S122" si="59">Q104*L104</f>
        <v>0</v>
      </c>
      <c r="T104" s="397" t="s">
        <v>432</v>
      </c>
      <c r="U104" s="397" t="s">
        <v>341</v>
      </c>
      <c r="V104" s="397" t="s">
        <v>589</v>
      </c>
      <c r="W104" s="398" t="s">
        <v>711</v>
      </c>
      <c r="X104" s="398">
        <v>1</v>
      </c>
      <c r="Y104" s="399" t="s">
        <v>344</v>
      </c>
      <c r="AA104" s="411"/>
      <c r="AB104" s="408">
        <f>SUMIF($U$103:$U122,TRIM(AB102),$F$103:$F$122)</f>
        <v>22542.255399999998</v>
      </c>
      <c r="AC104" s="408">
        <f>SUMIF($U$103:$U122,TRIM(AC102),$F$103:$F$122)</f>
        <v>0</v>
      </c>
      <c r="AD104" s="408">
        <f>SUMIF($U$103:$U122,TRIM(AD102),$F$103:$F$122)</f>
        <v>3462.83</v>
      </c>
      <c r="AE104" s="408">
        <f>SUMIF($U$103:$U122,TRIM(AE102),$F$103:$F$122)</f>
        <v>0</v>
      </c>
      <c r="AF104" s="408">
        <f>SUMIF($U$103:$U122,TRIM(AF102),$F$103:$F$122)</f>
        <v>0</v>
      </c>
      <c r="AG104" s="408">
        <f>SUMIF($U$103:$U122,TRIM(AG102),$F$103:$F$122)</f>
        <v>0</v>
      </c>
      <c r="AH104" s="408">
        <f>SUMIF($U$103:$U122,TRIM(AH102),$F$103:$F$122)</f>
        <v>0</v>
      </c>
    </row>
    <row r="105" spans="2:34" s="148" customFormat="1" ht="27" customHeight="1">
      <c r="B105" s="886"/>
      <c r="C105" s="887"/>
      <c r="D105" s="387">
        <v>3</v>
      </c>
      <c r="E105" s="390" t="s">
        <v>494</v>
      </c>
      <c r="F105" s="391">
        <v>1685.6000000000001</v>
      </c>
      <c r="G105" s="392">
        <v>174519</v>
      </c>
      <c r="H105" s="392">
        <v>174707</v>
      </c>
      <c r="I105" s="393">
        <f t="shared" si="53"/>
        <v>1.0010772466035216</v>
      </c>
      <c r="J105" s="392">
        <v>500</v>
      </c>
      <c r="K105" s="393">
        <f t="shared" si="54"/>
        <v>2.8650175625576585E-3</v>
      </c>
      <c r="L105" s="392">
        <v>2.4499999999999997</v>
      </c>
      <c r="M105" s="393">
        <f t="shared" si="55"/>
        <v>1.0039422641660793</v>
      </c>
      <c r="N105" s="394">
        <v>1685.6000000000001</v>
      </c>
      <c r="O105" s="392">
        <v>688</v>
      </c>
      <c r="P105" s="393">
        <f t="shared" si="56"/>
        <v>3.9422641660793378E-3</v>
      </c>
      <c r="Q105" s="395">
        <f t="shared" si="57"/>
        <v>0</v>
      </c>
      <c r="R105" s="393">
        <f t="shared" si="58"/>
        <v>0</v>
      </c>
      <c r="S105" s="396">
        <f t="shared" si="59"/>
        <v>0</v>
      </c>
      <c r="T105" s="397" t="s">
        <v>432</v>
      </c>
      <c r="U105" s="397" t="s">
        <v>341</v>
      </c>
      <c r="V105" s="398" t="s">
        <v>586</v>
      </c>
      <c r="W105" s="398" t="s">
        <v>587</v>
      </c>
      <c r="X105" s="398">
        <v>1</v>
      </c>
      <c r="Y105" s="399" t="s">
        <v>344</v>
      </c>
      <c r="AA105" s="387"/>
      <c r="AB105" s="409">
        <f>AB103/$AA103</f>
        <v>0.9</v>
      </c>
      <c r="AC105" s="409">
        <f t="shared" ref="AC105:AH105" si="60">AC103/$AA103</f>
        <v>0</v>
      </c>
      <c r="AD105" s="409">
        <f t="shared" si="60"/>
        <v>0.1</v>
      </c>
      <c r="AE105" s="409">
        <f t="shared" si="60"/>
        <v>0</v>
      </c>
      <c r="AF105" s="409">
        <f t="shared" si="60"/>
        <v>0</v>
      </c>
      <c r="AG105" s="409">
        <f t="shared" si="60"/>
        <v>0</v>
      </c>
      <c r="AH105" s="409">
        <f t="shared" si="60"/>
        <v>0</v>
      </c>
    </row>
    <row r="106" spans="2:34" s="148" customFormat="1" ht="27" customHeight="1">
      <c r="B106" s="886"/>
      <c r="C106" s="887"/>
      <c r="D106" s="387">
        <v>4</v>
      </c>
      <c r="E106" s="390" t="s">
        <v>368</v>
      </c>
      <c r="F106" s="391">
        <v>1551.4512</v>
      </c>
      <c r="G106" s="392">
        <v>308.29999999999995</v>
      </c>
      <c r="H106" s="392">
        <v>308.28000000000003</v>
      </c>
      <c r="I106" s="393">
        <f>H106/G106</f>
        <v>0.99993512812195939</v>
      </c>
      <c r="J106" s="392">
        <v>7.69</v>
      </c>
      <c r="K106" s="393">
        <f t="shared" si="54"/>
        <v>2.4943237106714245E-2</v>
      </c>
      <c r="L106" s="392">
        <v>253.92000000000002</v>
      </c>
      <c r="M106" s="393">
        <f t="shared" si="55"/>
        <v>1.0248783652286737</v>
      </c>
      <c r="N106" s="394">
        <v>1947.5663999999992</v>
      </c>
      <c r="O106" s="392">
        <v>6.11</v>
      </c>
      <c r="P106" s="393">
        <f t="shared" si="56"/>
        <v>1.9818358741485569E-2</v>
      </c>
      <c r="Q106" s="395">
        <f t="shared" si="57"/>
        <v>1.5600000000000724</v>
      </c>
      <c r="R106" s="393">
        <f t="shared" si="58"/>
        <v>5.0600064871880396E-3</v>
      </c>
      <c r="S106" s="396">
        <f t="shared" si="59"/>
        <v>396.11520000001843</v>
      </c>
      <c r="T106" s="397" t="s">
        <v>432</v>
      </c>
      <c r="U106" s="397" t="s">
        <v>491</v>
      </c>
      <c r="V106" s="398" t="s">
        <v>712</v>
      </c>
      <c r="W106" s="398" t="s">
        <v>782</v>
      </c>
      <c r="X106" s="398">
        <v>1</v>
      </c>
      <c r="Y106" s="399" t="s">
        <v>360</v>
      </c>
    </row>
    <row r="107" spans="2:34" s="148" customFormat="1" ht="27" customHeight="1">
      <c r="B107" s="886"/>
      <c r="C107" s="887"/>
      <c r="D107" s="387">
        <v>5</v>
      </c>
      <c r="E107" s="390" t="s">
        <v>776</v>
      </c>
      <c r="F107" s="391">
        <v>1483.4999999999998</v>
      </c>
      <c r="G107" s="392">
        <v>57714</v>
      </c>
      <c r="H107" s="392">
        <v>59015</v>
      </c>
      <c r="I107" s="393">
        <f t="shared" ref="I107:I122" si="61">H107/G107</f>
        <v>1.0225421908029249</v>
      </c>
      <c r="J107" s="392">
        <v>0</v>
      </c>
      <c r="K107" s="393">
        <f t="shared" si="54"/>
        <v>0</v>
      </c>
      <c r="L107" s="392">
        <v>1.1500000000000001</v>
      </c>
      <c r="M107" s="393">
        <f t="shared" si="55"/>
        <v>1.0225421908029249</v>
      </c>
      <c r="N107" s="394">
        <v>1496.1499999999999</v>
      </c>
      <c r="O107" s="392">
        <v>1290</v>
      </c>
      <c r="P107" s="393">
        <f t="shared" si="56"/>
        <v>2.2351595799979206E-2</v>
      </c>
      <c r="Q107" s="395">
        <f t="shared" si="57"/>
        <v>11</v>
      </c>
      <c r="R107" s="393">
        <f t="shared" si="58"/>
        <v>1.9059500294555913E-4</v>
      </c>
      <c r="S107" s="396">
        <f t="shared" si="59"/>
        <v>12.650000000000002</v>
      </c>
      <c r="T107" s="397" t="s">
        <v>432</v>
      </c>
      <c r="U107" s="397" t="s">
        <v>491</v>
      </c>
      <c r="V107" s="398" t="s">
        <v>671</v>
      </c>
      <c r="W107" s="398" t="s">
        <v>783</v>
      </c>
      <c r="X107" s="398">
        <v>1</v>
      </c>
      <c r="Y107" s="399" t="s">
        <v>475</v>
      </c>
    </row>
    <row r="108" spans="2:34" s="148" customFormat="1" ht="27" customHeight="1">
      <c r="B108" s="886"/>
      <c r="C108" s="887"/>
      <c r="D108" s="387">
        <v>6</v>
      </c>
      <c r="E108" s="390" t="s">
        <v>520</v>
      </c>
      <c r="F108" s="391">
        <v>1289.8598000000002</v>
      </c>
      <c r="G108" s="392">
        <v>334.11</v>
      </c>
      <c r="H108" s="392">
        <v>348.15</v>
      </c>
      <c r="I108" s="393">
        <f t="shared" si="61"/>
        <v>1.0420220885337164</v>
      </c>
      <c r="J108" s="392">
        <v>0</v>
      </c>
      <c r="K108" s="393">
        <f t="shared" si="54"/>
        <v>0</v>
      </c>
      <c r="L108" s="392">
        <v>153.19000000000003</v>
      </c>
      <c r="M108" s="393">
        <f t="shared" si="55"/>
        <v>1.0420220885337164</v>
      </c>
      <c r="N108" s="394">
        <v>2150.7876000000019</v>
      </c>
      <c r="O108" s="392">
        <v>8.42</v>
      </c>
      <c r="P108" s="393">
        <f t="shared" si="56"/>
        <v>2.5201281015234504E-2</v>
      </c>
      <c r="Q108" s="395">
        <f t="shared" si="57"/>
        <v>5.6199999999999637</v>
      </c>
      <c r="R108" s="393">
        <f t="shared" si="58"/>
        <v>1.6820807518481827E-2</v>
      </c>
      <c r="S108" s="396">
        <f t="shared" si="59"/>
        <v>860.92779999999459</v>
      </c>
      <c r="T108" s="397" t="s">
        <v>432</v>
      </c>
      <c r="U108" s="397" t="s">
        <v>491</v>
      </c>
      <c r="V108" s="398" t="s">
        <v>592</v>
      </c>
      <c r="W108" s="398" t="s">
        <v>505</v>
      </c>
      <c r="X108" s="398">
        <v>1</v>
      </c>
      <c r="Y108" s="399" t="s">
        <v>522</v>
      </c>
    </row>
    <row r="109" spans="2:34" s="148" customFormat="1" ht="27" customHeight="1">
      <c r="B109" s="886"/>
      <c r="C109" s="887"/>
      <c r="D109" s="387">
        <v>7</v>
      </c>
      <c r="E109" s="390" t="s">
        <v>338</v>
      </c>
      <c r="F109" s="391">
        <v>1289.1969999999999</v>
      </c>
      <c r="G109" s="392">
        <v>700.01</v>
      </c>
      <c r="H109" s="392">
        <v>706.58999999999992</v>
      </c>
      <c r="I109" s="393">
        <f t="shared" si="61"/>
        <v>1.009399865716204</v>
      </c>
      <c r="J109" s="392">
        <v>3.6899999999999995</v>
      </c>
      <c r="K109" s="393">
        <f t="shared" si="54"/>
        <v>5.2713532663819082E-3</v>
      </c>
      <c r="L109" s="392">
        <v>141.66999999999999</v>
      </c>
      <c r="M109" s="393">
        <f t="shared" si="55"/>
        <v>1.0146712189825859</v>
      </c>
      <c r="N109" s="394">
        <v>1454.9509000000035</v>
      </c>
      <c r="O109" s="392">
        <v>9.1</v>
      </c>
      <c r="P109" s="393">
        <f t="shared" si="56"/>
        <v>1.2999814288367309E-2</v>
      </c>
      <c r="Q109" s="395">
        <f t="shared" si="57"/>
        <v>1.1699999999999822</v>
      </c>
      <c r="R109" s="393">
        <f t="shared" si="58"/>
        <v>1.6714046942186286E-3</v>
      </c>
      <c r="S109" s="396">
        <f t="shared" si="59"/>
        <v>165.75389999999746</v>
      </c>
      <c r="T109" s="397" t="s">
        <v>432</v>
      </c>
      <c r="U109" s="397" t="s">
        <v>491</v>
      </c>
      <c r="V109" s="398" t="s">
        <v>510</v>
      </c>
      <c r="W109" s="398" t="s">
        <v>588</v>
      </c>
      <c r="X109" s="398">
        <v>1</v>
      </c>
      <c r="Y109" s="399" t="s">
        <v>346</v>
      </c>
      <c r="AC109" s="403"/>
    </row>
    <row r="110" spans="2:34" s="148" customFormat="1" ht="27" customHeight="1">
      <c r="B110" s="886"/>
      <c r="C110" s="887"/>
      <c r="D110" s="387">
        <v>8</v>
      </c>
      <c r="E110" s="390" t="s">
        <v>655</v>
      </c>
      <c r="F110" s="391">
        <v>1188.9072000000001</v>
      </c>
      <c r="G110" s="392">
        <v>233.34</v>
      </c>
      <c r="H110" s="392">
        <v>239.59</v>
      </c>
      <c r="I110" s="393">
        <f t="shared" si="61"/>
        <v>1.0267849490014571</v>
      </c>
      <c r="J110" s="392">
        <v>1.6</v>
      </c>
      <c r="K110" s="393">
        <f>J110/G110</f>
        <v>6.8569469443730182E-3</v>
      </c>
      <c r="L110" s="392">
        <v>203.57999999999998</v>
      </c>
      <c r="M110" s="393">
        <f>(H110+J110)/G110</f>
        <v>1.03364189594583</v>
      </c>
      <c r="N110" s="394">
        <v>1598.1030000000012</v>
      </c>
      <c r="O110" s="392">
        <v>5.839999999999999</v>
      </c>
      <c r="P110" s="393">
        <f t="shared" si="56"/>
        <v>2.5027856346961509E-2</v>
      </c>
      <c r="Q110" s="395">
        <f t="shared" si="57"/>
        <v>2.0099999999999953</v>
      </c>
      <c r="R110" s="393">
        <f t="shared" si="58"/>
        <v>8.6140395988685836E-3</v>
      </c>
      <c r="S110" s="396">
        <f t="shared" si="59"/>
        <v>409.195799999999</v>
      </c>
      <c r="T110" s="397" t="s">
        <v>432</v>
      </c>
      <c r="U110" s="397" t="s">
        <v>491</v>
      </c>
      <c r="V110" s="434" t="s">
        <v>510</v>
      </c>
      <c r="W110" s="398" t="s">
        <v>717</v>
      </c>
      <c r="X110" s="398">
        <v>1</v>
      </c>
      <c r="Y110" s="399" t="s">
        <v>346</v>
      </c>
      <c r="AC110" s="403"/>
    </row>
    <row r="111" spans="2:34" s="148" customFormat="1" ht="27" customHeight="1">
      <c r="B111" s="886"/>
      <c r="C111" s="887"/>
      <c r="D111" s="387">
        <v>9</v>
      </c>
      <c r="E111" s="390" t="s">
        <v>367</v>
      </c>
      <c r="F111" s="391">
        <v>1188.2155</v>
      </c>
      <c r="G111" s="392">
        <v>381.71</v>
      </c>
      <c r="H111" s="392">
        <v>385.59000000000003</v>
      </c>
      <c r="I111" s="393">
        <f t="shared" si="61"/>
        <v>1.0101647847842605</v>
      </c>
      <c r="J111" s="392">
        <v>10.68</v>
      </c>
      <c r="K111" s="393">
        <f t="shared" ref="K111:K122" si="62">J111/G111</f>
        <v>2.7979356055644337E-2</v>
      </c>
      <c r="L111" s="392">
        <v>183.65000000000003</v>
      </c>
      <c r="M111" s="393">
        <f t="shared" ref="M111:M122" si="63">(H111+J111)/G111</f>
        <v>1.0381441408399048</v>
      </c>
      <c r="N111" s="394">
        <v>2673.9439999999963</v>
      </c>
      <c r="O111" s="392">
        <v>6.4700000000000006</v>
      </c>
      <c r="P111" s="393">
        <f t="shared" si="56"/>
        <v>1.6950040606743343E-2</v>
      </c>
      <c r="Q111" s="395">
        <f t="shared" si="57"/>
        <v>8.0900000000000585</v>
      </c>
      <c r="R111" s="393">
        <f t="shared" si="58"/>
        <v>2.1194100233161456E-2</v>
      </c>
      <c r="S111" s="396">
        <f t="shared" si="59"/>
        <v>1485.7285000000111</v>
      </c>
      <c r="T111" s="397" t="s">
        <v>432</v>
      </c>
      <c r="U111" s="397" t="s">
        <v>491</v>
      </c>
      <c r="V111" s="398" t="s">
        <v>596</v>
      </c>
      <c r="W111" s="398" t="s">
        <v>762</v>
      </c>
      <c r="X111" s="398">
        <v>1</v>
      </c>
      <c r="Y111" s="399" t="s">
        <v>360</v>
      </c>
      <c r="AC111" s="403"/>
    </row>
    <row r="112" spans="2:34" s="148" customFormat="1" ht="27" customHeight="1">
      <c r="B112" s="886"/>
      <c r="C112" s="887"/>
      <c r="D112" s="387">
        <v>10</v>
      </c>
      <c r="E112" s="390" t="s">
        <v>777</v>
      </c>
      <c r="F112" s="391">
        <v>1177.1328000000001</v>
      </c>
      <c r="G112" s="392">
        <v>298.29999999999995</v>
      </c>
      <c r="H112" s="392">
        <v>304.60999999999996</v>
      </c>
      <c r="I112" s="393">
        <f t="shared" si="61"/>
        <v>1.0211532014750251</v>
      </c>
      <c r="J112" s="392">
        <v>3.4</v>
      </c>
      <c r="K112" s="393">
        <f t="shared" si="62"/>
        <v>1.1397921555481061E-2</v>
      </c>
      <c r="L112" s="392">
        <v>198.83999999999997</v>
      </c>
      <c r="M112" s="393">
        <f t="shared" si="63"/>
        <v>1.0325511230305062</v>
      </c>
      <c r="N112" s="394">
        <v>1930.7363999999982</v>
      </c>
      <c r="O112" s="392">
        <v>5.9200000000000008</v>
      </c>
      <c r="P112" s="393">
        <f t="shared" si="56"/>
        <v>1.9845792826014085E-2</v>
      </c>
      <c r="Q112" s="395">
        <f t="shared" si="57"/>
        <v>3.7899999999999787</v>
      </c>
      <c r="R112" s="393">
        <f t="shared" si="58"/>
        <v>1.2705330204492053E-2</v>
      </c>
      <c r="S112" s="396">
        <f t="shared" si="59"/>
        <v>753.60359999999571</v>
      </c>
      <c r="T112" s="397" t="s">
        <v>432</v>
      </c>
      <c r="U112" s="397" t="s">
        <v>491</v>
      </c>
      <c r="V112" s="398" t="s">
        <v>718</v>
      </c>
      <c r="W112" s="398" t="s">
        <v>719</v>
      </c>
      <c r="X112" s="398">
        <v>1</v>
      </c>
      <c r="Y112" s="399" t="s">
        <v>607</v>
      </c>
      <c r="AC112" s="403"/>
    </row>
    <row r="113" spans="2:34" s="148" customFormat="1" ht="27" customHeight="1">
      <c r="B113" s="886"/>
      <c r="C113" s="887"/>
      <c r="D113" s="387">
        <v>11</v>
      </c>
      <c r="E113" s="390" t="s">
        <v>651</v>
      </c>
      <c r="F113" s="391">
        <v>1174.0871999999999</v>
      </c>
      <c r="G113" s="392">
        <v>157.44999999999999</v>
      </c>
      <c r="H113" s="392">
        <v>157.29999999999998</v>
      </c>
      <c r="I113" s="393">
        <f t="shared" si="61"/>
        <v>0.99904731660844714</v>
      </c>
      <c r="J113" s="392">
        <v>5.6999999999999993</v>
      </c>
      <c r="K113" s="393">
        <f t="shared" si="62"/>
        <v>3.6201968879009207E-2</v>
      </c>
      <c r="L113" s="392">
        <v>485.15999999999997</v>
      </c>
      <c r="M113" s="393">
        <f t="shared" si="63"/>
        <v>1.0352492854874562</v>
      </c>
      <c r="N113" s="394">
        <v>2692.6380000000017</v>
      </c>
      <c r="O113" s="392">
        <v>2.42</v>
      </c>
      <c r="P113" s="393">
        <f t="shared" si="56"/>
        <v>1.5369958717053033E-2</v>
      </c>
      <c r="Q113" s="395">
        <f t="shared" si="57"/>
        <v>3.129999999999983</v>
      </c>
      <c r="R113" s="393">
        <f t="shared" si="58"/>
        <v>1.9879326770403195E-2</v>
      </c>
      <c r="S113" s="396">
        <f t="shared" si="59"/>
        <v>1518.5507999999916</v>
      </c>
      <c r="T113" s="397" t="s">
        <v>432</v>
      </c>
      <c r="U113" s="397" t="s">
        <v>491</v>
      </c>
      <c r="V113" s="398" t="s">
        <v>671</v>
      </c>
      <c r="W113" s="398" t="s">
        <v>503</v>
      </c>
      <c r="X113" s="398">
        <v>1</v>
      </c>
      <c r="Y113" s="399" t="s">
        <v>607</v>
      </c>
      <c r="AC113" s="403"/>
    </row>
    <row r="114" spans="2:34" s="148" customFormat="1" ht="27" customHeight="1">
      <c r="B114" s="886"/>
      <c r="C114" s="887"/>
      <c r="D114" s="387">
        <v>12</v>
      </c>
      <c r="E114" s="390" t="s">
        <v>778</v>
      </c>
      <c r="F114" s="391">
        <v>1164.8</v>
      </c>
      <c r="G114" s="392">
        <v>99.45</v>
      </c>
      <c r="H114" s="392">
        <v>102.13000000000001</v>
      </c>
      <c r="I114" s="393">
        <f t="shared" si="61"/>
        <v>1.0269482151835094</v>
      </c>
      <c r="J114" s="392">
        <v>3.72</v>
      </c>
      <c r="K114" s="393">
        <f t="shared" si="62"/>
        <v>3.7405731523378581E-2</v>
      </c>
      <c r="L114" s="392">
        <v>280</v>
      </c>
      <c r="M114" s="393">
        <f t="shared" si="63"/>
        <v>1.0643539467068879</v>
      </c>
      <c r="N114" s="394">
        <v>1792.0000000000002</v>
      </c>
      <c r="O114" s="392">
        <v>4.16</v>
      </c>
      <c r="P114" s="393">
        <f t="shared" si="56"/>
        <v>4.1830065359477121E-2</v>
      </c>
      <c r="Q114" s="395">
        <f t="shared" si="57"/>
        <v>2.2400000000000055</v>
      </c>
      <c r="R114" s="393">
        <f t="shared" si="58"/>
        <v>2.2523881347410814E-2</v>
      </c>
      <c r="S114" s="396">
        <f t="shared" si="59"/>
        <v>627.20000000000152</v>
      </c>
      <c r="T114" s="397" t="s">
        <v>432</v>
      </c>
      <c r="U114" s="397" t="s">
        <v>491</v>
      </c>
      <c r="V114" s="398" t="s">
        <v>718</v>
      </c>
      <c r="W114" s="398" t="s">
        <v>503</v>
      </c>
      <c r="X114" s="398">
        <v>1</v>
      </c>
      <c r="Y114" s="399" t="s">
        <v>606</v>
      </c>
    </row>
    <row r="115" spans="2:34" s="148" customFormat="1" ht="27" customHeight="1">
      <c r="B115" s="886"/>
      <c r="C115" s="887"/>
      <c r="D115" s="387">
        <v>13</v>
      </c>
      <c r="E115" s="390" t="s">
        <v>605</v>
      </c>
      <c r="F115" s="391">
        <v>1163.6436000000001</v>
      </c>
      <c r="G115" s="392">
        <v>1339.3700000000001</v>
      </c>
      <c r="H115" s="392">
        <v>1341.75</v>
      </c>
      <c r="I115" s="393">
        <f t="shared" si="61"/>
        <v>1.0017769548369755</v>
      </c>
      <c r="J115" s="392">
        <v>9.1</v>
      </c>
      <c r="K115" s="393">
        <f t="shared" si="62"/>
        <v>6.7942390825537369E-3</v>
      </c>
      <c r="L115" s="392">
        <v>266.27999999999997</v>
      </c>
      <c r="M115" s="393">
        <f t="shared" si="63"/>
        <v>1.0085711939195292</v>
      </c>
      <c r="N115" s="394">
        <v>3056.8943999999969</v>
      </c>
      <c r="O115" s="392">
        <v>4.37</v>
      </c>
      <c r="P115" s="393">
        <f t="shared" si="56"/>
        <v>3.2627279989845969E-3</v>
      </c>
      <c r="Q115" s="395">
        <f t="shared" si="57"/>
        <v>7.1099999999997907</v>
      </c>
      <c r="R115" s="393">
        <f t="shared" si="58"/>
        <v>5.3084659205445773E-3</v>
      </c>
      <c r="S115" s="396">
        <f t="shared" si="59"/>
        <v>1893.2507999999441</v>
      </c>
      <c r="T115" s="397" t="s">
        <v>432</v>
      </c>
      <c r="U115" s="397" t="s">
        <v>491</v>
      </c>
      <c r="V115" s="398" t="s">
        <v>718</v>
      </c>
      <c r="W115" s="398" t="s">
        <v>505</v>
      </c>
      <c r="X115" s="398">
        <v>1</v>
      </c>
      <c r="Y115" s="399" t="s">
        <v>362</v>
      </c>
    </row>
    <row r="116" spans="2:34" s="148" customFormat="1" ht="27" customHeight="1">
      <c r="B116" s="886"/>
      <c r="C116" s="887"/>
      <c r="D116" s="387">
        <v>14</v>
      </c>
      <c r="E116" s="390" t="s">
        <v>602</v>
      </c>
      <c r="F116" s="391">
        <v>1161.5652</v>
      </c>
      <c r="G116" s="392">
        <v>593.70000000000005</v>
      </c>
      <c r="H116" s="392">
        <v>592.96</v>
      </c>
      <c r="I116" s="393">
        <f t="shared" si="61"/>
        <v>0.99875357924877883</v>
      </c>
      <c r="J116" s="392">
        <v>13.2</v>
      </c>
      <c r="K116" s="393">
        <f t="shared" si="62"/>
        <v>2.2233451237998986E-2</v>
      </c>
      <c r="L116" s="392">
        <v>189.18000000000004</v>
      </c>
      <c r="M116" s="393">
        <f t="shared" si="63"/>
        <v>1.0209870304867779</v>
      </c>
      <c r="N116" s="394">
        <v>2357.1827999999923</v>
      </c>
      <c r="O116" s="392">
        <v>6.1400000000000006</v>
      </c>
      <c r="P116" s="393">
        <f t="shared" si="56"/>
        <v>1.034192353040256E-2</v>
      </c>
      <c r="Q116" s="395">
        <f t="shared" si="57"/>
        <v>6.3200000000000358</v>
      </c>
      <c r="R116" s="393">
        <f t="shared" si="58"/>
        <v>1.0645106956375333E-2</v>
      </c>
      <c r="S116" s="396">
        <f t="shared" si="59"/>
        <v>1195.6176000000071</v>
      </c>
      <c r="T116" s="397" t="s">
        <v>432</v>
      </c>
      <c r="U116" s="397" t="s">
        <v>491</v>
      </c>
      <c r="V116" s="398" t="s">
        <v>502</v>
      </c>
      <c r="W116" s="398" t="s">
        <v>503</v>
      </c>
      <c r="X116" s="398">
        <v>1</v>
      </c>
      <c r="Y116" s="399" t="s">
        <v>345</v>
      </c>
    </row>
    <row r="117" spans="2:34" s="148" customFormat="1" ht="27" customHeight="1">
      <c r="B117" s="886"/>
      <c r="C117" s="887"/>
      <c r="D117" s="387">
        <v>15</v>
      </c>
      <c r="E117" s="390" t="s">
        <v>461</v>
      </c>
      <c r="F117" s="391">
        <v>1157.2749999999999</v>
      </c>
      <c r="G117" s="392">
        <v>2195.9</v>
      </c>
      <c r="H117" s="392">
        <v>2130.8599999999997</v>
      </c>
      <c r="I117" s="393">
        <f t="shared" si="61"/>
        <v>0.97038116489821924</v>
      </c>
      <c r="J117" s="392">
        <v>117.4</v>
      </c>
      <c r="K117" s="393">
        <f t="shared" si="62"/>
        <v>5.3463272462316136E-2</v>
      </c>
      <c r="L117" s="392">
        <v>66.13</v>
      </c>
      <c r="M117" s="393">
        <f t="shared" si="63"/>
        <v>1.0238444373605353</v>
      </c>
      <c r="N117" s="394">
        <v>3462.5668000000023</v>
      </c>
      <c r="O117" s="392">
        <v>17.5</v>
      </c>
      <c r="P117" s="393">
        <f t="shared" si="56"/>
        <v>7.9693975135479763E-3</v>
      </c>
      <c r="Q117" s="395">
        <f t="shared" si="57"/>
        <v>34.859999999999673</v>
      </c>
      <c r="R117" s="393">
        <f t="shared" si="58"/>
        <v>1.5875039846987418E-2</v>
      </c>
      <c r="S117" s="396">
        <f t="shared" si="59"/>
        <v>2305.2917999999781</v>
      </c>
      <c r="T117" s="397" t="s">
        <v>432</v>
      </c>
      <c r="U117" s="397" t="s">
        <v>491</v>
      </c>
      <c r="V117" s="397" t="s">
        <v>713</v>
      </c>
      <c r="W117" s="398" t="s">
        <v>670</v>
      </c>
      <c r="X117" s="398">
        <v>1</v>
      </c>
      <c r="Y117" s="399" t="s">
        <v>789</v>
      </c>
    </row>
    <row r="118" spans="2:34" s="148" customFormat="1" ht="27" customHeight="1">
      <c r="B118" s="886"/>
      <c r="C118" s="887"/>
      <c r="D118" s="387">
        <v>16</v>
      </c>
      <c r="E118" s="390" t="s">
        <v>779</v>
      </c>
      <c r="F118" s="391">
        <v>1152.0424</v>
      </c>
      <c r="G118" s="392">
        <v>211.22000000000003</v>
      </c>
      <c r="H118" s="392">
        <v>218.74</v>
      </c>
      <c r="I118" s="393">
        <f t="shared" si="61"/>
        <v>1.035602689139286</v>
      </c>
      <c r="J118" s="392">
        <v>0</v>
      </c>
      <c r="K118" s="393">
        <f t="shared" si="62"/>
        <v>0</v>
      </c>
      <c r="L118" s="392">
        <v>294.63999999999993</v>
      </c>
      <c r="M118" s="393">
        <f t="shared" si="63"/>
        <v>1.035602689139286</v>
      </c>
      <c r="N118" s="394">
        <v>2215.6928000000007</v>
      </c>
      <c r="O118" s="392">
        <v>3.91</v>
      </c>
      <c r="P118" s="393">
        <f t="shared" si="56"/>
        <v>1.8511504592368146E-2</v>
      </c>
      <c r="Q118" s="395">
        <f t="shared" si="57"/>
        <v>3.6099999999999817</v>
      </c>
      <c r="R118" s="393">
        <f t="shared" si="58"/>
        <v>1.7091184546917815E-2</v>
      </c>
      <c r="S118" s="396">
        <f t="shared" si="59"/>
        <v>1063.6503999999943</v>
      </c>
      <c r="T118" s="397" t="s">
        <v>432</v>
      </c>
      <c r="U118" s="397" t="s">
        <v>491</v>
      </c>
      <c r="V118" s="398" t="s">
        <v>510</v>
      </c>
      <c r="W118" s="398" t="s">
        <v>588</v>
      </c>
      <c r="X118" s="398">
        <v>1</v>
      </c>
      <c r="Y118" s="399" t="s">
        <v>755</v>
      </c>
    </row>
    <row r="119" spans="2:34" s="148" customFormat="1" ht="27" customHeight="1">
      <c r="B119" s="886"/>
      <c r="C119" s="887"/>
      <c r="D119" s="387">
        <v>17</v>
      </c>
      <c r="E119" s="390" t="s">
        <v>754</v>
      </c>
      <c r="F119" s="391">
        <v>1151.6232</v>
      </c>
      <c r="G119" s="392">
        <v>458.12999999999994</v>
      </c>
      <c r="H119" s="392">
        <v>467.8</v>
      </c>
      <c r="I119" s="393">
        <f t="shared" si="61"/>
        <v>1.0211075458930874</v>
      </c>
      <c r="J119" s="392">
        <v>2.0299999999999998</v>
      </c>
      <c r="K119" s="393">
        <f t="shared" si="62"/>
        <v>4.4310566869665818E-3</v>
      </c>
      <c r="L119" s="392">
        <v>158.19000000000003</v>
      </c>
      <c r="M119" s="393">
        <f t="shared" si="63"/>
        <v>1.0255386025800537</v>
      </c>
      <c r="N119" s="394">
        <v>1850.8230000000028</v>
      </c>
      <c r="O119" s="392">
        <v>7.28</v>
      </c>
      <c r="P119" s="393">
        <f t="shared" si="56"/>
        <v>1.5890686049811191E-2</v>
      </c>
      <c r="Q119" s="395">
        <f t="shared" si="57"/>
        <v>4.4200000000000452</v>
      </c>
      <c r="R119" s="393">
        <f t="shared" si="58"/>
        <v>9.6479165302426079E-3</v>
      </c>
      <c r="S119" s="396">
        <f t="shared" si="59"/>
        <v>699.19980000000726</v>
      </c>
      <c r="T119" s="397" t="s">
        <v>432</v>
      </c>
      <c r="U119" s="397" t="s">
        <v>491</v>
      </c>
      <c r="V119" s="398" t="s">
        <v>510</v>
      </c>
      <c r="W119" s="398" t="s">
        <v>717</v>
      </c>
      <c r="X119" s="398">
        <v>1</v>
      </c>
      <c r="Y119" s="399" t="s">
        <v>540</v>
      </c>
    </row>
    <row r="120" spans="2:34" s="148" customFormat="1" ht="27" customHeight="1">
      <c r="B120" s="886"/>
      <c r="C120" s="887"/>
      <c r="D120" s="387">
        <v>18</v>
      </c>
      <c r="E120" s="390" t="s">
        <v>656</v>
      </c>
      <c r="F120" s="391">
        <v>1150.9680000000001</v>
      </c>
      <c r="G120" s="392">
        <v>698.21</v>
      </c>
      <c r="H120" s="392">
        <v>712.05000000000007</v>
      </c>
      <c r="I120" s="393">
        <f t="shared" si="61"/>
        <v>1.0198221165551913</v>
      </c>
      <c r="J120" s="392">
        <v>1.8</v>
      </c>
      <c r="K120" s="393">
        <f t="shared" si="62"/>
        <v>2.5780209392589622E-3</v>
      </c>
      <c r="L120" s="392">
        <v>110.66999999999999</v>
      </c>
      <c r="M120" s="393">
        <f t="shared" si="63"/>
        <v>1.02240013749445</v>
      </c>
      <c r="N120" s="394">
        <v>1730.8788000000031</v>
      </c>
      <c r="O120" s="392">
        <v>10.4</v>
      </c>
      <c r="P120" s="393">
        <f t="shared" si="56"/>
        <v>1.4895232093496226E-2</v>
      </c>
      <c r="Q120" s="395">
        <f t="shared" si="57"/>
        <v>5.239999999999986</v>
      </c>
      <c r="R120" s="393">
        <f t="shared" si="58"/>
        <v>7.5049054009538475E-3</v>
      </c>
      <c r="S120" s="396">
        <f t="shared" si="59"/>
        <v>579.9107999999984</v>
      </c>
      <c r="T120" s="397" t="s">
        <v>432</v>
      </c>
      <c r="U120" s="397" t="s">
        <v>491</v>
      </c>
      <c r="V120" s="421" t="s">
        <v>671</v>
      </c>
      <c r="W120" s="398" t="s">
        <v>576</v>
      </c>
      <c r="X120" s="398">
        <v>1</v>
      </c>
      <c r="Y120" s="399" t="s">
        <v>346</v>
      </c>
    </row>
    <row r="121" spans="2:34" s="148" customFormat="1" ht="27" customHeight="1">
      <c r="B121" s="886"/>
      <c r="C121" s="887"/>
      <c r="D121" s="387">
        <v>19</v>
      </c>
      <c r="E121" s="390" t="s">
        <v>780</v>
      </c>
      <c r="F121" s="391">
        <v>1150.6096</v>
      </c>
      <c r="G121" s="392">
        <v>87.490000000000009</v>
      </c>
      <c r="H121" s="392">
        <v>95.690000000000012</v>
      </c>
      <c r="I121" s="393">
        <f t="shared" si="61"/>
        <v>1.0937249971425307</v>
      </c>
      <c r="J121" s="392">
        <v>1.1599999999999999</v>
      </c>
      <c r="K121" s="393">
        <f t="shared" si="62"/>
        <v>1.3258658132357982E-2</v>
      </c>
      <c r="L121" s="392">
        <v>216.28</v>
      </c>
      <c r="M121" s="393">
        <f t="shared" si="63"/>
        <v>1.1069836552748886</v>
      </c>
      <c r="N121" s="394">
        <v>2024.3807999999999</v>
      </c>
      <c r="O121" s="392">
        <v>5.32</v>
      </c>
      <c r="P121" s="393">
        <f t="shared" si="56"/>
        <v>6.0806949365641787E-2</v>
      </c>
      <c r="Q121" s="395">
        <f t="shared" si="57"/>
        <v>4.0399999999999991</v>
      </c>
      <c r="R121" s="393">
        <f t="shared" si="58"/>
        <v>4.617670590924676E-2</v>
      </c>
      <c r="S121" s="396">
        <f t="shared" si="59"/>
        <v>873.77119999999979</v>
      </c>
      <c r="T121" s="397" t="s">
        <v>432</v>
      </c>
      <c r="U121" s="397" t="s">
        <v>491</v>
      </c>
      <c r="V121" s="398" t="s">
        <v>718</v>
      </c>
      <c r="W121" s="398" t="s">
        <v>503</v>
      </c>
      <c r="X121" s="398">
        <v>1</v>
      </c>
      <c r="Y121" s="399" t="s">
        <v>472</v>
      </c>
      <c r="AB121" s="406"/>
      <c r="AC121" s="403"/>
    </row>
    <row r="122" spans="2:34" s="148" customFormat="1" ht="27" customHeight="1">
      <c r="B122" s="888"/>
      <c r="C122" s="889"/>
      <c r="D122" s="387">
        <v>20</v>
      </c>
      <c r="E122" s="390" t="s">
        <v>652</v>
      </c>
      <c r="F122" s="391">
        <v>1145.8064999999999</v>
      </c>
      <c r="G122" s="392">
        <v>172.74</v>
      </c>
      <c r="H122" s="392">
        <v>175.78000000000003</v>
      </c>
      <c r="I122" s="393">
        <f t="shared" si="61"/>
        <v>1.0175987032534446</v>
      </c>
      <c r="J122" s="392">
        <v>7.58</v>
      </c>
      <c r="K122" s="393">
        <f t="shared" si="62"/>
        <v>4.3880977191154337E-2</v>
      </c>
      <c r="L122" s="392">
        <v>190.65000000000003</v>
      </c>
      <c r="M122" s="393">
        <f t="shared" si="63"/>
        <v>1.0614796804445989</v>
      </c>
      <c r="N122" s="394">
        <v>2024.7029999999995</v>
      </c>
      <c r="O122" s="392">
        <v>6.01</v>
      </c>
      <c r="P122" s="393">
        <f t="shared" si="56"/>
        <v>3.4792173208289916E-2</v>
      </c>
      <c r="Q122" s="395">
        <f t="shared" si="57"/>
        <v>4.6100000000000332</v>
      </c>
      <c r="R122" s="393">
        <f t="shared" si="58"/>
        <v>2.6687507236309093E-2</v>
      </c>
      <c r="S122" s="396">
        <f t="shared" si="59"/>
        <v>878.89650000000654</v>
      </c>
      <c r="T122" s="397" t="s">
        <v>432</v>
      </c>
      <c r="U122" s="397" t="s">
        <v>491</v>
      </c>
      <c r="V122" s="398" t="s">
        <v>510</v>
      </c>
      <c r="W122" s="398" t="s">
        <v>588</v>
      </c>
      <c r="X122" s="398">
        <v>1</v>
      </c>
      <c r="Y122" s="399" t="s">
        <v>610</v>
      </c>
      <c r="AB122" s="406"/>
      <c r="AC122" s="403"/>
    </row>
    <row r="123" spans="2:34" ht="17.149999999999999" customHeight="1">
      <c r="B123" s="903" t="s">
        <v>488</v>
      </c>
      <c r="C123" s="904"/>
      <c r="D123" s="900" t="s">
        <v>172</v>
      </c>
      <c r="E123" s="900"/>
      <c r="F123" s="900"/>
      <c r="G123" s="900" t="s">
        <v>186</v>
      </c>
      <c r="H123" s="900"/>
      <c r="I123" s="900"/>
      <c r="J123" s="900"/>
      <c r="K123" s="900"/>
      <c r="L123" s="900"/>
      <c r="M123" s="900"/>
      <c r="N123" s="900"/>
      <c r="O123" s="900"/>
      <c r="P123" s="900"/>
      <c r="Q123" s="900"/>
      <c r="R123" s="900"/>
      <c r="S123" s="900"/>
      <c r="T123" s="900" t="s">
        <v>173</v>
      </c>
      <c r="U123" s="890" t="s">
        <v>247</v>
      </c>
      <c r="V123" s="909" t="s">
        <v>489</v>
      </c>
      <c r="W123" s="909" t="s">
        <v>490</v>
      </c>
      <c r="X123" s="912" t="s">
        <v>248</v>
      </c>
      <c r="Y123" s="901" t="s">
        <v>174</v>
      </c>
      <c r="AA123" s="890" t="s">
        <v>249</v>
      </c>
      <c r="AB123" s="891"/>
      <c r="AC123" s="891"/>
      <c r="AD123" s="891"/>
      <c r="AE123" s="891"/>
      <c r="AF123" s="891"/>
      <c r="AG123" s="891"/>
      <c r="AH123" s="892"/>
    </row>
    <row r="124" spans="2:34" ht="17.149999999999999" customHeight="1">
      <c r="B124" s="905"/>
      <c r="C124" s="906"/>
      <c r="D124" s="899" t="s">
        <v>171</v>
      </c>
      <c r="E124" s="900" t="s">
        <v>175</v>
      </c>
      <c r="F124" s="900"/>
      <c r="G124" s="900" t="s">
        <v>187</v>
      </c>
      <c r="H124" s="900"/>
      <c r="I124" s="900"/>
      <c r="J124" s="900"/>
      <c r="K124" s="900"/>
      <c r="L124" s="900"/>
      <c r="M124" s="900"/>
      <c r="N124" s="900"/>
      <c r="O124" s="900" t="s">
        <v>176</v>
      </c>
      <c r="P124" s="900"/>
      <c r="Q124" s="900"/>
      <c r="R124" s="900"/>
      <c r="S124" s="900"/>
      <c r="T124" s="900"/>
      <c r="U124" s="893"/>
      <c r="V124" s="910"/>
      <c r="W124" s="910"/>
      <c r="X124" s="913"/>
      <c r="Y124" s="901"/>
      <c r="AA124" s="893"/>
      <c r="AB124" s="894"/>
      <c r="AC124" s="894"/>
      <c r="AD124" s="894"/>
      <c r="AE124" s="894"/>
      <c r="AF124" s="894"/>
      <c r="AG124" s="894"/>
      <c r="AH124" s="895"/>
    </row>
    <row r="125" spans="2:34" ht="17.149999999999999" customHeight="1">
      <c r="B125" s="905"/>
      <c r="C125" s="906"/>
      <c r="D125" s="899"/>
      <c r="E125" s="899" t="s">
        <v>177</v>
      </c>
      <c r="F125" s="901" t="s">
        <v>250</v>
      </c>
      <c r="G125" s="902" t="s">
        <v>188</v>
      </c>
      <c r="H125" s="902"/>
      <c r="I125" s="902"/>
      <c r="J125" s="902"/>
      <c r="K125" s="902"/>
      <c r="L125" s="902"/>
      <c r="M125" s="902"/>
      <c r="N125" s="902"/>
      <c r="O125" s="902" t="s">
        <v>170</v>
      </c>
      <c r="P125" s="902"/>
      <c r="Q125" s="902" t="s">
        <v>178</v>
      </c>
      <c r="R125" s="902"/>
      <c r="S125" s="902"/>
      <c r="T125" s="900"/>
      <c r="U125" s="893"/>
      <c r="V125" s="910"/>
      <c r="W125" s="910"/>
      <c r="X125" s="913"/>
      <c r="Y125" s="901"/>
      <c r="AA125" s="896"/>
      <c r="AB125" s="897"/>
      <c r="AC125" s="897"/>
      <c r="AD125" s="897"/>
      <c r="AE125" s="897"/>
      <c r="AF125" s="897"/>
      <c r="AG125" s="897"/>
      <c r="AH125" s="898"/>
    </row>
    <row r="126" spans="2:34" ht="38.5" customHeight="1">
      <c r="B126" s="907"/>
      <c r="C126" s="908"/>
      <c r="D126" s="899"/>
      <c r="E126" s="899"/>
      <c r="F126" s="901"/>
      <c r="G126" s="388" t="s">
        <v>179</v>
      </c>
      <c r="H126" s="388" t="s">
        <v>254</v>
      </c>
      <c r="I126" s="388" t="s">
        <v>255</v>
      </c>
      <c r="J126" s="388" t="s">
        <v>180</v>
      </c>
      <c r="K126" s="388" t="s">
        <v>252</v>
      </c>
      <c r="L126" s="388" t="s">
        <v>181</v>
      </c>
      <c r="M126" s="388" t="s">
        <v>189</v>
      </c>
      <c r="N126" s="388" t="s">
        <v>182</v>
      </c>
      <c r="O126" s="389" t="s">
        <v>183</v>
      </c>
      <c r="P126" s="389" t="s">
        <v>184</v>
      </c>
      <c r="Q126" s="389" t="s">
        <v>183</v>
      </c>
      <c r="R126" s="389" t="s">
        <v>184</v>
      </c>
      <c r="S126" s="388" t="s">
        <v>185</v>
      </c>
      <c r="T126" s="900"/>
      <c r="U126" s="896"/>
      <c r="V126" s="911"/>
      <c r="W126" s="911"/>
      <c r="X126" s="914"/>
      <c r="Y126" s="901"/>
      <c r="AA126" s="161" t="s">
        <v>246</v>
      </c>
      <c r="AB126" s="161" t="s">
        <v>491</v>
      </c>
      <c r="AC126" s="156" t="s">
        <v>397</v>
      </c>
      <c r="AD126" s="156" t="s">
        <v>341</v>
      </c>
      <c r="AE126" s="156" t="s">
        <v>465</v>
      </c>
      <c r="AF126" s="156" t="s">
        <v>217</v>
      </c>
      <c r="AG126" s="156" t="s">
        <v>218</v>
      </c>
      <c r="AH126" s="156" t="s">
        <v>398</v>
      </c>
    </row>
    <row r="127" spans="2:34" s="148" customFormat="1" ht="27" customHeight="1">
      <c r="B127" s="884" t="s">
        <v>623</v>
      </c>
      <c r="C127" s="885"/>
      <c r="D127" s="387">
        <v>1</v>
      </c>
      <c r="E127" s="390" t="s">
        <v>337</v>
      </c>
      <c r="F127" s="391">
        <v>1467.75</v>
      </c>
      <c r="G127" s="392">
        <v>18693</v>
      </c>
      <c r="H127" s="392">
        <v>18408</v>
      </c>
      <c r="I127" s="393">
        <f>H127/G127</f>
        <v>0.98475365109934199</v>
      </c>
      <c r="J127" s="392">
        <v>380</v>
      </c>
      <c r="K127" s="393">
        <f>J127/G127</f>
        <v>2.0328465200877333E-2</v>
      </c>
      <c r="L127" s="392">
        <v>15.450000000000001</v>
      </c>
      <c r="M127" s="393">
        <f>(H127+J127)/G127</f>
        <v>1.0050821163002193</v>
      </c>
      <c r="N127" s="394">
        <v>1467.75</v>
      </c>
      <c r="O127" s="392">
        <v>95</v>
      </c>
      <c r="P127" s="393">
        <f>O127/G127</f>
        <v>5.0821163002193331E-3</v>
      </c>
      <c r="Q127" s="395">
        <f>((H127+J127)-G127)-O127</f>
        <v>0</v>
      </c>
      <c r="R127" s="393">
        <f>Q127/G127</f>
        <v>0</v>
      </c>
      <c r="S127" s="396">
        <f>Q127*L127</f>
        <v>0</v>
      </c>
      <c r="T127" s="397" t="s">
        <v>432</v>
      </c>
      <c r="U127" s="397" t="s">
        <v>549</v>
      </c>
      <c r="V127" s="398"/>
      <c r="W127" s="398"/>
      <c r="X127" s="398">
        <v>1</v>
      </c>
      <c r="Y127" s="399" t="s">
        <v>343</v>
      </c>
      <c r="Z127" s="400" t="s">
        <v>492</v>
      </c>
      <c r="AA127" s="410">
        <f>SUM(X127:X146)</f>
        <v>20</v>
      </c>
      <c r="AB127" s="402">
        <f>SUMIF($U$127:$U$146,TRIM(AB126),$X$127:$X$146)</f>
        <v>16</v>
      </c>
      <c r="AC127" s="402">
        <f t="shared" ref="AC127:AH127" si="64">SUMIF($U$127:$U$146,TRIM(AC126),$X$127:$X$146)</f>
        <v>0</v>
      </c>
      <c r="AD127" s="402">
        <f t="shared" si="64"/>
        <v>3</v>
      </c>
      <c r="AE127" s="402">
        <f t="shared" si="64"/>
        <v>0</v>
      </c>
      <c r="AF127" s="402">
        <f t="shared" si="64"/>
        <v>0</v>
      </c>
      <c r="AG127" s="402">
        <f t="shared" si="64"/>
        <v>1</v>
      </c>
      <c r="AH127" s="402">
        <f t="shared" si="64"/>
        <v>0</v>
      </c>
    </row>
    <row r="128" spans="2:34" s="148" customFormat="1" ht="27" customHeight="1">
      <c r="B128" s="886"/>
      <c r="C128" s="887"/>
      <c r="D128" s="387">
        <v>2</v>
      </c>
      <c r="E128" s="390" t="s">
        <v>494</v>
      </c>
      <c r="F128" s="391">
        <v>1416.1</v>
      </c>
      <c r="G128" s="392">
        <v>133012</v>
      </c>
      <c r="H128" s="392">
        <v>133650</v>
      </c>
      <c r="I128" s="393">
        <f t="shared" ref="I128:I129" si="65">H128/G128</f>
        <v>1.0047965597088984</v>
      </c>
      <c r="J128" s="392">
        <v>690</v>
      </c>
      <c r="K128" s="393">
        <f t="shared" ref="K128:K133" si="66">J128/G128</f>
        <v>5.1875018795296667E-3</v>
      </c>
      <c r="L128" s="392">
        <v>2.4499999999999997</v>
      </c>
      <c r="M128" s="393">
        <f t="shared" ref="M128:M133" si="67">(H128+J128)/G128</f>
        <v>1.0099840615884281</v>
      </c>
      <c r="N128" s="394">
        <v>3253.6000000000008</v>
      </c>
      <c r="O128" s="392">
        <v>578</v>
      </c>
      <c r="P128" s="393">
        <f t="shared" ref="P128:P146" si="68">O128/G128</f>
        <v>4.3454725889393439E-3</v>
      </c>
      <c r="Q128" s="395">
        <f t="shared" ref="Q128:Q146" si="69">((H128+J128)-G128)-O128</f>
        <v>750</v>
      </c>
      <c r="R128" s="393">
        <f t="shared" ref="R128:R146" si="70">Q128/G128</f>
        <v>5.6385889994887677E-3</v>
      </c>
      <c r="S128" s="396">
        <f t="shared" ref="S128:S146" si="71">Q128*L128</f>
        <v>1837.4999999999998</v>
      </c>
      <c r="T128" s="397" t="s">
        <v>432</v>
      </c>
      <c r="U128" s="397" t="s">
        <v>341</v>
      </c>
      <c r="V128" s="397"/>
      <c r="W128" s="398"/>
      <c r="X128" s="398">
        <v>1</v>
      </c>
      <c r="Y128" s="399" t="s">
        <v>344</v>
      </c>
      <c r="AA128" s="411"/>
      <c r="AB128" s="408">
        <f>SUMIF($U$127:$U146,TRIM(AB126),$F$127:$F$146)</f>
        <v>17420.757000000005</v>
      </c>
      <c r="AC128" s="408">
        <f>SUMIF($U$127:$U146,TRIM(AC126),$F$127:$F$146)</f>
        <v>0</v>
      </c>
      <c r="AD128" s="408">
        <f>SUMIF($U$127:$U146,TRIM(AD126),$F$127:$F$146)</f>
        <v>3765.37</v>
      </c>
      <c r="AE128" s="408">
        <f>SUMIF($U$127:$U146,TRIM(AE126),$F$127:$F$146)</f>
        <v>0</v>
      </c>
      <c r="AF128" s="408">
        <f>SUMIF($U$127:$U146,TRIM(AF126),$F$127:$F$146)</f>
        <v>0</v>
      </c>
      <c r="AG128" s="408">
        <f>SUMIF($U$127:$U146,TRIM(AG126),$F$127:$F$146)</f>
        <v>1467.75</v>
      </c>
      <c r="AH128" s="408">
        <f>SUMIF($U$127:$U146,TRIM(AH126),$F$127:$F$146)</f>
        <v>0</v>
      </c>
    </row>
    <row r="129" spans="2:34" s="148" customFormat="1" ht="27" customHeight="1">
      <c r="B129" s="886"/>
      <c r="C129" s="887"/>
      <c r="D129" s="387">
        <v>3</v>
      </c>
      <c r="E129" s="390" t="s">
        <v>493</v>
      </c>
      <c r="F129" s="391">
        <v>1334.9699999999998</v>
      </c>
      <c r="G129" s="392">
        <v>329361</v>
      </c>
      <c r="H129" s="392">
        <v>331194</v>
      </c>
      <c r="I129" s="393">
        <f t="shared" si="65"/>
        <v>1.0055653219415779</v>
      </c>
      <c r="J129" s="392">
        <v>1110</v>
      </c>
      <c r="K129" s="393">
        <f t="shared" si="66"/>
        <v>3.3701622232140418E-3</v>
      </c>
      <c r="L129" s="392">
        <v>1.17</v>
      </c>
      <c r="M129" s="393">
        <f t="shared" si="67"/>
        <v>1.0089354841647917</v>
      </c>
      <c r="N129" s="394">
        <v>3443.3099999999995</v>
      </c>
      <c r="O129" s="392">
        <v>1141</v>
      </c>
      <c r="P129" s="393">
        <f t="shared" si="68"/>
        <v>3.4642838708893887E-3</v>
      </c>
      <c r="Q129" s="395">
        <f t="shared" si="69"/>
        <v>1802</v>
      </c>
      <c r="R129" s="393">
        <f t="shared" si="70"/>
        <v>5.4712002939024352E-3</v>
      </c>
      <c r="S129" s="396">
        <f t="shared" si="71"/>
        <v>2108.3399999999997</v>
      </c>
      <c r="T129" s="397" t="s">
        <v>432</v>
      </c>
      <c r="U129" s="397" t="s">
        <v>341</v>
      </c>
      <c r="V129" s="398"/>
      <c r="W129" s="398"/>
      <c r="X129" s="398">
        <v>1</v>
      </c>
      <c r="Y129" s="399" t="s">
        <v>344</v>
      </c>
      <c r="AA129" s="387"/>
      <c r="AB129" s="409">
        <f>AB127/$AA127</f>
        <v>0.8</v>
      </c>
      <c r="AC129" s="409">
        <f t="shared" ref="AC129:AH129" si="72">AC127/$AA127</f>
        <v>0</v>
      </c>
      <c r="AD129" s="409">
        <f t="shared" si="72"/>
        <v>0.15</v>
      </c>
      <c r="AE129" s="409">
        <f t="shared" si="72"/>
        <v>0</v>
      </c>
      <c r="AF129" s="409">
        <f t="shared" si="72"/>
        <v>0</v>
      </c>
      <c r="AG129" s="409">
        <f t="shared" si="72"/>
        <v>0.05</v>
      </c>
      <c r="AH129" s="409">
        <f t="shared" si="72"/>
        <v>0</v>
      </c>
    </row>
    <row r="130" spans="2:34" s="148" customFormat="1" ht="27" customHeight="1">
      <c r="B130" s="886"/>
      <c r="C130" s="887"/>
      <c r="D130" s="387">
        <v>4</v>
      </c>
      <c r="E130" s="390" t="s">
        <v>338</v>
      </c>
      <c r="F130" s="391">
        <v>1266.5297999999998</v>
      </c>
      <c r="G130" s="392">
        <v>556.61999999999989</v>
      </c>
      <c r="H130" s="392">
        <v>559.29</v>
      </c>
      <c r="I130" s="393">
        <f>H130/G130</f>
        <v>1.0047968093133557</v>
      </c>
      <c r="J130" s="392">
        <v>7.26</v>
      </c>
      <c r="K130" s="393">
        <f t="shared" si="66"/>
        <v>1.3043009593618629E-2</v>
      </c>
      <c r="L130" s="392">
        <v>141.66999999999999</v>
      </c>
      <c r="M130" s="393">
        <f t="shared" si="67"/>
        <v>1.0178398189069744</v>
      </c>
      <c r="N130" s="394">
        <v>1406.7831000000008</v>
      </c>
      <c r="O130" s="392">
        <v>8.94</v>
      </c>
      <c r="P130" s="393">
        <f t="shared" si="68"/>
        <v>1.606122668966261E-2</v>
      </c>
      <c r="Q130" s="395">
        <f t="shared" si="69"/>
        <v>0.99000000000006416</v>
      </c>
      <c r="R130" s="393">
        <f t="shared" si="70"/>
        <v>1.7785922173117466E-3</v>
      </c>
      <c r="S130" s="396">
        <f t="shared" si="71"/>
        <v>140.25330000000909</v>
      </c>
      <c r="T130" s="397" t="s">
        <v>432</v>
      </c>
      <c r="U130" s="397" t="s">
        <v>491</v>
      </c>
      <c r="V130" s="398"/>
      <c r="W130" s="398"/>
      <c r="X130" s="398">
        <v>1</v>
      </c>
      <c r="Y130" s="399" t="s">
        <v>346</v>
      </c>
    </row>
    <row r="131" spans="2:34" s="148" customFormat="1" ht="27" customHeight="1">
      <c r="B131" s="886"/>
      <c r="C131" s="887"/>
      <c r="D131" s="387">
        <v>5</v>
      </c>
      <c r="E131" s="390" t="s">
        <v>845</v>
      </c>
      <c r="F131" s="391">
        <v>1264.3548000000001</v>
      </c>
      <c r="G131" s="392">
        <v>1549.1</v>
      </c>
      <c r="H131" s="392">
        <v>1533.4199999999998</v>
      </c>
      <c r="I131" s="393">
        <f t="shared" ref="I131:I146" si="73">H131/G131</f>
        <v>0.98987799367374596</v>
      </c>
      <c r="J131" s="392">
        <v>32.340000000000003</v>
      </c>
      <c r="K131" s="393">
        <f t="shared" si="66"/>
        <v>2.0876638047898785E-2</v>
      </c>
      <c r="L131" s="392">
        <v>98.470000000000013</v>
      </c>
      <c r="M131" s="393">
        <f t="shared" si="67"/>
        <v>1.0107546317216447</v>
      </c>
      <c r="N131" s="394">
        <v>1640.5101999999997</v>
      </c>
      <c r="O131" s="392">
        <v>12.839999999999998</v>
      </c>
      <c r="P131" s="393">
        <f t="shared" si="68"/>
        <v>8.2886837518559159E-3</v>
      </c>
      <c r="Q131" s="395">
        <f t="shared" si="69"/>
        <v>3.8199999999998564</v>
      </c>
      <c r="R131" s="393">
        <f t="shared" si="70"/>
        <v>2.465947969788817E-3</v>
      </c>
      <c r="S131" s="396">
        <f t="shared" si="71"/>
        <v>376.15539999998589</v>
      </c>
      <c r="T131" s="397" t="s">
        <v>432</v>
      </c>
      <c r="U131" s="397" t="s">
        <v>491</v>
      </c>
      <c r="V131" s="398"/>
      <c r="W131" s="398"/>
      <c r="X131" s="398">
        <v>1</v>
      </c>
      <c r="Y131" s="399" t="s">
        <v>843</v>
      </c>
    </row>
    <row r="132" spans="2:34" s="148" customFormat="1" ht="27" customHeight="1">
      <c r="B132" s="886"/>
      <c r="C132" s="887"/>
      <c r="D132" s="387">
        <v>6</v>
      </c>
      <c r="E132" s="390" t="s">
        <v>846</v>
      </c>
      <c r="F132" s="391">
        <v>1167.4331999999999</v>
      </c>
      <c r="G132" s="392">
        <v>1770.3999999999999</v>
      </c>
      <c r="H132" s="392">
        <v>1694.88</v>
      </c>
      <c r="I132" s="393">
        <f t="shared" si="73"/>
        <v>0.95734297333935847</v>
      </c>
      <c r="J132" s="392">
        <v>85.960000000000008</v>
      </c>
      <c r="K132" s="393">
        <f t="shared" si="66"/>
        <v>4.8553999096249446E-2</v>
      </c>
      <c r="L132" s="392">
        <v>139.97999999999999</v>
      </c>
      <c r="M132" s="393">
        <f t="shared" si="67"/>
        <v>1.0058969724356079</v>
      </c>
      <c r="N132" s="394">
        <v>1461.3911999999914</v>
      </c>
      <c r="O132" s="392">
        <v>8.34</v>
      </c>
      <c r="P132" s="393">
        <f t="shared" si="68"/>
        <v>4.7107998192498874E-3</v>
      </c>
      <c r="Q132" s="395">
        <f t="shared" si="69"/>
        <v>2.1000000000002821</v>
      </c>
      <c r="R132" s="393">
        <f t="shared" si="70"/>
        <v>1.1861726163580446E-3</v>
      </c>
      <c r="S132" s="396">
        <f t="shared" si="71"/>
        <v>293.95800000003948</v>
      </c>
      <c r="T132" s="397" t="s">
        <v>432</v>
      </c>
      <c r="U132" s="397" t="s">
        <v>491</v>
      </c>
      <c r="V132" s="398"/>
      <c r="W132" s="398"/>
      <c r="X132" s="398">
        <v>1</v>
      </c>
      <c r="Y132" s="399" t="s">
        <v>843</v>
      </c>
    </row>
    <row r="133" spans="2:34" s="148" customFormat="1" ht="27" customHeight="1">
      <c r="B133" s="886"/>
      <c r="C133" s="887"/>
      <c r="D133" s="387">
        <v>7</v>
      </c>
      <c r="E133" s="390" t="s">
        <v>368</v>
      </c>
      <c r="F133" s="391">
        <v>1160.4144000000001</v>
      </c>
      <c r="G133" s="392">
        <v>235.97</v>
      </c>
      <c r="H133" s="392">
        <v>238.49</v>
      </c>
      <c r="I133" s="393">
        <f t="shared" si="73"/>
        <v>1.010679323642836</v>
      </c>
      <c r="J133" s="392">
        <v>3.86</v>
      </c>
      <c r="K133" s="393">
        <f t="shared" si="66"/>
        <v>1.6358011611645549E-2</v>
      </c>
      <c r="L133" s="392">
        <v>253.92000000000002</v>
      </c>
      <c r="M133" s="393">
        <f t="shared" si="67"/>
        <v>1.0270373352544817</v>
      </c>
      <c r="N133" s="394">
        <v>1620.0096000000017</v>
      </c>
      <c r="O133" s="392">
        <v>4.57</v>
      </c>
      <c r="P133" s="393">
        <f t="shared" si="68"/>
        <v>1.9366868669746157E-2</v>
      </c>
      <c r="Q133" s="395">
        <f t="shared" si="69"/>
        <v>1.8100000000000236</v>
      </c>
      <c r="R133" s="393">
        <f t="shared" si="70"/>
        <v>7.6704665847354475E-3</v>
      </c>
      <c r="S133" s="396">
        <f t="shared" si="71"/>
        <v>459.595200000006</v>
      </c>
      <c r="T133" s="397" t="s">
        <v>432</v>
      </c>
      <c r="U133" s="397" t="s">
        <v>491</v>
      </c>
      <c r="V133" s="398"/>
      <c r="W133" s="398"/>
      <c r="X133" s="398">
        <v>1</v>
      </c>
      <c r="Y133" s="399" t="s">
        <v>360</v>
      </c>
      <c r="AC133" s="403"/>
    </row>
    <row r="134" spans="2:34" s="148" customFormat="1" ht="27" customHeight="1">
      <c r="B134" s="886"/>
      <c r="C134" s="887"/>
      <c r="D134" s="387">
        <v>8</v>
      </c>
      <c r="E134" s="390" t="s">
        <v>367</v>
      </c>
      <c r="F134" s="391">
        <v>1151.4855</v>
      </c>
      <c r="G134" s="392">
        <v>292.14</v>
      </c>
      <c r="H134" s="392">
        <v>299.86</v>
      </c>
      <c r="I134" s="393">
        <f t="shared" si="73"/>
        <v>1.0264256863147807</v>
      </c>
      <c r="J134" s="392">
        <v>3.6900000000000004</v>
      </c>
      <c r="K134" s="393">
        <f>J134/G134</f>
        <v>1.2630930375847199E-2</v>
      </c>
      <c r="L134" s="392">
        <v>183.65000000000003</v>
      </c>
      <c r="M134" s="393">
        <f>(H134+J134)/G134</f>
        <v>1.0390566166906279</v>
      </c>
      <c r="N134" s="394">
        <v>2095.4464999999982</v>
      </c>
      <c r="O134" s="392">
        <v>6.27</v>
      </c>
      <c r="P134" s="393">
        <f t="shared" si="68"/>
        <v>2.146231258985418E-2</v>
      </c>
      <c r="Q134" s="395">
        <f t="shared" si="69"/>
        <v>5.1400000000000254</v>
      </c>
      <c r="R134" s="393">
        <f t="shared" si="70"/>
        <v>1.759430410077369E-2</v>
      </c>
      <c r="S134" s="396">
        <f t="shared" si="71"/>
        <v>943.9610000000049</v>
      </c>
      <c r="T134" s="397" t="s">
        <v>432</v>
      </c>
      <c r="U134" s="397" t="s">
        <v>491</v>
      </c>
      <c r="V134" s="434"/>
      <c r="W134" s="398"/>
      <c r="X134" s="398">
        <v>1</v>
      </c>
      <c r="Y134" s="399" t="s">
        <v>360</v>
      </c>
      <c r="AC134" s="403"/>
    </row>
    <row r="135" spans="2:34" s="148" customFormat="1" ht="27" customHeight="1">
      <c r="B135" s="886"/>
      <c r="C135" s="887"/>
      <c r="D135" s="387">
        <v>9</v>
      </c>
      <c r="E135" s="390" t="s">
        <v>480</v>
      </c>
      <c r="F135" s="391">
        <v>1106.0049000000001</v>
      </c>
      <c r="G135" s="392">
        <v>415.09</v>
      </c>
      <c r="H135" s="392">
        <v>419.52</v>
      </c>
      <c r="I135" s="393">
        <f t="shared" si="73"/>
        <v>1.0106723843021996</v>
      </c>
      <c r="J135" s="392">
        <v>5.3100000000000005</v>
      </c>
      <c r="K135" s="393">
        <f t="shared" ref="K135:K146" si="74">J135/G135</f>
        <v>1.2792406466067602E-2</v>
      </c>
      <c r="L135" s="392">
        <v>181.60999999999999</v>
      </c>
      <c r="M135" s="393">
        <f t="shared" ref="M135:M146" si="75">(H135+J135)/G135</f>
        <v>1.0234647907682672</v>
      </c>
      <c r="N135" s="394">
        <v>1768.8814000000004</v>
      </c>
      <c r="O135" s="392">
        <v>6.0900000000000007</v>
      </c>
      <c r="P135" s="393">
        <f t="shared" si="68"/>
        <v>1.4671517020405216E-2</v>
      </c>
      <c r="Q135" s="395">
        <f t="shared" si="69"/>
        <v>3.6500000000000083</v>
      </c>
      <c r="R135" s="393">
        <f t="shared" si="70"/>
        <v>8.7932737478619294E-3</v>
      </c>
      <c r="S135" s="396">
        <f t="shared" si="71"/>
        <v>662.87650000000144</v>
      </c>
      <c r="T135" s="397" t="s">
        <v>432</v>
      </c>
      <c r="U135" s="397" t="s">
        <v>491</v>
      </c>
      <c r="V135" s="398"/>
      <c r="W135" s="398"/>
      <c r="X135" s="398">
        <v>1</v>
      </c>
      <c r="Y135" s="399" t="s">
        <v>479</v>
      </c>
      <c r="AC135" s="403"/>
    </row>
    <row r="136" spans="2:34" s="148" customFormat="1" ht="27" customHeight="1">
      <c r="B136" s="886"/>
      <c r="C136" s="887"/>
      <c r="D136" s="387">
        <v>10</v>
      </c>
      <c r="E136" s="390" t="s">
        <v>436</v>
      </c>
      <c r="F136" s="391">
        <v>1073.5159999999998</v>
      </c>
      <c r="G136" s="392">
        <v>1567.4999999999998</v>
      </c>
      <c r="H136" s="392">
        <v>1573.4299999999998</v>
      </c>
      <c r="I136" s="393">
        <f t="shared" si="73"/>
        <v>1.0037830940988837</v>
      </c>
      <c r="J136" s="392">
        <v>9.1999999999999993</v>
      </c>
      <c r="K136" s="393">
        <f t="shared" si="74"/>
        <v>5.8692185007974485E-3</v>
      </c>
      <c r="L136" s="392">
        <v>157.87000000000003</v>
      </c>
      <c r="M136" s="393">
        <f t="shared" si="75"/>
        <v>1.009652312599681</v>
      </c>
      <c r="N136" s="394">
        <v>2388.5731000000037</v>
      </c>
      <c r="O136" s="392">
        <v>6.8000000000000007</v>
      </c>
      <c r="P136" s="393">
        <f t="shared" si="68"/>
        <v>4.3381180223285498E-3</v>
      </c>
      <c r="Q136" s="395">
        <f t="shared" si="69"/>
        <v>8.3300000000001084</v>
      </c>
      <c r="R136" s="393">
        <f t="shared" si="70"/>
        <v>5.314194577352542E-3</v>
      </c>
      <c r="S136" s="396">
        <f t="shared" si="71"/>
        <v>1315.0571000000175</v>
      </c>
      <c r="T136" s="397" t="s">
        <v>432</v>
      </c>
      <c r="U136" s="397" t="s">
        <v>491</v>
      </c>
      <c r="V136" s="398"/>
      <c r="W136" s="398"/>
      <c r="X136" s="398">
        <v>1</v>
      </c>
      <c r="Y136" s="399" t="s">
        <v>344</v>
      </c>
      <c r="AC136" s="403"/>
    </row>
    <row r="137" spans="2:34" s="148" customFormat="1" ht="27" customHeight="1">
      <c r="B137" s="886"/>
      <c r="C137" s="887"/>
      <c r="D137" s="387">
        <v>11</v>
      </c>
      <c r="E137" s="390" t="s">
        <v>655</v>
      </c>
      <c r="F137" s="391">
        <v>1048.4370000000001</v>
      </c>
      <c r="G137" s="392">
        <v>185.54</v>
      </c>
      <c r="H137" s="392">
        <v>190.96</v>
      </c>
      <c r="I137" s="393">
        <f t="shared" si="73"/>
        <v>1.0292120297509972</v>
      </c>
      <c r="J137" s="392">
        <v>1.7</v>
      </c>
      <c r="K137" s="393">
        <f t="shared" si="74"/>
        <v>9.1624447558477963E-3</v>
      </c>
      <c r="L137" s="392">
        <v>203.57999999999998</v>
      </c>
      <c r="M137" s="393">
        <f t="shared" si="75"/>
        <v>1.0383744745068448</v>
      </c>
      <c r="N137" s="394">
        <v>1449.4896000000003</v>
      </c>
      <c r="O137" s="392">
        <v>5.15</v>
      </c>
      <c r="P137" s="393">
        <f t="shared" si="68"/>
        <v>2.7756817936833031E-2</v>
      </c>
      <c r="Q137" s="395">
        <f t="shared" si="69"/>
        <v>1.9700000000000042</v>
      </c>
      <c r="R137" s="393">
        <f t="shared" si="70"/>
        <v>1.0617656570011881E-2</v>
      </c>
      <c r="S137" s="396">
        <f t="shared" si="71"/>
        <v>401.05260000000084</v>
      </c>
      <c r="T137" s="397" t="s">
        <v>432</v>
      </c>
      <c r="U137" s="397" t="s">
        <v>491</v>
      </c>
      <c r="V137" s="398"/>
      <c r="W137" s="398"/>
      <c r="X137" s="398">
        <v>1</v>
      </c>
      <c r="Y137" s="399" t="s">
        <v>346</v>
      </c>
      <c r="AC137" s="403"/>
    </row>
    <row r="138" spans="2:34" s="148" customFormat="1" ht="27" customHeight="1">
      <c r="B138" s="886"/>
      <c r="C138" s="887"/>
      <c r="D138" s="387">
        <v>12</v>
      </c>
      <c r="E138" s="390" t="s">
        <v>656</v>
      </c>
      <c r="F138" s="391">
        <v>1040.298</v>
      </c>
      <c r="G138" s="392">
        <v>529.13000000000011</v>
      </c>
      <c r="H138" s="392">
        <v>540.48</v>
      </c>
      <c r="I138" s="393">
        <f t="shared" si="73"/>
        <v>1.0214503052179993</v>
      </c>
      <c r="J138" s="392">
        <v>0</v>
      </c>
      <c r="K138" s="393">
        <f t="shared" si="74"/>
        <v>0</v>
      </c>
      <c r="L138" s="392">
        <v>110.66999999999999</v>
      </c>
      <c r="M138" s="393">
        <f t="shared" si="75"/>
        <v>1.0214503052179993</v>
      </c>
      <c r="N138" s="394">
        <v>1256.1044999999995</v>
      </c>
      <c r="O138" s="392">
        <v>9.4</v>
      </c>
      <c r="P138" s="393">
        <f t="shared" si="68"/>
        <v>1.7765010488915763E-2</v>
      </c>
      <c r="Q138" s="395">
        <f t="shared" si="69"/>
        <v>1.9499999999999087</v>
      </c>
      <c r="R138" s="393">
        <f t="shared" si="70"/>
        <v>3.6852947290834169E-3</v>
      </c>
      <c r="S138" s="396">
        <f t="shared" si="71"/>
        <v>215.80649999998988</v>
      </c>
      <c r="T138" s="397" t="s">
        <v>432</v>
      </c>
      <c r="U138" s="397" t="s">
        <v>491</v>
      </c>
      <c r="V138" s="398"/>
      <c r="W138" s="398"/>
      <c r="X138" s="398">
        <v>1</v>
      </c>
      <c r="Y138" s="399" t="s">
        <v>540</v>
      </c>
      <c r="AA138" s="890" t="s">
        <v>249</v>
      </c>
      <c r="AB138" s="891"/>
      <c r="AC138" s="891"/>
      <c r="AD138" s="891"/>
      <c r="AE138" s="891"/>
      <c r="AF138" s="891"/>
      <c r="AG138" s="891"/>
      <c r="AH138" s="892"/>
    </row>
    <row r="139" spans="2:34" s="148" customFormat="1" ht="27" customHeight="1">
      <c r="B139" s="886"/>
      <c r="C139" s="887"/>
      <c r="D139" s="387">
        <v>13</v>
      </c>
      <c r="E139" s="390" t="s">
        <v>756</v>
      </c>
      <c r="F139" s="391">
        <v>1033.7229</v>
      </c>
      <c r="G139" s="392">
        <v>470.92</v>
      </c>
      <c r="H139" s="392">
        <v>471.48</v>
      </c>
      <c r="I139" s="393">
        <f t="shared" si="73"/>
        <v>1.0011891616410431</v>
      </c>
      <c r="J139" s="392">
        <v>5.6</v>
      </c>
      <c r="K139" s="393">
        <f t="shared" si="74"/>
        <v>1.1891616410430645E-2</v>
      </c>
      <c r="L139" s="392">
        <v>370.50999999999993</v>
      </c>
      <c r="M139" s="393">
        <f t="shared" si="75"/>
        <v>1.0130807780514737</v>
      </c>
      <c r="N139" s="394">
        <v>2282.3415999999906</v>
      </c>
      <c r="O139" s="392">
        <v>2.79</v>
      </c>
      <c r="P139" s="393">
        <f t="shared" si="68"/>
        <v>5.9245731759109826E-3</v>
      </c>
      <c r="Q139" s="395">
        <f t="shared" si="69"/>
        <v>3.370000000000025</v>
      </c>
      <c r="R139" s="393">
        <f t="shared" si="70"/>
        <v>7.1562048755627813E-3</v>
      </c>
      <c r="S139" s="396">
        <f t="shared" si="71"/>
        <v>1248.6187000000091</v>
      </c>
      <c r="T139" s="397" t="s">
        <v>432</v>
      </c>
      <c r="U139" s="397" t="s">
        <v>491</v>
      </c>
      <c r="V139" s="398"/>
      <c r="W139" s="398"/>
      <c r="X139" s="398">
        <v>1</v>
      </c>
      <c r="Y139" s="399" t="s">
        <v>363</v>
      </c>
      <c r="AA139" s="893"/>
      <c r="AB139" s="894"/>
      <c r="AC139" s="894"/>
      <c r="AD139" s="894"/>
      <c r="AE139" s="894"/>
      <c r="AF139" s="894"/>
      <c r="AG139" s="894"/>
      <c r="AH139" s="895"/>
    </row>
    <row r="140" spans="2:34" s="148" customFormat="1" ht="27" customHeight="1">
      <c r="B140" s="886"/>
      <c r="C140" s="887"/>
      <c r="D140" s="387">
        <v>14</v>
      </c>
      <c r="E140" s="390" t="s">
        <v>847</v>
      </c>
      <c r="F140" s="391">
        <v>1030.8368</v>
      </c>
      <c r="G140" s="392">
        <v>176.58999999999997</v>
      </c>
      <c r="H140" s="392">
        <v>180.09</v>
      </c>
      <c r="I140" s="393">
        <f t="shared" si="73"/>
        <v>1.0198199218528796</v>
      </c>
      <c r="J140" s="392">
        <v>3.54</v>
      </c>
      <c r="K140" s="393">
        <f t="shared" si="74"/>
        <v>2.0046435245483891E-2</v>
      </c>
      <c r="L140" s="392">
        <v>207.82999999999998</v>
      </c>
      <c r="M140" s="393">
        <f t="shared" si="75"/>
        <v>1.0398663570983635</v>
      </c>
      <c r="N140" s="394">
        <v>1463.1231999999986</v>
      </c>
      <c r="O140" s="392">
        <v>4.9599999999999991</v>
      </c>
      <c r="P140" s="393">
        <f t="shared" si="68"/>
        <v>2.8087660682937877E-2</v>
      </c>
      <c r="Q140" s="395">
        <f t="shared" si="69"/>
        <v>2.0800000000000214</v>
      </c>
      <c r="R140" s="393">
        <f t="shared" si="70"/>
        <v>1.1778696415425685E-2</v>
      </c>
      <c r="S140" s="396">
        <f t="shared" si="71"/>
        <v>432.28640000000439</v>
      </c>
      <c r="T140" s="397" t="s">
        <v>432</v>
      </c>
      <c r="U140" s="397" t="s">
        <v>491</v>
      </c>
      <c r="V140" s="398"/>
      <c r="W140" s="398"/>
      <c r="X140" s="398">
        <v>1</v>
      </c>
      <c r="Y140" s="399" t="s">
        <v>363</v>
      </c>
      <c r="AA140" s="896"/>
      <c r="AB140" s="897"/>
      <c r="AC140" s="897"/>
      <c r="AD140" s="897"/>
      <c r="AE140" s="897"/>
      <c r="AF140" s="897"/>
      <c r="AG140" s="897"/>
      <c r="AH140" s="898"/>
    </row>
    <row r="141" spans="2:34" s="148" customFormat="1" ht="27" customHeight="1">
      <c r="B141" s="886"/>
      <c r="C141" s="887"/>
      <c r="D141" s="387">
        <v>15</v>
      </c>
      <c r="E141" s="390" t="s">
        <v>780</v>
      </c>
      <c r="F141" s="391">
        <v>1029.4928000000002</v>
      </c>
      <c r="G141" s="392">
        <v>69.58</v>
      </c>
      <c r="H141" s="392">
        <v>72.91</v>
      </c>
      <c r="I141" s="393">
        <f t="shared" si="73"/>
        <v>1.047858580051739</v>
      </c>
      <c r="J141" s="392">
        <v>3.58</v>
      </c>
      <c r="K141" s="393">
        <f t="shared" si="74"/>
        <v>5.1451566542109806E-2</v>
      </c>
      <c r="L141" s="392">
        <v>216.28</v>
      </c>
      <c r="M141" s="393">
        <f t="shared" si="75"/>
        <v>1.0993101465938488</v>
      </c>
      <c r="N141" s="394">
        <v>1494.4947999999999</v>
      </c>
      <c r="O141" s="392">
        <v>4.76</v>
      </c>
      <c r="P141" s="393">
        <f t="shared" si="68"/>
        <v>6.8410462776659964E-2</v>
      </c>
      <c r="Q141" s="395">
        <f t="shared" si="69"/>
        <v>2.1499999999999968</v>
      </c>
      <c r="R141" s="393">
        <f t="shared" si="70"/>
        <v>3.0899683817188803E-2</v>
      </c>
      <c r="S141" s="396">
        <f t="shared" si="71"/>
        <v>465.00199999999933</v>
      </c>
      <c r="T141" s="397" t="s">
        <v>432</v>
      </c>
      <c r="U141" s="397" t="s">
        <v>491</v>
      </c>
      <c r="V141" s="397"/>
      <c r="W141" s="398"/>
      <c r="X141" s="398">
        <v>1</v>
      </c>
      <c r="Y141" s="399" t="s">
        <v>346</v>
      </c>
      <c r="AA141" s="161" t="s">
        <v>246</v>
      </c>
      <c r="AB141" s="161" t="s">
        <v>491</v>
      </c>
      <c r="AC141" s="156" t="s">
        <v>397</v>
      </c>
      <c r="AD141" s="156" t="s">
        <v>341</v>
      </c>
      <c r="AE141" s="156" t="s">
        <v>465</v>
      </c>
      <c r="AF141" s="156" t="s">
        <v>217</v>
      </c>
      <c r="AG141" s="156" t="s">
        <v>218</v>
      </c>
      <c r="AH141" s="156" t="s">
        <v>398</v>
      </c>
    </row>
    <row r="142" spans="2:34" s="148" customFormat="1" ht="27" customHeight="1">
      <c r="B142" s="886"/>
      <c r="C142" s="887"/>
      <c r="D142" s="387">
        <v>16</v>
      </c>
      <c r="E142" s="390" t="s">
        <v>369</v>
      </c>
      <c r="F142" s="391">
        <v>1015.7874999999998</v>
      </c>
      <c r="G142" s="392">
        <v>1078.07</v>
      </c>
      <c r="H142" s="392">
        <v>1090.1400000000001</v>
      </c>
      <c r="I142" s="393">
        <f t="shared" si="73"/>
        <v>1.0111959334737077</v>
      </c>
      <c r="J142" s="392">
        <v>1.08</v>
      </c>
      <c r="K142" s="393">
        <f t="shared" si="74"/>
        <v>1.0017902362555308E-3</v>
      </c>
      <c r="L142" s="392">
        <v>152.75</v>
      </c>
      <c r="M142" s="393">
        <f t="shared" si="75"/>
        <v>1.0121977237099633</v>
      </c>
      <c r="N142" s="394">
        <v>2008.6625000000008</v>
      </c>
      <c r="O142" s="392">
        <v>6.65</v>
      </c>
      <c r="P142" s="393">
        <f t="shared" si="68"/>
        <v>6.168430621388222E-3</v>
      </c>
      <c r="Q142" s="395">
        <f t="shared" si="69"/>
        <v>6.5000000000000906</v>
      </c>
      <c r="R142" s="393">
        <f t="shared" si="70"/>
        <v>6.0292930885750377E-3</v>
      </c>
      <c r="S142" s="396">
        <f t="shared" si="71"/>
        <v>992.87500000001387</v>
      </c>
      <c r="T142" s="397" t="s">
        <v>432</v>
      </c>
      <c r="U142" s="397" t="s">
        <v>491</v>
      </c>
      <c r="V142" s="398"/>
      <c r="W142" s="398"/>
      <c r="X142" s="398">
        <v>1</v>
      </c>
      <c r="Y142" s="399" t="s">
        <v>372</v>
      </c>
      <c r="Z142" s="448" t="s">
        <v>601</v>
      </c>
      <c r="AA142" s="410">
        <f>AA31+AA55+AA79+AA103</f>
        <v>80</v>
      </c>
      <c r="AB142" s="410">
        <f>AB31+AB55+AB79+AB103</f>
        <v>65</v>
      </c>
      <c r="AC142" s="410">
        <f t="shared" ref="AC142:AH142" si="76">AC31+AC55+AC79+AC103</f>
        <v>0</v>
      </c>
      <c r="AD142" s="410">
        <f t="shared" si="76"/>
        <v>9</v>
      </c>
      <c r="AE142" s="410">
        <f t="shared" si="76"/>
        <v>0</v>
      </c>
      <c r="AF142" s="410">
        <f t="shared" si="76"/>
        <v>3</v>
      </c>
      <c r="AG142" s="410">
        <f t="shared" si="76"/>
        <v>3</v>
      </c>
      <c r="AH142" s="410">
        <f t="shared" si="76"/>
        <v>0</v>
      </c>
    </row>
    <row r="143" spans="2:34" s="148" customFormat="1" ht="27" customHeight="1">
      <c r="B143" s="886"/>
      <c r="C143" s="887"/>
      <c r="D143" s="387">
        <v>17</v>
      </c>
      <c r="E143" s="390" t="s">
        <v>581</v>
      </c>
      <c r="F143" s="391">
        <v>1015.2799999999999</v>
      </c>
      <c r="G143" s="392">
        <v>202.95</v>
      </c>
      <c r="H143" s="392">
        <v>209</v>
      </c>
      <c r="I143" s="393">
        <f t="shared" si="73"/>
        <v>1.0298102981029811</v>
      </c>
      <c r="J143" s="392">
        <v>4.5999999999999996</v>
      </c>
      <c r="K143" s="393">
        <f t="shared" si="74"/>
        <v>2.2665681202266568E-2</v>
      </c>
      <c r="L143" s="392">
        <v>145.04</v>
      </c>
      <c r="M143" s="393">
        <f t="shared" si="75"/>
        <v>1.0524759793052476</v>
      </c>
      <c r="N143" s="394">
        <v>1544.6760000000008</v>
      </c>
      <c r="O143" s="392">
        <v>7</v>
      </c>
      <c r="P143" s="393">
        <f t="shared" si="68"/>
        <v>3.4491254003449129E-2</v>
      </c>
      <c r="Q143" s="395">
        <f t="shared" si="69"/>
        <v>3.6500000000000057</v>
      </c>
      <c r="R143" s="393">
        <f t="shared" si="70"/>
        <v>1.7984725301798503E-2</v>
      </c>
      <c r="S143" s="396">
        <f t="shared" si="71"/>
        <v>529.39600000000075</v>
      </c>
      <c r="T143" s="397" t="s">
        <v>432</v>
      </c>
      <c r="U143" s="397" t="s">
        <v>491</v>
      </c>
      <c r="V143" s="398"/>
      <c r="W143" s="398"/>
      <c r="X143" s="398">
        <v>1</v>
      </c>
      <c r="Y143" s="399" t="s">
        <v>345</v>
      </c>
      <c r="AA143" s="411"/>
      <c r="AB143" s="408">
        <f>AB32+AB56+AB80+AB104</f>
        <v>68275.290399999998</v>
      </c>
      <c r="AC143" s="408">
        <f t="shared" ref="AC143:AH143" si="77">AC32+AC56+AC80+AC104</f>
        <v>0</v>
      </c>
      <c r="AD143" s="408">
        <f t="shared" si="77"/>
        <v>12553.388799999999</v>
      </c>
      <c r="AE143" s="408">
        <f t="shared" si="77"/>
        <v>0</v>
      </c>
      <c r="AF143" s="408">
        <f t="shared" si="77"/>
        <v>3091.2</v>
      </c>
      <c r="AG143" s="408">
        <f t="shared" si="77"/>
        <v>3893.3999999999996</v>
      </c>
      <c r="AH143" s="408">
        <f t="shared" si="77"/>
        <v>0</v>
      </c>
    </row>
    <row r="144" spans="2:34" s="148" customFormat="1" ht="27" customHeight="1">
      <c r="B144" s="886"/>
      <c r="C144" s="887"/>
      <c r="D144" s="387">
        <v>18</v>
      </c>
      <c r="E144" s="390" t="s">
        <v>848</v>
      </c>
      <c r="F144" s="391">
        <v>1014.3000000000002</v>
      </c>
      <c r="G144" s="392">
        <v>22130</v>
      </c>
      <c r="H144" s="392">
        <v>22063</v>
      </c>
      <c r="I144" s="393">
        <f t="shared" si="73"/>
        <v>0.99697243560777227</v>
      </c>
      <c r="J144" s="392">
        <v>130</v>
      </c>
      <c r="K144" s="393">
        <f t="shared" si="74"/>
        <v>5.8743786714866696E-3</v>
      </c>
      <c r="L144" s="392">
        <v>16.099999999999998</v>
      </c>
      <c r="M144" s="393">
        <f t="shared" si="75"/>
        <v>1.0028468142792588</v>
      </c>
      <c r="N144" s="394">
        <v>1014.3000000000002</v>
      </c>
      <c r="O144" s="392">
        <v>63</v>
      </c>
      <c r="P144" s="393">
        <f t="shared" si="68"/>
        <v>2.8468142792589246E-3</v>
      </c>
      <c r="Q144" s="395">
        <f t="shared" si="69"/>
        <v>0</v>
      </c>
      <c r="R144" s="393">
        <f t="shared" si="70"/>
        <v>0</v>
      </c>
      <c r="S144" s="396">
        <f t="shared" si="71"/>
        <v>0</v>
      </c>
      <c r="T144" s="397" t="s">
        <v>432</v>
      </c>
      <c r="U144" s="397" t="s">
        <v>341</v>
      </c>
      <c r="V144" s="421"/>
      <c r="W144" s="398"/>
      <c r="X144" s="398">
        <v>1</v>
      </c>
      <c r="Y144" s="399" t="s">
        <v>843</v>
      </c>
      <c r="AA144" s="387"/>
      <c r="AB144" s="409">
        <f>AB142/$AA142</f>
        <v>0.8125</v>
      </c>
      <c r="AC144" s="409">
        <f t="shared" ref="AC144:AH144" si="78">AC142/$AA142</f>
        <v>0</v>
      </c>
      <c r="AD144" s="409">
        <f t="shared" si="78"/>
        <v>0.1125</v>
      </c>
      <c r="AE144" s="409">
        <f t="shared" si="78"/>
        <v>0</v>
      </c>
      <c r="AF144" s="409">
        <f t="shared" si="78"/>
        <v>3.7499999999999999E-2</v>
      </c>
      <c r="AG144" s="409">
        <f t="shared" si="78"/>
        <v>3.7499999999999999E-2</v>
      </c>
      <c r="AH144" s="409">
        <f t="shared" si="78"/>
        <v>0</v>
      </c>
    </row>
    <row r="145" spans="2:29" s="148" customFormat="1" ht="27" customHeight="1">
      <c r="B145" s="886"/>
      <c r="C145" s="887"/>
      <c r="D145" s="387">
        <v>19</v>
      </c>
      <c r="E145" s="390" t="s">
        <v>697</v>
      </c>
      <c r="F145" s="391">
        <v>1013.6825999999999</v>
      </c>
      <c r="G145" s="392">
        <v>101.79999999999998</v>
      </c>
      <c r="H145" s="392">
        <v>103.71000000000001</v>
      </c>
      <c r="I145" s="393">
        <f t="shared" si="73"/>
        <v>1.0187622789783892</v>
      </c>
      <c r="J145" s="392">
        <v>0.91</v>
      </c>
      <c r="K145" s="393">
        <f t="shared" si="74"/>
        <v>8.9390962671905723E-3</v>
      </c>
      <c r="L145" s="392">
        <v>536.34</v>
      </c>
      <c r="M145" s="393">
        <f t="shared" si="75"/>
        <v>1.0277013752455797</v>
      </c>
      <c r="N145" s="394">
        <v>1512.4788000000012</v>
      </c>
      <c r="O145" s="392">
        <v>1.8900000000000001</v>
      </c>
      <c r="P145" s="393">
        <f t="shared" si="68"/>
        <v>1.8565815324165034E-2</v>
      </c>
      <c r="Q145" s="395">
        <f t="shared" si="69"/>
        <v>0.93000000000002148</v>
      </c>
      <c r="R145" s="393">
        <f t="shared" si="70"/>
        <v>9.1355599214147515E-3</v>
      </c>
      <c r="S145" s="396">
        <f t="shared" si="71"/>
        <v>498.79620000001154</v>
      </c>
      <c r="T145" s="397" t="s">
        <v>432</v>
      </c>
      <c r="U145" s="397" t="s">
        <v>491</v>
      </c>
      <c r="V145" s="398"/>
      <c r="W145" s="398"/>
      <c r="X145" s="398">
        <v>1</v>
      </c>
      <c r="Y145" s="399" t="s">
        <v>347</v>
      </c>
      <c r="AB145" s="406"/>
      <c r="AC145" s="403"/>
    </row>
    <row r="146" spans="2:29" s="148" customFormat="1" ht="27" customHeight="1">
      <c r="B146" s="888"/>
      <c r="C146" s="889"/>
      <c r="D146" s="387">
        <v>20</v>
      </c>
      <c r="E146" s="390" t="s">
        <v>849</v>
      </c>
      <c r="F146" s="391">
        <v>1003.4807999999998</v>
      </c>
      <c r="G146" s="392">
        <v>243.93</v>
      </c>
      <c r="H146" s="392">
        <v>243.41000000000003</v>
      </c>
      <c r="I146" s="393">
        <f t="shared" si="73"/>
        <v>0.99786824088877968</v>
      </c>
      <c r="J146" s="392">
        <v>10.59</v>
      </c>
      <c r="K146" s="393">
        <f t="shared" si="74"/>
        <v>4.3414094207354564E-2</v>
      </c>
      <c r="L146" s="392">
        <v>155.81999999999996</v>
      </c>
      <c r="M146" s="393">
        <f t="shared" si="75"/>
        <v>1.0412823350961342</v>
      </c>
      <c r="N146" s="394">
        <v>1569.1074000000006</v>
      </c>
      <c r="O146" s="392">
        <v>6.44</v>
      </c>
      <c r="P146" s="393">
        <f t="shared" si="68"/>
        <v>2.6401016685114582E-2</v>
      </c>
      <c r="Q146" s="395">
        <f t="shared" si="69"/>
        <v>3.6300000000000212</v>
      </c>
      <c r="R146" s="393">
        <f t="shared" si="70"/>
        <v>1.4881318411019641E-2</v>
      </c>
      <c r="S146" s="396">
        <f t="shared" si="71"/>
        <v>565.62660000000312</v>
      </c>
      <c r="T146" s="397" t="s">
        <v>432</v>
      </c>
      <c r="U146" s="397" t="s">
        <v>491</v>
      </c>
      <c r="V146" s="398"/>
      <c r="W146" s="398"/>
      <c r="X146" s="398">
        <v>1</v>
      </c>
      <c r="Y146" s="399" t="s">
        <v>610</v>
      </c>
      <c r="AB146" s="406"/>
      <c r="AC146" s="403"/>
    </row>
    <row r="150" spans="2:29" ht="14.15" customHeight="1"/>
    <row r="160" spans="2:29" ht="14.15" customHeight="1"/>
    <row r="170" ht="14.15" customHeight="1"/>
    <row r="180" ht="14.15" customHeight="1"/>
    <row r="190" ht="14.15" customHeight="1"/>
    <row r="200" ht="14.15" customHeight="1"/>
  </sheetData>
  <mergeCells count="122"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P101"/>
    <mergeCell ref="Q101:S101"/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  <mergeCell ref="B27:C30"/>
    <mergeCell ref="D27:F27"/>
    <mergeCell ref="G27:S27"/>
    <mergeCell ref="AA27:AH29"/>
    <mergeCell ref="B2:Y2"/>
    <mergeCell ref="E5:E6"/>
    <mergeCell ref="F5:F6"/>
    <mergeCell ref="G5:N5"/>
    <mergeCell ref="O5:P5"/>
    <mergeCell ref="Q5:S5"/>
    <mergeCell ref="B7:C26"/>
    <mergeCell ref="V3:V6"/>
    <mergeCell ref="W3:W6"/>
    <mergeCell ref="X3:X6"/>
    <mergeCell ref="Y3:Y6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P77"/>
    <mergeCell ref="Q77:S77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B127:C146"/>
    <mergeCell ref="AA138:AH140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P125"/>
    <mergeCell ref="Q125:S125"/>
    <mergeCell ref="B123:C126"/>
    <mergeCell ref="D123:F123"/>
    <mergeCell ref="G123:S123"/>
    <mergeCell ref="T123:T126"/>
    <mergeCell ref="U123:U126"/>
    <mergeCell ref="V123:V126"/>
    <mergeCell ref="W123:W126"/>
    <mergeCell ref="X123:X126"/>
    <mergeCell ref="Y123:Y126"/>
  </mergeCells>
  <phoneticPr fontId="16" type="noConversion"/>
  <dataValidations count="1">
    <dataValidation type="list" allowBlank="1" showInputMessage="1" showErrorMessage="1" sqref="U99:U102 T1:U6 U27:U30 U51:U54 U75:U78 U19 T7:T1048576 U147:U1048576 U123:U126 U36 U61 U84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5">
    <tabColor rgb="FF92D050"/>
    <pageSetUpPr fitToPage="1"/>
  </sheetPr>
  <dimension ref="B2:AH200"/>
  <sheetViews>
    <sheetView zoomScale="70" zoomScaleNormal="70" workbookViewId="0">
      <pane xSplit="4" ySplit="2" topLeftCell="E124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U146" sqref="U146"/>
    </sheetView>
  </sheetViews>
  <sheetFormatPr defaultColWidth="8.81640625" defaultRowHeight="16"/>
  <cols>
    <col min="1" max="1" width="8.81640625" style="146"/>
    <col min="2" max="2" width="12.453125" style="146" customWidth="1"/>
    <col min="3" max="3" width="8.81640625" style="146"/>
    <col min="4" max="4" width="11.54296875" style="146" customWidth="1"/>
    <col min="5" max="5" width="39.26953125" style="146" bestFit="1" customWidth="1"/>
    <col min="6" max="6" width="11.453125" style="146" bestFit="1" customWidth="1"/>
    <col min="7" max="8" width="15.81640625" style="146" bestFit="1" customWidth="1"/>
    <col min="9" max="9" width="16.81640625" style="146" customWidth="1"/>
    <col min="10" max="10" width="14" style="146" customWidth="1"/>
    <col min="11" max="11" width="11.54296875" style="146" bestFit="1" customWidth="1"/>
    <col min="12" max="12" width="12.26953125" style="146" bestFit="1" customWidth="1"/>
    <col min="13" max="13" width="19.1796875" style="146" bestFit="1" customWidth="1"/>
    <col min="14" max="14" width="15.26953125" style="146" bestFit="1" customWidth="1"/>
    <col min="15" max="15" width="12.26953125" style="146" bestFit="1" customWidth="1"/>
    <col min="16" max="16" width="12.54296875" style="146" bestFit="1" customWidth="1"/>
    <col min="17" max="17" width="9.1796875" style="146" bestFit="1" customWidth="1"/>
    <col min="18" max="18" width="12.26953125" style="146" bestFit="1" customWidth="1"/>
    <col min="19" max="19" width="12.54296875" style="146" bestFit="1" customWidth="1"/>
    <col min="20" max="20" width="12.453125" style="146" bestFit="1" customWidth="1"/>
    <col min="21" max="21" width="25.26953125" style="146" bestFit="1" customWidth="1"/>
    <col min="22" max="22" width="88.26953125" style="146" customWidth="1"/>
    <col min="23" max="23" width="145" style="146" bestFit="1" customWidth="1"/>
    <col min="24" max="24" width="7.453125" style="146" bestFit="1" customWidth="1"/>
    <col min="25" max="25" width="69.54296875" style="146" bestFit="1" customWidth="1"/>
    <col min="26" max="26" width="11.453125" style="146" bestFit="1" customWidth="1"/>
    <col min="27" max="27" width="21.54296875" style="146" customWidth="1"/>
    <col min="28" max="28" width="19.453125" style="146" bestFit="1" customWidth="1"/>
    <col min="29" max="34" width="14.453125" style="146" customWidth="1"/>
    <col min="35" max="16384" width="8.81640625" style="146"/>
  </cols>
  <sheetData>
    <row r="2" spans="2:34" ht="41.15" customHeight="1">
      <c r="B2" s="915" t="s">
        <v>495</v>
      </c>
      <c r="C2" s="916"/>
      <c r="D2" s="916"/>
      <c r="E2" s="916"/>
      <c r="F2" s="916"/>
      <c r="G2" s="916"/>
      <c r="H2" s="916"/>
      <c r="I2" s="916"/>
      <c r="J2" s="916"/>
      <c r="K2" s="916"/>
      <c r="L2" s="916"/>
      <c r="M2" s="916"/>
      <c r="N2" s="916"/>
      <c r="O2" s="916"/>
      <c r="P2" s="916"/>
      <c r="Q2" s="916"/>
      <c r="R2" s="916"/>
      <c r="S2" s="916"/>
      <c r="T2" s="916"/>
      <c r="U2" s="916"/>
      <c r="V2" s="916"/>
      <c r="W2" s="916"/>
      <c r="X2" s="916"/>
      <c r="Y2" s="916"/>
      <c r="AA2" s="147"/>
      <c r="AB2" s="147"/>
    </row>
    <row r="3" spans="2:34" ht="16.5" customHeight="1">
      <c r="B3" s="903" t="s">
        <v>488</v>
      </c>
      <c r="C3" s="904"/>
      <c r="D3" s="900" t="s">
        <v>172</v>
      </c>
      <c r="E3" s="900"/>
      <c r="F3" s="900"/>
      <c r="G3" s="900" t="s">
        <v>186</v>
      </c>
      <c r="H3" s="900"/>
      <c r="I3" s="900"/>
      <c r="J3" s="900"/>
      <c r="K3" s="900"/>
      <c r="L3" s="900"/>
      <c r="M3" s="900"/>
      <c r="N3" s="900"/>
      <c r="O3" s="900"/>
      <c r="P3" s="900"/>
      <c r="Q3" s="900"/>
      <c r="R3" s="900"/>
      <c r="S3" s="900"/>
      <c r="T3" s="900" t="s">
        <v>173</v>
      </c>
      <c r="U3" s="890" t="s">
        <v>247</v>
      </c>
      <c r="V3" s="921" t="s">
        <v>496</v>
      </c>
      <c r="W3" s="921" t="s">
        <v>490</v>
      </c>
      <c r="X3" s="912" t="s">
        <v>248</v>
      </c>
      <c r="Y3" s="901" t="s">
        <v>174</v>
      </c>
      <c r="AA3" s="900" t="s">
        <v>249</v>
      </c>
      <c r="AB3" s="900"/>
      <c r="AC3" s="900"/>
      <c r="AD3" s="900"/>
      <c r="AE3" s="900"/>
      <c r="AF3" s="900"/>
      <c r="AG3" s="900"/>
      <c r="AH3" s="900"/>
    </row>
    <row r="4" spans="2:34" ht="17.149999999999999" customHeight="1">
      <c r="B4" s="905"/>
      <c r="C4" s="906"/>
      <c r="D4" s="899" t="s">
        <v>171</v>
      </c>
      <c r="E4" s="900" t="s">
        <v>175</v>
      </c>
      <c r="F4" s="900"/>
      <c r="G4" s="900" t="s">
        <v>187</v>
      </c>
      <c r="H4" s="900"/>
      <c r="I4" s="900"/>
      <c r="J4" s="900"/>
      <c r="K4" s="900"/>
      <c r="L4" s="900"/>
      <c r="M4" s="900"/>
      <c r="N4" s="900"/>
      <c r="O4" s="900" t="s">
        <v>176</v>
      </c>
      <c r="P4" s="900"/>
      <c r="Q4" s="900"/>
      <c r="R4" s="900"/>
      <c r="S4" s="900"/>
      <c r="T4" s="900"/>
      <c r="U4" s="893"/>
      <c r="V4" s="913"/>
      <c r="W4" s="922"/>
      <c r="X4" s="913"/>
      <c r="Y4" s="901"/>
      <c r="AA4" s="900"/>
      <c r="AB4" s="900"/>
      <c r="AC4" s="900"/>
      <c r="AD4" s="900"/>
      <c r="AE4" s="900"/>
      <c r="AF4" s="900"/>
      <c r="AG4" s="900"/>
      <c r="AH4" s="900"/>
    </row>
    <row r="5" spans="2:34" ht="17.149999999999999" customHeight="1">
      <c r="B5" s="905"/>
      <c r="C5" s="906"/>
      <c r="D5" s="899"/>
      <c r="E5" s="899" t="s">
        <v>177</v>
      </c>
      <c r="F5" s="917" t="s">
        <v>497</v>
      </c>
      <c r="G5" s="902" t="s">
        <v>188</v>
      </c>
      <c r="H5" s="902"/>
      <c r="I5" s="902"/>
      <c r="J5" s="902"/>
      <c r="K5" s="902"/>
      <c r="L5" s="902"/>
      <c r="M5" s="902"/>
      <c r="N5" s="902"/>
      <c r="O5" s="918" t="s">
        <v>170</v>
      </c>
      <c r="P5" s="919"/>
      <c r="Q5" s="920"/>
      <c r="R5" s="902" t="s">
        <v>178</v>
      </c>
      <c r="S5" s="902"/>
      <c r="T5" s="900"/>
      <c r="U5" s="893"/>
      <c r="V5" s="913"/>
      <c r="W5" s="922"/>
      <c r="X5" s="913"/>
      <c r="Y5" s="901"/>
      <c r="AA5" s="900"/>
      <c r="AB5" s="900"/>
      <c r="AC5" s="900"/>
      <c r="AD5" s="900"/>
      <c r="AE5" s="900"/>
      <c r="AF5" s="900"/>
      <c r="AG5" s="900"/>
      <c r="AH5" s="900"/>
    </row>
    <row r="6" spans="2:34" ht="38.5" customHeight="1">
      <c r="B6" s="907"/>
      <c r="C6" s="908"/>
      <c r="D6" s="899"/>
      <c r="E6" s="899"/>
      <c r="F6" s="917"/>
      <c r="G6" s="388" t="s">
        <v>179</v>
      </c>
      <c r="H6" s="388" t="s">
        <v>254</v>
      </c>
      <c r="I6" s="388" t="s">
        <v>255</v>
      </c>
      <c r="J6" s="388" t="s">
        <v>180</v>
      </c>
      <c r="K6" s="388" t="s">
        <v>252</v>
      </c>
      <c r="L6" s="388" t="s">
        <v>181</v>
      </c>
      <c r="M6" s="388" t="s">
        <v>189</v>
      </c>
      <c r="N6" s="388" t="s">
        <v>182</v>
      </c>
      <c r="O6" s="389" t="s">
        <v>183</v>
      </c>
      <c r="P6" s="389" t="s">
        <v>184</v>
      </c>
      <c r="Q6" s="388" t="s">
        <v>185</v>
      </c>
      <c r="R6" s="389" t="s">
        <v>183</v>
      </c>
      <c r="S6" s="389" t="s">
        <v>184</v>
      </c>
      <c r="T6" s="900"/>
      <c r="U6" s="896"/>
      <c r="V6" s="914"/>
      <c r="W6" s="923"/>
      <c r="X6" s="914"/>
      <c r="Y6" s="901"/>
      <c r="AA6" s="161" t="s">
        <v>246</v>
      </c>
      <c r="AB6" s="161" t="s">
        <v>491</v>
      </c>
      <c r="AC6" s="156" t="s">
        <v>397</v>
      </c>
      <c r="AD6" s="156" t="s">
        <v>341</v>
      </c>
      <c r="AE6" s="156" t="s">
        <v>465</v>
      </c>
      <c r="AF6" s="156" t="s">
        <v>217</v>
      </c>
      <c r="AG6" s="156" t="s">
        <v>218</v>
      </c>
      <c r="AH6" s="156" t="s">
        <v>398</v>
      </c>
    </row>
    <row r="7" spans="2:34" s="148" customFormat="1" ht="27" customHeight="1">
      <c r="B7" s="884" t="s">
        <v>559</v>
      </c>
      <c r="C7" s="885"/>
      <c r="D7" s="387">
        <v>1</v>
      </c>
      <c r="E7" s="390" t="s">
        <v>339</v>
      </c>
      <c r="F7" s="391">
        <v>14468.780200000008</v>
      </c>
      <c r="G7" s="392">
        <v>4345.1400000000003</v>
      </c>
      <c r="H7" s="392">
        <v>4304.68</v>
      </c>
      <c r="I7" s="393">
        <f>H7/G7</f>
        <v>0.99068844732275596</v>
      </c>
      <c r="J7" s="392">
        <v>138.6</v>
      </c>
      <c r="K7" s="393">
        <f>J7/G7</f>
        <v>3.1897706403015778E-2</v>
      </c>
      <c r="L7" s="392">
        <v>147.43000000000004</v>
      </c>
      <c r="M7" s="393">
        <f>(H7+J7)/G7</f>
        <v>1.0225861537257719</v>
      </c>
      <c r="N7" s="394">
        <v>14468.780200000008</v>
      </c>
      <c r="O7" s="392">
        <v>0</v>
      </c>
      <c r="P7" s="393">
        <f>O7/G7</f>
        <v>0</v>
      </c>
      <c r="Q7" s="407">
        <f>O7*L7</f>
        <v>0</v>
      </c>
      <c r="R7" s="395">
        <f>((H7+J7)-G7)-O7</f>
        <v>98.140000000000327</v>
      </c>
      <c r="S7" s="393">
        <f>R7/G7</f>
        <v>2.2586153725771857E-2</v>
      </c>
      <c r="T7" s="397" t="s">
        <v>176</v>
      </c>
      <c r="U7" s="397" t="s">
        <v>217</v>
      </c>
      <c r="V7" s="398" t="s">
        <v>482</v>
      </c>
      <c r="W7" s="421" t="s">
        <v>629</v>
      </c>
      <c r="X7" s="398">
        <v>1</v>
      </c>
      <c r="Y7" s="399" t="s">
        <v>344</v>
      </c>
      <c r="Z7" s="400" t="s">
        <v>492</v>
      </c>
      <c r="AA7" s="401">
        <f>SUM(X7:X26)</f>
        <v>20</v>
      </c>
      <c r="AB7" s="402">
        <f>SUMIF($U$7:$U$26,TRIM(AB6),$X$7:$X$26)</f>
        <v>0</v>
      </c>
      <c r="AC7" s="402">
        <f t="shared" ref="AC7:AH7" si="0">SUMIF($U$7:$U$26,TRIM(AC6),$X$7:$X$26)</f>
        <v>0</v>
      </c>
      <c r="AD7" s="402">
        <f t="shared" si="0"/>
        <v>0</v>
      </c>
      <c r="AE7" s="402">
        <f t="shared" si="0"/>
        <v>14</v>
      </c>
      <c r="AF7" s="402">
        <f t="shared" si="0"/>
        <v>1</v>
      </c>
      <c r="AG7" s="402">
        <f t="shared" si="0"/>
        <v>5</v>
      </c>
      <c r="AH7" s="402">
        <f t="shared" si="0"/>
        <v>0</v>
      </c>
    </row>
    <row r="8" spans="2:34" s="148" customFormat="1" ht="27" customHeight="1">
      <c r="B8" s="886"/>
      <c r="C8" s="887"/>
      <c r="D8" s="387">
        <v>2</v>
      </c>
      <c r="E8" s="390" t="s">
        <v>515</v>
      </c>
      <c r="F8" s="391">
        <v>9132.7224000000024</v>
      </c>
      <c r="G8" s="392">
        <v>1380.59</v>
      </c>
      <c r="H8" s="392">
        <v>1369.92</v>
      </c>
      <c r="I8" s="393">
        <f t="shared" ref="I8:I9" si="1">H8/G8</f>
        <v>0.99227142018991887</v>
      </c>
      <c r="J8" s="392">
        <v>73.75</v>
      </c>
      <c r="K8" s="393">
        <f t="shared" ref="K8:K13" si="2">J8/G8</f>
        <v>5.3419190346156359E-2</v>
      </c>
      <c r="L8" s="392">
        <v>144.78</v>
      </c>
      <c r="M8" s="393">
        <f t="shared" ref="M8:M13" si="3">(H8+J8)/G8</f>
        <v>1.0456906105360753</v>
      </c>
      <c r="N8" s="394">
        <v>9132.7224000000024</v>
      </c>
      <c r="O8" s="392">
        <v>0</v>
      </c>
      <c r="P8" s="393">
        <f t="shared" ref="P8:P26" si="4">O8/G8</f>
        <v>0</v>
      </c>
      <c r="Q8" s="407">
        <f t="shared" ref="Q8:Q26" si="5">O8*L8</f>
        <v>0</v>
      </c>
      <c r="R8" s="395">
        <f t="shared" ref="R8:R26" si="6">((H8+J8)-G8)-O8</f>
        <v>63.080000000000155</v>
      </c>
      <c r="S8" s="393">
        <f t="shared" ref="S8:S26" si="7">R8/G8</f>
        <v>4.5690610536075274E-2</v>
      </c>
      <c r="T8" s="397" t="s">
        <v>176</v>
      </c>
      <c r="U8" s="397" t="s">
        <v>465</v>
      </c>
      <c r="V8" s="398" t="s">
        <v>553</v>
      </c>
      <c r="W8" s="398" t="s">
        <v>569</v>
      </c>
      <c r="X8" s="398">
        <v>1</v>
      </c>
      <c r="Y8" s="399" t="s">
        <v>511</v>
      </c>
      <c r="AA8" s="401"/>
      <c r="AB8" s="408">
        <f>SUMIF($U$7:$U$26,TRIM(AB6),$F$7:$F$26)</f>
        <v>0</v>
      </c>
      <c r="AC8" s="408">
        <f t="shared" ref="AC8:AH8" si="8">SUMIF($U$7:$U$26,TRIM(AC6),$F$7:$F$26)</f>
        <v>0</v>
      </c>
      <c r="AD8" s="408">
        <f t="shared" si="8"/>
        <v>0</v>
      </c>
      <c r="AE8" s="408">
        <f t="shared" si="8"/>
        <v>61415.661400000012</v>
      </c>
      <c r="AF8" s="408">
        <f t="shared" si="8"/>
        <v>14468.780200000008</v>
      </c>
      <c r="AG8" s="408">
        <f t="shared" si="8"/>
        <v>19546.63519999999</v>
      </c>
      <c r="AH8" s="408">
        <f t="shared" si="8"/>
        <v>0</v>
      </c>
    </row>
    <row r="9" spans="2:34" s="148" customFormat="1" ht="27" customHeight="1">
      <c r="B9" s="886"/>
      <c r="C9" s="887"/>
      <c r="D9" s="387">
        <v>3</v>
      </c>
      <c r="E9" s="390" t="s">
        <v>400</v>
      </c>
      <c r="F9" s="391">
        <v>7155.2047999999986</v>
      </c>
      <c r="G9" s="392">
        <v>4062.8899999999994</v>
      </c>
      <c r="H9" s="392">
        <v>3961.3</v>
      </c>
      <c r="I9" s="393">
        <f t="shared" si="1"/>
        <v>0.97499563118863686</v>
      </c>
      <c r="J9" s="392">
        <v>158.47999999999999</v>
      </c>
      <c r="K9" s="393">
        <f t="shared" si="2"/>
        <v>3.9006716893639749E-2</v>
      </c>
      <c r="L9" s="392">
        <v>127.84000000000002</v>
      </c>
      <c r="M9" s="393">
        <f t="shared" si="3"/>
        <v>1.0140023480822764</v>
      </c>
      <c r="N9" s="394">
        <v>7272.8175999999985</v>
      </c>
      <c r="O9" s="392">
        <v>0.92</v>
      </c>
      <c r="P9" s="393">
        <f t="shared" si="4"/>
        <v>2.264398002407154E-4</v>
      </c>
      <c r="Q9" s="407">
        <f t="shared" si="5"/>
        <v>117.61280000000002</v>
      </c>
      <c r="R9" s="395">
        <f t="shared" si="6"/>
        <v>55.970000000000326</v>
      </c>
      <c r="S9" s="393">
        <f t="shared" si="7"/>
        <v>1.3775908282035777E-2</v>
      </c>
      <c r="T9" s="397" t="s">
        <v>176</v>
      </c>
      <c r="U9" s="397" t="s">
        <v>465</v>
      </c>
      <c r="V9" s="398" t="s">
        <v>552</v>
      </c>
      <c r="W9" s="398" t="s">
        <v>568</v>
      </c>
      <c r="X9" s="398">
        <v>1</v>
      </c>
      <c r="Y9" s="399" t="s">
        <v>344</v>
      </c>
      <c r="AA9" s="387"/>
      <c r="AB9" s="409">
        <f>AB7/$AA7</f>
        <v>0</v>
      </c>
      <c r="AC9" s="409">
        <f t="shared" ref="AC9:AH9" si="9">AC7/$AA7</f>
        <v>0</v>
      </c>
      <c r="AD9" s="409">
        <f t="shared" si="9"/>
        <v>0</v>
      </c>
      <c r="AE9" s="409">
        <f t="shared" si="9"/>
        <v>0.7</v>
      </c>
      <c r="AF9" s="409">
        <f t="shared" si="9"/>
        <v>0.05</v>
      </c>
      <c r="AG9" s="409">
        <f t="shared" si="9"/>
        <v>0.25</v>
      </c>
      <c r="AH9" s="409">
        <f t="shared" si="9"/>
        <v>0</v>
      </c>
    </row>
    <row r="10" spans="2:34" s="148" customFormat="1" ht="27" customHeight="1">
      <c r="B10" s="886"/>
      <c r="C10" s="887"/>
      <c r="D10" s="387">
        <v>4</v>
      </c>
      <c r="E10" s="390" t="s">
        <v>539</v>
      </c>
      <c r="F10" s="391">
        <v>5729.4930000000049</v>
      </c>
      <c r="G10" s="392">
        <v>711.81</v>
      </c>
      <c r="H10" s="392">
        <v>690.13</v>
      </c>
      <c r="I10" s="393">
        <f>H10/G10</f>
        <v>0.9695424340765092</v>
      </c>
      <c r="J10" s="392">
        <v>57.379999999999995</v>
      </c>
      <c r="K10" s="393">
        <f t="shared" si="2"/>
        <v>8.0611399109312878E-2</v>
      </c>
      <c r="L10" s="392">
        <v>160.49</v>
      </c>
      <c r="M10" s="393">
        <f t="shared" si="3"/>
        <v>1.0501538331858222</v>
      </c>
      <c r="N10" s="394">
        <v>5729.4930000000049</v>
      </c>
      <c r="O10" s="392">
        <v>0</v>
      </c>
      <c r="P10" s="393">
        <f t="shared" si="4"/>
        <v>0</v>
      </c>
      <c r="Q10" s="407">
        <f t="shared" si="5"/>
        <v>0</v>
      </c>
      <c r="R10" s="395">
        <f t="shared" si="6"/>
        <v>35.700000000000045</v>
      </c>
      <c r="S10" s="393">
        <f t="shared" si="7"/>
        <v>5.015383318582213E-2</v>
      </c>
      <c r="T10" s="397" t="s">
        <v>176</v>
      </c>
      <c r="U10" s="397" t="s">
        <v>465</v>
      </c>
      <c r="V10" s="398" t="s">
        <v>552</v>
      </c>
      <c r="W10" s="398" t="s">
        <v>568</v>
      </c>
      <c r="X10" s="398">
        <v>1</v>
      </c>
      <c r="Y10" s="399" t="s">
        <v>471</v>
      </c>
    </row>
    <row r="11" spans="2:34" s="148" customFormat="1" ht="27" customHeight="1">
      <c r="B11" s="886"/>
      <c r="C11" s="887"/>
      <c r="D11" s="387">
        <v>5</v>
      </c>
      <c r="E11" s="390" t="s">
        <v>523</v>
      </c>
      <c r="F11" s="391">
        <v>5427.7887999999866</v>
      </c>
      <c r="G11" s="392">
        <v>1297.3200000000002</v>
      </c>
      <c r="H11" s="392">
        <v>1278.6599999999999</v>
      </c>
      <c r="I11" s="393">
        <f t="shared" ref="I11:I26" si="10">H11/G11</f>
        <v>0.98561650171121984</v>
      </c>
      <c r="J11" s="392">
        <v>28.34</v>
      </c>
      <c r="K11" s="393">
        <f t="shared" si="2"/>
        <v>2.184503437856504E-2</v>
      </c>
      <c r="L11" s="392">
        <v>605.77999999999986</v>
      </c>
      <c r="M11" s="393">
        <f t="shared" si="3"/>
        <v>1.0074615360897847</v>
      </c>
      <c r="N11" s="394">
        <v>5863.950399999987</v>
      </c>
      <c r="O11" s="392">
        <v>0.72</v>
      </c>
      <c r="P11" s="393">
        <f t="shared" si="4"/>
        <v>5.5499028766996565E-4</v>
      </c>
      <c r="Q11" s="407">
        <f t="shared" si="5"/>
        <v>436.16159999999991</v>
      </c>
      <c r="R11" s="395">
        <f t="shared" si="6"/>
        <v>8.9599999999996083</v>
      </c>
      <c r="S11" s="393">
        <f t="shared" si="7"/>
        <v>6.9065458021148269E-3</v>
      </c>
      <c r="T11" s="397" t="s">
        <v>176</v>
      </c>
      <c r="U11" s="397" t="s">
        <v>218</v>
      </c>
      <c r="V11" s="398" t="s">
        <v>525</v>
      </c>
      <c r="W11" s="398" t="s">
        <v>526</v>
      </c>
      <c r="X11" s="398">
        <v>1</v>
      </c>
      <c r="Y11" s="399" t="s">
        <v>346</v>
      </c>
    </row>
    <row r="12" spans="2:34" s="148" customFormat="1" ht="27" customHeight="1">
      <c r="B12" s="886"/>
      <c r="C12" s="887"/>
      <c r="D12" s="387">
        <v>6</v>
      </c>
      <c r="E12" s="390" t="s">
        <v>371</v>
      </c>
      <c r="F12" s="391">
        <v>5154.415199999994</v>
      </c>
      <c r="G12" s="392">
        <v>687.68</v>
      </c>
      <c r="H12" s="392">
        <v>690.76</v>
      </c>
      <c r="I12" s="393">
        <f t="shared" si="10"/>
        <v>1.0044788273615637</v>
      </c>
      <c r="J12" s="392">
        <v>9.64</v>
      </c>
      <c r="K12" s="393">
        <f t="shared" si="2"/>
        <v>1.4018147975802701E-2</v>
      </c>
      <c r="L12" s="392">
        <v>426.69</v>
      </c>
      <c r="M12" s="393">
        <f t="shared" si="3"/>
        <v>1.0184969753373663</v>
      </c>
      <c r="N12" s="394">
        <v>5427.4967999999935</v>
      </c>
      <c r="O12" s="392">
        <v>0.64</v>
      </c>
      <c r="P12" s="393">
        <f t="shared" si="4"/>
        <v>9.3066542577943234E-4</v>
      </c>
      <c r="Q12" s="407">
        <f t="shared" si="5"/>
        <v>273.08159999999998</v>
      </c>
      <c r="R12" s="395">
        <f t="shared" si="6"/>
        <v>12.080000000000027</v>
      </c>
      <c r="S12" s="393">
        <f t="shared" si="7"/>
        <v>1.7566309911586826E-2</v>
      </c>
      <c r="T12" s="397" t="s">
        <v>176</v>
      </c>
      <c r="U12" s="397" t="s">
        <v>465</v>
      </c>
      <c r="V12" s="398" t="s">
        <v>517</v>
      </c>
      <c r="W12" s="398" t="s">
        <v>630</v>
      </c>
      <c r="X12" s="398">
        <v>1</v>
      </c>
      <c r="Y12" s="399" t="s">
        <v>372</v>
      </c>
    </row>
    <row r="13" spans="2:34" s="148" customFormat="1" ht="27" customHeight="1">
      <c r="B13" s="886"/>
      <c r="C13" s="887"/>
      <c r="D13" s="387">
        <v>7</v>
      </c>
      <c r="E13" s="390" t="s">
        <v>369</v>
      </c>
      <c r="F13" s="391">
        <v>4932.297500000006</v>
      </c>
      <c r="G13" s="392">
        <v>1117.52</v>
      </c>
      <c r="H13" s="392">
        <v>1147.3400000000001</v>
      </c>
      <c r="I13" s="393">
        <f t="shared" si="10"/>
        <v>1.0266840861908513</v>
      </c>
      <c r="J13" s="392">
        <v>4.2300000000000004</v>
      </c>
      <c r="K13" s="393">
        <f t="shared" si="2"/>
        <v>3.7851671558450858E-3</v>
      </c>
      <c r="L13" s="392">
        <v>152.75</v>
      </c>
      <c r="M13" s="393">
        <f t="shared" si="3"/>
        <v>1.0304692533466964</v>
      </c>
      <c r="N13" s="394">
        <v>5201.1375000000062</v>
      </c>
      <c r="O13" s="392">
        <v>1.76</v>
      </c>
      <c r="P13" s="393">
        <f t="shared" si="4"/>
        <v>1.5749158851743146E-3</v>
      </c>
      <c r="Q13" s="407">
        <f t="shared" si="5"/>
        <v>268.83999999999997</v>
      </c>
      <c r="R13" s="395">
        <f t="shared" si="6"/>
        <v>32.290000000000184</v>
      </c>
      <c r="S13" s="393">
        <f t="shared" si="7"/>
        <v>2.8894337461522108E-2</v>
      </c>
      <c r="T13" s="397" t="s">
        <v>176</v>
      </c>
      <c r="U13" s="397" t="s">
        <v>465</v>
      </c>
      <c r="V13" s="398" t="s">
        <v>513</v>
      </c>
      <c r="W13" s="398" t="s">
        <v>506</v>
      </c>
      <c r="X13" s="398">
        <v>1</v>
      </c>
      <c r="Y13" s="399" t="s">
        <v>372</v>
      </c>
    </row>
    <row r="14" spans="2:34" s="148" customFormat="1" ht="27" customHeight="1">
      <c r="B14" s="886"/>
      <c r="C14" s="887"/>
      <c r="D14" s="387">
        <v>8</v>
      </c>
      <c r="E14" s="390" t="s">
        <v>514</v>
      </c>
      <c r="F14" s="391">
        <v>4786.3508000000038</v>
      </c>
      <c r="G14" s="392">
        <v>480.19999999999993</v>
      </c>
      <c r="H14" s="392">
        <v>476.89</v>
      </c>
      <c r="I14" s="393">
        <f t="shared" si="10"/>
        <v>0.99310703873386097</v>
      </c>
      <c r="J14" s="392">
        <v>18.799999999999997</v>
      </c>
      <c r="K14" s="393">
        <f>J14/G14</f>
        <v>3.9150354019158687E-2</v>
      </c>
      <c r="L14" s="392">
        <v>327.16000000000003</v>
      </c>
      <c r="M14" s="393">
        <f>(H14+J14)/G14</f>
        <v>1.0322573927530196</v>
      </c>
      <c r="N14" s="394">
        <v>5067.7084000000032</v>
      </c>
      <c r="O14" s="392">
        <v>0.86</v>
      </c>
      <c r="P14" s="393">
        <f t="shared" si="4"/>
        <v>1.7909204498125783E-3</v>
      </c>
      <c r="Q14" s="407">
        <f t="shared" si="5"/>
        <v>281.35759999999999</v>
      </c>
      <c r="R14" s="395">
        <f t="shared" si="6"/>
        <v>14.630000000000067</v>
      </c>
      <c r="S14" s="393">
        <f t="shared" si="7"/>
        <v>3.0466472303207141E-2</v>
      </c>
      <c r="T14" s="397" t="s">
        <v>176</v>
      </c>
      <c r="U14" s="397" t="s">
        <v>218</v>
      </c>
      <c r="V14" s="398" t="s">
        <v>556</v>
      </c>
      <c r="W14" s="398" t="s">
        <v>578</v>
      </c>
      <c r="X14" s="398">
        <v>1</v>
      </c>
      <c r="Y14" s="399" t="s">
        <v>511</v>
      </c>
    </row>
    <row r="15" spans="2:34" s="148" customFormat="1" ht="27" customHeight="1">
      <c r="B15" s="886"/>
      <c r="C15" s="887"/>
      <c r="D15" s="387">
        <v>9</v>
      </c>
      <c r="E15" s="390" t="s">
        <v>463</v>
      </c>
      <c r="F15" s="391">
        <v>4480.9353000000046</v>
      </c>
      <c r="G15" s="392">
        <v>1280.2799999999997</v>
      </c>
      <c r="H15" s="392">
        <v>1215.0899999999999</v>
      </c>
      <c r="I15" s="393">
        <f t="shared" si="10"/>
        <v>0.94908145093260865</v>
      </c>
      <c r="J15" s="392">
        <v>113.17999999999999</v>
      </c>
      <c r="K15" s="393">
        <f t="shared" ref="K15:K26" si="11">J15/G15</f>
        <v>8.8402536945043284E-2</v>
      </c>
      <c r="L15" s="392">
        <v>99.51</v>
      </c>
      <c r="M15" s="393">
        <f t="shared" ref="M15:M26" si="12">(H15+J15)/G15</f>
        <v>1.0374839878776521</v>
      </c>
      <c r="N15" s="394">
        <v>4775.484900000004</v>
      </c>
      <c r="O15" s="392">
        <v>2.96</v>
      </c>
      <c r="P15" s="393">
        <f t="shared" si="4"/>
        <v>2.3119942512575377E-3</v>
      </c>
      <c r="Q15" s="407">
        <f t="shared" si="5"/>
        <v>294.5496</v>
      </c>
      <c r="R15" s="395">
        <f t="shared" si="6"/>
        <v>45.030000000000236</v>
      </c>
      <c r="S15" s="393">
        <f t="shared" si="7"/>
        <v>3.5171993626394414E-2</v>
      </c>
      <c r="T15" s="397" t="s">
        <v>176</v>
      </c>
      <c r="U15" s="397" t="s">
        <v>465</v>
      </c>
      <c r="V15" s="398" t="s">
        <v>534</v>
      </c>
      <c r="W15" s="398" t="s">
        <v>507</v>
      </c>
      <c r="X15" s="398">
        <v>1</v>
      </c>
      <c r="Y15" s="399" t="s">
        <v>358</v>
      </c>
    </row>
    <row r="16" spans="2:34" s="148" customFormat="1" ht="27" customHeight="1">
      <c r="B16" s="886"/>
      <c r="C16" s="887"/>
      <c r="D16" s="387">
        <v>10</v>
      </c>
      <c r="E16" s="390" t="s">
        <v>485</v>
      </c>
      <c r="F16" s="391">
        <v>4377.5115999999971</v>
      </c>
      <c r="G16" s="392">
        <v>1867.05</v>
      </c>
      <c r="H16" s="392">
        <v>1821.1100000000001</v>
      </c>
      <c r="I16" s="393">
        <f t="shared" si="10"/>
        <v>0.97539433866259617</v>
      </c>
      <c r="J16" s="392">
        <v>114.08000000000001</v>
      </c>
      <c r="K16" s="393">
        <f t="shared" si="11"/>
        <v>6.1101738035939053E-2</v>
      </c>
      <c r="L16" s="392">
        <v>68.42</v>
      </c>
      <c r="M16" s="393">
        <f t="shared" si="12"/>
        <v>1.0364960766985352</v>
      </c>
      <c r="N16" s="394">
        <v>4662.138799999997</v>
      </c>
      <c r="O16" s="392">
        <v>4.16</v>
      </c>
      <c r="P16" s="393">
        <f t="shared" si="4"/>
        <v>2.2281138694732333E-3</v>
      </c>
      <c r="Q16" s="407">
        <f t="shared" si="5"/>
        <v>284.62720000000002</v>
      </c>
      <c r="R16" s="395">
        <f t="shared" si="6"/>
        <v>63.980000000000103</v>
      </c>
      <c r="S16" s="393">
        <f t="shared" si="7"/>
        <v>3.4267962829061943E-2</v>
      </c>
      <c r="T16" s="397" t="s">
        <v>176</v>
      </c>
      <c r="U16" s="397" t="s">
        <v>218</v>
      </c>
      <c r="V16" s="398" t="s">
        <v>534</v>
      </c>
      <c r="W16" s="398" t="s">
        <v>507</v>
      </c>
      <c r="X16" s="398">
        <v>1</v>
      </c>
      <c r="Y16" s="399" t="s">
        <v>484</v>
      </c>
    </row>
    <row r="17" spans="2:34" s="148" customFormat="1" ht="27" customHeight="1">
      <c r="B17" s="886"/>
      <c r="C17" s="887"/>
      <c r="D17" s="387">
        <v>11</v>
      </c>
      <c r="E17" s="390" t="s">
        <v>605</v>
      </c>
      <c r="F17" s="391">
        <v>4281.7824000000055</v>
      </c>
      <c r="G17" s="392">
        <v>1061.45</v>
      </c>
      <c r="H17" s="392">
        <v>1039.8599999999999</v>
      </c>
      <c r="I17" s="393">
        <f t="shared" si="10"/>
        <v>0.97965989919449792</v>
      </c>
      <c r="J17" s="392">
        <v>40.330000000000005</v>
      </c>
      <c r="K17" s="393">
        <f t="shared" si="11"/>
        <v>3.7995195251778233E-2</v>
      </c>
      <c r="L17" s="392">
        <v>266.27999999999997</v>
      </c>
      <c r="M17" s="393">
        <f t="shared" si="12"/>
        <v>1.0176550944462761</v>
      </c>
      <c r="N17" s="394">
        <v>4990.0872000000054</v>
      </c>
      <c r="O17" s="392">
        <v>2.66</v>
      </c>
      <c r="P17" s="393">
        <f t="shared" si="4"/>
        <v>2.506005935277215E-3</v>
      </c>
      <c r="Q17" s="407">
        <f t="shared" si="5"/>
        <v>708.3048</v>
      </c>
      <c r="R17" s="395">
        <f t="shared" si="6"/>
        <v>16.079999999999782</v>
      </c>
      <c r="S17" s="393">
        <f t="shared" si="7"/>
        <v>1.5149088510998899E-2</v>
      </c>
      <c r="T17" s="397" t="s">
        <v>176</v>
      </c>
      <c r="U17" s="397" t="s">
        <v>465</v>
      </c>
      <c r="V17" s="398" t="s">
        <v>545</v>
      </c>
      <c r="W17" s="398" t="s">
        <v>597</v>
      </c>
      <c r="X17" s="398">
        <v>1</v>
      </c>
      <c r="Y17" s="399" t="s">
        <v>606</v>
      </c>
    </row>
    <row r="18" spans="2:34" s="148" customFormat="1" ht="27" customHeight="1">
      <c r="B18" s="886"/>
      <c r="C18" s="887"/>
      <c r="D18" s="387">
        <v>12</v>
      </c>
      <c r="E18" s="390" t="s">
        <v>563</v>
      </c>
      <c r="F18" s="391">
        <v>3678.9717000000001</v>
      </c>
      <c r="G18" s="392">
        <v>18102</v>
      </c>
      <c r="H18" s="392">
        <v>17601.989999999998</v>
      </c>
      <c r="I18" s="393">
        <f t="shared" si="10"/>
        <v>0.97237819025522032</v>
      </c>
      <c r="J18" s="392">
        <v>1800</v>
      </c>
      <c r="K18" s="393">
        <f t="shared" si="11"/>
        <v>9.9436526350679483E-2</v>
      </c>
      <c r="L18" s="392">
        <v>2.8300000000000005</v>
      </c>
      <c r="M18" s="393">
        <f t="shared" si="12"/>
        <v>1.0718147166058998</v>
      </c>
      <c r="N18" s="394">
        <v>3678.9717000000001</v>
      </c>
      <c r="O18" s="392">
        <v>0</v>
      </c>
      <c r="P18" s="393">
        <f t="shared" si="4"/>
        <v>0</v>
      </c>
      <c r="Q18" s="407">
        <f t="shared" si="5"/>
        <v>0</v>
      </c>
      <c r="R18" s="395">
        <f t="shared" si="6"/>
        <v>1299.989999999998</v>
      </c>
      <c r="S18" s="393">
        <f t="shared" si="7"/>
        <v>7.1814716605899789E-2</v>
      </c>
      <c r="T18" s="397" t="s">
        <v>176</v>
      </c>
      <c r="U18" s="397" t="s">
        <v>465</v>
      </c>
      <c r="V18" s="397" t="s">
        <v>571</v>
      </c>
      <c r="W18" s="398" t="s">
        <v>572</v>
      </c>
      <c r="X18" s="398">
        <v>1</v>
      </c>
      <c r="Y18" s="399" t="s">
        <v>474</v>
      </c>
    </row>
    <row r="19" spans="2:34" s="148" customFormat="1" ht="27" customHeight="1">
      <c r="B19" s="886"/>
      <c r="C19" s="887"/>
      <c r="D19" s="387">
        <v>13</v>
      </c>
      <c r="E19" s="390" t="s">
        <v>470</v>
      </c>
      <c r="F19" s="391">
        <v>3129.1900000000114</v>
      </c>
      <c r="G19" s="392">
        <v>447.42</v>
      </c>
      <c r="H19" s="392">
        <v>438.65</v>
      </c>
      <c r="I19" s="393">
        <f t="shared" si="10"/>
        <v>0.98039873049930704</v>
      </c>
      <c r="J19" s="392">
        <v>19.11</v>
      </c>
      <c r="K19" s="393">
        <f t="shared" si="11"/>
        <v>4.2711546198203026E-2</v>
      </c>
      <c r="L19" s="392">
        <v>368.13999999999993</v>
      </c>
      <c r="M19" s="393">
        <f t="shared" si="12"/>
        <v>1.0231102766975102</v>
      </c>
      <c r="N19" s="394">
        <v>3806.5676000000117</v>
      </c>
      <c r="O19" s="392">
        <v>1.8399999999999999</v>
      </c>
      <c r="P19" s="393">
        <f t="shared" si="4"/>
        <v>4.1124670332126408E-3</v>
      </c>
      <c r="Q19" s="407">
        <f t="shared" si="5"/>
        <v>677.3775999999998</v>
      </c>
      <c r="R19" s="395">
        <f t="shared" si="6"/>
        <v>8.4999999999999751</v>
      </c>
      <c r="S19" s="393">
        <f t="shared" si="7"/>
        <v>1.8997809664297472E-2</v>
      </c>
      <c r="T19" s="397" t="s">
        <v>176</v>
      </c>
      <c r="U19" s="397" t="s">
        <v>465</v>
      </c>
      <c r="V19" s="398" t="s">
        <v>556</v>
      </c>
      <c r="W19" s="398" t="s">
        <v>570</v>
      </c>
      <c r="X19" s="398">
        <v>1</v>
      </c>
      <c r="Y19" s="399" t="s">
        <v>471</v>
      </c>
    </row>
    <row r="20" spans="2:34" s="148" customFormat="1" ht="27" customHeight="1">
      <c r="B20" s="886"/>
      <c r="C20" s="887"/>
      <c r="D20" s="387">
        <v>14</v>
      </c>
      <c r="E20" s="390" t="s">
        <v>461</v>
      </c>
      <c r="F20" s="391">
        <v>3107.4486999999958</v>
      </c>
      <c r="G20" s="392">
        <v>1841.4199999999998</v>
      </c>
      <c r="H20" s="392">
        <v>1767.48</v>
      </c>
      <c r="I20" s="393">
        <f t="shared" si="10"/>
        <v>0.95984620564564316</v>
      </c>
      <c r="J20" s="392">
        <v>128.66</v>
      </c>
      <c r="K20" s="393">
        <f t="shared" si="11"/>
        <v>6.9869991636888923E-2</v>
      </c>
      <c r="L20" s="392">
        <v>66.13</v>
      </c>
      <c r="M20" s="393">
        <f t="shared" si="12"/>
        <v>1.0297161972825322</v>
      </c>
      <c r="N20" s="394">
        <v>3618.6335999999956</v>
      </c>
      <c r="O20" s="392">
        <v>7.73</v>
      </c>
      <c r="P20" s="393">
        <f t="shared" si="4"/>
        <v>4.1978473134863317E-3</v>
      </c>
      <c r="Q20" s="407">
        <f t="shared" si="5"/>
        <v>511.18489999999997</v>
      </c>
      <c r="R20" s="395">
        <f t="shared" si="6"/>
        <v>46.990000000000251</v>
      </c>
      <c r="S20" s="393">
        <f t="shared" si="7"/>
        <v>2.5518349969045766E-2</v>
      </c>
      <c r="T20" s="397" t="s">
        <v>176</v>
      </c>
      <c r="U20" s="397" t="s">
        <v>465</v>
      </c>
      <c r="V20" s="398" t="s">
        <v>534</v>
      </c>
      <c r="W20" s="398" t="s">
        <v>507</v>
      </c>
      <c r="X20" s="398">
        <v>1</v>
      </c>
      <c r="Y20" s="399" t="s">
        <v>345</v>
      </c>
    </row>
    <row r="21" spans="2:34" s="148" customFormat="1" ht="27" customHeight="1">
      <c r="B21" s="886"/>
      <c r="C21" s="887"/>
      <c r="D21" s="387">
        <v>15</v>
      </c>
      <c r="E21" s="390" t="s">
        <v>564</v>
      </c>
      <c r="F21" s="391">
        <v>2792.7600000000029</v>
      </c>
      <c r="G21" s="392">
        <v>153.33999999999997</v>
      </c>
      <c r="H21" s="392">
        <v>145.17999999999998</v>
      </c>
      <c r="I21" s="393">
        <f t="shared" si="10"/>
        <v>0.94678492239467849</v>
      </c>
      <c r="J21" s="392">
        <v>13.759999999999998</v>
      </c>
      <c r="K21" s="393">
        <f t="shared" si="11"/>
        <v>8.9735228903091172E-2</v>
      </c>
      <c r="L21" s="392">
        <v>629</v>
      </c>
      <c r="M21" s="393">
        <f t="shared" si="12"/>
        <v>1.0365201512977695</v>
      </c>
      <c r="N21" s="394">
        <v>3522.4000000000033</v>
      </c>
      <c r="O21" s="392">
        <v>1.1600000000000001</v>
      </c>
      <c r="P21" s="393">
        <f t="shared" si="4"/>
        <v>7.5648884831094323E-3</v>
      </c>
      <c r="Q21" s="407">
        <f t="shared" si="5"/>
        <v>729.6400000000001</v>
      </c>
      <c r="R21" s="395">
        <f t="shared" si="6"/>
        <v>4.4399999999999942</v>
      </c>
      <c r="S21" s="393">
        <f t="shared" si="7"/>
        <v>2.8955262814660199E-2</v>
      </c>
      <c r="T21" s="397" t="s">
        <v>176</v>
      </c>
      <c r="U21" s="397" t="s">
        <v>465</v>
      </c>
      <c r="V21" s="398" t="s">
        <v>545</v>
      </c>
      <c r="W21" s="398" t="s">
        <v>597</v>
      </c>
      <c r="X21" s="398">
        <v>1</v>
      </c>
      <c r="Y21" s="399" t="s">
        <v>522</v>
      </c>
    </row>
    <row r="22" spans="2:34" s="148" customFormat="1" ht="27" customHeight="1">
      <c r="B22" s="886"/>
      <c r="C22" s="887"/>
      <c r="D22" s="387">
        <v>16</v>
      </c>
      <c r="E22" s="390" t="s">
        <v>583</v>
      </c>
      <c r="F22" s="391">
        <v>2696.9931000000001</v>
      </c>
      <c r="G22" s="392">
        <v>1165.8000000000002</v>
      </c>
      <c r="H22" s="392">
        <v>1163.23</v>
      </c>
      <c r="I22" s="393">
        <f t="shared" si="10"/>
        <v>0.9977955052324583</v>
      </c>
      <c r="J22" s="392">
        <v>19.04</v>
      </c>
      <c r="K22" s="393">
        <f t="shared" si="11"/>
        <v>1.6332132441242063E-2</v>
      </c>
      <c r="L22" s="392">
        <v>190.87000000000003</v>
      </c>
      <c r="M22" s="393">
        <f t="shared" si="12"/>
        <v>1.0141276376737003</v>
      </c>
      <c r="N22" s="394">
        <v>3143.6289000000002</v>
      </c>
      <c r="O22" s="392">
        <v>2.34</v>
      </c>
      <c r="P22" s="393">
        <f t="shared" si="4"/>
        <v>2.0072053525476063E-3</v>
      </c>
      <c r="Q22" s="407">
        <f t="shared" si="5"/>
        <v>446.63580000000007</v>
      </c>
      <c r="R22" s="395">
        <f t="shared" si="6"/>
        <v>14.1299999999998</v>
      </c>
      <c r="S22" s="393">
        <f t="shared" si="7"/>
        <v>1.2120432321152683E-2</v>
      </c>
      <c r="T22" s="397" t="s">
        <v>176</v>
      </c>
      <c r="U22" s="397" t="s">
        <v>465</v>
      </c>
      <c r="V22" s="398" t="s">
        <v>631</v>
      </c>
      <c r="W22" s="398" t="s">
        <v>632</v>
      </c>
      <c r="X22" s="398">
        <v>1</v>
      </c>
      <c r="Y22" s="399" t="s">
        <v>584</v>
      </c>
    </row>
    <row r="23" spans="2:34" s="148" customFormat="1" ht="27" customHeight="1">
      <c r="B23" s="886"/>
      <c r="C23" s="887"/>
      <c r="D23" s="387">
        <v>17</v>
      </c>
      <c r="E23" s="390" t="s">
        <v>512</v>
      </c>
      <c r="F23" s="391">
        <v>2679.0400000000004</v>
      </c>
      <c r="G23" s="392">
        <v>227846</v>
      </c>
      <c r="H23" s="392">
        <v>227203</v>
      </c>
      <c r="I23" s="393">
        <f t="shared" si="10"/>
        <v>0.99717791841858094</v>
      </c>
      <c r="J23" s="392">
        <v>1475</v>
      </c>
      <c r="K23" s="393">
        <f t="shared" si="11"/>
        <v>6.4736708127419397E-3</v>
      </c>
      <c r="L23" s="392">
        <v>3.2199999999999998</v>
      </c>
      <c r="M23" s="393">
        <f t="shared" si="12"/>
        <v>1.0036515892313229</v>
      </c>
      <c r="N23" s="394">
        <v>2679.0400000000004</v>
      </c>
      <c r="O23" s="392">
        <v>0</v>
      </c>
      <c r="P23" s="393">
        <f t="shared" si="4"/>
        <v>0</v>
      </c>
      <c r="Q23" s="407">
        <f t="shared" si="5"/>
        <v>0</v>
      </c>
      <c r="R23" s="395">
        <f t="shared" si="6"/>
        <v>832</v>
      </c>
      <c r="S23" s="393">
        <f t="shared" si="7"/>
        <v>3.6515892313229111E-3</v>
      </c>
      <c r="T23" s="397" t="s">
        <v>176</v>
      </c>
      <c r="U23" s="397" t="s">
        <v>218</v>
      </c>
      <c r="V23" s="398" t="s">
        <v>633</v>
      </c>
      <c r="W23" s="398" t="s">
        <v>634</v>
      </c>
      <c r="X23" s="398">
        <v>1</v>
      </c>
      <c r="Y23" s="399" t="s">
        <v>344</v>
      </c>
    </row>
    <row r="24" spans="2:34" s="148" customFormat="1" ht="27" customHeight="1">
      <c r="B24" s="886"/>
      <c r="C24" s="887"/>
      <c r="D24" s="387">
        <v>18</v>
      </c>
      <c r="E24" s="390" t="s">
        <v>436</v>
      </c>
      <c r="F24" s="391">
        <v>2650.6372999999858</v>
      </c>
      <c r="G24" s="392">
        <v>1614.7100000000003</v>
      </c>
      <c r="H24" s="392">
        <v>1622.49</v>
      </c>
      <c r="I24" s="393">
        <f t="shared" si="10"/>
        <v>1.0048182026493919</v>
      </c>
      <c r="J24" s="392">
        <v>14.6</v>
      </c>
      <c r="K24" s="393">
        <f t="shared" si="11"/>
        <v>9.0418712957744726E-3</v>
      </c>
      <c r="L24" s="392">
        <v>157.87000000000003</v>
      </c>
      <c r="M24" s="393">
        <f t="shared" si="12"/>
        <v>1.0138600739451664</v>
      </c>
      <c r="N24" s="394">
        <v>3533.1305999999859</v>
      </c>
      <c r="O24" s="392">
        <v>5.5900000000000007</v>
      </c>
      <c r="P24" s="393">
        <f t="shared" si="4"/>
        <v>3.4619219550259799E-3</v>
      </c>
      <c r="Q24" s="407">
        <f t="shared" si="5"/>
        <v>882.49330000000032</v>
      </c>
      <c r="R24" s="395">
        <f t="shared" si="6"/>
        <v>16.789999999999655</v>
      </c>
      <c r="S24" s="393">
        <f t="shared" si="7"/>
        <v>1.0398151990140429E-2</v>
      </c>
      <c r="T24" s="397" t="s">
        <v>176</v>
      </c>
      <c r="U24" s="397" t="s">
        <v>465</v>
      </c>
      <c r="V24" s="398" t="s">
        <v>635</v>
      </c>
      <c r="W24" s="398" t="s">
        <v>524</v>
      </c>
      <c r="X24" s="398">
        <v>1</v>
      </c>
      <c r="Y24" s="399" t="s">
        <v>344</v>
      </c>
    </row>
    <row r="25" spans="2:34" s="148" customFormat="1" ht="27" customHeight="1">
      <c r="B25" s="886"/>
      <c r="C25" s="887"/>
      <c r="D25" s="387">
        <v>19</v>
      </c>
      <c r="E25" s="390" t="s">
        <v>340</v>
      </c>
      <c r="F25" s="391">
        <v>2492.8099999999954</v>
      </c>
      <c r="G25" s="392">
        <v>1697.08</v>
      </c>
      <c r="H25" s="392">
        <v>1618.42</v>
      </c>
      <c r="I25" s="393">
        <f t="shared" si="10"/>
        <v>0.95364979847738474</v>
      </c>
      <c r="J25" s="392">
        <v>124.1</v>
      </c>
      <c r="K25" s="393">
        <f t="shared" si="11"/>
        <v>7.3125603978598533E-2</v>
      </c>
      <c r="L25" s="392">
        <v>70.220000000000013</v>
      </c>
      <c r="M25" s="393">
        <f t="shared" si="12"/>
        <v>1.0267754024559832</v>
      </c>
      <c r="N25" s="394">
        <v>3190.7967999999955</v>
      </c>
      <c r="O25" s="392">
        <v>9.9400000000000013</v>
      </c>
      <c r="P25" s="393">
        <f t="shared" si="4"/>
        <v>5.8571192872463301E-3</v>
      </c>
      <c r="Q25" s="407">
        <f t="shared" si="5"/>
        <v>697.98680000000024</v>
      </c>
      <c r="R25" s="395">
        <f t="shared" si="6"/>
        <v>35.500000000000057</v>
      </c>
      <c r="S25" s="393">
        <f t="shared" si="7"/>
        <v>2.0918283168736923E-2</v>
      </c>
      <c r="T25" s="397" t="s">
        <v>176</v>
      </c>
      <c r="U25" s="397" t="s">
        <v>465</v>
      </c>
      <c r="V25" s="398" t="s">
        <v>534</v>
      </c>
      <c r="W25" s="398" t="s">
        <v>507</v>
      </c>
      <c r="X25" s="398">
        <v>1</v>
      </c>
      <c r="Y25" s="399" t="s">
        <v>347</v>
      </c>
    </row>
    <row r="26" spans="2:34" s="148" customFormat="1" ht="27" customHeight="1">
      <c r="B26" s="888"/>
      <c r="C26" s="889"/>
      <c r="D26" s="387">
        <v>20</v>
      </c>
      <c r="E26" s="390" t="s">
        <v>550</v>
      </c>
      <c r="F26" s="391">
        <v>2275.9439999999986</v>
      </c>
      <c r="G26" s="392">
        <v>1264.6399999999999</v>
      </c>
      <c r="H26" s="392">
        <v>1226.99</v>
      </c>
      <c r="I26" s="393">
        <f t="shared" si="10"/>
        <v>0.97022868168016208</v>
      </c>
      <c r="J26" s="392">
        <v>79.98</v>
      </c>
      <c r="K26" s="393">
        <f t="shared" si="11"/>
        <v>6.3243294534412964E-2</v>
      </c>
      <c r="L26" s="392">
        <v>65.12</v>
      </c>
      <c r="M26" s="393">
        <f t="shared" si="12"/>
        <v>1.033471976214575</v>
      </c>
      <c r="N26" s="394">
        <v>2756.5295999999989</v>
      </c>
      <c r="O26" s="392">
        <v>7.38</v>
      </c>
      <c r="P26" s="393">
        <f t="shared" si="4"/>
        <v>5.835652834008098E-3</v>
      </c>
      <c r="Q26" s="407">
        <f t="shared" si="5"/>
        <v>480.5856</v>
      </c>
      <c r="R26" s="395">
        <f t="shared" si="6"/>
        <v>34.950000000000152</v>
      </c>
      <c r="S26" s="393">
        <f t="shared" si="7"/>
        <v>2.7636323380566926E-2</v>
      </c>
      <c r="T26" s="397" t="s">
        <v>176</v>
      </c>
      <c r="U26" s="397" t="s">
        <v>218</v>
      </c>
      <c r="V26" s="398" t="s">
        <v>534</v>
      </c>
      <c r="W26" s="398" t="s">
        <v>507</v>
      </c>
      <c r="X26" s="398">
        <v>1</v>
      </c>
      <c r="Y26" s="399" t="s">
        <v>548</v>
      </c>
      <c r="AC26" s="403"/>
    </row>
    <row r="27" spans="2:34" ht="16.5" customHeight="1">
      <c r="B27" s="903" t="s">
        <v>488</v>
      </c>
      <c r="C27" s="904"/>
      <c r="D27" s="900" t="s">
        <v>172</v>
      </c>
      <c r="E27" s="900"/>
      <c r="F27" s="900"/>
      <c r="G27" s="900" t="s">
        <v>186</v>
      </c>
      <c r="H27" s="900"/>
      <c r="I27" s="900"/>
      <c r="J27" s="900"/>
      <c r="K27" s="900"/>
      <c r="L27" s="900"/>
      <c r="M27" s="900"/>
      <c r="N27" s="900"/>
      <c r="O27" s="900"/>
      <c r="P27" s="900"/>
      <c r="Q27" s="900"/>
      <c r="R27" s="900"/>
      <c r="S27" s="900"/>
      <c r="T27" s="900" t="s">
        <v>173</v>
      </c>
      <c r="U27" s="890" t="s">
        <v>247</v>
      </c>
      <c r="V27" s="921" t="s">
        <v>496</v>
      </c>
      <c r="W27" s="921" t="s">
        <v>490</v>
      </c>
      <c r="X27" s="912" t="s">
        <v>248</v>
      </c>
      <c r="Y27" s="901" t="s">
        <v>174</v>
      </c>
      <c r="AA27" s="900" t="s">
        <v>249</v>
      </c>
      <c r="AB27" s="900"/>
      <c r="AC27" s="900"/>
      <c r="AD27" s="900"/>
      <c r="AE27" s="900"/>
      <c r="AF27" s="900"/>
      <c r="AG27" s="900"/>
      <c r="AH27" s="900"/>
    </row>
    <row r="28" spans="2:34" ht="17.149999999999999" customHeight="1">
      <c r="B28" s="905"/>
      <c r="C28" s="906"/>
      <c r="D28" s="899" t="s">
        <v>171</v>
      </c>
      <c r="E28" s="900" t="s">
        <v>175</v>
      </c>
      <c r="F28" s="900"/>
      <c r="G28" s="900" t="s">
        <v>187</v>
      </c>
      <c r="H28" s="900"/>
      <c r="I28" s="900"/>
      <c r="J28" s="900"/>
      <c r="K28" s="900"/>
      <c r="L28" s="900"/>
      <c r="M28" s="900"/>
      <c r="N28" s="900"/>
      <c r="O28" s="900" t="s">
        <v>176</v>
      </c>
      <c r="P28" s="900"/>
      <c r="Q28" s="900"/>
      <c r="R28" s="900"/>
      <c r="S28" s="900"/>
      <c r="T28" s="900"/>
      <c r="U28" s="893"/>
      <c r="V28" s="913"/>
      <c r="W28" s="922"/>
      <c r="X28" s="913"/>
      <c r="Y28" s="901"/>
      <c r="AA28" s="900"/>
      <c r="AB28" s="900"/>
      <c r="AC28" s="900"/>
      <c r="AD28" s="900"/>
      <c r="AE28" s="900"/>
      <c r="AF28" s="900"/>
      <c r="AG28" s="900"/>
      <c r="AH28" s="900"/>
    </row>
    <row r="29" spans="2:34" ht="17.149999999999999" customHeight="1">
      <c r="B29" s="905"/>
      <c r="C29" s="906"/>
      <c r="D29" s="899"/>
      <c r="E29" s="899" t="s">
        <v>177</v>
      </c>
      <c r="F29" s="917" t="s">
        <v>497</v>
      </c>
      <c r="G29" s="902" t="s">
        <v>188</v>
      </c>
      <c r="H29" s="902"/>
      <c r="I29" s="902"/>
      <c r="J29" s="902"/>
      <c r="K29" s="902"/>
      <c r="L29" s="902"/>
      <c r="M29" s="902"/>
      <c r="N29" s="902"/>
      <c r="O29" s="918" t="s">
        <v>170</v>
      </c>
      <c r="P29" s="919"/>
      <c r="Q29" s="920"/>
      <c r="R29" s="902" t="s">
        <v>178</v>
      </c>
      <c r="S29" s="902"/>
      <c r="T29" s="900"/>
      <c r="U29" s="893"/>
      <c r="V29" s="913"/>
      <c r="W29" s="922"/>
      <c r="X29" s="913"/>
      <c r="Y29" s="901"/>
      <c r="AA29" s="900"/>
      <c r="AB29" s="900"/>
      <c r="AC29" s="900"/>
      <c r="AD29" s="900"/>
      <c r="AE29" s="900"/>
      <c r="AF29" s="900"/>
      <c r="AG29" s="900"/>
      <c r="AH29" s="900"/>
    </row>
    <row r="30" spans="2:34" ht="38.5" customHeight="1">
      <c r="B30" s="907"/>
      <c r="C30" s="908"/>
      <c r="D30" s="899"/>
      <c r="E30" s="899"/>
      <c r="F30" s="917"/>
      <c r="G30" s="388" t="s">
        <v>179</v>
      </c>
      <c r="H30" s="388" t="s">
        <v>254</v>
      </c>
      <c r="I30" s="388" t="s">
        <v>255</v>
      </c>
      <c r="J30" s="388" t="s">
        <v>180</v>
      </c>
      <c r="K30" s="388" t="s">
        <v>252</v>
      </c>
      <c r="L30" s="388" t="s">
        <v>181</v>
      </c>
      <c r="M30" s="388" t="s">
        <v>189</v>
      </c>
      <c r="N30" s="388" t="s">
        <v>182</v>
      </c>
      <c r="O30" s="389" t="s">
        <v>183</v>
      </c>
      <c r="P30" s="389" t="s">
        <v>184</v>
      </c>
      <c r="Q30" s="388" t="s">
        <v>185</v>
      </c>
      <c r="R30" s="389" t="s">
        <v>183</v>
      </c>
      <c r="S30" s="389" t="s">
        <v>184</v>
      </c>
      <c r="T30" s="900"/>
      <c r="U30" s="896"/>
      <c r="V30" s="914"/>
      <c r="W30" s="923"/>
      <c r="X30" s="914"/>
      <c r="Y30" s="901"/>
      <c r="AA30" s="161" t="s">
        <v>246</v>
      </c>
      <c r="AB30" s="161" t="s">
        <v>491</v>
      </c>
      <c r="AC30" s="156" t="s">
        <v>397</v>
      </c>
      <c r="AD30" s="156" t="s">
        <v>341</v>
      </c>
      <c r="AE30" s="156" t="s">
        <v>465</v>
      </c>
      <c r="AF30" s="156" t="s">
        <v>217</v>
      </c>
      <c r="AG30" s="156" t="s">
        <v>218</v>
      </c>
      <c r="AH30" s="156" t="s">
        <v>398</v>
      </c>
    </row>
    <row r="31" spans="2:34" s="148" customFormat="1" ht="27" customHeight="1">
      <c r="B31" s="884" t="s">
        <v>619</v>
      </c>
      <c r="C31" s="885"/>
      <c r="D31" s="387">
        <v>1</v>
      </c>
      <c r="E31" s="390" t="s">
        <v>339</v>
      </c>
      <c r="F31" s="391">
        <v>20547.319099999993</v>
      </c>
      <c r="G31" s="392">
        <v>4712.29</v>
      </c>
      <c r="H31" s="392">
        <v>4669.24</v>
      </c>
      <c r="I31" s="393">
        <f>H31/G31</f>
        <v>0.9908643143779351</v>
      </c>
      <c r="J31" s="392">
        <v>182.42</v>
      </c>
      <c r="K31" s="393">
        <f>J31/G31</f>
        <v>3.8711539400164252E-2</v>
      </c>
      <c r="L31" s="392">
        <v>147.43000000000004</v>
      </c>
      <c r="M31" s="393">
        <f>(H31+J31)/G31</f>
        <v>1.0295758537780995</v>
      </c>
      <c r="N31" s="394">
        <v>20547.319099999993</v>
      </c>
      <c r="O31" s="392">
        <v>0</v>
      </c>
      <c r="P31" s="393">
        <f>O31/G31</f>
        <v>0</v>
      </c>
      <c r="Q31" s="407">
        <f>O31*L31</f>
        <v>0</v>
      </c>
      <c r="R31" s="395">
        <f>((H31+J31)-G31)-O31</f>
        <v>139.36999999999989</v>
      </c>
      <c r="S31" s="393">
        <f>R31/G31</f>
        <v>2.9575853778099372E-2</v>
      </c>
      <c r="T31" s="397" t="s">
        <v>176</v>
      </c>
      <c r="U31" s="397" t="s">
        <v>217</v>
      </c>
      <c r="V31" s="398" t="s">
        <v>482</v>
      </c>
      <c r="W31" s="398" t="s">
        <v>675</v>
      </c>
      <c r="X31" s="398">
        <v>1</v>
      </c>
      <c r="Y31" s="399" t="s">
        <v>344</v>
      </c>
      <c r="Z31" s="400" t="s">
        <v>492</v>
      </c>
      <c r="AA31" s="401">
        <f>SUM(X31:X50)</f>
        <v>20</v>
      </c>
      <c r="AB31" s="402">
        <f>SUMIF($U$31:$U$50,TRIM(AB30),$X$31:$X$50)</f>
        <v>0</v>
      </c>
      <c r="AC31" s="402">
        <f t="shared" ref="AC31:AH31" si="13">SUMIF($U$31:$U$50,TRIM(AC30),$X$31:$X$50)</f>
        <v>0</v>
      </c>
      <c r="AD31" s="402">
        <f t="shared" si="13"/>
        <v>0</v>
      </c>
      <c r="AE31" s="402">
        <f t="shared" si="13"/>
        <v>16</v>
      </c>
      <c r="AF31" s="402">
        <f t="shared" si="13"/>
        <v>1</v>
      </c>
      <c r="AG31" s="402">
        <f t="shared" si="13"/>
        <v>3</v>
      </c>
      <c r="AH31" s="402">
        <f t="shared" si="13"/>
        <v>0</v>
      </c>
    </row>
    <row r="32" spans="2:34" s="148" customFormat="1" ht="27" customHeight="1">
      <c r="B32" s="886"/>
      <c r="C32" s="887"/>
      <c r="D32" s="387">
        <v>2</v>
      </c>
      <c r="E32" s="390" t="s">
        <v>371</v>
      </c>
      <c r="F32" s="391">
        <v>8742.8780999999926</v>
      </c>
      <c r="G32" s="392">
        <v>725.05</v>
      </c>
      <c r="H32" s="392">
        <v>718.33999999999992</v>
      </c>
      <c r="I32" s="393">
        <f t="shared" ref="I32:I33" si="14">H32/G32</f>
        <v>0.99074546582994272</v>
      </c>
      <c r="J32" s="392">
        <v>27.2</v>
      </c>
      <c r="K32" s="393">
        <f t="shared" ref="K32:K37" si="15">J32/G32</f>
        <v>3.751465416178195E-2</v>
      </c>
      <c r="L32" s="392">
        <v>426.69</v>
      </c>
      <c r="M32" s="393">
        <f t="shared" ref="M32:M37" si="16">(H32+J32)/G32</f>
        <v>1.0282601199917247</v>
      </c>
      <c r="N32" s="394">
        <v>8742.8780999999926</v>
      </c>
      <c r="O32" s="392">
        <v>0</v>
      </c>
      <c r="P32" s="393">
        <f t="shared" ref="P32:P50" si="17">O32/G32</f>
        <v>0</v>
      </c>
      <c r="Q32" s="407">
        <f t="shared" ref="Q32:Q50" si="18">O32*L32</f>
        <v>0</v>
      </c>
      <c r="R32" s="395">
        <f t="shared" ref="R32:R50" si="19">((H32+J32)-G32)-O32</f>
        <v>20.490000000000009</v>
      </c>
      <c r="S32" s="393">
        <f t="shared" ref="S32:S50" si="20">R32/G32</f>
        <v>2.8260119991724723E-2</v>
      </c>
      <c r="T32" s="397" t="s">
        <v>176</v>
      </c>
      <c r="U32" s="397" t="s">
        <v>465</v>
      </c>
      <c r="V32" s="398" t="s">
        <v>517</v>
      </c>
      <c r="W32" s="398" t="s">
        <v>630</v>
      </c>
      <c r="X32" s="398">
        <v>1</v>
      </c>
      <c r="Y32" s="399" t="s">
        <v>372</v>
      </c>
      <c r="AA32" s="401"/>
      <c r="AB32" s="408">
        <f>SUMIF($U$31:$U$50,TRIM(AB30),$F$31:$F$50)</f>
        <v>0</v>
      </c>
      <c r="AC32" s="408">
        <f t="shared" ref="AC32:AH32" si="21">SUMIF($U$31:$U$50,TRIM(AC30),$F$31:$F$50)</f>
        <v>0</v>
      </c>
      <c r="AD32" s="408">
        <f t="shared" si="21"/>
        <v>0</v>
      </c>
      <c r="AE32" s="408">
        <f t="shared" si="21"/>
        <v>77263.155899999925</v>
      </c>
      <c r="AF32" s="408">
        <f t="shared" si="21"/>
        <v>20547.319099999993</v>
      </c>
      <c r="AG32" s="408">
        <f t="shared" si="21"/>
        <v>9407.677399999975</v>
      </c>
      <c r="AH32" s="408">
        <f t="shared" si="21"/>
        <v>0</v>
      </c>
    </row>
    <row r="33" spans="2:34" s="148" customFormat="1" ht="27" customHeight="1">
      <c r="B33" s="886"/>
      <c r="C33" s="887"/>
      <c r="D33" s="387">
        <v>3</v>
      </c>
      <c r="E33" s="390" t="s">
        <v>400</v>
      </c>
      <c r="F33" s="391">
        <v>8712.2959999999857</v>
      </c>
      <c r="G33" s="392">
        <v>4405.66</v>
      </c>
      <c r="H33" s="392">
        <v>4256.76</v>
      </c>
      <c r="I33" s="393">
        <f t="shared" si="14"/>
        <v>0.96620256669829274</v>
      </c>
      <c r="J33" s="392">
        <v>217.97</v>
      </c>
      <c r="K33" s="393">
        <f t="shared" si="15"/>
        <v>4.94749935310487E-2</v>
      </c>
      <c r="L33" s="392">
        <v>127.84000000000002</v>
      </c>
      <c r="M33" s="393">
        <f t="shared" si="16"/>
        <v>1.0156775602293415</v>
      </c>
      <c r="N33" s="394">
        <v>8829.9087999999847</v>
      </c>
      <c r="O33" s="392">
        <v>0.92</v>
      </c>
      <c r="P33" s="393">
        <f t="shared" si="17"/>
        <v>2.0882228769355786E-4</v>
      </c>
      <c r="Q33" s="407">
        <f t="shared" si="18"/>
        <v>117.61280000000002</v>
      </c>
      <c r="R33" s="395">
        <f t="shared" si="19"/>
        <v>68.150000000000617</v>
      </c>
      <c r="S33" s="393">
        <f t="shared" si="20"/>
        <v>1.546873794164793E-2</v>
      </c>
      <c r="T33" s="397" t="s">
        <v>176</v>
      </c>
      <c r="U33" s="397" t="s">
        <v>465</v>
      </c>
      <c r="V33" s="398" t="s">
        <v>552</v>
      </c>
      <c r="W33" s="398" t="s">
        <v>676</v>
      </c>
      <c r="X33" s="398">
        <v>1</v>
      </c>
      <c r="Y33" s="399" t="s">
        <v>344</v>
      </c>
      <c r="AA33" s="387"/>
      <c r="AB33" s="409">
        <f>AB31/$AA31</f>
        <v>0</v>
      </c>
      <c r="AC33" s="409">
        <f t="shared" ref="AC33:AH33" si="22">AC31/$AA31</f>
        <v>0</v>
      </c>
      <c r="AD33" s="409">
        <f t="shared" si="22"/>
        <v>0</v>
      </c>
      <c r="AE33" s="409">
        <f t="shared" si="22"/>
        <v>0.8</v>
      </c>
      <c r="AF33" s="409">
        <f t="shared" si="22"/>
        <v>0.05</v>
      </c>
      <c r="AG33" s="409">
        <f t="shared" si="22"/>
        <v>0.15</v>
      </c>
      <c r="AH33" s="409">
        <f t="shared" si="22"/>
        <v>0</v>
      </c>
    </row>
    <row r="34" spans="2:34" s="148" customFormat="1" ht="27" customHeight="1">
      <c r="B34" s="886"/>
      <c r="C34" s="887"/>
      <c r="D34" s="387">
        <v>4</v>
      </c>
      <c r="E34" s="390" t="s">
        <v>657</v>
      </c>
      <c r="F34" s="391">
        <v>6208.6949999999979</v>
      </c>
      <c r="G34" s="392">
        <v>2408.4</v>
      </c>
      <c r="H34" s="392">
        <v>2348.46</v>
      </c>
      <c r="I34" s="393">
        <f>H34/G34</f>
        <v>0.97511210762331835</v>
      </c>
      <c r="J34" s="392">
        <v>136.93</v>
      </c>
      <c r="K34" s="393">
        <f t="shared" si="15"/>
        <v>5.6855173559209438E-2</v>
      </c>
      <c r="L34" s="392">
        <v>84.3</v>
      </c>
      <c r="M34" s="393">
        <f t="shared" si="16"/>
        <v>1.0319672811825278</v>
      </c>
      <c r="N34" s="394">
        <v>6490.2569999999996</v>
      </c>
      <c r="O34" s="392">
        <v>3.34</v>
      </c>
      <c r="P34" s="393">
        <f t="shared" si="17"/>
        <v>1.3868128217904001E-3</v>
      </c>
      <c r="Q34" s="407">
        <f t="shared" si="18"/>
        <v>281.56199999999995</v>
      </c>
      <c r="R34" s="395">
        <f t="shared" si="19"/>
        <v>73.649999999999778</v>
      </c>
      <c r="S34" s="393">
        <f t="shared" si="20"/>
        <v>3.0580468360737325E-2</v>
      </c>
      <c r="T34" s="397" t="s">
        <v>176</v>
      </c>
      <c r="U34" s="397" t="s">
        <v>465</v>
      </c>
      <c r="V34" s="398" t="s">
        <v>534</v>
      </c>
      <c r="W34" s="398" t="s">
        <v>507</v>
      </c>
      <c r="X34" s="398">
        <v>1</v>
      </c>
      <c r="Y34" s="399" t="s">
        <v>611</v>
      </c>
    </row>
    <row r="35" spans="2:34" s="148" customFormat="1" ht="27" customHeight="1">
      <c r="B35" s="886"/>
      <c r="C35" s="887"/>
      <c r="D35" s="387">
        <v>5</v>
      </c>
      <c r="E35" s="390" t="s">
        <v>515</v>
      </c>
      <c r="F35" s="391">
        <v>5956.2491999999975</v>
      </c>
      <c r="G35" s="392">
        <v>1272.3500000000001</v>
      </c>
      <c r="H35" s="392">
        <v>1248.8300000000002</v>
      </c>
      <c r="I35" s="393">
        <f t="shared" ref="I35:I50" si="23">H35/G35</f>
        <v>0.98151452037568276</v>
      </c>
      <c r="J35" s="392">
        <v>68.290000000000006</v>
      </c>
      <c r="K35" s="393">
        <f t="shared" si="15"/>
        <v>5.3672338586080871E-2</v>
      </c>
      <c r="L35" s="392">
        <v>144.78</v>
      </c>
      <c r="M35" s="393">
        <f t="shared" si="16"/>
        <v>1.0351868589617637</v>
      </c>
      <c r="N35" s="394">
        <v>6481.8005999999978</v>
      </c>
      <c r="O35" s="392">
        <v>3.63</v>
      </c>
      <c r="P35" s="393">
        <f t="shared" si="17"/>
        <v>2.8529885644673239E-3</v>
      </c>
      <c r="Q35" s="407">
        <f t="shared" si="18"/>
        <v>525.55139999999994</v>
      </c>
      <c r="R35" s="395">
        <f t="shared" si="19"/>
        <v>41.139999999999979</v>
      </c>
      <c r="S35" s="393">
        <f t="shared" si="20"/>
        <v>3.2333870397296322E-2</v>
      </c>
      <c r="T35" s="397" t="s">
        <v>176</v>
      </c>
      <c r="U35" s="397" t="s">
        <v>465</v>
      </c>
      <c r="V35" s="398" t="s">
        <v>553</v>
      </c>
      <c r="W35" s="398" t="s">
        <v>677</v>
      </c>
      <c r="X35" s="398">
        <v>1</v>
      </c>
      <c r="Y35" s="399" t="s">
        <v>511</v>
      </c>
    </row>
    <row r="36" spans="2:34" s="148" customFormat="1" ht="27" customHeight="1">
      <c r="B36" s="886"/>
      <c r="C36" s="887"/>
      <c r="D36" s="387">
        <v>6</v>
      </c>
      <c r="E36" s="390" t="s">
        <v>658</v>
      </c>
      <c r="F36" s="391">
        <v>4538.371599999994</v>
      </c>
      <c r="G36" s="392">
        <v>2517.6200000000003</v>
      </c>
      <c r="H36" s="392">
        <v>2368.89</v>
      </c>
      <c r="I36" s="393">
        <f t="shared" si="23"/>
        <v>0.94092436507495159</v>
      </c>
      <c r="J36" s="392">
        <v>190.35</v>
      </c>
      <c r="K36" s="393">
        <f t="shared" si="15"/>
        <v>7.5607121011113665E-2</v>
      </c>
      <c r="L36" s="392">
        <v>118.30999999999997</v>
      </c>
      <c r="M36" s="393">
        <f t="shared" si="16"/>
        <v>1.0165314860860653</v>
      </c>
      <c r="N36" s="394">
        <v>4924.0621999999939</v>
      </c>
      <c r="O36" s="392">
        <v>3.2600000000000002</v>
      </c>
      <c r="P36" s="393">
        <f t="shared" si="17"/>
        <v>1.2948737299513032E-3</v>
      </c>
      <c r="Q36" s="407">
        <f t="shared" si="18"/>
        <v>385.69059999999996</v>
      </c>
      <c r="R36" s="395">
        <f t="shared" si="19"/>
        <v>38.359999999999438</v>
      </c>
      <c r="S36" s="393">
        <f t="shared" si="20"/>
        <v>1.5236612356113883E-2</v>
      </c>
      <c r="T36" s="397" t="s">
        <v>176</v>
      </c>
      <c r="U36" s="397" t="s">
        <v>465</v>
      </c>
      <c r="V36" s="398" t="s">
        <v>635</v>
      </c>
      <c r="W36" s="398" t="s">
        <v>524</v>
      </c>
      <c r="X36" s="398">
        <v>1</v>
      </c>
      <c r="Y36" s="399" t="s">
        <v>610</v>
      </c>
    </row>
    <row r="37" spans="2:34" s="148" customFormat="1" ht="27" customHeight="1">
      <c r="B37" s="886"/>
      <c r="C37" s="887"/>
      <c r="D37" s="387">
        <v>7</v>
      </c>
      <c r="E37" s="390" t="s">
        <v>340</v>
      </c>
      <c r="F37" s="391">
        <v>4453.3523999999952</v>
      </c>
      <c r="G37" s="392">
        <v>1712.9</v>
      </c>
      <c r="H37" s="392">
        <v>1626.6399999999999</v>
      </c>
      <c r="I37" s="393">
        <f t="shared" si="23"/>
        <v>0.94964095977581864</v>
      </c>
      <c r="J37" s="392">
        <v>157.79999999999998</v>
      </c>
      <c r="K37" s="393">
        <f t="shared" si="15"/>
        <v>9.2124467277716143E-2</v>
      </c>
      <c r="L37" s="392">
        <v>70.220000000000013</v>
      </c>
      <c r="M37" s="393">
        <f t="shared" si="16"/>
        <v>1.0417654270535348</v>
      </c>
      <c r="N37" s="394">
        <v>5023.5387999999948</v>
      </c>
      <c r="O37" s="392">
        <v>8.120000000000001</v>
      </c>
      <c r="P37" s="393">
        <f t="shared" si="17"/>
        <v>4.7404985696771563E-3</v>
      </c>
      <c r="Q37" s="407">
        <f t="shared" si="18"/>
        <v>570.18640000000016</v>
      </c>
      <c r="R37" s="395">
        <f t="shared" si="19"/>
        <v>63.419999999999732</v>
      </c>
      <c r="S37" s="393">
        <f t="shared" si="20"/>
        <v>3.7024928483857626E-2</v>
      </c>
      <c r="T37" s="397" t="s">
        <v>176</v>
      </c>
      <c r="U37" s="397" t="s">
        <v>465</v>
      </c>
      <c r="V37" s="398" t="s">
        <v>534</v>
      </c>
      <c r="W37" s="398" t="s">
        <v>507</v>
      </c>
      <c r="X37" s="398">
        <v>1</v>
      </c>
      <c r="Y37" s="399" t="s">
        <v>347</v>
      </c>
    </row>
    <row r="38" spans="2:34" s="148" customFormat="1" ht="27" customHeight="1">
      <c r="B38" s="886"/>
      <c r="C38" s="887"/>
      <c r="D38" s="387">
        <v>8</v>
      </c>
      <c r="E38" s="390" t="s">
        <v>436</v>
      </c>
      <c r="F38" s="391">
        <v>4429.8321999999953</v>
      </c>
      <c r="G38" s="392">
        <v>1800.52</v>
      </c>
      <c r="H38" s="392">
        <v>1811.5</v>
      </c>
      <c r="I38" s="393">
        <f t="shared" si="23"/>
        <v>1.0060982382867172</v>
      </c>
      <c r="J38" s="392">
        <v>17.96</v>
      </c>
      <c r="K38" s="393">
        <f>J38/G38</f>
        <v>9.9748961411147904E-3</v>
      </c>
      <c r="L38" s="392">
        <v>157.87000000000003</v>
      </c>
      <c r="M38" s="393">
        <f>(H38+J38)/G38</f>
        <v>1.016073134427832</v>
      </c>
      <c r="N38" s="394">
        <v>4568.7577999999949</v>
      </c>
      <c r="O38" s="392">
        <v>0.88</v>
      </c>
      <c r="P38" s="393">
        <f t="shared" si="17"/>
        <v>4.8874769511030145E-4</v>
      </c>
      <c r="Q38" s="407">
        <f t="shared" si="18"/>
        <v>138.92560000000003</v>
      </c>
      <c r="R38" s="395">
        <f t="shared" si="19"/>
        <v>28.060000000000056</v>
      </c>
      <c r="S38" s="393">
        <f t="shared" si="20"/>
        <v>1.5584386732721689E-2</v>
      </c>
      <c r="T38" s="397" t="s">
        <v>176</v>
      </c>
      <c r="U38" s="397" t="s">
        <v>465</v>
      </c>
      <c r="V38" s="398" t="s">
        <v>635</v>
      </c>
      <c r="W38" s="398" t="s">
        <v>524</v>
      </c>
      <c r="X38" s="398">
        <v>1</v>
      </c>
      <c r="Y38" s="399" t="s">
        <v>344</v>
      </c>
    </row>
    <row r="39" spans="2:34" s="148" customFormat="1" ht="27" customHeight="1">
      <c r="B39" s="886"/>
      <c r="C39" s="887"/>
      <c r="D39" s="387">
        <v>9</v>
      </c>
      <c r="E39" s="390" t="s">
        <v>605</v>
      </c>
      <c r="F39" s="391">
        <v>4369.6547999999948</v>
      </c>
      <c r="G39" s="392">
        <v>1105.4100000000001</v>
      </c>
      <c r="H39" s="392">
        <v>1095.6599999999999</v>
      </c>
      <c r="I39" s="393">
        <f t="shared" si="23"/>
        <v>0.99117974326268066</v>
      </c>
      <c r="J39" s="392">
        <v>27.74</v>
      </c>
      <c r="K39" s="393">
        <f t="shared" ref="K39:K50" si="24">J39/G39</f>
        <v>2.5094761219818889E-2</v>
      </c>
      <c r="L39" s="392">
        <v>266.27999999999997</v>
      </c>
      <c r="M39" s="393">
        <f t="shared" ref="M39:M50" si="25">(H39+J39)/G39</f>
        <v>1.0162745044824995</v>
      </c>
      <c r="N39" s="394">
        <v>4790.3771999999944</v>
      </c>
      <c r="O39" s="392">
        <v>1.58</v>
      </c>
      <c r="P39" s="393">
        <f t="shared" si="17"/>
        <v>1.4293339123040319E-3</v>
      </c>
      <c r="Q39" s="407">
        <f t="shared" si="18"/>
        <v>420.72239999999999</v>
      </c>
      <c r="R39" s="395">
        <f t="shared" si="19"/>
        <v>16.409999999999783</v>
      </c>
      <c r="S39" s="393">
        <f t="shared" si="20"/>
        <v>1.4845170570195477E-2</v>
      </c>
      <c r="T39" s="397" t="s">
        <v>176</v>
      </c>
      <c r="U39" s="397" t="s">
        <v>465</v>
      </c>
      <c r="V39" s="398" t="s">
        <v>545</v>
      </c>
      <c r="W39" s="398" t="s">
        <v>597</v>
      </c>
      <c r="X39" s="398">
        <v>1</v>
      </c>
      <c r="Y39" s="399" t="s">
        <v>606</v>
      </c>
    </row>
    <row r="40" spans="2:34" s="148" customFormat="1" ht="27" customHeight="1">
      <c r="B40" s="886"/>
      <c r="C40" s="887"/>
      <c r="D40" s="387">
        <v>10</v>
      </c>
      <c r="E40" s="390" t="s">
        <v>539</v>
      </c>
      <c r="F40" s="391">
        <v>4333.2299999999905</v>
      </c>
      <c r="G40" s="392">
        <v>756.96</v>
      </c>
      <c r="H40" s="392">
        <v>703.01</v>
      </c>
      <c r="I40" s="393">
        <f t="shared" si="23"/>
        <v>0.92872807017543857</v>
      </c>
      <c r="J40" s="392">
        <v>81.97</v>
      </c>
      <c r="K40" s="393">
        <f t="shared" si="24"/>
        <v>0.10828841682519551</v>
      </c>
      <c r="L40" s="392">
        <v>160.49</v>
      </c>
      <c r="M40" s="393">
        <f t="shared" si="25"/>
        <v>1.037016487000634</v>
      </c>
      <c r="N40" s="394">
        <v>4496.9297999999908</v>
      </c>
      <c r="O40" s="392">
        <v>1.02</v>
      </c>
      <c r="P40" s="393">
        <f t="shared" si="17"/>
        <v>1.3474952441344325E-3</v>
      </c>
      <c r="Q40" s="407">
        <f t="shared" si="18"/>
        <v>163.69980000000001</v>
      </c>
      <c r="R40" s="395">
        <f t="shared" si="19"/>
        <v>26.999999999999982</v>
      </c>
      <c r="S40" s="393">
        <f t="shared" si="20"/>
        <v>3.5668991756499659E-2</v>
      </c>
      <c r="T40" s="397" t="s">
        <v>176</v>
      </c>
      <c r="U40" s="397" t="s">
        <v>465</v>
      </c>
      <c r="V40" s="398" t="s">
        <v>552</v>
      </c>
      <c r="W40" s="398" t="s">
        <v>568</v>
      </c>
      <c r="X40" s="398">
        <v>1</v>
      </c>
      <c r="Y40" s="399" t="s">
        <v>471</v>
      </c>
    </row>
    <row r="41" spans="2:34" s="148" customFormat="1" ht="27" customHeight="1">
      <c r="B41" s="886"/>
      <c r="C41" s="887"/>
      <c r="D41" s="387">
        <v>11</v>
      </c>
      <c r="E41" s="390" t="s">
        <v>461</v>
      </c>
      <c r="F41" s="391">
        <v>4229.0135000000028</v>
      </c>
      <c r="G41" s="392">
        <v>1837.2199999999998</v>
      </c>
      <c r="H41" s="392">
        <v>1797.75</v>
      </c>
      <c r="I41" s="393">
        <f t="shared" si="23"/>
        <v>0.97851645420798827</v>
      </c>
      <c r="J41" s="392">
        <v>109.55</v>
      </c>
      <c r="K41" s="393">
        <f t="shared" si="24"/>
        <v>5.9628133810866422E-2</v>
      </c>
      <c r="L41" s="392">
        <v>66.13</v>
      </c>
      <c r="M41" s="393">
        <f t="shared" si="25"/>
        <v>1.0381445880188547</v>
      </c>
      <c r="N41" s="394">
        <v>4634.390400000002</v>
      </c>
      <c r="O41" s="392">
        <v>6.1300000000000008</v>
      </c>
      <c r="P41" s="393">
        <f t="shared" si="17"/>
        <v>3.3365628503935303E-3</v>
      </c>
      <c r="Q41" s="407">
        <f t="shared" si="18"/>
        <v>405.37690000000003</v>
      </c>
      <c r="R41" s="395">
        <f t="shared" si="19"/>
        <v>63.950000000000152</v>
      </c>
      <c r="S41" s="393">
        <f t="shared" si="20"/>
        <v>3.4808025168461133E-2</v>
      </c>
      <c r="T41" s="397" t="s">
        <v>176</v>
      </c>
      <c r="U41" s="397" t="s">
        <v>465</v>
      </c>
      <c r="V41" s="398" t="s">
        <v>534</v>
      </c>
      <c r="W41" s="398" t="s">
        <v>507</v>
      </c>
      <c r="X41" s="398">
        <v>1</v>
      </c>
      <c r="Y41" s="399" t="s">
        <v>345</v>
      </c>
    </row>
    <row r="42" spans="2:34" s="148" customFormat="1" ht="27" customHeight="1">
      <c r="B42" s="886"/>
      <c r="C42" s="887"/>
      <c r="D42" s="387">
        <v>12</v>
      </c>
      <c r="E42" s="390" t="s">
        <v>470</v>
      </c>
      <c r="F42" s="391">
        <v>4159.9819999999945</v>
      </c>
      <c r="G42" s="392">
        <v>475.81</v>
      </c>
      <c r="H42" s="392">
        <v>468.67000000000007</v>
      </c>
      <c r="I42" s="393">
        <f t="shared" si="23"/>
        <v>0.98499401021416122</v>
      </c>
      <c r="J42" s="392">
        <v>19.959999999999997</v>
      </c>
      <c r="K42" s="393">
        <f t="shared" si="24"/>
        <v>4.1949517664614022E-2</v>
      </c>
      <c r="L42" s="392">
        <v>368.13999999999993</v>
      </c>
      <c r="M42" s="393">
        <f t="shared" si="25"/>
        <v>1.0269435278787753</v>
      </c>
      <c r="N42" s="394">
        <v>4719.5547999999944</v>
      </c>
      <c r="O42" s="392">
        <v>1.52</v>
      </c>
      <c r="P42" s="393">
        <f t="shared" si="17"/>
        <v>3.1945524474054771E-3</v>
      </c>
      <c r="Q42" s="407">
        <f t="shared" si="18"/>
        <v>559.57279999999992</v>
      </c>
      <c r="R42" s="395">
        <f t="shared" si="19"/>
        <v>11.30000000000005</v>
      </c>
      <c r="S42" s="393">
        <f t="shared" si="20"/>
        <v>2.3748975431369772E-2</v>
      </c>
      <c r="T42" s="397" t="s">
        <v>176</v>
      </c>
      <c r="U42" s="397" t="s">
        <v>465</v>
      </c>
      <c r="V42" s="398" t="s">
        <v>556</v>
      </c>
      <c r="W42" s="398" t="s">
        <v>570</v>
      </c>
      <c r="X42" s="398">
        <v>1</v>
      </c>
      <c r="Y42" s="399" t="s">
        <v>471</v>
      </c>
    </row>
    <row r="43" spans="2:34" s="148" customFormat="1" ht="27" customHeight="1">
      <c r="B43" s="886"/>
      <c r="C43" s="887"/>
      <c r="D43" s="387">
        <v>13</v>
      </c>
      <c r="E43" s="390" t="s">
        <v>369</v>
      </c>
      <c r="F43" s="391">
        <v>4116.6125000000029</v>
      </c>
      <c r="G43" s="392">
        <v>1178.2</v>
      </c>
      <c r="H43" s="392">
        <v>1191.5</v>
      </c>
      <c r="I43" s="393">
        <f t="shared" si="23"/>
        <v>1.0112884060431166</v>
      </c>
      <c r="J43" s="392">
        <v>13.650000000000002</v>
      </c>
      <c r="K43" s="393">
        <f t="shared" si="24"/>
        <v>1.1585469360040741E-2</v>
      </c>
      <c r="L43" s="392">
        <v>152.75</v>
      </c>
      <c r="M43" s="393">
        <f t="shared" si="25"/>
        <v>1.0228738754031574</v>
      </c>
      <c r="N43" s="394">
        <v>4116.6125000000029</v>
      </c>
      <c r="O43" s="392">
        <v>0</v>
      </c>
      <c r="P43" s="393">
        <f t="shared" si="17"/>
        <v>0</v>
      </c>
      <c r="Q43" s="407">
        <f t="shared" si="18"/>
        <v>0</v>
      </c>
      <c r="R43" s="395">
        <f t="shared" si="19"/>
        <v>26.950000000000045</v>
      </c>
      <c r="S43" s="393">
        <f t="shared" si="20"/>
        <v>2.2873875403157395E-2</v>
      </c>
      <c r="T43" s="397" t="s">
        <v>176</v>
      </c>
      <c r="U43" s="397" t="s">
        <v>465</v>
      </c>
      <c r="V43" s="398" t="s">
        <v>513</v>
      </c>
      <c r="W43" s="398" t="s">
        <v>506</v>
      </c>
      <c r="X43" s="398">
        <v>1</v>
      </c>
      <c r="Y43" s="399" t="s">
        <v>372</v>
      </c>
    </row>
    <row r="44" spans="2:34" s="148" customFormat="1" ht="27" customHeight="1">
      <c r="B44" s="886"/>
      <c r="C44" s="887"/>
      <c r="D44" s="387">
        <v>14</v>
      </c>
      <c r="E44" s="390" t="s">
        <v>463</v>
      </c>
      <c r="F44" s="391">
        <v>4099.8120000000054</v>
      </c>
      <c r="G44" s="392">
        <v>1316.16</v>
      </c>
      <c r="H44" s="392">
        <v>1271.1600000000001</v>
      </c>
      <c r="I44" s="393">
        <f t="shared" si="23"/>
        <v>0.9658096280087527</v>
      </c>
      <c r="J44" s="392">
        <v>88.999999999999986</v>
      </c>
      <c r="K44" s="393">
        <f t="shared" si="24"/>
        <v>6.7620957938244575E-2</v>
      </c>
      <c r="L44" s="392">
        <v>99.51</v>
      </c>
      <c r="M44" s="393">
        <f t="shared" si="25"/>
        <v>1.0334305859469972</v>
      </c>
      <c r="N44" s="394">
        <v>4378.4400000000051</v>
      </c>
      <c r="O44" s="392">
        <v>2.8</v>
      </c>
      <c r="P44" s="393">
        <f t="shared" si="17"/>
        <v>2.1274009238998297E-3</v>
      </c>
      <c r="Q44" s="407">
        <f t="shared" si="18"/>
        <v>278.62799999999999</v>
      </c>
      <c r="R44" s="395">
        <f t="shared" si="19"/>
        <v>41.2</v>
      </c>
      <c r="S44" s="393">
        <f t="shared" si="20"/>
        <v>3.1303185023097493E-2</v>
      </c>
      <c r="T44" s="397" t="s">
        <v>176</v>
      </c>
      <c r="U44" s="397" t="s">
        <v>465</v>
      </c>
      <c r="V44" s="398" t="s">
        <v>534</v>
      </c>
      <c r="W44" s="398" t="s">
        <v>507</v>
      </c>
      <c r="X44" s="398">
        <v>1</v>
      </c>
      <c r="Y44" s="399" t="s">
        <v>358</v>
      </c>
      <c r="AC44" s="404"/>
    </row>
    <row r="45" spans="2:34" s="148" customFormat="1" ht="27" customHeight="1">
      <c r="B45" s="886"/>
      <c r="C45" s="887"/>
      <c r="D45" s="387">
        <v>15</v>
      </c>
      <c r="E45" s="390" t="s">
        <v>538</v>
      </c>
      <c r="F45" s="391">
        <v>3763.4401999999886</v>
      </c>
      <c r="G45" s="392">
        <v>1184.57</v>
      </c>
      <c r="H45" s="392">
        <v>1189.57</v>
      </c>
      <c r="I45" s="393">
        <f t="shared" si="23"/>
        <v>1.0042209409321525</v>
      </c>
      <c r="J45" s="392">
        <v>5.25</v>
      </c>
      <c r="K45" s="393">
        <f t="shared" si="24"/>
        <v>4.4319879787602257E-3</v>
      </c>
      <c r="L45" s="392">
        <v>407.74000000000007</v>
      </c>
      <c r="M45" s="393">
        <f t="shared" si="25"/>
        <v>1.0086529289109127</v>
      </c>
      <c r="N45" s="394">
        <v>4179.3349999999891</v>
      </c>
      <c r="O45" s="392">
        <v>1.02</v>
      </c>
      <c r="P45" s="393">
        <f t="shared" si="17"/>
        <v>8.6107195015912958E-4</v>
      </c>
      <c r="Q45" s="407">
        <f t="shared" si="18"/>
        <v>415.89480000000009</v>
      </c>
      <c r="R45" s="395">
        <f t="shared" si="19"/>
        <v>9.23</v>
      </c>
      <c r="S45" s="393">
        <f t="shared" si="20"/>
        <v>7.7918569607536917E-3</v>
      </c>
      <c r="T45" s="397" t="s">
        <v>176</v>
      </c>
      <c r="U45" s="397" t="s">
        <v>218</v>
      </c>
      <c r="V45" s="398" t="s">
        <v>633</v>
      </c>
      <c r="W45" s="398" t="s">
        <v>678</v>
      </c>
      <c r="X45" s="398">
        <v>1</v>
      </c>
      <c r="Y45" s="399" t="s">
        <v>540</v>
      </c>
      <c r="AC45" s="403"/>
    </row>
    <row r="46" spans="2:34" s="148" customFormat="1" ht="27" customHeight="1">
      <c r="B46" s="886"/>
      <c r="C46" s="887"/>
      <c r="D46" s="387">
        <v>16</v>
      </c>
      <c r="E46" s="390" t="s">
        <v>659</v>
      </c>
      <c r="F46" s="391">
        <v>3757.975299999991</v>
      </c>
      <c r="G46" s="392">
        <v>885.72</v>
      </c>
      <c r="H46" s="392">
        <v>862.19</v>
      </c>
      <c r="I46" s="393">
        <f t="shared" si="23"/>
        <v>0.97343404236101705</v>
      </c>
      <c r="J46" s="392">
        <v>57.07</v>
      </c>
      <c r="K46" s="393">
        <f t="shared" si="24"/>
        <v>6.4433455268030529E-2</v>
      </c>
      <c r="L46" s="392">
        <v>128.38999999999999</v>
      </c>
      <c r="M46" s="393">
        <f t="shared" si="25"/>
        <v>1.0378674976290476</v>
      </c>
      <c r="N46" s="394">
        <v>4306.200599999991</v>
      </c>
      <c r="O46" s="392">
        <v>4.2700000000000005</v>
      </c>
      <c r="P46" s="393">
        <f t="shared" si="17"/>
        <v>4.8209366391184574E-3</v>
      </c>
      <c r="Q46" s="407">
        <f t="shared" si="18"/>
        <v>548.22529999999995</v>
      </c>
      <c r="R46" s="395">
        <f t="shared" si="19"/>
        <v>29.270000000000078</v>
      </c>
      <c r="S46" s="393">
        <f t="shared" si="20"/>
        <v>3.3046560989929183E-2</v>
      </c>
      <c r="T46" s="397" t="s">
        <v>176</v>
      </c>
      <c r="U46" s="397" t="s">
        <v>465</v>
      </c>
      <c r="V46" s="398" t="s">
        <v>679</v>
      </c>
      <c r="W46" s="398" t="s">
        <v>524</v>
      </c>
      <c r="X46" s="398">
        <v>1</v>
      </c>
      <c r="Y46" s="399" t="s">
        <v>360</v>
      </c>
      <c r="AC46" s="403"/>
    </row>
    <row r="47" spans="2:34" s="148" customFormat="1" ht="27" customHeight="1">
      <c r="B47" s="886"/>
      <c r="C47" s="887"/>
      <c r="D47" s="387">
        <v>17</v>
      </c>
      <c r="E47" s="390" t="s">
        <v>523</v>
      </c>
      <c r="F47" s="391">
        <v>3477.177199999986</v>
      </c>
      <c r="G47" s="392">
        <v>1113.6600000000001</v>
      </c>
      <c r="H47" s="392">
        <v>1107.47</v>
      </c>
      <c r="I47" s="393">
        <f t="shared" si="23"/>
        <v>0.99444175062406837</v>
      </c>
      <c r="J47" s="392">
        <v>12.59</v>
      </c>
      <c r="K47" s="393">
        <f t="shared" si="24"/>
        <v>1.1305066178187238E-2</v>
      </c>
      <c r="L47" s="392">
        <v>605.77999999999986</v>
      </c>
      <c r="M47" s="393">
        <f t="shared" si="25"/>
        <v>1.0057468168022554</v>
      </c>
      <c r="N47" s="394">
        <v>3876.9919999999861</v>
      </c>
      <c r="O47" s="392">
        <v>0.66</v>
      </c>
      <c r="P47" s="393">
        <f t="shared" si="17"/>
        <v>5.9264048273261134E-4</v>
      </c>
      <c r="Q47" s="407">
        <f t="shared" si="18"/>
        <v>399.81479999999993</v>
      </c>
      <c r="R47" s="395">
        <f t="shared" si="19"/>
        <v>5.7399999999998634</v>
      </c>
      <c r="S47" s="393">
        <f t="shared" si="20"/>
        <v>5.1541763195228915E-3</v>
      </c>
      <c r="T47" s="397" t="s">
        <v>176</v>
      </c>
      <c r="U47" s="397" t="s">
        <v>218</v>
      </c>
      <c r="V47" s="398" t="s">
        <v>525</v>
      </c>
      <c r="W47" s="398" t="s">
        <v>526</v>
      </c>
      <c r="X47" s="398">
        <v>1</v>
      </c>
      <c r="Y47" s="399" t="s">
        <v>346</v>
      </c>
      <c r="AB47" s="405"/>
      <c r="AC47" s="403"/>
    </row>
    <row r="48" spans="2:34" s="148" customFormat="1" ht="27" customHeight="1">
      <c r="B48" s="886"/>
      <c r="C48" s="887"/>
      <c r="D48" s="387">
        <v>18</v>
      </c>
      <c r="E48" s="390" t="s">
        <v>660</v>
      </c>
      <c r="F48" s="391">
        <v>2587.457399999992</v>
      </c>
      <c r="G48" s="392">
        <v>238.85</v>
      </c>
      <c r="H48" s="392">
        <v>221.09999999999997</v>
      </c>
      <c r="I48" s="393">
        <f t="shared" si="23"/>
        <v>0.92568557672179175</v>
      </c>
      <c r="J48" s="392">
        <v>24.85</v>
      </c>
      <c r="K48" s="393">
        <f t="shared" si="24"/>
        <v>0.10404019258949132</v>
      </c>
      <c r="L48" s="392">
        <v>421.40999999999997</v>
      </c>
      <c r="M48" s="393">
        <f t="shared" si="25"/>
        <v>1.0297257693112831</v>
      </c>
      <c r="N48" s="394">
        <v>2992.0109999999918</v>
      </c>
      <c r="O48" s="392">
        <v>0.96</v>
      </c>
      <c r="P48" s="393">
        <f t="shared" si="17"/>
        <v>4.019258949131254E-3</v>
      </c>
      <c r="Q48" s="407">
        <f t="shared" si="18"/>
        <v>404.55359999999996</v>
      </c>
      <c r="R48" s="395">
        <f t="shared" si="19"/>
        <v>6.1399999999999659</v>
      </c>
      <c r="S48" s="393">
        <f t="shared" si="20"/>
        <v>2.5706510362151835E-2</v>
      </c>
      <c r="T48" s="397" t="s">
        <v>176</v>
      </c>
      <c r="U48" s="397" t="s">
        <v>465</v>
      </c>
      <c r="V48" s="398" t="s">
        <v>680</v>
      </c>
      <c r="W48" s="398" t="s">
        <v>681</v>
      </c>
      <c r="X48" s="398">
        <v>1</v>
      </c>
      <c r="Y48" s="399" t="s">
        <v>483</v>
      </c>
      <c r="AC48" s="403"/>
    </row>
    <row r="49" spans="2:34" s="148" customFormat="1" ht="27" customHeight="1">
      <c r="B49" s="886"/>
      <c r="C49" s="887"/>
      <c r="D49" s="387">
        <v>19</v>
      </c>
      <c r="E49" s="390" t="s">
        <v>563</v>
      </c>
      <c r="F49" s="391">
        <v>2567.7438999999999</v>
      </c>
      <c r="G49" s="392">
        <v>16870</v>
      </c>
      <c r="H49" s="392">
        <v>16577.330000000002</v>
      </c>
      <c r="I49" s="393">
        <f t="shared" si="23"/>
        <v>0.98265145228215778</v>
      </c>
      <c r="J49" s="392">
        <v>1200</v>
      </c>
      <c r="K49" s="393">
        <f t="shared" si="24"/>
        <v>7.1132187314759926E-2</v>
      </c>
      <c r="L49" s="392">
        <v>2.8300000000000005</v>
      </c>
      <c r="M49" s="393">
        <f t="shared" si="25"/>
        <v>1.0537836395969178</v>
      </c>
      <c r="N49" s="394">
        <v>2567.7438999999999</v>
      </c>
      <c r="O49" s="392">
        <v>0</v>
      </c>
      <c r="P49" s="393">
        <f t="shared" si="17"/>
        <v>0</v>
      </c>
      <c r="Q49" s="407">
        <f t="shared" si="18"/>
        <v>0</v>
      </c>
      <c r="R49" s="395">
        <f t="shared" si="19"/>
        <v>907.33000000000175</v>
      </c>
      <c r="S49" s="393">
        <f t="shared" si="20"/>
        <v>5.3783639596917711E-2</v>
      </c>
      <c r="T49" s="397" t="s">
        <v>176</v>
      </c>
      <c r="U49" s="397" t="s">
        <v>465</v>
      </c>
      <c r="V49" s="398" t="s">
        <v>571</v>
      </c>
      <c r="W49" s="398" t="s">
        <v>572</v>
      </c>
      <c r="X49" s="398">
        <v>1</v>
      </c>
      <c r="Y49" s="399" t="s">
        <v>474</v>
      </c>
      <c r="AB49" s="406"/>
      <c r="AC49" s="403"/>
    </row>
    <row r="50" spans="2:34" s="148" customFormat="1" ht="27" customHeight="1">
      <c r="B50" s="888"/>
      <c r="C50" s="889"/>
      <c r="D50" s="387">
        <v>20</v>
      </c>
      <c r="E50" s="390" t="s">
        <v>512</v>
      </c>
      <c r="F50" s="391">
        <v>2167.06</v>
      </c>
      <c r="G50" s="392">
        <v>244511</v>
      </c>
      <c r="H50" s="392">
        <v>243694</v>
      </c>
      <c r="I50" s="393">
        <f t="shared" si="23"/>
        <v>0.99665863703473467</v>
      </c>
      <c r="J50" s="392">
        <v>1490</v>
      </c>
      <c r="K50" s="393">
        <f t="shared" si="24"/>
        <v>6.0937953711693955E-3</v>
      </c>
      <c r="L50" s="392">
        <v>3.2199999999999998</v>
      </c>
      <c r="M50" s="393">
        <f t="shared" si="25"/>
        <v>1.0027524324059041</v>
      </c>
      <c r="N50" s="394">
        <v>2167.06</v>
      </c>
      <c r="O50" s="392">
        <v>0</v>
      </c>
      <c r="P50" s="393">
        <f t="shared" si="17"/>
        <v>0</v>
      </c>
      <c r="Q50" s="407">
        <f t="shared" si="18"/>
        <v>0</v>
      </c>
      <c r="R50" s="395">
        <f t="shared" si="19"/>
        <v>673</v>
      </c>
      <c r="S50" s="393">
        <f t="shared" si="20"/>
        <v>2.7524324059040287E-3</v>
      </c>
      <c r="T50" s="397" t="s">
        <v>176</v>
      </c>
      <c r="U50" s="397" t="s">
        <v>218</v>
      </c>
      <c r="V50" s="398" t="s">
        <v>633</v>
      </c>
      <c r="W50" s="398" t="s">
        <v>634</v>
      </c>
      <c r="X50" s="398">
        <v>1</v>
      </c>
      <c r="Y50" s="399" t="s">
        <v>344</v>
      </c>
      <c r="AB50" s="406"/>
      <c r="AC50" s="403"/>
    </row>
    <row r="51" spans="2:34" ht="16.5" customHeight="1">
      <c r="B51" s="903" t="s">
        <v>488</v>
      </c>
      <c r="C51" s="904"/>
      <c r="D51" s="900" t="s">
        <v>172</v>
      </c>
      <c r="E51" s="900"/>
      <c r="F51" s="900"/>
      <c r="G51" s="900" t="s">
        <v>186</v>
      </c>
      <c r="H51" s="900"/>
      <c r="I51" s="900"/>
      <c r="J51" s="900"/>
      <c r="K51" s="900"/>
      <c r="L51" s="900"/>
      <c r="M51" s="900"/>
      <c r="N51" s="900"/>
      <c r="O51" s="900"/>
      <c r="P51" s="900"/>
      <c r="Q51" s="900"/>
      <c r="R51" s="900"/>
      <c r="S51" s="900"/>
      <c r="T51" s="900" t="s">
        <v>173</v>
      </c>
      <c r="U51" s="890" t="s">
        <v>247</v>
      </c>
      <c r="V51" s="921" t="s">
        <v>496</v>
      </c>
      <c r="W51" s="921" t="s">
        <v>490</v>
      </c>
      <c r="X51" s="912" t="s">
        <v>248</v>
      </c>
      <c r="Y51" s="901" t="s">
        <v>174</v>
      </c>
      <c r="AA51" s="900" t="s">
        <v>249</v>
      </c>
      <c r="AB51" s="900"/>
      <c r="AC51" s="900"/>
      <c r="AD51" s="900"/>
      <c r="AE51" s="900"/>
      <c r="AF51" s="900"/>
      <c r="AG51" s="900"/>
      <c r="AH51" s="900"/>
    </row>
    <row r="52" spans="2:34" ht="17.149999999999999" customHeight="1">
      <c r="B52" s="905"/>
      <c r="C52" s="906"/>
      <c r="D52" s="899" t="s">
        <v>171</v>
      </c>
      <c r="E52" s="900" t="s">
        <v>175</v>
      </c>
      <c r="F52" s="900"/>
      <c r="G52" s="900" t="s">
        <v>187</v>
      </c>
      <c r="H52" s="900"/>
      <c r="I52" s="900"/>
      <c r="J52" s="900"/>
      <c r="K52" s="900"/>
      <c r="L52" s="900"/>
      <c r="M52" s="900"/>
      <c r="N52" s="900"/>
      <c r="O52" s="900" t="s">
        <v>176</v>
      </c>
      <c r="P52" s="900"/>
      <c r="Q52" s="900"/>
      <c r="R52" s="900"/>
      <c r="S52" s="900"/>
      <c r="T52" s="900"/>
      <c r="U52" s="893"/>
      <c r="V52" s="913"/>
      <c r="W52" s="922"/>
      <c r="X52" s="913"/>
      <c r="Y52" s="901"/>
      <c r="AA52" s="900"/>
      <c r="AB52" s="900"/>
      <c r="AC52" s="900"/>
      <c r="AD52" s="900"/>
      <c r="AE52" s="900"/>
      <c r="AF52" s="900"/>
      <c r="AG52" s="900"/>
      <c r="AH52" s="900"/>
    </row>
    <row r="53" spans="2:34" ht="17.149999999999999" customHeight="1">
      <c r="B53" s="905"/>
      <c r="C53" s="906"/>
      <c r="D53" s="899"/>
      <c r="E53" s="899" t="s">
        <v>177</v>
      </c>
      <c r="F53" s="917" t="s">
        <v>497</v>
      </c>
      <c r="G53" s="902" t="s">
        <v>188</v>
      </c>
      <c r="H53" s="902"/>
      <c r="I53" s="902"/>
      <c r="J53" s="902"/>
      <c r="K53" s="902"/>
      <c r="L53" s="902"/>
      <c r="M53" s="902"/>
      <c r="N53" s="902"/>
      <c r="O53" s="918" t="s">
        <v>170</v>
      </c>
      <c r="P53" s="919"/>
      <c r="Q53" s="920"/>
      <c r="R53" s="902" t="s">
        <v>178</v>
      </c>
      <c r="S53" s="902"/>
      <c r="T53" s="900"/>
      <c r="U53" s="893"/>
      <c r="V53" s="913"/>
      <c r="W53" s="922"/>
      <c r="X53" s="913"/>
      <c r="Y53" s="901"/>
      <c r="AA53" s="900"/>
      <c r="AB53" s="900"/>
      <c r="AC53" s="900"/>
      <c r="AD53" s="900"/>
      <c r="AE53" s="900"/>
      <c r="AF53" s="900"/>
      <c r="AG53" s="900"/>
      <c r="AH53" s="900"/>
    </row>
    <row r="54" spans="2:34" ht="38.5" customHeight="1">
      <c r="B54" s="907"/>
      <c r="C54" s="908"/>
      <c r="D54" s="899"/>
      <c r="E54" s="899"/>
      <c r="F54" s="917"/>
      <c r="G54" s="388" t="s">
        <v>179</v>
      </c>
      <c r="H54" s="388" t="s">
        <v>254</v>
      </c>
      <c r="I54" s="388" t="s">
        <v>255</v>
      </c>
      <c r="J54" s="388" t="s">
        <v>180</v>
      </c>
      <c r="K54" s="388" t="s">
        <v>252</v>
      </c>
      <c r="L54" s="388" t="s">
        <v>181</v>
      </c>
      <c r="M54" s="388" t="s">
        <v>189</v>
      </c>
      <c r="N54" s="388" t="s">
        <v>182</v>
      </c>
      <c r="O54" s="389" t="s">
        <v>183</v>
      </c>
      <c r="P54" s="389" t="s">
        <v>184</v>
      </c>
      <c r="Q54" s="388" t="s">
        <v>185</v>
      </c>
      <c r="R54" s="389" t="s">
        <v>183</v>
      </c>
      <c r="S54" s="389" t="s">
        <v>184</v>
      </c>
      <c r="T54" s="900"/>
      <c r="U54" s="896"/>
      <c r="V54" s="914"/>
      <c r="W54" s="923"/>
      <c r="X54" s="914"/>
      <c r="Y54" s="901"/>
      <c r="AA54" s="161" t="s">
        <v>246</v>
      </c>
      <c r="AB54" s="161" t="s">
        <v>491</v>
      </c>
      <c r="AC54" s="156" t="s">
        <v>397</v>
      </c>
      <c r="AD54" s="156" t="s">
        <v>341</v>
      </c>
      <c r="AE54" s="156" t="s">
        <v>465</v>
      </c>
      <c r="AF54" s="156" t="s">
        <v>217</v>
      </c>
      <c r="AG54" s="156" t="s">
        <v>218</v>
      </c>
      <c r="AH54" s="156" t="s">
        <v>398</v>
      </c>
    </row>
    <row r="55" spans="2:34" s="148" customFormat="1" ht="27" customHeight="1">
      <c r="B55" s="884" t="s">
        <v>620</v>
      </c>
      <c r="C55" s="885"/>
      <c r="D55" s="387">
        <v>1</v>
      </c>
      <c r="E55" s="390" t="s">
        <v>339</v>
      </c>
      <c r="F55" s="391">
        <v>17999.728700000003</v>
      </c>
      <c r="G55" s="392">
        <v>4460.7199999999993</v>
      </c>
      <c r="H55" s="392">
        <v>4392.53</v>
      </c>
      <c r="I55" s="393">
        <f>H55/G55</f>
        <v>0.98471323015118639</v>
      </c>
      <c r="J55" s="392">
        <v>192.31</v>
      </c>
      <c r="K55" s="393">
        <f>J55/G55</f>
        <v>4.3111874316253886E-2</v>
      </c>
      <c r="L55" s="392">
        <v>147.43000000000004</v>
      </c>
      <c r="M55" s="393">
        <f>(H55+J55)/G55</f>
        <v>1.0278251044674405</v>
      </c>
      <c r="N55" s="394">
        <v>18299.011600000002</v>
      </c>
      <c r="O55" s="392">
        <v>2.0299999999999998</v>
      </c>
      <c r="P55" s="393">
        <f>O55/G55</f>
        <v>4.550834842805646E-4</v>
      </c>
      <c r="Q55" s="407">
        <f>O55*L55</f>
        <v>299.28290000000004</v>
      </c>
      <c r="R55" s="395">
        <f>((H55+J55)-G55)-O55</f>
        <v>122.0900000000008</v>
      </c>
      <c r="S55" s="393">
        <f>R55/G55</f>
        <v>2.7370020983159854E-2</v>
      </c>
      <c r="T55" s="397" t="s">
        <v>176</v>
      </c>
      <c r="U55" s="397" t="s">
        <v>217</v>
      </c>
      <c r="V55" s="398" t="s">
        <v>720</v>
      </c>
      <c r="W55" s="398" t="s">
        <v>721</v>
      </c>
      <c r="X55" s="398">
        <v>1</v>
      </c>
      <c r="Y55" s="399" t="s">
        <v>344</v>
      </c>
      <c r="Z55" s="400" t="s">
        <v>492</v>
      </c>
      <c r="AA55" s="401">
        <f>SUM(X55:X74)</f>
        <v>20</v>
      </c>
      <c r="AB55" s="402">
        <f>SUMIF($U$55:$U$74,TRIM(AB54),$X$55:$X$74)</f>
        <v>0</v>
      </c>
      <c r="AC55" s="402">
        <f t="shared" ref="AC55:AH55" si="26">SUMIF($U$55:$U$74,TRIM(AC54),$X$55:$X$74)</f>
        <v>0</v>
      </c>
      <c r="AD55" s="402">
        <f t="shared" si="26"/>
        <v>0</v>
      </c>
      <c r="AE55" s="402">
        <f t="shared" si="26"/>
        <v>16</v>
      </c>
      <c r="AF55" s="402">
        <f t="shared" si="26"/>
        <v>1</v>
      </c>
      <c r="AG55" s="402">
        <f t="shared" si="26"/>
        <v>3</v>
      </c>
      <c r="AH55" s="402">
        <f t="shared" si="26"/>
        <v>0</v>
      </c>
    </row>
    <row r="56" spans="2:34" s="148" customFormat="1" ht="27" customHeight="1">
      <c r="B56" s="886"/>
      <c r="C56" s="887"/>
      <c r="D56" s="387">
        <v>2</v>
      </c>
      <c r="E56" s="390" t="s">
        <v>400</v>
      </c>
      <c r="F56" s="391">
        <v>10286.00640000002</v>
      </c>
      <c r="G56" s="392">
        <v>4264.21</v>
      </c>
      <c r="H56" s="392">
        <v>4090.86</v>
      </c>
      <c r="I56" s="393">
        <f t="shared" ref="I56:I57" si="27">H56/G56</f>
        <v>0.95934768691035388</v>
      </c>
      <c r="J56" s="392">
        <v>254.97999999999996</v>
      </c>
      <c r="K56" s="393">
        <f t="shared" ref="K56:K61" si="28">J56/G56</f>
        <v>5.9795366550896872E-2</v>
      </c>
      <c r="L56" s="392">
        <v>127.84000000000002</v>
      </c>
      <c r="M56" s="393">
        <f t="shared" ref="M56:M61" si="29">(H56+J56)/G56</f>
        <v>1.0191430534612507</v>
      </c>
      <c r="N56" s="394">
        <v>10435.57920000002</v>
      </c>
      <c r="O56" s="392">
        <v>1.17</v>
      </c>
      <c r="P56" s="393">
        <f t="shared" ref="P56:P74" si="30">O56/G56</f>
        <v>2.7437673097713289E-4</v>
      </c>
      <c r="Q56" s="407">
        <f t="shared" ref="Q56:Q74" si="31">O56*L56</f>
        <v>149.5728</v>
      </c>
      <c r="R56" s="395">
        <f t="shared" ref="R56:R74" si="32">((H56+J56)-G56)-O56</f>
        <v>80.460000000000107</v>
      </c>
      <c r="S56" s="393">
        <f t="shared" ref="S56:S74" si="33">R56/G56</f>
        <v>1.8868676730273627E-2</v>
      </c>
      <c r="T56" s="397" t="s">
        <v>176</v>
      </c>
      <c r="U56" s="397" t="s">
        <v>465</v>
      </c>
      <c r="V56" s="398" t="s">
        <v>722</v>
      </c>
      <c r="W56" s="398" t="s">
        <v>723</v>
      </c>
      <c r="X56" s="398">
        <v>1</v>
      </c>
      <c r="Y56" s="399" t="s">
        <v>344</v>
      </c>
      <c r="AA56" s="401"/>
      <c r="AB56" s="408">
        <f>SUMIF($U$55:$U$74,TRIM(AB54),$F$55:$F$74)</f>
        <v>0</v>
      </c>
      <c r="AC56" s="408">
        <f t="shared" ref="AC56:AF56" si="34">SUMIF($U$55:$U$74,TRIM(AC54),$F$55:$F$74)</f>
        <v>0</v>
      </c>
      <c r="AD56" s="408">
        <f t="shared" si="34"/>
        <v>0</v>
      </c>
      <c r="AE56" s="408">
        <f t="shared" si="34"/>
        <v>68762.958800000008</v>
      </c>
      <c r="AF56" s="408">
        <f t="shared" si="34"/>
        <v>17999.728700000003</v>
      </c>
      <c r="AG56" s="408">
        <f>SUMIF($U$55:$U$74,TRIM(AG54),$F$55:$F$74)</f>
        <v>8730.5832000000028</v>
      </c>
      <c r="AH56" s="408">
        <f t="shared" ref="AH56" si="35">SUMIF($U$55:$U$74,TRIM(AH54),$G$55:$G$74)</f>
        <v>0</v>
      </c>
    </row>
    <row r="57" spans="2:34" s="148" customFormat="1" ht="27" customHeight="1">
      <c r="B57" s="886"/>
      <c r="C57" s="887"/>
      <c r="D57" s="387">
        <v>3</v>
      </c>
      <c r="E57" s="390" t="s">
        <v>657</v>
      </c>
      <c r="F57" s="391">
        <v>5860.5360000000028</v>
      </c>
      <c r="G57" s="392">
        <v>2322.89</v>
      </c>
      <c r="H57" s="392">
        <v>2250.02</v>
      </c>
      <c r="I57" s="393">
        <f t="shared" si="27"/>
        <v>0.96862959503032864</v>
      </c>
      <c r="J57" s="392">
        <v>144.13</v>
      </c>
      <c r="K57" s="393">
        <f t="shared" si="28"/>
        <v>6.2047707812251121E-2</v>
      </c>
      <c r="L57" s="392">
        <v>84.3</v>
      </c>
      <c r="M57" s="393">
        <f t="shared" si="29"/>
        <v>1.0306773028425797</v>
      </c>
      <c r="N57" s="394">
        <v>6007.2180000000026</v>
      </c>
      <c r="O57" s="392">
        <v>1.74</v>
      </c>
      <c r="P57" s="393">
        <f t="shared" si="30"/>
        <v>7.490668951177198E-4</v>
      </c>
      <c r="Q57" s="407">
        <f t="shared" si="31"/>
        <v>146.68199999999999</v>
      </c>
      <c r="R57" s="395">
        <f t="shared" si="32"/>
        <v>69.520000000000223</v>
      </c>
      <c r="S57" s="393">
        <f t="shared" si="33"/>
        <v>2.9928235947462096E-2</v>
      </c>
      <c r="T57" s="397" t="s">
        <v>176</v>
      </c>
      <c r="U57" s="397" t="s">
        <v>465</v>
      </c>
      <c r="V57" s="398" t="s">
        <v>724</v>
      </c>
      <c r="W57" s="398" t="s">
        <v>670</v>
      </c>
      <c r="X57" s="398">
        <v>1</v>
      </c>
      <c r="Y57" s="399" t="s">
        <v>611</v>
      </c>
      <c r="AA57" s="387"/>
      <c r="AB57" s="409">
        <f>AB55/$AA55</f>
        <v>0</v>
      </c>
      <c r="AC57" s="409">
        <f t="shared" ref="AC57:AH57" si="36">AC55/$AA55</f>
        <v>0</v>
      </c>
      <c r="AD57" s="409">
        <f t="shared" si="36"/>
        <v>0</v>
      </c>
      <c r="AE57" s="409">
        <f t="shared" si="36"/>
        <v>0.8</v>
      </c>
      <c r="AF57" s="409">
        <f t="shared" si="36"/>
        <v>0.05</v>
      </c>
      <c r="AG57" s="409">
        <f t="shared" si="36"/>
        <v>0.15</v>
      </c>
      <c r="AH57" s="409">
        <f t="shared" si="36"/>
        <v>0</v>
      </c>
    </row>
    <row r="58" spans="2:34" s="148" customFormat="1" ht="27" customHeight="1">
      <c r="B58" s="886"/>
      <c r="C58" s="887"/>
      <c r="D58" s="387">
        <v>4</v>
      </c>
      <c r="E58" s="390" t="s">
        <v>371</v>
      </c>
      <c r="F58" s="391">
        <v>5619.5072999999966</v>
      </c>
      <c r="G58" s="392">
        <v>743.03</v>
      </c>
      <c r="H58" s="392">
        <v>737.4</v>
      </c>
      <c r="I58" s="393">
        <f>H58/G58</f>
        <v>0.99242291697508844</v>
      </c>
      <c r="J58" s="392">
        <v>19.5</v>
      </c>
      <c r="K58" s="393">
        <f t="shared" si="28"/>
        <v>2.6243893247917312E-2</v>
      </c>
      <c r="L58" s="392">
        <v>426.69</v>
      </c>
      <c r="M58" s="393">
        <f t="shared" si="29"/>
        <v>1.0186668102230059</v>
      </c>
      <c r="N58" s="394">
        <v>5918.1902999999966</v>
      </c>
      <c r="O58" s="392">
        <v>0.7</v>
      </c>
      <c r="P58" s="393">
        <f t="shared" si="30"/>
        <v>9.4208847556626247E-4</v>
      </c>
      <c r="Q58" s="407">
        <f t="shared" si="31"/>
        <v>298.68299999999999</v>
      </c>
      <c r="R58" s="395">
        <f t="shared" si="32"/>
        <v>13.170000000000005</v>
      </c>
      <c r="S58" s="393">
        <f t="shared" si="33"/>
        <v>1.7724721747439547E-2</v>
      </c>
      <c r="T58" s="397" t="s">
        <v>176</v>
      </c>
      <c r="U58" s="397" t="s">
        <v>465</v>
      </c>
      <c r="V58" s="398" t="s">
        <v>725</v>
      </c>
      <c r="W58" s="398" t="s">
        <v>726</v>
      </c>
      <c r="X58" s="398">
        <v>1</v>
      </c>
      <c r="Y58" s="399" t="s">
        <v>372</v>
      </c>
    </row>
    <row r="59" spans="2:34" s="148" customFormat="1" ht="27" customHeight="1">
      <c r="B59" s="886"/>
      <c r="C59" s="887"/>
      <c r="D59" s="387">
        <v>5</v>
      </c>
      <c r="E59" s="390" t="s">
        <v>658</v>
      </c>
      <c r="F59" s="391">
        <v>5441.0768999999891</v>
      </c>
      <c r="G59" s="392">
        <v>2222.7399999999998</v>
      </c>
      <c r="H59" s="392">
        <v>2127.2799999999997</v>
      </c>
      <c r="I59" s="393">
        <f t="shared" ref="I59:I74" si="37">H59/G59</f>
        <v>0.9570530066494507</v>
      </c>
      <c r="J59" s="392">
        <v>142.99</v>
      </c>
      <c r="K59" s="393">
        <f t="shared" si="28"/>
        <v>6.4330510990939116E-2</v>
      </c>
      <c r="L59" s="392">
        <v>118.30999999999997</v>
      </c>
      <c r="M59" s="393">
        <f t="shared" si="29"/>
        <v>1.0213835176403896</v>
      </c>
      <c r="N59" s="394">
        <v>5623.27429999999</v>
      </c>
      <c r="O59" s="392">
        <v>1.54</v>
      </c>
      <c r="P59" s="393">
        <f t="shared" si="30"/>
        <v>6.9283856861351314E-4</v>
      </c>
      <c r="Q59" s="407">
        <f t="shared" si="31"/>
        <v>182.19739999999996</v>
      </c>
      <c r="R59" s="395">
        <f t="shared" si="32"/>
        <v>45.989999999999746</v>
      </c>
      <c r="S59" s="393">
        <f t="shared" si="33"/>
        <v>2.0690679071776165E-2</v>
      </c>
      <c r="T59" s="397" t="s">
        <v>176</v>
      </c>
      <c r="U59" s="397" t="s">
        <v>465</v>
      </c>
      <c r="V59" s="398" t="s">
        <v>727</v>
      </c>
      <c r="W59" s="398" t="s">
        <v>728</v>
      </c>
      <c r="X59" s="398">
        <v>1</v>
      </c>
      <c r="Y59" s="399" t="s">
        <v>610</v>
      </c>
    </row>
    <row r="60" spans="2:34" s="148" customFormat="1" ht="27" customHeight="1">
      <c r="B60" s="886"/>
      <c r="C60" s="887"/>
      <c r="D60" s="387">
        <v>6</v>
      </c>
      <c r="E60" s="390" t="s">
        <v>340</v>
      </c>
      <c r="F60" s="391">
        <v>4855.7129999999997</v>
      </c>
      <c r="G60" s="392">
        <v>1734.32</v>
      </c>
      <c r="H60" s="392">
        <v>1620.87</v>
      </c>
      <c r="I60" s="393">
        <f t="shared" si="37"/>
        <v>0.9345853129756907</v>
      </c>
      <c r="J60" s="392">
        <v>184.64</v>
      </c>
      <c r="K60" s="393">
        <f t="shared" si="28"/>
        <v>0.10646247520642095</v>
      </c>
      <c r="L60" s="392">
        <v>70.220000000000013</v>
      </c>
      <c r="M60" s="393">
        <f t="shared" si="29"/>
        <v>1.0410477881821116</v>
      </c>
      <c r="N60" s="394">
        <v>4998.9618</v>
      </c>
      <c r="O60" s="392">
        <v>2.04</v>
      </c>
      <c r="P60" s="393">
        <f t="shared" si="30"/>
        <v>1.1762535172286546E-3</v>
      </c>
      <c r="Q60" s="407">
        <f t="shared" si="31"/>
        <v>143.24880000000002</v>
      </c>
      <c r="R60" s="395">
        <f t="shared" si="32"/>
        <v>69.149999999999821</v>
      </c>
      <c r="S60" s="393">
        <f t="shared" si="33"/>
        <v>3.9871534664882961E-2</v>
      </c>
      <c r="T60" s="397" t="s">
        <v>176</v>
      </c>
      <c r="U60" s="397" t="s">
        <v>465</v>
      </c>
      <c r="V60" s="398" t="s">
        <v>724</v>
      </c>
      <c r="W60" s="398" t="s">
        <v>670</v>
      </c>
      <c r="X60" s="398">
        <v>1</v>
      </c>
      <c r="Y60" s="399" t="s">
        <v>347</v>
      </c>
    </row>
    <row r="61" spans="2:34" s="148" customFormat="1" ht="27" customHeight="1">
      <c r="B61" s="886"/>
      <c r="C61" s="887"/>
      <c r="D61" s="387">
        <v>7</v>
      </c>
      <c r="E61" s="390" t="s">
        <v>539</v>
      </c>
      <c r="F61" s="391">
        <v>4495.3248999999942</v>
      </c>
      <c r="G61" s="392">
        <v>718.83</v>
      </c>
      <c r="H61" s="392">
        <v>666.31999999999994</v>
      </c>
      <c r="I61" s="393">
        <f t="shared" si="37"/>
        <v>0.92695073939596273</v>
      </c>
      <c r="J61" s="392">
        <v>81.399999999999991</v>
      </c>
      <c r="K61" s="393">
        <f t="shared" si="28"/>
        <v>0.11323956985657246</v>
      </c>
      <c r="L61" s="392">
        <v>160.49</v>
      </c>
      <c r="M61" s="393">
        <f t="shared" si="29"/>
        <v>1.0401903092525351</v>
      </c>
      <c r="N61" s="394">
        <v>4636.5560999999934</v>
      </c>
      <c r="O61" s="392">
        <v>0.88</v>
      </c>
      <c r="P61" s="393">
        <f t="shared" si="30"/>
        <v>1.2242115660169998E-3</v>
      </c>
      <c r="Q61" s="407">
        <f t="shared" si="31"/>
        <v>141.2312</v>
      </c>
      <c r="R61" s="395">
        <f t="shared" si="32"/>
        <v>28.009999999999874</v>
      </c>
      <c r="S61" s="393">
        <f t="shared" si="33"/>
        <v>3.8966097686518195E-2</v>
      </c>
      <c r="T61" s="397" t="s">
        <v>176</v>
      </c>
      <c r="U61" s="397" t="s">
        <v>465</v>
      </c>
      <c r="V61" s="398" t="s">
        <v>722</v>
      </c>
      <c r="W61" s="398" t="s">
        <v>729</v>
      </c>
      <c r="X61" s="398">
        <v>1</v>
      </c>
      <c r="Y61" s="399" t="s">
        <v>471</v>
      </c>
    </row>
    <row r="62" spans="2:34" s="148" customFormat="1" ht="27" customHeight="1">
      <c r="B62" s="886"/>
      <c r="C62" s="887"/>
      <c r="D62" s="387">
        <v>8</v>
      </c>
      <c r="E62" s="390" t="s">
        <v>514</v>
      </c>
      <c r="F62" s="391">
        <v>4053.5124000000051</v>
      </c>
      <c r="G62" s="392">
        <v>418.6</v>
      </c>
      <c r="H62" s="392">
        <v>419.08000000000004</v>
      </c>
      <c r="I62" s="393">
        <f t="shared" si="37"/>
        <v>1.001146679407549</v>
      </c>
      <c r="J62" s="392">
        <v>13.23</v>
      </c>
      <c r="K62" s="393">
        <f>J62/G62</f>
        <v>3.1605351170568563E-2</v>
      </c>
      <c r="L62" s="392">
        <v>327.16000000000003</v>
      </c>
      <c r="M62" s="393">
        <f>(H62+J62)/G62</f>
        <v>1.0327520305781177</v>
      </c>
      <c r="N62" s="394">
        <v>4485.3636000000051</v>
      </c>
      <c r="O62" s="392">
        <v>1.32</v>
      </c>
      <c r="P62" s="393">
        <f t="shared" si="30"/>
        <v>3.1533683707596753E-3</v>
      </c>
      <c r="Q62" s="407">
        <f t="shared" si="31"/>
        <v>431.85120000000006</v>
      </c>
      <c r="R62" s="395">
        <f t="shared" si="32"/>
        <v>12.390000000000036</v>
      </c>
      <c r="S62" s="393">
        <f t="shared" si="33"/>
        <v>2.9598662207357945E-2</v>
      </c>
      <c r="T62" s="397" t="s">
        <v>176</v>
      </c>
      <c r="U62" s="397" t="s">
        <v>465</v>
      </c>
      <c r="V62" s="398" t="s">
        <v>730</v>
      </c>
      <c r="W62" s="398" t="s">
        <v>578</v>
      </c>
      <c r="X62" s="398">
        <v>1</v>
      </c>
      <c r="Y62" s="399" t="s">
        <v>511</v>
      </c>
    </row>
    <row r="63" spans="2:34" s="148" customFormat="1" ht="27" customHeight="1">
      <c r="B63" s="886"/>
      <c r="C63" s="887"/>
      <c r="D63" s="387">
        <v>9</v>
      </c>
      <c r="E63" s="390" t="s">
        <v>700</v>
      </c>
      <c r="F63" s="391">
        <v>4018.063200000006</v>
      </c>
      <c r="G63" s="392">
        <v>2222.7399999999998</v>
      </c>
      <c r="H63" s="392">
        <v>2145.81</v>
      </c>
      <c r="I63" s="393">
        <f t="shared" si="37"/>
        <v>0.9653895642315341</v>
      </c>
      <c r="J63" s="392">
        <v>115.80999999999999</v>
      </c>
      <c r="K63" s="393">
        <f t="shared" ref="K63:K74" si="38">J63/G63</f>
        <v>5.2102360150085028E-2</v>
      </c>
      <c r="L63" s="392">
        <v>114.53999999999999</v>
      </c>
      <c r="M63" s="393">
        <f t="shared" ref="M63:M74" si="39">(H63+J63)/G63</f>
        <v>1.0174919243816192</v>
      </c>
      <c r="N63" s="394">
        <v>4453.3152000000055</v>
      </c>
      <c r="O63" s="392">
        <v>3.8</v>
      </c>
      <c r="P63" s="393">
        <f t="shared" si="30"/>
        <v>1.7096016628125649E-3</v>
      </c>
      <c r="Q63" s="407">
        <f t="shared" si="31"/>
        <v>435.25199999999995</v>
      </c>
      <c r="R63" s="395">
        <f t="shared" si="32"/>
        <v>35.080000000000112</v>
      </c>
      <c r="S63" s="393">
        <f t="shared" si="33"/>
        <v>1.5782322718806571E-2</v>
      </c>
      <c r="T63" s="397" t="s">
        <v>176</v>
      </c>
      <c r="U63" s="397" t="s">
        <v>465</v>
      </c>
      <c r="V63" s="398" t="s">
        <v>727</v>
      </c>
      <c r="W63" s="398" t="s">
        <v>728</v>
      </c>
      <c r="X63" s="398">
        <v>1</v>
      </c>
      <c r="Y63" s="399" t="s">
        <v>610</v>
      </c>
    </row>
    <row r="64" spans="2:34" s="148" customFormat="1" ht="27" customHeight="1">
      <c r="B64" s="886"/>
      <c r="C64" s="887"/>
      <c r="D64" s="387">
        <v>10</v>
      </c>
      <c r="E64" s="390" t="s">
        <v>515</v>
      </c>
      <c r="F64" s="391">
        <v>3851.1480000000083</v>
      </c>
      <c r="G64" s="392">
        <v>1203.4599999999998</v>
      </c>
      <c r="H64" s="392">
        <v>1128.6300000000001</v>
      </c>
      <c r="I64" s="393">
        <f t="shared" si="37"/>
        <v>0.93782094959533369</v>
      </c>
      <c r="J64" s="392">
        <v>103.85999999999999</v>
      </c>
      <c r="K64" s="393">
        <f t="shared" si="38"/>
        <v>8.6301164974324038E-2</v>
      </c>
      <c r="L64" s="392">
        <v>144.78</v>
      </c>
      <c r="M64" s="393">
        <f t="shared" si="39"/>
        <v>1.0241221145696577</v>
      </c>
      <c r="N64" s="394">
        <v>4202.9634000000078</v>
      </c>
      <c r="O64" s="392">
        <v>2.4300000000000002</v>
      </c>
      <c r="P64" s="393">
        <f t="shared" si="30"/>
        <v>2.0191780366609615E-3</v>
      </c>
      <c r="Q64" s="407">
        <f t="shared" si="31"/>
        <v>351.81540000000001</v>
      </c>
      <c r="R64" s="395">
        <f t="shared" si="32"/>
        <v>26.6000000000002</v>
      </c>
      <c r="S64" s="393">
        <f t="shared" si="33"/>
        <v>2.2102936532996696E-2</v>
      </c>
      <c r="T64" s="397" t="s">
        <v>176</v>
      </c>
      <c r="U64" s="397" t="s">
        <v>465</v>
      </c>
      <c r="V64" s="398" t="s">
        <v>731</v>
      </c>
      <c r="W64" s="398" t="s">
        <v>732</v>
      </c>
      <c r="X64" s="398">
        <v>1</v>
      </c>
      <c r="Y64" s="399" t="s">
        <v>511</v>
      </c>
    </row>
    <row r="65" spans="2:34" s="148" customFormat="1" ht="27" customHeight="1">
      <c r="B65" s="886"/>
      <c r="C65" s="887"/>
      <c r="D65" s="387">
        <v>11</v>
      </c>
      <c r="E65" s="390" t="s">
        <v>463</v>
      </c>
      <c r="F65" s="391">
        <v>3772.4240999999947</v>
      </c>
      <c r="G65" s="392">
        <v>1329.12</v>
      </c>
      <c r="H65" s="392">
        <v>1295.43</v>
      </c>
      <c r="I65" s="393">
        <f t="shared" si="37"/>
        <v>0.97465240158902144</v>
      </c>
      <c r="J65" s="392">
        <v>73</v>
      </c>
      <c r="K65" s="393">
        <f t="shared" si="38"/>
        <v>5.492355844468521E-2</v>
      </c>
      <c r="L65" s="392">
        <v>99.51</v>
      </c>
      <c r="M65" s="393">
        <f t="shared" si="39"/>
        <v>1.0295759600337067</v>
      </c>
      <c r="N65" s="394">
        <v>3911.7380999999946</v>
      </c>
      <c r="O65" s="392">
        <v>1.4</v>
      </c>
      <c r="P65" s="393">
        <f t="shared" si="30"/>
        <v>1.0533285181172506E-3</v>
      </c>
      <c r="Q65" s="407">
        <f t="shared" si="31"/>
        <v>139.31399999999999</v>
      </c>
      <c r="R65" s="395">
        <f t="shared" si="32"/>
        <v>37.910000000000174</v>
      </c>
      <c r="S65" s="393">
        <f t="shared" si="33"/>
        <v>2.8522631515589394E-2</v>
      </c>
      <c r="T65" s="397" t="s">
        <v>176</v>
      </c>
      <c r="U65" s="397" t="s">
        <v>465</v>
      </c>
      <c r="V65" s="398" t="s">
        <v>724</v>
      </c>
      <c r="W65" s="398" t="s">
        <v>670</v>
      </c>
      <c r="X65" s="398">
        <v>1</v>
      </c>
      <c r="Y65" s="399" t="s">
        <v>358</v>
      </c>
    </row>
    <row r="66" spans="2:34" s="148" customFormat="1" ht="27" customHeight="1">
      <c r="B66" s="886"/>
      <c r="C66" s="887"/>
      <c r="D66" s="387">
        <v>12</v>
      </c>
      <c r="E66" s="390" t="s">
        <v>512</v>
      </c>
      <c r="F66" s="391">
        <v>3197.4600000000005</v>
      </c>
      <c r="G66" s="392">
        <v>233115</v>
      </c>
      <c r="H66" s="392">
        <v>232514</v>
      </c>
      <c r="I66" s="393">
        <f t="shared" si="37"/>
        <v>0.99742187332432486</v>
      </c>
      <c r="J66" s="392">
        <v>1594</v>
      </c>
      <c r="K66" s="393">
        <f t="shared" si="38"/>
        <v>6.8378268236707201E-3</v>
      </c>
      <c r="L66" s="392">
        <v>3.2199999999999998</v>
      </c>
      <c r="M66" s="393">
        <f t="shared" si="39"/>
        <v>1.0042597001479956</v>
      </c>
      <c r="N66" s="394">
        <v>3197.4600000000005</v>
      </c>
      <c r="O66" s="392">
        <v>0</v>
      </c>
      <c r="P66" s="393">
        <f t="shared" si="30"/>
        <v>0</v>
      </c>
      <c r="Q66" s="407">
        <f t="shared" si="31"/>
        <v>0</v>
      </c>
      <c r="R66" s="395">
        <f t="shared" si="32"/>
        <v>993</v>
      </c>
      <c r="S66" s="393">
        <f t="shared" si="33"/>
        <v>4.2597001479956244E-3</v>
      </c>
      <c r="T66" s="397" t="s">
        <v>176</v>
      </c>
      <c r="U66" s="397" t="s">
        <v>218</v>
      </c>
      <c r="V66" s="398" t="s">
        <v>730</v>
      </c>
      <c r="W66" s="398" t="s">
        <v>733</v>
      </c>
      <c r="X66" s="398">
        <v>1</v>
      </c>
      <c r="Y66" s="399" t="s">
        <v>344</v>
      </c>
    </row>
    <row r="67" spans="2:34" s="148" customFormat="1" ht="27" customHeight="1">
      <c r="B67" s="886"/>
      <c r="C67" s="887"/>
      <c r="D67" s="387">
        <v>13</v>
      </c>
      <c r="E67" s="390" t="s">
        <v>461</v>
      </c>
      <c r="F67" s="391">
        <v>3109.4325999999965</v>
      </c>
      <c r="G67" s="392">
        <v>1919.4</v>
      </c>
      <c r="H67" s="392">
        <v>1877.02</v>
      </c>
      <c r="I67" s="393">
        <f t="shared" si="37"/>
        <v>0.97792018339064291</v>
      </c>
      <c r="J67" s="392">
        <v>91.6</v>
      </c>
      <c r="K67" s="393">
        <f t="shared" si="38"/>
        <v>4.772324684797332E-2</v>
      </c>
      <c r="L67" s="392">
        <v>66.13</v>
      </c>
      <c r="M67" s="393">
        <f t="shared" si="39"/>
        <v>1.0256434302386161</v>
      </c>
      <c r="N67" s="394">
        <v>3254.9185999999963</v>
      </c>
      <c r="O67" s="392">
        <v>2.2000000000000002</v>
      </c>
      <c r="P67" s="393">
        <f t="shared" si="30"/>
        <v>1.1461915181827655E-3</v>
      </c>
      <c r="Q67" s="407">
        <f t="shared" si="31"/>
        <v>145.48599999999999</v>
      </c>
      <c r="R67" s="395">
        <f t="shared" si="32"/>
        <v>47.019999999999797</v>
      </c>
      <c r="S67" s="393">
        <f t="shared" si="33"/>
        <v>2.4497238720433363E-2</v>
      </c>
      <c r="T67" s="397" t="s">
        <v>176</v>
      </c>
      <c r="U67" s="397" t="s">
        <v>465</v>
      </c>
      <c r="V67" s="398" t="s">
        <v>724</v>
      </c>
      <c r="W67" s="398" t="s">
        <v>670</v>
      </c>
      <c r="X67" s="398">
        <v>1</v>
      </c>
      <c r="Y67" s="399" t="s">
        <v>345</v>
      </c>
    </row>
    <row r="68" spans="2:34" s="148" customFormat="1" ht="27" customHeight="1">
      <c r="B68" s="886"/>
      <c r="C68" s="887"/>
      <c r="D68" s="387">
        <v>14</v>
      </c>
      <c r="E68" s="390" t="s">
        <v>660</v>
      </c>
      <c r="F68" s="391">
        <v>3038.3661000000002</v>
      </c>
      <c r="G68" s="392">
        <v>236.17</v>
      </c>
      <c r="H68" s="392">
        <v>229.38</v>
      </c>
      <c r="I68" s="393">
        <f t="shared" si="37"/>
        <v>0.97124952364821948</v>
      </c>
      <c r="J68" s="392">
        <v>15.030000000000001</v>
      </c>
      <c r="K68" s="393">
        <f t="shared" si="38"/>
        <v>6.3640597874412508E-2</v>
      </c>
      <c r="L68" s="392">
        <v>421.40999999999997</v>
      </c>
      <c r="M68" s="393">
        <f t="shared" si="39"/>
        <v>1.034890121522632</v>
      </c>
      <c r="N68" s="394">
        <v>3472.4183999999996</v>
      </c>
      <c r="O68" s="392">
        <v>1.0299999999999998</v>
      </c>
      <c r="P68" s="393">
        <f t="shared" si="30"/>
        <v>4.3612651903289995E-3</v>
      </c>
      <c r="Q68" s="407">
        <f t="shared" si="31"/>
        <v>434.05229999999989</v>
      </c>
      <c r="R68" s="395">
        <f t="shared" si="32"/>
        <v>7.2100000000000097</v>
      </c>
      <c r="S68" s="393">
        <f t="shared" si="33"/>
        <v>3.0528856332303046E-2</v>
      </c>
      <c r="T68" s="397" t="s">
        <v>176</v>
      </c>
      <c r="U68" s="397" t="s">
        <v>465</v>
      </c>
      <c r="V68" s="398" t="s">
        <v>734</v>
      </c>
      <c r="W68" s="398" t="s">
        <v>681</v>
      </c>
      <c r="X68" s="398">
        <v>1</v>
      </c>
      <c r="Y68" s="399" t="s">
        <v>483</v>
      </c>
      <c r="AC68" s="404"/>
    </row>
    <row r="69" spans="2:34" s="148" customFormat="1" ht="27" customHeight="1">
      <c r="B69" s="886"/>
      <c r="C69" s="887"/>
      <c r="D69" s="387">
        <v>15</v>
      </c>
      <c r="E69" s="390" t="s">
        <v>523</v>
      </c>
      <c r="F69" s="391">
        <v>2956.2063999999846</v>
      </c>
      <c r="G69" s="392">
        <v>1157.1300000000001</v>
      </c>
      <c r="H69" s="392">
        <v>1130.02</v>
      </c>
      <c r="I69" s="393">
        <f t="shared" si="37"/>
        <v>0.97657134461987838</v>
      </c>
      <c r="J69" s="392">
        <v>32.450000000000003</v>
      </c>
      <c r="K69" s="393">
        <f t="shared" si="38"/>
        <v>2.8043521471226223E-2</v>
      </c>
      <c r="L69" s="392">
        <v>605.77999999999986</v>
      </c>
      <c r="M69" s="393">
        <f t="shared" si="39"/>
        <v>1.0046148660911047</v>
      </c>
      <c r="N69" s="394">
        <v>3234.8651999999847</v>
      </c>
      <c r="O69" s="392">
        <v>0.45999999999999996</v>
      </c>
      <c r="P69" s="393">
        <f t="shared" si="30"/>
        <v>3.9753528125621143E-4</v>
      </c>
      <c r="Q69" s="407">
        <f t="shared" si="31"/>
        <v>278.65879999999993</v>
      </c>
      <c r="R69" s="395">
        <f t="shared" si="32"/>
        <v>4.8799999999999182</v>
      </c>
      <c r="S69" s="393">
        <f t="shared" si="33"/>
        <v>4.2173308098484331E-3</v>
      </c>
      <c r="T69" s="397" t="s">
        <v>176</v>
      </c>
      <c r="U69" s="397" t="s">
        <v>218</v>
      </c>
      <c r="V69" s="397" t="s">
        <v>735</v>
      </c>
      <c r="W69" s="398" t="s">
        <v>736</v>
      </c>
      <c r="X69" s="398">
        <v>1</v>
      </c>
      <c r="Y69" s="399" t="s">
        <v>346</v>
      </c>
      <c r="AC69" s="403"/>
    </row>
    <row r="70" spans="2:34" s="148" customFormat="1" ht="27" customHeight="1">
      <c r="B70" s="886"/>
      <c r="C70" s="887"/>
      <c r="D70" s="387">
        <v>16</v>
      </c>
      <c r="E70" s="390" t="s">
        <v>701</v>
      </c>
      <c r="F70" s="391">
        <v>2674.9799999999955</v>
      </c>
      <c r="G70" s="392">
        <v>441.22</v>
      </c>
      <c r="H70" s="392">
        <v>437.53</v>
      </c>
      <c r="I70" s="393">
        <f t="shared" si="37"/>
        <v>0.99163682516658347</v>
      </c>
      <c r="J70" s="392">
        <v>17.200000000000003</v>
      </c>
      <c r="K70" s="393">
        <f t="shared" si="38"/>
        <v>3.8982820361724312E-2</v>
      </c>
      <c r="L70" s="392">
        <v>198</v>
      </c>
      <c r="M70" s="393">
        <f t="shared" si="39"/>
        <v>1.0306196455283076</v>
      </c>
      <c r="N70" s="394">
        <v>2674.9799999999955</v>
      </c>
      <c r="O70" s="392">
        <v>0</v>
      </c>
      <c r="P70" s="393">
        <f t="shared" si="30"/>
        <v>0</v>
      </c>
      <c r="Q70" s="407">
        <f t="shared" si="31"/>
        <v>0</v>
      </c>
      <c r="R70" s="395">
        <f t="shared" si="32"/>
        <v>13.509999999999934</v>
      </c>
      <c r="S70" s="393">
        <f t="shared" si="33"/>
        <v>3.0619645528307721E-2</v>
      </c>
      <c r="T70" s="397" t="s">
        <v>176</v>
      </c>
      <c r="U70" s="397" t="s">
        <v>465</v>
      </c>
      <c r="V70" s="398" t="s">
        <v>737</v>
      </c>
      <c r="W70" s="398" t="s">
        <v>738</v>
      </c>
      <c r="X70" s="398">
        <v>1</v>
      </c>
      <c r="Y70" s="399" t="s">
        <v>344</v>
      </c>
      <c r="AC70" s="403"/>
    </row>
    <row r="71" spans="2:34" s="148" customFormat="1" ht="27" customHeight="1">
      <c r="B71" s="886"/>
      <c r="C71" s="887"/>
      <c r="D71" s="387">
        <v>17</v>
      </c>
      <c r="E71" s="390" t="s">
        <v>561</v>
      </c>
      <c r="F71" s="391">
        <v>2608.0857999999989</v>
      </c>
      <c r="G71" s="392">
        <v>192.26</v>
      </c>
      <c r="H71" s="392">
        <v>188.8</v>
      </c>
      <c r="I71" s="393">
        <f t="shared" si="37"/>
        <v>0.98200353687714559</v>
      </c>
      <c r="J71" s="392">
        <v>10.85</v>
      </c>
      <c r="K71" s="393">
        <f t="shared" si="38"/>
        <v>5.6433995630916466E-2</v>
      </c>
      <c r="L71" s="392">
        <v>411.36999999999995</v>
      </c>
      <c r="M71" s="393">
        <f t="shared" si="39"/>
        <v>1.0384375325080621</v>
      </c>
      <c r="N71" s="394">
        <v>3040.0242999999987</v>
      </c>
      <c r="O71" s="392">
        <v>1.0499999999999998</v>
      </c>
      <c r="P71" s="393">
        <f t="shared" si="30"/>
        <v>5.4613544158951411E-3</v>
      </c>
      <c r="Q71" s="407">
        <f t="shared" si="31"/>
        <v>431.93849999999986</v>
      </c>
      <c r="R71" s="395">
        <f t="shared" si="32"/>
        <v>6.340000000000015</v>
      </c>
      <c r="S71" s="393">
        <f t="shared" si="33"/>
        <v>3.2976178092166936E-2</v>
      </c>
      <c r="T71" s="397" t="s">
        <v>176</v>
      </c>
      <c r="U71" s="397" t="s">
        <v>465</v>
      </c>
      <c r="V71" s="398" t="s">
        <v>739</v>
      </c>
      <c r="W71" s="398" t="s">
        <v>740</v>
      </c>
      <c r="X71" s="398">
        <v>1</v>
      </c>
      <c r="Y71" s="399" t="s">
        <v>474</v>
      </c>
      <c r="AB71" s="405"/>
      <c r="AC71" s="403"/>
    </row>
    <row r="72" spans="2:34" s="148" customFormat="1" ht="27" customHeight="1">
      <c r="B72" s="886"/>
      <c r="C72" s="887"/>
      <c r="D72" s="387">
        <v>18</v>
      </c>
      <c r="E72" s="390" t="s">
        <v>538</v>
      </c>
      <c r="F72" s="391">
        <v>2576.9168000000168</v>
      </c>
      <c r="G72" s="392">
        <v>1157.5700000000002</v>
      </c>
      <c r="H72" s="392">
        <v>1151.3800000000001</v>
      </c>
      <c r="I72" s="393">
        <f t="shared" si="37"/>
        <v>0.99465259120398763</v>
      </c>
      <c r="J72" s="392">
        <v>13.88</v>
      </c>
      <c r="K72" s="393">
        <f t="shared" si="38"/>
        <v>1.199063555551716E-2</v>
      </c>
      <c r="L72" s="392">
        <v>407.74000000000007</v>
      </c>
      <c r="M72" s="393">
        <f t="shared" si="39"/>
        <v>1.0066432267595049</v>
      </c>
      <c r="N72" s="394">
        <v>3135.5206000000167</v>
      </c>
      <c r="O72" s="392">
        <v>1.37</v>
      </c>
      <c r="P72" s="393">
        <f t="shared" si="30"/>
        <v>1.1835137399898062E-3</v>
      </c>
      <c r="Q72" s="407">
        <f t="shared" si="31"/>
        <v>558.60380000000009</v>
      </c>
      <c r="R72" s="395">
        <f t="shared" si="32"/>
        <v>6.3200000000000545</v>
      </c>
      <c r="S72" s="393">
        <f t="shared" si="33"/>
        <v>5.4597130195150646E-3</v>
      </c>
      <c r="T72" s="397" t="s">
        <v>176</v>
      </c>
      <c r="U72" s="397" t="s">
        <v>218</v>
      </c>
      <c r="V72" s="398" t="s">
        <v>739</v>
      </c>
      <c r="W72" s="398" t="s">
        <v>741</v>
      </c>
      <c r="X72" s="398">
        <v>1</v>
      </c>
      <c r="Y72" s="399" t="s">
        <v>540</v>
      </c>
      <c r="AC72" s="403"/>
    </row>
    <row r="73" spans="2:34" s="148" customFormat="1" ht="27" customHeight="1">
      <c r="B73" s="886"/>
      <c r="C73" s="887"/>
      <c r="D73" s="387">
        <v>19</v>
      </c>
      <c r="E73" s="390" t="s">
        <v>369</v>
      </c>
      <c r="F73" s="391">
        <v>2540.2324999999905</v>
      </c>
      <c r="G73" s="392">
        <v>1207.45</v>
      </c>
      <c r="H73" s="392">
        <v>1205.2399999999998</v>
      </c>
      <c r="I73" s="393">
        <f t="shared" si="37"/>
        <v>0.99816969646776244</v>
      </c>
      <c r="J73" s="392">
        <v>21.59</v>
      </c>
      <c r="K73" s="393">
        <f t="shared" si="38"/>
        <v>1.7880657584164975E-2</v>
      </c>
      <c r="L73" s="392">
        <v>152.75</v>
      </c>
      <c r="M73" s="393">
        <f t="shared" si="39"/>
        <v>1.0160503540519272</v>
      </c>
      <c r="N73" s="394">
        <v>2960.2949999999901</v>
      </c>
      <c r="O73" s="392">
        <v>2.75</v>
      </c>
      <c r="P73" s="393">
        <f t="shared" si="30"/>
        <v>2.2775270197523704E-3</v>
      </c>
      <c r="Q73" s="407">
        <f t="shared" si="31"/>
        <v>420.0625</v>
      </c>
      <c r="R73" s="395">
        <f t="shared" si="32"/>
        <v>16.629999999999654</v>
      </c>
      <c r="S73" s="393">
        <f t="shared" si="33"/>
        <v>1.3772827032174959E-2</v>
      </c>
      <c r="T73" s="397" t="s">
        <v>176</v>
      </c>
      <c r="U73" s="397" t="s">
        <v>465</v>
      </c>
      <c r="V73" s="398" t="s">
        <v>742</v>
      </c>
      <c r="W73" s="398" t="s">
        <v>681</v>
      </c>
      <c r="X73" s="398">
        <v>1</v>
      </c>
      <c r="Y73" s="399" t="s">
        <v>372</v>
      </c>
      <c r="AB73" s="406"/>
      <c r="AC73" s="403"/>
    </row>
    <row r="74" spans="2:34" s="148" customFormat="1" ht="27" customHeight="1">
      <c r="B74" s="888"/>
      <c r="C74" s="889"/>
      <c r="D74" s="387">
        <v>20</v>
      </c>
      <c r="E74" s="390" t="s">
        <v>436</v>
      </c>
      <c r="F74" s="391">
        <v>2538.5496000000153</v>
      </c>
      <c r="G74" s="392">
        <v>1733.77</v>
      </c>
      <c r="H74" s="392">
        <v>1745.1600000000003</v>
      </c>
      <c r="I74" s="393">
        <f t="shared" si="37"/>
        <v>1.0065694988377929</v>
      </c>
      <c r="J74" s="392">
        <v>8.6</v>
      </c>
      <c r="K74" s="393">
        <f t="shared" si="38"/>
        <v>4.9602888503088643E-3</v>
      </c>
      <c r="L74" s="392">
        <v>157.87000000000003</v>
      </c>
      <c r="M74" s="393">
        <f t="shared" si="39"/>
        <v>1.0115297876881018</v>
      </c>
      <c r="N74" s="394">
        <v>3155.8213000000151</v>
      </c>
      <c r="O74" s="392">
        <v>3.91</v>
      </c>
      <c r="P74" s="393">
        <f t="shared" si="30"/>
        <v>2.2552010935706582E-3</v>
      </c>
      <c r="Q74" s="407">
        <f t="shared" si="31"/>
        <v>617.27170000000012</v>
      </c>
      <c r="R74" s="395">
        <f t="shared" si="32"/>
        <v>16.080000000000236</v>
      </c>
      <c r="S74" s="393">
        <f t="shared" si="33"/>
        <v>9.2745865945311288E-3</v>
      </c>
      <c r="T74" s="397" t="s">
        <v>176</v>
      </c>
      <c r="U74" s="397" t="s">
        <v>465</v>
      </c>
      <c r="V74" s="398" t="s">
        <v>727</v>
      </c>
      <c r="W74" s="398" t="s">
        <v>728</v>
      </c>
      <c r="X74" s="398">
        <v>1</v>
      </c>
      <c r="Y74" s="399" t="s">
        <v>344</v>
      </c>
      <c r="AB74" s="406"/>
      <c r="AC74" s="403"/>
    </row>
    <row r="75" spans="2:34" ht="16.5" customHeight="1">
      <c r="B75" s="903" t="s">
        <v>488</v>
      </c>
      <c r="C75" s="904"/>
      <c r="D75" s="900" t="s">
        <v>172</v>
      </c>
      <c r="E75" s="900"/>
      <c r="F75" s="900"/>
      <c r="G75" s="900" t="s">
        <v>186</v>
      </c>
      <c r="H75" s="900"/>
      <c r="I75" s="900"/>
      <c r="J75" s="900"/>
      <c r="K75" s="900"/>
      <c r="L75" s="900"/>
      <c r="M75" s="900"/>
      <c r="N75" s="900"/>
      <c r="O75" s="900"/>
      <c r="P75" s="900"/>
      <c r="Q75" s="900"/>
      <c r="R75" s="900"/>
      <c r="S75" s="900"/>
      <c r="T75" s="900" t="s">
        <v>173</v>
      </c>
      <c r="U75" s="890" t="s">
        <v>247</v>
      </c>
      <c r="V75" s="921" t="s">
        <v>496</v>
      </c>
      <c r="W75" s="921" t="s">
        <v>490</v>
      </c>
      <c r="X75" s="912" t="s">
        <v>248</v>
      </c>
      <c r="Y75" s="901" t="s">
        <v>174</v>
      </c>
      <c r="AA75" s="900" t="s">
        <v>249</v>
      </c>
      <c r="AB75" s="900"/>
      <c r="AC75" s="900"/>
      <c r="AD75" s="900"/>
      <c r="AE75" s="900"/>
      <c r="AF75" s="900"/>
      <c r="AG75" s="900"/>
      <c r="AH75" s="900"/>
    </row>
    <row r="76" spans="2:34" ht="17.149999999999999" customHeight="1">
      <c r="B76" s="905"/>
      <c r="C76" s="906"/>
      <c r="D76" s="899" t="s">
        <v>171</v>
      </c>
      <c r="E76" s="900" t="s">
        <v>175</v>
      </c>
      <c r="F76" s="900"/>
      <c r="G76" s="900" t="s">
        <v>187</v>
      </c>
      <c r="H76" s="900"/>
      <c r="I76" s="900"/>
      <c r="J76" s="900"/>
      <c r="K76" s="900"/>
      <c r="L76" s="900"/>
      <c r="M76" s="900"/>
      <c r="N76" s="900"/>
      <c r="O76" s="900" t="s">
        <v>176</v>
      </c>
      <c r="P76" s="900"/>
      <c r="Q76" s="900"/>
      <c r="R76" s="900"/>
      <c r="S76" s="900"/>
      <c r="T76" s="900"/>
      <c r="U76" s="893"/>
      <c r="V76" s="913"/>
      <c r="W76" s="922"/>
      <c r="X76" s="913"/>
      <c r="Y76" s="901"/>
      <c r="AA76" s="900"/>
      <c r="AB76" s="900"/>
      <c r="AC76" s="900"/>
      <c r="AD76" s="900"/>
      <c r="AE76" s="900"/>
      <c r="AF76" s="900"/>
      <c r="AG76" s="900"/>
      <c r="AH76" s="900"/>
    </row>
    <row r="77" spans="2:34" ht="17.149999999999999" customHeight="1">
      <c r="B77" s="905"/>
      <c r="C77" s="906"/>
      <c r="D77" s="899"/>
      <c r="E77" s="899" t="s">
        <v>177</v>
      </c>
      <c r="F77" s="917" t="s">
        <v>497</v>
      </c>
      <c r="G77" s="902" t="s">
        <v>188</v>
      </c>
      <c r="H77" s="902"/>
      <c r="I77" s="902"/>
      <c r="J77" s="902"/>
      <c r="K77" s="902"/>
      <c r="L77" s="902"/>
      <c r="M77" s="902"/>
      <c r="N77" s="902"/>
      <c r="O77" s="918" t="s">
        <v>170</v>
      </c>
      <c r="P77" s="919"/>
      <c r="Q77" s="920"/>
      <c r="R77" s="902" t="s">
        <v>178</v>
      </c>
      <c r="S77" s="902"/>
      <c r="T77" s="900"/>
      <c r="U77" s="893"/>
      <c r="V77" s="913"/>
      <c r="W77" s="922"/>
      <c r="X77" s="913"/>
      <c r="Y77" s="901"/>
      <c r="AA77" s="900"/>
      <c r="AB77" s="900"/>
      <c r="AC77" s="900"/>
      <c r="AD77" s="900"/>
      <c r="AE77" s="900"/>
      <c r="AF77" s="900"/>
      <c r="AG77" s="900"/>
      <c r="AH77" s="900"/>
    </row>
    <row r="78" spans="2:34" ht="38.5" customHeight="1">
      <c r="B78" s="907"/>
      <c r="C78" s="908"/>
      <c r="D78" s="899"/>
      <c r="E78" s="899"/>
      <c r="F78" s="917"/>
      <c r="G78" s="388" t="s">
        <v>179</v>
      </c>
      <c r="H78" s="388" t="s">
        <v>254</v>
      </c>
      <c r="I78" s="388" t="s">
        <v>255</v>
      </c>
      <c r="J78" s="388" t="s">
        <v>180</v>
      </c>
      <c r="K78" s="388" t="s">
        <v>252</v>
      </c>
      <c r="L78" s="388" t="s">
        <v>181</v>
      </c>
      <c r="M78" s="388" t="s">
        <v>189</v>
      </c>
      <c r="N78" s="388" t="s">
        <v>182</v>
      </c>
      <c r="O78" s="389" t="s">
        <v>183</v>
      </c>
      <c r="P78" s="389" t="s">
        <v>184</v>
      </c>
      <c r="Q78" s="388" t="s">
        <v>185</v>
      </c>
      <c r="R78" s="389" t="s">
        <v>183</v>
      </c>
      <c r="S78" s="389" t="s">
        <v>184</v>
      </c>
      <c r="T78" s="900"/>
      <c r="U78" s="896"/>
      <c r="V78" s="914"/>
      <c r="W78" s="923"/>
      <c r="X78" s="914"/>
      <c r="Y78" s="901"/>
      <c r="AA78" s="161" t="s">
        <v>246</v>
      </c>
      <c r="AB78" s="161" t="s">
        <v>491</v>
      </c>
      <c r="AC78" s="156" t="s">
        <v>397</v>
      </c>
      <c r="AD78" s="156" t="s">
        <v>341</v>
      </c>
      <c r="AE78" s="156" t="s">
        <v>465</v>
      </c>
      <c r="AF78" s="156" t="s">
        <v>217</v>
      </c>
      <c r="AG78" s="156" t="s">
        <v>218</v>
      </c>
      <c r="AH78" s="156" t="s">
        <v>398</v>
      </c>
    </row>
    <row r="79" spans="2:34" s="148" customFormat="1" ht="27" customHeight="1">
      <c r="B79" s="884" t="s">
        <v>621</v>
      </c>
      <c r="C79" s="885"/>
      <c r="D79" s="387">
        <v>1</v>
      </c>
      <c r="E79" s="390" t="s">
        <v>339</v>
      </c>
      <c r="F79" s="391">
        <v>16904.323799999969</v>
      </c>
      <c r="G79" s="392">
        <v>3971.9500000000003</v>
      </c>
      <c r="H79" s="392">
        <v>3943.1899999999996</v>
      </c>
      <c r="I79" s="393">
        <f>H79/G79</f>
        <v>0.99275922405871153</v>
      </c>
      <c r="J79" s="392">
        <v>143.42000000000002</v>
      </c>
      <c r="K79" s="393">
        <f>J79/G79</f>
        <v>3.6108208814310351E-2</v>
      </c>
      <c r="L79" s="392">
        <v>147.43000000000004</v>
      </c>
      <c r="M79" s="393">
        <f>(H79+J79)/G79</f>
        <v>1.0288674328730218</v>
      </c>
      <c r="N79" s="394">
        <v>16904.323799999969</v>
      </c>
      <c r="O79" s="392">
        <v>0</v>
      </c>
      <c r="P79" s="393">
        <f>O79/G79</f>
        <v>0</v>
      </c>
      <c r="Q79" s="407">
        <f>O79*L79</f>
        <v>0</v>
      </c>
      <c r="R79" s="395">
        <f>((H79+J79)-G79)-O79</f>
        <v>114.6599999999994</v>
      </c>
      <c r="S79" s="393">
        <f>R79/G79</f>
        <v>2.8867432873021914E-2</v>
      </c>
      <c r="T79" s="397" t="s">
        <v>176</v>
      </c>
      <c r="U79" s="397" t="s">
        <v>217</v>
      </c>
      <c r="V79" s="398" t="s">
        <v>720</v>
      </c>
      <c r="W79" s="398" t="s">
        <v>721</v>
      </c>
      <c r="X79" s="398">
        <v>1</v>
      </c>
      <c r="Y79" s="399" t="s">
        <v>344</v>
      </c>
      <c r="Z79" s="400" t="s">
        <v>492</v>
      </c>
      <c r="AA79" s="401">
        <f>SUM(X79:X98)</f>
        <v>20</v>
      </c>
      <c r="AB79" s="402">
        <f>SUMIF($U$79:$U$98,TRIM(AB78),$X$79:$X$98)</f>
        <v>0</v>
      </c>
      <c r="AC79" s="402">
        <f t="shared" ref="AC79:AH79" si="40">SUMIF($U$79:$U$98,TRIM(AC78),$X$79:$X$98)</f>
        <v>0</v>
      </c>
      <c r="AD79" s="402">
        <f t="shared" si="40"/>
        <v>0</v>
      </c>
      <c r="AE79" s="402">
        <f t="shared" si="40"/>
        <v>17</v>
      </c>
      <c r="AF79" s="402">
        <f t="shared" si="40"/>
        <v>1</v>
      </c>
      <c r="AG79" s="402">
        <f t="shared" si="40"/>
        <v>2</v>
      </c>
      <c r="AH79" s="402">
        <f t="shared" si="40"/>
        <v>0</v>
      </c>
    </row>
    <row r="80" spans="2:34" s="148" customFormat="1" ht="27" customHeight="1">
      <c r="B80" s="886"/>
      <c r="C80" s="887"/>
      <c r="D80" s="387">
        <v>2</v>
      </c>
      <c r="E80" s="390" t="s">
        <v>583</v>
      </c>
      <c r="F80" s="391">
        <v>6292.9838999999947</v>
      </c>
      <c r="G80" s="392">
        <v>1012.0999999999999</v>
      </c>
      <c r="H80" s="392">
        <v>1010.25</v>
      </c>
      <c r="I80" s="393">
        <f t="shared" ref="I80:I81" si="41">H80/G80</f>
        <v>0.99817211737970568</v>
      </c>
      <c r="J80" s="392">
        <v>35.6</v>
      </c>
      <c r="K80" s="393">
        <f t="shared" ref="K80:K85" si="42">J80/G80</f>
        <v>3.5174389882422691E-2</v>
      </c>
      <c r="L80" s="392">
        <v>190.87</v>
      </c>
      <c r="M80" s="393">
        <f t="shared" ref="M80:M85" si="43">(H80+J80)/G80</f>
        <v>1.0333465072621282</v>
      </c>
      <c r="N80" s="394">
        <v>6441.8624999999947</v>
      </c>
      <c r="O80" s="392">
        <v>0.78</v>
      </c>
      <c r="P80" s="393">
        <f t="shared" ref="P80:P98" si="44">O80/G80</f>
        <v>7.7067483450251966E-4</v>
      </c>
      <c r="Q80" s="407">
        <f t="shared" ref="Q80:Q98" si="45">O80*L80</f>
        <v>148.87860000000001</v>
      </c>
      <c r="R80" s="395">
        <f t="shared" ref="R80:R98" si="46">((H80+J80)-G80)-O80</f>
        <v>32.97</v>
      </c>
      <c r="S80" s="393">
        <f t="shared" ref="S80:S98" si="47">R80/G80</f>
        <v>3.2575832427625732E-2</v>
      </c>
      <c r="T80" s="397" t="s">
        <v>176</v>
      </c>
      <c r="U80" s="397" t="s">
        <v>465</v>
      </c>
      <c r="V80" s="459" t="s">
        <v>763</v>
      </c>
      <c r="W80" s="460" t="s">
        <v>764</v>
      </c>
      <c r="X80" s="398">
        <v>1</v>
      </c>
      <c r="Y80" s="399" t="s">
        <v>584</v>
      </c>
      <c r="AA80" s="401"/>
      <c r="AB80" s="408">
        <f>SUMIF($U$79:$U$98,TRIM(AB78),$F$79:$F$98)</f>
        <v>0</v>
      </c>
      <c r="AC80" s="408">
        <f t="shared" ref="AC80:AH80" si="48">SUMIF($U$79:$U$98,TRIM(AC78),$F$79:$F$98)</f>
        <v>0</v>
      </c>
      <c r="AD80" s="408">
        <f t="shared" si="48"/>
        <v>0</v>
      </c>
      <c r="AE80" s="408">
        <f t="shared" si="48"/>
        <v>60255.985599999978</v>
      </c>
      <c r="AF80" s="408">
        <f t="shared" si="48"/>
        <v>16904.323799999969</v>
      </c>
      <c r="AG80" s="408">
        <f t="shared" si="48"/>
        <v>6843.6536000000142</v>
      </c>
      <c r="AH80" s="408">
        <f t="shared" si="48"/>
        <v>0</v>
      </c>
    </row>
    <row r="81" spans="2:34" s="148" customFormat="1" ht="27" customHeight="1">
      <c r="B81" s="886"/>
      <c r="C81" s="887"/>
      <c r="D81" s="387">
        <v>3</v>
      </c>
      <c r="E81" s="390" t="s">
        <v>371</v>
      </c>
      <c r="F81" s="391">
        <v>5329.3581000000077</v>
      </c>
      <c r="G81" s="392">
        <v>636.9899999999999</v>
      </c>
      <c r="H81" s="392">
        <v>636.82999999999993</v>
      </c>
      <c r="I81" s="393">
        <f t="shared" si="41"/>
        <v>0.99974881866277343</v>
      </c>
      <c r="J81" s="392">
        <v>13.000000000000002</v>
      </c>
      <c r="K81" s="393">
        <f t="shared" si="42"/>
        <v>2.0408483649664837E-2</v>
      </c>
      <c r="L81" s="392">
        <v>426.69</v>
      </c>
      <c r="M81" s="393">
        <f t="shared" si="43"/>
        <v>1.0201573023124382</v>
      </c>
      <c r="N81" s="394">
        <v>5478.6996000000081</v>
      </c>
      <c r="O81" s="392">
        <v>0.35</v>
      </c>
      <c r="P81" s="393">
        <f t="shared" si="44"/>
        <v>5.4945917518328397E-4</v>
      </c>
      <c r="Q81" s="407">
        <f t="shared" si="45"/>
        <v>149.3415</v>
      </c>
      <c r="R81" s="395">
        <f t="shared" si="46"/>
        <v>12.490000000000032</v>
      </c>
      <c r="S81" s="393">
        <f t="shared" si="47"/>
        <v>1.9607843137254957E-2</v>
      </c>
      <c r="T81" s="397" t="s">
        <v>176</v>
      </c>
      <c r="U81" s="397" t="s">
        <v>465</v>
      </c>
      <c r="V81" s="398" t="s">
        <v>517</v>
      </c>
      <c r="W81" s="398" t="s">
        <v>765</v>
      </c>
      <c r="X81" s="398">
        <v>1</v>
      </c>
      <c r="Y81" s="399" t="s">
        <v>372</v>
      </c>
      <c r="AA81" s="387"/>
      <c r="AB81" s="409">
        <f>AB79/$AA79</f>
        <v>0</v>
      </c>
      <c r="AC81" s="409">
        <f t="shared" ref="AC81:AH81" si="49">AC79/$AA79</f>
        <v>0</v>
      </c>
      <c r="AD81" s="409">
        <f t="shared" si="49"/>
        <v>0</v>
      </c>
      <c r="AE81" s="409">
        <f t="shared" si="49"/>
        <v>0.85</v>
      </c>
      <c r="AF81" s="409">
        <f t="shared" si="49"/>
        <v>0.05</v>
      </c>
      <c r="AG81" s="409">
        <f t="shared" si="49"/>
        <v>0.1</v>
      </c>
      <c r="AH81" s="409">
        <f t="shared" si="49"/>
        <v>0</v>
      </c>
    </row>
    <row r="82" spans="2:34" s="148" customFormat="1" ht="27" customHeight="1">
      <c r="B82" s="886"/>
      <c r="C82" s="887"/>
      <c r="D82" s="387">
        <v>4</v>
      </c>
      <c r="E82" s="390" t="s">
        <v>400</v>
      </c>
      <c r="F82" s="391">
        <v>5287.4623999999822</v>
      </c>
      <c r="G82" s="392">
        <v>3578.48</v>
      </c>
      <c r="H82" s="392">
        <v>3422.1899999999996</v>
      </c>
      <c r="I82" s="393">
        <f>H82/G82</f>
        <v>0.95632503185710127</v>
      </c>
      <c r="J82" s="392">
        <v>198.82000000000002</v>
      </c>
      <c r="K82" s="393">
        <f t="shared" si="42"/>
        <v>5.5559902528447835E-2</v>
      </c>
      <c r="L82" s="392">
        <v>127.84000000000002</v>
      </c>
      <c r="M82" s="393">
        <f t="shared" si="43"/>
        <v>1.0118849343855492</v>
      </c>
      <c r="N82" s="394">
        <v>5437.0351999999821</v>
      </c>
      <c r="O82" s="392">
        <v>1.17</v>
      </c>
      <c r="P82" s="393">
        <f t="shared" si="44"/>
        <v>3.2695446111198048E-4</v>
      </c>
      <c r="Q82" s="407">
        <f t="shared" si="45"/>
        <v>149.5728</v>
      </c>
      <c r="R82" s="395">
        <f t="shared" si="46"/>
        <v>41.359999999999744</v>
      </c>
      <c r="S82" s="393">
        <f t="shared" si="47"/>
        <v>1.155797992443712E-2</v>
      </c>
      <c r="T82" s="397" t="s">
        <v>176</v>
      </c>
      <c r="U82" s="397" t="s">
        <v>465</v>
      </c>
      <c r="V82" s="398" t="s">
        <v>722</v>
      </c>
      <c r="W82" s="398" t="s">
        <v>723</v>
      </c>
      <c r="X82" s="398">
        <v>1</v>
      </c>
      <c r="Y82" s="399" t="s">
        <v>344</v>
      </c>
    </row>
    <row r="83" spans="2:34" s="148" customFormat="1" ht="27" customHeight="1">
      <c r="B83" s="886"/>
      <c r="C83" s="887"/>
      <c r="D83" s="387">
        <v>5</v>
      </c>
      <c r="E83" s="390" t="s">
        <v>463</v>
      </c>
      <c r="F83" s="391">
        <v>5144.6670000000022</v>
      </c>
      <c r="G83" s="392">
        <v>1078.6799999999998</v>
      </c>
      <c r="H83" s="392">
        <v>1045.8</v>
      </c>
      <c r="I83" s="393">
        <f t="shared" ref="I83:I98" si="50">H83/G83</f>
        <v>0.96951830014462126</v>
      </c>
      <c r="J83" s="392">
        <v>85.2</v>
      </c>
      <c r="K83" s="393">
        <f t="shared" si="42"/>
        <v>7.8985426632550912E-2</v>
      </c>
      <c r="L83" s="392">
        <v>99.51</v>
      </c>
      <c r="M83" s="393">
        <f t="shared" si="43"/>
        <v>1.0485037267771722</v>
      </c>
      <c r="N83" s="394">
        <v>5206.3632000000025</v>
      </c>
      <c r="O83" s="392">
        <v>0.62</v>
      </c>
      <c r="P83" s="393">
        <f t="shared" si="44"/>
        <v>5.7477657878147374E-4</v>
      </c>
      <c r="Q83" s="407">
        <f t="shared" si="45"/>
        <v>61.696200000000005</v>
      </c>
      <c r="R83" s="395">
        <f t="shared" si="46"/>
        <v>51.700000000000166</v>
      </c>
      <c r="S83" s="393">
        <f t="shared" si="47"/>
        <v>4.7928950198390788E-2</v>
      </c>
      <c r="T83" s="397" t="s">
        <v>176</v>
      </c>
      <c r="U83" s="397" t="s">
        <v>465</v>
      </c>
      <c r="V83" s="460" t="s">
        <v>534</v>
      </c>
      <c r="W83" s="460" t="s">
        <v>766</v>
      </c>
      <c r="X83" s="398">
        <v>1</v>
      </c>
      <c r="Y83" s="399" t="s">
        <v>358</v>
      </c>
    </row>
    <row r="84" spans="2:34" s="148" customFormat="1" ht="27" customHeight="1">
      <c r="B84" s="886"/>
      <c r="C84" s="887"/>
      <c r="D84" s="387">
        <v>6</v>
      </c>
      <c r="E84" s="390" t="s">
        <v>756</v>
      </c>
      <c r="F84" s="391">
        <v>4887.0269000000008</v>
      </c>
      <c r="G84" s="392">
        <v>552.88</v>
      </c>
      <c r="H84" s="392">
        <v>530.53</v>
      </c>
      <c r="I84" s="393">
        <f t="shared" si="50"/>
        <v>0.95957531471567059</v>
      </c>
      <c r="J84" s="392">
        <v>36.200000000000003</v>
      </c>
      <c r="K84" s="393">
        <f t="shared" si="42"/>
        <v>6.5475329185356687E-2</v>
      </c>
      <c r="L84" s="392">
        <v>370.51</v>
      </c>
      <c r="M84" s="393">
        <f t="shared" si="43"/>
        <v>1.0250506439010274</v>
      </c>
      <c r="N84" s="394">
        <v>5131.5635000000011</v>
      </c>
      <c r="O84" s="392">
        <v>0.66</v>
      </c>
      <c r="P84" s="393">
        <f t="shared" si="44"/>
        <v>1.1937490956446246E-3</v>
      </c>
      <c r="Q84" s="407">
        <f t="shared" si="45"/>
        <v>244.53659999999999</v>
      </c>
      <c r="R84" s="395">
        <f t="shared" si="46"/>
        <v>13.190000000000023</v>
      </c>
      <c r="S84" s="393">
        <f t="shared" si="47"/>
        <v>2.3856894805382764E-2</v>
      </c>
      <c r="T84" s="397" t="s">
        <v>176</v>
      </c>
      <c r="U84" s="397" t="s">
        <v>465</v>
      </c>
      <c r="V84" s="398" t="s">
        <v>739</v>
      </c>
      <c r="W84" s="398" t="s">
        <v>740</v>
      </c>
      <c r="X84" s="398">
        <v>1</v>
      </c>
      <c r="Y84" s="399" t="s">
        <v>363</v>
      </c>
    </row>
    <row r="85" spans="2:34" s="148" customFormat="1" ht="27" customHeight="1">
      <c r="B85" s="886"/>
      <c r="C85" s="887"/>
      <c r="D85" s="387">
        <v>7</v>
      </c>
      <c r="E85" s="390" t="s">
        <v>340</v>
      </c>
      <c r="F85" s="391">
        <v>3815.7548000000038</v>
      </c>
      <c r="G85" s="392">
        <v>1454.46</v>
      </c>
      <c r="H85" s="392">
        <v>1362.19</v>
      </c>
      <c r="I85" s="393">
        <f t="shared" si="50"/>
        <v>0.93656064793806637</v>
      </c>
      <c r="J85" s="392">
        <v>152.24</v>
      </c>
      <c r="K85" s="393">
        <f t="shared" si="42"/>
        <v>0.10467114943002902</v>
      </c>
      <c r="L85" s="392">
        <v>70.220000000000013</v>
      </c>
      <c r="M85" s="393">
        <f t="shared" si="43"/>
        <v>1.0412317973680953</v>
      </c>
      <c r="N85" s="394">
        <v>4211.0934000000043</v>
      </c>
      <c r="O85" s="392">
        <v>5.63</v>
      </c>
      <c r="P85" s="393">
        <f t="shared" si="44"/>
        <v>3.8708524125792387E-3</v>
      </c>
      <c r="Q85" s="407">
        <f t="shared" si="45"/>
        <v>395.33860000000004</v>
      </c>
      <c r="R85" s="395">
        <f t="shared" si="46"/>
        <v>54.340000000000025</v>
      </c>
      <c r="S85" s="393">
        <f t="shared" si="47"/>
        <v>3.7360944955516152E-2</v>
      </c>
      <c r="T85" s="397" t="s">
        <v>176</v>
      </c>
      <c r="U85" s="397" t="s">
        <v>465</v>
      </c>
      <c r="V85" s="398" t="s">
        <v>724</v>
      </c>
      <c r="W85" s="398" t="s">
        <v>670</v>
      </c>
      <c r="X85" s="398">
        <v>1</v>
      </c>
      <c r="Y85" s="399" t="s">
        <v>347</v>
      </c>
    </row>
    <row r="86" spans="2:34" s="148" customFormat="1" ht="27" customHeight="1">
      <c r="B86" s="886"/>
      <c r="C86" s="887"/>
      <c r="D86" s="387">
        <v>8</v>
      </c>
      <c r="E86" s="390" t="s">
        <v>523</v>
      </c>
      <c r="F86" s="391">
        <v>3707.3736000000135</v>
      </c>
      <c r="G86" s="392">
        <v>907.25</v>
      </c>
      <c r="H86" s="392">
        <v>879.35</v>
      </c>
      <c r="I86" s="393">
        <f t="shared" si="50"/>
        <v>0.96924772664645908</v>
      </c>
      <c r="J86" s="392">
        <v>34.5</v>
      </c>
      <c r="K86" s="393">
        <f>J86/G86</f>
        <v>3.8027004684486082E-2</v>
      </c>
      <c r="L86" s="392">
        <v>605.77999999999986</v>
      </c>
      <c r="M86" s="393">
        <f>(H86+J86)/G86</f>
        <v>1.0072747313309451</v>
      </c>
      <c r="N86" s="394">
        <v>3998.1480000000138</v>
      </c>
      <c r="O86" s="392">
        <v>0.48</v>
      </c>
      <c r="P86" s="393">
        <f t="shared" si="44"/>
        <v>5.2907136952328468E-4</v>
      </c>
      <c r="Q86" s="407">
        <f t="shared" si="45"/>
        <v>290.7743999999999</v>
      </c>
      <c r="R86" s="395">
        <f t="shared" si="46"/>
        <v>6.1200000000000223</v>
      </c>
      <c r="S86" s="393">
        <f t="shared" si="47"/>
        <v>6.7456599614219041E-3</v>
      </c>
      <c r="T86" s="397" t="s">
        <v>176</v>
      </c>
      <c r="U86" s="397" t="s">
        <v>218</v>
      </c>
      <c r="V86" s="397" t="s">
        <v>735</v>
      </c>
      <c r="W86" s="398" t="s">
        <v>736</v>
      </c>
      <c r="X86" s="398">
        <v>1</v>
      </c>
      <c r="Y86" s="399" t="s">
        <v>346</v>
      </c>
    </row>
    <row r="87" spans="2:34" s="148" customFormat="1" ht="27" customHeight="1">
      <c r="B87" s="886"/>
      <c r="C87" s="887"/>
      <c r="D87" s="387">
        <v>9</v>
      </c>
      <c r="E87" s="390" t="s">
        <v>564</v>
      </c>
      <c r="F87" s="391">
        <v>3553.8500000000076</v>
      </c>
      <c r="G87" s="392">
        <v>141.07999999999998</v>
      </c>
      <c r="H87" s="392">
        <v>132.39000000000001</v>
      </c>
      <c r="I87" s="393">
        <f t="shared" si="50"/>
        <v>0.93840374255741443</v>
      </c>
      <c r="J87" s="392">
        <v>14.719999999999999</v>
      </c>
      <c r="K87" s="393">
        <f t="shared" ref="K87:K98" si="51">J87/G87</f>
        <v>0.10433796427558832</v>
      </c>
      <c r="L87" s="392">
        <v>629</v>
      </c>
      <c r="M87" s="393">
        <f t="shared" ref="M87:M98" si="52">(H87+J87)/G87</f>
        <v>1.0427417068330027</v>
      </c>
      <c r="N87" s="394">
        <v>3792.8700000000072</v>
      </c>
      <c r="O87" s="392">
        <v>0.38</v>
      </c>
      <c r="P87" s="393">
        <f t="shared" si="44"/>
        <v>2.6935072299404598E-3</v>
      </c>
      <c r="Q87" s="407">
        <f t="shared" si="45"/>
        <v>239.02</v>
      </c>
      <c r="R87" s="395">
        <f t="shared" si="46"/>
        <v>5.6500000000000297</v>
      </c>
      <c r="S87" s="393">
        <f t="shared" si="47"/>
        <v>4.0048199603062308E-2</v>
      </c>
      <c r="T87" s="397" t="s">
        <v>176</v>
      </c>
      <c r="U87" s="397" t="s">
        <v>465</v>
      </c>
      <c r="V87" s="398" t="s">
        <v>730</v>
      </c>
      <c r="W87" s="398" t="s">
        <v>733</v>
      </c>
      <c r="X87" s="398">
        <v>1</v>
      </c>
      <c r="Y87" s="399" t="s">
        <v>522</v>
      </c>
    </row>
    <row r="88" spans="2:34" s="148" customFormat="1" ht="27" customHeight="1">
      <c r="B88" s="886"/>
      <c r="C88" s="887"/>
      <c r="D88" s="387">
        <v>10</v>
      </c>
      <c r="E88" s="390" t="s">
        <v>512</v>
      </c>
      <c r="F88" s="391">
        <v>3136.28</v>
      </c>
      <c r="G88" s="392">
        <v>192406</v>
      </c>
      <c r="H88" s="392">
        <v>191970</v>
      </c>
      <c r="I88" s="393">
        <f t="shared" si="50"/>
        <v>0.99773395840046564</v>
      </c>
      <c r="J88" s="392">
        <v>1410</v>
      </c>
      <c r="K88" s="393">
        <f t="shared" si="51"/>
        <v>7.3282537966591482E-3</v>
      </c>
      <c r="L88" s="392">
        <v>3.22</v>
      </c>
      <c r="M88" s="393">
        <f t="shared" si="52"/>
        <v>1.0050622121971249</v>
      </c>
      <c r="N88" s="394">
        <v>3136.28</v>
      </c>
      <c r="O88" s="392">
        <v>0</v>
      </c>
      <c r="P88" s="393">
        <f t="shared" si="44"/>
        <v>0</v>
      </c>
      <c r="Q88" s="407">
        <f t="shared" si="45"/>
        <v>0</v>
      </c>
      <c r="R88" s="395">
        <f t="shared" si="46"/>
        <v>974</v>
      </c>
      <c r="S88" s="393">
        <f t="shared" si="47"/>
        <v>5.0622121971248294E-3</v>
      </c>
      <c r="T88" s="397" t="s">
        <v>176</v>
      </c>
      <c r="U88" s="397" t="s">
        <v>218</v>
      </c>
      <c r="V88" s="398" t="s">
        <v>730</v>
      </c>
      <c r="W88" s="398" t="s">
        <v>733</v>
      </c>
      <c r="X88" s="398">
        <v>1</v>
      </c>
      <c r="Y88" s="399" t="s">
        <v>344</v>
      </c>
    </row>
    <row r="89" spans="2:34" s="148" customFormat="1" ht="27" customHeight="1">
      <c r="B89" s="886"/>
      <c r="C89" s="887"/>
      <c r="D89" s="387">
        <v>11</v>
      </c>
      <c r="E89" s="390" t="s">
        <v>658</v>
      </c>
      <c r="F89" s="391">
        <v>3061.8627999999962</v>
      </c>
      <c r="G89" s="392">
        <v>1523.81</v>
      </c>
      <c r="H89" s="392">
        <v>1443.78</v>
      </c>
      <c r="I89" s="393">
        <f t="shared" si="50"/>
        <v>0.9474803289123972</v>
      </c>
      <c r="J89" s="392">
        <v>107.38</v>
      </c>
      <c r="K89" s="393">
        <f t="shared" si="51"/>
        <v>7.046810297871782E-2</v>
      </c>
      <c r="L89" s="392">
        <v>118.30999999999999</v>
      </c>
      <c r="M89" s="393">
        <f t="shared" si="52"/>
        <v>1.0179484318911149</v>
      </c>
      <c r="N89" s="394">
        <v>3235.7784999999963</v>
      </c>
      <c r="O89" s="392">
        <v>1.47</v>
      </c>
      <c r="P89" s="393">
        <f t="shared" si="44"/>
        <v>9.6468719853525051E-4</v>
      </c>
      <c r="Q89" s="407">
        <f t="shared" si="45"/>
        <v>173.91569999999999</v>
      </c>
      <c r="R89" s="395">
        <f t="shared" si="46"/>
        <v>25.87999999999991</v>
      </c>
      <c r="S89" s="393">
        <f t="shared" si="47"/>
        <v>1.6983744692579725E-2</v>
      </c>
      <c r="T89" s="397" t="s">
        <v>176</v>
      </c>
      <c r="U89" s="397" t="s">
        <v>465</v>
      </c>
      <c r="V89" s="398" t="s">
        <v>727</v>
      </c>
      <c r="W89" s="398" t="s">
        <v>728</v>
      </c>
      <c r="X89" s="398">
        <v>1</v>
      </c>
      <c r="Y89" s="399" t="s">
        <v>610</v>
      </c>
    </row>
    <row r="90" spans="2:34" s="148" customFormat="1" ht="27" customHeight="1">
      <c r="B90" s="886"/>
      <c r="C90" s="887"/>
      <c r="D90" s="387">
        <v>12</v>
      </c>
      <c r="E90" s="390" t="s">
        <v>660</v>
      </c>
      <c r="F90" s="391">
        <v>3000.4391999999971</v>
      </c>
      <c r="G90" s="392">
        <v>201.29999999999998</v>
      </c>
      <c r="H90" s="392">
        <v>199.07999999999998</v>
      </c>
      <c r="I90" s="393">
        <f t="shared" si="50"/>
        <v>0.98897168405365132</v>
      </c>
      <c r="J90" s="392">
        <v>9.5599999999999987</v>
      </c>
      <c r="K90" s="393">
        <f t="shared" si="51"/>
        <v>4.7491306507699949E-2</v>
      </c>
      <c r="L90" s="392">
        <v>421.41</v>
      </c>
      <c r="M90" s="393">
        <f t="shared" si="52"/>
        <v>1.0364629905613512</v>
      </c>
      <c r="N90" s="394">
        <v>3093.1493999999975</v>
      </c>
      <c r="O90" s="392">
        <v>0.22</v>
      </c>
      <c r="P90" s="393">
        <f t="shared" si="44"/>
        <v>1.092896174863388E-3</v>
      </c>
      <c r="Q90" s="407">
        <f t="shared" si="45"/>
        <v>92.7102</v>
      </c>
      <c r="R90" s="395">
        <f t="shared" si="46"/>
        <v>7.1200000000000037</v>
      </c>
      <c r="S90" s="393">
        <f t="shared" si="47"/>
        <v>3.5370094386487853E-2</v>
      </c>
      <c r="T90" s="397" t="s">
        <v>176</v>
      </c>
      <c r="U90" s="397" t="s">
        <v>465</v>
      </c>
      <c r="V90" s="398" t="s">
        <v>739</v>
      </c>
      <c r="W90" s="398" t="s">
        <v>740</v>
      </c>
      <c r="X90" s="398">
        <v>1</v>
      </c>
      <c r="Y90" s="399" t="s">
        <v>483</v>
      </c>
    </row>
    <row r="91" spans="2:34" s="148" customFormat="1" ht="27" customHeight="1">
      <c r="B91" s="886"/>
      <c r="C91" s="887"/>
      <c r="D91" s="387">
        <v>13</v>
      </c>
      <c r="E91" s="390" t="s">
        <v>470</v>
      </c>
      <c r="F91" s="391">
        <v>2915.6687999999986</v>
      </c>
      <c r="G91" s="392">
        <v>371.02</v>
      </c>
      <c r="H91" s="392">
        <v>363.4</v>
      </c>
      <c r="I91" s="393">
        <f t="shared" si="50"/>
        <v>0.97946202361058698</v>
      </c>
      <c r="J91" s="392">
        <v>16.32</v>
      </c>
      <c r="K91" s="393">
        <f t="shared" si="51"/>
        <v>4.3986847070238803E-2</v>
      </c>
      <c r="L91" s="392">
        <v>368.13999999999993</v>
      </c>
      <c r="M91" s="393">
        <f t="shared" si="52"/>
        <v>1.0234488706808258</v>
      </c>
      <c r="N91" s="394">
        <v>3202.8179999999984</v>
      </c>
      <c r="O91" s="392">
        <v>0.78</v>
      </c>
      <c r="P91" s="393">
        <f t="shared" si="44"/>
        <v>2.1023125437981782E-3</v>
      </c>
      <c r="Q91" s="407">
        <f t="shared" si="45"/>
        <v>287.14919999999995</v>
      </c>
      <c r="R91" s="395">
        <f t="shared" si="46"/>
        <v>7.9199999999999884</v>
      </c>
      <c r="S91" s="393">
        <f t="shared" si="47"/>
        <v>2.1346558137027623E-2</v>
      </c>
      <c r="T91" s="397" t="s">
        <v>176</v>
      </c>
      <c r="U91" s="397" t="s">
        <v>465</v>
      </c>
      <c r="V91" s="398" t="s">
        <v>739</v>
      </c>
      <c r="W91" s="398" t="s">
        <v>740</v>
      </c>
      <c r="X91" s="398">
        <v>1</v>
      </c>
      <c r="Y91" s="399" t="s">
        <v>471</v>
      </c>
    </row>
    <row r="92" spans="2:34" s="148" customFormat="1" ht="27" customHeight="1">
      <c r="B92" s="886"/>
      <c r="C92" s="887"/>
      <c r="D92" s="387">
        <v>14</v>
      </c>
      <c r="E92" s="390" t="s">
        <v>461</v>
      </c>
      <c r="F92" s="391">
        <v>2722.572099999999</v>
      </c>
      <c r="G92" s="392">
        <v>1563.52</v>
      </c>
      <c r="H92" s="392">
        <v>1510.3000000000002</v>
      </c>
      <c r="I92" s="393">
        <f t="shared" si="50"/>
        <v>0.96596142038477295</v>
      </c>
      <c r="J92" s="392">
        <v>99.699999999999989</v>
      </c>
      <c r="K92" s="393">
        <f t="shared" si="51"/>
        <v>6.3766373311502242E-2</v>
      </c>
      <c r="L92" s="392">
        <v>66.13</v>
      </c>
      <c r="M92" s="393">
        <f t="shared" si="52"/>
        <v>1.0297277936962752</v>
      </c>
      <c r="N92" s="394">
        <v>3073.7223999999992</v>
      </c>
      <c r="O92" s="392">
        <v>5.3100000000000005</v>
      </c>
      <c r="P92" s="393">
        <f t="shared" si="44"/>
        <v>3.3961829717560378E-3</v>
      </c>
      <c r="Q92" s="407">
        <f t="shared" si="45"/>
        <v>351.15030000000002</v>
      </c>
      <c r="R92" s="395">
        <f t="shared" si="46"/>
        <v>41.170000000000243</v>
      </c>
      <c r="S92" s="393">
        <f t="shared" si="47"/>
        <v>2.633161072451919E-2</v>
      </c>
      <c r="T92" s="397" t="s">
        <v>176</v>
      </c>
      <c r="U92" s="397" t="s">
        <v>465</v>
      </c>
      <c r="V92" s="398" t="s">
        <v>724</v>
      </c>
      <c r="W92" s="398" t="s">
        <v>670</v>
      </c>
      <c r="X92" s="398">
        <v>1</v>
      </c>
      <c r="Y92" s="399" t="s">
        <v>345</v>
      </c>
      <c r="AC92" s="404"/>
    </row>
    <row r="93" spans="2:34" s="148" customFormat="1" ht="27" customHeight="1">
      <c r="B93" s="886"/>
      <c r="C93" s="887"/>
      <c r="D93" s="387">
        <v>15</v>
      </c>
      <c r="E93" s="390" t="s">
        <v>700</v>
      </c>
      <c r="F93" s="391">
        <v>2513.007599999999</v>
      </c>
      <c r="G93" s="392">
        <v>1523.81</v>
      </c>
      <c r="H93" s="392">
        <v>1436.54</v>
      </c>
      <c r="I93" s="393">
        <f t="shared" si="50"/>
        <v>0.94272908039716241</v>
      </c>
      <c r="J93" s="392">
        <v>113.44</v>
      </c>
      <c r="K93" s="393">
        <f t="shared" si="51"/>
        <v>7.4444976735944773E-2</v>
      </c>
      <c r="L93" s="392">
        <v>114.54</v>
      </c>
      <c r="M93" s="393">
        <f t="shared" si="52"/>
        <v>1.0171740571331072</v>
      </c>
      <c r="N93" s="394">
        <v>2997.5117999999989</v>
      </c>
      <c r="O93" s="392">
        <v>4.2300000000000004</v>
      </c>
      <c r="P93" s="393">
        <f t="shared" si="44"/>
        <v>2.7759366325198027E-3</v>
      </c>
      <c r="Q93" s="407">
        <f t="shared" si="45"/>
        <v>484.50420000000008</v>
      </c>
      <c r="R93" s="395">
        <f t="shared" si="46"/>
        <v>21.940000000000072</v>
      </c>
      <c r="S93" s="393">
        <f t="shared" si="47"/>
        <v>1.4398120500587391E-2</v>
      </c>
      <c r="T93" s="397" t="s">
        <v>176</v>
      </c>
      <c r="U93" s="397" t="s">
        <v>465</v>
      </c>
      <c r="V93" s="398" t="s">
        <v>727</v>
      </c>
      <c r="W93" s="398" t="s">
        <v>728</v>
      </c>
      <c r="X93" s="398">
        <v>1</v>
      </c>
      <c r="Y93" s="399" t="s">
        <v>610</v>
      </c>
      <c r="AC93" s="403"/>
    </row>
    <row r="94" spans="2:34" s="148" customFormat="1" ht="27" customHeight="1">
      <c r="B94" s="886"/>
      <c r="C94" s="887"/>
      <c r="D94" s="387">
        <v>16</v>
      </c>
      <c r="E94" s="390" t="s">
        <v>539</v>
      </c>
      <c r="F94" s="391">
        <v>2505.2488999999987</v>
      </c>
      <c r="G94" s="392">
        <v>590.24</v>
      </c>
      <c r="H94" s="392">
        <v>556.37</v>
      </c>
      <c r="I94" s="393">
        <f t="shared" si="50"/>
        <v>0.94261656275413386</v>
      </c>
      <c r="J94" s="392">
        <v>50.91</v>
      </c>
      <c r="K94" s="393">
        <f t="shared" si="51"/>
        <v>8.6253049606939539E-2</v>
      </c>
      <c r="L94" s="392">
        <v>160.49</v>
      </c>
      <c r="M94" s="393">
        <f t="shared" si="52"/>
        <v>1.0288696123610734</v>
      </c>
      <c r="N94" s="394">
        <v>2734.7495999999987</v>
      </c>
      <c r="O94" s="392">
        <v>1.4300000000000002</v>
      </c>
      <c r="P94" s="393">
        <f t="shared" si="44"/>
        <v>2.4227432908647331E-3</v>
      </c>
      <c r="Q94" s="407">
        <f t="shared" si="45"/>
        <v>229.50070000000005</v>
      </c>
      <c r="R94" s="395">
        <f t="shared" si="46"/>
        <v>15.609999999999964</v>
      </c>
      <c r="S94" s="393">
        <f t="shared" si="47"/>
        <v>2.6446869070208667E-2</v>
      </c>
      <c r="T94" s="397" t="s">
        <v>176</v>
      </c>
      <c r="U94" s="397" t="s">
        <v>465</v>
      </c>
      <c r="V94" s="398" t="s">
        <v>722</v>
      </c>
      <c r="W94" s="398" t="s">
        <v>729</v>
      </c>
      <c r="X94" s="398">
        <v>1</v>
      </c>
      <c r="Y94" s="399" t="s">
        <v>471</v>
      </c>
      <c r="AC94" s="403"/>
    </row>
    <row r="95" spans="2:34" s="148" customFormat="1" ht="27" customHeight="1">
      <c r="B95" s="886"/>
      <c r="C95" s="887"/>
      <c r="D95" s="387">
        <v>17</v>
      </c>
      <c r="E95" s="390" t="s">
        <v>515</v>
      </c>
      <c r="F95" s="391">
        <v>2474.2902000000026</v>
      </c>
      <c r="G95" s="392">
        <v>946.56999999999994</v>
      </c>
      <c r="H95" s="392">
        <v>896.42</v>
      </c>
      <c r="I95" s="393">
        <f t="shared" si="50"/>
        <v>0.94701923787992437</v>
      </c>
      <c r="J95" s="392">
        <v>71.099999999999994</v>
      </c>
      <c r="K95" s="393">
        <f t="shared" si="51"/>
        <v>7.511330382327773E-2</v>
      </c>
      <c r="L95" s="392">
        <v>144.78</v>
      </c>
      <c r="M95" s="393">
        <f t="shared" si="52"/>
        <v>1.0221325417032021</v>
      </c>
      <c r="N95" s="394">
        <v>3033.1410000000024</v>
      </c>
      <c r="O95" s="392">
        <v>3.8600000000000003</v>
      </c>
      <c r="P95" s="393">
        <f t="shared" si="44"/>
        <v>4.0778811920935592E-3</v>
      </c>
      <c r="Q95" s="407">
        <f t="shared" si="45"/>
        <v>558.85080000000005</v>
      </c>
      <c r="R95" s="395">
        <f t="shared" si="46"/>
        <v>17.090000000000046</v>
      </c>
      <c r="S95" s="393">
        <f t="shared" si="47"/>
        <v>1.8054660511108579E-2</v>
      </c>
      <c r="T95" s="397" t="s">
        <v>176</v>
      </c>
      <c r="U95" s="397" t="s">
        <v>465</v>
      </c>
      <c r="V95" s="398" t="s">
        <v>731</v>
      </c>
      <c r="W95" s="398" t="s">
        <v>732</v>
      </c>
      <c r="X95" s="398">
        <v>1</v>
      </c>
      <c r="Y95" s="399" t="s">
        <v>511</v>
      </c>
      <c r="AB95" s="405"/>
      <c r="AC95" s="403"/>
    </row>
    <row r="96" spans="2:34" s="148" customFormat="1" ht="27" customHeight="1">
      <c r="B96" s="886"/>
      <c r="C96" s="887"/>
      <c r="D96" s="387">
        <v>18</v>
      </c>
      <c r="E96" s="390" t="s">
        <v>659</v>
      </c>
      <c r="F96" s="391">
        <v>2258.3800999999949</v>
      </c>
      <c r="G96" s="392">
        <v>693.48</v>
      </c>
      <c r="H96" s="392">
        <v>661.95</v>
      </c>
      <c r="I96" s="393">
        <f t="shared" si="50"/>
        <v>0.95453365634192766</v>
      </c>
      <c r="J96" s="392">
        <v>54.62</v>
      </c>
      <c r="K96" s="393">
        <f t="shared" si="51"/>
        <v>7.876218492242025E-2</v>
      </c>
      <c r="L96" s="392">
        <v>128.38999999999999</v>
      </c>
      <c r="M96" s="393">
        <f t="shared" si="52"/>
        <v>1.033295841264348</v>
      </c>
      <c r="N96" s="394">
        <v>2964.5250999999948</v>
      </c>
      <c r="O96" s="392">
        <v>5.5</v>
      </c>
      <c r="P96" s="393">
        <f t="shared" si="44"/>
        <v>7.931014593066851E-3</v>
      </c>
      <c r="Q96" s="407">
        <f t="shared" si="45"/>
        <v>706.14499999999998</v>
      </c>
      <c r="R96" s="395">
        <f t="shared" si="46"/>
        <v>17.590000000000032</v>
      </c>
      <c r="S96" s="393">
        <f t="shared" si="47"/>
        <v>2.5364826671281121E-2</v>
      </c>
      <c r="T96" s="397" t="s">
        <v>176</v>
      </c>
      <c r="U96" s="397" t="s">
        <v>465</v>
      </c>
      <c r="V96" s="398" t="s">
        <v>727</v>
      </c>
      <c r="W96" s="398" t="s">
        <v>728</v>
      </c>
      <c r="X96" s="398">
        <v>1</v>
      </c>
      <c r="Y96" s="399" t="s">
        <v>360</v>
      </c>
      <c r="AC96" s="403"/>
    </row>
    <row r="97" spans="2:34" s="148" customFormat="1" ht="27" customHeight="1">
      <c r="B97" s="886"/>
      <c r="C97" s="887"/>
      <c r="D97" s="387">
        <v>19</v>
      </c>
      <c r="E97" s="390" t="s">
        <v>653</v>
      </c>
      <c r="F97" s="391">
        <v>2250.2627999999972</v>
      </c>
      <c r="G97" s="392">
        <v>873.01</v>
      </c>
      <c r="H97" s="392">
        <v>877.44</v>
      </c>
      <c r="I97" s="393">
        <f t="shared" si="50"/>
        <v>1.0050743977732215</v>
      </c>
      <c r="J97" s="392">
        <v>17.53</v>
      </c>
      <c r="K97" s="393">
        <f t="shared" si="51"/>
        <v>2.007995326514015E-2</v>
      </c>
      <c r="L97" s="392">
        <v>126.99</v>
      </c>
      <c r="M97" s="393">
        <f t="shared" si="52"/>
        <v>1.0251543510383616</v>
      </c>
      <c r="N97" s="394">
        <v>2788.700399999997</v>
      </c>
      <c r="O97" s="392">
        <v>4.24</v>
      </c>
      <c r="P97" s="393">
        <f t="shared" si="44"/>
        <v>4.8567599454759974E-3</v>
      </c>
      <c r="Q97" s="407">
        <f t="shared" si="45"/>
        <v>538.43759999999997</v>
      </c>
      <c r="R97" s="395">
        <f t="shared" si="46"/>
        <v>17.720000000000034</v>
      </c>
      <c r="S97" s="393">
        <f t="shared" si="47"/>
        <v>2.0297591092885574E-2</v>
      </c>
      <c r="T97" s="397" t="s">
        <v>176</v>
      </c>
      <c r="U97" s="397" t="s">
        <v>465</v>
      </c>
      <c r="V97" s="398" t="s">
        <v>727</v>
      </c>
      <c r="W97" s="398" t="s">
        <v>728</v>
      </c>
      <c r="X97" s="398">
        <v>1</v>
      </c>
      <c r="Y97" s="399" t="s">
        <v>344</v>
      </c>
      <c r="AB97" s="406"/>
      <c r="AC97" s="403"/>
    </row>
    <row r="98" spans="2:34" s="148" customFormat="1" ht="27" customHeight="1">
      <c r="B98" s="888"/>
      <c r="C98" s="889"/>
      <c r="D98" s="387">
        <v>20</v>
      </c>
      <c r="E98" s="390" t="s">
        <v>757</v>
      </c>
      <c r="F98" s="391">
        <v>2243.1500000000028</v>
      </c>
      <c r="G98" s="392">
        <v>54.79</v>
      </c>
      <c r="H98" s="392">
        <v>55.29999999999999</v>
      </c>
      <c r="I98" s="393">
        <f t="shared" si="50"/>
        <v>1.0093082679321042</v>
      </c>
      <c r="J98" s="392">
        <v>0.4</v>
      </c>
      <c r="K98" s="393">
        <f t="shared" si="51"/>
        <v>7.3006022996897251E-3</v>
      </c>
      <c r="L98" s="392">
        <v>2465</v>
      </c>
      <c r="M98" s="393">
        <f t="shared" si="52"/>
        <v>1.0166088702317939</v>
      </c>
      <c r="N98" s="394">
        <v>2243.1500000000028</v>
      </c>
      <c r="O98" s="392">
        <v>0</v>
      </c>
      <c r="P98" s="393">
        <f t="shared" si="44"/>
        <v>0</v>
      </c>
      <c r="Q98" s="407">
        <f t="shared" si="45"/>
        <v>0</v>
      </c>
      <c r="R98" s="395">
        <f t="shared" si="46"/>
        <v>0.90999999999998948</v>
      </c>
      <c r="S98" s="393">
        <f t="shared" si="47"/>
        <v>1.6608870231793933E-2</v>
      </c>
      <c r="T98" s="397" t="s">
        <v>176</v>
      </c>
      <c r="U98" s="397" t="s">
        <v>465</v>
      </c>
      <c r="V98" s="398" t="s">
        <v>742</v>
      </c>
      <c r="W98" s="398" t="s">
        <v>681</v>
      </c>
      <c r="X98" s="398">
        <v>1</v>
      </c>
      <c r="Y98" s="399" t="s">
        <v>582</v>
      </c>
      <c r="AB98" s="406"/>
      <c r="AC98" s="403"/>
    </row>
    <row r="99" spans="2:34" ht="16.5" customHeight="1">
      <c r="B99" s="903" t="s">
        <v>488</v>
      </c>
      <c r="C99" s="904"/>
      <c r="D99" s="900" t="s">
        <v>172</v>
      </c>
      <c r="E99" s="900"/>
      <c r="F99" s="900"/>
      <c r="G99" s="900" t="s">
        <v>186</v>
      </c>
      <c r="H99" s="900"/>
      <c r="I99" s="900"/>
      <c r="J99" s="900"/>
      <c r="K99" s="900"/>
      <c r="L99" s="900"/>
      <c r="M99" s="900"/>
      <c r="N99" s="900"/>
      <c r="O99" s="900"/>
      <c r="P99" s="900"/>
      <c r="Q99" s="900"/>
      <c r="R99" s="900"/>
      <c r="S99" s="900"/>
      <c r="T99" s="900" t="s">
        <v>173</v>
      </c>
      <c r="U99" s="890" t="s">
        <v>247</v>
      </c>
      <c r="V99" s="921" t="s">
        <v>496</v>
      </c>
      <c r="W99" s="921" t="s">
        <v>490</v>
      </c>
      <c r="X99" s="912" t="s">
        <v>248</v>
      </c>
      <c r="Y99" s="901" t="s">
        <v>174</v>
      </c>
      <c r="AA99" s="900" t="s">
        <v>249</v>
      </c>
      <c r="AB99" s="900"/>
      <c r="AC99" s="900"/>
      <c r="AD99" s="900"/>
      <c r="AE99" s="900"/>
      <c r="AF99" s="900"/>
      <c r="AG99" s="900"/>
      <c r="AH99" s="900"/>
    </row>
    <row r="100" spans="2:34" ht="17.149999999999999" customHeight="1">
      <c r="B100" s="905"/>
      <c r="C100" s="906"/>
      <c r="D100" s="899" t="s">
        <v>171</v>
      </c>
      <c r="E100" s="900" t="s">
        <v>175</v>
      </c>
      <c r="F100" s="900"/>
      <c r="G100" s="900" t="s">
        <v>187</v>
      </c>
      <c r="H100" s="900"/>
      <c r="I100" s="900"/>
      <c r="J100" s="900"/>
      <c r="K100" s="900"/>
      <c r="L100" s="900"/>
      <c r="M100" s="900"/>
      <c r="N100" s="900"/>
      <c r="O100" s="900" t="s">
        <v>176</v>
      </c>
      <c r="P100" s="900"/>
      <c r="Q100" s="900"/>
      <c r="R100" s="900"/>
      <c r="S100" s="900"/>
      <c r="T100" s="900"/>
      <c r="U100" s="893"/>
      <c r="V100" s="913"/>
      <c r="W100" s="922"/>
      <c r="X100" s="913"/>
      <c r="Y100" s="901"/>
      <c r="AA100" s="900"/>
      <c r="AB100" s="900"/>
      <c r="AC100" s="900"/>
      <c r="AD100" s="900"/>
      <c r="AE100" s="900"/>
      <c r="AF100" s="900"/>
      <c r="AG100" s="900"/>
      <c r="AH100" s="900"/>
    </row>
    <row r="101" spans="2:34" ht="17.149999999999999" customHeight="1">
      <c r="B101" s="905"/>
      <c r="C101" s="906"/>
      <c r="D101" s="899"/>
      <c r="E101" s="899" t="s">
        <v>177</v>
      </c>
      <c r="F101" s="917" t="s">
        <v>497</v>
      </c>
      <c r="G101" s="902" t="s">
        <v>188</v>
      </c>
      <c r="H101" s="902"/>
      <c r="I101" s="902"/>
      <c r="J101" s="902"/>
      <c r="K101" s="902"/>
      <c r="L101" s="902"/>
      <c r="M101" s="902"/>
      <c r="N101" s="902"/>
      <c r="O101" s="918" t="s">
        <v>170</v>
      </c>
      <c r="P101" s="919"/>
      <c r="Q101" s="920"/>
      <c r="R101" s="902" t="s">
        <v>178</v>
      </c>
      <c r="S101" s="902"/>
      <c r="T101" s="900"/>
      <c r="U101" s="893"/>
      <c r="V101" s="913"/>
      <c r="W101" s="922"/>
      <c r="X101" s="913"/>
      <c r="Y101" s="901"/>
      <c r="AA101" s="900"/>
      <c r="AB101" s="900"/>
      <c r="AC101" s="900"/>
      <c r="AD101" s="900"/>
      <c r="AE101" s="900"/>
      <c r="AF101" s="900"/>
      <c r="AG101" s="900"/>
      <c r="AH101" s="900"/>
    </row>
    <row r="102" spans="2:34" ht="38.5" customHeight="1">
      <c r="B102" s="907"/>
      <c r="C102" s="908"/>
      <c r="D102" s="899"/>
      <c r="E102" s="899"/>
      <c r="F102" s="917"/>
      <c r="G102" s="388" t="s">
        <v>179</v>
      </c>
      <c r="H102" s="388" t="s">
        <v>254</v>
      </c>
      <c r="I102" s="388" t="s">
        <v>255</v>
      </c>
      <c r="J102" s="388" t="s">
        <v>180</v>
      </c>
      <c r="K102" s="388" t="s">
        <v>252</v>
      </c>
      <c r="L102" s="388" t="s">
        <v>181</v>
      </c>
      <c r="M102" s="388" t="s">
        <v>189</v>
      </c>
      <c r="N102" s="388" t="s">
        <v>182</v>
      </c>
      <c r="O102" s="389" t="s">
        <v>183</v>
      </c>
      <c r="P102" s="389" t="s">
        <v>184</v>
      </c>
      <c r="Q102" s="388" t="s">
        <v>185</v>
      </c>
      <c r="R102" s="389" t="s">
        <v>183</v>
      </c>
      <c r="S102" s="389" t="s">
        <v>184</v>
      </c>
      <c r="T102" s="900"/>
      <c r="U102" s="896"/>
      <c r="V102" s="914"/>
      <c r="W102" s="923"/>
      <c r="X102" s="914"/>
      <c r="Y102" s="901"/>
      <c r="AA102" s="161" t="s">
        <v>246</v>
      </c>
      <c r="AB102" s="161" t="s">
        <v>491</v>
      </c>
      <c r="AC102" s="156" t="s">
        <v>397</v>
      </c>
      <c r="AD102" s="156" t="s">
        <v>341</v>
      </c>
      <c r="AE102" s="156" t="s">
        <v>465</v>
      </c>
      <c r="AF102" s="156" t="s">
        <v>217</v>
      </c>
      <c r="AG102" s="156" t="s">
        <v>218</v>
      </c>
      <c r="AH102" s="156" t="s">
        <v>398</v>
      </c>
    </row>
    <row r="103" spans="2:34" s="148" customFormat="1" ht="27" customHeight="1">
      <c r="B103" s="884" t="s">
        <v>622</v>
      </c>
      <c r="C103" s="885"/>
      <c r="D103" s="387">
        <v>1</v>
      </c>
      <c r="E103" s="390" t="s">
        <v>339</v>
      </c>
      <c r="F103" s="391">
        <v>20189.064200000023</v>
      </c>
      <c r="G103" s="392">
        <v>5474.25</v>
      </c>
      <c r="H103" s="392">
        <v>5432.11</v>
      </c>
      <c r="I103" s="393">
        <f>H103/G103</f>
        <v>0.99230214184591492</v>
      </c>
      <c r="J103" s="392">
        <v>179.08</v>
      </c>
      <c r="K103" s="393">
        <f>J103/G103</f>
        <v>3.2713157053477646E-2</v>
      </c>
      <c r="L103" s="392">
        <v>147.43000000000004</v>
      </c>
      <c r="M103" s="393">
        <f>(H103+J103)/G103</f>
        <v>1.0250152988993926</v>
      </c>
      <c r="N103" s="394">
        <v>20189.064200000023</v>
      </c>
      <c r="O103" s="392">
        <v>0</v>
      </c>
      <c r="P103" s="393">
        <f>O103/G103</f>
        <v>0</v>
      </c>
      <c r="Q103" s="407">
        <f>O103*L103</f>
        <v>0</v>
      </c>
      <c r="R103" s="395">
        <f>((H103+J103)-G103)-O103</f>
        <v>136.9399999999996</v>
      </c>
      <c r="S103" s="393">
        <f>R103/G103</f>
        <v>2.5015298899392538E-2</v>
      </c>
      <c r="T103" s="397" t="s">
        <v>176</v>
      </c>
      <c r="U103" s="397" t="s">
        <v>217</v>
      </c>
      <c r="V103" s="398" t="s">
        <v>720</v>
      </c>
      <c r="W103" s="398" t="s">
        <v>784</v>
      </c>
      <c r="X103" s="398">
        <v>1</v>
      </c>
      <c r="Y103" s="399" t="s">
        <v>344</v>
      </c>
      <c r="Z103" s="400" t="s">
        <v>492</v>
      </c>
      <c r="AA103" s="401">
        <f>SUM(X103:X122)</f>
        <v>20</v>
      </c>
      <c r="AB103" s="402">
        <f>SUMIF($U$103:$U$122,TRIM(AB102),$X$103:$X$122)</f>
        <v>0</v>
      </c>
      <c r="AC103" s="402">
        <f t="shared" ref="AC103:AH103" si="53">SUMIF($U$103:$U$122,TRIM(AC102),$X$103:$X$122)</f>
        <v>0</v>
      </c>
      <c r="AD103" s="402">
        <f t="shared" si="53"/>
        <v>0</v>
      </c>
      <c r="AE103" s="402">
        <f t="shared" si="53"/>
        <v>15</v>
      </c>
      <c r="AF103" s="402">
        <f t="shared" si="53"/>
        <v>1</v>
      </c>
      <c r="AG103" s="402">
        <f t="shared" si="53"/>
        <v>4</v>
      </c>
      <c r="AH103" s="402">
        <f t="shared" si="53"/>
        <v>0</v>
      </c>
    </row>
    <row r="104" spans="2:34" s="148" customFormat="1" ht="27" customHeight="1">
      <c r="B104" s="886"/>
      <c r="C104" s="887"/>
      <c r="D104" s="387">
        <v>2</v>
      </c>
      <c r="E104" s="390" t="s">
        <v>400</v>
      </c>
      <c r="F104" s="391">
        <v>8984.5952000000307</v>
      </c>
      <c r="G104" s="392">
        <v>5046.38</v>
      </c>
      <c r="H104" s="392">
        <v>4926.5499999999993</v>
      </c>
      <c r="I104" s="393">
        <f t="shared" ref="I104:I105" si="54">H104/G104</f>
        <v>0.97625426543383553</v>
      </c>
      <c r="J104" s="392">
        <v>193.55999999999997</v>
      </c>
      <c r="K104" s="393">
        <f t="shared" ref="K104:K109" si="55">J104/G104</f>
        <v>3.8356207816296034E-2</v>
      </c>
      <c r="L104" s="392">
        <v>127.84000000000002</v>
      </c>
      <c r="M104" s="393">
        <f t="shared" ref="M104:M109" si="56">(H104+J104)/G104</f>
        <v>1.0146104732501318</v>
      </c>
      <c r="N104" s="394">
        <v>9425.6432000000314</v>
      </c>
      <c r="O104" s="392">
        <v>3.45</v>
      </c>
      <c r="P104" s="393">
        <f t="shared" ref="P104:P122" si="57">O104/G104</f>
        <v>6.8365838482238757E-4</v>
      </c>
      <c r="Q104" s="407">
        <f t="shared" ref="Q104:Q122" si="58">O104*L104</f>
        <v>441.04800000000006</v>
      </c>
      <c r="R104" s="395">
        <f t="shared" ref="R104:R122" si="59">((H104+J104)-G104)-O104</f>
        <v>70.279999999999561</v>
      </c>
      <c r="S104" s="393">
        <f t="shared" ref="S104:S122" si="60">R104/G104</f>
        <v>1.3926814865309303E-2</v>
      </c>
      <c r="T104" s="397" t="s">
        <v>176</v>
      </c>
      <c r="U104" s="397" t="s">
        <v>465</v>
      </c>
      <c r="V104" s="398" t="s">
        <v>722</v>
      </c>
      <c r="W104" s="398" t="s">
        <v>723</v>
      </c>
      <c r="X104" s="398">
        <v>1</v>
      </c>
      <c r="Y104" s="399" t="s">
        <v>344</v>
      </c>
      <c r="AA104" s="401"/>
      <c r="AB104" s="408">
        <f>SUMIF($U$103:$U$122,TRIM(AB102),$F$103:$F$122)</f>
        <v>0</v>
      </c>
      <c r="AC104" s="408">
        <f t="shared" ref="AC104:AH104" si="61">SUMIF($U$103:$U$122,TRIM(AC102),$F$103:$F$122)</f>
        <v>0</v>
      </c>
      <c r="AD104" s="408">
        <f t="shared" si="61"/>
        <v>0</v>
      </c>
      <c r="AE104" s="408">
        <f t="shared" si="61"/>
        <v>68464.856000000029</v>
      </c>
      <c r="AF104" s="408">
        <f t="shared" si="61"/>
        <v>20189.064200000023</v>
      </c>
      <c r="AG104" s="408">
        <f t="shared" si="61"/>
        <v>19902.630599999975</v>
      </c>
      <c r="AH104" s="408">
        <f t="shared" si="61"/>
        <v>0</v>
      </c>
    </row>
    <row r="105" spans="2:34" s="148" customFormat="1" ht="27" customHeight="1">
      <c r="B105" s="886"/>
      <c r="C105" s="887"/>
      <c r="D105" s="387">
        <v>3</v>
      </c>
      <c r="E105" s="390" t="s">
        <v>523</v>
      </c>
      <c r="F105" s="391">
        <v>8589.9603999999854</v>
      </c>
      <c r="G105" s="392">
        <v>1254.1799999999998</v>
      </c>
      <c r="H105" s="392">
        <v>1232.46</v>
      </c>
      <c r="I105" s="393">
        <f t="shared" si="54"/>
        <v>0.98268191168731778</v>
      </c>
      <c r="J105" s="392">
        <v>36.11999999999999</v>
      </c>
      <c r="K105" s="393">
        <f t="shared" si="55"/>
        <v>2.8799693823853032E-2</v>
      </c>
      <c r="L105" s="392">
        <v>605.77999999999986</v>
      </c>
      <c r="M105" s="393">
        <f t="shared" si="56"/>
        <v>1.0114816055111706</v>
      </c>
      <c r="N105" s="394">
        <v>8723.2319999999854</v>
      </c>
      <c r="O105" s="392">
        <v>0.22</v>
      </c>
      <c r="P105" s="393">
        <f t="shared" si="57"/>
        <v>1.7541341753177377E-4</v>
      </c>
      <c r="Q105" s="407">
        <f t="shared" si="58"/>
        <v>133.27159999999998</v>
      </c>
      <c r="R105" s="395">
        <f t="shared" si="59"/>
        <v>14.18000000000009</v>
      </c>
      <c r="S105" s="393">
        <f t="shared" si="60"/>
        <v>1.1306192093638945E-2</v>
      </c>
      <c r="T105" s="397" t="s">
        <v>176</v>
      </c>
      <c r="U105" s="397" t="s">
        <v>218</v>
      </c>
      <c r="V105" s="398" t="s">
        <v>735</v>
      </c>
      <c r="W105" s="398" t="s">
        <v>736</v>
      </c>
      <c r="X105" s="398">
        <v>1</v>
      </c>
      <c r="Y105" s="399" t="s">
        <v>346</v>
      </c>
      <c r="AA105" s="387"/>
      <c r="AB105" s="409">
        <f>AB103/$AA103</f>
        <v>0</v>
      </c>
      <c r="AC105" s="409">
        <f t="shared" ref="AC105:AH105" si="62">AC103/$AA103</f>
        <v>0</v>
      </c>
      <c r="AD105" s="409">
        <f t="shared" si="62"/>
        <v>0</v>
      </c>
      <c r="AE105" s="409">
        <f t="shared" si="62"/>
        <v>0.75</v>
      </c>
      <c r="AF105" s="409">
        <f t="shared" si="62"/>
        <v>0.05</v>
      </c>
      <c r="AG105" s="409">
        <f t="shared" si="62"/>
        <v>0.2</v>
      </c>
      <c r="AH105" s="409">
        <f t="shared" si="62"/>
        <v>0</v>
      </c>
    </row>
    <row r="106" spans="2:34" s="148" customFormat="1" ht="27" customHeight="1">
      <c r="B106" s="886"/>
      <c r="C106" s="887"/>
      <c r="D106" s="387">
        <v>4</v>
      </c>
      <c r="E106" s="390" t="s">
        <v>658</v>
      </c>
      <c r="F106" s="391">
        <v>6008.9649000000027</v>
      </c>
      <c r="G106" s="392">
        <v>1961.56</v>
      </c>
      <c r="H106" s="392">
        <v>1872.7</v>
      </c>
      <c r="I106" s="393">
        <f>H106/G106</f>
        <v>0.95469932094863275</v>
      </c>
      <c r="J106" s="392">
        <v>140.9</v>
      </c>
      <c r="K106" s="393">
        <f t="shared" si="55"/>
        <v>7.1830583821040406E-2</v>
      </c>
      <c r="L106" s="392">
        <v>118.30999999999997</v>
      </c>
      <c r="M106" s="393">
        <f t="shared" si="56"/>
        <v>1.0265299047696732</v>
      </c>
      <c r="N106" s="394">
        <v>6156.8524000000025</v>
      </c>
      <c r="O106" s="392">
        <v>1.25</v>
      </c>
      <c r="P106" s="393">
        <f t="shared" si="57"/>
        <v>6.3724790472888932E-4</v>
      </c>
      <c r="Q106" s="407">
        <f t="shared" si="58"/>
        <v>147.88749999999996</v>
      </c>
      <c r="R106" s="395">
        <f t="shared" si="59"/>
        <v>50.790000000000191</v>
      </c>
      <c r="S106" s="393">
        <f t="shared" si="60"/>
        <v>2.5892656864944325E-2</v>
      </c>
      <c r="T106" s="397" t="s">
        <v>176</v>
      </c>
      <c r="U106" s="397" t="s">
        <v>465</v>
      </c>
      <c r="V106" s="398" t="s">
        <v>727</v>
      </c>
      <c r="W106" s="398" t="s">
        <v>728</v>
      </c>
      <c r="X106" s="398">
        <v>1</v>
      </c>
      <c r="Y106" s="399" t="s">
        <v>610</v>
      </c>
    </row>
    <row r="107" spans="2:34" s="148" customFormat="1" ht="27" customHeight="1">
      <c r="B107" s="886"/>
      <c r="C107" s="887"/>
      <c r="D107" s="387">
        <v>5</v>
      </c>
      <c r="E107" s="390" t="s">
        <v>657</v>
      </c>
      <c r="F107" s="391">
        <v>5746.7310000000025</v>
      </c>
      <c r="G107" s="392">
        <v>2329.9</v>
      </c>
      <c r="H107" s="392">
        <v>2266.8500000000004</v>
      </c>
      <c r="I107" s="393">
        <f t="shared" ref="I107:I122" si="63">H107/G107</f>
        <v>0.97293875273616903</v>
      </c>
      <c r="J107" s="392">
        <v>134.47999999999999</v>
      </c>
      <c r="K107" s="393">
        <f t="shared" si="55"/>
        <v>5.7719215416970678E-2</v>
      </c>
      <c r="L107" s="392">
        <v>84.3</v>
      </c>
      <c r="M107" s="393">
        <f t="shared" si="56"/>
        <v>1.0306579681531398</v>
      </c>
      <c r="N107" s="394">
        <v>6021.5490000000027</v>
      </c>
      <c r="O107" s="392">
        <v>3.26</v>
      </c>
      <c r="P107" s="393">
        <f t="shared" si="57"/>
        <v>1.3992016824756425E-3</v>
      </c>
      <c r="Q107" s="407">
        <f t="shared" si="58"/>
        <v>274.81799999999998</v>
      </c>
      <c r="R107" s="395">
        <f t="shared" si="59"/>
        <v>68.170000000000286</v>
      </c>
      <c r="S107" s="393">
        <f t="shared" si="60"/>
        <v>2.92587664706641E-2</v>
      </c>
      <c r="T107" s="397" t="s">
        <v>176</v>
      </c>
      <c r="U107" s="397" t="s">
        <v>465</v>
      </c>
      <c r="V107" s="398" t="s">
        <v>724</v>
      </c>
      <c r="W107" s="398" t="s">
        <v>670</v>
      </c>
      <c r="X107" s="398">
        <v>1</v>
      </c>
      <c r="Y107" s="399" t="s">
        <v>611</v>
      </c>
    </row>
    <row r="108" spans="2:34" s="148" customFormat="1" ht="27" customHeight="1">
      <c r="B108" s="886"/>
      <c r="C108" s="887"/>
      <c r="D108" s="387">
        <v>6</v>
      </c>
      <c r="E108" s="390" t="s">
        <v>781</v>
      </c>
      <c r="F108" s="391">
        <v>5054.9186999999956</v>
      </c>
      <c r="G108" s="392">
        <v>957.9</v>
      </c>
      <c r="H108" s="392">
        <v>943.40000000000009</v>
      </c>
      <c r="I108" s="393">
        <f t="shared" si="63"/>
        <v>0.98486272053450263</v>
      </c>
      <c r="J108" s="392">
        <v>59.52</v>
      </c>
      <c r="K108" s="393">
        <f t="shared" si="55"/>
        <v>6.2135922330097092E-2</v>
      </c>
      <c r="L108" s="392">
        <v>122.06999999999996</v>
      </c>
      <c r="M108" s="393">
        <f t="shared" si="56"/>
        <v>1.0469986428645996</v>
      </c>
      <c r="N108" s="394">
        <v>5495.5913999999966</v>
      </c>
      <c r="O108" s="392">
        <v>3.6100000000000003</v>
      </c>
      <c r="P108" s="393">
        <f t="shared" si="57"/>
        <v>3.7686606117548808E-3</v>
      </c>
      <c r="Q108" s="407">
        <f t="shared" si="58"/>
        <v>440.67269999999991</v>
      </c>
      <c r="R108" s="395">
        <f t="shared" si="59"/>
        <v>41.410000000000096</v>
      </c>
      <c r="S108" s="393">
        <f t="shared" si="60"/>
        <v>4.3229982252844863E-2</v>
      </c>
      <c r="T108" s="397" t="s">
        <v>176</v>
      </c>
      <c r="U108" s="397" t="s">
        <v>465</v>
      </c>
      <c r="V108" s="398" t="s">
        <v>722</v>
      </c>
      <c r="W108" s="398" t="s">
        <v>723</v>
      </c>
      <c r="X108" s="398">
        <v>1</v>
      </c>
      <c r="Y108" s="399" t="s">
        <v>363</v>
      </c>
    </row>
    <row r="109" spans="2:34" s="148" customFormat="1" ht="27" customHeight="1">
      <c r="B109" s="886"/>
      <c r="C109" s="887"/>
      <c r="D109" s="387">
        <v>7</v>
      </c>
      <c r="E109" s="390" t="s">
        <v>538</v>
      </c>
      <c r="F109" s="391">
        <v>4945.8861999999917</v>
      </c>
      <c r="G109" s="392">
        <v>1357.6100000000001</v>
      </c>
      <c r="H109" s="392">
        <v>1366.5900000000001</v>
      </c>
      <c r="I109" s="393">
        <f t="shared" si="63"/>
        <v>1.0066145653022591</v>
      </c>
      <c r="J109" s="392">
        <v>4.2</v>
      </c>
      <c r="K109" s="393">
        <f t="shared" si="55"/>
        <v>3.09367196764903E-3</v>
      </c>
      <c r="L109" s="392">
        <v>407.74</v>
      </c>
      <c r="M109" s="393">
        <f t="shared" si="56"/>
        <v>1.0097082372699082</v>
      </c>
      <c r="N109" s="394">
        <v>5374.0131999999921</v>
      </c>
      <c r="O109" s="392">
        <v>1.0499999999999998</v>
      </c>
      <c r="P109" s="393">
        <f t="shared" si="57"/>
        <v>7.7341799191225739E-4</v>
      </c>
      <c r="Q109" s="407">
        <f t="shared" si="58"/>
        <v>428.12699999999995</v>
      </c>
      <c r="R109" s="395">
        <f t="shared" si="59"/>
        <v>12.130000000000063</v>
      </c>
      <c r="S109" s="393">
        <f t="shared" si="60"/>
        <v>8.9348192779959354E-3</v>
      </c>
      <c r="T109" s="397" t="s">
        <v>176</v>
      </c>
      <c r="U109" s="397" t="s">
        <v>218</v>
      </c>
      <c r="V109" s="398" t="s">
        <v>730</v>
      </c>
      <c r="W109" s="398" t="s">
        <v>741</v>
      </c>
      <c r="X109" s="398">
        <v>1</v>
      </c>
      <c r="Y109" s="399" t="s">
        <v>540</v>
      </c>
    </row>
    <row r="110" spans="2:34" s="148" customFormat="1" ht="27" customHeight="1">
      <c r="B110" s="886"/>
      <c r="C110" s="887"/>
      <c r="D110" s="387">
        <v>8</v>
      </c>
      <c r="E110" s="390" t="s">
        <v>756</v>
      </c>
      <c r="F110" s="391">
        <v>4657.3107000000018</v>
      </c>
      <c r="G110" s="392">
        <v>638.6</v>
      </c>
      <c r="H110" s="392">
        <v>621.07999999999993</v>
      </c>
      <c r="I110" s="393">
        <f t="shared" si="63"/>
        <v>0.97256498590667073</v>
      </c>
      <c r="J110" s="392">
        <v>30.490000000000002</v>
      </c>
      <c r="K110" s="393">
        <f>J110/G110</f>
        <v>4.7745067334794868E-2</v>
      </c>
      <c r="L110" s="392">
        <v>370.51</v>
      </c>
      <c r="M110" s="393">
        <f>(H110+J110)/G110</f>
        <v>1.0203100532414655</v>
      </c>
      <c r="N110" s="394">
        <v>4805.5147000000024</v>
      </c>
      <c r="O110" s="392">
        <v>0.4</v>
      </c>
      <c r="P110" s="393">
        <f t="shared" si="57"/>
        <v>6.2637018477920453E-4</v>
      </c>
      <c r="Q110" s="407">
        <f t="shared" si="58"/>
        <v>148.20400000000001</v>
      </c>
      <c r="R110" s="395">
        <f t="shared" si="59"/>
        <v>12.569999999999913</v>
      </c>
      <c r="S110" s="393">
        <f t="shared" si="60"/>
        <v>1.9683683056686364E-2</v>
      </c>
      <c r="T110" s="397" t="s">
        <v>176</v>
      </c>
      <c r="U110" s="397" t="s">
        <v>465</v>
      </c>
      <c r="V110" s="398" t="s">
        <v>739</v>
      </c>
      <c r="W110" s="398" t="s">
        <v>740</v>
      </c>
      <c r="X110" s="398">
        <v>1</v>
      </c>
      <c r="Y110" s="399" t="s">
        <v>363</v>
      </c>
    </row>
    <row r="111" spans="2:34" s="148" customFormat="1" ht="27" customHeight="1">
      <c r="B111" s="886"/>
      <c r="C111" s="887"/>
      <c r="D111" s="387">
        <v>9</v>
      </c>
      <c r="E111" s="390" t="s">
        <v>463</v>
      </c>
      <c r="F111" s="391">
        <v>4572.4845000000032</v>
      </c>
      <c r="G111" s="392">
        <v>1519.3200000000002</v>
      </c>
      <c r="H111" s="392">
        <v>1475.4899999999998</v>
      </c>
      <c r="I111" s="393">
        <f t="shared" si="63"/>
        <v>0.97115156780665013</v>
      </c>
      <c r="J111" s="392">
        <v>94.3</v>
      </c>
      <c r="K111" s="393">
        <f t="shared" ref="K111:K122" si="64">J111/G111</f>
        <v>6.2067240607640253E-2</v>
      </c>
      <c r="L111" s="392">
        <v>99.51</v>
      </c>
      <c r="M111" s="393">
        <f t="shared" ref="M111:M122" si="65">(H111+J111)/G111</f>
        <v>1.0332188084142904</v>
      </c>
      <c r="N111" s="394">
        <v>5022.2697000000026</v>
      </c>
      <c r="O111" s="392">
        <v>4.5199999999999996</v>
      </c>
      <c r="P111" s="393">
        <f t="shared" si="57"/>
        <v>2.9750151383513669E-3</v>
      </c>
      <c r="Q111" s="407">
        <f t="shared" si="58"/>
        <v>449.78519999999997</v>
      </c>
      <c r="R111" s="395">
        <f t="shared" si="59"/>
        <v>45.949999999999577</v>
      </c>
      <c r="S111" s="393">
        <f t="shared" si="60"/>
        <v>3.0243793275938954E-2</v>
      </c>
      <c r="T111" s="397" t="s">
        <v>176</v>
      </c>
      <c r="U111" s="397" t="s">
        <v>465</v>
      </c>
      <c r="V111" s="398" t="s">
        <v>724</v>
      </c>
      <c r="W111" s="398" t="s">
        <v>785</v>
      </c>
      <c r="X111" s="398">
        <v>1</v>
      </c>
      <c r="Y111" s="399" t="s">
        <v>358</v>
      </c>
    </row>
    <row r="112" spans="2:34" s="148" customFormat="1" ht="27" customHeight="1">
      <c r="B112" s="886"/>
      <c r="C112" s="887"/>
      <c r="D112" s="387">
        <v>10</v>
      </c>
      <c r="E112" s="390" t="s">
        <v>539</v>
      </c>
      <c r="F112" s="391">
        <v>4469.6464999999971</v>
      </c>
      <c r="G112" s="392">
        <v>836.33000000000015</v>
      </c>
      <c r="H112" s="392">
        <v>793.22</v>
      </c>
      <c r="I112" s="393">
        <f t="shared" si="63"/>
        <v>0.94845336171128602</v>
      </c>
      <c r="J112" s="392">
        <v>73.740000000000009</v>
      </c>
      <c r="K112" s="393">
        <f t="shared" si="64"/>
        <v>8.817093730943526E-2</v>
      </c>
      <c r="L112" s="392">
        <v>160.49</v>
      </c>
      <c r="M112" s="393">
        <f t="shared" si="65"/>
        <v>1.0366242990207213</v>
      </c>
      <c r="N112" s="394">
        <v>4915.8086999999969</v>
      </c>
      <c r="O112" s="392">
        <v>2.7800000000000002</v>
      </c>
      <c r="P112" s="393">
        <f t="shared" si="57"/>
        <v>3.3240467279662331E-3</v>
      </c>
      <c r="Q112" s="407">
        <f t="shared" si="58"/>
        <v>446.16220000000004</v>
      </c>
      <c r="R112" s="395">
        <f t="shared" si="59"/>
        <v>27.849999999999881</v>
      </c>
      <c r="S112" s="393">
        <f t="shared" si="60"/>
        <v>3.33002522927551E-2</v>
      </c>
      <c r="T112" s="397" t="s">
        <v>176</v>
      </c>
      <c r="U112" s="397" t="s">
        <v>465</v>
      </c>
      <c r="V112" s="398" t="s">
        <v>722</v>
      </c>
      <c r="W112" s="398" t="s">
        <v>729</v>
      </c>
      <c r="X112" s="398">
        <v>1</v>
      </c>
      <c r="Y112" s="399" t="s">
        <v>471</v>
      </c>
    </row>
    <row r="113" spans="2:34" s="148" customFormat="1" ht="27" customHeight="1">
      <c r="B113" s="886"/>
      <c r="C113" s="887"/>
      <c r="D113" s="387">
        <v>11</v>
      </c>
      <c r="E113" s="390" t="s">
        <v>564</v>
      </c>
      <c r="F113" s="391">
        <v>4396.7099999999982</v>
      </c>
      <c r="G113" s="392">
        <v>190.9</v>
      </c>
      <c r="H113" s="392">
        <v>179.49999999999997</v>
      </c>
      <c r="I113" s="393">
        <f t="shared" si="63"/>
        <v>0.94028287061288618</v>
      </c>
      <c r="J113" s="392">
        <v>19.059999999999999</v>
      </c>
      <c r="K113" s="393">
        <f t="shared" si="64"/>
        <v>9.9842849659507585E-2</v>
      </c>
      <c r="L113" s="392">
        <v>629</v>
      </c>
      <c r="M113" s="393">
        <f t="shared" si="65"/>
        <v>1.0401257202723937</v>
      </c>
      <c r="N113" s="394">
        <v>4818.1399999999985</v>
      </c>
      <c r="O113" s="392">
        <v>0.67</v>
      </c>
      <c r="P113" s="393">
        <f t="shared" si="57"/>
        <v>3.5096909376636982E-3</v>
      </c>
      <c r="Q113" s="407">
        <f t="shared" si="58"/>
        <v>421.43</v>
      </c>
      <c r="R113" s="395">
        <f t="shared" si="59"/>
        <v>6.9899999999999682</v>
      </c>
      <c r="S113" s="393">
        <f t="shared" si="60"/>
        <v>3.6616029334730057E-2</v>
      </c>
      <c r="T113" s="397" t="s">
        <v>176</v>
      </c>
      <c r="U113" s="397" t="s">
        <v>465</v>
      </c>
      <c r="V113" s="398" t="s">
        <v>730</v>
      </c>
      <c r="W113" s="398" t="s">
        <v>733</v>
      </c>
      <c r="X113" s="398">
        <v>1</v>
      </c>
      <c r="Y113" s="399" t="s">
        <v>522</v>
      </c>
    </row>
    <row r="114" spans="2:34" s="148" customFormat="1" ht="27" customHeight="1">
      <c r="B114" s="886"/>
      <c r="C114" s="887"/>
      <c r="D114" s="387">
        <v>12</v>
      </c>
      <c r="E114" s="390" t="s">
        <v>436</v>
      </c>
      <c r="F114" s="391">
        <v>4153.5597000000062</v>
      </c>
      <c r="G114" s="392">
        <v>2079.86</v>
      </c>
      <c r="H114" s="392">
        <v>2096.3900000000003</v>
      </c>
      <c r="I114" s="393">
        <f t="shared" si="63"/>
        <v>1.0079476503226179</v>
      </c>
      <c r="J114" s="392">
        <v>12.8</v>
      </c>
      <c r="K114" s="393">
        <f t="shared" si="64"/>
        <v>6.1542603829103882E-3</v>
      </c>
      <c r="L114" s="392">
        <v>157.87</v>
      </c>
      <c r="M114" s="393">
        <f t="shared" si="65"/>
        <v>1.0141019107055285</v>
      </c>
      <c r="N114" s="394">
        <v>4630.3271000000059</v>
      </c>
      <c r="O114" s="392">
        <v>3.02</v>
      </c>
      <c r="P114" s="393">
        <f t="shared" si="57"/>
        <v>1.4520208090929197E-3</v>
      </c>
      <c r="Q114" s="407">
        <f t="shared" si="58"/>
        <v>476.76740000000001</v>
      </c>
      <c r="R114" s="395">
        <f t="shared" si="59"/>
        <v>26.310000000000382</v>
      </c>
      <c r="S114" s="393">
        <f t="shared" si="60"/>
        <v>1.2649889896435521E-2</v>
      </c>
      <c r="T114" s="397" t="s">
        <v>176</v>
      </c>
      <c r="U114" s="397" t="s">
        <v>465</v>
      </c>
      <c r="V114" s="398" t="s">
        <v>727</v>
      </c>
      <c r="W114" s="398" t="s">
        <v>728</v>
      </c>
      <c r="X114" s="398">
        <v>1</v>
      </c>
      <c r="Y114" s="399" t="s">
        <v>344</v>
      </c>
    </row>
    <row r="115" spans="2:34" s="148" customFormat="1" ht="27" customHeight="1">
      <c r="B115" s="886"/>
      <c r="C115" s="887"/>
      <c r="D115" s="387">
        <v>13</v>
      </c>
      <c r="E115" s="390" t="s">
        <v>515</v>
      </c>
      <c r="F115" s="391">
        <v>3882.9995999999983</v>
      </c>
      <c r="G115" s="392">
        <v>1232.81</v>
      </c>
      <c r="H115" s="392">
        <v>1156.05</v>
      </c>
      <c r="I115" s="393">
        <f t="shared" si="63"/>
        <v>0.93773574192292408</v>
      </c>
      <c r="J115" s="392">
        <v>107.00999999999999</v>
      </c>
      <c r="K115" s="393">
        <f t="shared" si="64"/>
        <v>8.6801696936267547E-2</v>
      </c>
      <c r="L115" s="392">
        <v>144.78</v>
      </c>
      <c r="M115" s="393">
        <f t="shared" si="65"/>
        <v>1.0245374388591917</v>
      </c>
      <c r="N115" s="394">
        <v>4379.5949999999984</v>
      </c>
      <c r="O115" s="392">
        <v>3.4299999999999997</v>
      </c>
      <c r="P115" s="393">
        <f t="shared" si="57"/>
        <v>2.7822616623810643E-3</v>
      </c>
      <c r="Q115" s="407">
        <f t="shared" si="58"/>
        <v>496.59539999999998</v>
      </c>
      <c r="R115" s="395">
        <f t="shared" si="59"/>
        <v>26.82</v>
      </c>
      <c r="S115" s="393">
        <f t="shared" si="60"/>
        <v>2.1755177196810541E-2</v>
      </c>
      <c r="T115" s="397" t="s">
        <v>176</v>
      </c>
      <c r="U115" s="397" t="s">
        <v>465</v>
      </c>
      <c r="V115" s="398" t="s">
        <v>731</v>
      </c>
      <c r="W115" s="398" t="s">
        <v>786</v>
      </c>
      <c r="X115" s="398">
        <v>1</v>
      </c>
      <c r="Y115" s="399" t="s">
        <v>511</v>
      </c>
    </row>
    <row r="116" spans="2:34" s="148" customFormat="1" ht="27" customHeight="1">
      <c r="B116" s="886"/>
      <c r="C116" s="887"/>
      <c r="D116" s="387">
        <v>14</v>
      </c>
      <c r="E116" s="390" t="s">
        <v>660</v>
      </c>
      <c r="F116" s="391">
        <v>3712.6221000000005</v>
      </c>
      <c r="G116" s="392">
        <v>266.54999999999995</v>
      </c>
      <c r="H116" s="392">
        <v>265.08000000000004</v>
      </c>
      <c r="I116" s="393">
        <f t="shared" si="63"/>
        <v>0.99448508722566153</v>
      </c>
      <c r="J116" s="392">
        <v>11.59</v>
      </c>
      <c r="K116" s="393">
        <f t="shared" si="64"/>
        <v>4.3481523166385302E-2</v>
      </c>
      <c r="L116" s="392">
        <v>421.40999999999997</v>
      </c>
      <c r="M116" s="393">
        <f t="shared" si="65"/>
        <v>1.0379666103920469</v>
      </c>
      <c r="N116" s="394">
        <v>4264.6692000000003</v>
      </c>
      <c r="O116" s="392">
        <v>1.31</v>
      </c>
      <c r="P116" s="393">
        <f t="shared" si="57"/>
        <v>4.9146501594447582E-3</v>
      </c>
      <c r="Q116" s="407">
        <f t="shared" si="58"/>
        <v>552.0471</v>
      </c>
      <c r="R116" s="395">
        <f t="shared" si="59"/>
        <v>8.8100000000000609</v>
      </c>
      <c r="S116" s="393">
        <f t="shared" si="60"/>
        <v>3.3051960232601998E-2</v>
      </c>
      <c r="T116" s="397" t="s">
        <v>176</v>
      </c>
      <c r="U116" s="397" t="s">
        <v>465</v>
      </c>
      <c r="V116" s="398" t="s">
        <v>739</v>
      </c>
      <c r="W116" s="398" t="s">
        <v>740</v>
      </c>
      <c r="X116" s="398">
        <v>1</v>
      </c>
      <c r="Y116" s="399" t="s">
        <v>483</v>
      </c>
    </row>
    <row r="117" spans="2:34" s="148" customFormat="1" ht="27" customHeight="1">
      <c r="B117" s="886"/>
      <c r="C117" s="887"/>
      <c r="D117" s="387">
        <v>15</v>
      </c>
      <c r="E117" s="390" t="s">
        <v>340</v>
      </c>
      <c r="F117" s="391">
        <v>3582.624400000002</v>
      </c>
      <c r="G117" s="392">
        <v>2003.8200000000002</v>
      </c>
      <c r="H117" s="392">
        <v>1904.64</v>
      </c>
      <c r="I117" s="393">
        <f t="shared" si="63"/>
        <v>0.95050453633559895</v>
      </c>
      <c r="J117" s="392">
        <v>162.10999999999999</v>
      </c>
      <c r="K117" s="393">
        <f t="shared" si="64"/>
        <v>8.0900480083041376E-2</v>
      </c>
      <c r="L117" s="392">
        <v>70.220000000000013</v>
      </c>
      <c r="M117" s="393">
        <f t="shared" si="65"/>
        <v>1.0314050164186404</v>
      </c>
      <c r="N117" s="394">
        <v>4418.9446000000025</v>
      </c>
      <c r="O117" s="392">
        <v>11.91</v>
      </c>
      <c r="P117" s="393">
        <f t="shared" si="57"/>
        <v>5.9436476330209298E-3</v>
      </c>
      <c r="Q117" s="407">
        <f t="shared" si="58"/>
        <v>836.32020000000011</v>
      </c>
      <c r="R117" s="395">
        <f t="shared" si="59"/>
        <v>51.01999999999984</v>
      </c>
      <c r="S117" s="393">
        <f t="shared" si="60"/>
        <v>2.5461368785619384E-2</v>
      </c>
      <c r="T117" s="397" t="s">
        <v>176</v>
      </c>
      <c r="U117" s="397" t="s">
        <v>465</v>
      </c>
      <c r="V117" s="397" t="s">
        <v>724</v>
      </c>
      <c r="W117" s="398" t="s">
        <v>670</v>
      </c>
      <c r="X117" s="398">
        <v>1</v>
      </c>
      <c r="Y117" s="399" t="s">
        <v>347</v>
      </c>
    </row>
    <row r="118" spans="2:34" s="148" customFormat="1" ht="27" customHeight="1">
      <c r="B118" s="886"/>
      <c r="C118" s="887"/>
      <c r="D118" s="387">
        <v>16</v>
      </c>
      <c r="E118" s="390" t="s">
        <v>371</v>
      </c>
      <c r="F118" s="391">
        <v>3515.9255999999964</v>
      </c>
      <c r="G118" s="392">
        <v>891.17</v>
      </c>
      <c r="H118" s="392">
        <v>897.66000000000008</v>
      </c>
      <c r="I118" s="393">
        <f t="shared" si="63"/>
        <v>1.0072825611275067</v>
      </c>
      <c r="J118" s="392">
        <v>2.8</v>
      </c>
      <c r="K118" s="393">
        <f t="shared" si="64"/>
        <v>3.1419370041630666E-3</v>
      </c>
      <c r="L118" s="392">
        <v>426.69</v>
      </c>
      <c r="M118" s="393">
        <f t="shared" si="65"/>
        <v>1.0104244981316697</v>
      </c>
      <c r="N118" s="394">
        <v>3963.9500999999964</v>
      </c>
      <c r="O118" s="392">
        <v>1.0499999999999998</v>
      </c>
      <c r="P118" s="393">
        <f t="shared" si="57"/>
        <v>1.1782263765611498E-3</v>
      </c>
      <c r="Q118" s="407">
        <f t="shared" si="58"/>
        <v>448.02449999999993</v>
      </c>
      <c r="R118" s="395">
        <f t="shared" si="59"/>
        <v>8.2400000000000766</v>
      </c>
      <c r="S118" s="393">
        <f t="shared" si="60"/>
        <v>9.2462717551085385E-3</v>
      </c>
      <c r="T118" s="397" t="s">
        <v>176</v>
      </c>
      <c r="U118" s="397" t="s">
        <v>465</v>
      </c>
      <c r="V118" s="398" t="s">
        <v>725</v>
      </c>
      <c r="W118" s="398" t="s">
        <v>787</v>
      </c>
      <c r="X118" s="398">
        <v>1</v>
      </c>
      <c r="Y118" s="399" t="s">
        <v>372</v>
      </c>
    </row>
    <row r="119" spans="2:34" s="148" customFormat="1" ht="27" customHeight="1">
      <c r="B119" s="886"/>
      <c r="C119" s="887"/>
      <c r="D119" s="387">
        <v>17</v>
      </c>
      <c r="E119" s="390" t="s">
        <v>512</v>
      </c>
      <c r="F119" s="391">
        <v>3455.06</v>
      </c>
      <c r="G119" s="392">
        <v>270271</v>
      </c>
      <c r="H119" s="392">
        <v>269608</v>
      </c>
      <c r="I119" s="393">
        <f t="shared" si="63"/>
        <v>0.9975469066233521</v>
      </c>
      <c r="J119" s="392">
        <v>1736</v>
      </c>
      <c r="K119" s="393">
        <f t="shared" si="64"/>
        <v>6.4231826574068247E-3</v>
      </c>
      <c r="L119" s="392">
        <v>3.2199999999999998</v>
      </c>
      <c r="M119" s="393">
        <f t="shared" si="65"/>
        <v>1.003970089280759</v>
      </c>
      <c r="N119" s="394">
        <v>3455.06</v>
      </c>
      <c r="O119" s="392">
        <v>0</v>
      </c>
      <c r="P119" s="393">
        <f t="shared" si="57"/>
        <v>0</v>
      </c>
      <c r="Q119" s="407">
        <f t="shared" si="58"/>
        <v>0</v>
      </c>
      <c r="R119" s="395">
        <f t="shared" si="59"/>
        <v>1073</v>
      </c>
      <c r="S119" s="393">
        <f t="shared" si="60"/>
        <v>3.9700892807589417E-3</v>
      </c>
      <c r="T119" s="397" t="s">
        <v>176</v>
      </c>
      <c r="U119" s="397" t="s">
        <v>218</v>
      </c>
      <c r="V119" s="398" t="s">
        <v>730</v>
      </c>
      <c r="W119" s="398" t="s">
        <v>733</v>
      </c>
      <c r="X119" s="398">
        <v>1</v>
      </c>
      <c r="Y119" s="399" t="s">
        <v>344</v>
      </c>
    </row>
    <row r="120" spans="2:34" s="148" customFormat="1" ht="27" customHeight="1">
      <c r="B120" s="886"/>
      <c r="C120" s="887"/>
      <c r="D120" s="387">
        <v>18</v>
      </c>
      <c r="E120" s="390" t="s">
        <v>514</v>
      </c>
      <c r="F120" s="391">
        <v>2911.7240000000002</v>
      </c>
      <c r="G120" s="392">
        <v>428.8</v>
      </c>
      <c r="H120" s="392">
        <v>429.76</v>
      </c>
      <c r="I120" s="393">
        <f t="shared" si="63"/>
        <v>1.0022388059701492</v>
      </c>
      <c r="J120" s="392">
        <v>10.9</v>
      </c>
      <c r="K120" s="393">
        <f t="shared" si="64"/>
        <v>2.5419776119402986E-2</v>
      </c>
      <c r="L120" s="392">
        <v>327.16000000000003</v>
      </c>
      <c r="M120" s="393">
        <f t="shared" si="65"/>
        <v>1.0276585820895521</v>
      </c>
      <c r="N120" s="394">
        <v>3880.1176000000005</v>
      </c>
      <c r="O120" s="392">
        <v>2.9600000000000004</v>
      </c>
      <c r="P120" s="393">
        <f t="shared" si="57"/>
        <v>6.9029850746268667E-3</v>
      </c>
      <c r="Q120" s="407">
        <f t="shared" si="58"/>
        <v>968.39360000000022</v>
      </c>
      <c r="R120" s="395">
        <f t="shared" si="59"/>
        <v>8.8999999999999559</v>
      </c>
      <c r="S120" s="393">
        <f t="shared" si="60"/>
        <v>2.075559701492527E-2</v>
      </c>
      <c r="T120" s="397" t="s">
        <v>176</v>
      </c>
      <c r="U120" s="397" t="s">
        <v>218</v>
      </c>
      <c r="V120" s="398" t="s">
        <v>730</v>
      </c>
      <c r="W120" s="398" t="s">
        <v>788</v>
      </c>
      <c r="X120" s="398">
        <v>1</v>
      </c>
      <c r="Y120" s="399" t="s">
        <v>511</v>
      </c>
    </row>
    <row r="121" spans="2:34" s="148" customFormat="1" ht="27" customHeight="1">
      <c r="B121" s="886"/>
      <c r="C121" s="887"/>
      <c r="D121" s="387">
        <v>19</v>
      </c>
      <c r="E121" s="390" t="s">
        <v>470</v>
      </c>
      <c r="F121" s="391">
        <v>2867.810599999998</v>
      </c>
      <c r="G121" s="392">
        <v>525.71</v>
      </c>
      <c r="H121" s="392">
        <v>511.94000000000005</v>
      </c>
      <c r="I121" s="393">
        <f t="shared" si="63"/>
        <v>0.973806851686291</v>
      </c>
      <c r="J121" s="392">
        <v>24.22</v>
      </c>
      <c r="K121" s="393">
        <f t="shared" si="64"/>
        <v>4.6071027752943632E-2</v>
      </c>
      <c r="L121" s="392">
        <v>368.13999999999993</v>
      </c>
      <c r="M121" s="393">
        <f t="shared" si="65"/>
        <v>1.0198778794392347</v>
      </c>
      <c r="N121" s="394">
        <v>3847.0629999999983</v>
      </c>
      <c r="O121" s="392">
        <v>2.6599999999999997</v>
      </c>
      <c r="P121" s="393">
        <f t="shared" si="57"/>
        <v>5.0598238572597048E-3</v>
      </c>
      <c r="Q121" s="407">
        <f t="shared" si="58"/>
        <v>979.25239999999974</v>
      </c>
      <c r="R121" s="395">
        <f t="shared" si="59"/>
        <v>7.7900000000000453</v>
      </c>
      <c r="S121" s="393">
        <f t="shared" si="60"/>
        <v>1.4818055581974939E-2</v>
      </c>
      <c r="T121" s="397" t="s">
        <v>176</v>
      </c>
      <c r="U121" s="397" t="s">
        <v>465</v>
      </c>
      <c r="V121" s="398" t="s">
        <v>739</v>
      </c>
      <c r="W121" s="398" t="s">
        <v>740</v>
      </c>
      <c r="X121" s="398">
        <v>1</v>
      </c>
      <c r="Y121" s="399" t="s">
        <v>471</v>
      </c>
    </row>
    <row r="122" spans="2:34" s="148" customFormat="1" ht="27" customHeight="1">
      <c r="B122" s="888"/>
      <c r="C122" s="889"/>
      <c r="D122" s="387">
        <v>20</v>
      </c>
      <c r="E122" s="390" t="s">
        <v>369</v>
      </c>
      <c r="F122" s="391">
        <v>2857.9525000000031</v>
      </c>
      <c r="G122" s="392">
        <v>1448.1599999999999</v>
      </c>
      <c r="H122" s="392">
        <v>1468.05</v>
      </c>
      <c r="I122" s="393">
        <f t="shared" si="63"/>
        <v>1.0137346702021877</v>
      </c>
      <c r="J122" s="392">
        <v>2.62</v>
      </c>
      <c r="K122" s="393">
        <f t="shared" si="64"/>
        <v>1.8091923544359741E-3</v>
      </c>
      <c r="L122" s="392">
        <v>152.75</v>
      </c>
      <c r="M122" s="393">
        <f t="shared" si="65"/>
        <v>1.0155438625566235</v>
      </c>
      <c r="N122" s="394">
        <v>3438.4025000000033</v>
      </c>
      <c r="O122" s="392">
        <v>3.8</v>
      </c>
      <c r="P122" s="393">
        <f t="shared" si="57"/>
        <v>2.6240194453651532E-3</v>
      </c>
      <c r="Q122" s="407">
        <f t="shared" si="58"/>
        <v>580.44999999999993</v>
      </c>
      <c r="R122" s="395">
        <f t="shared" si="59"/>
        <v>18.70999999999999</v>
      </c>
      <c r="S122" s="393">
        <f t="shared" si="60"/>
        <v>1.2919843111258419E-2</v>
      </c>
      <c r="T122" s="397" t="s">
        <v>176</v>
      </c>
      <c r="U122" s="397" t="s">
        <v>465</v>
      </c>
      <c r="V122" s="398" t="s">
        <v>742</v>
      </c>
      <c r="W122" s="398" t="s">
        <v>681</v>
      </c>
      <c r="X122" s="398">
        <v>1</v>
      </c>
      <c r="Y122" s="399" t="s">
        <v>372</v>
      </c>
      <c r="AB122" s="406"/>
      <c r="AC122" s="403"/>
    </row>
    <row r="123" spans="2:34" ht="16.5" customHeight="1">
      <c r="B123" s="903" t="s">
        <v>488</v>
      </c>
      <c r="C123" s="904"/>
      <c r="D123" s="900" t="s">
        <v>172</v>
      </c>
      <c r="E123" s="900"/>
      <c r="F123" s="900"/>
      <c r="G123" s="900" t="s">
        <v>186</v>
      </c>
      <c r="H123" s="900"/>
      <c r="I123" s="900"/>
      <c r="J123" s="900"/>
      <c r="K123" s="900"/>
      <c r="L123" s="900"/>
      <c r="M123" s="900"/>
      <c r="N123" s="900"/>
      <c r="O123" s="900"/>
      <c r="P123" s="900"/>
      <c r="Q123" s="900"/>
      <c r="R123" s="900"/>
      <c r="S123" s="900"/>
      <c r="T123" s="900" t="s">
        <v>173</v>
      </c>
      <c r="U123" s="890" t="s">
        <v>247</v>
      </c>
      <c r="V123" s="921" t="s">
        <v>496</v>
      </c>
      <c r="W123" s="921" t="s">
        <v>490</v>
      </c>
      <c r="X123" s="912" t="s">
        <v>248</v>
      </c>
      <c r="Y123" s="901" t="s">
        <v>174</v>
      </c>
      <c r="AA123" s="900" t="s">
        <v>249</v>
      </c>
      <c r="AB123" s="900"/>
      <c r="AC123" s="900"/>
      <c r="AD123" s="900"/>
      <c r="AE123" s="900"/>
      <c r="AF123" s="900"/>
      <c r="AG123" s="900"/>
      <c r="AH123" s="900"/>
    </row>
    <row r="124" spans="2:34" ht="17.149999999999999" customHeight="1">
      <c r="B124" s="905"/>
      <c r="C124" s="906"/>
      <c r="D124" s="899" t="s">
        <v>171</v>
      </c>
      <c r="E124" s="900" t="s">
        <v>175</v>
      </c>
      <c r="F124" s="900"/>
      <c r="G124" s="900" t="s">
        <v>187</v>
      </c>
      <c r="H124" s="900"/>
      <c r="I124" s="900"/>
      <c r="J124" s="900"/>
      <c r="K124" s="900"/>
      <c r="L124" s="900"/>
      <c r="M124" s="900"/>
      <c r="N124" s="900"/>
      <c r="O124" s="900" t="s">
        <v>176</v>
      </c>
      <c r="P124" s="900"/>
      <c r="Q124" s="900"/>
      <c r="R124" s="900"/>
      <c r="S124" s="900"/>
      <c r="T124" s="900"/>
      <c r="U124" s="893"/>
      <c r="V124" s="913"/>
      <c r="W124" s="922"/>
      <c r="X124" s="913"/>
      <c r="Y124" s="901"/>
      <c r="AA124" s="900"/>
      <c r="AB124" s="900"/>
      <c r="AC124" s="900"/>
      <c r="AD124" s="900"/>
      <c r="AE124" s="900"/>
      <c r="AF124" s="900"/>
      <c r="AG124" s="900"/>
      <c r="AH124" s="900"/>
    </row>
    <row r="125" spans="2:34" ht="17.149999999999999" customHeight="1">
      <c r="B125" s="905"/>
      <c r="C125" s="906"/>
      <c r="D125" s="899"/>
      <c r="E125" s="899" t="s">
        <v>177</v>
      </c>
      <c r="F125" s="917" t="s">
        <v>497</v>
      </c>
      <c r="G125" s="902" t="s">
        <v>188</v>
      </c>
      <c r="H125" s="902"/>
      <c r="I125" s="902"/>
      <c r="J125" s="902"/>
      <c r="K125" s="902"/>
      <c r="L125" s="902"/>
      <c r="M125" s="902"/>
      <c r="N125" s="902"/>
      <c r="O125" s="918" t="s">
        <v>170</v>
      </c>
      <c r="P125" s="919"/>
      <c r="Q125" s="920"/>
      <c r="R125" s="902" t="s">
        <v>178</v>
      </c>
      <c r="S125" s="902"/>
      <c r="T125" s="900"/>
      <c r="U125" s="893"/>
      <c r="V125" s="913"/>
      <c r="W125" s="922"/>
      <c r="X125" s="913"/>
      <c r="Y125" s="901"/>
      <c r="AA125" s="900"/>
      <c r="AB125" s="900"/>
      <c r="AC125" s="900"/>
      <c r="AD125" s="900"/>
      <c r="AE125" s="900"/>
      <c r="AF125" s="900"/>
      <c r="AG125" s="900"/>
      <c r="AH125" s="900"/>
    </row>
    <row r="126" spans="2:34" ht="38.5" customHeight="1">
      <c r="B126" s="907"/>
      <c r="C126" s="908"/>
      <c r="D126" s="899"/>
      <c r="E126" s="899"/>
      <c r="F126" s="917"/>
      <c r="G126" s="388" t="s">
        <v>179</v>
      </c>
      <c r="H126" s="388" t="s">
        <v>254</v>
      </c>
      <c r="I126" s="388" t="s">
        <v>255</v>
      </c>
      <c r="J126" s="388" t="s">
        <v>180</v>
      </c>
      <c r="K126" s="388" t="s">
        <v>252</v>
      </c>
      <c r="L126" s="388" t="s">
        <v>181</v>
      </c>
      <c r="M126" s="388" t="s">
        <v>189</v>
      </c>
      <c r="N126" s="388" t="s">
        <v>182</v>
      </c>
      <c r="O126" s="389" t="s">
        <v>183</v>
      </c>
      <c r="P126" s="389" t="s">
        <v>184</v>
      </c>
      <c r="Q126" s="388" t="s">
        <v>185</v>
      </c>
      <c r="R126" s="389" t="s">
        <v>183</v>
      </c>
      <c r="S126" s="389" t="s">
        <v>184</v>
      </c>
      <c r="T126" s="900"/>
      <c r="U126" s="896"/>
      <c r="V126" s="914"/>
      <c r="W126" s="923"/>
      <c r="X126" s="914"/>
      <c r="Y126" s="901"/>
      <c r="AA126" s="161" t="s">
        <v>246</v>
      </c>
      <c r="AB126" s="161" t="s">
        <v>491</v>
      </c>
      <c r="AC126" s="156" t="s">
        <v>397</v>
      </c>
      <c r="AD126" s="156" t="s">
        <v>341</v>
      </c>
      <c r="AE126" s="156" t="s">
        <v>465</v>
      </c>
      <c r="AF126" s="156" t="s">
        <v>217</v>
      </c>
      <c r="AG126" s="156" t="s">
        <v>218</v>
      </c>
      <c r="AH126" s="156" t="s">
        <v>398</v>
      </c>
    </row>
    <row r="127" spans="2:34" s="148" customFormat="1" ht="27" customHeight="1">
      <c r="B127" s="884" t="s">
        <v>623</v>
      </c>
      <c r="C127" s="885"/>
      <c r="D127" s="387">
        <v>1</v>
      </c>
      <c r="E127" s="390" t="s">
        <v>339</v>
      </c>
      <c r="F127" s="391">
        <v>18592.397300000004</v>
      </c>
      <c r="G127" s="392">
        <v>4818.71</v>
      </c>
      <c r="H127" s="392">
        <v>4823.01</v>
      </c>
      <c r="I127" s="393">
        <f>H127/G127</f>
        <v>1.0008923550078757</v>
      </c>
      <c r="J127" s="392">
        <v>121.81</v>
      </c>
      <c r="K127" s="393">
        <f>J127/G127</f>
        <v>2.5278549653330457E-2</v>
      </c>
      <c r="L127" s="392">
        <v>147.43000000000004</v>
      </c>
      <c r="M127" s="393">
        <f>(H127+J127)/G127</f>
        <v>1.0261709046612062</v>
      </c>
      <c r="N127" s="394">
        <v>18592.397300000004</v>
      </c>
      <c r="O127" s="392">
        <v>0</v>
      </c>
      <c r="P127" s="393">
        <f>O127/G127</f>
        <v>0</v>
      </c>
      <c r="Q127" s="407">
        <f>O127*L127</f>
        <v>0</v>
      </c>
      <c r="R127" s="395">
        <f>((H127+J127)-G127)-O127</f>
        <v>126.11000000000058</v>
      </c>
      <c r="S127" s="393">
        <f>R127/G127</f>
        <v>2.6170904661206126E-2</v>
      </c>
      <c r="T127" s="397" t="s">
        <v>176</v>
      </c>
      <c r="U127" s="397" t="s">
        <v>217</v>
      </c>
      <c r="V127" s="398"/>
      <c r="W127" s="398"/>
      <c r="X127" s="398">
        <v>1</v>
      </c>
      <c r="Y127" s="399" t="s">
        <v>344</v>
      </c>
      <c r="Z127" s="400" t="s">
        <v>492</v>
      </c>
      <c r="AA127" s="401">
        <f>SUM(X127:X146)</f>
        <v>20</v>
      </c>
      <c r="AB127" s="402">
        <f>SUMIF($U$127:$U$146,TRIM(AB126),$X$127:$X$146)</f>
        <v>0</v>
      </c>
      <c r="AC127" s="402">
        <f t="shared" ref="AC127:AH127" si="66">SUMIF($U$127:$U$146,TRIM(AC126),$X$127:$X$146)</f>
        <v>0</v>
      </c>
      <c r="AD127" s="402">
        <f t="shared" si="66"/>
        <v>0</v>
      </c>
      <c r="AE127" s="402">
        <f t="shared" si="66"/>
        <v>16</v>
      </c>
      <c r="AF127" s="402">
        <f t="shared" si="66"/>
        <v>1</v>
      </c>
      <c r="AG127" s="402">
        <f t="shared" si="66"/>
        <v>3</v>
      </c>
      <c r="AH127" s="402">
        <f t="shared" si="66"/>
        <v>0</v>
      </c>
    </row>
    <row r="128" spans="2:34" s="148" customFormat="1" ht="27" customHeight="1">
      <c r="B128" s="886"/>
      <c r="C128" s="887"/>
      <c r="D128" s="387">
        <v>2</v>
      </c>
      <c r="E128" s="390" t="s">
        <v>523</v>
      </c>
      <c r="F128" s="391">
        <v>7408.6894000000211</v>
      </c>
      <c r="G128" s="392">
        <v>997.26</v>
      </c>
      <c r="H128" s="392">
        <v>982.29000000000008</v>
      </c>
      <c r="I128" s="393">
        <f t="shared" ref="I128:I129" si="67">H128/G128</f>
        <v>0.9849888695024368</v>
      </c>
      <c r="J128" s="392">
        <v>27.62</v>
      </c>
      <c r="K128" s="393">
        <f t="shared" ref="K128:K133" si="68">J128/G128</f>
        <v>2.7695886729639213E-2</v>
      </c>
      <c r="L128" s="392">
        <v>605.77999999999986</v>
      </c>
      <c r="M128" s="393">
        <f t="shared" ref="M128:M133" si="69">(H128+J128)/G128</f>
        <v>1.012684756232076</v>
      </c>
      <c r="N128" s="394">
        <v>7663.1170000000202</v>
      </c>
      <c r="O128" s="392">
        <v>0.42000000000000004</v>
      </c>
      <c r="P128" s="393">
        <f t="shared" ref="P128:P146" si="70">O128/G128</f>
        <v>4.2115396185548405E-4</v>
      </c>
      <c r="Q128" s="407">
        <f t="shared" ref="Q128:Q146" si="71">O128*L128</f>
        <v>254.42759999999996</v>
      </c>
      <c r="R128" s="395">
        <f t="shared" ref="R128:R146" si="72">((H128+J128)-G128)-O128</f>
        <v>12.230000000000091</v>
      </c>
      <c r="S128" s="393">
        <f t="shared" ref="S128:S146" si="73">R128/G128</f>
        <v>1.2263602270220495E-2</v>
      </c>
      <c r="T128" s="397" t="s">
        <v>176</v>
      </c>
      <c r="U128" s="397" t="s">
        <v>218</v>
      </c>
      <c r="V128" s="398"/>
      <c r="W128" s="398"/>
      <c r="X128" s="398">
        <v>1</v>
      </c>
      <c r="Y128" s="399" t="s">
        <v>346</v>
      </c>
      <c r="AA128" s="401"/>
      <c r="AB128" s="408">
        <f>SUMIF($U$127:$U$146,TRIM(AB126),$F$127:$F$146)</f>
        <v>0</v>
      </c>
      <c r="AC128" s="408">
        <f t="shared" ref="AC128:AH128" si="74">SUMIF($U$127:$U$146,TRIM(AC126),$F$127:$F$146)</f>
        <v>0</v>
      </c>
      <c r="AD128" s="408">
        <f t="shared" si="74"/>
        <v>0</v>
      </c>
      <c r="AE128" s="408">
        <f t="shared" si="74"/>
        <v>52450.623499999943</v>
      </c>
      <c r="AF128" s="408">
        <f t="shared" si="74"/>
        <v>18592.397300000004</v>
      </c>
      <c r="AG128" s="408">
        <f t="shared" si="74"/>
        <v>12788.929400000023</v>
      </c>
      <c r="AH128" s="408">
        <f t="shared" si="74"/>
        <v>0</v>
      </c>
    </row>
    <row r="129" spans="2:34" s="148" customFormat="1" ht="27" customHeight="1">
      <c r="B129" s="886"/>
      <c r="C129" s="887"/>
      <c r="D129" s="387">
        <v>3</v>
      </c>
      <c r="E129" s="390" t="s">
        <v>583</v>
      </c>
      <c r="F129" s="391">
        <v>4652.1392999999962</v>
      </c>
      <c r="G129" s="392">
        <v>1065.47</v>
      </c>
      <c r="H129" s="392">
        <v>1064.1199999999999</v>
      </c>
      <c r="I129" s="393">
        <f t="shared" si="67"/>
        <v>0.99873295353224389</v>
      </c>
      <c r="J129" s="392">
        <v>26.939999999999998</v>
      </c>
      <c r="K129" s="393">
        <f t="shared" si="68"/>
        <v>2.528461617877556E-2</v>
      </c>
      <c r="L129" s="392">
        <v>191.21</v>
      </c>
      <c r="M129" s="393">
        <f t="shared" si="69"/>
        <v>1.0240175697110194</v>
      </c>
      <c r="N129" s="394">
        <v>4893.0638999999956</v>
      </c>
      <c r="O129" s="392">
        <v>1.26</v>
      </c>
      <c r="P129" s="393">
        <f t="shared" si="70"/>
        <v>1.1825767032389461E-3</v>
      </c>
      <c r="Q129" s="407">
        <f t="shared" si="71"/>
        <v>240.9246</v>
      </c>
      <c r="R129" s="395">
        <f t="shared" si="72"/>
        <v>24.329999999999917</v>
      </c>
      <c r="S129" s="393">
        <f t="shared" si="73"/>
        <v>2.2834993007780524E-2</v>
      </c>
      <c r="T129" s="397" t="s">
        <v>176</v>
      </c>
      <c r="U129" s="397" t="s">
        <v>465</v>
      </c>
      <c r="V129" s="398"/>
      <c r="W129" s="398"/>
      <c r="X129" s="398">
        <v>1</v>
      </c>
      <c r="Y129" s="399" t="s">
        <v>584</v>
      </c>
      <c r="AA129" s="387"/>
      <c r="AB129" s="409">
        <f>AB127/$AA127</f>
        <v>0</v>
      </c>
      <c r="AC129" s="409">
        <f t="shared" ref="AC129:AH129" si="75">AC127/$AA127</f>
        <v>0</v>
      </c>
      <c r="AD129" s="409">
        <f t="shared" si="75"/>
        <v>0</v>
      </c>
      <c r="AE129" s="409">
        <f t="shared" si="75"/>
        <v>0.8</v>
      </c>
      <c r="AF129" s="409">
        <f t="shared" si="75"/>
        <v>0.05</v>
      </c>
      <c r="AG129" s="409">
        <f t="shared" si="75"/>
        <v>0.15</v>
      </c>
      <c r="AH129" s="409">
        <f t="shared" si="75"/>
        <v>0</v>
      </c>
    </row>
    <row r="130" spans="2:34" s="148" customFormat="1" ht="27" customHeight="1">
      <c r="B130" s="886"/>
      <c r="C130" s="887"/>
      <c r="D130" s="387">
        <v>4</v>
      </c>
      <c r="E130" s="390" t="s">
        <v>658</v>
      </c>
      <c r="F130" s="391">
        <v>4437.8080999999884</v>
      </c>
      <c r="G130" s="392">
        <v>1382.2800000000002</v>
      </c>
      <c r="H130" s="392">
        <v>1327.78</v>
      </c>
      <c r="I130" s="393">
        <f>H130/G130</f>
        <v>0.96057238764939068</v>
      </c>
      <c r="J130" s="392">
        <v>92.89</v>
      </c>
      <c r="K130" s="393">
        <f t="shared" si="68"/>
        <v>6.7200567178863899E-2</v>
      </c>
      <c r="L130" s="392">
        <v>118.30999999999997</v>
      </c>
      <c r="M130" s="393">
        <f t="shared" si="69"/>
        <v>1.0277729548282546</v>
      </c>
      <c r="N130" s="394">
        <v>4541.9208999999892</v>
      </c>
      <c r="O130" s="392">
        <v>0.88</v>
      </c>
      <c r="P130" s="393">
        <f t="shared" si="70"/>
        <v>6.3662933703735852E-4</v>
      </c>
      <c r="Q130" s="407">
        <f t="shared" si="71"/>
        <v>104.11279999999998</v>
      </c>
      <c r="R130" s="395">
        <f t="shared" si="72"/>
        <v>37.50999999999987</v>
      </c>
      <c r="S130" s="393">
        <f t="shared" si="73"/>
        <v>2.7136325491217313E-2</v>
      </c>
      <c r="T130" s="397" t="s">
        <v>176</v>
      </c>
      <c r="U130" s="397" t="s">
        <v>465</v>
      </c>
      <c r="V130" s="398"/>
      <c r="W130" s="398"/>
      <c r="X130" s="398">
        <v>1</v>
      </c>
      <c r="Y130" s="399" t="s">
        <v>610</v>
      </c>
    </row>
    <row r="131" spans="2:34" s="148" customFormat="1" ht="27" customHeight="1">
      <c r="B131" s="886"/>
      <c r="C131" s="887"/>
      <c r="D131" s="387">
        <v>5</v>
      </c>
      <c r="E131" s="390" t="s">
        <v>564</v>
      </c>
      <c r="F131" s="391">
        <v>4319.9719999999961</v>
      </c>
      <c r="G131" s="392">
        <v>151.08000000000001</v>
      </c>
      <c r="H131" s="392">
        <v>144.79</v>
      </c>
      <c r="I131" s="393">
        <f t="shared" ref="I131:I146" si="76">H131/G131</f>
        <v>0.9583664283823139</v>
      </c>
      <c r="J131" s="392">
        <v>13.84</v>
      </c>
      <c r="K131" s="393">
        <f t="shared" si="68"/>
        <v>9.1607095578501455E-2</v>
      </c>
      <c r="L131" s="392">
        <v>629</v>
      </c>
      <c r="M131" s="393">
        <f t="shared" si="69"/>
        <v>1.0499735239608154</v>
      </c>
      <c r="N131" s="394">
        <v>4748.9499999999962</v>
      </c>
      <c r="O131" s="392">
        <v>0.68199999999999994</v>
      </c>
      <c r="P131" s="393">
        <f t="shared" si="70"/>
        <v>4.5141646809637274E-3</v>
      </c>
      <c r="Q131" s="407">
        <f t="shared" si="71"/>
        <v>428.97799999999995</v>
      </c>
      <c r="R131" s="395">
        <f t="shared" si="72"/>
        <v>6.8679999999999826</v>
      </c>
      <c r="S131" s="393">
        <f t="shared" si="73"/>
        <v>4.5459359279851612E-2</v>
      </c>
      <c r="T131" s="397" t="s">
        <v>176</v>
      </c>
      <c r="U131" s="397" t="s">
        <v>465</v>
      </c>
      <c r="V131" s="398"/>
      <c r="W131" s="398"/>
      <c r="X131" s="398">
        <v>1</v>
      </c>
      <c r="Y131" s="399" t="s">
        <v>522</v>
      </c>
    </row>
    <row r="132" spans="2:34" s="148" customFormat="1" ht="27" customHeight="1">
      <c r="B132" s="886"/>
      <c r="C132" s="887"/>
      <c r="D132" s="387">
        <v>6</v>
      </c>
      <c r="E132" s="390" t="s">
        <v>463</v>
      </c>
      <c r="F132" s="391">
        <v>4039.1108999999929</v>
      </c>
      <c r="G132" s="392">
        <v>1216.92</v>
      </c>
      <c r="H132" s="392">
        <v>1174.07</v>
      </c>
      <c r="I132" s="393">
        <f t="shared" si="76"/>
        <v>0.96478815369950355</v>
      </c>
      <c r="J132" s="392">
        <v>87.800000000000011</v>
      </c>
      <c r="K132" s="393">
        <f t="shared" si="68"/>
        <v>7.2149360681063673E-2</v>
      </c>
      <c r="L132" s="392">
        <v>99.51</v>
      </c>
      <c r="M132" s="393">
        <f t="shared" si="69"/>
        <v>1.0369375143805672</v>
      </c>
      <c r="N132" s="394">
        <v>4472.974499999993</v>
      </c>
      <c r="O132" s="392">
        <v>4.3599999999999994</v>
      </c>
      <c r="P132" s="393">
        <f t="shared" si="70"/>
        <v>3.5828156329093114E-3</v>
      </c>
      <c r="Q132" s="407">
        <f t="shared" si="71"/>
        <v>433.86359999999996</v>
      </c>
      <c r="R132" s="395">
        <f t="shared" si="72"/>
        <v>40.589999999999819</v>
      </c>
      <c r="S132" s="393">
        <f t="shared" si="73"/>
        <v>3.3354698747657868E-2</v>
      </c>
      <c r="T132" s="397" t="s">
        <v>176</v>
      </c>
      <c r="U132" s="397" t="s">
        <v>465</v>
      </c>
      <c r="V132" s="398"/>
      <c r="W132" s="398"/>
      <c r="X132" s="398">
        <v>1</v>
      </c>
      <c r="Y132" s="399" t="s">
        <v>358</v>
      </c>
    </row>
    <row r="133" spans="2:34" s="148" customFormat="1" ht="27" customHeight="1">
      <c r="B133" s="886"/>
      <c r="C133" s="887"/>
      <c r="D133" s="387">
        <v>7</v>
      </c>
      <c r="E133" s="390" t="s">
        <v>657</v>
      </c>
      <c r="F133" s="391">
        <v>3920.7930000000019</v>
      </c>
      <c r="G133" s="392">
        <v>1632.02</v>
      </c>
      <c r="H133" s="392">
        <v>1584.27</v>
      </c>
      <c r="I133" s="393">
        <f t="shared" si="76"/>
        <v>0.97074178012524359</v>
      </c>
      <c r="J133" s="392">
        <v>94.26</v>
      </c>
      <c r="K133" s="393">
        <f t="shared" si="68"/>
        <v>5.7756645139152712E-2</v>
      </c>
      <c r="L133" s="392">
        <v>84.3</v>
      </c>
      <c r="M133" s="393">
        <f t="shared" si="69"/>
        <v>1.0284984252643963</v>
      </c>
      <c r="N133" s="394">
        <v>3920.7930000000019</v>
      </c>
      <c r="O133" s="392">
        <v>0</v>
      </c>
      <c r="P133" s="393">
        <f t="shared" si="70"/>
        <v>0</v>
      </c>
      <c r="Q133" s="407">
        <f t="shared" si="71"/>
        <v>0</v>
      </c>
      <c r="R133" s="395">
        <f t="shared" si="72"/>
        <v>46.509999999999991</v>
      </c>
      <c r="S133" s="393">
        <f t="shared" si="73"/>
        <v>2.8498425264396263E-2</v>
      </c>
      <c r="T133" s="397" t="s">
        <v>176</v>
      </c>
      <c r="U133" s="397" t="s">
        <v>465</v>
      </c>
      <c r="V133" s="398"/>
      <c r="W133" s="398"/>
      <c r="X133" s="398">
        <v>1</v>
      </c>
      <c r="Y133" s="399" t="s">
        <v>611</v>
      </c>
    </row>
    <row r="134" spans="2:34" s="148" customFormat="1" ht="27" customHeight="1">
      <c r="B134" s="886"/>
      <c r="C134" s="887"/>
      <c r="D134" s="387">
        <v>8</v>
      </c>
      <c r="E134" s="390" t="s">
        <v>781</v>
      </c>
      <c r="F134" s="391">
        <v>3730.4591999999993</v>
      </c>
      <c r="G134" s="392">
        <v>706.38000000000011</v>
      </c>
      <c r="H134" s="392">
        <v>711.1</v>
      </c>
      <c r="I134" s="393">
        <f t="shared" si="76"/>
        <v>1.0066819558877658</v>
      </c>
      <c r="J134" s="392">
        <v>30.160000000000004</v>
      </c>
      <c r="K134" s="393">
        <f>J134/G134</f>
        <v>4.2696565587927178E-2</v>
      </c>
      <c r="L134" s="392">
        <v>122.06999999999996</v>
      </c>
      <c r="M134" s="393">
        <f>(H134+J134)/G134</f>
        <v>1.0493785214756928</v>
      </c>
      <c r="N134" s="394">
        <v>4257.8015999999989</v>
      </c>
      <c r="O134" s="392">
        <v>4.3199999999999994</v>
      </c>
      <c r="P134" s="393">
        <f t="shared" si="70"/>
        <v>6.1156884396500449E-3</v>
      </c>
      <c r="Q134" s="407">
        <f t="shared" si="71"/>
        <v>527.34239999999977</v>
      </c>
      <c r="R134" s="395">
        <f t="shared" si="72"/>
        <v>30.559999999999881</v>
      </c>
      <c r="S134" s="393">
        <f t="shared" si="73"/>
        <v>4.3262833036042746E-2</v>
      </c>
      <c r="T134" s="397" t="s">
        <v>176</v>
      </c>
      <c r="U134" s="397" t="s">
        <v>465</v>
      </c>
      <c r="V134" s="398"/>
      <c r="W134" s="398"/>
      <c r="X134" s="398">
        <v>1</v>
      </c>
      <c r="Y134" s="399" t="s">
        <v>363</v>
      </c>
    </row>
    <row r="135" spans="2:34" s="148" customFormat="1" ht="27" customHeight="1">
      <c r="B135" s="886"/>
      <c r="C135" s="887"/>
      <c r="D135" s="387">
        <v>9</v>
      </c>
      <c r="E135" s="390" t="s">
        <v>470</v>
      </c>
      <c r="F135" s="391">
        <v>3408.9763999999959</v>
      </c>
      <c r="G135" s="392">
        <v>390.19</v>
      </c>
      <c r="H135" s="392">
        <v>381.48</v>
      </c>
      <c r="I135" s="393">
        <f t="shared" si="76"/>
        <v>0.97767754171044885</v>
      </c>
      <c r="J135" s="392">
        <v>18.59</v>
      </c>
      <c r="K135" s="393">
        <f t="shared" ref="K135:K146" si="77">J135/G135</f>
        <v>4.7643455752325793E-2</v>
      </c>
      <c r="L135" s="392">
        <v>368.13999999999993</v>
      </c>
      <c r="M135" s="393">
        <f t="shared" ref="M135:M146" si="78">(H135+J135)/G135</f>
        <v>1.0253209974627746</v>
      </c>
      <c r="N135" s="394">
        <v>3637.2231999999958</v>
      </c>
      <c r="O135" s="392">
        <v>0.62</v>
      </c>
      <c r="P135" s="393">
        <f t="shared" si="70"/>
        <v>1.588969476408929E-3</v>
      </c>
      <c r="Q135" s="407">
        <f t="shared" si="71"/>
        <v>228.24679999999995</v>
      </c>
      <c r="R135" s="395">
        <f t="shared" si="72"/>
        <v>9.2599999999999962</v>
      </c>
      <c r="S135" s="393">
        <f t="shared" si="73"/>
        <v>2.3732027986365607E-2</v>
      </c>
      <c r="T135" s="397" t="s">
        <v>176</v>
      </c>
      <c r="U135" s="397" t="s">
        <v>465</v>
      </c>
      <c r="V135" s="398"/>
      <c r="W135" s="398"/>
      <c r="X135" s="398">
        <v>1</v>
      </c>
      <c r="Y135" s="399" t="s">
        <v>471</v>
      </c>
    </row>
    <row r="136" spans="2:34" s="148" customFormat="1" ht="27" customHeight="1">
      <c r="B136" s="886"/>
      <c r="C136" s="887"/>
      <c r="D136" s="387">
        <v>10</v>
      </c>
      <c r="E136" s="390" t="s">
        <v>539</v>
      </c>
      <c r="F136" s="391">
        <v>3257.9469999999947</v>
      </c>
      <c r="G136" s="392">
        <v>620.76</v>
      </c>
      <c r="H136" s="392">
        <v>580.95000000000005</v>
      </c>
      <c r="I136" s="393">
        <f t="shared" si="76"/>
        <v>0.93586893485404998</v>
      </c>
      <c r="J136" s="392">
        <v>63.449999999999996</v>
      </c>
      <c r="K136" s="393">
        <f t="shared" si="77"/>
        <v>0.10221341581287453</v>
      </c>
      <c r="L136" s="392">
        <v>160.49</v>
      </c>
      <c r="M136" s="393">
        <f t="shared" si="78"/>
        <v>1.0380823506669246</v>
      </c>
      <c r="N136" s="394">
        <v>3793.9835999999946</v>
      </c>
      <c r="O136" s="392">
        <v>3.34</v>
      </c>
      <c r="P136" s="393">
        <f t="shared" si="70"/>
        <v>5.3805013209614018E-3</v>
      </c>
      <c r="Q136" s="407">
        <f t="shared" si="71"/>
        <v>536.03660000000002</v>
      </c>
      <c r="R136" s="395">
        <f t="shared" si="72"/>
        <v>20.3000000000001</v>
      </c>
      <c r="S136" s="393">
        <f t="shared" si="73"/>
        <v>3.2701849345963173E-2</v>
      </c>
      <c r="T136" s="397" t="s">
        <v>176</v>
      </c>
      <c r="U136" s="397" t="s">
        <v>465</v>
      </c>
      <c r="V136" s="398"/>
      <c r="W136" s="398"/>
      <c r="X136" s="398">
        <v>1</v>
      </c>
      <c r="Y136" s="399" t="s">
        <v>471</v>
      </c>
    </row>
    <row r="137" spans="2:34" s="148" customFormat="1" ht="27" customHeight="1">
      <c r="B137" s="886"/>
      <c r="C137" s="887"/>
      <c r="D137" s="387">
        <v>11</v>
      </c>
      <c r="E137" s="390" t="s">
        <v>512</v>
      </c>
      <c r="F137" s="391">
        <v>2978.5</v>
      </c>
      <c r="G137" s="392">
        <v>201743</v>
      </c>
      <c r="H137" s="392">
        <v>201438</v>
      </c>
      <c r="I137" s="393">
        <f t="shared" si="76"/>
        <v>0.99848817555008107</v>
      </c>
      <c r="J137" s="392">
        <v>1230</v>
      </c>
      <c r="K137" s="393">
        <f t="shared" si="77"/>
        <v>6.096865814427266E-3</v>
      </c>
      <c r="L137" s="392">
        <v>3.2199999999999998</v>
      </c>
      <c r="M137" s="393">
        <f t="shared" si="78"/>
        <v>1.0045850413645083</v>
      </c>
      <c r="N137" s="394">
        <v>2978.5</v>
      </c>
      <c r="O137" s="392">
        <v>0</v>
      </c>
      <c r="P137" s="393">
        <f t="shared" si="70"/>
        <v>0</v>
      </c>
      <c r="Q137" s="407">
        <f t="shared" si="71"/>
        <v>0</v>
      </c>
      <c r="R137" s="395">
        <f t="shared" si="72"/>
        <v>925</v>
      </c>
      <c r="S137" s="393">
        <f t="shared" si="73"/>
        <v>4.5850413645083105E-3</v>
      </c>
      <c r="T137" s="397" t="s">
        <v>176</v>
      </c>
      <c r="U137" s="397" t="s">
        <v>218</v>
      </c>
      <c r="V137" s="398"/>
      <c r="W137" s="398"/>
      <c r="X137" s="398">
        <v>1</v>
      </c>
      <c r="Y137" s="399" t="s">
        <v>344</v>
      </c>
    </row>
    <row r="138" spans="2:34" s="148" customFormat="1" ht="27" customHeight="1">
      <c r="B138" s="886"/>
      <c r="C138" s="887"/>
      <c r="D138" s="387">
        <v>12</v>
      </c>
      <c r="E138" s="390" t="s">
        <v>605</v>
      </c>
      <c r="F138" s="391">
        <v>2955.7079999999978</v>
      </c>
      <c r="G138" s="392">
        <v>1005.98</v>
      </c>
      <c r="H138" s="392">
        <v>1013.66</v>
      </c>
      <c r="I138" s="393">
        <f t="shared" si="76"/>
        <v>1.0076343466072883</v>
      </c>
      <c r="J138" s="392">
        <v>4.75</v>
      </c>
      <c r="K138" s="393">
        <f t="shared" si="77"/>
        <v>4.7217638521640584E-3</v>
      </c>
      <c r="L138" s="392">
        <v>266.27999999999997</v>
      </c>
      <c r="M138" s="393">
        <f t="shared" si="78"/>
        <v>1.0123561104594525</v>
      </c>
      <c r="N138" s="394">
        <v>3309.8603999999978</v>
      </c>
      <c r="O138" s="392">
        <v>1.33</v>
      </c>
      <c r="P138" s="393">
        <f t="shared" si="70"/>
        <v>1.3220938786059366E-3</v>
      </c>
      <c r="Q138" s="407">
        <f t="shared" si="71"/>
        <v>354.1524</v>
      </c>
      <c r="R138" s="395">
        <f t="shared" si="72"/>
        <v>11.09999999999995</v>
      </c>
      <c r="S138" s="393">
        <f t="shared" si="73"/>
        <v>1.1034016580846488E-2</v>
      </c>
      <c r="T138" s="397" t="s">
        <v>176</v>
      </c>
      <c r="U138" s="397" t="s">
        <v>465</v>
      </c>
      <c r="V138" s="398"/>
      <c r="W138" s="398"/>
      <c r="X138" s="398">
        <v>1</v>
      </c>
      <c r="Y138" s="399" t="s">
        <v>606</v>
      </c>
      <c r="AA138" s="890" t="s">
        <v>249</v>
      </c>
      <c r="AB138" s="891"/>
      <c r="AC138" s="891"/>
      <c r="AD138" s="891"/>
      <c r="AE138" s="891"/>
      <c r="AF138" s="891"/>
      <c r="AG138" s="891"/>
      <c r="AH138" s="892"/>
    </row>
    <row r="139" spans="2:34" s="148" customFormat="1" ht="27" customHeight="1">
      <c r="B139" s="886"/>
      <c r="C139" s="887"/>
      <c r="D139" s="387">
        <v>13</v>
      </c>
      <c r="E139" s="390" t="s">
        <v>660</v>
      </c>
      <c r="F139" s="391">
        <v>2920.3712999999989</v>
      </c>
      <c r="G139" s="392">
        <v>203.58</v>
      </c>
      <c r="H139" s="392">
        <v>189.3</v>
      </c>
      <c r="I139" s="393">
        <f t="shared" si="76"/>
        <v>0.92985558502799881</v>
      </c>
      <c r="J139" s="392">
        <v>21.21</v>
      </c>
      <c r="K139" s="393">
        <f t="shared" si="77"/>
        <v>0.10418508694370764</v>
      </c>
      <c r="L139" s="392">
        <v>421.40999999999997</v>
      </c>
      <c r="M139" s="393">
        <f t="shared" si="78"/>
        <v>1.0340406719717066</v>
      </c>
      <c r="N139" s="394">
        <v>2920.3712999999989</v>
      </c>
      <c r="O139" s="392">
        <v>0</v>
      </c>
      <c r="P139" s="393">
        <f t="shared" si="70"/>
        <v>0</v>
      </c>
      <c r="Q139" s="407">
        <f t="shared" si="71"/>
        <v>0</v>
      </c>
      <c r="R139" s="395">
        <f t="shared" si="72"/>
        <v>6.9300000000000068</v>
      </c>
      <c r="S139" s="393">
        <f t="shared" si="73"/>
        <v>3.4040671971706488E-2</v>
      </c>
      <c r="T139" s="397" t="s">
        <v>176</v>
      </c>
      <c r="U139" s="397" t="s">
        <v>465</v>
      </c>
      <c r="V139" s="398"/>
      <c r="W139" s="398"/>
      <c r="X139" s="398">
        <v>1</v>
      </c>
      <c r="Y139" s="399" t="s">
        <v>483</v>
      </c>
      <c r="AA139" s="893"/>
      <c r="AB139" s="894"/>
      <c r="AC139" s="894"/>
      <c r="AD139" s="894"/>
      <c r="AE139" s="894"/>
      <c r="AF139" s="894"/>
      <c r="AG139" s="894"/>
      <c r="AH139" s="895"/>
    </row>
    <row r="140" spans="2:34" s="148" customFormat="1" ht="27" customHeight="1">
      <c r="B140" s="886"/>
      <c r="C140" s="887"/>
      <c r="D140" s="387">
        <v>14</v>
      </c>
      <c r="E140" s="390" t="s">
        <v>400</v>
      </c>
      <c r="F140" s="391">
        <v>2885.3488000000016</v>
      </c>
      <c r="G140" s="392">
        <v>3700.5</v>
      </c>
      <c r="H140" s="392">
        <v>3608.9900000000002</v>
      </c>
      <c r="I140" s="393">
        <f t="shared" si="76"/>
        <v>0.97527090933657623</v>
      </c>
      <c r="J140" s="392">
        <v>120.31</v>
      </c>
      <c r="K140" s="393">
        <f t="shared" si="77"/>
        <v>3.2511822726658562E-2</v>
      </c>
      <c r="L140" s="392">
        <v>127.84000000000002</v>
      </c>
      <c r="M140" s="393">
        <f t="shared" si="78"/>
        <v>1.0077827320632347</v>
      </c>
      <c r="N140" s="394">
        <v>3681.7920000000013</v>
      </c>
      <c r="O140" s="392">
        <v>6.2299999999999995</v>
      </c>
      <c r="P140" s="393">
        <f t="shared" si="70"/>
        <v>1.6835562761788945E-3</v>
      </c>
      <c r="Q140" s="407">
        <f t="shared" si="71"/>
        <v>796.44320000000005</v>
      </c>
      <c r="R140" s="395">
        <f t="shared" si="72"/>
        <v>22.570000000000181</v>
      </c>
      <c r="S140" s="393">
        <f t="shared" si="73"/>
        <v>6.099175787055852E-3</v>
      </c>
      <c r="T140" s="397" t="s">
        <v>176</v>
      </c>
      <c r="U140" s="397" t="s">
        <v>465</v>
      </c>
      <c r="V140" s="398"/>
      <c r="W140" s="398"/>
      <c r="X140" s="398">
        <v>1</v>
      </c>
      <c r="Y140" s="399" t="s">
        <v>344</v>
      </c>
      <c r="AA140" s="896"/>
      <c r="AB140" s="897"/>
      <c r="AC140" s="897"/>
      <c r="AD140" s="897"/>
      <c r="AE140" s="897"/>
      <c r="AF140" s="897"/>
      <c r="AG140" s="897"/>
      <c r="AH140" s="898"/>
    </row>
    <row r="141" spans="2:34" s="148" customFormat="1" ht="27" customHeight="1">
      <c r="B141" s="886"/>
      <c r="C141" s="887"/>
      <c r="D141" s="387">
        <v>15</v>
      </c>
      <c r="E141" s="390" t="s">
        <v>340</v>
      </c>
      <c r="F141" s="391">
        <v>2543.3684000000021</v>
      </c>
      <c r="G141" s="392">
        <v>1583.5400000000002</v>
      </c>
      <c r="H141" s="392">
        <v>1500.54</v>
      </c>
      <c r="I141" s="393">
        <f t="shared" si="76"/>
        <v>0.9475857888023036</v>
      </c>
      <c r="J141" s="392">
        <v>131.83999999999997</v>
      </c>
      <c r="K141" s="393">
        <f t="shared" si="77"/>
        <v>8.325650125667805E-2</v>
      </c>
      <c r="L141" s="392">
        <v>70.220000000000013</v>
      </c>
      <c r="M141" s="393">
        <f t="shared" si="78"/>
        <v>1.0308422900589815</v>
      </c>
      <c r="N141" s="394">
        <v>3429.5448000000024</v>
      </c>
      <c r="O141" s="392">
        <v>12.620000000000001</v>
      </c>
      <c r="P141" s="393">
        <f t="shared" si="70"/>
        <v>7.9694860881316543E-3</v>
      </c>
      <c r="Q141" s="407">
        <f t="shared" si="71"/>
        <v>886.17640000000029</v>
      </c>
      <c r="R141" s="395">
        <f t="shared" si="72"/>
        <v>36.219999999999686</v>
      </c>
      <c r="S141" s="393">
        <f t="shared" si="73"/>
        <v>2.2872803970849918E-2</v>
      </c>
      <c r="T141" s="397" t="s">
        <v>176</v>
      </c>
      <c r="U141" s="397" t="s">
        <v>465</v>
      </c>
      <c r="V141" s="397"/>
      <c r="W141" s="398"/>
      <c r="X141" s="398">
        <v>1</v>
      </c>
      <c r="Y141" s="399" t="s">
        <v>347</v>
      </c>
      <c r="AA141" s="161" t="s">
        <v>246</v>
      </c>
      <c r="AB141" s="161" t="s">
        <v>491</v>
      </c>
      <c r="AC141" s="156" t="s">
        <v>397</v>
      </c>
      <c r="AD141" s="156" t="s">
        <v>341</v>
      </c>
      <c r="AE141" s="156" t="s">
        <v>465</v>
      </c>
      <c r="AF141" s="156" t="s">
        <v>217</v>
      </c>
      <c r="AG141" s="156" t="s">
        <v>218</v>
      </c>
      <c r="AH141" s="156" t="s">
        <v>398</v>
      </c>
    </row>
    <row r="142" spans="2:34" s="148" customFormat="1" ht="27" customHeight="1">
      <c r="B142" s="886"/>
      <c r="C142" s="887"/>
      <c r="D142" s="387">
        <v>16</v>
      </c>
      <c r="E142" s="390" t="s">
        <v>659</v>
      </c>
      <c r="F142" s="391">
        <v>2498.4694</v>
      </c>
      <c r="G142" s="392">
        <v>730.36000000000013</v>
      </c>
      <c r="H142" s="392">
        <v>714.46</v>
      </c>
      <c r="I142" s="393">
        <f t="shared" si="76"/>
        <v>0.97822991401500614</v>
      </c>
      <c r="J142" s="392">
        <v>38.76</v>
      </c>
      <c r="K142" s="393">
        <f t="shared" si="77"/>
        <v>5.3069719042663881E-2</v>
      </c>
      <c r="L142" s="392">
        <v>128.38999999999999</v>
      </c>
      <c r="M142" s="393">
        <f t="shared" si="78"/>
        <v>1.03129963305767</v>
      </c>
      <c r="N142" s="394">
        <v>2934.9953999999998</v>
      </c>
      <c r="O142" s="392">
        <v>3.4000000000000004</v>
      </c>
      <c r="P142" s="393">
        <f t="shared" si="70"/>
        <v>4.6552385125143763E-3</v>
      </c>
      <c r="Q142" s="407">
        <f t="shared" si="71"/>
        <v>436.52600000000001</v>
      </c>
      <c r="R142" s="395">
        <f t="shared" si="72"/>
        <v>19.459999999999901</v>
      </c>
      <c r="S142" s="393">
        <f t="shared" si="73"/>
        <v>2.6644394545155672E-2</v>
      </c>
      <c r="T142" s="397" t="s">
        <v>176</v>
      </c>
      <c r="U142" s="397" t="s">
        <v>465</v>
      </c>
      <c r="V142" s="398"/>
      <c r="W142" s="398"/>
      <c r="X142" s="398">
        <v>1</v>
      </c>
      <c r="Y142" s="399" t="s">
        <v>360</v>
      </c>
      <c r="Z142" s="448" t="s">
        <v>601</v>
      </c>
      <c r="AA142" s="410">
        <f>AA31+AA55+AA79+AA103</f>
        <v>80</v>
      </c>
      <c r="AB142" s="410">
        <f>AB31+AB55+AB79+AB103</f>
        <v>0</v>
      </c>
      <c r="AC142" s="410">
        <f t="shared" ref="AC142:AH142" si="79">AC31+AC55+AC79+AC103</f>
        <v>0</v>
      </c>
      <c r="AD142" s="410">
        <f t="shared" si="79"/>
        <v>0</v>
      </c>
      <c r="AE142" s="410">
        <f t="shared" si="79"/>
        <v>64</v>
      </c>
      <c r="AF142" s="410">
        <f t="shared" si="79"/>
        <v>4</v>
      </c>
      <c r="AG142" s="410">
        <f t="shared" si="79"/>
        <v>12</v>
      </c>
      <c r="AH142" s="410">
        <f t="shared" si="79"/>
        <v>0</v>
      </c>
    </row>
    <row r="143" spans="2:34" s="148" customFormat="1" ht="27" customHeight="1">
      <c r="B143" s="886"/>
      <c r="C143" s="887"/>
      <c r="D143" s="387">
        <v>17</v>
      </c>
      <c r="E143" s="390" t="s">
        <v>538</v>
      </c>
      <c r="F143" s="391">
        <v>2466.8269999999834</v>
      </c>
      <c r="G143" s="392">
        <v>1028.8899999999999</v>
      </c>
      <c r="H143" s="392">
        <v>1030.3499999999999</v>
      </c>
      <c r="I143" s="393">
        <f t="shared" si="76"/>
        <v>1.001419004947079</v>
      </c>
      <c r="J143" s="392">
        <v>6.46</v>
      </c>
      <c r="K143" s="393">
        <f t="shared" si="77"/>
        <v>6.2786109302257779E-3</v>
      </c>
      <c r="L143" s="392">
        <v>407.74000000000007</v>
      </c>
      <c r="M143" s="393">
        <f t="shared" si="78"/>
        <v>1.0076976158773048</v>
      </c>
      <c r="N143" s="394">
        <v>3229.3007999999836</v>
      </c>
      <c r="O143" s="392">
        <v>1.87</v>
      </c>
      <c r="P143" s="393">
        <f t="shared" si="70"/>
        <v>1.8174926376969358E-3</v>
      </c>
      <c r="Q143" s="407">
        <f t="shared" si="71"/>
        <v>762.47380000000021</v>
      </c>
      <c r="R143" s="395">
        <f t="shared" si="72"/>
        <v>6.0500000000000727</v>
      </c>
      <c r="S143" s="393">
        <f t="shared" si="73"/>
        <v>5.8801232396078042E-3</v>
      </c>
      <c r="T143" s="397" t="s">
        <v>176</v>
      </c>
      <c r="U143" s="397" t="s">
        <v>465</v>
      </c>
      <c r="V143" s="398"/>
      <c r="W143" s="398"/>
      <c r="X143" s="398">
        <v>1</v>
      </c>
      <c r="Y143" s="399" t="s">
        <v>540</v>
      </c>
      <c r="AA143" s="411"/>
      <c r="AB143" s="408">
        <f>AB32+AB56+AB80+AB104</f>
        <v>0</v>
      </c>
      <c r="AC143" s="408">
        <f t="shared" ref="AC143:AH143" si="80">AC32+AC56+AC80+AC104</f>
        <v>0</v>
      </c>
      <c r="AD143" s="408">
        <f t="shared" si="80"/>
        <v>0</v>
      </c>
      <c r="AE143" s="408">
        <f t="shared" si="80"/>
        <v>274746.95629999996</v>
      </c>
      <c r="AF143" s="408">
        <f t="shared" si="80"/>
        <v>75640.435799999992</v>
      </c>
      <c r="AG143" s="408">
        <f t="shared" si="80"/>
        <v>44884.544799999967</v>
      </c>
      <c r="AH143" s="408">
        <f t="shared" si="80"/>
        <v>0</v>
      </c>
    </row>
    <row r="144" spans="2:34" s="148" customFormat="1" ht="27" customHeight="1">
      <c r="B144" s="886"/>
      <c r="C144" s="887"/>
      <c r="D144" s="387">
        <v>18</v>
      </c>
      <c r="E144" s="390" t="s">
        <v>701</v>
      </c>
      <c r="F144" s="391">
        <v>2401.7400000000016</v>
      </c>
      <c r="G144" s="392">
        <v>607.26</v>
      </c>
      <c r="H144" s="392">
        <v>609.18000000000006</v>
      </c>
      <c r="I144" s="393">
        <f t="shared" si="76"/>
        <v>1.0031617429107798</v>
      </c>
      <c r="J144" s="392">
        <v>11.46</v>
      </c>
      <c r="K144" s="393">
        <f t="shared" si="77"/>
        <v>1.8871652998715543E-2</v>
      </c>
      <c r="L144" s="392">
        <v>198</v>
      </c>
      <c r="M144" s="393">
        <f t="shared" si="78"/>
        <v>1.0220333959094954</v>
      </c>
      <c r="N144" s="394">
        <v>2649.2400000000021</v>
      </c>
      <c r="O144" s="392">
        <v>1.25</v>
      </c>
      <c r="P144" s="393">
        <f t="shared" si="70"/>
        <v>2.0584263742054474E-3</v>
      </c>
      <c r="Q144" s="407">
        <f t="shared" si="71"/>
        <v>247.5</v>
      </c>
      <c r="R144" s="395">
        <f t="shared" si="72"/>
        <v>12.130000000000109</v>
      </c>
      <c r="S144" s="393">
        <f t="shared" si="73"/>
        <v>1.9974969535289842E-2</v>
      </c>
      <c r="T144" s="397" t="s">
        <v>176</v>
      </c>
      <c r="U144" s="397" t="s">
        <v>218</v>
      </c>
      <c r="V144" s="398"/>
      <c r="W144" s="398"/>
      <c r="X144" s="398">
        <v>1</v>
      </c>
      <c r="Y144" s="399" t="s">
        <v>344</v>
      </c>
      <c r="AA144" s="387"/>
      <c r="AB144" s="409">
        <f>AB142/$AA142</f>
        <v>0</v>
      </c>
      <c r="AC144" s="409">
        <f t="shared" ref="AC144:AH144" si="81">AC142/$AA142</f>
        <v>0</v>
      </c>
      <c r="AD144" s="409">
        <f t="shared" si="81"/>
        <v>0</v>
      </c>
      <c r="AE144" s="409">
        <f t="shared" si="81"/>
        <v>0.8</v>
      </c>
      <c r="AF144" s="409">
        <f t="shared" si="81"/>
        <v>0.05</v>
      </c>
      <c r="AG144" s="409">
        <f t="shared" si="81"/>
        <v>0.15</v>
      </c>
      <c r="AH144" s="409">
        <f t="shared" si="81"/>
        <v>0</v>
      </c>
    </row>
    <row r="145" spans="2:29" s="148" customFormat="1" ht="27" customHeight="1">
      <c r="B145" s="886"/>
      <c r="C145" s="887"/>
      <c r="D145" s="387">
        <v>19</v>
      </c>
      <c r="E145" s="390" t="s">
        <v>515</v>
      </c>
      <c r="F145" s="391">
        <v>2239.7466000000004</v>
      </c>
      <c r="G145" s="392">
        <v>1021.78</v>
      </c>
      <c r="H145" s="392">
        <v>968.23999999999978</v>
      </c>
      <c r="I145" s="393">
        <f t="shared" si="76"/>
        <v>0.94760124488637454</v>
      </c>
      <c r="J145" s="392">
        <v>73.13</v>
      </c>
      <c r="K145" s="393">
        <f t="shared" si="77"/>
        <v>7.1571179706003241E-2</v>
      </c>
      <c r="L145" s="392">
        <v>144.78</v>
      </c>
      <c r="M145" s="393">
        <f t="shared" si="78"/>
        <v>1.0191724245923779</v>
      </c>
      <c r="N145" s="394">
        <v>2836.2402000000006</v>
      </c>
      <c r="O145" s="392">
        <v>4.12</v>
      </c>
      <c r="P145" s="393">
        <f t="shared" si="70"/>
        <v>4.0321791383663803E-3</v>
      </c>
      <c r="Q145" s="407">
        <f t="shared" si="71"/>
        <v>596.49360000000001</v>
      </c>
      <c r="R145" s="395">
        <f t="shared" si="72"/>
        <v>15.469999999999917</v>
      </c>
      <c r="S145" s="393">
        <f t="shared" si="73"/>
        <v>1.5140245454011545E-2</v>
      </c>
      <c r="T145" s="397" t="s">
        <v>176</v>
      </c>
      <c r="U145" s="397" t="s">
        <v>465</v>
      </c>
      <c r="V145" s="398"/>
      <c r="W145" s="398"/>
      <c r="X145" s="398">
        <v>1</v>
      </c>
      <c r="Y145" s="399" t="s">
        <v>511</v>
      </c>
      <c r="AB145" s="406"/>
      <c r="AC145" s="403"/>
    </row>
    <row r="146" spans="2:29" s="148" customFormat="1" ht="27" customHeight="1">
      <c r="B146" s="888"/>
      <c r="C146" s="889"/>
      <c r="D146" s="387">
        <v>20</v>
      </c>
      <c r="E146" s="390" t="s">
        <v>695</v>
      </c>
      <c r="F146" s="391">
        <v>2173.5781000000006</v>
      </c>
      <c r="G146" s="392">
        <v>1043.6499999999999</v>
      </c>
      <c r="H146" s="392">
        <v>1026.5999999999999</v>
      </c>
      <c r="I146" s="393">
        <f t="shared" si="76"/>
        <v>0.98366310544722857</v>
      </c>
      <c r="J146" s="392">
        <v>70.19</v>
      </c>
      <c r="K146" s="393">
        <f t="shared" si="77"/>
        <v>6.7254347721937432E-2</v>
      </c>
      <c r="L146" s="392">
        <v>51.470000000000013</v>
      </c>
      <c r="M146" s="393">
        <f t="shared" si="78"/>
        <v>1.0509174531691661</v>
      </c>
      <c r="N146" s="394">
        <v>2735.1158000000005</v>
      </c>
      <c r="O146" s="392">
        <v>10.91</v>
      </c>
      <c r="P146" s="393">
        <f t="shared" si="70"/>
        <v>1.0453696162506588E-2</v>
      </c>
      <c r="Q146" s="407">
        <f t="shared" si="71"/>
        <v>561.5377000000002</v>
      </c>
      <c r="R146" s="395">
        <f t="shared" si="72"/>
        <v>42.230000000000103</v>
      </c>
      <c r="S146" s="393">
        <f t="shared" si="73"/>
        <v>4.0463757006659426E-2</v>
      </c>
      <c r="T146" s="397" t="s">
        <v>176</v>
      </c>
      <c r="U146" s="397" t="s">
        <v>465</v>
      </c>
      <c r="V146" s="398"/>
      <c r="W146" s="398"/>
      <c r="X146" s="398">
        <v>1</v>
      </c>
      <c r="Y146" s="399" t="s">
        <v>346</v>
      </c>
      <c r="AB146" s="406"/>
      <c r="AC146" s="403"/>
    </row>
    <row r="150" spans="2:29" ht="14.15" customHeight="1"/>
    <row r="160" spans="2:29" ht="14.15" customHeight="1"/>
    <row r="170" ht="14.15" customHeight="1"/>
    <row r="180" ht="14.15" customHeight="1"/>
    <row r="190" ht="14.15" customHeight="1"/>
    <row r="200" ht="14.15" customHeight="1"/>
  </sheetData>
  <mergeCells count="122"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Q101"/>
    <mergeCell ref="R101:S101"/>
    <mergeCell ref="B31:C50"/>
    <mergeCell ref="V27:V30"/>
    <mergeCell ref="W27:W30"/>
    <mergeCell ref="X27:X30"/>
    <mergeCell ref="Y27:Y30"/>
    <mergeCell ref="AA27:AH29"/>
    <mergeCell ref="B27:C30"/>
    <mergeCell ref="D27:F27"/>
    <mergeCell ref="G27:S27"/>
    <mergeCell ref="T27:T30"/>
    <mergeCell ref="U27:U30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B7:C26"/>
    <mergeCell ref="V3:V6"/>
    <mergeCell ref="W3:W6"/>
    <mergeCell ref="X3:X6"/>
    <mergeCell ref="Y3:Y6"/>
    <mergeCell ref="B2:Y2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Q53"/>
    <mergeCell ref="R53:S53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Q77"/>
    <mergeCell ref="R77:S77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B123:C126"/>
    <mergeCell ref="B127:C146"/>
    <mergeCell ref="D123:F123"/>
    <mergeCell ref="G123:S123"/>
    <mergeCell ref="T123:T126"/>
    <mergeCell ref="U123:U126"/>
    <mergeCell ref="V123:V126"/>
    <mergeCell ref="W123:W126"/>
    <mergeCell ref="X123:X126"/>
    <mergeCell ref="AA138:AH140"/>
    <mergeCell ref="Y123:Y126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Q125"/>
    <mergeCell ref="R125:S125"/>
  </mergeCells>
  <phoneticPr fontId="16" type="noConversion"/>
  <dataValidations count="1">
    <dataValidation type="list" allowBlank="1" showInputMessage="1" showErrorMessage="1" sqref="T1:U1048576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4296875" defaultRowHeight="15.75" customHeight="1"/>
  <cols>
    <col min="1" max="2" width="12.54296875" style="2" customWidth="1"/>
    <col min="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27" t="s">
        <v>12</v>
      </c>
      <c r="D21" s="925"/>
      <c r="E21" s="926"/>
      <c r="F21" s="49" t="s">
        <v>46</v>
      </c>
      <c r="G21" s="49" t="s">
        <v>48</v>
      </c>
      <c r="H21" s="49" t="s">
        <v>49</v>
      </c>
      <c r="I21" s="8" t="s">
        <v>13</v>
      </c>
      <c r="J21" s="940" t="s">
        <v>51</v>
      </c>
      <c r="K21" s="926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29" t="s">
        <v>14</v>
      </c>
      <c r="D22" s="925"/>
      <c r="E22" s="926"/>
      <c r="F22" s="4">
        <v>3</v>
      </c>
      <c r="G22" s="4">
        <v>3000</v>
      </c>
      <c r="H22" s="4">
        <v>1000</v>
      </c>
      <c r="I22" s="4">
        <v>10</v>
      </c>
      <c r="J22" s="928" t="s">
        <v>76</v>
      </c>
      <c r="K22" s="926"/>
      <c r="M22" s="52" t="s">
        <v>26</v>
      </c>
      <c r="N22" s="57" t="s">
        <v>47</v>
      </c>
      <c r="O22" s="935" t="s">
        <v>12</v>
      </c>
      <c r="P22" s="925"/>
      <c r="Q22" s="926"/>
      <c r="R22" s="941" t="s">
        <v>53</v>
      </c>
      <c r="S22" s="925"/>
      <c r="T22" s="926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40" t="s">
        <v>51</v>
      </c>
      <c r="AA22" s="926"/>
    </row>
    <row r="23" spans="1:27" ht="15.75" customHeight="1">
      <c r="A23" s="23"/>
      <c r="B23" s="6">
        <v>2</v>
      </c>
      <c r="C23" s="924"/>
      <c r="D23" s="925"/>
      <c r="E23" s="926"/>
      <c r="F23" s="4"/>
      <c r="G23" s="4"/>
      <c r="H23" s="4"/>
      <c r="I23" s="4"/>
      <c r="J23" s="924"/>
      <c r="K23" s="926"/>
      <c r="M23" s="56" t="s">
        <v>42</v>
      </c>
      <c r="N23" s="24">
        <v>1</v>
      </c>
      <c r="O23" s="928" t="s">
        <v>82</v>
      </c>
      <c r="P23" s="925"/>
      <c r="Q23" s="926"/>
      <c r="R23" s="928" t="s">
        <v>85</v>
      </c>
      <c r="S23" s="925"/>
      <c r="T23" s="926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28" t="s">
        <v>86</v>
      </c>
      <c r="AA23" s="926"/>
    </row>
    <row r="24" spans="1:27" ht="15.75" customHeight="1">
      <c r="A24" s="23"/>
      <c r="B24" s="6">
        <v>3</v>
      </c>
      <c r="C24" s="924"/>
      <c r="D24" s="925"/>
      <c r="E24" s="926"/>
      <c r="F24" s="4"/>
      <c r="G24" s="4"/>
      <c r="H24" s="4"/>
      <c r="I24" s="4"/>
      <c r="J24" s="924"/>
      <c r="K24" s="926"/>
      <c r="M24" s="25"/>
      <c r="N24" s="24">
        <v>2</v>
      </c>
      <c r="O24" s="929"/>
      <c r="P24" s="925"/>
      <c r="Q24" s="926"/>
      <c r="R24" s="929"/>
      <c r="S24" s="925"/>
      <c r="T24" s="926"/>
      <c r="U24" s="4"/>
      <c r="V24" s="14"/>
      <c r="W24" s="4"/>
      <c r="X24" s="16">
        <f t="shared" si="16"/>
        <v>0</v>
      </c>
      <c r="Y24" s="4"/>
      <c r="Z24" s="929"/>
      <c r="AA24" s="926"/>
    </row>
    <row r="25" spans="1:27" ht="15.75" customHeight="1">
      <c r="A25" s="23"/>
      <c r="B25" s="6">
        <v>4</v>
      </c>
      <c r="C25" s="924"/>
      <c r="D25" s="925"/>
      <c r="E25" s="926"/>
      <c r="F25" s="4"/>
      <c r="G25" s="4"/>
      <c r="H25" s="4"/>
      <c r="I25" s="4"/>
      <c r="J25" s="924"/>
      <c r="K25" s="926"/>
      <c r="M25" s="25"/>
      <c r="N25" s="24">
        <v>3</v>
      </c>
      <c r="O25" s="929"/>
      <c r="P25" s="925"/>
      <c r="Q25" s="926"/>
      <c r="R25" s="929"/>
      <c r="S25" s="925"/>
      <c r="T25" s="926"/>
      <c r="U25" s="4"/>
      <c r="V25" s="14"/>
      <c r="W25" s="4"/>
      <c r="X25" s="16">
        <f t="shared" si="16"/>
        <v>0</v>
      </c>
      <c r="Y25" s="4"/>
      <c r="Z25" s="929"/>
      <c r="AA25" s="926"/>
    </row>
    <row r="26" spans="1:27" ht="15.75" customHeight="1">
      <c r="A26" s="23"/>
      <c r="B26" s="26">
        <v>5</v>
      </c>
      <c r="C26" s="938"/>
      <c r="D26" s="934"/>
      <c r="E26" s="931"/>
      <c r="F26" s="27"/>
      <c r="G26" s="27"/>
      <c r="H26" s="27"/>
      <c r="I26" s="27"/>
      <c r="J26" s="938"/>
      <c r="K26" s="931"/>
      <c r="M26" s="25"/>
      <c r="N26" s="24">
        <v>4</v>
      </c>
      <c r="O26" s="929"/>
      <c r="P26" s="925"/>
      <c r="Q26" s="926"/>
      <c r="R26" s="929"/>
      <c r="S26" s="925"/>
      <c r="T26" s="926"/>
      <c r="U26" s="4"/>
      <c r="V26" s="14"/>
      <c r="W26" s="4"/>
      <c r="X26" s="16">
        <f t="shared" si="16"/>
        <v>0</v>
      </c>
      <c r="Y26" s="4"/>
      <c r="Z26" s="929"/>
      <c r="AA26" s="926"/>
    </row>
    <row r="27" spans="1:27" ht="15.75" customHeight="1">
      <c r="A27" s="23"/>
      <c r="B27" s="69" t="s">
        <v>101</v>
      </c>
      <c r="C27" s="932" t="s">
        <v>75</v>
      </c>
      <c r="D27" s="939"/>
      <c r="E27" s="933"/>
      <c r="F27" s="28">
        <v>4</v>
      </c>
      <c r="G27" s="28">
        <v>2800</v>
      </c>
      <c r="H27" s="28">
        <v>700</v>
      </c>
      <c r="I27" s="28" t="s">
        <v>15</v>
      </c>
      <c r="J27" s="932" t="s">
        <v>77</v>
      </c>
      <c r="K27" s="933"/>
      <c r="M27" s="25"/>
      <c r="N27" s="29">
        <v>5</v>
      </c>
      <c r="O27" s="930"/>
      <c r="P27" s="934"/>
      <c r="Q27" s="931"/>
      <c r="R27" s="930"/>
      <c r="S27" s="934"/>
      <c r="T27" s="931"/>
      <c r="U27" s="27"/>
      <c r="V27" s="30"/>
      <c r="W27" s="27"/>
      <c r="X27" s="31">
        <f t="shared" si="16"/>
        <v>0</v>
      </c>
      <c r="Y27" s="4"/>
      <c r="Z27" s="930"/>
      <c r="AA27" s="931"/>
    </row>
    <row r="28" spans="1:27" ht="15.75" customHeight="1">
      <c r="A28" s="23"/>
      <c r="B28" s="70" t="s">
        <v>102</v>
      </c>
      <c r="C28" s="924"/>
      <c r="D28" s="925"/>
      <c r="E28" s="926"/>
      <c r="F28" s="4"/>
      <c r="G28" s="4"/>
      <c r="H28" s="4"/>
      <c r="I28" s="4"/>
      <c r="J28" s="924"/>
      <c r="K28" s="926"/>
      <c r="M28" s="32"/>
      <c r="N28" s="55"/>
      <c r="O28" s="936"/>
      <c r="P28" s="925"/>
      <c r="Q28" s="925"/>
      <c r="R28" s="936"/>
      <c r="S28" s="925"/>
      <c r="T28" s="925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36"/>
      <c r="AA28" s="926"/>
    </row>
    <row r="29" spans="1:27" ht="15.75" customHeight="1">
      <c r="A29" s="23"/>
      <c r="B29" s="70" t="s">
        <v>100</v>
      </c>
      <c r="C29" s="924"/>
      <c r="D29" s="925"/>
      <c r="E29" s="926"/>
      <c r="F29" s="4"/>
      <c r="G29" s="4"/>
      <c r="H29" s="4"/>
      <c r="I29" s="4"/>
      <c r="J29" s="924"/>
      <c r="K29" s="926"/>
      <c r="M29" s="56" t="s">
        <v>43</v>
      </c>
      <c r="N29" s="24">
        <v>1</v>
      </c>
      <c r="O29" s="949" t="s">
        <v>16</v>
      </c>
      <c r="P29" s="945"/>
      <c r="Q29" s="946"/>
      <c r="R29" s="944" t="s">
        <v>87</v>
      </c>
      <c r="S29" s="945"/>
      <c r="T29" s="946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44" t="s">
        <v>88</v>
      </c>
      <c r="AA29" s="946"/>
    </row>
    <row r="30" spans="1:27" ht="15.75" customHeight="1">
      <c r="A30" s="23"/>
      <c r="B30" s="70" t="s">
        <v>99</v>
      </c>
      <c r="C30" s="924"/>
      <c r="D30" s="925"/>
      <c r="E30" s="926"/>
      <c r="F30" s="4"/>
      <c r="G30" s="4"/>
      <c r="H30" s="4"/>
      <c r="I30" s="4"/>
      <c r="J30" s="924"/>
      <c r="K30" s="926"/>
      <c r="M30" s="25"/>
      <c r="N30" s="24">
        <v>2</v>
      </c>
      <c r="O30" s="929"/>
      <c r="P30" s="925"/>
      <c r="Q30" s="926"/>
      <c r="R30" s="929"/>
      <c r="S30" s="925"/>
      <c r="T30" s="926"/>
      <c r="U30" s="4"/>
      <c r="V30" s="14"/>
      <c r="W30" s="4"/>
      <c r="X30" s="16">
        <f t="shared" si="17"/>
        <v>0</v>
      </c>
      <c r="Y30" s="4"/>
      <c r="Z30" s="929"/>
      <c r="AA30" s="926"/>
    </row>
    <row r="31" spans="1:27" ht="15.75" customHeight="1">
      <c r="A31" s="20"/>
      <c r="B31" s="70" t="s">
        <v>103</v>
      </c>
      <c r="C31" s="924"/>
      <c r="D31" s="925"/>
      <c r="E31" s="926"/>
      <c r="F31" s="4"/>
      <c r="G31" s="4"/>
      <c r="H31" s="4"/>
      <c r="I31" s="4"/>
      <c r="J31" s="924"/>
      <c r="K31" s="926"/>
      <c r="M31" s="25"/>
      <c r="N31" s="24">
        <v>3</v>
      </c>
      <c r="O31" s="929"/>
      <c r="P31" s="925"/>
      <c r="Q31" s="926"/>
      <c r="R31" s="929"/>
      <c r="S31" s="925"/>
      <c r="T31" s="926"/>
      <c r="U31" s="4"/>
      <c r="V31" s="14"/>
      <c r="W31" s="4"/>
      <c r="X31" s="16">
        <f t="shared" si="17"/>
        <v>0</v>
      </c>
      <c r="Y31" s="4"/>
      <c r="Z31" s="929"/>
      <c r="AA31" s="926"/>
    </row>
    <row r="32" spans="1:27" ht="15.75" customHeight="1">
      <c r="A32" s="67"/>
      <c r="M32" s="25"/>
      <c r="N32" s="24">
        <v>4</v>
      </c>
      <c r="O32" s="929"/>
      <c r="P32" s="925"/>
      <c r="Q32" s="926"/>
      <c r="R32" s="929"/>
      <c r="S32" s="925"/>
      <c r="T32" s="926"/>
      <c r="U32" s="4"/>
      <c r="V32" s="14"/>
      <c r="W32" s="4"/>
      <c r="X32" s="16">
        <f t="shared" si="17"/>
        <v>0</v>
      </c>
      <c r="Y32" s="4"/>
      <c r="Z32" s="929"/>
      <c r="AA32" s="926"/>
    </row>
    <row r="33" spans="1:27" ht="15.75" customHeight="1">
      <c r="A33" s="18"/>
      <c r="B33" s="49" t="s">
        <v>47</v>
      </c>
      <c r="C33" s="927" t="s">
        <v>12</v>
      </c>
      <c r="D33" s="925"/>
      <c r="E33" s="926"/>
      <c r="F33" s="49" t="s">
        <v>46</v>
      </c>
      <c r="G33" s="49" t="s">
        <v>48</v>
      </c>
      <c r="H33" s="49" t="s">
        <v>49</v>
      </c>
      <c r="I33" s="8" t="s">
        <v>13</v>
      </c>
      <c r="J33" s="940" t="s">
        <v>51</v>
      </c>
      <c r="K33" s="926"/>
      <c r="M33" s="25"/>
      <c r="N33" s="29">
        <v>5</v>
      </c>
      <c r="O33" s="929"/>
      <c r="P33" s="925"/>
      <c r="Q33" s="926"/>
      <c r="R33" s="929"/>
      <c r="S33" s="925"/>
      <c r="T33" s="926"/>
      <c r="U33" s="27"/>
      <c r="V33" s="30"/>
      <c r="W33" s="27"/>
      <c r="X33" s="31">
        <f t="shared" si="17"/>
        <v>0</v>
      </c>
      <c r="Y33" s="4"/>
      <c r="Z33" s="929"/>
      <c r="AA33" s="926"/>
    </row>
    <row r="34" spans="1:27" ht="15.75" customHeight="1">
      <c r="A34" s="52" t="s">
        <v>35</v>
      </c>
      <c r="B34" s="6">
        <v>1</v>
      </c>
      <c r="C34" s="928" t="s">
        <v>79</v>
      </c>
      <c r="D34" s="925"/>
      <c r="E34" s="926"/>
      <c r="F34" s="4">
        <v>3</v>
      </c>
      <c r="G34" s="4">
        <v>2500</v>
      </c>
      <c r="H34" s="4">
        <v>833.33</v>
      </c>
      <c r="I34" s="4">
        <v>20</v>
      </c>
      <c r="J34" s="928" t="s">
        <v>78</v>
      </c>
      <c r="K34" s="926"/>
      <c r="M34" s="68"/>
      <c r="N34" s="45"/>
      <c r="O34" s="936"/>
      <c r="P34" s="925"/>
      <c r="Q34" s="925"/>
      <c r="R34" s="936"/>
      <c r="S34" s="925"/>
      <c r="T34" s="925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36"/>
      <c r="AA34" s="926"/>
    </row>
    <row r="35" spans="1:27" ht="15.75" customHeight="1">
      <c r="A35" s="23"/>
      <c r="B35" s="6">
        <v>2</v>
      </c>
      <c r="C35" s="929"/>
      <c r="D35" s="925"/>
      <c r="E35" s="926"/>
      <c r="F35" s="4"/>
      <c r="G35" s="4"/>
      <c r="H35" s="4"/>
      <c r="I35" s="4"/>
      <c r="J35" s="929"/>
      <c r="K35" s="926"/>
      <c r="M35" s="1"/>
      <c r="N35" s="1"/>
      <c r="O35" s="947"/>
      <c r="P35" s="948"/>
      <c r="Q35" s="948"/>
      <c r="R35" s="947"/>
      <c r="S35" s="948"/>
      <c r="T35" s="948"/>
      <c r="U35" s="1"/>
      <c r="V35" s="38"/>
      <c r="W35" s="1"/>
      <c r="X35" s="1"/>
      <c r="Y35" s="947"/>
      <c r="Z35" s="948"/>
      <c r="AA35" s="948"/>
    </row>
    <row r="36" spans="1:27" ht="15.75" customHeight="1">
      <c r="A36" s="23"/>
      <c r="B36" s="6">
        <v>3</v>
      </c>
      <c r="C36" s="929"/>
      <c r="D36" s="925"/>
      <c r="E36" s="926"/>
      <c r="F36" s="4"/>
      <c r="G36" s="4"/>
      <c r="H36" s="4"/>
      <c r="I36" s="4"/>
      <c r="J36" s="929"/>
      <c r="K36" s="926"/>
      <c r="M36" s="52" t="s">
        <v>27</v>
      </c>
      <c r="N36" s="57" t="s">
        <v>47</v>
      </c>
      <c r="O36" s="935" t="s">
        <v>12</v>
      </c>
      <c r="P36" s="936"/>
      <c r="Q36" s="937"/>
      <c r="R36" s="941" t="s">
        <v>53</v>
      </c>
      <c r="S36" s="942"/>
      <c r="T36" s="943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40" t="s">
        <v>51</v>
      </c>
      <c r="AA36" s="950"/>
    </row>
    <row r="37" spans="1:27" ht="15.75" customHeight="1">
      <c r="A37" s="23"/>
      <c r="B37" s="6">
        <v>4</v>
      </c>
      <c r="C37" s="929"/>
      <c r="D37" s="925"/>
      <c r="E37" s="926"/>
      <c r="F37" s="4"/>
      <c r="G37" s="4"/>
      <c r="H37" s="4"/>
      <c r="I37" s="4"/>
      <c r="J37" s="929"/>
      <c r="K37" s="926"/>
      <c r="M37" s="56" t="s">
        <v>42</v>
      </c>
      <c r="N37" s="24">
        <v>1</v>
      </c>
      <c r="O37" s="928" t="s">
        <v>89</v>
      </c>
      <c r="P37" s="925"/>
      <c r="Q37" s="926"/>
      <c r="R37" s="928" t="s">
        <v>90</v>
      </c>
      <c r="S37" s="925"/>
      <c r="T37" s="926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28" t="s">
        <v>91</v>
      </c>
      <c r="AA37" s="926"/>
    </row>
    <row r="38" spans="1:27" ht="15.75" customHeight="1">
      <c r="A38" s="23"/>
      <c r="B38" s="26">
        <v>5</v>
      </c>
      <c r="C38" s="930"/>
      <c r="D38" s="934"/>
      <c r="E38" s="931"/>
      <c r="F38" s="27"/>
      <c r="G38" s="27"/>
      <c r="H38" s="27"/>
      <c r="I38" s="27"/>
      <c r="J38" s="930"/>
      <c r="K38" s="931"/>
      <c r="M38" s="25"/>
      <c r="N38" s="24">
        <v>2</v>
      </c>
      <c r="O38" s="929"/>
      <c r="P38" s="925"/>
      <c r="Q38" s="926"/>
      <c r="R38" s="929"/>
      <c r="S38" s="925"/>
      <c r="T38" s="926"/>
      <c r="U38" s="4"/>
      <c r="V38" s="14"/>
      <c r="W38" s="4"/>
      <c r="X38" s="16">
        <f t="shared" si="18"/>
        <v>0</v>
      </c>
      <c r="Y38" s="4"/>
      <c r="Z38" s="929"/>
      <c r="AA38" s="926"/>
    </row>
    <row r="39" spans="1:27" ht="14">
      <c r="A39" s="23"/>
      <c r="B39" s="69" t="s">
        <v>101</v>
      </c>
      <c r="C39" s="932" t="s">
        <v>80</v>
      </c>
      <c r="D39" s="939"/>
      <c r="E39" s="933"/>
      <c r="F39" s="28">
        <v>7</v>
      </c>
      <c r="G39" s="28">
        <v>2200</v>
      </c>
      <c r="H39" s="28">
        <v>314.29000000000002</v>
      </c>
      <c r="I39" s="28">
        <v>-15</v>
      </c>
      <c r="J39" s="932" t="s">
        <v>81</v>
      </c>
      <c r="K39" s="933"/>
      <c r="M39" s="25"/>
      <c r="N39" s="24">
        <v>3</v>
      </c>
      <c r="O39" s="929"/>
      <c r="P39" s="925"/>
      <c r="Q39" s="926"/>
      <c r="R39" s="929"/>
      <c r="S39" s="925"/>
      <c r="T39" s="926"/>
      <c r="U39" s="4"/>
      <c r="V39" s="14"/>
      <c r="W39" s="4"/>
      <c r="X39" s="16">
        <f t="shared" si="18"/>
        <v>0</v>
      </c>
      <c r="Y39" s="4"/>
      <c r="Z39" s="929"/>
      <c r="AA39" s="926"/>
    </row>
    <row r="40" spans="1:27" ht="14">
      <c r="A40" s="23"/>
      <c r="B40" s="70" t="s">
        <v>102</v>
      </c>
      <c r="C40" s="929"/>
      <c r="D40" s="925"/>
      <c r="E40" s="926"/>
      <c r="F40" s="4"/>
      <c r="G40" s="4"/>
      <c r="H40" s="4"/>
      <c r="I40" s="4"/>
      <c r="J40" s="929"/>
      <c r="K40" s="926"/>
      <c r="M40" s="25"/>
      <c r="N40" s="24">
        <v>4</v>
      </c>
      <c r="O40" s="929"/>
      <c r="P40" s="925"/>
      <c r="Q40" s="926"/>
      <c r="R40" s="929"/>
      <c r="S40" s="925"/>
      <c r="T40" s="926"/>
      <c r="U40" s="4"/>
      <c r="V40" s="14"/>
      <c r="W40" s="4"/>
      <c r="X40" s="16">
        <f t="shared" si="18"/>
        <v>0</v>
      </c>
      <c r="Y40" s="4"/>
      <c r="Z40" s="929"/>
      <c r="AA40" s="926"/>
    </row>
    <row r="41" spans="1:27" ht="14">
      <c r="A41" s="23"/>
      <c r="B41" s="70" t="s">
        <v>100</v>
      </c>
      <c r="C41" s="929"/>
      <c r="D41" s="925"/>
      <c r="E41" s="926"/>
      <c r="F41" s="4"/>
      <c r="G41" s="4"/>
      <c r="H41" s="4"/>
      <c r="I41" s="4"/>
      <c r="J41" s="929"/>
      <c r="K41" s="926"/>
      <c r="M41" s="25"/>
      <c r="N41" s="29">
        <v>5</v>
      </c>
      <c r="O41" s="930"/>
      <c r="P41" s="934"/>
      <c r="Q41" s="931"/>
      <c r="R41" s="930"/>
      <c r="S41" s="934"/>
      <c r="T41" s="931"/>
      <c r="U41" s="27"/>
      <c r="V41" s="30"/>
      <c r="W41" s="27"/>
      <c r="X41" s="31">
        <f t="shared" si="18"/>
        <v>0</v>
      </c>
      <c r="Y41" s="4"/>
      <c r="Z41" s="929"/>
      <c r="AA41" s="926"/>
    </row>
    <row r="42" spans="1:27" ht="14">
      <c r="A42" s="23"/>
      <c r="B42" s="70" t="s">
        <v>99</v>
      </c>
      <c r="C42" s="929"/>
      <c r="D42" s="925"/>
      <c r="E42" s="926"/>
      <c r="F42" s="4"/>
      <c r="G42" s="4"/>
      <c r="H42" s="4"/>
      <c r="I42" s="4"/>
      <c r="J42" s="929"/>
      <c r="K42" s="926"/>
      <c r="M42" s="32"/>
      <c r="N42" s="54"/>
      <c r="O42" s="936"/>
      <c r="P42" s="925"/>
      <c r="Q42" s="925"/>
      <c r="R42" s="936"/>
      <c r="S42" s="925"/>
      <c r="T42" s="925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36"/>
      <c r="AA42" s="926"/>
    </row>
    <row r="43" spans="1:27" ht="14">
      <c r="A43" s="20"/>
      <c r="B43" s="70" t="s">
        <v>103</v>
      </c>
      <c r="C43" s="929"/>
      <c r="D43" s="925"/>
      <c r="E43" s="926"/>
      <c r="F43" s="4"/>
      <c r="G43" s="4"/>
      <c r="H43" s="4"/>
      <c r="I43" s="4"/>
      <c r="J43" s="929"/>
      <c r="K43" s="926"/>
      <c r="M43" s="56" t="s">
        <v>43</v>
      </c>
      <c r="N43" s="24">
        <v>1</v>
      </c>
      <c r="O43" s="928" t="s">
        <v>89</v>
      </c>
      <c r="P43" s="925"/>
      <c r="Q43" s="926"/>
      <c r="R43" s="944" t="s">
        <v>93</v>
      </c>
      <c r="S43" s="945"/>
      <c r="T43" s="946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28" t="s">
        <v>92</v>
      </c>
      <c r="AA43" s="926"/>
    </row>
    <row r="44" spans="1:27" ht="14">
      <c r="A44" s="67"/>
      <c r="M44" s="25"/>
      <c r="N44" s="24">
        <v>2</v>
      </c>
      <c r="O44" s="929"/>
      <c r="P44" s="925"/>
      <c r="Q44" s="926"/>
      <c r="R44" s="929"/>
      <c r="S44" s="925"/>
      <c r="T44" s="926"/>
      <c r="U44" s="4"/>
      <c r="V44" s="14"/>
      <c r="W44" s="4"/>
      <c r="X44" s="37">
        <f t="shared" si="19"/>
        <v>0</v>
      </c>
      <c r="Y44" s="4"/>
      <c r="Z44" s="929"/>
      <c r="AA44" s="926"/>
    </row>
    <row r="45" spans="1:27" ht="14">
      <c r="A45" s="18"/>
      <c r="B45" s="49" t="s">
        <v>47</v>
      </c>
      <c r="C45" s="927" t="s">
        <v>12</v>
      </c>
      <c r="D45" s="925"/>
      <c r="E45" s="926"/>
      <c r="F45" s="49" t="s">
        <v>46</v>
      </c>
      <c r="G45" s="49" t="s">
        <v>48</v>
      </c>
      <c r="H45" s="49" t="s">
        <v>49</v>
      </c>
      <c r="I45" s="8" t="s">
        <v>13</v>
      </c>
      <c r="J45" s="940" t="s">
        <v>51</v>
      </c>
      <c r="K45" s="926"/>
      <c r="M45" s="25"/>
      <c r="N45" s="24">
        <v>3</v>
      </c>
      <c r="O45" s="929"/>
      <c r="P45" s="925"/>
      <c r="Q45" s="926"/>
      <c r="R45" s="929"/>
      <c r="S45" s="925"/>
      <c r="T45" s="926"/>
      <c r="U45" s="4"/>
      <c r="V45" s="14"/>
      <c r="W45" s="4"/>
      <c r="X45" s="37">
        <f t="shared" si="19"/>
        <v>0</v>
      </c>
      <c r="Y45" s="4"/>
      <c r="Z45" s="929"/>
      <c r="AA45" s="926"/>
    </row>
    <row r="46" spans="1:27" ht="14">
      <c r="A46" s="52" t="s">
        <v>36</v>
      </c>
      <c r="B46" s="6">
        <v>1</v>
      </c>
      <c r="C46" s="928" t="s">
        <v>82</v>
      </c>
      <c r="D46" s="925"/>
      <c r="E46" s="926"/>
      <c r="F46" s="4">
        <v>15</v>
      </c>
      <c r="G46" s="4">
        <v>1200</v>
      </c>
      <c r="H46" s="4">
        <v>80</v>
      </c>
      <c r="I46" s="4">
        <v>5</v>
      </c>
      <c r="J46" s="928" t="s">
        <v>83</v>
      </c>
      <c r="K46" s="926"/>
      <c r="M46" s="25"/>
      <c r="N46" s="24">
        <v>4</v>
      </c>
      <c r="O46" s="929"/>
      <c r="P46" s="925"/>
      <c r="Q46" s="926"/>
      <c r="R46" s="929"/>
      <c r="S46" s="925"/>
      <c r="T46" s="926"/>
      <c r="U46" s="4"/>
      <c r="V46" s="14"/>
      <c r="W46" s="4"/>
      <c r="X46" s="37">
        <f t="shared" si="19"/>
        <v>0</v>
      </c>
      <c r="Y46" s="4"/>
      <c r="Z46" s="929"/>
      <c r="AA46" s="926"/>
    </row>
    <row r="47" spans="1:27" ht="14">
      <c r="A47" s="23"/>
      <c r="B47" s="6">
        <v>2</v>
      </c>
      <c r="C47" s="929"/>
      <c r="D47" s="925"/>
      <c r="E47" s="926"/>
      <c r="F47" s="4"/>
      <c r="G47" s="4"/>
      <c r="H47" s="4"/>
      <c r="I47" s="4"/>
      <c r="J47" s="929"/>
      <c r="K47" s="926"/>
      <c r="M47" s="25"/>
      <c r="N47" s="29">
        <v>5</v>
      </c>
      <c r="O47" s="929"/>
      <c r="P47" s="925"/>
      <c r="Q47" s="926"/>
      <c r="R47" s="929"/>
      <c r="S47" s="925"/>
      <c r="T47" s="926"/>
      <c r="U47" s="27"/>
      <c r="V47" s="30"/>
      <c r="W47" s="27"/>
      <c r="X47" s="40">
        <f t="shared" si="19"/>
        <v>0</v>
      </c>
      <c r="Y47" s="4"/>
      <c r="Z47" s="929"/>
      <c r="AA47" s="926"/>
    </row>
    <row r="48" spans="1:27" ht="14">
      <c r="A48" s="23"/>
      <c r="B48" s="6">
        <v>3</v>
      </c>
      <c r="C48" s="929"/>
      <c r="D48" s="925"/>
      <c r="E48" s="926"/>
      <c r="F48" s="4"/>
      <c r="G48" s="4"/>
      <c r="H48" s="4"/>
      <c r="I48" s="4"/>
      <c r="J48" s="929"/>
      <c r="K48" s="926"/>
      <c r="M48" s="68"/>
      <c r="N48" s="45"/>
      <c r="O48" s="936"/>
      <c r="P48" s="925"/>
      <c r="Q48" s="925"/>
      <c r="R48" s="936"/>
      <c r="S48" s="925"/>
      <c r="T48" s="925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36"/>
      <c r="AA48" s="926"/>
    </row>
    <row r="49" spans="1:27" ht="14">
      <c r="A49" s="23"/>
      <c r="B49" s="6">
        <v>4</v>
      </c>
      <c r="C49" s="929"/>
      <c r="D49" s="925"/>
      <c r="E49" s="926"/>
      <c r="F49" s="4"/>
      <c r="G49" s="4"/>
      <c r="H49" s="4"/>
      <c r="I49" s="4"/>
      <c r="J49" s="929"/>
      <c r="K49" s="926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930"/>
      <c r="D50" s="934"/>
      <c r="E50" s="931"/>
      <c r="F50" s="27"/>
      <c r="G50" s="27"/>
      <c r="H50" s="27"/>
      <c r="I50" s="27"/>
      <c r="J50" s="930"/>
      <c r="K50" s="931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101</v>
      </c>
      <c r="C51" s="932" t="s">
        <v>89</v>
      </c>
      <c r="D51" s="939"/>
      <c r="E51" s="933"/>
      <c r="F51" s="28">
        <v>18</v>
      </c>
      <c r="G51" s="28">
        <v>800</v>
      </c>
      <c r="H51" s="28">
        <v>44.44</v>
      </c>
      <c r="I51" s="28">
        <v>-15</v>
      </c>
      <c r="J51" s="932" t="s">
        <v>84</v>
      </c>
      <c r="K51" s="933"/>
      <c r="M51" s="8"/>
      <c r="N51" s="8" t="s">
        <v>18</v>
      </c>
      <c r="O51" s="935" t="s">
        <v>12</v>
      </c>
      <c r="P51" s="936"/>
      <c r="Q51" s="937"/>
      <c r="R51" s="941" t="s">
        <v>53</v>
      </c>
      <c r="S51" s="942"/>
      <c r="T51" s="943"/>
      <c r="U51" s="57" t="s">
        <v>54</v>
      </c>
      <c r="V51" s="39" t="s">
        <v>19</v>
      </c>
      <c r="W51" s="57" t="s">
        <v>57</v>
      </c>
      <c r="X51" s="8" t="s">
        <v>2</v>
      </c>
      <c r="Y51" s="935" t="s">
        <v>50</v>
      </c>
      <c r="Z51" s="936"/>
      <c r="AA51" s="937"/>
    </row>
    <row r="52" spans="1:27" ht="14">
      <c r="A52" s="23"/>
      <c r="B52" s="70" t="s">
        <v>102</v>
      </c>
      <c r="C52" s="929"/>
      <c r="D52" s="925"/>
      <c r="E52" s="926"/>
      <c r="F52" s="4"/>
      <c r="G52" s="4"/>
      <c r="H52" s="4"/>
      <c r="I52" s="4"/>
      <c r="J52" s="929"/>
      <c r="K52" s="926"/>
      <c r="M52" s="56" t="s">
        <v>42</v>
      </c>
      <c r="N52" s="24">
        <v>1</v>
      </c>
      <c r="O52" s="928" t="s">
        <v>89</v>
      </c>
      <c r="P52" s="925"/>
      <c r="Q52" s="926"/>
      <c r="R52" s="944" t="s">
        <v>93</v>
      </c>
      <c r="S52" s="945"/>
      <c r="T52" s="946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28" t="s">
        <v>97</v>
      </c>
      <c r="Z52" s="925"/>
      <c r="AA52" s="926"/>
    </row>
    <row r="53" spans="1:27" ht="14">
      <c r="A53" s="23"/>
      <c r="B53" s="70" t="s">
        <v>100</v>
      </c>
      <c r="C53" s="929"/>
      <c r="D53" s="925"/>
      <c r="E53" s="926"/>
      <c r="F53" s="4"/>
      <c r="G53" s="4"/>
      <c r="H53" s="4"/>
      <c r="I53" s="4"/>
      <c r="J53" s="929"/>
      <c r="K53" s="926"/>
      <c r="M53" s="25"/>
      <c r="N53" s="29">
        <v>2</v>
      </c>
      <c r="O53" s="930"/>
      <c r="P53" s="934"/>
      <c r="Q53" s="931"/>
      <c r="R53" s="930"/>
      <c r="S53" s="934"/>
      <c r="T53" s="931"/>
      <c r="U53" s="27"/>
      <c r="V53" s="30"/>
      <c r="W53" s="30"/>
      <c r="X53" s="41">
        <f t="shared" si="20"/>
        <v>0</v>
      </c>
      <c r="Y53" s="930"/>
      <c r="Z53" s="934"/>
      <c r="AA53" s="931"/>
    </row>
    <row r="54" spans="1:27" ht="14">
      <c r="A54" s="23"/>
      <c r="B54" s="70" t="s">
        <v>99</v>
      </c>
      <c r="C54" s="929"/>
      <c r="D54" s="925"/>
      <c r="E54" s="926"/>
      <c r="F54" s="4"/>
      <c r="G54" s="4"/>
      <c r="H54" s="4"/>
      <c r="I54" s="4"/>
      <c r="J54" s="929"/>
      <c r="K54" s="926"/>
      <c r="M54" s="56" t="s">
        <v>43</v>
      </c>
      <c r="N54" s="42">
        <v>1</v>
      </c>
      <c r="O54" s="932" t="s">
        <v>94</v>
      </c>
      <c r="P54" s="939"/>
      <c r="Q54" s="933"/>
      <c r="R54" s="932" t="s">
        <v>95</v>
      </c>
      <c r="S54" s="939"/>
      <c r="T54" s="933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32" t="s">
        <v>96</v>
      </c>
      <c r="Z54" s="939"/>
      <c r="AA54" s="933"/>
    </row>
    <row r="55" spans="1:27" ht="14">
      <c r="A55" s="20"/>
      <c r="B55" s="70" t="s">
        <v>103</v>
      </c>
      <c r="C55" s="929"/>
      <c r="D55" s="925"/>
      <c r="E55" s="926"/>
      <c r="F55" s="4"/>
      <c r="G55" s="4"/>
      <c r="H55" s="4"/>
      <c r="I55" s="4"/>
      <c r="J55" s="929"/>
      <c r="K55" s="926"/>
      <c r="M55" s="22"/>
      <c r="N55" s="24">
        <v>2</v>
      </c>
      <c r="O55" s="929"/>
      <c r="P55" s="925"/>
      <c r="Q55" s="926"/>
      <c r="R55" s="929"/>
      <c r="S55" s="925"/>
      <c r="T55" s="926"/>
      <c r="U55" s="4"/>
      <c r="V55" s="14"/>
      <c r="W55" s="14"/>
      <c r="X55" s="13">
        <f t="shared" si="20"/>
        <v>0</v>
      </c>
      <c r="Y55" s="929"/>
      <c r="Z55" s="925"/>
      <c r="AA55" s="926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3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265625" defaultRowHeight="14"/>
  <cols>
    <col min="1" max="2" width="8.7265625" style="149"/>
    <col min="3" max="3" width="14" style="149" bestFit="1" customWidth="1"/>
    <col min="4" max="4" width="0.26953125" style="149" customWidth="1"/>
    <col min="5" max="5" width="8.7265625" style="149"/>
    <col min="6" max="6" width="16.26953125" style="149" bestFit="1" customWidth="1"/>
    <col min="7" max="16384" width="8.7265625" style="149"/>
  </cols>
  <sheetData>
    <row r="2" spans="2:7" ht="15.5">
      <c r="B2" s="951" t="s">
        <v>257</v>
      </c>
      <c r="C2" s="951"/>
      <c r="D2" s="951"/>
      <c r="E2" s="951"/>
      <c r="F2" s="951"/>
    </row>
    <row r="3" spans="2:7" ht="14.5">
      <c r="B3" s="150" t="s">
        <v>258</v>
      </c>
      <c r="C3" s="150" t="s">
        <v>259</v>
      </c>
      <c r="D3" s="151"/>
      <c r="E3" s="150" t="s">
        <v>260</v>
      </c>
      <c r="F3" s="150" t="s">
        <v>261</v>
      </c>
      <c r="G3" s="151"/>
    </row>
    <row r="4" spans="2:7" ht="14.5">
      <c r="B4" s="152" t="s">
        <v>262</v>
      </c>
      <c r="C4" s="152" t="s">
        <v>263</v>
      </c>
      <c r="D4" s="151"/>
      <c r="E4" s="152" t="s">
        <v>264</v>
      </c>
      <c r="F4" s="152" t="s">
        <v>265</v>
      </c>
      <c r="G4" s="151"/>
    </row>
    <row r="5" spans="2:7" ht="14.5">
      <c r="B5" s="152" t="s">
        <v>266</v>
      </c>
      <c r="C5" s="152" t="s">
        <v>267</v>
      </c>
      <c r="D5" s="151"/>
      <c r="E5" s="152" t="s">
        <v>268</v>
      </c>
      <c r="F5" s="152" t="s">
        <v>269</v>
      </c>
      <c r="G5" s="151"/>
    </row>
    <row r="6" spans="2:7" ht="14.5">
      <c r="B6" s="152" t="s">
        <v>270</v>
      </c>
      <c r="C6" s="152" t="s">
        <v>271</v>
      </c>
      <c r="D6" s="151"/>
      <c r="E6" s="153" t="s">
        <v>272</v>
      </c>
      <c r="F6" s="153" t="s">
        <v>142</v>
      </c>
      <c r="G6" s="151"/>
    </row>
    <row r="7" spans="2:7" ht="14.5">
      <c r="B7" s="153" t="s">
        <v>273</v>
      </c>
      <c r="C7" s="153" t="s">
        <v>274</v>
      </c>
      <c r="D7" s="151"/>
      <c r="E7" s="152" t="s">
        <v>275</v>
      </c>
      <c r="F7" s="152" t="s">
        <v>276</v>
      </c>
      <c r="G7" s="151"/>
    </row>
    <row r="8" spans="2:7" ht="14.5">
      <c r="B8" s="152" t="s">
        <v>277</v>
      </c>
      <c r="C8" s="152" t="s">
        <v>278</v>
      </c>
      <c r="D8" s="151"/>
      <c r="E8" s="152" t="s">
        <v>279</v>
      </c>
      <c r="F8" s="152" t="s">
        <v>280</v>
      </c>
      <c r="G8" s="151"/>
    </row>
    <row r="9" spans="2:7" ht="14.5">
      <c r="B9" s="152" t="s">
        <v>281</v>
      </c>
      <c r="C9" s="152" t="s">
        <v>282</v>
      </c>
      <c r="D9" s="151"/>
      <c r="E9" s="153" t="s">
        <v>283</v>
      </c>
      <c r="F9" s="153" t="s">
        <v>141</v>
      </c>
      <c r="G9" s="151"/>
    </row>
    <row r="10" spans="2:7" ht="14.5">
      <c r="B10" s="152" t="s">
        <v>284</v>
      </c>
      <c r="C10" s="152" t="s">
        <v>285</v>
      </c>
      <c r="D10" s="151"/>
      <c r="E10" s="152" t="s">
        <v>286</v>
      </c>
      <c r="F10" s="152" t="s">
        <v>287</v>
      </c>
      <c r="G10" s="151"/>
    </row>
    <row r="11" spans="2:7" ht="14.5">
      <c r="B11" s="152" t="s">
        <v>288</v>
      </c>
      <c r="C11" s="152" t="s">
        <v>289</v>
      </c>
      <c r="D11" s="151"/>
      <c r="E11" s="152" t="s">
        <v>290</v>
      </c>
      <c r="F11" s="152" t="s">
        <v>280</v>
      </c>
      <c r="G11" s="151"/>
    </row>
    <row r="12" spans="2:7" ht="14.5">
      <c r="B12" s="152" t="s">
        <v>291</v>
      </c>
      <c r="C12" s="152" t="s">
        <v>292</v>
      </c>
      <c r="D12" s="151"/>
      <c r="E12" s="152" t="s">
        <v>293</v>
      </c>
      <c r="F12" s="152" t="s">
        <v>294</v>
      </c>
      <c r="G12" s="151"/>
    </row>
    <row r="13" spans="2:7" ht="14.5">
      <c r="B13" s="153" t="s">
        <v>295</v>
      </c>
      <c r="C13" s="153" t="s">
        <v>137</v>
      </c>
      <c r="D13" s="151"/>
      <c r="E13" s="152" t="s">
        <v>296</v>
      </c>
      <c r="F13" s="152" t="s">
        <v>297</v>
      </c>
      <c r="G13" s="151"/>
    </row>
    <row r="14" spans="2:7" ht="14.5">
      <c r="B14" s="152" t="s">
        <v>298</v>
      </c>
      <c r="C14" s="152" t="s">
        <v>299</v>
      </c>
      <c r="D14" s="151"/>
      <c r="E14" s="153" t="s">
        <v>300</v>
      </c>
      <c r="F14" s="153" t="s">
        <v>301</v>
      </c>
      <c r="G14" s="151"/>
    </row>
    <row r="15" spans="2:7" ht="14.5">
      <c r="B15" s="153" t="s">
        <v>302</v>
      </c>
      <c r="C15" s="153" t="s">
        <v>303</v>
      </c>
      <c r="D15" s="151"/>
      <c r="E15" s="152" t="s">
        <v>304</v>
      </c>
      <c r="F15" s="152" t="s">
        <v>301</v>
      </c>
      <c r="G15" s="151"/>
    </row>
    <row r="16" spans="2:7" ht="14.5">
      <c r="B16" s="152" t="s">
        <v>305</v>
      </c>
      <c r="C16" s="152" t="s">
        <v>306</v>
      </c>
      <c r="D16" s="151"/>
      <c r="E16" s="153" t="s">
        <v>307</v>
      </c>
      <c r="F16" s="153" t="s">
        <v>308</v>
      </c>
      <c r="G16" s="151"/>
    </row>
    <row r="17" spans="2:7" ht="14.5">
      <c r="B17" s="152" t="s">
        <v>309</v>
      </c>
      <c r="C17" s="152" t="s">
        <v>310</v>
      </c>
      <c r="D17" s="151"/>
      <c r="E17" s="152" t="s">
        <v>311</v>
      </c>
      <c r="F17" s="152" t="s">
        <v>312</v>
      </c>
      <c r="G17" s="151"/>
    </row>
    <row r="18" spans="2:7" ht="14.5">
      <c r="B18" s="152" t="s">
        <v>313</v>
      </c>
      <c r="C18" s="152" t="s">
        <v>314</v>
      </c>
      <c r="D18" s="151"/>
      <c r="E18" s="152" t="s">
        <v>315</v>
      </c>
      <c r="F18" s="152" t="s">
        <v>316</v>
      </c>
      <c r="G18" s="151"/>
    </row>
    <row r="19" spans="2:7" ht="14.5">
      <c r="B19" s="152" t="s">
        <v>317</v>
      </c>
      <c r="C19" s="152" t="s">
        <v>318</v>
      </c>
      <c r="D19" s="151"/>
      <c r="E19" s="152" t="s">
        <v>319</v>
      </c>
      <c r="F19" s="152" t="s">
        <v>320</v>
      </c>
      <c r="G19" s="151"/>
    </row>
    <row r="20" spans="2:7" ht="14.5">
      <c r="B20" s="152" t="s">
        <v>321</v>
      </c>
      <c r="C20" s="152" t="s">
        <v>322</v>
      </c>
      <c r="D20" s="151"/>
      <c r="G20" s="151"/>
    </row>
    <row r="21" spans="2:7" ht="14.5">
      <c r="D21" s="151"/>
      <c r="G21" s="151"/>
    </row>
    <row r="22" spans="2:7" ht="14.5">
      <c r="D22" s="151"/>
      <c r="G22" s="151"/>
    </row>
    <row r="23" spans="2:7" ht="14.5">
      <c r="D23" s="151"/>
      <c r="G23" s="151"/>
    </row>
  </sheetData>
  <mergeCells count="1">
    <mergeCell ref="B2:F2"/>
  </mergeCells>
  <phoneticPr fontId="16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3:B10"/>
  <sheetViews>
    <sheetView workbookViewId="0">
      <selection activeCell="E23" sqref="E23"/>
    </sheetView>
  </sheetViews>
  <sheetFormatPr defaultRowHeight="12.5"/>
  <sheetData>
    <row r="3" spans="1:2" ht="14">
      <c r="A3">
        <v>1</v>
      </c>
      <c r="B3" s="149" t="s">
        <v>376</v>
      </c>
    </row>
    <row r="4" spans="1:2" ht="14">
      <c r="A4">
        <v>2</v>
      </c>
      <c r="B4" s="149" t="s">
        <v>397</v>
      </c>
    </row>
    <row r="5" spans="1:2" ht="14">
      <c r="A5">
        <v>3</v>
      </c>
      <c r="B5" s="149" t="s">
        <v>341</v>
      </c>
    </row>
    <row r="6" spans="1:2" ht="14">
      <c r="A6">
        <v>4</v>
      </c>
      <c r="B6" s="149" t="s">
        <v>216</v>
      </c>
    </row>
    <row r="7" spans="1:2" ht="14">
      <c r="A7">
        <v>5</v>
      </c>
      <c r="B7" s="149" t="s">
        <v>217</v>
      </c>
    </row>
    <row r="8" spans="1:2" ht="14">
      <c r="A8">
        <v>6</v>
      </c>
      <c r="B8" s="149" t="s">
        <v>218</v>
      </c>
    </row>
    <row r="9" spans="1:2" ht="14">
      <c r="A9">
        <v>7</v>
      </c>
      <c r="B9" s="149" t="s">
        <v>398</v>
      </c>
    </row>
    <row r="10" spans="1:2" ht="14">
      <c r="A10">
        <v>8</v>
      </c>
      <c r="B10" s="149" t="s">
        <v>399</v>
      </c>
    </row>
  </sheetData>
  <phoneticPr fontId="1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381B74C-EC3E-4057-8EF9-01AF8DAD9F94}"/>
</file>

<file path=customXml/itemProps3.xml><?xml version="1.0" encoding="utf-8"?>
<ds:datastoreItem xmlns:ds="http://schemas.openxmlformats.org/officeDocument/2006/customXml" ds:itemID="{C325B24F-F43C-4D8E-AC1E-83C88CC832B0}"/>
</file>

<file path=customXml/itemProps4.xml><?xml version="1.0" encoding="utf-8"?>
<ds:datastoreItem xmlns:ds="http://schemas.openxmlformats.org/officeDocument/2006/customXml" ds:itemID="{BD0C1E79-3703-4002-915B-EBB0EEAF72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已命名的範圍</vt:lpstr>
      </vt:variant>
      <vt:variant>
        <vt:i4>18</vt:i4>
      </vt:variant>
    </vt:vector>
  </HeadingPairs>
  <TitlesOfParts>
    <vt:vector size="56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2025-12-24T07:22:09Z</cp:lastPrinted>
  <dcterms:created xsi:type="dcterms:W3CDTF">2025-07-03T16:36:59Z</dcterms:created>
  <dcterms:modified xsi:type="dcterms:W3CDTF">2026-04-09T08:16:30Z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