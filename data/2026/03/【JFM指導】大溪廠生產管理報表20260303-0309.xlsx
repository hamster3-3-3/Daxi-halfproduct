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styles.xml" ContentType="application/vnd.openxmlformats-officedocument.spreadsheetml.styles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2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J\3廠廢棄\井上先生表\"/>
    </mc:Choice>
  </mc:AlternateContent>
  <bookViews>
    <workbookView xWindow="-120" yWindow="-120" windowWidth="29040" windowHeight="15720" tabRatio="866" firstSheet="1" activeTab="1"/>
  </bookViews>
  <sheets>
    <sheet name="生產管理報表(月)" sheetId="13" state="hidden" r:id="rId1"/>
    <sheet name="生產管理報表(週) " sheetId="39" r:id="rId2"/>
    <sheet name="（１）收支狀況" sheetId="3" r:id="rId3"/>
    <sheet name="（２）ＫＰＩ達成進度" sheetId="5" r:id="rId4"/>
    <sheet name="（３）業績構成比" sheetId="7" r:id="rId5"/>
    <sheet name="（４）訂單數量構成比" sheetId="6" r:id="rId6"/>
    <sheet name="（５-1）品群別人時生產性(18℃-飯糰)" sheetId="44" r:id="rId7"/>
    <sheet name="（５-2）品群別人時生產性(18℃-壽司手卷)" sheetId="45" r:id="rId8"/>
    <sheet name="（５-3）品群別人時生產性(4℃-飯糰)" sheetId="46" r:id="rId9"/>
    <sheet name="（５-4）品群別人時生產性(4℃-壽司手卷)" sheetId="47" r:id="rId10"/>
    <sheet name="（５-5）品群別人時生產性(微波主食) " sheetId="48" r:id="rId11"/>
    <sheet name="（５-6）品群別人時生產性(便當)" sheetId="49" r:id="rId12"/>
    <sheet name="（５-7）品群別人時生產性(熱食義麵) " sheetId="50" r:id="rId13"/>
    <sheet name="（５-8）品群別人時生產性(季節調理麵) " sheetId="51" r:id="rId14"/>
    <sheet name="（５-9）品群別人時生產性(微波小吃)" sheetId="52" r:id="rId15"/>
    <sheet name="生產管理報表 6-1" sheetId="15" r:id="rId16"/>
    <sheet name="生產管理報表 6-2" sheetId="22" r:id="rId17"/>
    <sheet name="生產管理報表 6-3" sheetId="23" r:id="rId18"/>
    <sheet name="生產管理報表 6-4" sheetId="24" r:id="rId19"/>
    <sheet name="生產管理報表 6-5" sheetId="25" r:id="rId20"/>
    <sheet name="生產管理報表 7-1(月)" sheetId="40" state="hidden" r:id="rId21"/>
    <sheet name="生產管理報表 8-1(月報廢)" sheetId="57" state="hidden" r:id="rId22"/>
    <sheet name="生產管理報表 8-2(月報廢)" sheetId="58" state="hidden" r:id="rId23"/>
    <sheet name="生產管理報表 8-3(月超用)" sheetId="59" state="hidden" r:id="rId24"/>
    <sheet name="生產管理報表 8-4(月超用)" sheetId="60" state="hidden" r:id="rId25"/>
    <sheet name="生產管理報表 7-1 (週)" sheetId="41" r:id="rId26"/>
    <sheet name="生產管理報表 8-5(週報廢)" sheetId="19" r:id="rId27"/>
    <sheet name="生產管理報表 8-6(週報廢)" sheetId="20" r:id="rId28"/>
    <sheet name="生產管理報表 8-7(週超用)" sheetId="61" r:id="rId29"/>
    <sheet name="生產管理報表 8-8(週超用) " sheetId="62" r:id="rId30"/>
    <sheet name="生產管理報表 9" sheetId="21" r:id="rId31"/>
    <sheet name="日別報廢率總表" sheetId="56" r:id="rId32"/>
    <sheet name="報廢20大－原因別分析" sheetId="63" r:id="rId33"/>
    <sheet name="超用20大－原因別分析" sheetId="64" r:id="rId34"/>
    <sheet name="填寫舉例" sheetId="1" r:id="rId35"/>
    <sheet name="鮮食品群番" sheetId="38" r:id="rId36"/>
    <sheet name="下拉式選單" sheetId="54" r:id="rId37"/>
  </sheets>
  <definedNames>
    <definedName name="_xlnm._FilterDatabase" localSheetId="6" hidden="1">'（５-1）品群別人時生產性(18℃-飯糰)'!#REF!</definedName>
    <definedName name="_xlnm._FilterDatabase" localSheetId="7" hidden="1">'（５-2）品群別人時生產性(18℃-壽司手卷)'!#REF!</definedName>
    <definedName name="_xlnm._FilterDatabase" localSheetId="8" hidden="1">'（５-3）品群別人時生產性(4℃-飯糰)'!#REF!</definedName>
    <definedName name="_xlnm._FilterDatabase" localSheetId="9" hidden="1">'（５-4）品群別人時生產性(4℃-壽司手卷)'!#REF!</definedName>
    <definedName name="_xlnm._FilterDatabase" localSheetId="10" hidden="1">'（５-5）品群別人時生產性(微波主食) '!#REF!</definedName>
    <definedName name="_xlnm._FilterDatabase" localSheetId="11" hidden="1">'（５-6）品群別人時生產性(便當)'!#REF!</definedName>
    <definedName name="_xlnm._FilterDatabase" localSheetId="12" hidden="1">'（５-7）品群別人時生產性(熱食義麵) '!#REF!</definedName>
    <definedName name="_xlnm._FilterDatabase" localSheetId="13" hidden="1">'（５-8）品群別人時生產性(季節調理麵) '!#REF!</definedName>
    <definedName name="_xlnm._FilterDatabase" localSheetId="14" hidden="1">'（５-9）品群別人時生產性(微波小吃)'!#REF!</definedName>
    <definedName name="_xlnm._FilterDatabase" localSheetId="21" hidden="1">#REF!</definedName>
    <definedName name="_xlnm._FilterDatabase" localSheetId="23" hidden="1">#REF!</definedName>
    <definedName name="_xlnm._FilterDatabase" localSheetId="26" hidden="1">#REF!</definedName>
    <definedName name="_xlnm._FilterDatabase" localSheetId="28" hidden="1">#REF!</definedName>
    <definedName name="_xlnm._FilterDatabase" localSheetId="32" hidden="1">'報廢20大－原因別分析'!#REF!</definedName>
    <definedName name="_xlnm._FilterDatabase" localSheetId="33" hidden="1">'超用20大－原因別分析'!#REF!</definedName>
    <definedName name="_xlnm.Print_Area" localSheetId="15">'生產管理報表 6-1'!$A$1:$L$54</definedName>
    <definedName name="_xlnm.Print_Area" localSheetId="16">'生產管理報表 6-2'!$A$1:$L$54</definedName>
    <definedName name="_xlnm.Print_Area" localSheetId="17">'生產管理報表 6-3'!$A$1:$L$54</definedName>
    <definedName name="_xlnm.Print_Area" localSheetId="18">'生產管理報表 6-4'!$A$1:$L$54</definedName>
    <definedName name="_xlnm.Print_Area" localSheetId="19">'生產管理報表 6-5'!$A$1:$L$54</definedName>
    <definedName name="_xlnm.Print_Area" localSheetId="25">'生產管理報表 7-1 (週)'!$A$1:$M$70</definedName>
    <definedName name="_xlnm.Print_Area" localSheetId="20">'生產管理報表 7-1(月)'!$A$1:$M$15</definedName>
    <definedName name="_xlnm.Print_Area" localSheetId="21">'生產管理報表 8-1(月報廢)'!$A$1:$P$30</definedName>
    <definedName name="_xlnm.Print_Area" localSheetId="22">'生產管理報表 8-2(月報廢)'!$A$1:$P$38</definedName>
    <definedName name="_xlnm.Print_Area" localSheetId="23">'生產管理報表 8-3(月超用)'!$A$1:$Q$30</definedName>
    <definedName name="_xlnm.Print_Area" localSheetId="24">'生產管理報表 8-4(月超用)'!$A$1:$P$38</definedName>
    <definedName name="_xlnm.Print_Area" localSheetId="26">'生產管理報表 8-5(週報廢)'!$A$1:$Q$30</definedName>
    <definedName name="_xlnm.Print_Area" localSheetId="27">'生產管理報表 8-6(週報廢)'!$A$1:$P$38</definedName>
    <definedName name="_xlnm.Print_Area" localSheetId="28">'生產管理報表 8-7(週超用)'!$A$1:$Q$30</definedName>
    <definedName name="_xlnm.Print_Area" localSheetId="29">'生產管理報表 8-8(週超用) '!$A$1:$P$30</definedName>
    <definedName name="_xlnm.Print_Area" localSheetId="30">'生產管理報表 9'!#REF!</definedName>
    <definedName name="_xlnm.Print_Area" localSheetId="0">'生產管理報表(月)'!$A$1:$K$36</definedName>
    <definedName name="_xlnm.Print_Area" localSheetId="1">'生產管理報表(週) '!$A$1:$K$36</definedName>
    <definedName name="_xlnm.Print_Area" localSheetId="35">鮮食品群番!$B$2:$F$20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I6" i="39"/>
  <c r="H10" i="5"/>
  <c r="C21" i="41" l="1"/>
  <c r="C20" i="41"/>
  <c r="M39" i="56" l="1"/>
  <c r="N39" i="56"/>
  <c r="L11" i="56"/>
  <c r="L12" i="56"/>
  <c r="L13" i="56"/>
  <c r="L14" i="56"/>
  <c r="L15" i="56"/>
  <c r="L16" i="56"/>
  <c r="L17" i="56"/>
  <c r="L18" i="56"/>
  <c r="L19" i="56"/>
  <c r="L20" i="56"/>
  <c r="L21" i="56"/>
  <c r="L22" i="56"/>
  <c r="L23" i="56"/>
  <c r="L24" i="56"/>
  <c r="L25" i="56"/>
  <c r="L26" i="56"/>
  <c r="L27" i="56"/>
  <c r="L28" i="56"/>
  <c r="L29" i="56"/>
  <c r="L30" i="56"/>
  <c r="L31" i="56"/>
  <c r="L32" i="56"/>
  <c r="L33" i="56"/>
  <c r="L34" i="56"/>
  <c r="L35" i="56"/>
  <c r="L36" i="56"/>
  <c r="L37" i="56"/>
  <c r="L38" i="56"/>
  <c r="L39" i="56"/>
  <c r="L40" i="56"/>
  <c r="L41" i="56"/>
  <c r="L42" i="56"/>
  <c r="L43" i="56"/>
  <c r="L44" i="56"/>
  <c r="L45" i="56"/>
  <c r="J11" i="56"/>
  <c r="J12" i="56"/>
  <c r="J13" i="56"/>
  <c r="J14" i="56"/>
  <c r="J15" i="56"/>
  <c r="J16" i="56"/>
  <c r="J17" i="56"/>
  <c r="J18" i="56"/>
  <c r="J19" i="56"/>
  <c r="J20" i="56"/>
  <c r="J21" i="56"/>
  <c r="J22" i="56"/>
  <c r="J23" i="56"/>
  <c r="J24" i="56"/>
  <c r="J25" i="56"/>
  <c r="J26" i="56"/>
  <c r="J27" i="56"/>
  <c r="J28" i="56"/>
  <c r="J29" i="56"/>
  <c r="J30" i="56"/>
  <c r="J31" i="56"/>
  <c r="J32" i="56"/>
  <c r="J33" i="56"/>
  <c r="J34" i="56"/>
  <c r="J35" i="56"/>
  <c r="J36" i="56"/>
  <c r="J37" i="56"/>
  <c r="J38" i="56"/>
  <c r="J39" i="56"/>
  <c r="J40" i="56"/>
  <c r="J41" i="56"/>
  <c r="J42" i="56"/>
  <c r="J43" i="56"/>
  <c r="J44" i="56"/>
  <c r="J45" i="56"/>
  <c r="H11" i="56"/>
  <c r="H12" i="56"/>
  <c r="H13" i="56"/>
  <c r="H14" i="56"/>
  <c r="H15" i="56"/>
  <c r="H16" i="56"/>
  <c r="H17" i="56"/>
  <c r="H18" i="56"/>
  <c r="H19" i="56"/>
  <c r="H20" i="56"/>
  <c r="H21" i="56"/>
  <c r="H22" i="56"/>
  <c r="H23" i="56"/>
  <c r="H24" i="56"/>
  <c r="H25" i="56"/>
  <c r="H26" i="56"/>
  <c r="H27" i="56"/>
  <c r="H28" i="56"/>
  <c r="H29" i="56"/>
  <c r="H30" i="56"/>
  <c r="H31" i="56"/>
  <c r="H32" i="56"/>
  <c r="H33" i="56"/>
  <c r="H34" i="56"/>
  <c r="H35" i="56"/>
  <c r="H36" i="56"/>
  <c r="H37" i="56"/>
  <c r="H38" i="56"/>
  <c r="H39" i="56"/>
  <c r="H40" i="56"/>
  <c r="H41" i="56"/>
  <c r="H42" i="56"/>
  <c r="H43" i="56"/>
  <c r="H44" i="56"/>
  <c r="H45" i="56"/>
  <c r="F10" i="56"/>
  <c r="F11" i="56"/>
  <c r="F12" i="56"/>
  <c r="F13" i="56"/>
  <c r="F14" i="56"/>
  <c r="F15" i="56"/>
  <c r="F16" i="56"/>
  <c r="F17" i="56"/>
  <c r="F18" i="56"/>
  <c r="F19" i="56"/>
  <c r="F20" i="56"/>
  <c r="F21" i="56"/>
  <c r="F22" i="56"/>
  <c r="F23" i="56"/>
  <c r="F24" i="56"/>
  <c r="F25" i="56"/>
  <c r="F26" i="56"/>
  <c r="F27" i="56"/>
  <c r="F28" i="56"/>
  <c r="F29" i="56"/>
  <c r="F30" i="56"/>
  <c r="F31" i="56"/>
  <c r="F32" i="56"/>
  <c r="F33" i="56"/>
  <c r="F34" i="56"/>
  <c r="F35" i="56"/>
  <c r="F36" i="56"/>
  <c r="F37" i="56"/>
  <c r="F38" i="56"/>
  <c r="F39" i="56"/>
  <c r="F40" i="56"/>
  <c r="F41" i="56"/>
  <c r="F42" i="56"/>
  <c r="F43" i="56"/>
  <c r="F44" i="56"/>
  <c r="F45" i="56"/>
  <c r="D11" i="56"/>
  <c r="D12" i="56"/>
  <c r="D13" i="56"/>
  <c r="D14" i="56"/>
  <c r="D15" i="56"/>
  <c r="D16" i="56"/>
  <c r="D17" i="56"/>
  <c r="B36" i="39" l="1"/>
  <c r="B35" i="39"/>
  <c r="B33" i="39"/>
  <c r="B32" i="39"/>
  <c r="B31" i="39"/>
  <c r="B30" i="39"/>
  <c r="B29" i="39"/>
  <c r="B28" i="39"/>
  <c r="J34" i="25"/>
  <c r="J45" i="24"/>
  <c r="J52" i="23"/>
  <c r="J51" i="23"/>
  <c r="J50" i="23"/>
  <c r="J49" i="23"/>
  <c r="J48" i="23"/>
  <c r="J47" i="23"/>
  <c r="J46" i="23"/>
  <c r="J45" i="23"/>
  <c r="J42" i="23"/>
  <c r="J41" i="23"/>
  <c r="J40" i="23"/>
  <c r="J39" i="23"/>
  <c r="J38" i="23"/>
  <c r="J37" i="23"/>
  <c r="J36" i="23"/>
  <c r="J35" i="23"/>
  <c r="J34" i="23"/>
  <c r="J46" i="22"/>
  <c r="J45" i="22"/>
  <c r="J35" i="22"/>
  <c r="J34" i="22"/>
  <c r="J53" i="15"/>
  <c r="J52" i="15"/>
  <c r="J51" i="15"/>
  <c r="J50" i="15"/>
  <c r="J49" i="15"/>
  <c r="J48" i="15"/>
  <c r="J46" i="15"/>
  <c r="J45" i="15"/>
  <c r="J43" i="15"/>
  <c r="J42" i="15"/>
  <c r="J41" i="15"/>
  <c r="J40" i="15"/>
  <c r="J39" i="15"/>
  <c r="J37" i="15"/>
  <c r="J36" i="15"/>
  <c r="J35" i="15"/>
  <c r="J34" i="15"/>
  <c r="M108" i="52"/>
  <c r="M107" i="52"/>
  <c r="L107" i="52"/>
  <c r="M88" i="52"/>
  <c r="M87" i="52"/>
  <c r="L87" i="52"/>
  <c r="M67" i="52"/>
  <c r="L67" i="52"/>
  <c r="M47" i="52"/>
  <c r="L47" i="52"/>
  <c r="U43" i="52"/>
  <c r="P43" i="52"/>
  <c r="U42" i="52"/>
  <c r="Z42" i="52" s="1"/>
  <c r="P42" i="52"/>
  <c r="AW27" i="52"/>
  <c r="AR27" i="52"/>
  <c r="AM27" i="52"/>
  <c r="AH27" i="52"/>
  <c r="AC27" i="52"/>
  <c r="X27" i="52"/>
  <c r="S27" i="52"/>
  <c r="M27" i="52"/>
  <c r="AV27" i="52"/>
  <c r="AX27" i="52" s="1"/>
  <c r="AQ27" i="52"/>
  <c r="AS27" i="52" s="1"/>
  <c r="AN27" i="52"/>
  <c r="AL27" i="52"/>
  <c r="AG27" i="52"/>
  <c r="AB27" i="52"/>
  <c r="AD27" i="52" s="1"/>
  <c r="W27" i="52"/>
  <c r="Y27" i="52" s="1"/>
  <c r="T27" i="52"/>
  <c r="R27" i="52"/>
  <c r="J27" i="52"/>
  <c r="I27" i="52"/>
  <c r="G27" i="52"/>
  <c r="H27" i="52" s="1"/>
  <c r="M108" i="51"/>
  <c r="M107" i="51"/>
  <c r="L107" i="51"/>
  <c r="M88" i="51"/>
  <c r="M87" i="51"/>
  <c r="L87" i="51"/>
  <c r="M67" i="51"/>
  <c r="L67" i="51"/>
  <c r="M47" i="51"/>
  <c r="L47" i="51"/>
  <c r="P43" i="51"/>
  <c r="P42" i="51"/>
  <c r="U42" i="51" s="1"/>
  <c r="S27" i="51"/>
  <c r="M27" i="51"/>
  <c r="R27" i="51"/>
  <c r="T27" i="51" s="1"/>
  <c r="K27" i="51"/>
  <c r="J27" i="51"/>
  <c r="I27" i="51"/>
  <c r="G27" i="51"/>
  <c r="H27" i="51" s="1"/>
  <c r="U23" i="51"/>
  <c r="U22" i="51"/>
  <c r="Z22" i="51" s="1"/>
  <c r="C1" i="50"/>
  <c r="E34" i="39" s="1"/>
  <c r="M108" i="50"/>
  <c r="M107" i="50"/>
  <c r="M88" i="50"/>
  <c r="M87" i="50"/>
  <c r="M67" i="50"/>
  <c r="M47" i="50"/>
  <c r="L47" i="50"/>
  <c r="P43" i="50"/>
  <c r="P42" i="50"/>
  <c r="U42" i="50" s="1"/>
  <c r="U22" i="50"/>
  <c r="M108" i="49"/>
  <c r="M107" i="49"/>
  <c r="L107" i="49"/>
  <c r="M88" i="49"/>
  <c r="M87" i="49"/>
  <c r="L87" i="49"/>
  <c r="M67" i="49"/>
  <c r="L67" i="49"/>
  <c r="M47" i="49"/>
  <c r="L47" i="49"/>
  <c r="U43" i="49"/>
  <c r="P43" i="49"/>
  <c r="U42" i="49"/>
  <c r="Z42" i="49" s="1"/>
  <c r="P42" i="49"/>
  <c r="AW34" i="49"/>
  <c r="AW33" i="49"/>
  <c r="AW32" i="49"/>
  <c r="AW31" i="49"/>
  <c r="AW30" i="49"/>
  <c r="AW29" i="49"/>
  <c r="AW28" i="49"/>
  <c r="AW27" i="49"/>
  <c r="AR34" i="49"/>
  <c r="AR33" i="49"/>
  <c r="AR32" i="49"/>
  <c r="AR31" i="49"/>
  <c r="AR30" i="49"/>
  <c r="AR29" i="49"/>
  <c r="AR28" i="49"/>
  <c r="AR27" i="49"/>
  <c r="AM34" i="49"/>
  <c r="AM33" i="49"/>
  <c r="AM32" i="49"/>
  <c r="AM31" i="49"/>
  <c r="AM30" i="49"/>
  <c r="AM29" i="49"/>
  <c r="AM28" i="49"/>
  <c r="AM27" i="49"/>
  <c r="AH34" i="49"/>
  <c r="AH33" i="49"/>
  <c r="AH32" i="49"/>
  <c r="AH31" i="49"/>
  <c r="AH30" i="49"/>
  <c r="AH29" i="49"/>
  <c r="AH28" i="49"/>
  <c r="AH27" i="49"/>
  <c r="AC34" i="49"/>
  <c r="AC33" i="49"/>
  <c r="AC32" i="49"/>
  <c r="AC31" i="49"/>
  <c r="AC30" i="49"/>
  <c r="AC29" i="49"/>
  <c r="AC28" i="49"/>
  <c r="AC27" i="49"/>
  <c r="X34" i="49"/>
  <c r="X33" i="49"/>
  <c r="X32" i="49"/>
  <c r="X31" i="49"/>
  <c r="X30" i="49"/>
  <c r="X29" i="49"/>
  <c r="X28" i="49"/>
  <c r="X27" i="49"/>
  <c r="S28" i="49"/>
  <c r="S29" i="49"/>
  <c r="S30" i="49"/>
  <c r="S31" i="49"/>
  <c r="S32" i="49"/>
  <c r="S33" i="49"/>
  <c r="S34" i="49"/>
  <c r="S27" i="49"/>
  <c r="M28" i="49"/>
  <c r="M29" i="49"/>
  <c r="M30" i="49"/>
  <c r="M31" i="49"/>
  <c r="M32" i="49"/>
  <c r="M33" i="49"/>
  <c r="M34" i="49"/>
  <c r="M27" i="49"/>
  <c r="AV34" i="49"/>
  <c r="AQ34" i="49"/>
  <c r="AL34" i="49"/>
  <c r="AG34" i="49"/>
  <c r="AB34" i="49"/>
  <c r="W34" i="49"/>
  <c r="R34" i="49"/>
  <c r="K34" i="49"/>
  <c r="J34" i="49"/>
  <c r="I34" i="49"/>
  <c r="G34" i="49"/>
  <c r="AV33" i="49"/>
  <c r="AQ33" i="49"/>
  <c r="AL33" i="49"/>
  <c r="AG33" i="49"/>
  <c r="AB33" i="49"/>
  <c r="W33" i="49"/>
  <c r="R33" i="49"/>
  <c r="K33" i="49"/>
  <c r="J33" i="49"/>
  <c r="I33" i="49"/>
  <c r="G33" i="49"/>
  <c r="AV32" i="49"/>
  <c r="AQ32" i="49"/>
  <c r="AL32" i="49"/>
  <c r="AG32" i="49"/>
  <c r="AB32" i="49"/>
  <c r="W32" i="49"/>
  <c r="R32" i="49"/>
  <c r="K32" i="49"/>
  <c r="J32" i="49"/>
  <c r="I32" i="49"/>
  <c r="G32" i="49"/>
  <c r="AV31" i="49"/>
  <c r="AQ31" i="49"/>
  <c r="AL31" i="49"/>
  <c r="AG31" i="49"/>
  <c r="AB31" i="49"/>
  <c r="W31" i="49"/>
  <c r="R31" i="49"/>
  <c r="J31" i="49"/>
  <c r="I31" i="49"/>
  <c r="G31" i="49"/>
  <c r="AV30" i="49"/>
  <c r="AQ30" i="49"/>
  <c r="AL30" i="49"/>
  <c r="AG30" i="49"/>
  <c r="AB30" i="49"/>
  <c r="W30" i="49"/>
  <c r="R30" i="49"/>
  <c r="J30" i="49"/>
  <c r="I30" i="49"/>
  <c r="G30" i="49"/>
  <c r="AV29" i="49"/>
  <c r="AQ29" i="49"/>
  <c r="K29" i="49" s="1"/>
  <c r="AL29" i="49"/>
  <c r="AG29" i="49"/>
  <c r="AB29" i="49"/>
  <c r="W29" i="49"/>
  <c r="R29" i="49"/>
  <c r="J29" i="49"/>
  <c r="I29" i="49"/>
  <c r="G29" i="49"/>
  <c r="AV28" i="49"/>
  <c r="AQ28" i="49"/>
  <c r="AL28" i="49"/>
  <c r="K28" i="49" s="1"/>
  <c r="AG28" i="49"/>
  <c r="AB28" i="49"/>
  <c r="W28" i="49"/>
  <c r="R28" i="49"/>
  <c r="J28" i="49"/>
  <c r="I28" i="49"/>
  <c r="G28" i="49"/>
  <c r="AV27" i="49"/>
  <c r="AX27" i="49" s="1"/>
  <c r="AQ27" i="49"/>
  <c r="K27" i="49" s="1"/>
  <c r="AN27" i="49"/>
  <c r="AL27" i="49"/>
  <c r="AG27" i="49"/>
  <c r="AB27" i="49"/>
  <c r="W27" i="49"/>
  <c r="Y27" i="49" s="1"/>
  <c r="R27" i="49"/>
  <c r="J27" i="49"/>
  <c r="I27" i="49"/>
  <c r="H27" i="49"/>
  <c r="G27" i="49"/>
  <c r="C1" i="48"/>
  <c r="M108" i="48"/>
  <c r="M107" i="48"/>
  <c r="L107" i="48"/>
  <c r="M88" i="48"/>
  <c r="M87" i="48"/>
  <c r="L87" i="48"/>
  <c r="M67" i="48"/>
  <c r="L67" i="48"/>
  <c r="M47" i="48"/>
  <c r="L47" i="48"/>
  <c r="P43" i="48"/>
  <c r="P42" i="48"/>
  <c r="U42" i="48" s="1"/>
  <c r="AW35" i="48"/>
  <c r="AW34" i="48"/>
  <c r="AW33" i="48"/>
  <c r="AW32" i="48"/>
  <c r="AW31" i="48"/>
  <c r="AW30" i="48"/>
  <c r="AW29" i="48"/>
  <c r="AW28" i="48"/>
  <c r="AW27" i="48"/>
  <c r="AR35" i="48"/>
  <c r="AR34" i="48"/>
  <c r="AR33" i="48"/>
  <c r="AR32" i="48"/>
  <c r="AR31" i="48"/>
  <c r="AR30" i="48"/>
  <c r="AR29" i="48"/>
  <c r="AR28" i="48"/>
  <c r="AR27" i="48"/>
  <c r="AM35" i="48"/>
  <c r="AM34" i="48"/>
  <c r="AM33" i="48"/>
  <c r="AM32" i="48"/>
  <c r="AM31" i="48"/>
  <c r="AM30" i="48"/>
  <c r="AM29" i="48"/>
  <c r="AM28" i="48"/>
  <c r="AM27" i="48"/>
  <c r="AH35" i="48"/>
  <c r="AH34" i="48"/>
  <c r="AH33" i="48"/>
  <c r="AH32" i="48"/>
  <c r="AH31" i="48"/>
  <c r="AH30" i="48"/>
  <c r="AH29" i="48"/>
  <c r="AH28" i="48"/>
  <c r="AH27" i="48"/>
  <c r="AC35" i="48"/>
  <c r="AC34" i="48"/>
  <c r="AC33" i="48"/>
  <c r="AC32" i="48"/>
  <c r="AC31" i="48"/>
  <c r="AC30" i="48"/>
  <c r="AC29" i="48"/>
  <c r="AC28" i="48"/>
  <c r="AC27" i="48"/>
  <c r="X35" i="48"/>
  <c r="X34" i="48"/>
  <c r="X33" i="48"/>
  <c r="X32" i="48"/>
  <c r="X31" i="48"/>
  <c r="X30" i="48"/>
  <c r="X29" i="48"/>
  <c r="X28" i="48"/>
  <c r="X27" i="48"/>
  <c r="S28" i="48"/>
  <c r="S29" i="48"/>
  <c r="S30" i="48"/>
  <c r="S31" i="48"/>
  <c r="S32" i="48"/>
  <c r="S33" i="48"/>
  <c r="S34" i="48"/>
  <c r="S35" i="48"/>
  <c r="S27" i="48"/>
  <c r="M28" i="48"/>
  <c r="M29" i="48"/>
  <c r="M30" i="48"/>
  <c r="M31" i="48"/>
  <c r="M32" i="48"/>
  <c r="M33" i="48"/>
  <c r="M34" i="48"/>
  <c r="M35" i="48"/>
  <c r="M27" i="48"/>
  <c r="AV35" i="48"/>
  <c r="AQ35" i="48"/>
  <c r="AL35" i="48"/>
  <c r="AG35" i="48"/>
  <c r="AB35" i="48"/>
  <c r="W35" i="48"/>
  <c r="R35" i="48"/>
  <c r="K35" i="48"/>
  <c r="J35" i="48"/>
  <c r="I35" i="48"/>
  <c r="G35" i="48"/>
  <c r="AV34" i="48"/>
  <c r="AQ34" i="48"/>
  <c r="AL34" i="48"/>
  <c r="AG34" i="48"/>
  <c r="AB34" i="48"/>
  <c r="W34" i="48"/>
  <c r="R34" i="48"/>
  <c r="K34" i="48"/>
  <c r="J34" i="48"/>
  <c r="I34" i="48"/>
  <c r="G34" i="48"/>
  <c r="AV33" i="48"/>
  <c r="K33" i="48" s="1"/>
  <c r="AQ33" i="48"/>
  <c r="AL33" i="48"/>
  <c r="AG33" i="48"/>
  <c r="AB33" i="48"/>
  <c r="W33" i="48"/>
  <c r="R33" i="48"/>
  <c r="J33" i="48"/>
  <c r="I33" i="48"/>
  <c r="G33" i="48"/>
  <c r="AV32" i="48"/>
  <c r="AQ32" i="48"/>
  <c r="AL32" i="48"/>
  <c r="AG32" i="48"/>
  <c r="AB32" i="48"/>
  <c r="W32" i="48"/>
  <c r="R32" i="48"/>
  <c r="J32" i="48"/>
  <c r="I32" i="48"/>
  <c r="G32" i="48"/>
  <c r="AV31" i="48"/>
  <c r="AQ31" i="48"/>
  <c r="AL31" i="48"/>
  <c r="AG31" i="48"/>
  <c r="AB31" i="48"/>
  <c r="AD27" i="48" s="1"/>
  <c r="W31" i="48"/>
  <c r="R31" i="48"/>
  <c r="J31" i="48"/>
  <c r="I31" i="48"/>
  <c r="G31" i="48"/>
  <c r="AV30" i="48"/>
  <c r="AQ30" i="48"/>
  <c r="AL30" i="48"/>
  <c r="AG30" i="48"/>
  <c r="AB30" i="48"/>
  <c r="W30" i="48"/>
  <c r="R30" i="48"/>
  <c r="J30" i="48"/>
  <c r="I30" i="48"/>
  <c r="G30" i="48"/>
  <c r="AV29" i="48"/>
  <c r="AQ29" i="48"/>
  <c r="AL29" i="48"/>
  <c r="AG29" i="48"/>
  <c r="AB29" i="48"/>
  <c r="W29" i="48"/>
  <c r="R29" i="48"/>
  <c r="J29" i="48"/>
  <c r="I29" i="48"/>
  <c r="G29" i="48"/>
  <c r="AV28" i="48"/>
  <c r="AQ28" i="48"/>
  <c r="AL28" i="48"/>
  <c r="AG28" i="48"/>
  <c r="AB28" i="48"/>
  <c r="W28" i="48"/>
  <c r="R28" i="48"/>
  <c r="K28" i="48" s="1"/>
  <c r="J28" i="48"/>
  <c r="I28" i="48"/>
  <c r="G28" i="48"/>
  <c r="AV27" i="48"/>
  <c r="AQ27" i="48"/>
  <c r="K27" i="48" s="1"/>
  <c r="AL27" i="48"/>
  <c r="AG27" i="48"/>
  <c r="AI27" i="48" s="1"/>
  <c r="AB27" i="48"/>
  <c r="W27" i="48"/>
  <c r="R27" i="48"/>
  <c r="T27" i="48" s="1"/>
  <c r="J27" i="48"/>
  <c r="I27" i="48"/>
  <c r="G27" i="48"/>
  <c r="H27" i="48" s="1"/>
  <c r="M108" i="47"/>
  <c r="M107" i="47"/>
  <c r="L107" i="47"/>
  <c r="M88" i="47"/>
  <c r="M87" i="47"/>
  <c r="L87" i="47"/>
  <c r="M67" i="47"/>
  <c r="L67" i="47"/>
  <c r="M47" i="47"/>
  <c r="L47" i="47"/>
  <c r="P43" i="47"/>
  <c r="P42" i="47"/>
  <c r="U42" i="47" s="1"/>
  <c r="AW28" i="47"/>
  <c r="AW27" i="47"/>
  <c r="AR28" i="47"/>
  <c r="AR27" i="47"/>
  <c r="AM28" i="47"/>
  <c r="AM27" i="47"/>
  <c r="AH28" i="47"/>
  <c r="AH27" i="47"/>
  <c r="AC28" i="47"/>
  <c r="AC27" i="47"/>
  <c r="X28" i="47"/>
  <c r="X27" i="47"/>
  <c r="S28" i="47"/>
  <c r="S27" i="47"/>
  <c r="M28" i="47"/>
  <c r="M27" i="47"/>
  <c r="AV28" i="47"/>
  <c r="AQ28" i="47"/>
  <c r="AL28" i="47"/>
  <c r="AG28" i="47"/>
  <c r="AB28" i="47"/>
  <c r="W28" i="47"/>
  <c r="R28" i="47"/>
  <c r="J28" i="47"/>
  <c r="I28" i="47"/>
  <c r="G28" i="47"/>
  <c r="AX27" i="47"/>
  <c r="AV27" i="47"/>
  <c r="AQ27" i="47"/>
  <c r="AS27" i="47" s="1"/>
  <c r="AL27" i="47"/>
  <c r="AN27" i="47" s="1"/>
  <c r="AG27" i="47"/>
  <c r="AI27" i="47" s="1"/>
  <c r="AB27" i="47"/>
  <c r="AD27" i="47" s="1"/>
  <c r="W27" i="47"/>
  <c r="Y27" i="47" s="1"/>
  <c r="R27" i="47"/>
  <c r="K27" i="47" s="1"/>
  <c r="J27" i="47"/>
  <c r="I27" i="47"/>
  <c r="G27" i="47"/>
  <c r="H27" i="47" s="1"/>
  <c r="AW14" i="45"/>
  <c r="AW13" i="45"/>
  <c r="AW12" i="45"/>
  <c r="AW11" i="45"/>
  <c r="AW10" i="45"/>
  <c r="AW9" i="45"/>
  <c r="AW8" i="45"/>
  <c r="AW7" i="45"/>
  <c r="AR14" i="45"/>
  <c r="AR13" i="45"/>
  <c r="AR12" i="45"/>
  <c r="AR11" i="45"/>
  <c r="AR10" i="45"/>
  <c r="AR9" i="45"/>
  <c r="AR8" i="45"/>
  <c r="AR7" i="45"/>
  <c r="AM14" i="45"/>
  <c r="AM13" i="45"/>
  <c r="AM12" i="45"/>
  <c r="AM11" i="45"/>
  <c r="AM10" i="45"/>
  <c r="AM9" i="45"/>
  <c r="AM8" i="45"/>
  <c r="AM7" i="45"/>
  <c r="AH14" i="45"/>
  <c r="AH13" i="45"/>
  <c r="AH12" i="45"/>
  <c r="AH11" i="45"/>
  <c r="AH10" i="45"/>
  <c r="AH9" i="45"/>
  <c r="AH8" i="45"/>
  <c r="AH7" i="45"/>
  <c r="AC7" i="45"/>
  <c r="AC14" i="45"/>
  <c r="AC13" i="45"/>
  <c r="AC12" i="45"/>
  <c r="AC11" i="45"/>
  <c r="AC10" i="45"/>
  <c r="AC9" i="45"/>
  <c r="AC8" i="45"/>
  <c r="X14" i="45"/>
  <c r="X13" i="45"/>
  <c r="X12" i="45"/>
  <c r="X11" i="45"/>
  <c r="X10" i="45"/>
  <c r="X9" i="45"/>
  <c r="X8" i="45"/>
  <c r="X7" i="45"/>
  <c r="S8" i="45"/>
  <c r="S9" i="45"/>
  <c r="S10" i="45"/>
  <c r="S11" i="45"/>
  <c r="S12" i="45"/>
  <c r="S13" i="45"/>
  <c r="S14" i="45"/>
  <c r="S7" i="45"/>
  <c r="M8" i="45"/>
  <c r="M9" i="45"/>
  <c r="M10" i="45"/>
  <c r="M11" i="45"/>
  <c r="M12" i="45"/>
  <c r="M13" i="45"/>
  <c r="M14" i="45"/>
  <c r="M7" i="45"/>
  <c r="AW8" i="46"/>
  <c r="AW7" i="46"/>
  <c r="AR8" i="46"/>
  <c r="AR7" i="46"/>
  <c r="AM8" i="46"/>
  <c r="AM7" i="46"/>
  <c r="AH8" i="46"/>
  <c r="AH7" i="46"/>
  <c r="AC8" i="46"/>
  <c r="AC7" i="46"/>
  <c r="X7" i="46"/>
  <c r="S8" i="46"/>
  <c r="S7" i="46"/>
  <c r="M8" i="46"/>
  <c r="M7" i="46"/>
  <c r="AV8" i="47"/>
  <c r="AW8" i="47" s="1"/>
  <c r="AQ8" i="47"/>
  <c r="AR8" i="47" s="1"/>
  <c r="AL8" i="47"/>
  <c r="AM8" i="47" s="1"/>
  <c r="AG8" i="47"/>
  <c r="AH8" i="47" s="1"/>
  <c r="AB8" i="47"/>
  <c r="AC8" i="47" s="1"/>
  <c r="W8" i="47"/>
  <c r="X8" i="47" s="1"/>
  <c r="R8" i="47"/>
  <c r="S8" i="47" s="1"/>
  <c r="K8" i="47"/>
  <c r="M8" i="47" s="1"/>
  <c r="J8" i="47"/>
  <c r="I8" i="47"/>
  <c r="G8" i="47"/>
  <c r="AX7" i="47"/>
  <c r="AV7" i="47"/>
  <c r="AW7" i="47" s="1"/>
  <c r="AQ7" i="47"/>
  <c r="AS7" i="47" s="1"/>
  <c r="AL7" i="47"/>
  <c r="AN7" i="47" s="1"/>
  <c r="AG7" i="47"/>
  <c r="AI7" i="47" s="1"/>
  <c r="AB7" i="47"/>
  <c r="AD7" i="47" s="1"/>
  <c r="W7" i="47"/>
  <c r="X7" i="47" s="1"/>
  <c r="R7" i="47"/>
  <c r="T7" i="47" s="1"/>
  <c r="J7" i="47"/>
  <c r="I7" i="47"/>
  <c r="G7" i="47"/>
  <c r="H7" i="47" s="1"/>
  <c r="P3" i="47"/>
  <c r="U2" i="47"/>
  <c r="U3" i="47" s="1"/>
  <c r="M108" i="46"/>
  <c r="M107" i="46"/>
  <c r="L107" i="46"/>
  <c r="P102" i="46"/>
  <c r="P103" i="46" s="1"/>
  <c r="AW28" i="46"/>
  <c r="AW27" i="46"/>
  <c r="AR28" i="46"/>
  <c r="AR27" i="46"/>
  <c r="AM28" i="46"/>
  <c r="AM27" i="46"/>
  <c r="AH28" i="46"/>
  <c r="AH27" i="46"/>
  <c r="AC28" i="46"/>
  <c r="AC27" i="46"/>
  <c r="X28" i="46"/>
  <c r="X27" i="46"/>
  <c r="S28" i="46"/>
  <c r="S27" i="46"/>
  <c r="M28" i="46"/>
  <c r="M27" i="46"/>
  <c r="AV28" i="46"/>
  <c r="AQ28" i="46"/>
  <c r="AL28" i="46"/>
  <c r="AG28" i="46"/>
  <c r="AB28" i="46"/>
  <c r="W28" i="46"/>
  <c r="R28" i="46"/>
  <c r="K28" i="46"/>
  <c r="J28" i="46"/>
  <c r="I28" i="46"/>
  <c r="G28" i="46"/>
  <c r="AX27" i="46"/>
  <c r="AV27" i="46"/>
  <c r="AQ27" i="46"/>
  <c r="AS27" i="46" s="1"/>
  <c r="AN27" i="46"/>
  <c r="AL27" i="46"/>
  <c r="AG27" i="46"/>
  <c r="AI27" i="46" s="1"/>
  <c r="AB27" i="46"/>
  <c r="AD27" i="46" s="1"/>
  <c r="W27" i="46"/>
  <c r="R27" i="46"/>
  <c r="T27" i="46" s="1"/>
  <c r="J27" i="46"/>
  <c r="I27" i="46"/>
  <c r="G27" i="46"/>
  <c r="H27" i="46" s="1"/>
  <c r="AV8" i="46"/>
  <c r="AQ8" i="46"/>
  <c r="AL8" i="46"/>
  <c r="AG8" i="46"/>
  <c r="AB8" i="46"/>
  <c r="X8" i="46"/>
  <c r="W8" i="46"/>
  <c r="R8" i="46"/>
  <c r="J8" i="46"/>
  <c r="I8" i="46"/>
  <c r="G8" i="46"/>
  <c r="AX7" i="46"/>
  <c r="AV7" i="46"/>
  <c r="AQ7" i="46"/>
  <c r="AS7" i="46" s="1"/>
  <c r="AL7" i="46"/>
  <c r="AN7" i="46" s="1"/>
  <c r="AG7" i="46"/>
  <c r="AI7" i="46" s="1"/>
  <c r="AB7" i="46"/>
  <c r="AD7" i="46" s="1"/>
  <c r="W7" i="46"/>
  <c r="Y7" i="46" s="1"/>
  <c r="R7" i="46"/>
  <c r="K7" i="46" s="1"/>
  <c r="J7" i="46"/>
  <c r="I7" i="46"/>
  <c r="G7" i="46"/>
  <c r="H7" i="46" s="1"/>
  <c r="P3" i="46"/>
  <c r="U2" i="46"/>
  <c r="U3" i="46" s="1"/>
  <c r="C1" i="45"/>
  <c r="M114" i="45"/>
  <c r="M113" i="45"/>
  <c r="M112" i="45"/>
  <c r="M111" i="45"/>
  <c r="M110" i="45"/>
  <c r="M109" i="45"/>
  <c r="M108" i="45"/>
  <c r="M107" i="45"/>
  <c r="L107" i="45"/>
  <c r="P103" i="45"/>
  <c r="P102" i="45"/>
  <c r="U102" i="45" s="1"/>
  <c r="AW35" i="45"/>
  <c r="AW34" i="45"/>
  <c r="AW33" i="45"/>
  <c r="AW32" i="45"/>
  <c r="AW31" i="45"/>
  <c r="AW30" i="45"/>
  <c r="AW29" i="45"/>
  <c r="AW28" i="45"/>
  <c r="AW27" i="45"/>
  <c r="AR35" i="45"/>
  <c r="AR34" i="45"/>
  <c r="AR33" i="45"/>
  <c r="AR32" i="45"/>
  <c r="AR31" i="45"/>
  <c r="AR30" i="45"/>
  <c r="AR29" i="45"/>
  <c r="AR28" i="45"/>
  <c r="AR27" i="45"/>
  <c r="AM35" i="45"/>
  <c r="AM34" i="45"/>
  <c r="AM33" i="45"/>
  <c r="AM32" i="45"/>
  <c r="AM31" i="45"/>
  <c r="AM30" i="45"/>
  <c r="AM29" i="45"/>
  <c r="AM28" i="45"/>
  <c r="AM27" i="45"/>
  <c r="AH35" i="45"/>
  <c r="AH34" i="45"/>
  <c r="AH33" i="45"/>
  <c r="AH32" i="45"/>
  <c r="AH31" i="45"/>
  <c r="AH30" i="45"/>
  <c r="AH29" i="45"/>
  <c r="AH28" i="45"/>
  <c r="AH27" i="45"/>
  <c r="AC35" i="45"/>
  <c r="AC34" i="45"/>
  <c r="AC33" i="45"/>
  <c r="AC32" i="45"/>
  <c r="AC31" i="45"/>
  <c r="AC30" i="45"/>
  <c r="AC29" i="45"/>
  <c r="AC28" i="45"/>
  <c r="AC27" i="45"/>
  <c r="X35" i="45"/>
  <c r="X34" i="45"/>
  <c r="X33" i="45"/>
  <c r="X32" i="45"/>
  <c r="X31" i="45"/>
  <c r="X30" i="45"/>
  <c r="X29" i="45"/>
  <c r="X28" i="45"/>
  <c r="X27" i="45"/>
  <c r="S28" i="45"/>
  <c r="S29" i="45"/>
  <c r="S30" i="45"/>
  <c r="S31" i="45"/>
  <c r="S32" i="45"/>
  <c r="S33" i="45"/>
  <c r="S34" i="45"/>
  <c r="S35" i="45"/>
  <c r="S27" i="45"/>
  <c r="M28" i="45"/>
  <c r="M29" i="45"/>
  <c r="M30" i="45"/>
  <c r="M31" i="45"/>
  <c r="M32" i="45"/>
  <c r="M33" i="45"/>
  <c r="M34" i="45"/>
  <c r="M35" i="45"/>
  <c r="M27" i="45"/>
  <c r="AV35" i="45"/>
  <c r="AQ35" i="45"/>
  <c r="AL35" i="45"/>
  <c r="AG35" i="45"/>
  <c r="AB35" i="45"/>
  <c r="W35" i="45"/>
  <c r="R35" i="45"/>
  <c r="J35" i="45"/>
  <c r="I35" i="45"/>
  <c r="G35" i="45"/>
  <c r="AV34" i="45"/>
  <c r="AQ34" i="45"/>
  <c r="AL34" i="45"/>
  <c r="AG34" i="45"/>
  <c r="AB34" i="45"/>
  <c r="W34" i="45"/>
  <c r="R34" i="45"/>
  <c r="J34" i="45"/>
  <c r="I34" i="45"/>
  <c r="G34" i="45"/>
  <c r="AV33" i="45"/>
  <c r="AQ33" i="45"/>
  <c r="AL33" i="45"/>
  <c r="AG33" i="45"/>
  <c r="AB33" i="45"/>
  <c r="W33" i="45"/>
  <c r="R33" i="45"/>
  <c r="J33" i="45"/>
  <c r="I33" i="45"/>
  <c r="G33" i="45"/>
  <c r="AV32" i="45"/>
  <c r="K32" i="45" s="1"/>
  <c r="AQ32" i="45"/>
  <c r="AL32" i="45"/>
  <c r="AG32" i="45"/>
  <c r="AB32" i="45"/>
  <c r="W32" i="45"/>
  <c r="R32" i="45"/>
  <c r="J32" i="45"/>
  <c r="I32" i="45"/>
  <c r="G32" i="45"/>
  <c r="AV31" i="45"/>
  <c r="AX27" i="45" s="1"/>
  <c r="AQ31" i="45"/>
  <c r="K31" i="45" s="1"/>
  <c r="AL31" i="45"/>
  <c r="AG31" i="45"/>
  <c r="AB31" i="45"/>
  <c r="W31" i="45"/>
  <c r="R31" i="45"/>
  <c r="J31" i="45"/>
  <c r="I31" i="45"/>
  <c r="G31" i="45"/>
  <c r="AV30" i="45"/>
  <c r="AQ30" i="45"/>
  <c r="K30" i="45" s="1"/>
  <c r="AL30" i="45"/>
  <c r="AG30" i="45"/>
  <c r="AB30" i="45"/>
  <c r="W30" i="45"/>
  <c r="R30" i="45"/>
  <c r="J30" i="45"/>
  <c r="I30" i="45"/>
  <c r="G30" i="45"/>
  <c r="AV29" i="45"/>
  <c r="AQ29" i="45"/>
  <c r="AL29" i="45"/>
  <c r="K29" i="45" s="1"/>
  <c r="AG29" i="45"/>
  <c r="AB29" i="45"/>
  <c r="W29" i="45"/>
  <c r="R29" i="45"/>
  <c r="J29" i="45"/>
  <c r="I29" i="45"/>
  <c r="G29" i="45"/>
  <c r="AV28" i="45"/>
  <c r="AQ28" i="45"/>
  <c r="AL28" i="45"/>
  <c r="AG28" i="45"/>
  <c r="AB28" i="45"/>
  <c r="W28" i="45"/>
  <c r="R28" i="45"/>
  <c r="J28" i="45"/>
  <c r="I28" i="45"/>
  <c r="G28" i="45"/>
  <c r="AV27" i="45"/>
  <c r="AQ27" i="45"/>
  <c r="AS27" i="45" s="1"/>
  <c r="AL27" i="45"/>
  <c r="AG27" i="45"/>
  <c r="AI27" i="45" s="1"/>
  <c r="AB27" i="45"/>
  <c r="W27" i="45"/>
  <c r="Y27" i="45" s="1"/>
  <c r="R27" i="45"/>
  <c r="J27" i="45"/>
  <c r="I27" i="45"/>
  <c r="G27" i="45"/>
  <c r="H27" i="45" s="1"/>
  <c r="AV14" i="45"/>
  <c r="AQ14" i="45"/>
  <c r="AL14" i="45"/>
  <c r="AG14" i="45"/>
  <c r="AB14" i="45"/>
  <c r="W14" i="45"/>
  <c r="R14" i="45"/>
  <c r="K14" i="45"/>
  <c r="J14" i="45"/>
  <c r="I14" i="45"/>
  <c r="G14" i="45"/>
  <c r="AV13" i="45"/>
  <c r="AQ13" i="45"/>
  <c r="AL13" i="45"/>
  <c r="AG13" i="45"/>
  <c r="AB13" i="45"/>
  <c r="W13" i="45"/>
  <c r="R13" i="45"/>
  <c r="J13" i="45"/>
  <c r="I13" i="45"/>
  <c r="G13" i="45"/>
  <c r="AV12" i="45"/>
  <c r="AQ12" i="45"/>
  <c r="AL12" i="45"/>
  <c r="AG12" i="45"/>
  <c r="AB12" i="45"/>
  <c r="W12" i="45"/>
  <c r="R12" i="45"/>
  <c r="J12" i="45"/>
  <c r="I12" i="45"/>
  <c r="G12" i="45"/>
  <c r="AV11" i="45"/>
  <c r="AQ11" i="45"/>
  <c r="AL11" i="45"/>
  <c r="AG11" i="45"/>
  <c r="AB11" i="45"/>
  <c r="W11" i="45"/>
  <c r="R11" i="45"/>
  <c r="J11" i="45"/>
  <c r="I11" i="45"/>
  <c r="G11" i="45"/>
  <c r="AV10" i="45"/>
  <c r="AQ10" i="45"/>
  <c r="AL10" i="45"/>
  <c r="AG10" i="45"/>
  <c r="AB10" i="45"/>
  <c r="W10" i="45"/>
  <c r="R10" i="45"/>
  <c r="J10" i="45"/>
  <c r="I10" i="45"/>
  <c r="G10" i="45"/>
  <c r="AV9" i="45"/>
  <c r="AQ9" i="45"/>
  <c r="AL9" i="45"/>
  <c r="AG9" i="45"/>
  <c r="AB9" i="45"/>
  <c r="W9" i="45"/>
  <c r="R9" i="45"/>
  <c r="J9" i="45"/>
  <c r="I9" i="45"/>
  <c r="G9" i="45"/>
  <c r="AV8" i="45"/>
  <c r="AQ8" i="45"/>
  <c r="AL8" i="45"/>
  <c r="K8" i="45" s="1"/>
  <c r="AG8" i="45"/>
  <c r="AB8" i="45"/>
  <c r="W8" i="45"/>
  <c r="R8" i="45"/>
  <c r="J8" i="45"/>
  <c r="I8" i="45"/>
  <c r="G8" i="45"/>
  <c r="AV7" i="45"/>
  <c r="AX7" i="45" s="1"/>
  <c r="AQ7" i="45"/>
  <c r="AN7" i="45"/>
  <c r="AL7" i="45"/>
  <c r="AG7" i="45"/>
  <c r="AI7" i="45" s="1"/>
  <c r="AB7" i="45"/>
  <c r="AD7" i="45" s="1"/>
  <c r="W7" i="45"/>
  <c r="Y7" i="45" s="1"/>
  <c r="R7" i="45"/>
  <c r="T7" i="45" s="1"/>
  <c r="J7" i="45"/>
  <c r="I7" i="45"/>
  <c r="H7" i="45"/>
  <c r="G7" i="45"/>
  <c r="P3" i="45"/>
  <c r="C1" i="44"/>
  <c r="P78" i="44"/>
  <c r="U78" i="44" s="1"/>
  <c r="M111" i="44"/>
  <c r="M110" i="44"/>
  <c r="M109" i="44"/>
  <c r="M108" i="44"/>
  <c r="M107" i="44"/>
  <c r="M106" i="44"/>
  <c r="M105" i="44"/>
  <c r="M104" i="44"/>
  <c r="M103" i="44"/>
  <c r="M102" i="44"/>
  <c r="M101" i="44"/>
  <c r="M100" i="44"/>
  <c r="M99" i="44"/>
  <c r="M98" i="44"/>
  <c r="M97" i="44"/>
  <c r="M96" i="44"/>
  <c r="M94" i="44"/>
  <c r="M93" i="44"/>
  <c r="M91" i="44"/>
  <c r="M90" i="44"/>
  <c r="M89" i="44"/>
  <c r="M88" i="44"/>
  <c r="M87" i="44"/>
  <c r="M86" i="44"/>
  <c r="M85" i="44"/>
  <c r="H83" i="44"/>
  <c r="AW74" i="44"/>
  <c r="AW73" i="44"/>
  <c r="AW72" i="44"/>
  <c r="AW71" i="44"/>
  <c r="AW70" i="44"/>
  <c r="AW69" i="44"/>
  <c r="AW68" i="44"/>
  <c r="AW67" i="44"/>
  <c r="AW66" i="44"/>
  <c r="AW65" i="44"/>
  <c r="AW64" i="44"/>
  <c r="AW63" i="44"/>
  <c r="AW62" i="44"/>
  <c r="AW61" i="44"/>
  <c r="AW60" i="44"/>
  <c r="AW59" i="44"/>
  <c r="AW58" i="44"/>
  <c r="AW57" i="44"/>
  <c r="AW56" i="44"/>
  <c r="AW55" i="44"/>
  <c r="AW54" i="44"/>
  <c r="AW53" i="44"/>
  <c r="AW52" i="44"/>
  <c r="AW51" i="44"/>
  <c r="AW50" i="44"/>
  <c r="AW49" i="44"/>
  <c r="AW48" i="44"/>
  <c r="AW47" i="44"/>
  <c r="AW46" i="44"/>
  <c r="AW45" i="44"/>
  <c r="AR74" i="44"/>
  <c r="AR73" i="44"/>
  <c r="AR72" i="44"/>
  <c r="AR71" i="44"/>
  <c r="AR70" i="44"/>
  <c r="AR69" i="44"/>
  <c r="AR68" i="44"/>
  <c r="AR67" i="44"/>
  <c r="AR66" i="44"/>
  <c r="AR65" i="44"/>
  <c r="AR64" i="44"/>
  <c r="AR63" i="44"/>
  <c r="AR62" i="44"/>
  <c r="AR61" i="44"/>
  <c r="AR60" i="44"/>
  <c r="AR59" i="44"/>
  <c r="AR58" i="44"/>
  <c r="AR57" i="44"/>
  <c r="AR56" i="44"/>
  <c r="AR55" i="44"/>
  <c r="AR54" i="44"/>
  <c r="AR53" i="44"/>
  <c r="AR52" i="44"/>
  <c r="AR51" i="44"/>
  <c r="AR50" i="44"/>
  <c r="AR49" i="44"/>
  <c r="AR48" i="44"/>
  <c r="AR47" i="44"/>
  <c r="AR46" i="44"/>
  <c r="AR45" i="44"/>
  <c r="AM74" i="44"/>
  <c r="AM73" i="44"/>
  <c r="AM72" i="44"/>
  <c r="AM71" i="44"/>
  <c r="AM70" i="44"/>
  <c r="AM69" i="44"/>
  <c r="AM68" i="44"/>
  <c r="AM67" i="44"/>
  <c r="AM66" i="44"/>
  <c r="AM65" i="44"/>
  <c r="AM64" i="44"/>
  <c r="AM63" i="44"/>
  <c r="AM62" i="44"/>
  <c r="AM61" i="44"/>
  <c r="AM60" i="44"/>
  <c r="AM59" i="44"/>
  <c r="AM58" i="44"/>
  <c r="AM57" i="44"/>
  <c r="AM56" i="44"/>
  <c r="AM55" i="44"/>
  <c r="AM54" i="44"/>
  <c r="AM53" i="44"/>
  <c r="AM52" i="44"/>
  <c r="AM51" i="44"/>
  <c r="AM50" i="44"/>
  <c r="AM49" i="44"/>
  <c r="AM48" i="44"/>
  <c r="AM47" i="44"/>
  <c r="AM46" i="44"/>
  <c r="AM45" i="44"/>
  <c r="AH74" i="44"/>
  <c r="AH73" i="44"/>
  <c r="AH72" i="44"/>
  <c r="AH71" i="44"/>
  <c r="AH70" i="44"/>
  <c r="AH69" i="44"/>
  <c r="AH68" i="44"/>
  <c r="AH67" i="44"/>
  <c r="AH66" i="44"/>
  <c r="AH65" i="44"/>
  <c r="AH64" i="44"/>
  <c r="AH63" i="44"/>
  <c r="AH62" i="44"/>
  <c r="AH61" i="44"/>
  <c r="AH60" i="44"/>
  <c r="AH59" i="44"/>
  <c r="AH58" i="44"/>
  <c r="AH57" i="44"/>
  <c r="AH56" i="44"/>
  <c r="AH55" i="44"/>
  <c r="AH54" i="44"/>
  <c r="AH53" i="44"/>
  <c r="AH52" i="44"/>
  <c r="AH51" i="44"/>
  <c r="AH50" i="44"/>
  <c r="AH49" i="44"/>
  <c r="AH48" i="44"/>
  <c r="AH47" i="44"/>
  <c r="AH46" i="44"/>
  <c r="AH45" i="44"/>
  <c r="AC74" i="44"/>
  <c r="AC73" i="44"/>
  <c r="AC72" i="44"/>
  <c r="AC71" i="44"/>
  <c r="AC70" i="44"/>
  <c r="AC69" i="44"/>
  <c r="AC68" i="44"/>
  <c r="AC67" i="44"/>
  <c r="AC66" i="44"/>
  <c r="AC65" i="44"/>
  <c r="AC64" i="44"/>
  <c r="AC63" i="44"/>
  <c r="AC62" i="44"/>
  <c r="AC61" i="44"/>
  <c r="AC60" i="44"/>
  <c r="AC59" i="44"/>
  <c r="AC58" i="44"/>
  <c r="AC57" i="44"/>
  <c r="AC56" i="44"/>
  <c r="AC55" i="44"/>
  <c r="AC54" i="44"/>
  <c r="AC53" i="44"/>
  <c r="AC52" i="44"/>
  <c r="AC51" i="44"/>
  <c r="AC50" i="44"/>
  <c r="AC49" i="44"/>
  <c r="AC48" i="44"/>
  <c r="AC47" i="44"/>
  <c r="AC46" i="44"/>
  <c r="AC45" i="44"/>
  <c r="X74" i="44"/>
  <c r="X73" i="44"/>
  <c r="X72" i="44"/>
  <c r="X71" i="44"/>
  <c r="X70" i="44"/>
  <c r="X69" i="44"/>
  <c r="X68" i="44"/>
  <c r="X67" i="44"/>
  <c r="X66" i="44"/>
  <c r="X65" i="44"/>
  <c r="X64" i="44"/>
  <c r="X63" i="44"/>
  <c r="X62" i="44"/>
  <c r="X61" i="44"/>
  <c r="X60" i="44"/>
  <c r="X59" i="44"/>
  <c r="X58" i="44"/>
  <c r="X57" i="44"/>
  <c r="X56" i="44"/>
  <c r="X55" i="44"/>
  <c r="X54" i="44"/>
  <c r="X53" i="44"/>
  <c r="X52" i="44"/>
  <c r="X51" i="44"/>
  <c r="X50" i="44"/>
  <c r="X49" i="44"/>
  <c r="X48" i="44"/>
  <c r="X47" i="44"/>
  <c r="X46" i="44"/>
  <c r="X45" i="44"/>
  <c r="S46" i="44"/>
  <c r="S47" i="44"/>
  <c r="S48" i="44"/>
  <c r="S49" i="44"/>
  <c r="S50" i="44"/>
  <c r="S51" i="44"/>
  <c r="S52" i="44"/>
  <c r="S53" i="44"/>
  <c r="S54" i="44"/>
  <c r="S55" i="44"/>
  <c r="S56" i="44"/>
  <c r="S57" i="44"/>
  <c r="S58" i="44"/>
  <c r="S59" i="44"/>
  <c r="S60" i="44"/>
  <c r="S61" i="44"/>
  <c r="S62" i="44"/>
  <c r="S63" i="44"/>
  <c r="S64" i="44"/>
  <c r="S65" i="44"/>
  <c r="S66" i="44"/>
  <c r="S67" i="44"/>
  <c r="S68" i="44"/>
  <c r="S69" i="44"/>
  <c r="S70" i="44"/>
  <c r="S71" i="44"/>
  <c r="S72" i="44"/>
  <c r="S73" i="44"/>
  <c r="S74" i="44"/>
  <c r="S45" i="44"/>
  <c r="M46" i="44"/>
  <c r="M47" i="44"/>
  <c r="M48" i="44"/>
  <c r="M49" i="44"/>
  <c r="M50" i="44"/>
  <c r="M51" i="44"/>
  <c r="M52" i="44"/>
  <c r="M53" i="44"/>
  <c r="M54" i="44"/>
  <c r="M55" i="44"/>
  <c r="M56" i="44"/>
  <c r="M57" i="44"/>
  <c r="M58" i="44"/>
  <c r="M59" i="44"/>
  <c r="M60" i="44"/>
  <c r="M61" i="44"/>
  <c r="M62" i="44"/>
  <c r="M63" i="44"/>
  <c r="M64" i="44"/>
  <c r="M65" i="44"/>
  <c r="M66" i="44"/>
  <c r="M67" i="44"/>
  <c r="M68" i="44"/>
  <c r="M69" i="44"/>
  <c r="M70" i="44"/>
  <c r="M71" i="44"/>
  <c r="M72" i="44"/>
  <c r="M73" i="44"/>
  <c r="M74" i="44"/>
  <c r="M45" i="44"/>
  <c r="AV74" i="44"/>
  <c r="AQ74" i="44"/>
  <c r="AL74" i="44"/>
  <c r="AG74" i="44"/>
  <c r="AB74" i="44"/>
  <c r="W74" i="44"/>
  <c r="R74" i="44"/>
  <c r="K74" i="44"/>
  <c r="J74" i="44"/>
  <c r="I74" i="44"/>
  <c r="G74" i="44"/>
  <c r="AV73" i="44"/>
  <c r="AQ73" i="44"/>
  <c r="AL73" i="44"/>
  <c r="AG73" i="44"/>
  <c r="AB73" i="44"/>
  <c r="W73" i="44"/>
  <c r="R73" i="44"/>
  <c r="J73" i="44"/>
  <c r="I73" i="44"/>
  <c r="G73" i="44"/>
  <c r="AV72" i="44"/>
  <c r="AQ72" i="44"/>
  <c r="AL72" i="44"/>
  <c r="AG72" i="44"/>
  <c r="AB72" i="44"/>
  <c r="W72" i="44"/>
  <c r="K72" i="44" s="1"/>
  <c r="R72" i="44"/>
  <c r="J72" i="44"/>
  <c r="I72" i="44"/>
  <c r="G72" i="44"/>
  <c r="AV71" i="44"/>
  <c r="AQ71" i="44"/>
  <c r="AL71" i="44"/>
  <c r="AG71" i="44"/>
  <c r="AB71" i="44"/>
  <c r="W71" i="44"/>
  <c r="R71" i="44"/>
  <c r="J71" i="44"/>
  <c r="I71" i="44"/>
  <c r="G71" i="44"/>
  <c r="AV70" i="44"/>
  <c r="AQ70" i="44"/>
  <c r="AL70" i="44"/>
  <c r="AG70" i="44"/>
  <c r="AB70" i="44"/>
  <c r="W70" i="44"/>
  <c r="R70" i="44"/>
  <c r="K70" i="44"/>
  <c r="J70" i="44"/>
  <c r="I70" i="44"/>
  <c r="G70" i="44"/>
  <c r="AV69" i="44"/>
  <c r="K69" i="44" s="1"/>
  <c r="AQ69" i="44"/>
  <c r="AL69" i="44"/>
  <c r="AG69" i="44"/>
  <c r="AB69" i="44"/>
  <c r="W69" i="44"/>
  <c r="R69" i="44"/>
  <c r="J69" i="44"/>
  <c r="I69" i="44"/>
  <c r="G69" i="44"/>
  <c r="AV68" i="44"/>
  <c r="AQ68" i="44"/>
  <c r="AL68" i="44"/>
  <c r="K68" i="44" s="1"/>
  <c r="AG68" i="44"/>
  <c r="AB68" i="44"/>
  <c r="W68" i="44"/>
  <c r="R68" i="44"/>
  <c r="J68" i="44"/>
  <c r="I68" i="44"/>
  <c r="G68" i="44"/>
  <c r="AV67" i="44"/>
  <c r="AQ67" i="44"/>
  <c r="AL67" i="44"/>
  <c r="K67" i="44" s="1"/>
  <c r="AG67" i="44"/>
  <c r="AB67" i="44"/>
  <c r="W67" i="44"/>
  <c r="R67" i="44"/>
  <c r="J67" i="44"/>
  <c r="I67" i="44"/>
  <c r="G67" i="44"/>
  <c r="AV66" i="44"/>
  <c r="AQ66" i="44"/>
  <c r="AL66" i="44"/>
  <c r="AG66" i="44"/>
  <c r="AB66" i="44"/>
  <c r="W66" i="44"/>
  <c r="R66" i="44"/>
  <c r="J66" i="44"/>
  <c r="I66" i="44"/>
  <c r="G66" i="44"/>
  <c r="AV65" i="44"/>
  <c r="AQ65" i="44"/>
  <c r="AL65" i="44"/>
  <c r="AG65" i="44"/>
  <c r="AB65" i="44"/>
  <c r="W65" i="44"/>
  <c r="R65" i="44"/>
  <c r="K65" i="44"/>
  <c r="J65" i="44"/>
  <c r="I65" i="44"/>
  <c r="G65" i="44"/>
  <c r="AV64" i="44"/>
  <c r="AQ64" i="44"/>
  <c r="AL64" i="44"/>
  <c r="AG64" i="44"/>
  <c r="AB64" i="44"/>
  <c r="W64" i="44"/>
  <c r="R64" i="44"/>
  <c r="J64" i="44"/>
  <c r="I64" i="44"/>
  <c r="G64" i="44"/>
  <c r="AV63" i="44"/>
  <c r="AQ63" i="44"/>
  <c r="AL63" i="44"/>
  <c r="AG63" i="44"/>
  <c r="AB63" i="44"/>
  <c r="W63" i="44"/>
  <c r="R63" i="44"/>
  <c r="J63" i="44"/>
  <c r="I63" i="44"/>
  <c r="G63" i="44"/>
  <c r="AV62" i="44"/>
  <c r="AQ62" i="44"/>
  <c r="AL62" i="44"/>
  <c r="AG62" i="44"/>
  <c r="AB62" i="44"/>
  <c r="W62" i="44"/>
  <c r="R62" i="44"/>
  <c r="J62" i="44"/>
  <c r="I62" i="44"/>
  <c r="G62" i="44"/>
  <c r="AV61" i="44"/>
  <c r="AQ61" i="44"/>
  <c r="AL61" i="44"/>
  <c r="AG61" i="44"/>
  <c r="AB61" i="44"/>
  <c r="W61" i="44"/>
  <c r="K61" i="44" s="1"/>
  <c r="R61" i="44"/>
  <c r="J61" i="44"/>
  <c r="I61" i="44"/>
  <c r="G61" i="44"/>
  <c r="AV60" i="44"/>
  <c r="AQ60" i="44"/>
  <c r="AL60" i="44"/>
  <c r="AG60" i="44"/>
  <c r="AB60" i="44"/>
  <c r="W60" i="44"/>
  <c r="R60" i="44"/>
  <c r="K60" i="44" s="1"/>
  <c r="J60" i="44"/>
  <c r="I60" i="44"/>
  <c r="G60" i="44"/>
  <c r="AV59" i="44"/>
  <c r="AQ59" i="44"/>
  <c r="AL59" i="44"/>
  <c r="AG59" i="44"/>
  <c r="AB59" i="44"/>
  <c r="W59" i="44"/>
  <c r="R59" i="44"/>
  <c r="K59" i="44" s="1"/>
  <c r="J59" i="44"/>
  <c r="I59" i="44"/>
  <c r="G59" i="44"/>
  <c r="AV58" i="44"/>
  <c r="AQ58" i="44"/>
  <c r="AL58" i="44"/>
  <c r="AG58" i="44"/>
  <c r="AB58" i="44"/>
  <c r="W58" i="44"/>
  <c r="R58" i="44"/>
  <c r="K58" i="44"/>
  <c r="J58" i="44"/>
  <c r="I58" i="44"/>
  <c r="G58" i="44"/>
  <c r="AV57" i="44"/>
  <c r="AQ57" i="44"/>
  <c r="AL57" i="44"/>
  <c r="AG57" i="44"/>
  <c r="K57" i="44" s="1"/>
  <c r="AB57" i="44"/>
  <c r="W57" i="44"/>
  <c r="R57" i="44"/>
  <c r="J57" i="44"/>
  <c r="I57" i="44"/>
  <c r="G57" i="44"/>
  <c r="AV56" i="44"/>
  <c r="AQ56" i="44"/>
  <c r="AL56" i="44"/>
  <c r="AG56" i="44"/>
  <c r="AB56" i="44"/>
  <c r="K56" i="44" s="1"/>
  <c r="W56" i="44"/>
  <c r="R56" i="44"/>
  <c r="J56" i="44"/>
  <c r="I56" i="44"/>
  <c r="G56" i="44"/>
  <c r="AV55" i="44"/>
  <c r="AQ55" i="44"/>
  <c r="AL55" i="44"/>
  <c r="AG55" i="44"/>
  <c r="AB55" i="44"/>
  <c r="W55" i="44"/>
  <c r="R55" i="44"/>
  <c r="K55" i="44" s="1"/>
  <c r="J55" i="44"/>
  <c r="I55" i="44"/>
  <c r="G55" i="44"/>
  <c r="AV54" i="44"/>
  <c r="AQ54" i="44"/>
  <c r="AL54" i="44"/>
  <c r="AG54" i="44"/>
  <c r="AB54" i="44"/>
  <c r="W54" i="44"/>
  <c r="R54" i="44"/>
  <c r="K54" i="44"/>
  <c r="J54" i="44"/>
  <c r="I54" i="44"/>
  <c r="G54" i="44"/>
  <c r="AV53" i="44"/>
  <c r="AQ53" i="44"/>
  <c r="AL53" i="44"/>
  <c r="AG53" i="44"/>
  <c r="AB53" i="44"/>
  <c r="W53" i="44"/>
  <c r="R53" i="44"/>
  <c r="J53" i="44"/>
  <c r="I53" i="44"/>
  <c r="G53" i="44"/>
  <c r="AV52" i="44"/>
  <c r="AQ52" i="44"/>
  <c r="AL52" i="44"/>
  <c r="AG52" i="44"/>
  <c r="AB52" i="44"/>
  <c r="W52" i="44"/>
  <c r="R52" i="44"/>
  <c r="K52" i="44"/>
  <c r="J52" i="44"/>
  <c r="I52" i="44"/>
  <c r="G52" i="44"/>
  <c r="AV51" i="44"/>
  <c r="AQ51" i="44"/>
  <c r="AL51" i="44"/>
  <c r="AG51" i="44"/>
  <c r="AB51" i="44"/>
  <c r="W51" i="44"/>
  <c r="R51" i="44"/>
  <c r="J51" i="44"/>
  <c r="I51" i="44"/>
  <c r="G51" i="44"/>
  <c r="AV50" i="44"/>
  <c r="AQ50" i="44"/>
  <c r="AL50" i="44"/>
  <c r="AG50" i="44"/>
  <c r="AB50" i="44"/>
  <c r="W50" i="44"/>
  <c r="R50" i="44"/>
  <c r="K50" i="44" s="1"/>
  <c r="J50" i="44"/>
  <c r="I50" i="44"/>
  <c r="G50" i="44"/>
  <c r="AV49" i="44"/>
  <c r="AQ49" i="44"/>
  <c r="AL49" i="44"/>
  <c r="AG49" i="44"/>
  <c r="AB49" i="44"/>
  <c r="W49" i="44"/>
  <c r="R49" i="44"/>
  <c r="K49" i="44"/>
  <c r="J49" i="44"/>
  <c r="I49" i="44"/>
  <c r="G49" i="44"/>
  <c r="AV48" i="44"/>
  <c r="AQ48" i="44"/>
  <c r="AL48" i="44"/>
  <c r="AG48" i="44"/>
  <c r="AB48" i="44"/>
  <c r="W48" i="44"/>
  <c r="R48" i="44"/>
  <c r="K48" i="44"/>
  <c r="J48" i="44"/>
  <c r="I48" i="44"/>
  <c r="G48" i="44"/>
  <c r="AV47" i="44"/>
  <c r="AQ47" i="44"/>
  <c r="K47" i="44" s="1"/>
  <c r="AL47" i="44"/>
  <c r="AG47" i="44"/>
  <c r="AB47" i="44"/>
  <c r="W47" i="44"/>
  <c r="R47" i="44"/>
  <c r="J47" i="44"/>
  <c r="I47" i="44"/>
  <c r="G47" i="44"/>
  <c r="AV46" i="44"/>
  <c r="AQ46" i="44"/>
  <c r="AL46" i="44"/>
  <c r="AG46" i="44"/>
  <c r="K46" i="44" s="1"/>
  <c r="AB46" i="44"/>
  <c r="W46" i="44"/>
  <c r="R46" i="44"/>
  <c r="J46" i="44"/>
  <c r="I46" i="44"/>
  <c r="G46" i="44"/>
  <c r="AV45" i="44"/>
  <c r="AX45" i="44" s="1"/>
  <c r="AQ45" i="44"/>
  <c r="AS45" i="44" s="1"/>
  <c r="AL45" i="44"/>
  <c r="K45" i="44" s="1"/>
  <c r="AG45" i="44"/>
  <c r="AB45" i="44"/>
  <c r="W45" i="44"/>
  <c r="R45" i="44"/>
  <c r="T45" i="44" s="1"/>
  <c r="J45" i="44"/>
  <c r="I45" i="44"/>
  <c r="G45" i="44"/>
  <c r="H45" i="44" s="1"/>
  <c r="H12" i="6"/>
  <c r="H12" i="7"/>
  <c r="B14" i="6"/>
  <c r="AC20" i="6"/>
  <c r="AD20" i="6" s="1"/>
  <c r="S20" i="6"/>
  <c r="M20" i="6"/>
  <c r="N20" i="6" s="1"/>
  <c r="F20" i="6"/>
  <c r="AL20" i="6" s="1"/>
  <c r="AC19" i="6"/>
  <c r="AD19" i="6" s="1"/>
  <c r="S19" i="6"/>
  <c r="M19" i="6"/>
  <c r="N19" i="6" s="1"/>
  <c r="F19" i="6"/>
  <c r="AL19" i="6" s="1"/>
  <c r="AC18" i="6"/>
  <c r="S18" i="6"/>
  <c r="M18" i="6"/>
  <c r="N18" i="6" s="1"/>
  <c r="F18" i="6"/>
  <c r="AL18" i="6" s="1"/>
  <c r="AC17" i="6"/>
  <c r="AD17" i="6" s="1"/>
  <c r="S17" i="6"/>
  <c r="M17" i="6"/>
  <c r="N17" i="6" s="1"/>
  <c r="F17" i="6"/>
  <c r="AL17" i="6" s="1"/>
  <c r="AC16" i="6"/>
  <c r="AD16" i="6" s="1"/>
  <c r="S16" i="6"/>
  <c r="M16" i="6"/>
  <c r="N16" i="6" s="1"/>
  <c r="F16" i="6"/>
  <c r="AL16" i="6" s="1"/>
  <c r="AC15" i="6"/>
  <c r="AD15" i="6" s="1"/>
  <c r="S15" i="6"/>
  <c r="M15" i="6"/>
  <c r="N15" i="6" s="1"/>
  <c r="F15" i="6"/>
  <c r="AL15" i="6" s="1"/>
  <c r="AC14" i="6"/>
  <c r="AD14" i="6" s="1"/>
  <c r="S14" i="6"/>
  <c r="M14" i="6"/>
  <c r="N14" i="6" s="1"/>
  <c r="F14" i="6"/>
  <c r="AL14" i="6" s="1"/>
  <c r="B14" i="7"/>
  <c r="AC20" i="7"/>
  <c r="S20" i="7"/>
  <c r="T20" i="7" s="1"/>
  <c r="M20" i="7"/>
  <c r="N20" i="7" s="1"/>
  <c r="F20" i="7"/>
  <c r="AL20" i="7" s="1"/>
  <c r="AC19" i="7"/>
  <c r="S19" i="7"/>
  <c r="T19" i="7" s="1"/>
  <c r="M19" i="7"/>
  <c r="N19" i="7" s="1"/>
  <c r="F19" i="7"/>
  <c r="AL19" i="7" s="1"/>
  <c r="AC18" i="7"/>
  <c r="S18" i="7"/>
  <c r="T18" i="7" s="1"/>
  <c r="M18" i="7"/>
  <c r="N18" i="7" s="1"/>
  <c r="F18" i="7"/>
  <c r="AL18" i="7" s="1"/>
  <c r="AC17" i="7"/>
  <c r="S17" i="7"/>
  <c r="T17" i="7" s="1"/>
  <c r="M17" i="7"/>
  <c r="N17" i="7" s="1"/>
  <c r="F17" i="7"/>
  <c r="AL17" i="7" s="1"/>
  <c r="AC16" i="7"/>
  <c r="S16" i="7"/>
  <c r="T16" i="7" s="1"/>
  <c r="M16" i="7"/>
  <c r="N16" i="7" s="1"/>
  <c r="F16" i="7"/>
  <c r="AL16" i="7" s="1"/>
  <c r="AC15" i="7"/>
  <c r="S15" i="7"/>
  <c r="T15" i="7" s="1"/>
  <c r="M15" i="7"/>
  <c r="N15" i="7" s="1"/>
  <c r="F15" i="7"/>
  <c r="AL15" i="7" s="1"/>
  <c r="AC14" i="7"/>
  <c r="S14" i="7"/>
  <c r="T14" i="7" s="1"/>
  <c r="M14" i="7"/>
  <c r="N14" i="7" s="1"/>
  <c r="F14" i="7"/>
  <c r="AL14" i="7" s="1"/>
  <c r="U13" i="5"/>
  <c r="U14" i="5"/>
  <c r="U15" i="5"/>
  <c r="U16" i="5"/>
  <c r="U17" i="5"/>
  <c r="U18" i="5"/>
  <c r="U12" i="5"/>
  <c r="AE42" i="52" l="1"/>
  <c r="Z43" i="52"/>
  <c r="AI27" i="52"/>
  <c r="K27" i="52"/>
  <c r="Z42" i="51"/>
  <c r="U43" i="51"/>
  <c r="AE22" i="51"/>
  <c r="Z23" i="51"/>
  <c r="L27" i="51"/>
  <c r="C1" i="51" s="1"/>
  <c r="Z42" i="50"/>
  <c r="U43" i="50"/>
  <c r="U23" i="50"/>
  <c r="Z22" i="50"/>
  <c r="Z43" i="49"/>
  <c r="AE42" i="49"/>
  <c r="K31" i="49"/>
  <c r="K30" i="49"/>
  <c r="AI27" i="49"/>
  <c r="AS27" i="49"/>
  <c r="T27" i="49"/>
  <c r="AD27" i="49"/>
  <c r="U43" i="48"/>
  <c r="Z42" i="48"/>
  <c r="AS27" i="48"/>
  <c r="AX27" i="48"/>
  <c r="K32" i="48"/>
  <c r="K31" i="48"/>
  <c r="K30" i="48"/>
  <c r="K29" i="48"/>
  <c r="Y27" i="48"/>
  <c r="AN27" i="48"/>
  <c r="Z42" i="47"/>
  <c r="U43" i="47"/>
  <c r="T27" i="47"/>
  <c r="K28" i="47"/>
  <c r="Y7" i="47"/>
  <c r="AM7" i="47"/>
  <c r="AR7" i="47"/>
  <c r="Z2" i="47"/>
  <c r="AC7" i="47"/>
  <c r="K7" i="47"/>
  <c r="AH7" i="47"/>
  <c r="S7" i="47"/>
  <c r="U102" i="46"/>
  <c r="Y27" i="46"/>
  <c r="K27" i="46"/>
  <c r="Z2" i="46"/>
  <c r="T7" i="46"/>
  <c r="K8" i="46"/>
  <c r="Z102" i="45"/>
  <c r="U103" i="45"/>
  <c r="AN27" i="45"/>
  <c r="K27" i="45"/>
  <c r="K35" i="45"/>
  <c r="K34" i="45"/>
  <c r="K33" i="45"/>
  <c r="T27" i="45"/>
  <c r="K28" i="45"/>
  <c r="AD27" i="45"/>
  <c r="K7" i="45"/>
  <c r="AS7" i="45"/>
  <c r="K13" i="45"/>
  <c r="U2" i="45"/>
  <c r="K12" i="45"/>
  <c r="K11" i="45"/>
  <c r="K10" i="45"/>
  <c r="K9" i="45"/>
  <c r="U79" i="44"/>
  <c r="Z78" i="44"/>
  <c r="Z79" i="44" s="1"/>
  <c r="AE78" i="44"/>
  <c r="M83" i="44"/>
  <c r="M95" i="44"/>
  <c r="M92" i="44"/>
  <c r="M112" i="44"/>
  <c r="M84" i="44"/>
  <c r="Y45" i="44"/>
  <c r="AD45" i="44"/>
  <c r="K66" i="44"/>
  <c r="K71" i="44"/>
  <c r="AI45" i="44"/>
  <c r="K53" i="44"/>
  <c r="AN45" i="44"/>
  <c r="K64" i="44"/>
  <c r="K73" i="44"/>
  <c r="K51" i="44"/>
  <c r="K63" i="44"/>
  <c r="K62" i="44"/>
  <c r="J16" i="6"/>
  <c r="J19" i="6"/>
  <c r="L16" i="6"/>
  <c r="L20" i="6"/>
  <c r="P14" i="6"/>
  <c r="P15" i="6"/>
  <c r="P16" i="6"/>
  <c r="P17" i="6"/>
  <c r="P18" i="6"/>
  <c r="P19" i="6"/>
  <c r="P20" i="6"/>
  <c r="R14" i="6"/>
  <c r="R15" i="6"/>
  <c r="R16" i="6"/>
  <c r="R17" i="6"/>
  <c r="R18" i="6"/>
  <c r="R19" i="6"/>
  <c r="R20" i="6"/>
  <c r="G14" i="6"/>
  <c r="J15" i="6"/>
  <c r="J17" i="6"/>
  <c r="L15" i="6"/>
  <c r="L19" i="6"/>
  <c r="T14" i="6"/>
  <c r="T15" i="6"/>
  <c r="T16" i="6"/>
  <c r="T17" i="6"/>
  <c r="T18" i="6"/>
  <c r="T20" i="6"/>
  <c r="V14" i="6"/>
  <c r="V15" i="6"/>
  <c r="V16" i="6"/>
  <c r="V17" i="6"/>
  <c r="V18" i="6"/>
  <c r="V19" i="6"/>
  <c r="V20" i="6"/>
  <c r="X14" i="6"/>
  <c r="X15" i="6"/>
  <c r="X16" i="6"/>
  <c r="X17" i="6"/>
  <c r="X18" i="6"/>
  <c r="X19" i="6"/>
  <c r="X20" i="6"/>
  <c r="Z14" i="6"/>
  <c r="Z15" i="6"/>
  <c r="Z16" i="6"/>
  <c r="Z17" i="6"/>
  <c r="Z18" i="6"/>
  <c r="Z19" i="6"/>
  <c r="Z20" i="6"/>
  <c r="AB14" i="6"/>
  <c r="AB15" i="6"/>
  <c r="AB16" i="6"/>
  <c r="AB17" i="6"/>
  <c r="AB18" i="6"/>
  <c r="AB19" i="6"/>
  <c r="AB20" i="6"/>
  <c r="J20" i="6"/>
  <c r="AD18" i="6"/>
  <c r="AH14" i="6"/>
  <c r="AH15" i="6"/>
  <c r="AH16" i="6"/>
  <c r="AH17" i="6"/>
  <c r="AH18" i="6"/>
  <c r="AH19" i="6"/>
  <c r="AH20" i="6"/>
  <c r="AJ14" i="6"/>
  <c r="AJ15" i="6"/>
  <c r="AJ16" i="6"/>
  <c r="AJ17" i="6"/>
  <c r="AJ18" i="6"/>
  <c r="AJ19" i="6"/>
  <c r="AJ20" i="6"/>
  <c r="J14" i="6"/>
  <c r="J18" i="6"/>
  <c r="L14" i="6"/>
  <c r="L17" i="6"/>
  <c r="L18" i="6"/>
  <c r="T19" i="6"/>
  <c r="AF14" i="6"/>
  <c r="AF15" i="6"/>
  <c r="AF16" i="6"/>
  <c r="AF17" i="6"/>
  <c r="AF18" i="6"/>
  <c r="AF19" i="6"/>
  <c r="AF20" i="6"/>
  <c r="J14" i="7"/>
  <c r="J15" i="7"/>
  <c r="J16" i="7"/>
  <c r="J17" i="7"/>
  <c r="J18" i="7"/>
  <c r="J19" i="7"/>
  <c r="J20" i="7"/>
  <c r="L14" i="7"/>
  <c r="L20" i="7"/>
  <c r="P15" i="7"/>
  <c r="P18" i="7"/>
  <c r="R15" i="7"/>
  <c r="R19" i="7"/>
  <c r="V17" i="7"/>
  <c r="AB16" i="7"/>
  <c r="R17" i="7"/>
  <c r="V18" i="7"/>
  <c r="Z18" i="7"/>
  <c r="AB14" i="7"/>
  <c r="AB15" i="7"/>
  <c r="AB18" i="7"/>
  <c r="AB19" i="7"/>
  <c r="AB20" i="7"/>
  <c r="G14" i="7"/>
  <c r="L16" i="7"/>
  <c r="L18" i="7"/>
  <c r="P14" i="7"/>
  <c r="P17" i="7"/>
  <c r="P20" i="7"/>
  <c r="R16" i="7"/>
  <c r="R18" i="7"/>
  <c r="V15" i="7"/>
  <c r="V19" i="7"/>
  <c r="X14" i="7"/>
  <c r="X16" i="7"/>
  <c r="X18" i="7"/>
  <c r="X20" i="7"/>
  <c r="Z15" i="7"/>
  <c r="Z17" i="7"/>
  <c r="Z20" i="7"/>
  <c r="AB17" i="7"/>
  <c r="AD14" i="7"/>
  <c r="AD15" i="7"/>
  <c r="AD16" i="7"/>
  <c r="AD17" i="7"/>
  <c r="AD18" i="7"/>
  <c r="AD19" i="7"/>
  <c r="AD20" i="7"/>
  <c r="AF14" i="7"/>
  <c r="AF15" i="7"/>
  <c r="AF16" i="7"/>
  <c r="AF17" i="7"/>
  <c r="AF18" i="7"/>
  <c r="AF19" i="7"/>
  <c r="AF20" i="7"/>
  <c r="L15" i="7"/>
  <c r="L17" i="7"/>
  <c r="L19" i="7"/>
  <c r="P16" i="7"/>
  <c r="P19" i="7"/>
  <c r="R14" i="7"/>
  <c r="R20" i="7"/>
  <c r="V14" i="7"/>
  <c r="V16" i="7"/>
  <c r="V20" i="7"/>
  <c r="X15" i="7"/>
  <c r="X17" i="7"/>
  <c r="X19" i="7"/>
  <c r="Z14" i="7"/>
  <c r="Z16" i="7"/>
  <c r="Z19" i="7"/>
  <c r="AH14" i="7"/>
  <c r="AH15" i="7"/>
  <c r="AH16" i="7"/>
  <c r="AH17" i="7"/>
  <c r="AH18" i="7"/>
  <c r="AH19" i="7"/>
  <c r="AH20" i="7"/>
  <c r="AJ14" i="7"/>
  <c r="AJ15" i="7"/>
  <c r="AJ16" i="7"/>
  <c r="AJ17" i="7"/>
  <c r="AJ18" i="7"/>
  <c r="AJ19" i="7"/>
  <c r="AJ20" i="7"/>
  <c r="AE43" i="52" l="1"/>
  <c r="AJ42" i="52"/>
  <c r="L27" i="52"/>
  <c r="C1" i="52" s="1"/>
  <c r="AE42" i="51"/>
  <c r="Z43" i="51"/>
  <c r="AE23" i="51"/>
  <c r="AJ22" i="51"/>
  <c r="AE42" i="50"/>
  <c r="Z43" i="50"/>
  <c r="Z23" i="50"/>
  <c r="AE22" i="50"/>
  <c r="AJ42" i="49"/>
  <c r="AE43" i="49"/>
  <c r="L27" i="49"/>
  <c r="C1" i="49" s="1"/>
  <c r="Z43" i="48"/>
  <c r="AE42" i="48"/>
  <c r="L27" i="48"/>
  <c r="AE42" i="47"/>
  <c r="Z43" i="47"/>
  <c r="L27" i="47"/>
  <c r="M7" i="47"/>
  <c r="L7" i="47"/>
  <c r="Z3" i="47"/>
  <c r="AE2" i="47"/>
  <c r="U103" i="46"/>
  <c r="Z102" i="46"/>
  <c r="L27" i="46"/>
  <c r="Z3" i="46"/>
  <c r="AE2" i="46"/>
  <c r="L7" i="46"/>
  <c r="AE102" i="45"/>
  <c r="Z103" i="45"/>
  <c r="L27" i="45"/>
  <c r="U3" i="45"/>
  <c r="Z2" i="45"/>
  <c r="L7" i="45"/>
  <c r="AE79" i="44"/>
  <c r="AJ78" i="44"/>
  <c r="L83" i="44"/>
  <c r="L45" i="44"/>
  <c r="AO42" i="52" l="1"/>
  <c r="AJ43" i="52"/>
  <c r="AJ42" i="51"/>
  <c r="AE43" i="51"/>
  <c r="AJ23" i="51"/>
  <c r="AO22" i="51"/>
  <c r="AJ42" i="50"/>
  <c r="AE43" i="50"/>
  <c r="AE23" i="50"/>
  <c r="AJ22" i="50"/>
  <c r="AO42" i="49"/>
  <c r="AJ43" i="49"/>
  <c r="AJ42" i="48"/>
  <c r="AE43" i="48"/>
  <c r="AJ42" i="47"/>
  <c r="AE43" i="47"/>
  <c r="AE3" i="47"/>
  <c r="AJ2" i="47"/>
  <c r="Z103" i="46"/>
  <c r="AE102" i="46"/>
  <c r="AE3" i="46"/>
  <c r="AJ2" i="46"/>
  <c r="AJ102" i="45"/>
  <c r="AE103" i="45"/>
  <c r="Z3" i="45"/>
  <c r="AE2" i="45"/>
  <c r="AJ79" i="44"/>
  <c r="AO78" i="44"/>
  <c r="AO43" i="52" l="1"/>
  <c r="AT42" i="52"/>
  <c r="AO42" i="51"/>
  <c r="AJ43" i="51"/>
  <c r="AO23" i="51"/>
  <c r="AT22" i="51"/>
  <c r="AT23" i="51" s="1"/>
  <c r="AO42" i="50"/>
  <c r="AJ43" i="50"/>
  <c r="AJ23" i="50"/>
  <c r="AO22" i="50"/>
  <c r="AT42" i="49"/>
  <c r="AO43" i="49"/>
  <c r="AO42" i="48"/>
  <c r="AJ43" i="48"/>
  <c r="AO42" i="47"/>
  <c r="AJ43" i="47"/>
  <c r="AJ3" i="47"/>
  <c r="AO2" i="47"/>
  <c r="AE103" i="46"/>
  <c r="AJ102" i="46"/>
  <c r="AJ3" i="46"/>
  <c r="AO2" i="46"/>
  <c r="AJ103" i="45"/>
  <c r="AO102" i="45"/>
  <c r="AJ2" i="45"/>
  <c r="AE3" i="45"/>
  <c r="AO79" i="44"/>
  <c r="AT78" i="44"/>
  <c r="AT79" i="44" s="1"/>
  <c r="P62" i="52" l="1"/>
  <c r="AT43" i="52"/>
  <c r="AT42" i="51"/>
  <c r="AO43" i="51"/>
  <c r="AO43" i="50"/>
  <c r="AT42" i="50"/>
  <c r="AO23" i="50"/>
  <c r="AT22" i="50"/>
  <c r="AT23" i="50" s="1"/>
  <c r="P62" i="49"/>
  <c r="AT43" i="49"/>
  <c r="AO43" i="48"/>
  <c r="AT42" i="48"/>
  <c r="AT42" i="47"/>
  <c r="AO43" i="47"/>
  <c r="AO3" i="47"/>
  <c r="AT2" i="47"/>
  <c r="AT3" i="47" s="1"/>
  <c r="AJ103" i="46"/>
  <c r="AO102" i="46"/>
  <c r="AO3" i="46"/>
  <c r="AT2" i="46"/>
  <c r="AT3" i="46" s="1"/>
  <c r="AO103" i="45"/>
  <c r="AT102" i="45"/>
  <c r="AT103" i="45" s="1"/>
  <c r="AO2" i="45"/>
  <c r="AJ3" i="45"/>
  <c r="U62" i="52" l="1"/>
  <c r="P63" i="52"/>
  <c r="P62" i="51"/>
  <c r="AT43" i="51"/>
  <c r="P62" i="50"/>
  <c r="AT43" i="50"/>
  <c r="P63" i="49"/>
  <c r="U62" i="49"/>
  <c r="P62" i="48"/>
  <c r="AT43" i="48"/>
  <c r="P62" i="47"/>
  <c r="AT43" i="47"/>
  <c r="AO103" i="46"/>
  <c r="AT102" i="46"/>
  <c r="AT103" i="46" s="1"/>
  <c r="AT2" i="45"/>
  <c r="AT3" i="45" s="1"/>
  <c r="AO3" i="45"/>
  <c r="U63" i="52" l="1"/>
  <c r="Z62" i="52"/>
  <c r="P63" i="51"/>
  <c r="U62" i="51"/>
  <c r="P63" i="50"/>
  <c r="U62" i="50"/>
  <c r="U63" i="49"/>
  <c r="Z62" i="49"/>
  <c r="P63" i="48"/>
  <c r="U62" i="48"/>
  <c r="P63" i="47"/>
  <c r="U62" i="47"/>
  <c r="Z63" i="52" l="1"/>
  <c r="AE62" i="52"/>
  <c r="U63" i="51"/>
  <c r="Z62" i="51"/>
  <c r="Z62" i="50"/>
  <c r="U63" i="50"/>
  <c r="Z63" i="49"/>
  <c r="AE62" i="49"/>
  <c r="U63" i="48"/>
  <c r="Z62" i="48"/>
  <c r="U63" i="47"/>
  <c r="Z62" i="47"/>
  <c r="AE63" i="52" l="1"/>
  <c r="AJ62" i="52"/>
  <c r="Z63" i="51"/>
  <c r="AE62" i="51"/>
  <c r="Z63" i="50"/>
  <c r="AE62" i="50"/>
  <c r="AJ62" i="49"/>
  <c r="AE63" i="49"/>
  <c r="Z63" i="48"/>
  <c r="AE62" i="48"/>
  <c r="Z63" i="47"/>
  <c r="AE62" i="47"/>
  <c r="AO62" i="52" l="1"/>
  <c r="AJ63" i="52"/>
  <c r="AJ62" i="51"/>
  <c r="AE63" i="51"/>
  <c r="AJ62" i="50"/>
  <c r="AE63" i="50"/>
  <c r="AO62" i="49"/>
  <c r="AJ63" i="49"/>
  <c r="AJ62" i="48"/>
  <c r="AE63" i="48"/>
  <c r="AE63" i="47"/>
  <c r="AJ62" i="47"/>
  <c r="AT62" i="52" l="1"/>
  <c r="AO63" i="52"/>
  <c r="AO62" i="51"/>
  <c r="AJ63" i="51"/>
  <c r="AO62" i="50"/>
  <c r="AJ63" i="50"/>
  <c r="AT62" i="49"/>
  <c r="AO63" i="49"/>
  <c r="AJ63" i="48"/>
  <c r="AO62" i="48"/>
  <c r="AO62" i="47"/>
  <c r="AJ63" i="47"/>
  <c r="P82" i="52" l="1"/>
  <c r="AT63" i="52"/>
  <c r="AT62" i="51"/>
  <c r="AO63" i="51"/>
  <c r="AT62" i="50"/>
  <c r="AO63" i="50"/>
  <c r="P82" i="49"/>
  <c r="AT63" i="49"/>
  <c r="AT62" i="48"/>
  <c r="AO63" i="48"/>
  <c r="AT62" i="47"/>
  <c r="AO63" i="47"/>
  <c r="U82" i="52" l="1"/>
  <c r="P83" i="52"/>
  <c r="AT63" i="51"/>
  <c r="P82" i="51"/>
  <c r="P82" i="50"/>
  <c r="AT63" i="50"/>
  <c r="P83" i="49"/>
  <c r="U82" i="49"/>
  <c r="P82" i="48"/>
  <c r="AT63" i="48"/>
  <c r="AT63" i="47"/>
  <c r="P82" i="47"/>
  <c r="Z82" i="52" l="1"/>
  <c r="U83" i="52"/>
  <c r="P83" i="51"/>
  <c r="U82" i="51"/>
  <c r="U82" i="50"/>
  <c r="P83" i="50"/>
  <c r="U83" i="49"/>
  <c r="Z82" i="49"/>
  <c r="P83" i="48"/>
  <c r="U82" i="48"/>
  <c r="P83" i="47"/>
  <c r="U82" i="47"/>
  <c r="Z83" i="52" l="1"/>
  <c r="AE82" i="52"/>
  <c r="U83" i="51"/>
  <c r="Z82" i="51"/>
  <c r="U83" i="50"/>
  <c r="Z82" i="50"/>
  <c r="Z83" i="49"/>
  <c r="AE82" i="49"/>
  <c r="Z82" i="48"/>
  <c r="U83" i="48"/>
  <c r="U83" i="47"/>
  <c r="Z82" i="47"/>
  <c r="AE83" i="52" l="1"/>
  <c r="AJ82" i="52"/>
  <c r="Z83" i="51"/>
  <c r="AE82" i="51"/>
  <c r="AE82" i="50"/>
  <c r="Z83" i="50"/>
  <c r="AE83" i="49"/>
  <c r="AJ82" i="49"/>
  <c r="Z83" i="48"/>
  <c r="AE82" i="48"/>
  <c r="Z83" i="47"/>
  <c r="AE82" i="47"/>
  <c r="AJ83" i="52" l="1"/>
  <c r="AO82" i="52"/>
  <c r="AE83" i="51"/>
  <c r="AJ82" i="51"/>
  <c r="AE83" i="50"/>
  <c r="AJ82" i="50"/>
  <c r="AJ83" i="49"/>
  <c r="AO82" i="49"/>
  <c r="AE83" i="48"/>
  <c r="AJ82" i="48"/>
  <c r="AE83" i="47"/>
  <c r="AJ82" i="47"/>
  <c r="AO83" i="52" l="1"/>
  <c r="AT82" i="52"/>
  <c r="AJ83" i="51"/>
  <c r="AO82" i="51"/>
  <c r="AJ83" i="50"/>
  <c r="AO82" i="50"/>
  <c r="AO83" i="49"/>
  <c r="AT82" i="49"/>
  <c r="AJ83" i="48"/>
  <c r="AO82" i="48"/>
  <c r="AJ83" i="47"/>
  <c r="AO82" i="47"/>
  <c r="AT83" i="52" l="1"/>
  <c r="P102" i="52"/>
  <c r="AO83" i="51"/>
  <c r="AT82" i="51"/>
  <c r="AO83" i="50"/>
  <c r="AT82" i="50"/>
  <c r="AT83" i="49"/>
  <c r="P102" i="49"/>
  <c r="AO83" i="48"/>
  <c r="AT82" i="48"/>
  <c r="AO83" i="47"/>
  <c r="AT82" i="47"/>
  <c r="P103" i="52" l="1"/>
  <c r="U102" i="52"/>
  <c r="AT83" i="51"/>
  <c r="P102" i="51"/>
  <c r="AT83" i="50"/>
  <c r="P102" i="50"/>
  <c r="U102" i="49"/>
  <c r="P103" i="49"/>
  <c r="AT83" i="48"/>
  <c r="P102" i="48"/>
  <c r="AT83" i="47"/>
  <c r="P102" i="47"/>
  <c r="U103" i="52" l="1"/>
  <c r="Z102" i="52"/>
  <c r="P103" i="51"/>
  <c r="U102" i="51"/>
  <c r="U102" i="50"/>
  <c r="P103" i="50"/>
  <c r="U103" i="49"/>
  <c r="Z102" i="49"/>
  <c r="P103" i="48"/>
  <c r="U102" i="48"/>
  <c r="U102" i="47"/>
  <c r="P103" i="47"/>
  <c r="Z103" i="52" l="1"/>
  <c r="AE102" i="52"/>
  <c r="Z102" i="51"/>
  <c r="U103" i="51"/>
  <c r="U103" i="50"/>
  <c r="Z102" i="50"/>
  <c r="Z103" i="49"/>
  <c r="AE102" i="49"/>
  <c r="Z102" i="48"/>
  <c r="U103" i="48"/>
  <c r="U103" i="47"/>
  <c r="Z102" i="47"/>
  <c r="AE103" i="52" l="1"/>
  <c r="AJ102" i="52"/>
  <c r="Z103" i="51"/>
  <c r="AE102" i="51"/>
  <c r="Z103" i="50"/>
  <c r="AE102" i="50"/>
  <c r="AE103" i="49"/>
  <c r="AJ102" i="49"/>
  <c r="Z103" i="48"/>
  <c r="AE102" i="48"/>
  <c r="Z103" i="47"/>
  <c r="AE102" i="47"/>
  <c r="AJ103" i="52" l="1"/>
  <c r="AO102" i="52"/>
  <c r="AE103" i="51"/>
  <c r="AJ102" i="51"/>
  <c r="AE103" i="50"/>
  <c r="AJ102" i="50"/>
  <c r="AJ103" i="49"/>
  <c r="AO102" i="49"/>
  <c r="AE103" i="48"/>
  <c r="AJ102" i="48"/>
  <c r="AE103" i="47"/>
  <c r="AJ102" i="47"/>
  <c r="AO103" i="52" l="1"/>
  <c r="AT102" i="52"/>
  <c r="AT103" i="52" s="1"/>
  <c r="AJ103" i="51"/>
  <c r="AO102" i="51"/>
  <c r="AO102" i="50"/>
  <c r="AJ103" i="50"/>
  <c r="AO103" i="49"/>
  <c r="AT102" i="49"/>
  <c r="AT103" i="49" s="1"/>
  <c r="AJ103" i="48"/>
  <c r="AO102" i="48"/>
  <c r="AJ103" i="47"/>
  <c r="AO102" i="47"/>
  <c r="AO103" i="51" l="1"/>
  <c r="AT102" i="51"/>
  <c r="AT103" i="51" s="1"/>
  <c r="AO103" i="50"/>
  <c r="AT102" i="50"/>
  <c r="AT103" i="50" s="1"/>
  <c r="AO103" i="48"/>
  <c r="AT102" i="48"/>
  <c r="AT103" i="48" s="1"/>
  <c r="AO103" i="47"/>
  <c r="AT102" i="47"/>
  <c r="AT103" i="47" s="1"/>
  <c r="M29" i="62" l="1"/>
  <c r="M28" i="62"/>
  <c r="M27" i="62"/>
  <c r="M26" i="62"/>
  <c r="M25" i="62"/>
  <c r="M30" i="62" s="1"/>
  <c r="M21" i="62"/>
  <c r="M20" i="62"/>
  <c r="M19" i="62"/>
  <c r="M18" i="62"/>
  <c r="M17" i="62"/>
  <c r="M22" i="62" s="1"/>
  <c r="M13" i="62"/>
  <c r="M12" i="62"/>
  <c r="M11" i="62"/>
  <c r="M10" i="62"/>
  <c r="M9" i="62"/>
  <c r="M14" i="62" s="1"/>
  <c r="M35" i="20"/>
  <c r="M34" i="20"/>
  <c r="M33" i="20"/>
  <c r="M38" i="20" s="1"/>
  <c r="M25" i="20"/>
  <c r="M30" i="20" s="1"/>
  <c r="M21" i="20"/>
  <c r="M20" i="20"/>
  <c r="M19" i="20"/>
  <c r="M18" i="20"/>
  <c r="M17" i="20"/>
  <c r="M22" i="20" s="1"/>
  <c r="M13" i="20"/>
  <c r="M12" i="20"/>
  <c r="M11" i="20"/>
  <c r="M10" i="20"/>
  <c r="M9" i="20"/>
  <c r="M29" i="19"/>
  <c r="M28" i="19"/>
  <c r="M27" i="19"/>
  <c r="M26" i="19"/>
  <c r="M25" i="19"/>
  <c r="M30" i="19" s="1"/>
  <c r="M21" i="19"/>
  <c r="M20" i="19"/>
  <c r="M19" i="19"/>
  <c r="M18" i="19"/>
  <c r="M17" i="19"/>
  <c r="M22" i="19" s="1"/>
  <c r="M13" i="19"/>
  <c r="M12" i="19"/>
  <c r="M11" i="19"/>
  <c r="M10" i="19"/>
  <c r="M9" i="19"/>
  <c r="AB103" i="64"/>
  <c r="R146" i="64"/>
  <c r="S146" i="64" s="1"/>
  <c r="Q146" i="64"/>
  <c r="P146" i="64"/>
  <c r="M146" i="64"/>
  <c r="K146" i="64"/>
  <c r="I146" i="64"/>
  <c r="R145" i="64"/>
  <c r="S145" i="64" s="1"/>
  <c r="Q145" i="64"/>
  <c r="P145" i="64"/>
  <c r="M145" i="64"/>
  <c r="K145" i="64"/>
  <c r="I145" i="64"/>
  <c r="R144" i="64"/>
  <c r="S144" i="64" s="1"/>
  <c r="Q144" i="64"/>
  <c r="P144" i="64"/>
  <c r="M144" i="64"/>
  <c r="K144" i="64"/>
  <c r="I144" i="64"/>
  <c r="R143" i="64"/>
  <c r="S143" i="64" s="1"/>
  <c r="Q143" i="64"/>
  <c r="P143" i="64"/>
  <c r="M143" i="64"/>
  <c r="K143" i="64"/>
  <c r="I143" i="64"/>
  <c r="R142" i="64"/>
  <c r="S142" i="64" s="1"/>
  <c r="Q142" i="64"/>
  <c r="P142" i="64"/>
  <c r="M142" i="64"/>
  <c r="K142" i="64"/>
  <c r="I142" i="64"/>
  <c r="R141" i="64"/>
  <c r="S141" i="64" s="1"/>
  <c r="Q141" i="64"/>
  <c r="P141" i="64"/>
  <c r="M141" i="64"/>
  <c r="K141" i="64"/>
  <c r="I141" i="64"/>
  <c r="R140" i="64"/>
  <c r="S140" i="64" s="1"/>
  <c r="Q140" i="64"/>
  <c r="P140" i="64"/>
  <c r="M140" i="64"/>
  <c r="K140" i="64"/>
  <c r="I140" i="64"/>
  <c r="R139" i="64"/>
  <c r="S139" i="64" s="1"/>
  <c r="Q139" i="64"/>
  <c r="P139" i="64"/>
  <c r="M139" i="64"/>
  <c r="K139" i="64"/>
  <c r="I139" i="64"/>
  <c r="R138" i="64"/>
  <c r="S138" i="64" s="1"/>
  <c r="Q138" i="64"/>
  <c r="P138" i="64"/>
  <c r="M138" i="64"/>
  <c r="K138" i="64"/>
  <c r="I138" i="64"/>
  <c r="R137" i="64"/>
  <c r="S137" i="64" s="1"/>
  <c r="Q137" i="64"/>
  <c r="P137" i="64"/>
  <c r="M137" i="64"/>
  <c r="K137" i="64"/>
  <c r="I137" i="64"/>
  <c r="R136" i="64"/>
  <c r="S136" i="64" s="1"/>
  <c r="Q136" i="64"/>
  <c r="P136" i="64"/>
  <c r="M136" i="64"/>
  <c r="K136" i="64"/>
  <c r="I136" i="64"/>
  <c r="R135" i="64"/>
  <c r="S135" i="64" s="1"/>
  <c r="Q135" i="64"/>
  <c r="P135" i="64"/>
  <c r="M135" i="64"/>
  <c r="K135" i="64"/>
  <c r="I135" i="64"/>
  <c r="R134" i="64"/>
  <c r="S134" i="64" s="1"/>
  <c r="Q134" i="64"/>
  <c r="P134" i="64"/>
  <c r="M134" i="64"/>
  <c r="K134" i="64"/>
  <c r="I134" i="64"/>
  <c r="R133" i="64"/>
  <c r="S133" i="64" s="1"/>
  <c r="Q133" i="64"/>
  <c r="P133" i="64"/>
  <c r="M133" i="64"/>
  <c r="K133" i="64"/>
  <c r="I133" i="64"/>
  <c r="R132" i="64"/>
  <c r="S132" i="64" s="1"/>
  <c r="Q132" i="64"/>
  <c r="P132" i="64"/>
  <c r="M132" i="64"/>
  <c r="K132" i="64"/>
  <c r="I132" i="64"/>
  <c r="R131" i="64"/>
  <c r="S131" i="64" s="1"/>
  <c r="Q131" i="64"/>
  <c r="P131" i="64"/>
  <c r="M131" i="64"/>
  <c r="K131" i="64"/>
  <c r="I131" i="64"/>
  <c r="R130" i="64"/>
  <c r="S130" i="64" s="1"/>
  <c r="Q130" i="64"/>
  <c r="P130" i="64"/>
  <c r="M130" i="64"/>
  <c r="K130" i="64"/>
  <c r="I130" i="64"/>
  <c r="R129" i="64"/>
  <c r="S129" i="64" s="1"/>
  <c r="Q129" i="64"/>
  <c r="P129" i="64"/>
  <c r="M129" i="64"/>
  <c r="K129" i="64"/>
  <c r="I129" i="64"/>
  <c r="AH128" i="64"/>
  <c r="AG128" i="64"/>
  <c r="AF128" i="64"/>
  <c r="AE128" i="64"/>
  <c r="M65" i="41" s="1"/>
  <c r="AD128" i="64"/>
  <c r="K65" i="41" s="1"/>
  <c r="AC128" i="64"/>
  <c r="I65" i="41" s="1"/>
  <c r="AB128" i="64"/>
  <c r="G65" i="41" s="1"/>
  <c r="R128" i="64"/>
  <c r="S128" i="64" s="1"/>
  <c r="Q128" i="64"/>
  <c r="P128" i="64"/>
  <c r="M128" i="64"/>
  <c r="K128" i="64"/>
  <c r="I128" i="64"/>
  <c r="AH127" i="64"/>
  <c r="AG127" i="64"/>
  <c r="AF127" i="64"/>
  <c r="AE127" i="64"/>
  <c r="AD127" i="64"/>
  <c r="J65" i="41" s="1"/>
  <c r="AC127" i="64"/>
  <c r="AB127" i="64"/>
  <c r="AA127" i="64"/>
  <c r="R127" i="64"/>
  <c r="S127" i="64" s="1"/>
  <c r="Q127" i="64"/>
  <c r="P127" i="64"/>
  <c r="M127" i="64"/>
  <c r="K127" i="64"/>
  <c r="I127" i="64"/>
  <c r="R122" i="64"/>
  <c r="S122" i="64" s="1"/>
  <c r="Q122" i="64"/>
  <c r="P122" i="64"/>
  <c r="M122" i="64"/>
  <c r="K122" i="64"/>
  <c r="I122" i="64"/>
  <c r="R121" i="64"/>
  <c r="S121" i="64" s="1"/>
  <c r="Q121" i="64"/>
  <c r="P121" i="64"/>
  <c r="M121" i="64"/>
  <c r="K121" i="64"/>
  <c r="I121" i="64"/>
  <c r="R120" i="64"/>
  <c r="S120" i="64" s="1"/>
  <c r="Q120" i="64"/>
  <c r="P120" i="64"/>
  <c r="M120" i="64"/>
  <c r="K120" i="64"/>
  <c r="I120" i="64"/>
  <c r="R119" i="64"/>
  <c r="S119" i="64" s="1"/>
  <c r="Q119" i="64"/>
  <c r="P119" i="64"/>
  <c r="M119" i="64"/>
  <c r="K119" i="64"/>
  <c r="I119" i="64"/>
  <c r="R118" i="64"/>
  <c r="S118" i="64" s="1"/>
  <c r="Q118" i="64"/>
  <c r="P118" i="64"/>
  <c r="M118" i="64"/>
  <c r="K118" i="64"/>
  <c r="I118" i="64"/>
  <c r="R117" i="64"/>
  <c r="S117" i="64" s="1"/>
  <c r="Q117" i="64"/>
  <c r="P117" i="64"/>
  <c r="M117" i="64"/>
  <c r="K117" i="64"/>
  <c r="I117" i="64"/>
  <c r="R116" i="64"/>
  <c r="S116" i="64" s="1"/>
  <c r="Q116" i="64"/>
  <c r="P116" i="64"/>
  <c r="M116" i="64"/>
  <c r="K116" i="64"/>
  <c r="I116" i="64"/>
  <c r="R115" i="64"/>
  <c r="S115" i="64" s="1"/>
  <c r="Q115" i="64"/>
  <c r="P115" i="64"/>
  <c r="M115" i="64"/>
  <c r="K115" i="64"/>
  <c r="I115" i="64"/>
  <c r="R114" i="64"/>
  <c r="S114" i="64" s="1"/>
  <c r="Q114" i="64"/>
  <c r="P114" i="64"/>
  <c r="M114" i="64"/>
  <c r="K114" i="64"/>
  <c r="I114" i="64"/>
  <c r="R113" i="64"/>
  <c r="S113" i="64" s="1"/>
  <c r="Q113" i="64"/>
  <c r="P113" i="64"/>
  <c r="M113" i="64"/>
  <c r="K113" i="64"/>
  <c r="I113" i="64"/>
  <c r="R112" i="64"/>
  <c r="S112" i="64" s="1"/>
  <c r="Q112" i="64"/>
  <c r="P112" i="64"/>
  <c r="M112" i="64"/>
  <c r="K112" i="64"/>
  <c r="I112" i="64"/>
  <c r="R111" i="64"/>
  <c r="S111" i="64" s="1"/>
  <c r="Q111" i="64"/>
  <c r="P111" i="64"/>
  <c r="M111" i="64"/>
  <c r="K111" i="64"/>
  <c r="I111" i="64"/>
  <c r="R110" i="64"/>
  <c r="S110" i="64" s="1"/>
  <c r="Q110" i="64"/>
  <c r="P110" i="64"/>
  <c r="M110" i="64"/>
  <c r="K110" i="64"/>
  <c r="I110" i="64"/>
  <c r="R109" i="64"/>
  <c r="S109" i="64" s="1"/>
  <c r="Q109" i="64"/>
  <c r="P109" i="64"/>
  <c r="M109" i="64"/>
  <c r="K109" i="64"/>
  <c r="I109" i="64"/>
  <c r="R108" i="64"/>
  <c r="S108" i="64" s="1"/>
  <c r="Q108" i="64"/>
  <c r="P108" i="64"/>
  <c r="M108" i="64"/>
  <c r="K108" i="64"/>
  <c r="I108" i="64"/>
  <c r="R107" i="64"/>
  <c r="S107" i="64" s="1"/>
  <c r="Q107" i="64"/>
  <c r="P107" i="64"/>
  <c r="M107" i="64"/>
  <c r="K107" i="64"/>
  <c r="I107" i="64"/>
  <c r="R106" i="64"/>
  <c r="S106" i="64" s="1"/>
  <c r="Q106" i="64"/>
  <c r="P106" i="64"/>
  <c r="M106" i="64"/>
  <c r="K106" i="64"/>
  <c r="I106" i="64"/>
  <c r="R105" i="64"/>
  <c r="S105" i="64" s="1"/>
  <c r="Q105" i="64"/>
  <c r="P105" i="64"/>
  <c r="M105" i="64"/>
  <c r="K105" i="64"/>
  <c r="I105" i="64"/>
  <c r="R104" i="64"/>
  <c r="S104" i="64" s="1"/>
  <c r="Q104" i="64"/>
  <c r="P104" i="64"/>
  <c r="M104" i="64"/>
  <c r="K104" i="64"/>
  <c r="I104" i="64"/>
  <c r="R103" i="64"/>
  <c r="S103" i="64" s="1"/>
  <c r="Q103" i="64"/>
  <c r="P103" i="64"/>
  <c r="M103" i="64"/>
  <c r="K103" i="64"/>
  <c r="I103" i="64"/>
  <c r="R98" i="64"/>
  <c r="S98" i="64" s="1"/>
  <c r="Q98" i="64"/>
  <c r="P98" i="64"/>
  <c r="M98" i="64"/>
  <c r="K98" i="64"/>
  <c r="I98" i="64"/>
  <c r="R97" i="64"/>
  <c r="S97" i="64" s="1"/>
  <c r="Q97" i="64"/>
  <c r="P97" i="64"/>
  <c r="M97" i="64"/>
  <c r="K97" i="64"/>
  <c r="I97" i="64"/>
  <c r="R96" i="64"/>
  <c r="S96" i="64" s="1"/>
  <c r="Q96" i="64"/>
  <c r="P96" i="64"/>
  <c r="M96" i="64"/>
  <c r="K96" i="64"/>
  <c r="I96" i="64"/>
  <c r="R95" i="64"/>
  <c r="S95" i="64" s="1"/>
  <c r="Q95" i="64"/>
  <c r="P95" i="64"/>
  <c r="M95" i="64"/>
  <c r="K95" i="64"/>
  <c r="I95" i="64"/>
  <c r="R94" i="64"/>
  <c r="S94" i="64" s="1"/>
  <c r="Q94" i="64"/>
  <c r="P94" i="64"/>
  <c r="M94" i="64"/>
  <c r="K94" i="64"/>
  <c r="I94" i="64"/>
  <c r="R93" i="64"/>
  <c r="S93" i="64" s="1"/>
  <c r="Q93" i="64"/>
  <c r="P93" i="64"/>
  <c r="M93" i="64"/>
  <c r="K93" i="64"/>
  <c r="I93" i="64"/>
  <c r="R92" i="64"/>
  <c r="S92" i="64" s="1"/>
  <c r="Q92" i="64"/>
  <c r="P92" i="64"/>
  <c r="M92" i="64"/>
  <c r="K92" i="64"/>
  <c r="I92" i="64"/>
  <c r="R91" i="64"/>
  <c r="S91" i="64" s="1"/>
  <c r="Q91" i="64"/>
  <c r="P91" i="64"/>
  <c r="M91" i="64"/>
  <c r="K91" i="64"/>
  <c r="I91" i="64"/>
  <c r="R90" i="64"/>
  <c r="S90" i="64" s="1"/>
  <c r="Q90" i="64"/>
  <c r="P90" i="64"/>
  <c r="M90" i="64"/>
  <c r="K90" i="64"/>
  <c r="I90" i="64"/>
  <c r="R89" i="64"/>
  <c r="S89" i="64" s="1"/>
  <c r="Q89" i="64"/>
  <c r="P89" i="64"/>
  <c r="M89" i="64"/>
  <c r="K89" i="64"/>
  <c r="I89" i="64"/>
  <c r="R88" i="64"/>
  <c r="S88" i="64" s="1"/>
  <c r="Q88" i="64"/>
  <c r="P88" i="64"/>
  <c r="M88" i="64"/>
  <c r="K88" i="64"/>
  <c r="I88" i="64"/>
  <c r="R87" i="64"/>
  <c r="S87" i="64" s="1"/>
  <c r="Q87" i="64"/>
  <c r="P87" i="64"/>
  <c r="M87" i="64"/>
  <c r="K87" i="64"/>
  <c r="I87" i="64"/>
  <c r="R86" i="64"/>
  <c r="S86" i="64" s="1"/>
  <c r="Q86" i="64"/>
  <c r="P86" i="64"/>
  <c r="M86" i="64"/>
  <c r="K86" i="64"/>
  <c r="I86" i="64"/>
  <c r="R85" i="64"/>
  <c r="S85" i="64" s="1"/>
  <c r="Q85" i="64"/>
  <c r="P85" i="64"/>
  <c r="M85" i="64"/>
  <c r="K85" i="64"/>
  <c r="I85" i="64"/>
  <c r="R84" i="64"/>
  <c r="S84" i="64" s="1"/>
  <c r="Q84" i="64"/>
  <c r="P84" i="64"/>
  <c r="M84" i="64"/>
  <c r="K84" i="64"/>
  <c r="I84" i="64"/>
  <c r="R83" i="64"/>
  <c r="S83" i="64" s="1"/>
  <c r="Q83" i="64"/>
  <c r="P83" i="64"/>
  <c r="M83" i="64"/>
  <c r="K83" i="64"/>
  <c r="I83" i="64"/>
  <c r="R82" i="64"/>
  <c r="S82" i="64" s="1"/>
  <c r="Q82" i="64"/>
  <c r="P82" i="64"/>
  <c r="M82" i="64"/>
  <c r="K82" i="64"/>
  <c r="I82" i="64"/>
  <c r="R81" i="64"/>
  <c r="S81" i="64" s="1"/>
  <c r="Q81" i="64"/>
  <c r="P81" i="64"/>
  <c r="M81" i="64"/>
  <c r="K81" i="64"/>
  <c r="I81" i="64"/>
  <c r="R80" i="64"/>
  <c r="S80" i="64" s="1"/>
  <c r="Q80" i="64"/>
  <c r="P80" i="64"/>
  <c r="M80" i="64"/>
  <c r="K80" i="64"/>
  <c r="I80" i="64"/>
  <c r="R79" i="64"/>
  <c r="S79" i="64" s="1"/>
  <c r="Q79" i="64"/>
  <c r="P79" i="64"/>
  <c r="M79" i="64"/>
  <c r="K79" i="64"/>
  <c r="I79" i="64"/>
  <c r="S74" i="64"/>
  <c r="R74" i="64"/>
  <c r="Q74" i="64"/>
  <c r="P74" i="64"/>
  <c r="M74" i="64"/>
  <c r="K74" i="64"/>
  <c r="I74" i="64"/>
  <c r="R73" i="64"/>
  <c r="S73" i="64" s="1"/>
  <c r="Q73" i="64"/>
  <c r="P73" i="64"/>
  <c r="M73" i="64"/>
  <c r="K73" i="64"/>
  <c r="I73" i="64"/>
  <c r="R72" i="64"/>
  <c r="S72" i="64" s="1"/>
  <c r="Q72" i="64"/>
  <c r="P72" i="64"/>
  <c r="M72" i="64"/>
  <c r="K72" i="64"/>
  <c r="I72" i="64"/>
  <c r="R71" i="64"/>
  <c r="S71" i="64" s="1"/>
  <c r="Q71" i="64"/>
  <c r="P71" i="64"/>
  <c r="M71" i="64"/>
  <c r="K71" i="64"/>
  <c r="I71" i="64"/>
  <c r="R70" i="64"/>
  <c r="S70" i="64" s="1"/>
  <c r="Q70" i="64"/>
  <c r="P70" i="64"/>
  <c r="M70" i="64"/>
  <c r="K70" i="64"/>
  <c r="I70" i="64"/>
  <c r="R69" i="64"/>
  <c r="S69" i="64" s="1"/>
  <c r="Q69" i="64"/>
  <c r="P69" i="64"/>
  <c r="M69" i="64"/>
  <c r="K69" i="64"/>
  <c r="I69" i="64"/>
  <c r="R68" i="64"/>
  <c r="S68" i="64" s="1"/>
  <c r="Q68" i="64"/>
  <c r="P68" i="64"/>
  <c r="M68" i="64"/>
  <c r="K68" i="64"/>
  <c r="I68" i="64"/>
  <c r="R67" i="64"/>
  <c r="S67" i="64" s="1"/>
  <c r="Q67" i="64"/>
  <c r="P67" i="64"/>
  <c r="M67" i="64"/>
  <c r="K67" i="64"/>
  <c r="I67" i="64"/>
  <c r="R66" i="64"/>
  <c r="S66" i="64" s="1"/>
  <c r="Q66" i="64"/>
  <c r="P66" i="64"/>
  <c r="M66" i="64"/>
  <c r="K66" i="64"/>
  <c r="I66" i="64"/>
  <c r="R65" i="64"/>
  <c r="S65" i="64" s="1"/>
  <c r="Q65" i="64"/>
  <c r="P65" i="64"/>
  <c r="M65" i="64"/>
  <c r="K65" i="64"/>
  <c r="I65" i="64"/>
  <c r="R64" i="64"/>
  <c r="S64" i="64" s="1"/>
  <c r="Q64" i="64"/>
  <c r="P64" i="64"/>
  <c r="M64" i="64"/>
  <c r="K64" i="64"/>
  <c r="I64" i="64"/>
  <c r="R63" i="64"/>
  <c r="S63" i="64" s="1"/>
  <c r="Q63" i="64"/>
  <c r="P63" i="64"/>
  <c r="M63" i="64"/>
  <c r="K63" i="64"/>
  <c r="I63" i="64"/>
  <c r="R62" i="64"/>
  <c r="S62" i="64" s="1"/>
  <c r="Q62" i="64"/>
  <c r="P62" i="64"/>
  <c r="M62" i="64"/>
  <c r="K62" i="64"/>
  <c r="I62" i="64"/>
  <c r="R61" i="64"/>
  <c r="S61" i="64" s="1"/>
  <c r="Q61" i="64"/>
  <c r="P61" i="64"/>
  <c r="M61" i="64"/>
  <c r="K61" i="64"/>
  <c r="I61" i="64"/>
  <c r="R60" i="64"/>
  <c r="S60" i="64" s="1"/>
  <c r="Q60" i="64"/>
  <c r="P60" i="64"/>
  <c r="M60" i="64"/>
  <c r="K60" i="64"/>
  <c r="I60" i="64"/>
  <c r="R59" i="64"/>
  <c r="S59" i="64" s="1"/>
  <c r="Q59" i="64"/>
  <c r="P59" i="64"/>
  <c r="M59" i="64"/>
  <c r="K59" i="64"/>
  <c r="I59" i="64"/>
  <c r="R58" i="64"/>
  <c r="S58" i="64" s="1"/>
  <c r="Q58" i="64"/>
  <c r="P58" i="64"/>
  <c r="M58" i="64"/>
  <c r="K58" i="64"/>
  <c r="I58" i="64"/>
  <c r="R57" i="64"/>
  <c r="S57" i="64" s="1"/>
  <c r="Q57" i="64"/>
  <c r="P57" i="64"/>
  <c r="M57" i="64"/>
  <c r="K57" i="64"/>
  <c r="I57" i="64"/>
  <c r="R56" i="64"/>
  <c r="S56" i="64" s="1"/>
  <c r="Q56" i="64"/>
  <c r="P56" i="64"/>
  <c r="M56" i="64"/>
  <c r="K56" i="64"/>
  <c r="I56" i="64"/>
  <c r="R55" i="64"/>
  <c r="S55" i="64" s="1"/>
  <c r="Q55" i="64"/>
  <c r="P55" i="64"/>
  <c r="M55" i="64"/>
  <c r="K55" i="64"/>
  <c r="I55" i="64"/>
  <c r="R26" i="64"/>
  <c r="S26" i="64" s="1"/>
  <c r="Q26" i="64"/>
  <c r="P26" i="64"/>
  <c r="M26" i="64"/>
  <c r="K26" i="64"/>
  <c r="I26" i="64"/>
  <c r="R25" i="64"/>
  <c r="S25" i="64" s="1"/>
  <c r="Q25" i="64"/>
  <c r="P25" i="64"/>
  <c r="M25" i="64"/>
  <c r="K25" i="64"/>
  <c r="I25" i="64"/>
  <c r="R24" i="64"/>
  <c r="S24" i="64" s="1"/>
  <c r="Q24" i="64"/>
  <c r="P24" i="64"/>
  <c r="M24" i="64"/>
  <c r="K24" i="64"/>
  <c r="I24" i="64"/>
  <c r="R23" i="64"/>
  <c r="S23" i="64" s="1"/>
  <c r="Q23" i="64"/>
  <c r="P23" i="64"/>
  <c r="M23" i="64"/>
  <c r="K23" i="64"/>
  <c r="I23" i="64"/>
  <c r="R22" i="64"/>
  <c r="S22" i="64" s="1"/>
  <c r="Q22" i="64"/>
  <c r="P22" i="64"/>
  <c r="M22" i="64"/>
  <c r="K22" i="64"/>
  <c r="I22" i="64"/>
  <c r="R21" i="64"/>
  <c r="S21" i="64" s="1"/>
  <c r="Q21" i="64"/>
  <c r="P21" i="64"/>
  <c r="M21" i="64"/>
  <c r="K21" i="64"/>
  <c r="I21" i="64"/>
  <c r="R20" i="64"/>
  <c r="S20" i="64" s="1"/>
  <c r="Q20" i="64"/>
  <c r="P20" i="64"/>
  <c r="M20" i="64"/>
  <c r="K20" i="64"/>
  <c r="I20" i="64"/>
  <c r="R19" i="64"/>
  <c r="S19" i="64" s="1"/>
  <c r="Q19" i="64"/>
  <c r="P19" i="64"/>
  <c r="M19" i="64"/>
  <c r="K19" i="64"/>
  <c r="I19" i="64"/>
  <c r="R18" i="64"/>
  <c r="S18" i="64" s="1"/>
  <c r="Q18" i="64"/>
  <c r="P18" i="64"/>
  <c r="M18" i="64"/>
  <c r="K18" i="64"/>
  <c r="I18" i="64"/>
  <c r="R17" i="64"/>
  <c r="S17" i="64" s="1"/>
  <c r="Q17" i="64"/>
  <c r="P17" i="64"/>
  <c r="M17" i="64"/>
  <c r="K17" i="64"/>
  <c r="I17" i="64"/>
  <c r="R16" i="64"/>
  <c r="S16" i="64" s="1"/>
  <c r="Q16" i="64"/>
  <c r="P16" i="64"/>
  <c r="M16" i="64"/>
  <c r="K16" i="64"/>
  <c r="I16" i="64"/>
  <c r="R15" i="64"/>
  <c r="S15" i="64" s="1"/>
  <c r="Q15" i="64"/>
  <c r="P15" i="64"/>
  <c r="M15" i="64"/>
  <c r="K15" i="64"/>
  <c r="I15" i="64"/>
  <c r="R14" i="64"/>
  <c r="S14" i="64" s="1"/>
  <c r="Q14" i="64"/>
  <c r="P14" i="64"/>
  <c r="M14" i="64"/>
  <c r="K14" i="64"/>
  <c r="I14" i="64"/>
  <c r="R13" i="64"/>
  <c r="S13" i="64" s="1"/>
  <c r="Q13" i="64"/>
  <c r="P13" i="64"/>
  <c r="M13" i="64"/>
  <c r="K13" i="64"/>
  <c r="I13" i="64"/>
  <c r="R12" i="64"/>
  <c r="S12" i="64" s="1"/>
  <c r="Q12" i="64"/>
  <c r="P12" i="64"/>
  <c r="M12" i="64"/>
  <c r="K12" i="64"/>
  <c r="I12" i="64"/>
  <c r="R11" i="64"/>
  <c r="S11" i="64" s="1"/>
  <c r="Q11" i="64"/>
  <c r="P11" i="64"/>
  <c r="M11" i="64"/>
  <c r="K11" i="64"/>
  <c r="I11" i="64"/>
  <c r="R10" i="64"/>
  <c r="S10" i="64" s="1"/>
  <c r="Q10" i="64"/>
  <c r="P10" i="64"/>
  <c r="M10" i="64"/>
  <c r="K10" i="64"/>
  <c r="I10" i="64"/>
  <c r="R9" i="64"/>
  <c r="S9" i="64" s="1"/>
  <c r="Q9" i="64"/>
  <c r="P9" i="64"/>
  <c r="M9" i="64"/>
  <c r="K9" i="64"/>
  <c r="I9" i="64"/>
  <c r="R8" i="64"/>
  <c r="S8" i="64" s="1"/>
  <c r="Q8" i="64"/>
  <c r="P8" i="64"/>
  <c r="M8" i="64"/>
  <c r="K8" i="64"/>
  <c r="I8" i="64"/>
  <c r="R7" i="64"/>
  <c r="S7" i="64" s="1"/>
  <c r="Q7" i="64"/>
  <c r="P7" i="64"/>
  <c r="M7" i="64"/>
  <c r="K7" i="64"/>
  <c r="I7" i="64"/>
  <c r="J69" i="41"/>
  <c r="H69" i="41"/>
  <c r="F70" i="41"/>
  <c r="F69" i="41"/>
  <c r="L65" i="41"/>
  <c r="L64" i="41"/>
  <c r="J64" i="41"/>
  <c r="H64" i="41"/>
  <c r="F64" i="41"/>
  <c r="B65" i="41"/>
  <c r="C65" i="41" s="1"/>
  <c r="B64" i="41"/>
  <c r="C64" i="41" s="1"/>
  <c r="K47" i="56"/>
  <c r="I47" i="56"/>
  <c r="G47" i="56"/>
  <c r="E47" i="56"/>
  <c r="C47" i="56"/>
  <c r="B47" i="56"/>
  <c r="D45" i="56"/>
  <c r="D44" i="56"/>
  <c r="D43" i="56"/>
  <c r="D42" i="56"/>
  <c r="D41" i="56"/>
  <c r="D40" i="56"/>
  <c r="D39" i="56"/>
  <c r="L10" i="56"/>
  <c r="J10" i="56"/>
  <c r="H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L5" i="56"/>
  <c r="J5" i="56"/>
  <c r="H5" i="56"/>
  <c r="F5" i="56"/>
  <c r="D5" i="56"/>
  <c r="A5" i="56"/>
  <c r="A6" i="56" s="1"/>
  <c r="A7" i="56" s="1"/>
  <c r="A8" i="56" s="1"/>
  <c r="A9" i="56" s="1"/>
  <c r="A10" i="56" s="1"/>
  <c r="N4" i="56"/>
  <c r="B10" i="41" s="1"/>
  <c r="C10" i="41" s="1"/>
  <c r="M4" i="56"/>
  <c r="B9" i="41" s="1"/>
  <c r="C9" i="41" s="1"/>
  <c r="L4" i="56"/>
  <c r="J4" i="56"/>
  <c r="H4" i="56"/>
  <c r="F4" i="56"/>
  <c r="D4" i="56"/>
  <c r="K22" i="61" l="1"/>
  <c r="K30" i="19"/>
  <c r="K30" i="61"/>
  <c r="K30" i="20"/>
  <c r="K14" i="20"/>
  <c r="K22" i="20"/>
  <c r="K14" i="19"/>
  <c r="K38" i="20"/>
  <c r="K22" i="62"/>
  <c r="K14" i="62"/>
  <c r="K22" i="19"/>
  <c r="K14" i="61"/>
  <c r="K30" i="62"/>
  <c r="M14" i="20"/>
  <c r="M14" i="19"/>
  <c r="AC129" i="64"/>
  <c r="AB129" i="64"/>
  <c r="AE129" i="64"/>
  <c r="AF129" i="64"/>
  <c r="AH129" i="64"/>
  <c r="AG129" i="64"/>
  <c r="H70" i="41"/>
  <c r="J70" i="41"/>
  <c r="G70" i="41"/>
  <c r="K70" i="41"/>
  <c r="I70" i="41"/>
  <c r="F65" i="41"/>
  <c r="H65" i="41"/>
  <c r="AD129" i="64"/>
  <c r="Q146" i="63" l="1"/>
  <c r="S146" i="63" s="1"/>
  <c r="P146" i="63"/>
  <c r="M146" i="63"/>
  <c r="K146" i="63"/>
  <c r="I146" i="63"/>
  <c r="Q145" i="63"/>
  <c r="S145" i="63" s="1"/>
  <c r="P145" i="63"/>
  <c r="M145" i="63"/>
  <c r="K145" i="63"/>
  <c r="I145" i="63"/>
  <c r="Q144" i="63"/>
  <c r="R144" i="63" s="1"/>
  <c r="P144" i="63"/>
  <c r="M144" i="63"/>
  <c r="K144" i="63"/>
  <c r="I144" i="63"/>
  <c r="Q143" i="63"/>
  <c r="S143" i="63" s="1"/>
  <c r="P143" i="63"/>
  <c r="M143" i="63"/>
  <c r="K143" i="63"/>
  <c r="I143" i="63"/>
  <c r="Q142" i="63"/>
  <c r="S142" i="63" s="1"/>
  <c r="P142" i="63"/>
  <c r="M142" i="63"/>
  <c r="K142" i="63"/>
  <c r="I142" i="63"/>
  <c r="Q141" i="63"/>
  <c r="S141" i="63" s="1"/>
  <c r="P141" i="63"/>
  <c r="M141" i="63"/>
  <c r="K141" i="63"/>
  <c r="I141" i="63"/>
  <c r="S140" i="63"/>
  <c r="Q140" i="63"/>
  <c r="R140" i="63" s="1"/>
  <c r="P140" i="63"/>
  <c r="M140" i="63"/>
  <c r="K140" i="63"/>
  <c r="I140" i="63"/>
  <c r="Q139" i="63"/>
  <c r="R139" i="63" s="1"/>
  <c r="P139" i="63"/>
  <c r="M139" i="63"/>
  <c r="K139" i="63"/>
  <c r="I139" i="63"/>
  <c r="S138" i="63"/>
  <c r="R138" i="63"/>
  <c r="Q138" i="63"/>
  <c r="P138" i="63"/>
  <c r="M138" i="63"/>
  <c r="K138" i="63"/>
  <c r="I138" i="63"/>
  <c r="R137" i="63"/>
  <c r="Q137" i="63"/>
  <c r="S137" i="63" s="1"/>
  <c r="P137" i="63"/>
  <c r="M137" i="63"/>
  <c r="K137" i="63"/>
  <c r="I137" i="63"/>
  <c r="S136" i="63"/>
  <c r="R136" i="63"/>
  <c r="Q136" i="63"/>
  <c r="P136" i="63"/>
  <c r="M136" i="63"/>
  <c r="K136" i="63"/>
  <c r="I136" i="63"/>
  <c r="S135" i="63"/>
  <c r="R135" i="63"/>
  <c r="Q135" i="63"/>
  <c r="P135" i="63"/>
  <c r="M135" i="63"/>
  <c r="K135" i="63"/>
  <c r="I135" i="63"/>
  <c r="Q134" i="63"/>
  <c r="S134" i="63" s="1"/>
  <c r="P134" i="63"/>
  <c r="M134" i="63"/>
  <c r="K134" i="63"/>
  <c r="I134" i="63"/>
  <c r="S133" i="63"/>
  <c r="Q133" i="63"/>
  <c r="R133" i="63" s="1"/>
  <c r="P133" i="63"/>
  <c r="M133" i="63"/>
  <c r="K133" i="63"/>
  <c r="I133" i="63"/>
  <c r="Q132" i="63"/>
  <c r="S132" i="63" s="1"/>
  <c r="P132" i="63"/>
  <c r="M132" i="63"/>
  <c r="K132" i="63"/>
  <c r="I132" i="63"/>
  <c r="Q131" i="63"/>
  <c r="S131" i="63" s="1"/>
  <c r="P131" i="63"/>
  <c r="M131" i="63"/>
  <c r="K131" i="63"/>
  <c r="I131" i="63"/>
  <c r="Q130" i="63"/>
  <c r="S130" i="63" s="1"/>
  <c r="P130" i="63"/>
  <c r="M130" i="63"/>
  <c r="K130" i="63"/>
  <c r="I130" i="63"/>
  <c r="Q129" i="63"/>
  <c r="S129" i="63" s="1"/>
  <c r="P129" i="63"/>
  <c r="M129" i="63"/>
  <c r="K129" i="63"/>
  <c r="I129" i="63"/>
  <c r="AH128" i="63"/>
  <c r="K69" i="41" s="1"/>
  <c r="AG128" i="63"/>
  <c r="I69" i="41" s="1"/>
  <c r="AF128" i="63"/>
  <c r="G69" i="41" s="1"/>
  <c r="AE128" i="63"/>
  <c r="AD128" i="63"/>
  <c r="AC128" i="63"/>
  <c r="AB128" i="63"/>
  <c r="G64" i="41" s="1"/>
  <c r="Q128" i="63"/>
  <c r="S128" i="63" s="1"/>
  <c r="P128" i="63"/>
  <c r="M128" i="63"/>
  <c r="K128" i="63"/>
  <c r="I128" i="63"/>
  <c r="AH127" i="63"/>
  <c r="AH129" i="63" s="1"/>
  <c r="AG127" i="63"/>
  <c r="AG129" i="63" s="1"/>
  <c r="AF127" i="63"/>
  <c r="AF129" i="63" s="1"/>
  <c r="AE127" i="63"/>
  <c r="AE129" i="63" s="1"/>
  <c r="AD127" i="63"/>
  <c r="AD129" i="63" s="1"/>
  <c r="AC127" i="63"/>
  <c r="AB127" i="63"/>
  <c r="AB129" i="63" s="1"/>
  <c r="AA127" i="63"/>
  <c r="AC129" i="63" s="1"/>
  <c r="Q127" i="63"/>
  <c r="S127" i="63" s="1"/>
  <c r="P127" i="63"/>
  <c r="M127" i="63"/>
  <c r="K127" i="63"/>
  <c r="I127" i="63"/>
  <c r="S122" i="63"/>
  <c r="Q122" i="63"/>
  <c r="R122" i="63" s="1"/>
  <c r="P122" i="63"/>
  <c r="M122" i="63"/>
  <c r="K122" i="63"/>
  <c r="I122" i="63"/>
  <c r="Q121" i="63"/>
  <c r="S121" i="63" s="1"/>
  <c r="P121" i="63"/>
  <c r="M121" i="63"/>
  <c r="K121" i="63"/>
  <c r="I121" i="63"/>
  <c r="S120" i="63"/>
  <c r="R120" i="63"/>
  <c r="Q120" i="63"/>
  <c r="P120" i="63"/>
  <c r="M120" i="63"/>
  <c r="K120" i="63"/>
  <c r="I120" i="63"/>
  <c r="R119" i="63"/>
  <c r="Q119" i="63"/>
  <c r="S119" i="63" s="1"/>
  <c r="P119" i="63"/>
  <c r="M119" i="63"/>
  <c r="K119" i="63"/>
  <c r="I119" i="63"/>
  <c r="S118" i="63"/>
  <c r="R118" i="63"/>
  <c r="Q118" i="63"/>
  <c r="P118" i="63"/>
  <c r="M118" i="63"/>
  <c r="K118" i="63"/>
  <c r="I118" i="63"/>
  <c r="S117" i="63"/>
  <c r="R117" i="63"/>
  <c r="Q117" i="63"/>
  <c r="P117" i="63"/>
  <c r="M117" i="63"/>
  <c r="K117" i="63"/>
  <c r="I117" i="63"/>
  <c r="Q116" i="63"/>
  <c r="S116" i="63" s="1"/>
  <c r="P116" i="63"/>
  <c r="M116" i="63"/>
  <c r="K116" i="63"/>
  <c r="I116" i="63"/>
  <c r="S115" i="63"/>
  <c r="Q115" i="63"/>
  <c r="R115" i="63" s="1"/>
  <c r="P115" i="63"/>
  <c r="M115" i="63"/>
  <c r="K115" i="63"/>
  <c r="I115" i="63"/>
  <c r="Q114" i="63"/>
  <c r="S114" i="63" s="1"/>
  <c r="P114" i="63"/>
  <c r="M114" i="63"/>
  <c r="K114" i="63"/>
  <c r="I114" i="63"/>
  <c r="Q113" i="63"/>
  <c r="S113" i="63" s="1"/>
  <c r="P113" i="63"/>
  <c r="M113" i="63"/>
  <c r="K113" i="63"/>
  <c r="I113" i="63"/>
  <c r="Q112" i="63"/>
  <c r="S112" i="63" s="1"/>
  <c r="P112" i="63"/>
  <c r="M112" i="63"/>
  <c r="K112" i="63"/>
  <c r="I112" i="63"/>
  <c r="Q111" i="63"/>
  <c r="S111" i="63" s="1"/>
  <c r="P111" i="63"/>
  <c r="M111" i="63"/>
  <c r="K111" i="63"/>
  <c r="I111" i="63"/>
  <c r="Q110" i="63"/>
  <c r="S110" i="63" s="1"/>
  <c r="P110" i="63"/>
  <c r="M110" i="63"/>
  <c r="K110" i="63"/>
  <c r="I110" i="63"/>
  <c r="Q109" i="63"/>
  <c r="S109" i="63" s="1"/>
  <c r="P109" i="63"/>
  <c r="M109" i="63"/>
  <c r="K109" i="63"/>
  <c r="I109" i="63"/>
  <c r="Q108" i="63"/>
  <c r="S108" i="63" s="1"/>
  <c r="P108" i="63"/>
  <c r="M108" i="63"/>
  <c r="K108" i="63"/>
  <c r="I108" i="63"/>
  <c r="Q107" i="63"/>
  <c r="R107" i="63" s="1"/>
  <c r="P107" i="63"/>
  <c r="M107" i="63"/>
  <c r="K107" i="63"/>
  <c r="I107" i="63"/>
  <c r="Q106" i="63"/>
  <c r="S106" i="63" s="1"/>
  <c r="P106" i="63"/>
  <c r="M106" i="63"/>
  <c r="K106" i="63"/>
  <c r="I106" i="63"/>
  <c r="Q105" i="63"/>
  <c r="S105" i="63" s="1"/>
  <c r="P105" i="63"/>
  <c r="M105" i="63"/>
  <c r="K105" i="63"/>
  <c r="I105" i="63"/>
  <c r="AH104" i="63"/>
  <c r="AG104" i="63"/>
  <c r="AF104" i="63"/>
  <c r="AE104" i="63"/>
  <c r="AD104" i="63"/>
  <c r="AC104" i="63"/>
  <c r="AB104" i="63"/>
  <c r="S104" i="63"/>
  <c r="Q104" i="63"/>
  <c r="R104" i="63" s="1"/>
  <c r="P104" i="63"/>
  <c r="M104" i="63"/>
  <c r="K104" i="63"/>
  <c r="I104" i="63"/>
  <c r="AH103" i="63"/>
  <c r="AH105" i="63" s="1"/>
  <c r="AG103" i="63"/>
  <c r="AG105" i="63" s="1"/>
  <c r="AF103" i="63"/>
  <c r="AF105" i="63" s="1"/>
  <c r="AE103" i="63"/>
  <c r="AD103" i="63"/>
  <c r="AD105" i="63" s="1"/>
  <c r="AC103" i="63"/>
  <c r="AC105" i="63" s="1"/>
  <c r="AB103" i="63"/>
  <c r="AB105" i="63" s="1"/>
  <c r="AA103" i="63"/>
  <c r="AE105" i="63" s="1"/>
  <c r="S103" i="63"/>
  <c r="Q103" i="63"/>
  <c r="R103" i="63" s="1"/>
  <c r="P103" i="63"/>
  <c r="M103" i="63"/>
  <c r="K103" i="63"/>
  <c r="I103" i="63"/>
  <c r="Q98" i="63"/>
  <c r="S98" i="63" s="1"/>
  <c r="P98" i="63"/>
  <c r="M98" i="63"/>
  <c r="K98" i="63"/>
  <c r="I98" i="63"/>
  <c r="S97" i="63"/>
  <c r="Q97" i="63"/>
  <c r="R97" i="63" s="1"/>
  <c r="P97" i="63"/>
  <c r="M97" i="63"/>
  <c r="K97" i="63"/>
  <c r="I97" i="63"/>
  <c r="Q96" i="63"/>
  <c r="S96" i="63" s="1"/>
  <c r="P96" i="63"/>
  <c r="M96" i="63"/>
  <c r="K96" i="63"/>
  <c r="I96" i="63"/>
  <c r="Q95" i="63"/>
  <c r="S95" i="63" s="1"/>
  <c r="P95" i="63"/>
  <c r="M95" i="63"/>
  <c r="K95" i="63"/>
  <c r="I95" i="63"/>
  <c r="Q94" i="63"/>
  <c r="S94" i="63" s="1"/>
  <c r="P94" i="63"/>
  <c r="M94" i="63"/>
  <c r="K94" i="63"/>
  <c r="I94" i="63"/>
  <c r="Q93" i="63"/>
  <c r="R93" i="63" s="1"/>
  <c r="P93" i="63"/>
  <c r="M93" i="63"/>
  <c r="K93" i="63"/>
  <c r="I93" i="63"/>
  <c r="Q92" i="63"/>
  <c r="S92" i="63" s="1"/>
  <c r="P92" i="63"/>
  <c r="M92" i="63"/>
  <c r="K92" i="63"/>
  <c r="I92" i="63"/>
  <c r="Q91" i="63"/>
  <c r="S91" i="63" s="1"/>
  <c r="P91" i="63"/>
  <c r="M91" i="63"/>
  <c r="K91" i="63"/>
  <c r="I91" i="63"/>
  <c r="Q90" i="63"/>
  <c r="S90" i="63" s="1"/>
  <c r="P90" i="63"/>
  <c r="M90" i="63"/>
  <c r="K90" i="63"/>
  <c r="I90" i="63"/>
  <c r="Q89" i="63"/>
  <c r="R89" i="63" s="1"/>
  <c r="P89" i="63"/>
  <c r="M89" i="63"/>
  <c r="K89" i="63"/>
  <c r="I89" i="63"/>
  <c r="Q88" i="63"/>
  <c r="S88" i="63" s="1"/>
  <c r="P88" i="63"/>
  <c r="M88" i="63"/>
  <c r="K88" i="63"/>
  <c r="I88" i="63"/>
  <c r="S87" i="63"/>
  <c r="R87" i="63"/>
  <c r="Q87" i="63"/>
  <c r="P87" i="63"/>
  <c r="M87" i="63"/>
  <c r="K87" i="63"/>
  <c r="I87" i="63"/>
  <c r="Q86" i="63"/>
  <c r="S86" i="63" s="1"/>
  <c r="P86" i="63"/>
  <c r="M86" i="63"/>
  <c r="K86" i="63"/>
  <c r="I86" i="63"/>
  <c r="Q85" i="63"/>
  <c r="R85" i="63" s="1"/>
  <c r="P85" i="63"/>
  <c r="M85" i="63"/>
  <c r="K85" i="63"/>
  <c r="I85" i="63"/>
  <c r="S84" i="63"/>
  <c r="Q84" i="63"/>
  <c r="R84" i="63" s="1"/>
  <c r="P84" i="63"/>
  <c r="M84" i="63"/>
  <c r="K84" i="63"/>
  <c r="I84" i="63"/>
  <c r="Q83" i="63"/>
  <c r="R83" i="63" s="1"/>
  <c r="P83" i="63"/>
  <c r="M83" i="63"/>
  <c r="K83" i="63"/>
  <c r="I83" i="63"/>
  <c r="S82" i="63"/>
  <c r="R82" i="63"/>
  <c r="Q82" i="63"/>
  <c r="P82" i="63"/>
  <c r="M82" i="63"/>
  <c r="K82" i="63"/>
  <c r="I82" i="63"/>
  <c r="AG81" i="63"/>
  <c r="S81" i="63"/>
  <c r="R81" i="63"/>
  <c r="Q81" i="63"/>
  <c r="P81" i="63"/>
  <c r="M81" i="63"/>
  <c r="K81" i="63"/>
  <c r="I81" i="63"/>
  <c r="AH80" i="63"/>
  <c r="AG80" i="63"/>
  <c r="AF80" i="63"/>
  <c r="AE80" i="63"/>
  <c r="AD80" i="63"/>
  <c r="AC80" i="63"/>
  <c r="AB80" i="63"/>
  <c r="Q80" i="63"/>
  <c r="S80" i="63" s="1"/>
  <c r="P80" i="63"/>
  <c r="M80" i="63"/>
  <c r="K80" i="63"/>
  <c r="I80" i="63"/>
  <c r="AH79" i="63"/>
  <c r="AH81" i="63" s="1"/>
  <c r="AG79" i="63"/>
  <c r="AF79" i="63"/>
  <c r="AF81" i="63" s="1"/>
  <c r="AE79" i="63"/>
  <c r="AE81" i="63" s="1"/>
  <c r="AD79" i="63"/>
  <c r="AD81" i="63" s="1"/>
  <c r="AC79" i="63"/>
  <c r="AC81" i="63" s="1"/>
  <c r="AB79" i="63"/>
  <c r="AB81" i="63" s="1"/>
  <c r="AA79" i="63"/>
  <c r="Q79" i="63"/>
  <c r="S79" i="63" s="1"/>
  <c r="P79" i="63"/>
  <c r="M79" i="63"/>
  <c r="K79" i="63"/>
  <c r="I79" i="63"/>
  <c r="Q74" i="63"/>
  <c r="S74" i="63" s="1"/>
  <c r="P74" i="63"/>
  <c r="M74" i="63"/>
  <c r="K74" i="63"/>
  <c r="I74" i="63"/>
  <c r="Q73" i="63"/>
  <c r="S73" i="63" s="1"/>
  <c r="P73" i="63"/>
  <c r="M73" i="63"/>
  <c r="K73" i="63"/>
  <c r="I73" i="63"/>
  <c r="Q72" i="63"/>
  <c r="R72" i="63" s="1"/>
  <c r="P72" i="63"/>
  <c r="M72" i="63"/>
  <c r="K72" i="63"/>
  <c r="I72" i="63"/>
  <c r="Q71" i="63"/>
  <c r="R71" i="63" s="1"/>
  <c r="P71" i="63"/>
  <c r="M71" i="63"/>
  <c r="K71" i="63"/>
  <c r="I71" i="63"/>
  <c r="Q70" i="63"/>
  <c r="R70" i="63" s="1"/>
  <c r="P70" i="63"/>
  <c r="M70" i="63"/>
  <c r="K70" i="63"/>
  <c r="I70" i="63"/>
  <c r="S69" i="63"/>
  <c r="R69" i="63"/>
  <c r="Q69" i="63"/>
  <c r="P69" i="63"/>
  <c r="M69" i="63"/>
  <c r="K69" i="63"/>
  <c r="I69" i="63"/>
  <c r="Q68" i="63"/>
  <c r="S68" i="63" s="1"/>
  <c r="P68" i="63"/>
  <c r="M68" i="63"/>
  <c r="K68" i="63"/>
  <c r="I68" i="63"/>
  <c r="Q67" i="63"/>
  <c r="R67" i="63" s="1"/>
  <c r="P67" i="63"/>
  <c r="M67" i="63"/>
  <c r="K67" i="63"/>
  <c r="I67" i="63"/>
  <c r="S66" i="63"/>
  <c r="Q66" i="63"/>
  <c r="R66" i="63" s="1"/>
  <c r="P66" i="63"/>
  <c r="M66" i="63"/>
  <c r="K66" i="63"/>
  <c r="I66" i="63"/>
  <c r="Q65" i="63"/>
  <c r="S65" i="63" s="1"/>
  <c r="P65" i="63"/>
  <c r="M65" i="63"/>
  <c r="K65" i="63"/>
  <c r="I65" i="63"/>
  <c r="S64" i="63"/>
  <c r="R64" i="63"/>
  <c r="Q64" i="63"/>
  <c r="P64" i="63"/>
  <c r="M64" i="63"/>
  <c r="K64" i="63"/>
  <c r="I64" i="63"/>
  <c r="R63" i="63"/>
  <c r="Q63" i="63"/>
  <c r="S63" i="63" s="1"/>
  <c r="P63" i="63"/>
  <c r="M63" i="63"/>
  <c r="K63" i="63"/>
  <c r="I63" i="63"/>
  <c r="S62" i="63"/>
  <c r="R62" i="63"/>
  <c r="Q62" i="63"/>
  <c r="P62" i="63"/>
  <c r="M62" i="63"/>
  <c r="K62" i="63"/>
  <c r="I62" i="63"/>
  <c r="S61" i="63"/>
  <c r="Q61" i="63"/>
  <c r="R61" i="63" s="1"/>
  <c r="P61" i="63"/>
  <c r="M61" i="63"/>
  <c r="K61" i="63"/>
  <c r="I61" i="63"/>
  <c r="Q60" i="63"/>
  <c r="S60" i="63" s="1"/>
  <c r="P60" i="63"/>
  <c r="M60" i="63"/>
  <c r="K60" i="63"/>
  <c r="I60" i="63"/>
  <c r="S59" i="63"/>
  <c r="Q59" i="63"/>
  <c r="R59" i="63" s="1"/>
  <c r="P59" i="63"/>
  <c r="M59" i="63"/>
  <c r="K59" i="63"/>
  <c r="I59" i="63"/>
  <c r="Q58" i="63"/>
  <c r="S58" i="63" s="1"/>
  <c r="P58" i="63"/>
  <c r="M58" i="63"/>
  <c r="K58" i="63"/>
  <c r="I58" i="63"/>
  <c r="AC57" i="63"/>
  <c r="AB57" i="63"/>
  <c r="Q57" i="63"/>
  <c r="S57" i="63" s="1"/>
  <c r="P57" i="63"/>
  <c r="M57" i="63"/>
  <c r="K57" i="63"/>
  <c r="I57" i="63"/>
  <c r="AH56" i="63"/>
  <c r="AG56" i="63"/>
  <c r="AF56" i="63"/>
  <c r="AE56" i="63"/>
  <c r="AD56" i="63"/>
  <c r="AC56" i="63"/>
  <c r="AB56" i="63"/>
  <c r="Q56" i="63"/>
  <c r="S56" i="63" s="1"/>
  <c r="P56" i="63"/>
  <c r="M56" i="63"/>
  <c r="K56" i="63"/>
  <c r="I56" i="63"/>
  <c r="AH55" i="63"/>
  <c r="AH57" i="63" s="1"/>
  <c r="AG55" i="63"/>
  <c r="AG57" i="63" s="1"/>
  <c r="AF55" i="63"/>
  <c r="AF57" i="63" s="1"/>
  <c r="AE55" i="63"/>
  <c r="AE57" i="63" s="1"/>
  <c r="AD55" i="63"/>
  <c r="AC55" i="63"/>
  <c r="AB55" i="63"/>
  <c r="AA55" i="63"/>
  <c r="S55" i="63"/>
  <c r="R55" i="63"/>
  <c r="Q55" i="63"/>
  <c r="P55" i="63"/>
  <c r="M55" i="63"/>
  <c r="K55" i="63"/>
  <c r="I55" i="63"/>
  <c r="Q50" i="63"/>
  <c r="S50" i="63" s="1"/>
  <c r="P50" i="63"/>
  <c r="M50" i="63"/>
  <c r="K50" i="63"/>
  <c r="I50" i="63"/>
  <c r="Q49" i="63"/>
  <c r="S49" i="63" s="1"/>
  <c r="P49" i="63"/>
  <c r="M49" i="63"/>
  <c r="Q48" i="63"/>
  <c r="R48" i="63" s="1"/>
  <c r="P48" i="63"/>
  <c r="M48" i="63"/>
  <c r="Q47" i="63"/>
  <c r="S47" i="63" s="1"/>
  <c r="P47" i="63"/>
  <c r="M47" i="63"/>
  <c r="Q46" i="63"/>
  <c r="S46" i="63" s="1"/>
  <c r="P46" i="63"/>
  <c r="M46" i="63"/>
  <c r="Q45" i="63"/>
  <c r="S45" i="63" s="1"/>
  <c r="P45" i="63"/>
  <c r="M45" i="63"/>
  <c r="Q44" i="63"/>
  <c r="S44" i="63" s="1"/>
  <c r="P44" i="63"/>
  <c r="M44" i="63"/>
  <c r="Q43" i="63"/>
  <c r="R43" i="63" s="1"/>
  <c r="P43" i="63"/>
  <c r="M43" i="63"/>
  <c r="Q42" i="63"/>
  <c r="S42" i="63" s="1"/>
  <c r="P42" i="63"/>
  <c r="M42" i="63"/>
  <c r="K42" i="63"/>
  <c r="I42" i="63"/>
  <c r="Q41" i="63"/>
  <c r="R41" i="63" s="1"/>
  <c r="P41" i="63"/>
  <c r="M41" i="63"/>
  <c r="K41" i="63"/>
  <c r="I41" i="63"/>
  <c r="Q40" i="63"/>
  <c r="S40" i="63" s="1"/>
  <c r="P40" i="63"/>
  <c r="M40" i="63"/>
  <c r="K40" i="63"/>
  <c r="I40" i="63"/>
  <c r="Q39" i="63"/>
  <c r="S39" i="63" s="1"/>
  <c r="P39" i="63"/>
  <c r="M39" i="63"/>
  <c r="K39" i="63"/>
  <c r="I39" i="63"/>
  <c r="Q38" i="63"/>
  <c r="S38" i="63" s="1"/>
  <c r="P38" i="63"/>
  <c r="M38" i="63"/>
  <c r="K38" i="63"/>
  <c r="I38" i="63"/>
  <c r="Q37" i="63"/>
  <c r="S37" i="63" s="1"/>
  <c r="P37" i="63"/>
  <c r="M37" i="63"/>
  <c r="K37" i="63"/>
  <c r="I37" i="63"/>
  <c r="Q36" i="63"/>
  <c r="S36" i="63" s="1"/>
  <c r="P36" i="63"/>
  <c r="M36" i="63"/>
  <c r="K36" i="63"/>
  <c r="I36" i="63"/>
  <c r="Q35" i="63"/>
  <c r="S35" i="63" s="1"/>
  <c r="P35" i="63"/>
  <c r="M35" i="63"/>
  <c r="K35" i="63"/>
  <c r="I35" i="63"/>
  <c r="Q34" i="63"/>
  <c r="S34" i="63" s="1"/>
  <c r="P34" i="63"/>
  <c r="M34" i="63"/>
  <c r="K34" i="63"/>
  <c r="I34" i="63"/>
  <c r="Q33" i="63"/>
  <c r="R33" i="63" s="1"/>
  <c r="P33" i="63"/>
  <c r="M33" i="63"/>
  <c r="K33" i="63"/>
  <c r="I33" i="63"/>
  <c r="AH32" i="63"/>
  <c r="AG32" i="63"/>
  <c r="AF32" i="63"/>
  <c r="AE32" i="63"/>
  <c r="AD32" i="63"/>
  <c r="AC32" i="63"/>
  <c r="AB32" i="63"/>
  <c r="Q32" i="63"/>
  <c r="R32" i="63" s="1"/>
  <c r="P32" i="63"/>
  <c r="M32" i="63"/>
  <c r="K32" i="63"/>
  <c r="I32" i="63"/>
  <c r="AH31" i="63"/>
  <c r="AH142" i="63" s="1"/>
  <c r="AH144" i="63" s="1"/>
  <c r="AG31" i="63"/>
  <c r="AG142" i="63" s="1"/>
  <c r="AG144" i="63" s="1"/>
  <c r="AF31" i="63"/>
  <c r="AF142" i="63" s="1"/>
  <c r="AF144" i="63" s="1"/>
  <c r="AE31" i="63"/>
  <c r="AE142" i="63" s="1"/>
  <c r="AD31" i="63"/>
  <c r="AD33" i="63" s="1"/>
  <c r="AC31" i="63"/>
  <c r="AC142" i="63" s="1"/>
  <c r="AB31" i="63"/>
  <c r="AB142" i="63" s="1"/>
  <c r="AA31" i="63"/>
  <c r="AA142" i="63" s="1"/>
  <c r="Q31" i="63"/>
  <c r="S31" i="63" s="1"/>
  <c r="P31" i="63"/>
  <c r="M31" i="63"/>
  <c r="K31" i="63"/>
  <c r="I31" i="63"/>
  <c r="S26" i="63"/>
  <c r="R26" i="63"/>
  <c r="Q26" i="63"/>
  <c r="P26" i="63"/>
  <c r="M26" i="63"/>
  <c r="K26" i="63"/>
  <c r="I26" i="63"/>
  <c r="S25" i="63"/>
  <c r="Q25" i="63"/>
  <c r="R25" i="63" s="1"/>
  <c r="P25" i="63"/>
  <c r="M25" i="63"/>
  <c r="K25" i="63"/>
  <c r="I25" i="63"/>
  <c r="S24" i="63"/>
  <c r="Q24" i="63"/>
  <c r="R24" i="63" s="1"/>
  <c r="P24" i="63"/>
  <c r="M24" i="63"/>
  <c r="K24" i="63"/>
  <c r="I24" i="63"/>
  <c r="S23" i="63"/>
  <c r="Q23" i="63"/>
  <c r="R23" i="63" s="1"/>
  <c r="P23" i="63"/>
  <c r="M23" i="63"/>
  <c r="K23" i="63"/>
  <c r="I23" i="63"/>
  <c r="Q22" i="63"/>
  <c r="S22" i="63" s="1"/>
  <c r="P22" i="63"/>
  <c r="M22" i="63"/>
  <c r="K22" i="63"/>
  <c r="I22" i="63"/>
  <c r="Q21" i="63"/>
  <c r="S21" i="63" s="1"/>
  <c r="P21" i="63"/>
  <c r="M21" i="63"/>
  <c r="K21" i="63"/>
  <c r="I21" i="63"/>
  <c r="Q20" i="63"/>
  <c r="S20" i="63" s="1"/>
  <c r="P20" i="63"/>
  <c r="M20" i="63"/>
  <c r="K20" i="63"/>
  <c r="I20" i="63"/>
  <c r="Q19" i="63"/>
  <c r="R19" i="63" s="1"/>
  <c r="P19" i="63"/>
  <c r="M19" i="63"/>
  <c r="K19" i="63"/>
  <c r="I19" i="63"/>
  <c r="Q18" i="63"/>
  <c r="R18" i="63" s="1"/>
  <c r="P18" i="63"/>
  <c r="M18" i="63"/>
  <c r="K18" i="63"/>
  <c r="I18" i="63"/>
  <c r="Q17" i="63"/>
  <c r="S17" i="63" s="1"/>
  <c r="P17" i="63"/>
  <c r="M17" i="63"/>
  <c r="K17" i="63"/>
  <c r="I17" i="63"/>
  <c r="Q16" i="63"/>
  <c r="S16" i="63" s="1"/>
  <c r="P16" i="63"/>
  <c r="M16" i="63"/>
  <c r="K16" i="63"/>
  <c r="I16" i="63"/>
  <c r="Q15" i="63"/>
  <c r="R15" i="63" s="1"/>
  <c r="P15" i="63"/>
  <c r="M15" i="63"/>
  <c r="K15" i="63"/>
  <c r="I15" i="63"/>
  <c r="Q14" i="63"/>
  <c r="R14" i="63" s="1"/>
  <c r="P14" i="63"/>
  <c r="M14" i="63"/>
  <c r="K14" i="63"/>
  <c r="I14" i="63"/>
  <c r="S13" i="63"/>
  <c r="R13" i="63"/>
  <c r="Q13" i="63"/>
  <c r="P13" i="63"/>
  <c r="M13" i="63"/>
  <c r="K13" i="63"/>
  <c r="I13" i="63"/>
  <c r="Q12" i="63"/>
  <c r="S12" i="63" s="1"/>
  <c r="P12" i="63"/>
  <c r="M12" i="63"/>
  <c r="K12" i="63"/>
  <c r="I12" i="63"/>
  <c r="Q11" i="63"/>
  <c r="R11" i="63" s="1"/>
  <c r="P11" i="63"/>
  <c r="M11" i="63"/>
  <c r="K11" i="63"/>
  <c r="I11" i="63"/>
  <c r="S10" i="63"/>
  <c r="Q10" i="63"/>
  <c r="R10" i="63" s="1"/>
  <c r="P10" i="63"/>
  <c r="M10" i="63"/>
  <c r="K10" i="63"/>
  <c r="I10" i="63"/>
  <c r="AG9" i="63"/>
  <c r="AF9" i="63"/>
  <c r="AD9" i="63"/>
  <c r="AC9" i="63"/>
  <c r="AB9" i="63"/>
  <c r="S9" i="63"/>
  <c r="R9" i="63"/>
  <c r="Q9" i="63"/>
  <c r="P9" i="63"/>
  <c r="M9" i="63"/>
  <c r="K9" i="63"/>
  <c r="I9" i="63"/>
  <c r="AH8" i="63"/>
  <c r="AG8" i="63"/>
  <c r="AF8" i="63"/>
  <c r="AE8" i="63"/>
  <c r="AD8" i="63"/>
  <c r="AC8" i="63"/>
  <c r="AB8" i="63"/>
  <c r="S8" i="63"/>
  <c r="R8" i="63"/>
  <c r="Q8" i="63"/>
  <c r="P8" i="63"/>
  <c r="M8" i="63"/>
  <c r="K8" i="63"/>
  <c r="I8" i="63"/>
  <c r="AH7" i="63"/>
  <c r="AH9" i="63" s="1"/>
  <c r="AG7" i="63"/>
  <c r="AF7" i="63"/>
  <c r="AE7" i="63"/>
  <c r="AE9" i="63" s="1"/>
  <c r="AD7" i="63"/>
  <c r="AC7" i="63"/>
  <c r="AB7" i="63"/>
  <c r="AA7" i="63"/>
  <c r="Q7" i="63"/>
  <c r="S7" i="63" s="1"/>
  <c r="P7" i="63"/>
  <c r="M7" i="63"/>
  <c r="K7" i="63"/>
  <c r="I7" i="63"/>
  <c r="AB33" i="63" l="1"/>
  <c r="AE33" i="63"/>
  <c r="AD142" i="63"/>
  <c r="AD144" i="63" s="1"/>
  <c r="S41" i="63"/>
  <c r="S48" i="63"/>
  <c r="R44" i="63"/>
  <c r="R45" i="63"/>
  <c r="R46" i="63"/>
  <c r="R31" i="63"/>
  <c r="S43" i="63"/>
  <c r="AE143" i="63"/>
  <c r="M64" i="41"/>
  <c r="AD143" i="63"/>
  <c r="K64" i="41"/>
  <c r="AC143" i="63"/>
  <c r="I64" i="41"/>
  <c r="AG143" i="63"/>
  <c r="AF143" i="63"/>
  <c r="AB143" i="63"/>
  <c r="AH143" i="63"/>
  <c r="AB144" i="63"/>
  <c r="AC144" i="63"/>
  <c r="AE144" i="63"/>
  <c r="R127" i="63"/>
  <c r="R141" i="63"/>
  <c r="S67" i="63"/>
  <c r="S85" i="63"/>
  <c r="R88" i="63"/>
  <c r="R106" i="63"/>
  <c r="S14" i="63"/>
  <c r="R17" i="63"/>
  <c r="S33" i="63"/>
  <c r="R35" i="63"/>
  <c r="S70" i="63"/>
  <c r="R73" i="63"/>
  <c r="R91" i="63"/>
  <c r="R109" i="63"/>
  <c r="R143" i="63"/>
  <c r="R20" i="63"/>
  <c r="R38" i="63"/>
  <c r="R57" i="63"/>
  <c r="R94" i="63"/>
  <c r="R112" i="63"/>
  <c r="R130" i="63"/>
  <c r="AC33" i="63"/>
  <c r="R121" i="63"/>
  <c r="R50" i="63"/>
  <c r="AD57" i="63"/>
  <c r="R68" i="63"/>
  <c r="S83" i="63"/>
  <c r="R86" i="63"/>
  <c r="R105" i="63"/>
  <c r="R142" i="63"/>
  <c r="AH33" i="63"/>
  <c r="R36" i="63"/>
  <c r="R56" i="63"/>
  <c r="S71" i="63"/>
  <c r="R74" i="63"/>
  <c r="S89" i="63"/>
  <c r="R92" i="63"/>
  <c r="S107" i="63"/>
  <c r="R110" i="63"/>
  <c r="R129" i="63"/>
  <c r="R7" i="63"/>
  <c r="S18" i="63"/>
  <c r="R21" i="63"/>
  <c r="R39" i="63"/>
  <c r="R95" i="63"/>
  <c r="R113" i="63"/>
  <c r="R131" i="63"/>
  <c r="R145" i="63"/>
  <c r="R42" i="63"/>
  <c r="R60" i="63"/>
  <c r="R80" i="63"/>
  <c r="R98" i="63"/>
  <c r="R116" i="63"/>
  <c r="R134" i="63"/>
  <c r="R49" i="63"/>
  <c r="S11" i="63"/>
  <c r="R47" i="63"/>
  <c r="R65" i="63"/>
  <c r="AF33" i="63"/>
  <c r="S15" i="63"/>
  <c r="R12" i="63"/>
  <c r="S139" i="63"/>
  <c r="S32" i="63"/>
  <c r="AG33" i="63"/>
  <c r="R16" i="63"/>
  <c r="R34" i="63"/>
  <c r="R90" i="63"/>
  <c r="R108" i="63"/>
  <c r="R128" i="63"/>
  <c r="R37" i="63"/>
  <c r="S72" i="63"/>
  <c r="R79" i="63"/>
  <c r="R111" i="63"/>
  <c r="S19" i="63"/>
  <c r="R22" i="63"/>
  <c r="R40" i="63"/>
  <c r="R58" i="63"/>
  <c r="S93" i="63"/>
  <c r="R96" i="63"/>
  <c r="R114" i="63"/>
  <c r="R132" i="63"/>
  <c r="S144" i="63"/>
  <c r="R146" i="63"/>
  <c r="B34" i="25" l="1"/>
  <c r="A34" i="25"/>
  <c r="H23" i="39" l="1"/>
  <c r="H22" i="39"/>
  <c r="H21" i="39"/>
  <c r="H20" i="39"/>
  <c r="H19" i="39"/>
  <c r="H18" i="39"/>
  <c r="H17" i="39"/>
  <c r="H16" i="39"/>
  <c r="H15" i="39"/>
  <c r="G42" i="6"/>
  <c r="J42" i="6"/>
  <c r="L42" i="6"/>
  <c r="M42" i="6"/>
  <c r="N42" i="6"/>
  <c r="P42" i="6"/>
  <c r="R42" i="6"/>
  <c r="S42" i="6"/>
  <c r="T42" i="6"/>
  <c r="V42" i="6"/>
  <c r="X42" i="6"/>
  <c r="Z42" i="6"/>
  <c r="AB42" i="6"/>
  <c r="AC42" i="6"/>
  <c r="AD42" i="6"/>
  <c r="AF42" i="6"/>
  <c r="AH42" i="6"/>
  <c r="AJ42" i="6"/>
  <c r="AL42" i="6"/>
  <c r="J43" i="6"/>
  <c r="L43" i="6"/>
  <c r="M43" i="6"/>
  <c r="N43" i="6"/>
  <c r="P43" i="6"/>
  <c r="R43" i="6"/>
  <c r="S43" i="6"/>
  <c r="T43" i="6"/>
  <c r="V43" i="6"/>
  <c r="X43" i="6"/>
  <c r="Z43" i="6"/>
  <c r="AB43" i="6"/>
  <c r="AC43" i="6"/>
  <c r="AD43" i="6"/>
  <c r="AF43" i="6"/>
  <c r="AH43" i="6"/>
  <c r="AJ43" i="6"/>
  <c r="AL43" i="6"/>
  <c r="J44" i="6"/>
  <c r="L44" i="6"/>
  <c r="M44" i="6"/>
  <c r="N44" i="6"/>
  <c r="P44" i="6"/>
  <c r="R44" i="6"/>
  <c r="S44" i="6"/>
  <c r="T44" i="6"/>
  <c r="V44" i="6"/>
  <c r="X44" i="6"/>
  <c r="Z44" i="6"/>
  <c r="AB44" i="6"/>
  <c r="AC44" i="6"/>
  <c r="AD44" i="6"/>
  <c r="AF44" i="6"/>
  <c r="AH44" i="6"/>
  <c r="AJ44" i="6"/>
  <c r="AL44" i="6"/>
  <c r="J45" i="6"/>
  <c r="L45" i="6"/>
  <c r="M45" i="6"/>
  <c r="N45" i="6"/>
  <c r="P45" i="6"/>
  <c r="R45" i="6"/>
  <c r="S45" i="6"/>
  <c r="T45" i="6"/>
  <c r="V45" i="6"/>
  <c r="X45" i="6"/>
  <c r="Z45" i="6"/>
  <c r="AB45" i="6"/>
  <c r="AC45" i="6"/>
  <c r="AD45" i="6"/>
  <c r="AF45" i="6"/>
  <c r="AH45" i="6"/>
  <c r="AJ45" i="6"/>
  <c r="AL45" i="6"/>
  <c r="J46" i="6"/>
  <c r="L46" i="6"/>
  <c r="M46" i="6"/>
  <c r="N46" i="6"/>
  <c r="P46" i="6"/>
  <c r="R46" i="6"/>
  <c r="S46" i="6"/>
  <c r="T46" i="6"/>
  <c r="V46" i="6"/>
  <c r="X46" i="6"/>
  <c r="Z46" i="6"/>
  <c r="AB46" i="6"/>
  <c r="AC46" i="6"/>
  <c r="AD46" i="6"/>
  <c r="AF46" i="6"/>
  <c r="AH46" i="6"/>
  <c r="AJ46" i="6"/>
  <c r="AL46" i="6"/>
  <c r="J47" i="6"/>
  <c r="L47" i="6"/>
  <c r="M47" i="6"/>
  <c r="N47" i="6"/>
  <c r="P47" i="6"/>
  <c r="R47" i="6"/>
  <c r="S47" i="6"/>
  <c r="T47" i="6"/>
  <c r="V47" i="6"/>
  <c r="X47" i="6"/>
  <c r="Z47" i="6"/>
  <c r="AB47" i="6"/>
  <c r="AC47" i="6"/>
  <c r="AD47" i="6"/>
  <c r="AF47" i="6"/>
  <c r="AH47" i="6"/>
  <c r="AJ47" i="6"/>
  <c r="AL47" i="6"/>
  <c r="J48" i="6"/>
  <c r="L48" i="6"/>
  <c r="M48" i="6"/>
  <c r="N48" i="6"/>
  <c r="P48" i="6"/>
  <c r="R48" i="6"/>
  <c r="S48" i="6"/>
  <c r="T48" i="6"/>
  <c r="V48" i="6"/>
  <c r="X48" i="6"/>
  <c r="Z48" i="6"/>
  <c r="AB48" i="6"/>
  <c r="AC48" i="6"/>
  <c r="AD48" i="6"/>
  <c r="AF48" i="6"/>
  <c r="AH48" i="6"/>
  <c r="AJ48" i="6"/>
  <c r="AL48" i="6"/>
  <c r="B23" i="39"/>
  <c r="B22" i="39"/>
  <c r="B21" i="39"/>
  <c r="B20" i="39"/>
  <c r="B19" i="39"/>
  <c r="B18" i="39"/>
  <c r="B17" i="39"/>
  <c r="B16" i="39"/>
  <c r="B15" i="39"/>
  <c r="G7" i="7"/>
  <c r="G42" i="7"/>
  <c r="J42" i="7"/>
  <c r="L42" i="7"/>
  <c r="M42" i="7"/>
  <c r="N42" i="7"/>
  <c r="P42" i="7"/>
  <c r="R42" i="7"/>
  <c r="S42" i="7"/>
  <c r="T42" i="7"/>
  <c r="V42" i="7"/>
  <c r="X42" i="7"/>
  <c r="Z42" i="7"/>
  <c r="AB42" i="7"/>
  <c r="AC42" i="7"/>
  <c r="AD42" i="7"/>
  <c r="AF42" i="7"/>
  <c r="AH42" i="7"/>
  <c r="AJ42" i="7"/>
  <c r="AL42" i="7"/>
  <c r="J43" i="7"/>
  <c r="L43" i="7"/>
  <c r="M43" i="7"/>
  <c r="N43" i="7"/>
  <c r="P43" i="7"/>
  <c r="R43" i="7"/>
  <c r="S43" i="7"/>
  <c r="T43" i="7"/>
  <c r="V43" i="7"/>
  <c r="X43" i="7"/>
  <c r="Z43" i="7"/>
  <c r="AB43" i="7"/>
  <c r="AC43" i="7"/>
  <c r="AD43" i="7"/>
  <c r="AF43" i="7"/>
  <c r="AH43" i="7"/>
  <c r="AJ43" i="7"/>
  <c r="AL43" i="7"/>
  <c r="J44" i="7"/>
  <c r="L44" i="7"/>
  <c r="M44" i="7"/>
  <c r="N44" i="7" s="1"/>
  <c r="P44" i="7"/>
  <c r="R44" i="7"/>
  <c r="S44" i="7"/>
  <c r="T44" i="7"/>
  <c r="V44" i="7"/>
  <c r="X44" i="7"/>
  <c r="Z44" i="7"/>
  <c r="AB44" i="7"/>
  <c r="AC44" i="7"/>
  <c r="AD44" i="7" s="1"/>
  <c r="AF44" i="7"/>
  <c r="AH44" i="7"/>
  <c r="AJ44" i="7"/>
  <c r="AL44" i="7"/>
  <c r="J45" i="7"/>
  <c r="L45" i="7"/>
  <c r="M45" i="7"/>
  <c r="N45" i="7"/>
  <c r="P45" i="7"/>
  <c r="R45" i="7"/>
  <c r="S45" i="7"/>
  <c r="T45" i="7"/>
  <c r="V45" i="7"/>
  <c r="X45" i="7"/>
  <c r="Z45" i="7"/>
  <c r="AB45" i="7"/>
  <c r="AC45" i="7"/>
  <c r="AD45" i="7"/>
  <c r="AF45" i="7"/>
  <c r="AH45" i="7"/>
  <c r="AJ45" i="7"/>
  <c r="AL45" i="7"/>
  <c r="J46" i="7"/>
  <c r="L46" i="7"/>
  <c r="M46" i="7"/>
  <c r="N46" i="7"/>
  <c r="P46" i="7"/>
  <c r="R46" i="7"/>
  <c r="S46" i="7"/>
  <c r="T46" i="7" s="1"/>
  <c r="V46" i="7"/>
  <c r="X46" i="7"/>
  <c r="Z46" i="7"/>
  <c r="AB46" i="7"/>
  <c r="AC46" i="7"/>
  <c r="AD46" i="7"/>
  <c r="AF46" i="7"/>
  <c r="AH46" i="7"/>
  <c r="AJ46" i="7"/>
  <c r="AL46" i="7"/>
  <c r="J47" i="7"/>
  <c r="L47" i="7"/>
  <c r="M47" i="7"/>
  <c r="N47" i="7"/>
  <c r="P47" i="7"/>
  <c r="R47" i="7"/>
  <c r="S47" i="7"/>
  <c r="T47" i="7"/>
  <c r="V47" i="7"/>
  <c r="X47" i="7"/>
  <c r="Z47" i="7"/>
  <c r="AB47" i="7"/>
  <c r="AC47" i="7"/>
  <c r="AD47" i="7"/>
  <c r="AF47" i="7"/>
  <c r="AH47" i="7"/>
  <c r="AJ47" i="7"/>
  <c r="AL47" i="7"/>
  <c r="J48" i="7"/>
  <c r="L48" i="7"/>
  <c r="M48" i="7"/>
  <c r="N48" i="7"/>
  <c r="P48" i="7"/>
  <c r="R48" i="7"/>
  <c r="S48" i="7"/>
  <c r="T48" i="7"/>
  <c r="V48" i="7"/>
  <c r="X48" i="7"/>
  <c r="Z48" i="7"/>
  <c r="AB48" i="7"/>
  <c r="AC48" i="7"/>
  <c r="AD48" i="7"/>
  <c r="AF48" i="7"/>
  <c r="AH48" i="7"/>
  <c r="AJ48" i="7"/>
  <c r="AL48" i="7"/>
  <c r="B7" i="7"/>
  <c r="K11" i="39"/>
  <c r="K10" i="39"/>
  <c r="K6" i="39"/>
  <c r="T10" i="5"/>
  <c r="W10" i="5"/>
  <c r="Q10" i="5"/>
  <c r="K9" i="39" s="1"/>
  <c r="N10" i="5"/>
  <c r="K8" i="39" s="1"/>
  <c r="G5" i="5"/>
  <c r="B40" i="5"/>
  <c r="D40" i="5"/>
  <c r="G40" i="5"/>
  <c r="I40" i="5"/>
  <c r="M40" i="5"/>
  <c r="P40" i="5"/>
  <c r="S40" i="5"/>
  <c r="V40" i="5"/>
  <c r="D41" i="5"/>
  <c r="D42" i="5" s="1"/>
  <c r="D43" i="5" s="1"/>
  <c r="D44" i="5" s="1"/>
  <c r="D45" i="5" s="1"/>
  <c r="D46" i="5" s="1"/>
  <c r="I41" i="5"/>
  <c r="J40" i="5" s="1"/>
  <c r="I42" i="5"/>
  <c r="I43" i="5"/>
  <c r="I44" i="5"/>
  <c r="I45" i="5"/>
  <c r="I46" i="5"/>
  <c r="B26" i="5"/>
  <c r="B33" i="5" s="1"/>
  <c r="D26" i="5"/>
  <c r="G26" i="5"/>
  <c r="I26" i="5"/>
  <c r="M26" i="5"/>
  <c r="P26" i="5"/>
  <c r="S26" i="5"/>
  <c r="V26" i="5"/>
  <c r="D27" i="5"/>
  <c r="I27" i="5"/>
  <c r="J26" i="5" s="1"/>
  <c r="D28" i="5"/>
  <c r="I28" i="5"/>
  <c r="D29" i="5"/>
  <c r="I29" i="5"/>
  <c r="D30" i="5"/>
  <c r="I30" i="5"/>
  <c r="D31" i="5"/>
  <c r="I31" i="5"/>
  <c r="D32" i="5"/>
  <c r="D33" i="5" s="1"/>
  <c r="D34" i="5" s="1"/>
  <c r="D35" i="5" s="1"/>
  <c r="D36" i="5" s="1"/>
  <c r="D37" i="5" s="1"/>
  <c r="D38" i="5" s="1"/>
  <c r="D39" i="5" s="1"/>
  <c r="I32" i="5"/>
  <c r="G33" i="5"/>
  <c r="I33" i="5"/>
  <c r="M33" i="5"/>
  <c r="P33" i="5"/>
  <c r="S33" i="5"/>
  <c r="V33" i="5"/>
  <c r="I34" i="5"/>
  <c r="J33" i="5" s="1"/>
  <c r="I35" i="5"/>
  <c r="I36" i="5"/>
  <c r="I37" i="5"/>
  <c r="I38" i="5"/>
  <c r="I39" i="5"/>
  <c r="B19" i="5"/>
  <c r="D19" i="5"/>
  <c r="G19" i="5"/>
  <c r="I19" i="5"/>
  <c r="M19" i="5"/>
  <c r="P19" i="5"/>
  <c r="S19" i="5"/>
  <c r="V19" i="5"/>
  <c r="D20" i="5"/>
  <c r="D21" i="5" s="1"/>
  <c r="D22" i="5" s="1"/>
  <c r="D23" i="5" s="1"/>
  <c r="D24" i="5" s="1"/>
  <c r="D25" i="5" s="1"/>
  <c r="I20" i="5"/>
  <c r="J19" i="5" s="1"/>
  <c r="I21" i="5"/>
  <c r="I22" i="5"/>
  <c r="I23" i="5"/>
  <c r="I24" i="5"/>
  <c r="I25" i="5"/>
  <c r="I11" i="39"/>
  <c r="G12" i="3"/>
  <c r="B6" i="39" s="1"/>
  <c r="B16" i="41" l="1"/>
  <c r="C21" i="39"/>
  <c r="C20" i="39"/>
  <c r="C23" i="39"/>
  <c r="C19" i="39"/>
  <c r="C18" i="39"/>
  <c r="C22" i="39"/>
  <c r="C17" i="39"/>
  <c r="C16" i="39"/>
  <c r="C15" i="39"/>
  <c r="T10" i="3"/>
  <c r="Q10" i="3"/>
  <c r="P40" i="3"/>
  <c r="O41" i="3"/>
  <c r="O42" i="3"/>
  <c r="O43" i="3"/>
  <c r="O44" i="3"/>
  <c r="O45" i="3"/>
  <c r="O46" i="3"/>
  <c r="M40" i="3"/>
  <c r="P33" i="3"/>
  <c r="N10" i="3"/>
  <c r="K10" i="3"/>
  <c r="H10" i="3"/>
  <c r="J40" i="3"/>
  <c r="G40" i="3"/>
  <c r="D40" i="3"/>
  <c r="D41" i="3" s="1"/>
  <c r="D42" i="3" s="1"/>
  <c r="D43" i="3" s="1"/>
  <c r="D44" i="3" s="1"/>
  <c r="D45" i="3" s="1"/>
  <c r="D46" i="3" s="1"/>
  <c r="B40" i="3"/>
  <c r="D36" i="3"/>
  <c r="D37" i="3"/>
  <c r="D38" i="3"/>
  <c r="D39" i="3"/>
  <c r="O40" i="3"/>
  <c r="U40" i="3"/>
  <c r="G5" i="3"/>
  <c r="W10" i="3" l="1"/>
  <c r="B11" i="13"/>
  <c r="B10" i="13"/>
  <c r="B9" i="13"/>
  <c r="B8" i="13"/>
  <c r="D8" i="13" l="1"/>
  <c r="B8" i="25"/>
  <c r="A8" i="25"/>
  <c r="AR10" i="49"/>
  <c r="AR9" i="49"/>
  <c r="AR8" i="49"/>
  <c r="AM14" i="49"/>
  <c r="AM7" i="51"/>
  <c r="AH7" i="51"/>
  <c r="AC8" i="51"/>
  <c r="AC7" i="51"/>
  <c r="X8" i="51"/>
  <c r="X7" i="51"/>
  <c r="S8" i="51"/>
  <c r="S7" i="51"/>
  <c r="AR7" i="52"/>
  <c r="AM8" i="52"/>
  <c r="AM7" i="52"/>
  <c r="AH8" i="52"/>
  <c r="AL8" i="52"/>
  <c r="AG8" i="52"/>
  <c r="AB8" i="52"/>
  <c r="AC8" i="52" s="1"/>
  <c r="W8" i="52"/>
  <c r="X8" i="52" s="1"/>
  <c r="R8" i="52"/>
  <c r="S8" i="52" s="1"/>
  <c r="K8" i="52"/>
  <c r="J8" i="52"/>
  <c r="I8" i="52"/>
  <c r="G8" i="52"/>
  <c r="AV7" i="52"/>
  <c r="AX7" i="52" s="1"/>
  <c r="AS7" i="52"/>
  <c r="AQ7" i="52"/>
  <c r="AL7" i="52"/>
  <c r="AN7" i="52" s="1"/>
  <c r="AG7" i="52"/>
  <c r="AH7" i="52" s="1"/>
  <c r="AB7" i="52"/>
  <c r="W7" i="52"/>
  <c r="R7" i="52"/>
  <c r="T7" i="52" s="1"/>
  <c r="J7" i="52"/>
  <c r="I7" i="52"/>
  <c r="G7" i="52"/>
  <c r="U2" i="52"/>
  <c r="P3" i="52"/>
  <c r="AG8" i="51"/>
  <c r="AH8" i="51" s="1"/>
  <c r="AB8" i="51"/>
  <c r="W8" i="51"/>
  <c r="R8" i="51"/>
  <c r="K8" i="51"/>
  <c r="J8" i="51"/>
  <c r="I8" i="51"/>
  <c r="G8" i="51"/>
  <c r="AV7" i="51"/>
  <c r="AW7" i="51" s="1"/>
  <c r="AQ7" i="51"/>
  <c r="AR7" i="51" s="1"/>
  <c r="AN7" i="51"/>
  <c r="AL7" i="51"/>
  <c r="AG7" i="51"/>
  <c r="AB7" i="51"/>
  <c r="W7" i="51"/>
  <c r="R7" i="51"/>
  <c r="J7" i="51"/>
  <c r="I7" i="51"/>
  <c r="G7" i="51"/>
  <c r="H7" i="51" s="1"/>
  <c r="L7" i="50"/>
  <c r="AG15" i="49"/>
  <c r="AH15" i="49" s="1"/>
  <c r="AB15" i="49"/>
  <c r="AC15" i="49" s="1"/>
  <c r="W15" i="49"/>
  <c r="X15" i="49" s="1"/>
  <c r="R15" i="49"/>
  <c r="S15" i="49" s="1"/>
  <c r="K15" i="49"/>
  <c r="J15" i="49"/>
  <c r="I15" i="49"/>
  <c r="G15" i="49"/>
  <c r="AV14" i="49"/>
  <c r="AQ14" i="49"/>
  <c r="AL14" i="49"/>
  <c r="AG14" i="49"/>
  <c r="AH14" i="49" s="1"/>
  <c r="AB14" i="49"/>
  <c r="W14" i="49"/>
  <c r="X14" i="49" s="1"/>
  <c r="R14" i="49"/>
  <c r="S14" i="49" s="1"/>
  <c r="J14" i="49"/>
  <c r="I14" i="49"/>
  <c r="G14" i="49"/>
  <c r="AV13" i="49"/>
  <c r="AW13" i="49" s="1"/>
  <c r="AQ13" i="49"/>
  <c r="AR13" i="49" s="1"/>
  <c r="AL13" i="49"/>
  <c r="AM13" i="49" s="1"/>
  <c r="AG13" i="49"/>
  <c r="AB13" i="49"/>
  <c r="AC13" i="49" s="1"/>
  <c r="W13" i="49"/>
  <c r="X13" i="49" s="1"/>
  <c r="R13" i="49"/>
  <c r="S13" i="49" s="1"/>
  <c r="J13" i="49"/>
  <c r="I13" i="49"/>
  <c r="G13" i="49"/>
  <c r="AV12" i="49"/>
  <c r="AQ12" i="49"/>
  <c r="AL12" i="49"/>
  <c r="AM12" i="49" s="1"/>
  <c r="AG12" i="49"/>
  <c r="AH12" i="49" s="1"/>
  <c r="AB12" i="49"/>
  <c r="W12" i="49"/>
  <c r="X12" i="49" s="1"/>
  <c r="R12" i="49"/>
  <c r="J12" i="49"/>
  <c r="I12" i="49"/>
  <c r="G12" i="49"/>
  <c r="AV11" i="49"/>
  <c r="AW11" i="49" s="1"/>
  <c r="AQ11" i="49"/>
  <c r="AR11" i="49" s="1"/>
  <c r="AL11" i="49"/>
  <c r="AM11" i="49" s="1"/>
  <c r="AG11" i="49"/>
  <c r="AH11" i="49" s="1"/>
  <c r="AB11" i="49"/>
  <c r="W11" i="49"/>
  <c r="X11" i="49" s="1"/>
  <c r="R11" i="49"/>
  <c r="S11" i="49" s="1"/>
  <c r="J11" i="49"/>
  <c r="I11" i="49"/>
  <c r="G11" i="49"/>
  <c r="AV10" i="49"/>
  <c r="AW10" i="49" s="1"/>
  <c r="AQ10" i="49"/>
  <c r="AL10" i="49"/>
  <c r="AM10" i="49" s="1"/>
  <c r="AG10" i="49"/>
  <c r="AH10" i="49" s="1"/>
  <c r="AB10" i="49"/>
  <c r="AC10" i="49" s="1"/>
  <c r="W10" i="49"/>
  <c r="X10" i="49" s="1"/>
  <c r="R10" i="49"/>
  <c r="J10" i="49"/>
  <c r="I10" i="49"/>
  <c r="G10" i="49"/>
  <c r="AV9" i="49"/>
  <c r="AW9" i="49" s="1"/>
  <c r="AQ9" i="49"/>
  <c r="AL9" i="49"/>
  <c r="AM9" i="49" s="1"/>
  <c r="AG9" i="49"/>
  <c r="AH9" i="49" s="1"/>
  <c r="AB9" i="49"/>
  <c r="AC9" i="49" s="1"/>
  <c r="W9" i="49"/>
  <c r="X9" i="49" s="1"/>
  <c r="R9" i="49"/>
  <c r="S9" i="49" s="1"/>
  <c r="J9" i="49"/>
  <c r="I9" i="49"/>
  <c r="G9" i="49"/>
  <c r="AV8" i="49"/>
  <c r="AW8" i="49" s="1"/>
  <c r="AQ8" i="49"/>
  <c r="AL8" i="49"/>
  <c r="AM8" i="49" s="1"/>
  <c r="AG8" i="49"/>
  <c r="AB8" i="49"/>
  <c r="AC8" i="49" s="1"/>
  <c r="W8" i="49"/>
  <c r="X8" i="49" s="1"/>
  <c r="R8" i="49"/>
  <c r="K8" i="49" s="1"/>
  <c r="J8" i="49"/>
  <c r="I8" i="49"/>
  <c r="G8" i="49"/>
  <c r="AV7" i="49"/>
  <c r="AX7" i="49" s="1"/>
  <c r="AQ7" i="49"/>
  <c r="AR14" i="49" s="1"/>
  <c r="AL7" i="49"/>
  <c r="AN7" i="49" s="1"/>
  <c r="AG7" i="49"/>
  <c r="AB7" i="49"/>
  <c r="AC12" i="49" s="1"/>
  <c r="W7" i="49"/>
  <c r="R7" i="49"/>
  <c r="S10" i="49" s="1"/>
  <c r="J7" i="49"/>
  <c r="I7" i="49"/>
  <c r="G7" i="49"/>
  <c r="AV16" i="48"/>
  <c r="K16" i="48"/>
  <c r="J16" i="48"/>
  <c r="I16" i="48"/>
  <c r="G16" i="48"/>
  <c r="AV15" i="48"/>
  <c r="K15" i="48"/>
  <c r="J15" i="48"/>
  <c r="I15" i="48"/>
  <c r="G15" i="48"/>
  <c r="AV14" i="48"/>
  <c r="AQ14" i="48"/>
  <c r="AR14" i="48" s="1"/>
  <c r="AL14" i="48"/>
  <c r="AG14" i="48"/>
  <c r="AH14" i="48" s="1"/>
  <c r="AB14" i="48"/>
  <c r="W14" i="48"/>
  <c r="R14" i="48"/>
  <c r="J14" i="48"/>
  <c r="I14" i="48"/>
  <c r="G14" i="48"/>
  <c r="AV13" i="48"/>
  <c r="AQ13" i="48"/>
  <c r="AR13" i="48" s="1"/>
  <c r="AL13" i="48"/>
  <c r="AG13" i="48"/>
  <c r="AB13" i="48"/>
  <c r="W13" i="48"/>
  <c r="R13" i="48"/>
  <c r="J13" i="48"/>
  <c r="I13" i="48"/>
  <c r="G13" i="48"/>
  <c r="AV12" i="48"/>
  <c r="AQ12" i="48"/>
  <c r="AR12" i="48" s="1"/>
  <c r="AL12" i="48"/>
  <c r="AG12" i="48"/>
  <c r="AB12" i="48"/>
  <c r="W12" i="48"/>
  <c r="R12" i="48"/>
  <c r="J12" i="48"/>
  <c r="I12" i="48"/>
  <c r="G12" i="48"/>
  <c r="AB11" i="48"/>
  <c r="W11" i="48"/>
  <c r="R11" i="48"/>
  <c r="J11" i="48"/>
  <c r="I11" i="48"/>
  <c r="G11" i="48"/>
  <c r="AV10" i="48"/>
  <c r="AW10" i="48" s="1"/>
  <c r="AQ10" i="48"/>
  <c r="AR10" i="48" s="1"/>
  <c r="AL10" i="48"/>
  <c r="AG10" i="48"/>
  <c r="AH10" i="48" s="1"/>
  <c r="AB10" i="48"/>
  <c r="W10" i="48"/>
  <c r="R10" i="48"/>
  <c r="J10" i="48"/>
  <c r="I10" i="48"/>
  <c r="G10" i="48"/>
  <c r="AV9" i="48"/>
  <c r="AQ9" i="48"/>
  <c r="AR9" i="48" s="1"/>
  <c r="AL9" i="48"/>
  <c r="AG9" i="48"/>
  <c r="AB9" i="48"/>
  <c r="W9" i="48"/>
  <c r="X9" i="48" s="1"/>
  <c r="R9" i="48"/>
  <c r="J9" i="48"/>
  <c r="I9" i="48"/>
  <c r="G9" i="48"/>
  <c r="AV8" i="48"/>
  <c r="AW8" i="48" s="1"/>
  <c r="AQ8" i="48"/>
  <c r="AR8" i="48" s="1"/>
  <c r="AL8" i="48"/>
  <c r="AM13" i="48" s="1"/>
  <c r="AG8" i="48"/>
  <c r="AH8" i="48" s="1"/>
  <c r="AB8" i="48"/>
  <c r="W8" i="48"/>
  <c r="R8" i="48"/>
  <c r="J8" i="48"/>
  <c r="I8" i="48"/>
  <c r="G8" i="48"/>
  <c r="AV7" i="48"/>
  <c r="AQ7" i="48"/>
  <c r="AL7" i="48"/>
  <c r="AM7" i="48" s="1"/>
  <c r="AG7" i="48"/>
  <c r="AB7" i="48"/>
  <c r="W7" i="48"/>
  <c r="R7" i="48"/>
  <c r="K7" i="48" s="1"/>
  <c r="J7" i="48"/>
  <c r="I7" i="48"/>
  <c r="G7" i="48"/>
  <c r="M88" i="46"/>
  <c r="M87" i="46"/>
  <c r="M88" i="45"/>
  <c r="M89" i="45"/>
  <c r="M90" i="45"/>
  <c r="M91" i="45"/>
  <c r="M92" i="45"/>
  <c r="M93" i="45"/>
  <c r="M94" i="45"/>
  <c r="M87" i="45"/>
  <c r="AR16" i="44"/>
  <c r="AR12" i="44"/>
  <c r="AH30" i="44"/>
  <c r="AH24" i="44"/>
  <c r="AH14" i="44"/>
  <c r="AC23" i="44"/>
  <c r="X32" i="44"/>
  <c r="AV36" i="44"/>
  <c r="AW36" i="44" s="1"/>
  <c r="J36" i="44"/>
  <c r="I36" i="44"/>
  <c r="G36" i="44"/>
  <c r="AV35" i="44"/>
  <c r="AW35" i="44" s="1"/>
  <c r="AQ35" i="44"/>
  <c r="AR35" i="44" s="1"/>
  <c r="AL35" i="44"/>
  <c r="AG35" i="44"/>
  <c r="AB35" i="44"/>
  <c r="W35" i="44"/>
  <c r="X35" i="44" s="1"/>
  <c r="R35" i="44"/>
  <c r="S35" i="44" s="1"/>
  <c r="J35" i="44"/>
  <c r="I35" i="44"/>
  <c r="G35" i="44"/>
  <c r="AV34" i="44"/>
  <c r="AW34" i="44" s="1"/>
  <c r="AQ34" i="44"/>
  <c r="AR34" i="44" s="1"/>
  <c r="AL34" i="44"/>
  <c r="AM34" i="44" s="1"/>
  <c r="AG34" i="44"/>
  <c r="AB34" i="44"/>
  <c r="W34" i="44"/>
  <c r="X34" i="44" s="1"/>
  <c r="R34" i="44"/>
  <c r="J34" i="44"/>
  <c r="I34" i="44"/>
  <c r="G34" i="44"/>
  <c r="AV33" i="44"/>
  <c r="AW33" i="44" s="1"/>
  <c r="AQ33" i="44"/>
  <c r="AR33" i="44" s="1"/>
  <c r="AL33" i="44"/>
  <c r="AM33" i="44" s="1"/>
  <c r="AG33" i="44"/>
  <c r="AB33" i="44"/>
  <c r="W33" i="44"/>
  <c r="R33" i="44"/>
  <c r="S33" i="44" s="1"/>
  <c r="J33" i="44"/>
  <c r="I33" i="44"/>
  <c r="G33" i="44"/>
  <c r="AV32" i="44"/>
  <c r="AW32" i="44" s="1"/>
  <c r="AQ32" i="44"/>
  <c r="AR32" i="44" s="1"/>
  <c r="AL32" i="44"/>
  <c r="AM32" i="44" s="1"/>
  <c r="AG32" i="44"/>
  <c r="AH32" i="44" s="1"/>
  <c r="AB32" i="44"/>
  <c r="AC32" i="44" s="1"/>
  <c r="W32" i="44"/>
  <c r="K32" i="44" s="1"/>
  <c r="R32" i="44"/>
  <c r="J32" i="44"/>
  <c r="I32" i="44"/>
  <c r="G32" i="44"/>
  <c r="AV31" i="44"/>
  <c r="AW31" i="44" s="1"/>
  <c r="AQ31" i="44"/>
  <c r="AR31" i="44" s="1"/>
  <c r="AL31" i="44"/>
  <c r="AG31" i="44"/>
  <c r="AB31" i="44"/>
  <c r="AC31" i="44" s="1"/>
  <c r="W31" i="44"/>
  <c r="K31" i="44" s="1"/>
  <c r="R31" i="44"/>
  <c r="J31" i="44"/>
  <c r="I31" i="44"/>
  <c r="G31" i="44"/>
  <c r="AV30" i="44"/>
  <c r="AW30" i="44" s="1"/>
  <c r="AQ30" i="44"/>
  <c r="AL30" i="44"/>
  <c r="AM30" i="44" s="1"/>
  <c r="AG30" i="44"/>
  <c r="AB30" i="44"/>
  <c r="AC30" i="44" s="1"/>
  <c r="W30" i="44"/>
  <c r="X30" i="44" s="1"/>
  <c r="R30" i="44"/>
  <c r="S30" i="44" s="1"/>
  <c r="K30" i="44"/>
  <c r="J30" i="44"/>
  <c r="I30" i="44"/>
  <c r="G30" i="44"/>
  <c r="AV29" i="44"/>
  <c r="AW29" i="44" s="1"/>
  <c r="AQ29" i="44"/>
  <c r="AL29" i="44"/>
  <c r="AG29" i="44"/>
  <c r="AB29" i="44"/>
  <c r="W29" i="44"/>
  <c r="R29" i="44"/>
  <c r="K29" i="44"/>
  <c r="J29" i="44"/>
  <c r="I29" i="44"/>
  <c r="G29" i="44"/>
  <c r="AV28" i="44"/>
  <c r="AW28" i="44" s="1"/>
  <c r="AQ28" i="44"/>
  <c r="AL28" i="44"/>
  <c r="AM28" i="44" s="1"/>
  <c r="AG28" i="44"/>
  <c r="AB28" i="44"/>
  <c r="AC28" i="44" s="1"/>
  <c r="W28" i="44"/>
  <c r="X28" i="44" s="1"/>
  <c r="R28" i="44"/>
  <c r="J28" i="44"/>
  <c r="I28" i="44"/>
  <c r="G28" i="44"/>
  <c r="AV27" i="44"/>
  <c r="AQ27" i="44"/>
  <c r="AL27" i="44"/>
  <c r="AM27" i="44" s="1"/>
  <c r="AG27" i="44"/>
  <c r="AB27" i="44"/>
  <c r="AC27" i="44" s="1"/>
  <c r="W27" i="44"/>
  <c r="R27" i="44"/>
  <c r="K27" i="44" s="1"/>
  <c r="J27" i="44"/>
  <c r="I27" i="44"/>
  <c r="G27" i="44"/>
  <c r="AV26" i="44"/>
  <c r="AQ26" i="44"/>
  <c r="AL26" i="44"/>
  <c r="AM26" i="44" s="1"/>
  <c r="AG26" i="44"/>
  <c r="AB26" i="44"/>
  <c r="AC26" i="44" s="1"/>
  <c r="W26" i="44"/>
  <c r="X26" i="44" s="1"/>
  <c r="R26" i="44"/>
  <c r="S26" i="44" s="1"/>
  <c r="J26" i="44"/>
  <c r="I26" i="44"/>
  <c r="G26" i="44"/>
  <c r="AV25" i="44"/>
  <c r="AQ25" i="44"/>
  <c r="AR25" i="44" s="1"/>
  <c r="AL25" i="44"/>
  <c r="AG25" i="44"/>
  <c r="AB25" i="44"/>
  <c r="AC25" i="44" s="1"/>
  <c r="W25" i="44"/>
  <c r="R25" i="44"/>
  <c r="S25" i="44" s="1"/>
  <c r="K25" i="44"/>
  <c r="J25" i="44"/>
  <c r="I25" i="44"/>
  <c r="G25" i="44"/>
  <c r="AV24" i="44"/>
  <c r="AQ24" i="44"/>
  <c r="AL24" i="44"/>
  <c r="AM24" i="44" s="1"/>
  <c r="AG24" i="44"/>
  <c r="AB24" i="44"/>
  <c r="AC24" i="44" s="1"/>
  <c r="W24" i="44"/>
  <c r="X24" i="44" s="1"/>
  <c r="R24" i="44"/>
  <c r="S24" i="44" s="1"/>
  <c r="J24" i="44"/>
  <c r="I24" i="44"/>
  <c r="G24" i="44"/>
  <c r="AV23" i="44"/>
  <c r="AQ23" i="44"/>
  <c r="AL23" i="44"/>
  <c r="AM23" i="44" s="1"/>
  <c r="AG23" i="44"/>
  <c r="AH23" i="44" s="1"/>
  <c r="AB23" i="44"/>
  <c r="W23" i="44"/>
  <c r="R23" i="44"/>
  <c r="S23" i="44" s="1"/>
  <c r="J23" i="44"/>
  <c r="I23" i="44"/>
  <c r="G23" i="44"/>
  <c r="AV22" i="44"/>
  <c r="AW22" i="44" s="1"/>
  <c r="AQ22" i="44"/>
  <c r="AR22" i="44" s="1"/>
  <c r="AL22" i="44"/>
  <c r="AM22" i="44" s="1"/>
  <c r="AG22" i="44"/>
  <c r="AH22" i="44" s="1"/>
  <c r="AB22" i="44"/>
  <c r="AC22" i="44" s="1"/>
  <c r="W22" i="44"/>
  <c r="R22" i="44"/>
  <c r="K22" i="44" s="1"/>
  <c r="J22" i="44"/>
  <c r="I22" i="44"/>
  <c r="G22" i="44"/>
  <c r="AV21" i="44"/>
  <c r="AQ21" i="44"/>
  <c r="AR21" i="44" s="1"/>
  <c r="AL21" i="44"/>
  <c r="AG21" i="44"/>
  <c r="AH21" i="44" s="1"/>
  <c r="AB21" i="44"/>
  <c r="AC21" i="44" s="1"/>
  <c r="W21" i="44"/>
  <c r="X21" i="44" s="1"/>
  <c r="R21" i="44"/>
  <c r="S21" i="44" s="1"/>
  <c r="J21" i="44"/>
  <c r="I21" i="44"/>
  <c r="G21" i="44"/>
  <c r="AV20" i="44"/>
  <c r="AW24" i="44" s="1"/>
  <c r="AQ20" i="44"/>
  <c r="AR20" i="44" s="1"/>
  <c r="AL20" i="44"/>
  <c r="AM20" i="44" s="1"/>
  <c r="AG20" i="44"/>
  <c r="AH20" i="44" s="1"/>
  <c r="AB20" i="44"/>
  <c r="AC20" i="44" s="1"/>
  <c r="W20" i="44"/>
  <c r="X20" i="44" s="1"/>
  <c r="R20" i="44"/>
  <c r="J20" i="44"/>
  <c r="I20" i="44"/>
  <c r="G20" i="44"/>
  <c r="AV19" i="44"/>
  <c r="AW19" i="44" s="1"/>
  <c r="AQ19" i="44"/>
  <c r="AR19" i="44" s="1"/>
  <c r="AL19" i="44"/>
  <c r="AG19" i="44"/>
  <c r="AH19" i="44" s="1"/>
  <c r="AB19" i="44"/>
  <c r="W19" i="44"/>
  <c r="X19" i="44" s="1"/>
  <c r="R19" i="44"/>
  <c r="S19" i="44" s="1"/>
  <c r="J19" i="44"/>
  <c r="I19" i="44"/>
  <c r="G19" i="44"/>
  <c r="AV18" i="44"/>
  <c r="AW18" i="44" s="1"/>
  <c r="AQ18" i="44"/>
  <c r="AR18" i="44" s="1"/>
  <c r="AL18" i="44"/>
  <c r="AM18" i="44" s="1"/>
  <c r="AG18" i="44"/>
  <c r="AH18" i="44" s="1"/>
  <c r="AB18" i="44"/>
  <c r="W18" i="44"/>
  <c r="X18" i="44" s="1"/>
  <c r="R18" i="44"/>
  <c r="J18" i="44"/>
  <c r="I18" i="44"/>
  <c r="G18" i="44"/>
  <c r="AV17" i="44"/>
  <c r="AW17" i="44" s="1"/>
  <c r="AQ17" i="44"/>
  <c r="AL17" i="44"/>
  <c r="AM35" i="44" s="1"/>
  <c r="AG17" i="44"/>
  <c r="AH17" i="44" s="1"/>
  <c r="AB17" i="44"/>
  <c r="W17" i="44"/>
  <c r="X17" i="44" s="1"/>
  <c r="R17" i="44"/>
  <c r="S17" i="44" s="1"/>
  <c r="J17" i="44"/>
  <c r="I17" i="44"/>
  <c r="G17" i="44"/>
  <c r="AV16" i="44"/>
  <c r="AW16" i="44" s="1"/>
  <c r="AQ16" i="44"/>
  <c r="AL16" i="44"/>
  <c r="AM16" i="44" s="1"/>
  <c r="AG16" i="44"/>
  <c r="AH16" i="44" s="1"/>
  <c r="AB16" i="44"/>
  <c r="W16" i="44"/>
  <c r="X16" i="44" s="1"/>
  <c r="R16" i="44"/>
  <c r="J16" i="44"/>
  <c r="I16" i="44"/>
  <c r="G16" i="44"/>
  <c r="AV15" i="44"/>
  <c r="AW15" i="44" s="1"/>
  <c r="AQ15" i="44"/>
  <c r="AR15" i="44" s="1"/>
  <c r="AL15" i="44"/>
  <c r="AG15" i="44"/>
  <c r="AB15" i="44"/>
  <c r="W15" i="44"/>
  <c r="X15" i="44" s="1"/>
  <c r="R15" i="44"/>
  <c r="S15" i="44" s="1"/>
  <c r="J15" i="44"/>
  <c r="I15" i="44"/>
  <c r="G15" i="44"/>
  <c r="AV14" i="44"/>
  <c r="AW14" i="44" s="1"/>
  <c r="AQ14" i="44"/>
  <c r="AR14" i="44" s="1"/>
  <c r="AL14" i="44"/>
  <c r="AM14" i="44" s="1"/>
  <c r="AG14" i="44"/>
  <c r="AB14" i="44"/>
  <c r="AC14" i="44" s="1"/>
  <c r="W14" i="44"/>
  <c r="X14" i="44" s="1"/>
  <c r="R14" i="44"/>
  <c r="S14" i="44" s="1"/>
  <c r="J14" i="44"/>
  <c r="I14" i="44"/>
  <c r="G14" i="44"/>
  <c r="AV13" i="44"/>
  <c r="AW13" i="44" s="1"/>
  <c r="AQ13" i="44"/>
  <c r="AR13" i="44" s="1"/>
  <c r="AL13" i="44"/>
  <c r="AM13" i="44" s="1"/>
  <c r="AG13" i="44"/>
  <c r="AH13" i="44" s="1"/>
  <c r="AB13" i="44"/>
  <c r="W13" i="44"/>
  <c r="X13" i="44" s="1"/>
  <c r="R13" i="44"/>
  <c r="K13" i="44" s="1"/>
  <c r="J13" i="44"/>
  <c r="I13" i="44"/>
  <c r="G13" i="44"/>
  <c r="AV12" i="44"/>
  <c r="AW12" i="44" s="1"/>
  <c r="AQ12" i="44"/>
  <c r="AL12" i="44"/>
  <c r="AM12" i="44" s="1"/>
  <c r="AG12" i="44"/>
  <c r="AH12" i="44" s="1"/>
  <c r="AB12" i="44"/>
  <c r="AC12" i="44" s="1"/>
  <c r="W12" i="44"/>
  <c r="X8" i="44" s="1"/>
  <c r="R12" i="44"/>
  <c r="K12" i="44" s="1"/>
  <c r="J12" i="44"/>
  <c r="I12" i="44"/>
  <c r="G12" i="44"/>
  <c r="AV11" i="44"/>
  <c r="AW11" i="44" s="1"/>
  <c r="AQ11" i="44"/>
  <c r="AR11" i="44" s="1"/>
  <c r="AL11" i="44"/>
  <c r="AM11" i="44" s="1"/>
  <c r="AG11" i="44"/>
  <c r="AH11" i="44" s="1"/>
  <c r="AB11" i="44"/>
  <c r="AC11" i="44" s="1"/>
  <c r="W11" i="44"/>
  <c r="X11" i="44" s="1"/>
  <c r="R11" i="44"/>
  <c r="J11" i="44"/>
  <c r="I11" i="44"/>
  <c r="G11" i="44"/>
  <c r="AV10" i="44"/>
  <c r="AW10" i="44" s="1"/>
  <c r="AQ10" i="44"/>
  <c r="AR10" i="44" s="1"/>
  <c r="AL10" i="44"/>
  <c r="AM10" i="44" s="1"/>
  <c r="AG10" i="44"/>
  <c r="AH10" i="44" s="1"/>
  <c r="AB10" i="44"/>
  <c r="K10" i="44" s="1"/>
  <c r="W10" i="44"/>
  <c r="X10" i="44" s="1"/>
  <c r="R10" i="44"/>
  <c r="J10" i="44"/>
  <c r="I10" i="44"/>
  <c r="G10" i="44"/>
  <c r="AV9" i="44"/>
  <c r="AW9" i="44" s="1"/>
  <c r="AQ9" i="44"/>
  <c r="AL9" i="44"/>
  <c r="AM9" i="44" s="1"/>
  <c r="AG9" i="44"/>
  <c r="AH9" i="44" s="1"/>
  <c r="AB9" i="44"/>
  <c r="AC9" i="44" s="1"/>
  <c r="W9" i="44"/>
  <c r="X33" i="44" s="1"/>
  <c r="R9" i="44"/>
  <c r="J9" i="44"/>
  <c r="I9" i="44"/>
  <c r="G9" i="44"/>
  <c r="AV8" i="44"/>
  <c r="AW8" i="44" s="1"/>
  <c r="AQ8" i="44"/>
  <c r="AR17" i="44" s="1"/>
  <c r="AL8" i="44"/>
  <c r="AM25" i="44" s="1"/>
  <c r="AG8" i="44"/>
  <c r="AH8" i="44" s="1"/>
  <c r="AB8" i="44"/>
  <c r="AC8" i="44" s="1"/>
  <c r="W8" i="44"/>
  <c r="R8" i="44"/>
  <c r="K8" i="44" s="1"/>
  <c r="J8" i="44"/>
  <c r="I8" i="44"/>
  <c r="G8" i="44"/>
  <c r="AV7" i="44"/>
  <c r="AQ7" i="44"/>
  <c r="AL7" i="44"/>
  <c r="AM31" i="44" s="1"/>
  <c r="AG7" i="44"/>
  <c r="AH34" i="44" s="1"/>
  <c r="AB7" i="44"/>
  <c r="AC29" i="44" s="1"/>
  <c r="W7" i="44"/>
  <c r="R7" i="44"/>
  <c r="S27" i="44" s="1"/>
  <c r="J7" i="44"/>
  <c r="I7" i="44"/>
  <c r="G7" i="44"/>
  <c r="B7" i="6"/>
  <c r="AC13" i="6"/>
  <c r="S13" i="6"/>
  <c r="M13" i="6"/>
  <c r="F13" i="6" s="1"/>
  <c r="AC12" i="6"/>
  <c r="S12" i="6"/>
  <c r="M12" i="6"/>
  <c r="F12" i="6"/>
  <c r="AJ12" i="6" s="1"/>
  <c r="AC11" i="6"/>
  <c r="S11" i="6"/>
  <c r="M11" i="6"/>
  <c r="F11" i="6"/>
  <c r="AC10" i="6"/>
  <c r="S10" i="6"/>
  <c r="M10" i="6"/>
  <c r="F10" i="6"/>
  <c r="AC9" i="6"/>
  <c r="S9" i="6"/>
  <c r="M9" i="6"/>
  <c r="F9" i="6"/>
  <c r="J9" i="6" s="1"/>
  <c r="AC8" i="6"/>
  <c r="S8" i="6"/>
  <c r="M8" i="6"/>
  <c r="F8" i="6" s="1"/>
  <c r="AC7" i="6"/>
  <c r="S7" i="6"/>
  <c r="M7" i="6"/>
  <c r="F7" i="6"/>
  <c r="AC13" i="7"/>
  <c r="S13" i="7"/>
  <c r="M13" i="7"/>
  <c r="F13" i="7"/>
  <c r="AC12" i="7"/>
  <c r="S12" i="7"/>
  <c r="M12" i="7"/>
  <c r="F12" i="7"/>
  <c r="AC11" i="7"/>
  <c r="S11" i="7"/>
  <c r="M11" i="7"/>
  <c r="F11" i="7" s="1"/>
  <c r="AC10" i="7"/>
  <c r="S10" i="7"/>
  <c r="F10" i="7" s="1"/>
  <c r="M10" i="7"/>
  <c r="AC9" i="7"/>
  <c r="S9" i="7"/>
  <c r="M9" i="7"/>
  <c r="F9" i="7"/>
  <c r="AC8" i="7"/>
  <c r="S8" i="7"/>
  <c r="M8" i="7"/>
  <c r="F8" i="7"/>
  <c r="AC7" i="7"/>
  <c r="S7" i="7"/>
  <c r="M7" i="7"/>
  <c r="F7" i="7"/>
  <c r="U7" i="5"/>
  <c r="U8" i="5"/>
  <c r="U9" i="5"/>
  <c r="U10" i="5"/>
  <c r="U11" i="5"/>
  <c r="U6" i="5"/>
  <c r="U5" i="5"/>
  <c r="U3" i="52" l="1"/>
  <c r="Z2" i="52"/>
  <c r="AW7" i="52"/>
  <c r="H7" i="52"/>
  <c r="K7" i="52"/>
  <c r="S7" i="52"/>
  <c r="Y7" i="52"/>
  <c r="X7" i="52"/>
  <c r="AD7" i="52"/>
  <c r="AC7" i="52"/>
  <c r="T7" i="51"/>
  <c r="Y7" i="51"/>
  <c r="AD7" i="51"/>
  <c r="AI7" i="51"/>
  <c r="Y7" i="49"/>
  <c r="S12" i="49"/>
  <c r="AR7" i="49"/>
  <c r="K7" i="49"/>
  <c r="S8" i="49"/>
  <c r="X7" i="49"/>
  <c r="AR12" i="49"/>
  <c r="AC14" i="49"/>
  <c r="K11" i="49"/>
  <c r="K13" i="49"/>
  <c r="AW7" i="49"/>
  <c r="AH13" i="49"/>
  <c r="AW14" i="49"/>
  <c r="AH8" i="49"/>
  <c r="AW12" i="49"/>
  <c r="K12" i="49"/>
  <c r="M12" i="49" s="1"/>
  <c r="AM7" i="49"/>
  <c r="K14" i="49"/>
  <c r="M14" i="49" s="1"/>
  <c r="AC7" i="49"/>
  <c r="AH7" i="49"/>
  <c r="H7" i="49"/>
  <c r="S7" i="49"/>
  <c r="AC11" i="49"/>
  <c r="AM10" i="48"/>
  <c r="K11" i="48"/>
  <c r="AH7" i="48"/>
  <c r="AW13" i="48"/>
  <c r="AW16" i="48"/>
  <c r="X7" i="48"/>
  <c r="X11" i="48"/>
  <c r="AH13" i="48"/>
  <c r="S14" i="48"/>
  <c r="X12" i="48"/>
  <c r="S12" i="48"/>
  <c r="X14" i="48"/>
  <c r="AW9" i="48"/>
  <c r="AC12" i="48"/>
  <c r="AC14" i="48"/>
  <c r="K8" i="48"/>
  <c r="AH12" i="48"/>
  <c r="AM8" i="48"/>
  <c r="AW15" i="48"/>
  <c r="S8" i="48"/>
  <c r="S10" i="48"/>
  <c r="AM12" i="48"/>
  <c r="AM14" i="48"/>
  <c r="S9" i="48"/>
  <c r="AH9" i="48"/>
  <c r="X10" i="48"/>
  <c r="X8" i="48"/>
  <c r="X13" i="48"/>
  <c r="S11" i="48"/>
  <c r="AX7" i="48"/>
  <c r="AC13" i="48"/>
  <c r="AC10" i="48"/>
  <c r="AW12" i="48"/>
  <c r="AW14" i="48"/>
  <c r="AM9" i="48"/>
  <c r="K10" i="48"/>
  <c r="AC7" i="48"/>
  <c r="AC8" i="48"/>
  <c r="AC9" i="48"/>
  <c r="AW7" i="48"/>
  <c r="H7" i="48"/>
  <c r="S7" i="48"/>
  <c r="AC11" i="48"/>
  <c r="S13" i="48"/>
  <c r="AD7" i="48"/>
  <c r="K9" i="48"/>
  <c r="AI7" i="48"/>
  <c r="AN7" i="48"/>
  <c r="AS7" i="48"/>
  <c r="K18" i="44"/>
  <c r="K26" i="44"/>
  <c r="S31" i="44"/>
  <c r="S11" i="44"/>
  <c r="X23" i="44"/>
  <c r="AC34" i="44"/>
  <c r="AH25" i="44"/>
  <c r="AR7" i="44"/>
  <c r="AR27" i="44"/>
  <c r="AW26" i="44"/>
  <c r="S10" i="44"/>
  <c r="AC15" i="44"/>
  <c r="AC35" i="44"/>
  <c r="AH26" i="44"/>
  <c r="AM17" i="44"/>
  <c r="AR8" i="44"/>
  <c r="AR28" i="44"/>
  <c r="AW25" i="44"/>
  <c r="AW23" i="44"/>
  <c r="K24" i="44"/>
  <c r="K34" i="44"/>
  <c r="X7" i="44"/>
  <c r="X27" i="44"/>
  <c r="AC18" i="44"/>
  <c r="AH29" i="44"/>
  <c r="AW21" i="44"/>
  <c r="K7" i="44"/>
  <c r="M25" i="44" s="1"/>
  <c r="X9" i="44"/>
  <c r="AH31" i="44"/>
  <c r="AW20" i="44"/>
  <c r="AM21" i="44"/>
  <c r="X29" i="44"/>
  <c r="Y7" i="44"/>
  <c r="X31" i="44"/>
  <c r="AH33" i="44"/>
  <c r="S12" i="44"/>
  <c r="S28" i="44"/>
  <c r="AH28" i="44"/>
  <c r="AR30" i="44"/>
  <c r="AC19" i="44"/>
  <c r="X12" i="44"/>
  <c r="S20" i="44"/>
  <c r="AM7" i="44"/>
  <c r="K21" i="44"/>
  <c r="AM8" i="44"/>
  <c r="S32" i="44"/>
  <c r="X22" i="44"/>
  <c r="AC13" i="44"/>
  <c r="AC33" i="44"/>
  <c r="AM15" i="44"/>
  <c r="AR26" i="44"/>
  <c r="AW27" i="44"/>
  <c r="S29" i="44"/>
  <c r="S9" i="44"/>
  <c r="X25" i="44"/>
  <c r="AC16" i="44"/>
  <c r="AH7" i="44"/>
  <c r="AH27" i="44"/>
  <c r="AR9" i="44"/>
  <c r="AR29" i="44"/>
  <c r="S8" i="44"/>
  <c r="AC17" i="44"/>
  <c r="AM19" i="44"/>
  <c r="AI7" i="44"/>
  <c r="S22" i="44"/>
  <c r="S18" i="44"/>
  <c r="AC7" i="44"/>
  <c r="AM29" i="44"/>
  <c r="K23" i="44"/>
  <c r="M23" i="44" s="1"/>
  <c r="K17" i="44"/>
  <c r="AH35" i="44"/>
  <c r="K35" i="44"/>
  <c r="S7" i="44"/>
  <c r="S16" i="44"/>
  <c r="AH15" i="44"/>
  <c r="K19" i="44"/>
  <c r="AC10" i="44"/>
  <c r="AR23" i="44"/>
  <c r="S34" i="44"/>
  <c r="AR24" i="44"/>
  <c r="AW7" i="44"/>
  <c r="S13" i="44"/>
  <c r="AD12" i="7"/>
  <c r="N8" i="7"/>
  <c r="AD9" i="7"/>
  <c r="T12" i="7"/>
  <c r="T8" i="7"/>
  <c r="AD13" i="7"/>
  <c r="N12" i="7"/>
  <c r="AD8" i="7"/>
  <c r="AI7" i="52"/>
  <c r="K7" i="51"/>
  <c r="AX7" i="51"/>
  <c r="AS7" i="51"/>
  <c r="AS7" i="49"/>
  <c r="T7" i="49"/>
  <c r="K10" i="49"/>
  <c r="K9" i="49"/>
  <c r="AD7" i="49"/>
  <c r="AI7" i="49"/>
  <c r="T7" i="48"/>
  <c r="Y7" i="48"/>
  <c r="K14" i="48"/>
  <c r="K13" i="48"/>
  <c r="K12" i="48"/>
  <c r="AR7" i="48"/>
  <c r="H7" i="44"/>
  <c r="T7" i="44"/>
  <c r="AD7" i="44"/>
  <c r="K11" i="44"/>
  <c r="K33" i="44"/>
  <c r="K28" i="44"/>
  <c r="AS7" i="44"/>
  <c r="K9" i="44"/>
  <c r="K20" i="44"/>
  <c r="M20" i="44" s="1"/>
  <c r="K15" i="44"/>
  <c r="M15" i="44" s="1"/>
  <c r="AX7" i="44"/>
  <c r="K14" i="44"/>
  <c r="AN7" i="44"/>
  <c r="K16" i="44"/>
  <c r="K36" i="44"/>
  <c r="AL11" i="6"/>
  <c r="AH11" i="6"/>
  <c r="AF11" i="6"/>
  <c r="AB11" i="6"/>
  <c r="Z11" i="6"/>
  <c r="X11" i="6"/>
  <c r="V11" i="6"/>
  <c r="R11" i="6"/>
  <c r="P11" i="6"/>
  <c r="L11" i="6"/>
  <c r="AL7" i="6"/>
  <c r="AH7" i="6"/>
  <c r="AF7" i="6"/>
  <c r="AB7" i="6"/>
  <c r="Z7" i="6"/>
  <c r="X7" i="6"/>
  <c r="V7" i="6"/>
  <c r="R7" i="6"/>
  <c r="P7" i="6"/>
  <c r="L7" i="6"/>
  <c r="AJ9" i="6"/>
  <c r="J11" i="6"/>
  <c r="N11" i="6"/>
  <c r="T11" i="6"/>
  <c r="AD11" i="6"/>
  <c r="AJ11" i="6"/>
  <c r="N9" i="6"/>
  <c r="T9" i="6"/>
  <c r="AD9" i="6"/>
  <c r="G7" i="6"/>
  <c r="J7" i="6"/>
  <c r="AL8" i="6"/>
  <c r="AH8" i="6"/>
  <c r="AF8" i="6"/>
  <c r="AB8" i="6"/>
  <c r="Z8" i="6"/>
  <c r="X8" i="6"/>
  <c r="V8" i="6"/>
  <c r="R8" i="6"/>
  <c r="P8" i="6"/>
  <c r="L8" i="6"/>
  <c r="N8" i="6"/>
  <c r="T8" i="6"/>
  <c r="AD8" i="6"/>
  <c r="AJ8" i="6"/>
  <c r="AL12" i="6"/>
  <c r="AH12" i="6"/>
  <c r="AF12" i="6"/>
  <c r="AB12" i="6"/>
  <c r="Z12" i="6"/>
  <c r="X12" i="6"/>
  <c r="V12" i="6"/>
  <c r="R12" i="6"/>
  <c r="P12" i="6"/>
  <c r="L12" i="6"/>
  <c r="J12" i="6"/>
  <c r="N12" i="6"/>
  <c r="T12" i="6"/>
  <c r="AL10" i="6"/>
  <c r="AH10" i="6"/>
  <c r="AF10" i="6"/>
  <c r="AB10" i="6"/>
  <c r="Z10" i="6"/>
  <c r="X10" i="6"/>
  <c r="V10" i="6"/>
  <c r="R10" i="6"/>
  <c r="P10" i="6"/>
  <c r="L10" i="6"/>
  <c r="N7" i="6"/>
  <c r="J10" i="6"/>
  <c r="J8" i="6"/>
  <c r="AL9" i="6"/>
  <c r="AH9" i="6"/>
  <c r="AF9" i="6"/>
  <c r="AB9" i="6"/>
  <c r="Z9" i="6"/>
  <c r="X9" i="6"/>
  <c r="V9" i="6"/>
  <c r="R9" i="6"/>
  <c r="P9" i="6"/>
  <c r="L9" i="6"/>
  <c r="AD12" i="6"/>
  <c r="AL13" i="6"/>
  <c r="AH13" i="6"/>
  <c r="AF13" i="6"/>
  <c r="AB13" i="6"/>
  <c r="Z13" i="6"/>
  <c r="X13" i="6"/>
  <c r="V13" i="6"/>
  <c r="R13" i="6"/>
  <c r="P13" i="6"/>
  <c r="L13" i="6"/>
  <c r="J13" i="6"/>
  <c r="T7" i="6"/>
  <c r="N10" i="6"/>
  <c r="N13" i="6"/>
  <c r="AD7" i="6"/>
  <c r="T10" i="6"/>
  <c r="T13" i="6"/>
  <c r="AJ7" i="6"/>
  <c r="AD10" i="6"/>
  <c r="AD13" i="6"/>
  <c r="AJ10" i="6"/>
  <c r="AJ13" i="6"/>
  <c r="N10" i="7"/>
  <c r="T10" i="7"/>
  <c r="AD10" i="7"/>
  <c r="AL7" i="7"/>
  <c r="AJ7" i="7"/>
  <c r="AH7" i="7"/>
  <c r="AF7" i="7"/>
  <c r="AB7" i="7"/>
  <c r="Z7" i="7"/>
  <c r="V7" i="7"/>
  <c r="R7" i="7"/>
  <c r="J7" i="7"/>
  <c r="X7" i="7"/>
  <c r="P7" i="7"/>
  <c r="L7" i="7"/>
  <c r="AL11" i="7"/>
  <c r="AJ11" i="7"/>
  <c r="AH11" i="7"/>
  <c r="AF11" i="7"/>
  <c r="AB11" i="7"/>
  <c r="Z11" i="7"/>
  <c r="V11" i="7"/>
  <c r="R11" i="7"/>
  <c r="P11" i="7"/>
  <c r="J11" i="7"/>
  <c r="X11" i="7"/>
  <c r="L11" i="7"/>
  <c r="N7" i="7"/>
  <c r="N11" i="7"/>
  <c r="T7" i="7"/>
  <c r="T11" i="7"/>
  <c r="AD7" i="7"/>
  <c r="AD11" i="7"/>
  <c r="AL8" i="7"/>
  <c r="AJ8" i="7"/>
  <c r="AH8" i="7"/>
  <c r="AF8" i="7"/>
  <c r="AB8" i="7"/>
  <c r="Z8" i="7"/>
  <c r="X8" i="7"/>
  <c r="V8" i="7"/>
  <c r="R8" i="7"/>
  <c r="P8" i="7"/>
  <c r="L8" i="7"/>
  <c r="J8" i="7"/>
  <c r="AL12" i="7"/>
  <c r="AJ12" i="7"/>
  <c r="AH12" i="7"/>
  <c r="AF12" i="7"/>
  <c r="AB12" i="7"/>
  <c r="Z12" i="7"/>
  <c r="X12" i="7"/>
  <c r="V12" i="7"/>
  <c r="P12" i="7"/>
  <c r="L12" i="7"/>
  <c r="J12" i="7"/>
  <c r="R12" i="7"/>
  <c r="AL10" i="7"/>
  <c r="AJ10" i="7"/>
  <c r="AH10" i="7"/>
  <c r="AF10" i="7"/>
  <c r="AB10" i="7"/>
  <c r="Z10" i="7"/>
  <c r="X10" i="7"/>
  <c r="V10" i="7"/>
  <c r="J10" i="7"/>
  <c r="R10" i="7"/>
  <c r="P10" i="7"/>
  <c r="L10" i="7"/>
  <c r="AL9" i="7"/>
  <c r="AJ9" i="7"/>
  <c r="AH9" i="7"/>
  <c r="AF9" i="7"/>
  <c r="AB9" i="7"/>
  <c r="Z9" i="7"/>
  <c r="V9" i="7"/>
  <c r="R9" i="7"/>
  <c r="P9" i="7"/>
  <c r="J9" i="7"/>
  <c r="X9" i="7"/>
  <c r="L9" i="7"/>
  <c r="AL13" i="7"/>
  <c r="AJ13" i="7"/>
  <c r="AH13" i="7"/>
  <c r="AF13" i="7"/>
  <c r="AB13" i="7"/>
  <c r="Z13" i="7"/>
  <c r="V13" i="7"/>
  <c r="R13" i="7"/>
  <c r="X13" i="7"/>
  <c r="P13" i="7"/>
  <c r="L13" i="7"/>
  <c r="J13" i="7"/>
  <c r="N9" i="7"/>
  <c r="N13" i="7"/>
  <c r="T9" i="7"/>
  <c r="T13" i="7"/>
  <c r="L7" i="52" l="1"/>
  <c r="M7" i="52"/>
  <c r="M8" i="52"/>
  <c r="Z3" i="52"/>
  <c r="AE2" i="52"/>
  <c r="M8" i="51"/>
  <c r="M7" i="51"/>
  <c r="M9" i="49"/>
  <c r="M11" i="49"/>
  <c r="M10" i="49"/>
  <c r="M7" i="49"/>
  <c r="M13" i="49"/>
  <c r="M8" i="49"/>
  <c r="M15" i="49"/>
  <c r="M14" i="48"/>
  <c r="M10" i="48"/>
  <c r="M7" i="48"/>
  <c r="M15" i="48"/>
  <c r="M16" i="48"/>
  <c r="M9" i="48"/>
  <c r="M12" i="48"/>
  <c r="M8" i="48"/>
  <c r="M13" i="48"/>
  <c r="M11" i="48"/>
  <c r="M26" i="44"/>
  <c r="M28" i="44"/>
  <c r="M18" i="44"/>
  <c r="M11" i="44"/>
  <c r="M24" i="44"/>
  <c r="M7" i="44"/>
  <c r="M13" i="44"/>
  <c r="M21" i="44"/>
  <c r="M32" i="44"/>
  <c r="M10" i="44"/>
  <c r="M29" i="44"/>
  <c r="M36" i="44"/>
  <c r="M12" i="44"/>
  <c r="M9" i="44"/>
  <c r="M33" i="44"/>
  <c r="M19" i="44"/>
  <c r="M34" i="44"/>
  <c r="M8" i="44"/>
  <c r="M16" i="44"/>
  <c r="M27" i="44"/>
  <c r="M35" i="44"/>
  <c r="M30" i="44"/>
  <c r="M14" i="44"/>
  <c r="M31" i="44"/>
  <c r="M17" i="44"/>
  <c r="M22" i="44"/>
  <c r="L7" i="51"/>
  <c r="L7" i="49"/>
  <c r="L7" i="48"/>
  <c r="L87" i="46"/>
  <c r="L87" i="45"/>
  <c r="L7" i="44"/>
  <c r="AE3" i="52" l="1"/>
  <c r="AJ2" i="52"/>
  <c r="D33" i="56"/>
  <c r="D34" i="56"/>
  <c r="D35" i="56"/>
  <c r="D36" i="56"/>
  <c r="D37" i="56"/>
  <c r="D38" i="56"/>
  <c r="M32" i="56"/>
  <c r="AJ3" i="52" l="1"/>
  <c r="AO2" i="52"/>
  <c r="N32" i="56"/>
  <c r="D32" i="56"/>
  <c r="AO3" i="52" l="1"/>
  <c r="AT2" i="52"/>
  <c r="AT3" i="52" s="1"/>
  <c r="H23" i="13" l="1"/>
  <c r="H22" i="13"/>
  <c r="H21" i="13"/>
  <c r="H20" i="13"/>
  <c r="H19" i="13"/>
  <c r="H18" i="13"/>
  <c r="H17" i="13"/>
  <c r="H16" i="13"/>
  <c r="H15" i="13"/>
  <c r="B23" i="13"/>
  <c r="B22" i="13"/>
  <c r="B21" i="13"/>
  <c r="B20" i="13"/>
  <c r="B19" i="13"/>
  <c r="B18" i="13"/>
  <c r="B17" i="13"/>
  <c r="B16" i="13"/>
  <c r="B15" i="13"/>
  <c r="D25" i="56" l="1"/>
  <c r="D26" i="56"/>
  <c r="D27" i="56"/>
  <c r="D28" i="56"/>
  <c r="D29" i="56"/>
  <c r="D30" i="56"/>
  <c r="D31" i="56"/>
  <c r="M67" i="46"/>
  <c r="M68" i="45"/>
  <c r="M69" i="45"/>
  <c r="M70" i="45"/>
  <c r="M71" i="45"/>
  <c r="M72" i="45"/>
  <c r="M73" i="45"/>
  <c r="M74" i="45"/>
  <c r="M67" i="45"/>
  <c r="L67" i="46" l="1"/>
  <c r="L67" i="45" l="1"/>
  <c r="D28" i="39" l="1"/>
  <c r="L47" i="46" l="1"/>
  <c r="M47" i="46" l="1"/>
  <c r="M48" i="45"/>
  <c r="M49" i="45"/>
  <c r="M50" i="45"/>
  <c r="M51" i="45"/>
  <c r="M52" i="45"/>
  <c r="M53" i="45"/>
  <c r="M54" i="45"/>
  <c r="M55" i="45"/>
  <c r="M47" i="45"/>
  <c r="D18" i="56"/>
  <c r="D19" i="56"/>
  <c r="D20" i="56"/>
  <c r="D21" i="56"/>
  <c r="D22" i="56"/>
  <c r="D23" i="56"/>
  <c r="D24" i="56"/>
  <c r="D30" i="39" l="1"/>
  <c r="L47" i="45"/>
  <c r="N11" i="56" l="1"/>
  <c r="M11" i="56"/>
  <c r="Z3" i="56" l="1"/>
  <c r="B10" i="40" s="1"/>
  <c r="W3" i="56"/>
  <c r="B9" i="40" s="1"/>
  <c r="AC7" i="64" l="1"/>
  <c r="AD7" i="64"/>
  <c r="AE7" i="64"/>
  <c r="AF7" i="64"/>
  <c r="AG7" i="64"/>
  <c r="AH7" i="64"/>
  <c r="AC8" i="64"/>
  <c r="H10" i="41" s="1"/>
  <c r="AD8" i="64"/>
  <c r="AE8" i="64"/>
  <c r="AF8" i="64"/>
  <c r="F15" i="41" s="1"/>
  <c r="AG8" i="64"/>
  <c r="H15" i="41" s="1"/>
  <c r="AH8" i="64"/>
  <c r="J15" i="41" s="1"/>
  <c r="AB8" i="64"/>
  <c r="F10" i="41" s="1"/>
  <c r="AB7" i="64"/>
  <c r="AA7" i="64"/>
  <c r="H9" i="41"/>
  <c r="J9" i="41"/>
  <c r="L9" i="41"/>
  <c r="F14" i="41"/>
  <c r="H14" i="41"/>
  <c r="J14" i="41"/>
  <c r="F9" i="41"/>
  <c r="K14" i="41"/>
  <c r="C1" i="47"/>
  <c r="C1" i="46"/>
  <c r="E28" i="39"/>
  <c r="G14" i="41" l="1"/>
  <c r="AB9" i="64"/>
  <c r="G10" i="41" s="1"/>
  <c r="AC9" i="64"/>
  <c r="I10" i="41" s="1"/>
  <c r="AE9" i="64"/>
  <c r="M10" i="41" s="1"/>
  <c r="AF9" i="64"/>
  <c r="G15" i="41" s="1"/>
  <c r="AG9" i="64"/>
  <c r="I15" i="41" s="1"/>
  <c r="AH9" i="64"/>
  <c r="K15" i="41" s="1"/>
  <c r="AD9" i="64"/>
  <c r="K10" i="41" s="1"/>
  <c r="J10" i="41"/>
  <c r="L10" i="41"/>
  <c r="I14" i="41"/>
  <c r="G9" i="41"/>
  <c r="I9" i="41"/>
  <c r="M9" i="41"/>
  <c r="K9" i="41"/>
  <c r="P42" i="46" l="1"/>
  <c r="P43" i="46" l="1"/>
  <c r="U42" i="46"/>
  <c r="U2" i="44" l="1"/>
  <c r="P3" i="44"/>
  <c r="U43" i="46"/>
  <c r="Z42" i="46"/>
  <c r="U3" i="44" l="1"/>
  <c r="Z2" i="44"/>
  <c r="Z43" i="46"/>
  <c r="AE42" i="46"/>
  <c r="Z3" i="44" l="1"/>
  <c r="AE2" i="44"/>
  <c r="AE43" i="46"/>
  <c r="AJ42" i="46"/>
  <c r="AJ2" i="44" l="1"/>
  <c r="AE3" i="44"/>
  <c r="AJ43" i="46"/>
  <c r="AO42" i="46"/>
  <c r="AJ3" i="44" l="1"/>
  <c r="AO2" i="44"/>
  <c r="AO43" i="46"/>
  <c r="AT42" i="46"/>
  <c r="AO3" i="44" l="1"/>
  <c r="AT2" i="44"/>
  <c r="AT3" i="44" s="1"/>
  <c r="AT43" i="46"/>
  <c r="P62" i="46"/>
  <c r="U62" i="46" l="1"/>
  <c r="P63" i="46"/>
  <c r="Z62" i="46" l="1"/>
  <c r="U63" i="46"/>
  <c r="AE62" i="46" l="1"/>
  <c r="Z63" i="46"/>
  <c r="AE63" i="46" l="1"/>
  <c r="AJ62" i="46"/>
  <c r="AJ63" i="46" l="1"/>
  <c r="AO62" i="46"/>
  <c r="AO63" i="46" l="1"/>
  <c r="AT62" i="46"/>
  <c r="P3" i="51" l="1"/>
  <c r="U2" i="51"/>
  <c r="P3" i="50"/>
  <c r="U2" i="50"/>
  <c r="AT63" i="46"/>
  <c r="P82" i="46"/>
  <c r="U3" i="51" l="1"/>
  <c r="Z2" i="51"/>
  <c r="U3" i="50"/>
  <c r="Z2" i="50"/>
  <c r="P3" i="49"/>
  <c r="U2" i="49"/>
  <c r="P3" i="48"/>
  <c r="U2" i="48"/>
  <c r="U82" i="46"/>
  <c r="P83" i="46"/>
  <c r="Z3" i="51" l="1"/>
  <c r="AE2" i="51"/>
  <c r="Z3" i="50"/>
  <c r="AE2" i="50"/>
  <c r="U3" i="49"/>
  <c r="Z2" i="49"/>
  <c r="U3" i="48"/>
  <c r="Z2" i="48"/>
  <c r="Z82" i="46"/>
  <c r="U83" i="46"/>
  <c r="AE3" i="51" l="1"/>
  <c r="AJ2" i="51"/>
  <c r="AE3" i="50"/>
  <c r="AJ2" i="50"/>
  <c r="Z3" i="49"/>
  <c r="AE2" i="49"/>
  <c r="AE2" i="48"/>
  <c r="Z3" i="48"/>
  <c r="AE82" i="46"/>
  <c r="Z83" i="46"/>
  <c r="AJ3" i="51" l="1"/>
  <c r="AO2" i="51"/>
  <c r="AJ3" i="50"/>
  <c r="AO2" i="50"/>
  <c r="AJ2" i="49"/>
  <c r="AE3" i="49"/>
  <c r="AJ2" i="48"/>
  <c r="AE3" i="48"/>
  <c r="AJ82" i="46"/>
  <c r="AE83" i="46"/>
  <c r="AO3" i="51" l="1"/>
  <c r="AT2" i="51"/>
  <c r="AT3" i="51" s="1"/>
  <c r="AO3" i="50"/>
  <c r="AT2" i="50"/>
  <c r="AT3" i="50" s="1"/>
  <c r="AJ3" i="49"/>
  <c r="AO2" i="49"/>
  <c r="AJ3" i="48"/>
  <c r="AO2" i="48"/>
  <c r="AO82" i="46"/>
  <c r="AJ83" i="46"/>
  <c r="AT2" i="49" l="1"/>
  <c r="AT3" i="49" s="1"/>
  <c r="AO3" i="49"/>
  <c r="AO3" i="48"/>
  <c r="AT2" i="48"/>
  <c r="AT3" i="48" s="1"/>
  <c r="AO83" i="46"/>
  <c r="AT82" i="46"/>
  <c r="AT83" i="46" s="1"/>
  <c r="I11" i="13" l="1"/>
  <c r="I10" i="13"/>
  <c r="I9" i="13"/>
  <c r="I8" i="13"/>
  <c r="D6" i="3"/>
  <c r="B5" i="3" s="1"/>
  <c r="D7" i="3"/>
  <c r="D8" i="3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B12" i="3"/>
  <c r="G33" i="3"/>
  <c r="U39" i="3"/>
  <c r="O39" i="3"/>
  <c r="U38" i="3"/>
  <c r="O38" i="3"/>
  <c r="U37" i="3"/>
  <c r="O37" i="3"/>
  <c r="U36" i="3"/>
  <c r="O36" i="3"/>
  <c r="U35" i="3"/>
  <c r="O35" i="3"/>
  <c r="U34" i="3"/>
  <c r="O34" i="3"/>
  <c r="U33" i="3"/>
  <c r="S33" i="3"/>
  <c r="O33" i="3"/>
  <c r="M33" i="3"/>
  <c r="J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S26" i="3"/>
  <c r="O26" i="3"/>
  <c r="M26" i="3"/>
  <c r="J26" i="3"/>
  <c r="G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S19" i="3"/>
  <c r="O19" i="3"/>
  <c r="M19" i="3"/>
  <c r="J19" i="3"/>
  <c r="G19" i="3"/>
  <c r="V33" i="3" l="1"/>
  <c r="V26" i="3"/>
  <c r="I6" i="13"/>
  <c r="P19" i="3"/>
  <c r="V19" i="3"/>
  <c r="P26" i="3"/>
  <c r="B54" i="41" l="1"/>
  <c r="B53" i="41"/>
  <c r="AC103" i="64" l="1"/>
  <c r="AD103" i="64"/>
  <c r="AE103" i="64"/>
  <c r="AF103" i="64"/>
  <c r="AG103" i="64"/>
  <c r="AH103" i="64"/>
  <c r="AC104" i="64"/>
  <c r="AD104" i="64"/>
  <c r="AE104" i="64"/>
  <c r="AF104" i="64"/>
  <c r="AG104" i="64"/>
  <c r="AH104" i="64"/>
  <c r="AB104" i="64"/>
  <c r="AA103" i="64"/>
  <c r="I9" i="40"/>
  <c r="K9" i="40"/>
  <c r="M9" i="40"/>
  <c r="K14" i="40"/>
  <c r="G9" i="40"/>
  <c r="AB105" i="64" l="1"/>
  <c r="G54" i="41" s="1"/>
  <c r="H59" i="41"/>
  <c r="H54" i="41"/>
  <c r="J59" i="41"/>
  <c r="F54" i="41"/>
  <c r="L54" i="41"/>
  <c r="J54" i="41"/>
  <c r="F59" i="41"/>
  <c r="G58" i="41"/>
  <c r="G14" i="40"/>
  <c r="I58" i="41"/>
  <c r="I14" i="40"/>
  <c r="L53" i="41"/>
  <c r="L9" i="40"/>
  <c r="F53" i="41"/>
  <c r="F9" i="40"/>
  <c r="J58" i="41"/>
  <c r="J14" i="40"/>
  <c r="H58" i="41"/>
  <c r="H14" i="40"/>
  <c r="F58" i="41"/>
  <c r="F14" i="40"/>
  <c r="J53" i="41"/>
  <c r="J9" i="40"/>
  <c r="H53" i="41"/>
  <c r="H9" i="40"/>
  <c r="G53" i="41"/>
  <c r="AH105" i="64"/>
  <c r="K59" i="41" s="1"/>
  <c r="M53" i="41"/>
  <c r="K53" i="41"/>
  <c r="I53" i="41"/>
  <c r="K58" i="41"/>
  <c r="AG105" i="64"/>
  <c r="I59" i="41" s="1"/>
  <c r="AE105" i="64"/>
  <c r="M54" i="41" s="1"/>
  <c r="AD105" i="64"/>
  <c r="K54" i="41" s="1"/>
  <c r="AF105" i="64"/>
  <c r="G59" i="41" s="1"/>
  <c r="AC105" i="64"/>
  <c r="I54" i="41" s="1"/>
  <c r="AG56" i="64" l="1"/>
  <c r="H37" i="41" s="1"/>
  <c r="AB32" i="64"/>
  <c r="AC80" i="64"/>
  <c r="AD80" i="64"/>
  <c r="AE80" i="64"/>
  <c r="AF80" i="64"/>
  <c r="AG80" i="64"/>
  <c r="AH80" i="64"/>
  <c r="AB80" i="64"/>
  <c r="AB55" i="64"/>
  <c r="AC56" i="64"/>
  <c r="AD56" i="64"/>
  <c r="AE56" i="64"/>
  <c r="AF56" i="64"/>
  <c r="AB56" i="64"/>
  <c r="AB143" i="64" l="1"/>
  <c r="F48" i="41"/>
  <c r="J48" i="41"/>
  <c r="H48" i="41"/>
  <c r="F10" i="40"/>
  <c r="AC79" i="64" l="1"/>
  <c r="AD79" i="64"/>
  <c r="AE79" i="64"/>
  <c r="AF79" i="64"/>
  <c r="AG79" i="64"/>
  <c r="AH79" i="64"/>
  <c r="H43" i="41"/>
  <c r="J43" i="41"/>
  <c r="L43" i="41"/>
  <c r="F43" i="41"/>
  <c r="AB79" i="64"/>
  <c r="F42" i="41"/>
  <c r="G35" i="6"/>
  <c r="G21" i="6"/>
  <c r="G28" i="6"/>
  <c r="AA79" i="64"/>
  <c r="AC81" i="64" s="1"/>
  <c r="I43" i="41" s="1"/>
  <c r="I42" i="41"/>
  <c r="K42" i="41"/>
  <c r="M42" i="41"/>
  <c r="H42" i="41"/>
  <c r="J42" i="41"/>
  <c r="L42" i="41"/>
  <c r="F47" i="41"/>
  <c r="H47" i="41"/>
  <c r="J47" i="41"/>
  <c r="G42" i="41"/>
  <c r="AB81" i="64" l="1"/>
  <c r="G43" i="41" s="1"/>
  <c r="I47" i="41"/>
  <c r="G47" i="41"/>
  <c r="AH81" i="64"/>
  <c r="K48" i="41" s="1"/>
  <c r="AF81" i="64"/>
  <c r="G48" i="41" s="1"/>
  <c r="AE81" i="64"/>
  <c r="M43" i="41" s="1"/>
  <c r="AD81" i="64"/>
  <c r="K43" i="41" s="1"/>
  <c r="AG81" i="64"/>
  <c r="I48" i="41" s="1"/>
  <c r="K47" i="41"/>
  <c r="AC55" i="64" l="1"/>
  <c r="AD55" i="64"/>
  <c r="AE55" i="64"/>
  <c r="AF55" i="64"/>
  <c r="AG55" i="64"/>
  <c r="AH55" i="64"/>
  <c r="H32" i="41"/>
  <c r="J32" i="41"/>
  <c r="L32" i="41"/>
  <c r="F37" i="41"/>
  <c r="AH56" i="64"/>
  <c r="F32" i="41"/>
  <c r="AA55" i="64"/>
  <c r="I31" i="41"/>
  <c r="K31" i="41"/>
  <c r="M31" i="41"/>
  <c r="G36" i="41"/>
  <c r="I36" i="41"/>
  <c r="H31" i="41"/>
  <c r="J31" i="41"/>
  <c r="L31" i="41"/>
  <c r="F36" i="41"/>
  <c r="H36" i="41"/>
  <c r="J36" i="41"/>
  <c r="F31" i="41"/>
  <c r="G31" i="41"/>
  <c r="AH142" i="64" l="1"/>
  <c r="I15" i="40"/>
  <c r="AB57" i="64"/>
  <c r="G32" i="41" s="1"/>
  <c r="AF57" i="64"/>
  <c r="G37" i="41" s="1"/>
  <c r="G15" i="40"/>
  <c r="K10" i="40"/>
  <c r="M10" i="40"/>
  <c r="K36" i="41"/>
  <c r="AE57" i="64"/>
  <c r="M32" i="41" s="1"/>
  <c r="J37" i="41"/>
  <c r="AH57" i="64"/>
  <c r="K37" i="41" s="1"/>
  <c r="AG57" i="64"/>
  <c r="I37" i="41" s="1"/>
  <c r="AD57" i="64"/>
  <c r="K32" i="41" s="1"/>
  <c r="AC57" i="64"/>
  <c r="I32" i="41" s="1"/>
  <c r="G10" i="40" l="1"/>
  <c r="I10" i="40"/>
  <c r="AB31" i="64"/>
  <c r="AB142" i="64" s="1"/>
  <c r="AC31" i="64"/>
  <c r="AC142" i="64" s="1"/>
  <c r="AD31" i="64"/>
  <c r="AD142" i="64" s="1"/>
  <c r="AE31" i="64"/>
  <c r="AE142" i="64" s="1"/>
  <c r="AF31" i="64"/>
  <c r="AF142" i="64" s="1"/>
  <c r="AF144" i="64" s="1"/>
  <c r="AG31" i="64"/>
  <c r="AG142" i="64" s="1"/>
  <c r="AH31" i="64"/>
  <c r="AC32" i="64"/>
  <c r="AD32" i="64"/>
  <c r="AE32" i="64"/>
  <c r="AF32" i="64"/>
  <c r="AF143" i="64" s="1"/>
  <c r="AG32" i="64"/>
  <c r="AH32" i="64"/>
  <c r="AH143" i="64" s="1"/>
  <c r="F21" i="41"/>
  <c r="AA31" i="64"/>
  <c r="AA142" i="64" s="1"/>
  <c r="AH144" i="64" s="1"/>
  <c r="K31" i="64"/>
  <c r="K32" i="64"/>
  <c r="K33" i="64"/>
  <c r="K34" i="64"/>
  <c r="K35" i="64"/>
  <c r="K36" i="64"/>
  <c r="K37" i="64"/>
  <c r="K38" i="64"/>
  <c r="K39" i="64"/>
  <c r="K40" i="64"/>
  <c r="K41" i="64"/>
  <c r="K42" i="64"/>
  <c r="K43" i="64"/>
  <c r="K44" i="64"/>
  <c r="K45" i="64"/>
  <c r="K46" i="64"/>
  <c r="K47" i="64"/>
  <c r="K48" i="64"/>
  <c r="K49" i="64"/>
  <c r="K50" i="64"/>
  <c r="R50" i="64"/>
  <c r="S50" i="64" s="1"/>
  <c r="Q50" i="64"/>
  <c r="P50" i="64"/>
  <c r="M50" i="64"/>
  <c r="I50" i="64"/>
  <c r="R49" i="64"/>
  <c r="S49" i="64" s="1"/>
  <c r="Q49" i="64"/>
  <c r="P49" i="64"/>
  <c r="M49" i="64"/>
  <c r="I49" i="64"/>
  <c r="R48" i="64"/>
  <c r="S48" i="64" s="1"/>
  <c r="Q48" i="64"/>
  <c r="P48" i="64"/>
  <c r="M48" i="64"/>
  <c r="I48" i="64"/>
  <c r="R47" i="64"/>
  <c r="S47" i="64" s="1"/>
  <c r="Q47" i="64"/>
  <c r="P47" i="64"/>
  <c r="M47" i="64"/>
  <c r="I47" i="64"/>
  <c r="R46" i="64"/>
  <c r="S46" i="64" s="1"/>
  <c r="Q46" i="64"/>
  <c r="P46" i="64"/>
  <c r="M46" i="64"/>
  <c r="I46" i="64"/>
  <c r="R45" i="64"/>
  <c r="S45" i="64" s="1"/>
  <c r="Q45" i="64"/>
  <c r="P45" i="64"/>
  <c r="M45" i="64"/>
  <c r="I45" i="64"/>
  <c r="R44" i="64"/>
  <c r="S44" i="64" s="1"/>
  <c r="Q44" i="64"/>
  <c r="P44" i="64"/>
  <c r="M44" i="64"/>
  <c r="I44" i="64"/>
  <c r="R43" i="64"/>
  <c r="S43" i="64" s="1"/>
  <c r="Q43" i="64"/>
  <c r="P43" i="64"/>
  <c r="M43" i="64"/>
  <c r="I43" i="64"/>
  <c r="R42" i="64"/>
  <c r="S42" i="64" s="1"/>
  <c r="Q42" i="64"/>
  <c r="P42" i="64"/>
  <c r="M42" i="64"/>
  <c r="I42" i="64"/>
  <c r="R41" i="64"/>
  <c r="S41" i="64" s="1"/>
  <c r="Q41" i="64"/>
  <c r="P41" i="64"/>
  <c r="M41" i="64"/>
  <c r="I41" i="64"/>
  <c r="R40" i="64"/>
  <c r="S40" i="64" s="1"/>
  <c r="Q40" i="64"/>
  <c r="P40" i="64"/>
  <c r="M40" i="64"/>
  <c r="I40" i="64"/>
  <c r="R39" i="64"/>
  <c r="S39" i="64" s="1"/>
  <c r="Q39" i="64"/>
  <c r="P39" i="64"/>
  <c r="M39" i="64"/>
  <c r="I39" i="64"/>
  <c r="R38" i="64"/>
  <c r="S38" i="64" s="1"/>
  <c r="Q38" i="64"/>
  <c r="P38" i="64"/>
  <c r="M38" i="64"/>
  <c r="I38" i="64"/>
  <c r="R37" i="64"/>
  <c r="S37" i="64" s="1"/>
  <c r="Q37" i="64"/>
  <c r="P37" i="64"/>
  <c r="M37" i="64"/>
  <c r="I37" i="64"/>
  <c r="R36" i="64"/>
  <c r="S36" i="64" s="1"/>
  <c r="Q36" i="64"/>
  <c r="P36" i="64"/>
  <c r="M36" i="64"/>
  <c r="I36" i="64"/>
  <c r="R35" i="64"/>
  <c r="S35" i="64" s="1"/>
  <c r="Q35" i="64"/>
  <c r="P35" i="64"/>
  <c r="M35" i="64"/>
  <c r="I35" i="64"/>
  <c r="R34" i="64"/>
  <c r="S34" i="64" s="1"/>
  <c r="Q34" i="64"/>
  <c r="P34" i="64"/>
  <c r="M34" i="64"/>
  <c r="I34" i="64"/>
  <c r="R33" i="64"/>
  <c r="S33" i="64" s="1"/>
  <c r="Q33" i="64"/>
  <c r="P33" i="64"/>
  <c r="M33" i="64"/>
  <c r="I33" i="64"/>
  <c r="R32" i="64"/>
  <c r="S32" i="64" s="1"/>
  <c r="Q32" i="64"/>
  <c r="P32" i="64"/>
  <c r="M32" i="64"/>
  <c r="I32" i="64"/>
  <c r="R31" i="64"/>
  <c r="S31" i="64" s="1"/>
  <c r="Q31" i="64"/>
  <c r="P31" i="64"/>
  <c r="M31" i="64"/>
  <c r="I31" i="64"/>
  <c r="B20" i="41"/>
  <c r="B21" i="41"/>
  <c r="M18" i="56"/>
  <c r="B31" i="41" s="1"/>
  <c r="N18" i="56"/>
  <c r="B32" i="41" s="1"/>
  <c r="M25" i="56"/>
  <c r="B42" i="41" s="1"/>
  <c r="N25" i="56"/>
  <c r="B43" i="41" s="1"/>
  <c r="A11" i="56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H10" i="40" l="1"/>
  <c r="AC143" i="64"/>
  <c r="J10" i="40"/>
  <c r="AD143" i="64"/>
  <c r="AG144" i="64"/>
  <c r="AB144" i="64"/>
  <c r="AE144" i="64"/>
  <c r="L10" i="40"/>
  <c r="AE143" i="64"/>
  <c r="AC144" i="64"/>
  <c r="H15" i="40"/>
  <c r="AG143" i="64"/>
  <c r="AD144" i="64"/>
  <c r="F26" i="41"/>
  <c r="F15" i="40"/>
  <c r="K15" i="40"/>
  <c r="J15" i="40"/>
  <c r="C43" i="41"/>
  <c r="C42" i="41"/>
  <c r="J25" i="41"/>
  <c r="I25" i="41"/>
  <c r="H25" i="41"/>
  <c r="F25" i="41"/>
  <c r="G25" i="41"/>
  <c r="L20" i="41"/>
  <c r="I20" i="41"/>
  <c r="F20" i="41"/>
  <c r="J20" i="41"/>
  <c r="M20" i="41"/>
  <c r="H20" i="41"/>
  <c r="K20" i="41"/>
  <c r="G20" i="41"/>
  <c r="K25" i="41"/>
  <c r="H26" i="41"/>
  <c r="J21" i="41"/>
  <c r="J26" i="41"/>
  <c r="L21" i="41"/>
  <c r="H21" i="41"/>
  <c r="K22" i="57"/>
  <c r="AB33" i="64"/>
  <c r="G21" i="41" s="1"/>
  <c r="AD33" i="64"/>
  <c r="K21" i="41" s="1"/>
  <c r="AG33" i="64"/>
  <c r="I26" i="41" s="1"/>
  <c r="AH33" i="64"/>
  <c r="K26" i="41" s="1"/>
  <c r="AE33" i="64"/>
  <c r="M21" i="41" s="1"/>
  <c r="AC33" i="64"/>
  <c r="I21" i="41" s="1"/>
  <c r="AF33" i="64"/>
  <c r="G26" i="41" s="1"/>
  <c r="E29" i="39" l="1"/>
  <c r="M21" i="6" l="1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N41" i="6" s="1"/>
  <c r="J41" i="6"/>
  <c r="L41" i="6"/>
  <c r="P41" i="6"/>
  <c r="R41" i="6"/>
  <c r="S41" i="6"/>
  <c r="T41" i="6" s="1"/>
  <c r="V41" i="6"/>
  <c r="X41" i="6"/>
  <c r="Z41" i="6"/>
  <c r="AB41" i="6"/>
  <c r="AC41" i="6"/>
  <c r="AD41" i="6"/>
  <c r="AF41" i="6"/>
  <c r="AH41" i="6"/>
  <c r="AJ41" i="6"/>
  <c r="AL41" i="6"/>
  <c r="B21" i="6"/>
  <c r="B28" i="6" s="1"/>
  <c r="B35" i="6" s="1"/>
  <c r="B42" i="6" s="1"/>
  <c r="G21" i="7"/>
  <c r="G28" i="7"/>
  <c r="G35" i="7"/>
  <c r="B21" i="7"/>
  <c r="B28" i="7" s="1"/>
  <c r="B35" i="7" s="1"/>
  <c r="B42" i="7" s="1"/>
  <c r="I12" i="5"/>
  <c r="M12" i="5"/>
  <c r="I8" i="39" s="1"/>
  <c r="P12" i="5"/>
  <c r="I9" i="39" s="1"/>
  <c r="S12" i="5"/>
  <c r="I10" i="39" s="1"/>
  <c r="V12" i="5"/>
  <c r="I13" i="5"/>
  <c r="I14" i="5"/>
  <c r="I15" i="5"/>
  <c r="I16" i="5"/>
  <c r="I17" i="5"/>
  <c r="I18" i="5"/>
  <c r="I5" i="5"/>
  <c r="M5" i="5"/>
  <c r="P5" i="5"/>
  <c r="S5" i="5"/>
  <c r="V5" i="5"/>
  <c r="I6" i="5"/>
  <c r="I7" i="5"/>
  <c r="I8" i="5"/>
  <c r="I9" i="5"/>
  <c r="I10" i="5"/>
  <c r="I11" i="5"/>
  <c r="J12" i="3"/>
  <c r="B7" i="39" s="1"/>
  <c r="M12" i="3"/>
  <c r="O12" i="3"/>
  <c r="S12" i="3"/>
  <c r="B10" i="39" s="1"/>
  <c r="U12" i="3"/>
  <c r="O13" i="3"/>
  <c r="U13" i="3"/>
  <c r="O14" i="3"/>
  <c r="U14" i="3"/>
  <c r="O15" i="3"/>
  <c r="U15" i="3"/>
  <c r="O16" i="3"/>
  <c r="U16" i="3"/>
  <c r="O17" i="3"/>
  <c r="U17" i="3"/>
  <c r="O18" i="3"/>
  <c r="U18" i="3"/>
  <c r="J5" i="3"/>
  <c r="M5" i="3"/>
  <c r="O5" i="3"/>
  <c r="S5" i="3"/>
  <c r="U5" i="3"/>
  <c r="O6" i="3"/>
  <c r="U6" i="3"/>
  <c r="O7" i="3"/>
  <c r="U7" i="3"/>
  <c r="O8" i="3"/>
  <c r="U8" i="3"/>
  <c r="O9" i="3"/>
  <c r="U9" i="3"/>
  <c r="O10" i="3"/>
  <c r="U10" i="3"/>
  <c r="O11" i="3"/>
  <c r="U11" i="3"/>
  <c r="B19" i="3"/>
  <c r="B26" i="3" s="1"/>
  <c r="B33" i="3" s="1"/>
  <c r="P12" i="3" l="1"/>
  <c r="B9" i="39" s="1"/>
  <c r="B8" i="39"/>
  <c r="K10" i="5"/>
  <c r="K7" i="39" s="1"/>
  <c r="C54" i="41"/>
  <c r="C53" i="41"/>
  <c r="I7" i="13"/>
  <c r="V12" i="3"/>
  <c r="B11" i="39" s="1"/>
  <c r="D8" i="39"/>
  <c r="B7" i="13"/>
  <c r="B6" i="13"/>
  <c r="B5" i="40" s="1"/>
  <c r="C9" i="40" s="1"/>
  <c r="V5" i="3"/>
  <c r="P5" i="3"/>
  <c r="C31" i="41"/>
  <c r="C32" i="41"/>
  <c r="J12" i="5"/>
  <c r="I7" i="39" s="1"/>
  <c r="J5" i="5"/>
  <c r="M10" i="58" l="1"/>
  <c r="M11" i="58"/>
  <c r="M12" i="58"/>
  <c r="M13" i="58"/>
  <c r="M9" i="58"/>
  <c r="D47" i="56" l="1"/>
  <c r="M29" i="60"/>
  <c r="M29" i="61" l="1"/>
  <c r="M28" i="61"/>
  <c r="M27" i="61"/>
  <c r="M26" i="61"/>
  <c r="M30" i="61" s="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14" i="61" s="1"/>
  <c r="H47" i="56" l="1"/>
  <c r="J47" i="56"/>
  <c r="L47" i="56"/>
  <c r="F47" i="56" l="1"/>
  <c r="M26" i="60" l="1"/>
  <c r="M27" i="60"/>
  <c r="M28" i="60"/>
  <c r="M21" i="58"/>
  <c r="M20" i="58"/>
  <c r="C18" i="13" l="1"/>
  <c r="C23" i="13"/>
  <c r="C22" i="13"/>
  <c r="C21" i="13"/>
  <c r="C20" i="13"/>
  <c r="C17" i="13"/>
  <c r="AC40" i="6" l="1"/>
  <c r="S40" i="6"/>
  <c r="AC39" i="6"/>
  <c r="S39" i="6"/>
  <c r="AC41" i="7"/>
  <c r="S41" i="7"/>
  <c r="M41" i="7"/>
  <c r="AB41" i="7"/>
  <c r="AC40" i="7"/>
  <c r="S40" i="7"/>
  <c r="M40" i="7"/>
  <c r="AC39" i="7"/>
  <c r="S39" i="7"/>
  <c r="M39" i="7"/>
  <c r="AB40" i="7" l="1"/>
  <c r="AD40" i="7"/>
  <c r="AF40" i="7"/>
  <c r="AL40" i="7"/>
  <c r="AJ40" i="7"/>
  <c r="AH40" i="7"/>
  <c r="N40" i="6"/>
  <c r="AJ39" i="6"/>
  <c r="AD41" i="7"/>
  <c r="AL41" i="7"/>
  <c r="N41" i="7"/>
  <c r="T41" i="7"/>
  <c r="AH41" i="7"/>
  <c r="Z39" i="7"/>
  <c r="N40" i="7"/>
  <c r="AF41" i="7"/>
  <c r="AJ41" i="7"/>
  <c r="T40" i="7"/>
  <c r="J41" i="7"/>
  <c r="J40" i="7"/>
  <c r="L41" i="7"/>
  <c r="L40" i="7"/>
  <c r="P41" i="7"/>
  <c r="P40" i="7"/>
  <c r="R41" i="7"/>
  <c r="R40" i="7"/>
  <c r="V41" i="7"/>
  <c r="V40" i="7"/>
  <c r="X41" i="7"/>
  <c r="X40" i="7"/>
  <c r="Z41" i="7"/>
  <c r="Z40" i="7"/>
  <c r="AB40" i="6" l="1"/>
  <c r="Z40" i="6"/>
  <c r="V40" i="6"/>
  <c r="L39" i="7"/>
  <c r="AJ40" i="6"/>
  <c r="AD40" i="6"/>
  <c r="T40" i="6"/>
  <c r="X40" i="6"/>
  <c r="P40" i="6"/>
  <c r="AF40" i="6"/>
  <c r="R40" i="6"/>
  <c r="J40" i="6"/>
  <c r="AH40" i="6"/>
  <c r="L40" i="6"/>
  <c r="J39" i="7"/>
  <c r="T39" i="7"/>
  <c r="AD39" i="7"/>
  <c r="AJ39" i="7"/>
  <c r="N39" i="7"/>
  <c r="AF39" i="7"/>
  <c r="AH39" i="7"/>
  <c r="AL39" i="7"/>
  <c r="AL40" i="6"/>
  <c r="J39" i="6"/>
  <c r="V39" i="6"/>
  <c r="AL39" i="6"/>
  <c r="Z39" i="6"/>
  <c r="AF39" i="6"/>
  <c r="AH39" i="6"/>
  <c r="L39" i="6"/>
  <c r="P39" i="6"/>
  <c r="T39" i="6"/>
  <c r="R39" i="6"/>
  <c r="X39" i="6"/>
  <c r="AB39" i="6"/>
  <c r="AD39" i="6"/>
  <c r="N39" i="6"/>
  <c r="AB39" i="7"/>
  <c r="R39" i="7"/>
  <c r="V39" i="7"/>
  <c r="X39" i="7"/>
  <c r="P39" i="7"/>
  <c r="M35" i="60" l="1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2" i="58" s="1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0" i="57"/>
  <c r="M9" i="57"/>
  <c r="M14" i="57" l="1"/>
  <c r="K14" i="57" s="1"/>
  <c r="K22" i="58"/>
  <c r="M22" i="57"/>
  <c r="M38" i="58"/>
  <c r="K38" i="58" s="1"/>
  <c r="M30" i="57"/>
  <c r="K30" i="57" s="1"/>
  <c r="M14" i="60"/>
  <c r="M22" i="60"/>
  <c r="M14" i="58"/>
  <c r="K14" i="58" s="1"/>
  <c r="AC38" i="6"/>
  <c r="S38" i="6"/>
  <c r="AC37" i="6"/>
  <c r="S37" i="6"/>
  <c r="AC36" i="6"/>
  <c r="S36" i="6"/>
  <c r="AC35" i="6"/>
  <c r="S35" i="6"/>
  <c r="AC34" i="6"/>
  <c r="S34" i="6"/>
  <c r="AC33" i="6"/>
  <c r="S33" i="6"/>
  <c r="AC32" i="6"/>
  <c r="S32" i="6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AJ37" i="7" l="1"/>
  <c r="R38" i="6"/>
  <c r="AB33" i="6"/>
  <c r="AB34" i="6"/>
  <c r="T36" i="6"/>
  <c r="AH36" i="7"/>
  <c r="AL38" i="7"/>
  <c r="AB33" i="7"/>
  <c r="T35" i="7"/>
  <c r="AL35" i="6"/>
  <c r="AJ32" i="6"/>
  <c r="T37" i="7"/>
  <c r="AL37" i="7"/>
  <c r="AD37" i="7"/>
  <c r="N37" i="7"/>
  <c r="X34" i="7"/>
  <c r="AH36" i="6"/>
  <c r="AF36" i="6"/>
  <c r="AB36" i="6"/>
  <c r="Z36" i="6"/>
  <c r="X36" i="6"/>
  <c r="V36" i="6"/>
  <c r="R36" i="6"/>
  <c r="P36" i="6"/>
  <c r="L36" i="6"/>
  <c r="J36" i="6"/>
  <c r="N36" i="6"/>
  <c r="AD36" i="6"/>
  <c r="AJ36" i="6"/>
  <c r="AL36" i="6"/>
  <c r="AJ37" i="6"/>
  <c r="AH37" i="6"/>
  <c r="AF37" i="6"/>
  <c r="AB37" i="6"/>
  <c r="Z37" i="6"/>
  <c r="X37" i="6"/>
  <c r="V37" i="6"/>
  <c r="R37" i="6"/>
  <c r="P37" i="6"/>
  <c r="L37" i="6"/>
  <c r="J37" i="6"/>
  <c r="N37" i="6"/>
  <c r="T37" i="6"/>
  <c r="AD37" i="6"/>
  <c r="AL37" i="6"/>
  <c r="L37" i="7"/>
  <c r="P37" i="7"/>
  <c r="V37" i="7"/>
  <c r="X37" i="7"/>
  <c r="Z37" i="7"/>
  <c r="AB37" i="7"/>
  <c r="AF37" i="7"/>
  <c r="AH37" i="7"/>
  <c r="J37" i="7"/>
  <c r="R37" i="7"/>
  <c r="Z34" i="6" l="1"/>
  <c r="V38" i="6"/>
  <c r="AL33" i="6"/>
  <c r="X34" i="6"/>
  <c r="AF38" i="6"/>
  <c r="AJ38" i="6"/>
  <c r="J33" i="6"/>
  <c r="AH38" i="6"/>
  <c r="AB38" i="6"/>
  <c r="V34" i="6"/>
  <c r="P33" i="6"/>
  <c r="P34" i="6"/>
  <c r="AD38" i="6"/>
  <c r="AD34" i="6"/>
  <c r="L38" i="6"/>
  <c r="N38" i="6"/>
  <c r="AJ33" i="6"/>
  <c r="J38" i="6"/>
  <c r="AH33" i="6"/>
  <c r="Z38" i="6"/>
  <c r="AL34" i="6"/>
  <c r="AJ34" i="6"/>
  <c r="R33" i="6"/>
  <c r="AF33" i="6"/>
  <c r="T34" i="6"/>
  <c r="X33" i="6"/>
  <c r="AD33" i="6"/>
  <c r="AL38" i="6"/>
  <c r="L34" i="6"/>
  <c r="J34" i="6"/>
  <c r="T38" i="6"/>
  <c r="P38" i="6"/>
  <c r="T33" i="6"/>
  <c r="V33" i="6"/>
  <c r="N34" i="6"/>
  <c r="L33" i="6"/>
  <c r="X38" i="6"/>
  <c r="Z33" i="6"/>
  <c r="AF34" i="6"/>
  <c r="AB36" i="7"/>
  <c r="X33" i="7"/>
  <c r="Z33" i="7"/>
  <c r="V33" i="7"/>
  <c r="N33" i="6"/>
  <c r="R34" i="6"/>
  <c r="AH34" i="6"/>
  <c r="N36" i="7"/>
  <c r="L33" i="7"/>
  <c r="AD33" i="7"/>
  <c r="P36" i="7"/>
  <c r="V38" i="7"/>
  <c r="AF38" i="7"/>
  <c r="R36" i="7"/>
  <c r="AB35" i="7"/>
  <c r="P35" i="7"/>
  <c r="N38" i="7"/>
  <c r="P38" i="7"/>
  <c r="AF33" i="7"/>
  <c r="N33" i="7"/>
  <c r="Z35" i="7"/>
  <c r="J38" i="7"/>
  <c r="AD38" i="7"/>
  <c r="R38" i="7"/>
  <c r="AB38" i="7"/>
  <c r="L38" i="7"/>
  <c r="L36" i="7"/>
  <c r="AJ33" i="7"/>
  <c r="N35" i="7"/>
  <c r="AL35" i="7"/>
  <c r="AL33" i="7"/>
  <c r="AH35" i="7"/>
  <c r="V36" i="7"/>
  <c r="T36" i="7"/>
  <c r="J36" i="7"/>
  <c r="X36" i="7"/>
  <c r="AD36" i="7"/>
  <c r="AH33" i="7"/>
  <c r="AL36" i="7"/>
  <c r="Z36" i="7"/>
  <c r="AJ36" i="7"/>
  <c r="Z38" i="7"/>
  <c r="R33" i="7"/>
  <c r="X38" i="7"/>
  <c r="T33" i="7"/>
  <c r="R35" i="7"/>
  <c r="T38" i="7"/>
  <c r="J33" i="7"/>
  <c r="AJ35" i="7"/>
  <c r="AF35" i="7"/>
  <c r="AJ38" i="7"/>
  <c r="AF36" i="7"/>
  <c r="AH38" i="7"/>
  <c r="P33" i="7"/>
  <c r="AD35" i="7"/>
  <c r="X35" i="6"/>
  <c r="V35" i="6"/>
  <c r="R35" i="6"/>
  <c r="P35" i="6"/>
  <c r="X35" i="7"/>
  <c r="L35" i="7"/>
  <c r="J35" i="7"/>
  <c r="V35" i="7"/>
  <c r="Z35" i="6"/>
  <c r="AB35" i="6"/>
  <c r="AH35" i="6"/>
  <c r="AJ35" i="6"/>
  <c r="T35" i="6"/>
  <c r="AD35" i="6"/>
  <c r="N35" i="6"/>
  <c r="AF35" i="6"/>
  <c r="J35" i="6"/>
  <c r="L35" i="6"/>
  <c r="T34" i="7"/>
  <c r="J34" i="7"/>
  <c r="AB34" i="7"/>
  <c r="V34" i="7"/>
  <c r="N34" i="7"/>
  <c r="L34" i="7"/>
  <c r="AH32" i="6"/>
  <c r="X32" i="6"/>
  <c r="J32" i="6"/>
  <c r="N32" i="6"/>
  <c r="L32" i="6"/>
  <c r="R32" i="6"/>
  <c r="AD32" i="6"/>
  <c r="AL32" i="6"/>
  <c r="T32" i="6"/>
  <c r="Z32" i="6"/>
  <c r="P32" i="6"/>
  <c r="V32" i="6"/>
  <c r="AF32" i="6"/>
  <c r="AB32" i="6"/>
  <c r="Z34" i="7"/>
  <c r="R34" i="7"/>
  <c r="AD34" i="7"/>
  <c r="AJ34" i="7"/>
  <c r="AH34" i="7"/>
  <c r="AL34" i="7"/>
  <c r="AF34" i="7"/>
  <c r="P34" i="7"/>
  <c r="AB32" i="7"/>
  <c r="J32" i="7"/>
  <c r="AL32" i="7"/>
  <c r="AH32" i="7"/>
  <c r="Z32" i="7"/>
  <c r="X32" i="7"/>
  <c r="V32" i="7"/>
  <c r="R32" i="7"/>
  <c r="P32" i="7"/>
  <c r="L32" i="7"/>
  <c r="AJ32" i="7"/>
  <c r="AF32" i="7"/>
  <c r="T32" i="7"/>
  <c r="N32" i="7"/>
  <c r="AD32" i="7"/>
  <c r="AC31" i="6" l="1"/>
  <c r="S31" i="6"/>
  <c r="AC30" i="6"/>
  <c r="S30" i="6"/>
  <c r="AC29" i="6"/>
  <c r="S29" i="6"/>
  <c r="AH29" i="6"/>
  <c r="AC28" i="6"/>
  <c r="S28" i="6"/>
  <c r="AC27" i="6"/>
  <c r="S27" i="6"/>
  <c r="AC26" i="6"/>
  <c r="S26" i="6"/>
  <c r="AC25" i="6"/>
  <c r="S25" i="6"/>
  <c r="AC31" i="7"/>
  <c r="S31" i="7"/>
  <c r="M31" i="7"/>
  <c r="AC30" i="7"/>
  <c r="S30" i="7"/>
  <c r="M30" i="7"/>
  <c r="AJ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AF28" i="7" l="1"/>
  <c r="AL31" i="7"/>
  <c r="AL31" i="6"/>
  <c r="AF26" i="6"/>
  <c r="V27" i="6"/>
  <c r="R26" i="7"/>
  <c r="AL26" i="7"/>
  <c r="N29" i="7"/>
  <c r="AJ26" i="7"/>
  <c r="P27" i="7"/>
  <c r="T28" i="6"/>
  <c r="AJ30" i="6"/>
  <c r="AF28" i="6"/>
  <c r="AH28" i="6"/>
  <c r="T29" i="6"/>
  <c r="AJ29" i="6"/>
  <c r="N29" i="6"/>
  <c r="AD29" i="6"/>
  <c r="AL29" i="6"/>
  <c r="J29" i="7"/>
  <c r="AL29" i="7"/>
  <c r="AJ29" i="7"/>
  <c r="AD30" i="7"/>
  <c r="AL30" i="7"/>
  <c r="T26" i="7"/>
  <c r="AJ28" i="7"/>
  <c r="N30" i="7"/>
  <c r="T30" i="7"/>
  <c r="N28" i="7"/>
  <c r="T28" i="7"/>
  <c r="N26" i="7"/>
  <c r="AL28" i="7"/>
  <c r="AD28" i="7"/>
  <c r="AD26" i="7"/>
  <c r="AF26" i="7"/>
  <c r="AH26" i="7"/>
  <c r="P31" i="6"/>
  <c r="J29" i="6"/>
  <c r="P29" i="6"/>
  <c r="X29" i="6"/>
  <c r="L29" i="6"/>
  <c r="R29" i="6"/>
  <c r="V29" i="6"/>
  <c r="Z29" i="6"/>
  <c r="AB29" i="6"/>
  <c r="AF31" i="6"/>
  <c r="AH31" i="6"/>
  <c r="AF29" i="6"/>
  <c r="AJ31" i="6"/>
  <c r="Z31" i="6"/>
  <c r="J30" i="7"/>
  <c r="P30" i="7"/>
  <c r="L26" i="7"/>
  <c r="R30" i="7"/>
  <c r="P28" i="7"/>
  <c r="Z30" i="7"/>
  <c r="AB30" i="7"/>
  <c r="X26" i="7"/>
  <c r="AB28" i="7"/>
  <c r="AF31" i="7"/>
  <c r="L30" i="7"/>
  <c r="J28" i="7"/>
  <c r="R28" i="7"/>
  <c r="V28" i="7"/>
  <c r="V26" i="7"/>
  <c r="Z26" i="7"/>
  <c r="AF30" i="7"/>
  <c r="J26" i="7"/>
  <c r="P26" i="7"/>
  <c r="Z28" i="7"/>
  <c r="AB26" i="7"/>
  <c r="AH30" i="7"/>
  <c r="L28" i="7"/>
  <c r="V30" i="7"/>
  <c r="X30" i="7"/>
  <c r="X28" i="7"/>
  <c r="AB31" i="6" l="1"/>
  <c r="V31" i="6"/>
  <c r="T31" i="6"/>
  <c r="AD31" i="6"/>
  <c r="L31" i="6"/>
  <c r="N31" i="6"/>
  <c r="J31" i="6"/>
  <c r="X31" i="6"/>
  <c r="R31" i="6"/>
  <c r="AF29" i="7"/>
  <c r="Z29" i="7"/>
  <c r="V29" i="7"/>
  <c r="Z31" i="7"/>
  <c r="V31" i="7"/>
  <c r="R29" i="7"/>
  <c r="AB31" i="7"/>
  <c r="AH28" i="7"/>
  <c r="X31" i="7"/>
  <c r="AD31" i="7"/>
  <c r="R31" i="7"/>
  <c r="AH31" i="7"/>
  <c r="AD29" i="7"/>
  <c r="J31" i="7"/>
  <c r="L31" i="7"/>
  <c r="N31" i="7"/>
  <c r="P29" i="7"/>
  <c r="AJ31" i="7"/>
  <c r="P31" i="7"/>
  <c r="T31" i="7"/>
  <c r="Z26" i="6"/>
  <c r="AL30" i="6"/>
  <c r="T26" i="6"/>
  <c r="AL26" i="6"/>
  <c r="X29" i="7"/>
  <c r="AF27" i="6"/>
  <c r="AH27" i="6"/>
  <c r="L27" i="6"/>
  <c r="AL27" i="6"/>
  <c r="AJ27" i="6"/>
  <c r="N27" i="6"/>
  <c r="J27" i="6"/>
  <c r="AD27" i="6"/>
  <c r="AB27" i="6"/>
  <c r="AB26" i="6"/>
  <c r="P26" i="6"/>
  <c r="AH26" i="6"/>
  <c r="J26" i="6"/>
  <c r="X26" i="6"/>
  <c r="AD26" i="6"/>
  <c r="Z27" i="6"/>
  <c r="X27" i="6"/>
  <c r="P27" i="6"/>
  <c r="V26" i="6"/>
  <c r="L26" i="6"/>
  <c r="R27" i="6"/>
  <c r="N26" i="6"/>
  <c r="AJ26" i="6"/>
  <c r="T27" i="6"/>
  <c r="R26" i="6"/>
  <c r="R28" i="6"/>
  <c r="AH29" i="7"/>
  <c r="T29" i="7"/>
  <c r="J27" i="7"/>
  <c r="AH27" i="7"/>
  <c r="AJ27" i="7"/>
  <c r="N27" i="7"/>
  <c r="T27" i="7"/>
  <c r="AB27" i="7"/>
  <c r="AB29" i="7"/>
  <c r="X27" i="7"/>
  <c r="L29" i="7"/>
  <c r="AL27" i="7"/>
  <c r="V27" i="7"/>
  <c r="AF27" i="7"/>
  <c r="L27" i="7"/>
  <c r="R27" i="7"/>
  <c r="AB30" i="6"/>
  <c r="X28" i="6"/>
  <c r="P30" i="6"/>
  <c r="V28" i="6"/>
  <c r="V30" i="6"/>
  <c r="R30" i="6"/>
  <c r="J30" i="6"/>
  <c r="AH30" i="6"/>
  <c r="AL28" i="6"/>
  <c r="N28" i="6"/>
  <c r="T30" i="6"/>
  <c r="N30" i="6"/>
  <c r="J28" i="6"/>
  <c r="AF30" i="6"/>
  <c r="AJ28" i="6"/>
  <c r="AD28" i="6"/>
  <c r="L30" i="6"/>
  <c r="P28" i="6"/>
  <c r="X30" i="6"/>
  <c r="L28" i="6"/>
  <c r="AD30" i="6"/>
  <c r="AB28" i="6"/>
  <c r="Z28" i="6"/>
  <c r="Z30" i="6"/>
  <c r="Z27" i="7"/>
  <c r="AD27" i="7"/>
  <c r="AB25" i="6"/>
  <c r="R25" i="6"/>
  <c r="J25" i="6"/>
  <c r="AJ25" i="6"/>
  <c r="Z25" i="6"/>
  <c r="X25" i="6"/>
  <c r="V25" i="6"/>
  <c r="P25" i="6"/>
  <c r="L25" i="6"/>
  <c r="AH25" i="6"/>
  <c r="AF25" i="6"/>
  <c r="AL25" i="6"/>
  <c r="T25" i="6"/>
  <c r="AD25" i="6"/>
  <c r="N25" i="6"/>
  <c r="AB25" i="7"/>
  <c r="Z25" i="7"/>
  <c r="R25" i="7"/>
  <c r="P25" i="7"/>
  <c r="L25" i="7"/>
  <c r="X25" i="7"/>
  <c r="J25" i="7"/>
  <c r="AL25" i="7"/>
  <c r="V25" i="7"/>
  <c r="AJ25" i="7"/>
  <c r="AH25" i="7"/>
  <c r="AF25" i="7"/>
  <c r="T25" i="7"/>
  <c r="AD25" i="7"/>
  <c r="N25" i="7"/>
  <c r="AC24" i="6" l="1"/>
  <c r="S24" i="6"/>
  <c r="AL24" i="6"/>
  <c r="AC23" i="6"/>
  <c r="S23" i="6"/>
  <c r="AC22" i="6"/>
  <c r="S22" i="6"/>
  <c r="AC21" i="6"/>
  <c r="S21" i="6"/>
  <c r="AF21" i="6"/>
  <c r="AC24" i="7"/>
  <c r="S24" i="7"/>
  <c r="M24" i="7"/>
  <c r="AC23" i="7"/>
  <c r="S23" i="7"/>
  <c r="M23" i="7"/>
  <c r="AC22" i="7"/>
  <c r="S22" i="7"/>
  <c r="M22" i="7"/>
  <c r="AC21" i="7"/>
  <c r="S21" i="7"/>
  <c r="M21" i="7"/>
  <c r="AL24" i="7" l="1"/>
  <c r="AH22" i="7"/>
  <c r="X21" i="7"/>
  <c r="T22" i="6"/>
  <c r="AJ23" i="7"/>
  <c r="AL22" i="7"/>
  <c r="AJ23" i="6"/>
  <c r="AD24" i="6"/>
  <c r="N21" i="6"/>
  <c r="T24" i="6"/>
  <c r="AD21" i="6"/>
  <c r="AH21" i="6"/>
  <c r="N24" i="6"/>
  <c r="AL21" i="6"/>
  <c r="T21" i="6"/>
  <c r="AJ21" i="6"/>
  <c r="N24" i="7"/>
  <c r="T24" i="7"/>
  <c r="AD24" i="7"/>
  <c r="N22" i="7"/>
  <c r="AD22" i="7"/>
  <c r="AJ22" i="7"/>
  <c r="R24" i="6"/>
  <c r="Z24" i="6"/>
  <c r="J24" i="6"/>
  <c r="Z21" i="6"/>
  <c r="L21" i="6"/>
  <c r="P21" i="6"/>
  <c r="V24" i="6"/>
  <c r="AB21" i="6"/>
  <c r="AF24" i="6"/>
  <c r="X24" i="6"/>
  <c r="AB24" i="6"/>
  <c r="AH24" i="6"/>
  <c r="L24" i="6"/>
  <c r="V21" i="6"/>
  <c r="AJ24" i="6"/>
  <c r="J21" i="6"/>
  <c r="P24" i="6"/>
  <c r="R21" i="6"/>
  <c r="X21" i="6"/>
  <c r="J24" i="7"/>
  <c r="J22" i="7"/>
  <c r="P24" i="7"/>
  <c r="R24" i="7"/>
  <c r="P22" i="7"/>
  <c r="R22" i="7"/>
  <c r="V24" i="7"/>
  <c r="L24" i="7"/>
  <c r="L22" i="7"/>
  <c r="T22" i="7"/>
  <c r="X24" i="7"/>
  <c r="V22" i="7"/>
  <c r="Z24" i="7"/>
  <c r="X22" i="7"/>
  <c r="AB24" i="7"/>
  <c r="Z22" i="7"/>
  <c r="AB22" i="7"/>
  <c r="AF24" i="7"/>
  <c r="AH24" i="7"/>
  <c r="AF22" i="7"/>
  <c r="AJ24" i="7"/>
  <c r="T23" i="6" l="1"/>
  <c r="T21" i="7"/>
  <c r="V21" i="7"/>
  <c r="L21" i="7"/>
  <c r="AL21" i="7"/>
  <c r="N21" i="7"/>
  <c r="AH21" i="7"/>
  <c r="Z21" i="7"/>
  <c r="AF21" i="7"/>
  <c r="J21" i="7"/>
  <c r="AJ21" i="7"/>
  <c r="P23" i="7"/>
  <c r="AB21" i="7"/>
  <c r="R21" i="7"/>
  <c r="AD21" i="7"/>
  <c r="P21" i="7"/>
  <c r="N22" i="6"/>
  <c r="AD23" i="6"/>
  <c r="L22" i="6"/>
  <c r="X22" i="6"/>
  <c r="V22" i="6"/>
  <c r="X23" i="7"/>
  <c r="AF23" i="7"/>
  <c r="AD23" i="7"/>
  <c r="AB23" i="7"/>
  <c r="AL23" i="7"/>
  <c r="L23" i="7"/>
  <c r="J23" i="7"/>
  <c r="R23" i="7"/>
  <c r="T23" i="7"/>
  <c r="Z23" i="7"/>
  <c r="N23" i="7"/>
  <c r="V23" i="7"/>
  <c r="AH23" i="7"/>
  <c r="AF22" i="6"/>
  <c r="Z22" i="6"/>
  <c r="AJ22" i="6"/>
  <c r="AL22" i="6"/>
  <c r="J22" i="6"/>
  <c r="AH22" i="6"/>
  <c r="P22" i="6"/>
  <c r="AB22" i="6"/>
  <c r="R22" i="6"/>
  <c r="AD22" i="6"/>
  <c r="Z23" i="6"/>
  <c r="AL23" i="6"/>
  <c r="AH23" i="6"/>
  <c r="V23" i="6"/>
  <c r="N23" i="6"/>
  <c r="R23" i="6"/>
  <c r="J23" i="6"/>
  <c r="AB23" i="6"/>
  <c r="X23" i="6"/>
  <c r="P23" i="6"/>
  <c r="L23" i="6"/>
  <c r="AF23" i="6"/>
  <c r="B36" i="13" l="1"/>
  <c r="D36" i="13" s="1"/>
  <c r="D6" i="5" l="1"/>
  <c r="D7" i="5" l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B5" i="5"/>
  <c r="K22" i="60"/>
  <c r="K22" i="59"/>
  <c r="K38" i="60"/>
  <c r="K30" i="59"/>
  <c r="K14" i="60"/>
  <c r="K30" i="60"/>
  <c r="K14" i="59"/>
  <c r="J24" i="39" l="1"/>
  <c r="D24" i="39"/>
  <c r="I15" i="39" l="1"/>
  <c r="C19" i="13"/>
  <c r="C16" i="13"/>
  <c r="C15" i="13"/>
  <c r="D34" i="39" l="1"/>
  <c r="D33" i="39" l="1"/>
  <c r="D31" i="39"/>
  <c r="D32" i="39"/>
  <c r="D36" i="39"/>
  <c r="D35" i="39"/>
  <c r="E36" i="39"/>
  <c r="E31" i="39" l="1"/>
  <c r="B31" i="13"/>
  <c r="D31" i="13" s="1"/>
  <c r="D29" i="39"/>
  <c r="E30" i="39" l="1"/>
  <c r="B30" i="13"/>
  <c r="D30" i="13" s="1"/>
  <c r="E32" i="39"/>
  <c r="B32" i="13"/>
  <c r="D32" i="13" s="1"/>
  <c r="E33" i="39"/>
  <c r="B33" i="13"/>
  <c r="D33" i="13" s="1"/>
  <c r="B34" i="13"/>
  <c r="D34" i="13" s="1"/>
  <c r="E35" i="39"/>
  <c r="B35" i="13"/>
  <c r="D35" i="13" s="1"/>
  <c r="B28" i="13"/>
  <c r="D28" i="13" s="1"/>
  <c r="B29" i="13" l="1"/>
  <c r="D29" i="13" s="1"/>
  <c r="Q19" i="1" l="1"/>
  <c r="L20" i="21" l="1"/>
  <c r="E15" i="13" l="1"/>
  <c r="E21" i="13" l="1"/>
  <c r="L19" i="21" l="1"/>
  <c r="L18" i="21"/>
  <c r="L17" i="21"/>
  <c r="L16" i="21"/>
  <c r="L10" i="21"/>
  <c r="L11" i="21"/>
  <c r="L12" i="21"/>
  <c r="L13" i="21"/>
  <c r="L9" i="21"/>
  <c r="E16" i="13"/>
  <c r="E17" i="13"/>
  <c r="E19" i="13"/>
  <c r="E20" i="13"/>
  <c r="E22" i="13"/>
  <c r="E23" i="13"/>
  <c r="D24" i="13"/>
  <c r="J24" i="13"/>
  <c r="D6" i="13"/>
  <c r="I21" i="13"/>
  <c r="K21" i="13" s="1"/>
  <c r="B12" i="5" l="1"/>
  <c r="C24" i="13"/>
  <c r="E18" i="13"/>
  <c r="D10" i="13"/>
  <c r="D11" i="13"/>
  <c r="I19" i="13"/>
  <c r="K19" i="13" s="1"/>
  <c r="I20" i="13"/>
  <c r="K20" i="13" s="1"/>
  <c r="I16" i="13"/>
  <c r="K16" i="13" s="1"/>
  <c r="I23" i="13"/>
  <c r="K23" i="13" s="1"/>
  <c r="I17" i="13"/>
  <c r="K17" i="13" s="1"/>
  <c r="D7" i="13"/>
  <c r="I15" i="13"/>
  <c r="K15" i="13" s="1"/>
  <c r="I18" i="13"/>
  <c r="K18" i="13" s="1"/>
  <c r="I22" i="13"/>
  <c r="K22" i="13" s="1"/>
  <c r="D6" i="39"/>
  <c r="D10" i="39"/>
  <c r="D9" i="13"/>
  <c r="E16" i="39"/>
  <c r="E22" i="39"/>
  <c r="E18" i="39"/>
  <c r="E21" i="39"/>
  <c r="E20" i="39"/>
  <c r="E17" i="39"/>
  <c r="E23" i="39"/>
  <c r="E19" i="39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I24" i="13" l="1"/>
  <c r="C10" i="40"/>
  <c r="D9" i="39"/>
  <c r="I24" i="39"/>
  <c r="K15" i="39"/>
  <c r="E15" i="39"/>
  <c r="C24" i="39"/>
  <c r="D11" i="39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  <c r="P42" i="45" l="1"/>
  <c r="U42" i="45" l="1"/>
  <c r="P43" i="45"/>
  <c r="Z42" i="45" l="1"/>
  <c r="U43" i="45"/>
  <c r="AE42" i="45" l="1"/>
  <c r="Z43" i="45"/>
  <c r="AJ42" i="45" l="1"/>
  <c r="AE43" i="45"/>
  <c r="AO42" i="45" l="1"/>
  <c r="AJ43" i="45"/>
  <c r="AT42" i="45" l="1"/>
  <c r="AO43" i="45"/>
  <c r="AT43" i="45" l="1"/>
  <c r="P62" i="45"/>
  <c r="P63" i="45" l="1"/>
  <c r="U62" i="45"/>
  <c r="Z62" i="45" l="1"/>
  <c r="U63" i="45"/>
  <c r="Z63" i="45" l="1"/>
  <c r="AE62" i="45"/>
  <c r="AE63" i="45" l="1"/>
  <c r="AJ62" i="45"/>
  <c r="AO62" i="45" l="1"/>
  <c r="AJ63" i="45"/>
  <c r="AO63" i="45" l="1"/>
  <c r="AT62" i="45"/>
  <c r="AT63" i="45" l="1"/>
  <c r="P82" i="45"/>
  <c r="U82" i="45" l="1"/>
  <c r="P83" i="45"/>
  <c r="Z82" i="45" l="1"/>
  <c r="U83" i="45"/>
  <c r="Z83" i="45" l="1"/>
  <c r="AE82" i="45"/>
  <c r="AE83" i="45" l="1"/>
  <c r="AJ82" i="45"/>
  <c r="AO82" i="45" l="1"/>
  <c r="AJ83" i="45"/>
  <c r="AO83" i="45" l="1"/>
  <c r="AT82" i="45"/>
  <c r="AT83" i="45" s="1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<sst xmlns="http://schemas.openxmlformats.org/spreadsheetml/2006/main" count="6957" uniqueCount="665">
  <si>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</si>
  <si>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</si>
  <si>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</si>
  <si>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</si>
  <si>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</si>
  <si>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</si>
  <si>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</si>
  <si>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</si>
  <si>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</si>
  <si>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</si>
  <si>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</si>
  <si>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</si>
  <si>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</si>
  <si>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</si>
  <si>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</si>
  <si>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</si>
  <si>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</si>
  <si>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</si>
  <si>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</si>
  <si>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</si>
  <si>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2"/>
  </si>
  <si>
    <t>（１）收支狀況</t>
    <phoneticPr fontId="12"/>
  </si>
  <si>
    <t>當月</t>
    <phoneticPr fontId="12"/>
  </si>
  <si>
    <t>※單位：千元</t>
    <phoneticPr fontId="12"/>
  </si>
  <si>
    <t>業績金額</t>
    <phoneticPr fontId="12"/>
  </si>
  <si>
    <t>訂單數量</t>
    <phoneticPr fontId="12"/>
  </si>
  <si>
    <t>半成品報廢</t>
    <phoneticPr fontId="12"/>
  </si>
  <si>
    <t>半成品超用</t>
    <phoneticPr fontId="12"/>
  </si>
  <si>
    <t>固定產線</t>
    <phoneticPr fontId="12"/>
  </si>
  <si>
    <t>教育訓練</t>
    <phoneticPr fontId="12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</si>
  <si>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2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</si>
  <si>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2"/>
  </si>
  <si>
    <t>（３）業績構成比</t>
    <phoneticPr fontId="12"/>
  </si>
  <si>
    <t>（４）訂單數量構成比</t>
    <phoneticPr fontId="12"/>
  </si>
  <si>
    <t>飯糰</t>
    <phoneticPr fontId="12"/>
  </si>
  <si>
    <t>大口飯糰</t>
    <phoneticPr fontId="12"/>
  </si>
  <si>
    <t>便當</t>
    <phoneticPr fontId="12"/>
  </si>
  <si>
    <t>調理麵包</t>
    <phoneticPr fontId="12"/>
  </si>
  <si>
    <t>袋裝調理麵包</t>
    <phoneticPr fontId="12"/>
  </si>
  <si>
    <t>義大利麵</t>
    <phoneticPr fontId="12"/>
  </si>
  <si>
    <t>調理包</t>
    <phoneticPr fontId="12"/>
  </si>
  <si>
    <t>比例</t>
    <phoneticPr fontId="12"/>
  </si>
  <si>
    <t>作業原因</t>
    <phoneticPr fontId="12"/>
  </si>
  <si>
    <t>規格原因</t>
    <phoneticPr fontId="12"/>
  </si>
  <si>
    <t>調理麵</t>
    <phoneticPr fontId="12"/>
  </si>
  <si>
    <t>（６）人時生產性前幾名品項</t>
    <phoneticPr fontId="12"/>
  </si>
  <si>
    <t>人數</t>
    <phoneticPr fontId="12"/>
  </si>
  <si>
    <t>排名</t>
    <phoneticPr fontId="12"/>
  </si>
  <si>
    <t>產能</t>
    <phoneticPr fontId="12"/>
  </si>
  <si>
    <t>人時生產性</t>
    <phoneticPr fontId="12"/>
  </si>
  <si>
    <t>主要原因&amp;對策</t>
  </si>
  <si>
    <t>主要原因&amp;對策</t>
    <phoneticPr fontId="12"/>
  </si>
  <si>
    <t>（８）報廢原因別前幾名品項</t>
    <phoneticPr fontId="12"/>
  </si>
  <si>
    <t>半成品名</t>
    <phoneticPr fontId="12"/>
  </si>
  <si>
    <t>單價</t>
    <phoneticPr fontId="12"/>
  </si>
  <si>
    <t>報廢率</t>
    <phoneticPr fontId="12"/>
  </si>
  <si>
    <t>數量</t>
    <phoneticPr fontId="12"/>
  </si>
  <si>
    <t>實績</t>
    <phoneticPr fontId="12"/>
  </si>
  <si>
    <t>前幾名合計比例</t>
    <phoneticPr fontId="12"/>
  </si>
  <si>
    <t>前幾名合計金額</t>
    <phoneticPr fontId="12"/>
  </si>
  <si>
    <t>※補充</t>
    <phoneticPr fontId="12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</si>
  <si>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2"/>
  </si>
  <si>
    <t>實施率</t>
    <phoneticPr fontId="12"/>
  </si>
  <si>
    <t>（５）品群別人時生產性</t>
    <phoneticPr fontId="12"/>
  </si>
  <si>
    <t>勞務成本</t>
    <phoneticPr fontId="12"/>
  </si>
  <si>
    <t>勞務費率</t>
    <phoneticPr fontId="12"/>
  </si>
  <si>
    <t>比例</t>
    <phoneticPr fontId="12"/>
  </si>
  <si>
    <t>前月</t>
    <phoneticPr fontId="12"/>
  </si>
  <si>
    <t>差異</t>
    <phoneticPr fontId="12"/>
  </si>
  <si>
    <t>KPI</t>
    <phoneticPr fontId="12"/>
  </si>
  <si>
    <t>當月</t>
    <phoneticPr fontId="12"/>
  </si>
  <si>
    <t>（２）ＫＰＩ達成進度</t>
    <phoneticPr fontId="12"/>
  </si>
  <si>
    <t>（７）原因別分析</t>
    <phoneticPr fontId="12"/>
  </si>
  <si>
    <t>月別</t>
    <phoneticPr fontId="12"/>
  </si>
  <si>
    <t>工廠名</t>
    <phoneticPr fontId="12"/>
  </si>
  <si>
    <t>手巻卵黄雞絞肉</t>
    <phoneticPr fontId="12"/>
  </si>
  <si>
    <t>減少暫時停止生產,人時UP</t>
    <phoneticPr fontId="12"/>
  </si>
  <si>
    <t>因組裝2食材,人員增加,產速減少</t>
    <phoneticPr fontId="12"/>
  </si>
  <si>
    <t>透由調整速度提升。</t>
    <phoneticPr fontId="12"/>
  </si>
  <si>
    <t>直巻明太子美奶茲</t>
    <phoneticPr fontId="12"/>
  </si>
  <si>
    <t>大口飯糰燒肉美奶滋</t>
    <phoneticPr fontId="12"/>
  </si>
  <si>
    <t>因摺疊增員。實施教育訓練。</t>
    <phoneticPr fontId="12"/>
  </si>
  <si>
    <t>明太子海苔便當</t>
    <phoneticPr fontId="12"/>
  </si>
  <si>
    <t>指導鋪開炒柴魚片</t>
    <phoneticPr fontId="12"/>
  </si>
  <si>
    <t>肉狀態不良，已連動開發</t>
    <phoneticPr fontId="12"/>
  </si>
  <si>
    <t>油炸白身魚</t>
    <phoneticPr fontId="12"/>
  </si>
  <si>
    <t>油調過多報廢。變更條件。</t>
    <phoneticPr fontId="12"/>
  </si>
  <si>
    <t>川燙蝦子拌醬</t>
    <phoneticPr fontId="12"/>
  </si>
  <si>
    <t>蝦子入數不足</t>
    <phoneticPr fontId="12"/>
  </si>
  <si>
    <t>特製醬汁炙燒牛五花便當</t>
    <phoneticPr fontId="12"/>
  </si>
  <si>
    <t>牛五花醬汁</t>
    <phoneticPr fontId="12"/>
  </si>
  <si>
    <t>難度有差異。調理指導。</t>
    <phoneticPr fontId="12"/>
  </si>
  <si>
    <t>因原料變更。</t>
    <phoneticPr fontId="12"/>
  </si>
  <si>
    <t>牛五花燒成</t>
    <phoneticPr fontId="12"/>
  </si>
  <si>
    <t>大口飯糰三種起司午餐肉</t>
    <phoneticPr fontId="12"/>
  </si>
  <si>
    <t>３種起司燒成</t>
    <phoneticPr fontId="12"/>
  </si>
  <si>
    <t>與燒成範本不同。</t>
    <phoneticPr fontId="12"/>
  </si>
  <si>
    <t>燒成過多，調整調理條件。</t>
    <phoneticPr fontId="12"/>
  </si>
  <si>
    <t>超用率</t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</si>
  <si>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</si>
  <si>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</si>
  <si>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</si>
  <si>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</si>
  <si>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2"/>
  </si>
  <si>
    <t>超用率</t>
    <phoneticPr fontId="12"/>
  </si>
  <si>
    <t>日期</t>
    <phoneticPr fontId="15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</si>
  <si>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</si>
  <si>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</si>
  <si>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</si>
  <si>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5" type="noConversion"/>
  </si>
  <si>
    <t>業績(元)</t>
    <phoneticPr fontId="15" type="noConversion"/>
  </si>
  <si>
    <t>比例(%)</t>
    <phoneticPr fontId="15" type="noConversion"/>
  </si>
  <si>
    <t>三</t>
    <phoneticPr fontId="15" type="noConversion"/>
  </si>
  <si>
    <t>四</t>
    <phoneticPr fontId="15" type="noConversion"/>
  </si>
  <si>
    <t>五</t>
    <phoneticPr fontId="15" type="noConversion"/>
  </si>
  <si>
    <t>六</t>
    <phoneticPr fontId="15" type="noConversion"/>
  </si>
  <si>
    <t>日</t>
    <phoneticPr fontId="15" type="noConversion"/>
  </si>
  <si>
    <t>一</t>
    <phoneticPr fontId="15" type="noConversion"/>
  </si>
  <si>
    <t>二</t>
    <phoneticPr fontId="15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</si>
  <si>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5" type="noConversion"/>
  </si>
  <si>
    <t>週累積</t>
    <phoneticPr fontId="15" type="noConversion"/>
  </si>
  <si>
    <t>月累積</t>
    <phoneticPr fontId="15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</si>
  <si>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5" type="noConversion"/>
  </si>
  <si>
    <t>營業額(元)</t>
    <phoneticPr fontId="15" type="noConversion"/>
  </si>
  <si>
    <t>訂單數量(個)</t>
    <phoneticPr fontId="15" type="noConversion"/>
  </si>
  <si>
    <t>材料費(元)</t>
    <phoneticPr fontId="15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</si>
  <si>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5" type="noConversion"/>
  </si>
  <si>
    <t>材料費率（材料費／營業額）</t>
    <phoneticPr fontId="15" type="noConversion"/>
  </si>
  <si>
    <t>勞務成本（全廠人事成本）</t>
    <phoneticPr fontId="15" type="noConversion"/>
  </si>
  <si>
    <t>勞務費率（勞務成本／營業額）</t>
    <phoneticPr fontId="15" type="noConversion"/>
  </si>
  <si>
    <t>（２）ＫＰＩ達成進度</t>
    <phoneticPr fontId="12"/>
  </si>
  <si>
    <t>（２）ＫＰＩ達成進度</t>
    <phoneticPr fontId="15" type="noConversion"/>
  </si>
  <si>
    <t>週平均</t>
    <phoneticPr fontId="15" type="noConversion"/>
  </si>
  <si>
    <t>月平均</t>
    <phoneticPr fontId="15" type="noConversion"/>
  </si>
  <si>
    <t>一配</t>
    <phoneticPr fontId="15" type="noConversion"/>
  </si>
  <si>
    <t>二配</t>
    <phoneticPr fontId="15" type="noConversion"/>
  </si>
  <si>
    <t>營業額</t>
    <phoneticPr fontId="15" type="noConversion"/>
  </si>
  <si>
    <t>便當</t>
  </si>
  <si>
    <t>便當</t>
    <phoneticPr fontId="15" type="noConversion"/>
  </si>
  <si>
    <t>主食</t>
  </si>
  <si>
    <t>主食</t>
    <phoneticPr fontId="15" type="noConversion"/>
  </si>
  <si>
    <t>熱食義麵</t>
  </si>
  <si>
    <t>季節調理麵</t>
  </si>
  <si>
    <t>微波小吃</t>
  </si>
  <si>
    <t>微波小吃</t>
    <phoneticPr fontId="15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</si>
  <si>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5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</si>
  <si>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5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</si>
  <si>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5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</si>
  <si>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5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</si>
  <si>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5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</si>
  <si>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</si>
  <si>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</si>
  <si>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5" type="noConversion"/>
  </si>
  <si>
    <t>合計</t>
    <phoneticPr fontId="15" type="noConversion"/>
  </si>
  <si>
    <t>（４）訂單數量構成比</t>
    <phoneticPr fontId="12"/>
  </si>
  <si>
    <t>訂單量</t>
    <phoneticPr fontId="15" type="noConversion"/>
  </si>
  <si>
    <t>訂單數</t>
    <phoneticPr fontId="15" type="noConversion"/>
  </si>
  <si>
    <t>18℃-壽司手卷</t>
  </si>
  <si>
    <t>4℃-壽司手卷</t>
  </si>
  <si>
    <t>商品名稱</t>
    <phoneticPr fontId="15" type="noConversion"/>
  </si>
  <si>
    <t>計畫</t>
    <phoneticPr fontId="15" type="noConversion"/>
  </si>
  <si>
    <t>人數</t>
    <phoneticPr fontId="15" type="noConversion"/>
  </si>
  <si>
    <t>實際</t>
    <phoneticPr fontId="15" type="noConversion"/>
  </si>
  <si>
    <t>人時性</t>
    <phoneticPr fontId="15" type="noConversion"/>
  </si>
  <si>
    <t>品群</t>
    <phoneticPr fontId="15" type="noConversion"/>
  </si>
  <si>
    <t>平均人時性</t>
    <phoneticPr fontId="15" type="noConversion"/>
  </si>
  <si>
    <t>日報</t>
    <phoneticPr fontId="15" type="noConversion"/>
  </si>
  <si>
    <t>排名</t>
    <phoneticPr fontId="15" type="noConversion"/>
  </si>
  <si>
    <t>製程不穩</t>
    <phoneticPr fontId="12"/>
  </si>
  <si>
    <t>研發設定</t>
    <phoneticPr fontId="12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</si>
  <si>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</si>
  <si>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</si>
  <si>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</si>
  <si>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</si>
  <si>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</si>
  <si>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</si>
  <si>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</si>
  <si>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</si>
  <si>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</si>
  <si>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</si>
  <si>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</si>
  <si>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</si>
  <si>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</si>
  <si>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</si>
  <si>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</si>
  <si>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</si>
  <si>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</si>
  <si>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</si>
  <si>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</si>
  <si>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</si>
  <si>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2"/>
  </si>
  <si>
    <t>原物料規格</t>
    <phoneticPr fontId="12"/>
  </si>
  <si>
    <t>其他原因</t>
    <phoneticPr fontId="12"/>
  </si>
  <si>
    <t>類型</t>
    <phoneticPr fontId="15" type="noConversion"/>
  </si>
  <si>
    <t>作業原因</t>
    <phoneticPr fontId="12"/>
  </si>
  <si>
    <t>類型</t>
    <phoneticPr fontId="15" type="noConversion"/>
  </si>
  <si>
    <t>原料原因</t>
    <phoneticPr fontId="12"/>
  </si>
  <si>
    <t>個／MH</t>
    <phoneticPr fontId="12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</si>
  <si>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2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</si>
  <si>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2"/>
  </si>
  <si>
    <t>項目</t>
    <phoneticPr fontId="15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</si>
  <si>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2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</si>
  <si>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2"/>
  </si>
  <si>
    <t>半成品-報廢(%)</t>
    <phoneticPr fontId="12"/>
  </si>
  <si>
    <t>半成品-超用(%)</t>
    <phoneticPr fontId="12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</si>
  <si>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2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</si>
  <si>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2"/>
  </si>
  <si>
    <t>▼1</t>
    <phoneticPr fontId="12"/>
  </si>
  <si>
    <t>▼3</t>
    <phoneticPr fontId="12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</si>
  <si>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</si>
  <si>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</si>
  <si>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</si>
  <si>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2"/>
  </si>
  <si>
    <t>▼4</t>
    <phoneticPr fontId="12"/>
  </si>
  <si>
    <t>▼5</t>
    <phoneticPr fontId="12"/>
  </si>
  <si>
    <r>
      <t>調理多</t>
    </r>
    <r>
      <rPr>
        <sz val="11"/>
        <color theme="1"/>
        <rFont val="Arial"/>
        <family val="3"/>
        <charset val="136"/>
      </rPr>
      <t>產</t>
    </r>
    <phoneticPr fontId="12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</si>
  <si>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5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</si>
  <si>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</si>
  <si>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</si>
  <si>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</si>
  <si>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2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</si>
  <si>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2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</si>
  <si>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5" type="noConversion"/>
  </si>
  <si>
    <t>4℃-壽司手卷(077)</t>
  </si>
  <si>
    <t>4℃-壽司手卷(077)</t>
    <phoneticPr fontId="15" type="noConversion"/>
  </si>
  <si>
    <t>18℃-壽司手卷(071,072,075,076)</t>
  </si>
  <si>
    <t>18℃-壽司手卷(071,072,075,076)</t>
    <phoneticPr fontId="15" type="noConversion"/>
  </si>
  <si>
    <t>主食(091,092,093,094,095)</t>
  </si>
  <si>
    <t>主食(091,092,093,094,095)</t>
    <phoneticPr fontId="15" type="noConversion"/>
  </si>
  <si>
    <t>便當(083)</t>
  </si>
  <si>
    <t>便當(083)</t>
    <phoneticPr fontId="15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</si>
  <si>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</si>
  <si>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</si>
  <si>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5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</si>
  <si>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5" type="noConversion"/>
  </si>
  <si>
    <t>微波小吃(153,154,155)</t>
  </si>
  <si>
    <t>微波小吃(153,154,155)</t>
    <phoneticPr fontId="15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</si>
  <si>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</si>
  <si>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</si>
  <si>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</si>
  <si>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</si>
  <si>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5" type="noConversion"/>
  </si>
  <si>
    <t>項目</t>
    <phoneticPr fontId="15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</si>
  <si>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2"/>
  </si>
  <si>
    <t>比例</t>
    <phoneticPr fontId="12"/>
  </si>
  <si>
    <t>報廢</t>
    <phoneticPr fontId="12"/>
  </si>
  <si>
    <t>超用</t>
    <phoneticPr fontId="12"/>
  </si>
  <si>
    <t>總件數</t>
    <phoneticPr fontId="15" type="noConversion"/>
  </si>
  <si>
    <t>分析原因</t>
    <phoneticPr fontId="15" type="noConversion"/>
  </si>
  <si>
    <t>次數</t>
    <phoneticPr fontId="15" type="noConversion"/>
  </si>
  <si>
    <t>分析原因（件）</t>
    <phoneticPr fontId="15" type="noConversion"/>
  </si>
  <si>
    <t>報廢金額</t>
    <phoneticPr fontId="15" type="noConversion"/>
  </si>
  <si>
    <t>其他原因</t>
    <phoneticPr fontId="15" type="noConversion"/>
  </si>
  <si>
    <t>補單占比</t>
    <phoneticPr fontId="15" type="noConversion"/>
  </si>
  <si>
    <t>展開量高於１０5％</t>
    <phoneticPr fontId="12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</si>
  <si>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5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</si>
  <si>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5" type="noConversion"/>
  </si>
  <si>
    <t>18℃-壽司手卷(071,072,075,076)</t>
    <phoneticPr fontId="15" type="noConversion"/>
  </si>
  <si>
    <t>鮮食品群番</t>
    <phoneticPr fontId="15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</si>
  <si>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</si>
  <si>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</si>
  <si>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</si>
  <si>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</si>
  <si>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</si>
  <si>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</si>
  <si>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</si>
  <si>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</si>
  <si>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</si>
  <si>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</si>
  <si>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</si>
  <si>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</si>
  <si>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</si>
  <si>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</si>
  <si>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</si>
  <si>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</si>
  <si>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</si>
  <si>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</si>
  <si>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</si>
  <si>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</si>
  <si>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</si>
  <si>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</si>
  <si>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</si>
  <si>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</si>
  <si>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</si>
  <si>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</si>
  <si>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</si>
  <si>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</si>
  <si>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</si>
  <si>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</si>
  <si>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</si>
  <si>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</si>
  <si>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</si>
  <si>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</si>
  <si>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</si>
  <si>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</si>
  <si>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</si>
  <si>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</si>
  <si>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</si>
  <si>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</si>
  <si>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</si>
  <si>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</si>
  <si>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</si>
  <si>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</si>
  <si>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</si>
  <si>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</si>
  <si>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</si>
  <si>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</si>
  <si>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</si>
  <si>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</si>
  <si>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</si>
  <si>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</si>
  <si>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</si>
  <si>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</si>
  <si>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</si>
  <si>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</si>
  <si>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</si>
  <si>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</si>
  <si>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</si>
  <si>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</si>
  <si>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</si>
  <si>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</si>
  <si>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</si>
  <si>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</si>
  <si>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</si>
  <si>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5" type="noConversion"/>
  </si>
  <si>
    <t>（3）業績構成比</t>
    <phoneticPr fontId="15" type="noConversion"/>
  </si>
  <si>
    <t>（4）訂單數量構成比</t>
    <phoneticPr fontId="15" type="noConversion"/>
  </si>
  <si>
    <t xml:space="preserve">半成品報廢(%) </t>
    <phoneticPr fontId="15" type="noConversion"/>
  </si>
  <si>
    <t>月別</t>
    <phoneticPr fontId="12"/>
  </si>
  <si>
    <t>週別</t>
    <phoneticPr fontId="15" type="noConversion"/>
  </si>
  <si>
    <t>當週</t>
  </si>
  <si>
    <t>當週</t>
    <phoneticPr fontId="12"/>
  </si>
  <si>
    <t>前週</t>
  </si>
  <si>
    <t>前週</t>
    <phoneticPr fontId="15" type="noConversion"/>
  </si>
  <si>
    <t>前週</t>
    <phoneticPr fontId="12"/>
  </si>
  <si>
    <t>前週比</t>
    <phoneticPr fontId="15" type="noConversion"/>
  </si>
  <si>
    <t>前週比</t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</si>
  <si>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5" type="noConversion"/>
  </si>
  <si>
    <t>烤銀鮭魚肚</t>
  </si>
  <si>
    <t>烤黑胡椒洋蔥絲</t>
  </si>
  <si>
    <t>(V)川燙小青花菜</t>
  </si>
  <si>
    <t>焗飯-奶香白醬(114年)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</si>
  <si>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</si>
  <si>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2"/>
  </si>
  <si>
    <t>一配贅沢鮭魚肚飯糰</t>
  </si>
  <si>
    <t>共用類</t>
  </si>
  <si>
    <t>二配里肌豬排可可咖哩歐姆蛋飯</t>
  </si>
  <si>
    <t>糖燻野郎三十天熟成牛飯</t>
  </si>
  <si>
    <t>二配哞哞培根奶香海陸焗飯</t>
  </si>
  <si>
    <t>二配壹號醬炙烤牛飯糰</t>
  </si>
  <si>
    <t>二配經典肉鬆飯糰</t>
  </si>
  <si>
    <t>一配長野稻荷壽司</t>
  </si>
  <si>
    <t>一配海饌雙手卷</t>
  </si>
  <si>
    <t>一配雙饗雙手卷</t>
  </si>
  <si>
    <t>二配長野稻荷壽司</t>
  </si>
  <si>
    <t>二配海饌雙手卷</t>
  </si>
  <si>
    <t>二配雙饗雙手卷</t>
  </si>
  <si>
    <t>麻油雞飯糰</t>
  </si>
  <si>
    <t>微波主食</t>
    <phoneticPr fontId="15" type="noConversion"/>
  </si>
  <si>
    <t>二配黃金雞排蘑菇白醬歐姆蛋飯</t>
  </si>
  <si>
    <t>嫩烤香料雞胸排蔬滿盒</t>
  </si>
  <si>
    <t>經典滷肉飯</t>
  </si>
  <si>
    <t>健身G肉餐盒</t>
  </si>
  <si>
    <t>烤蛋白餐盒</t>
  </si>
  <si>
    <t>美式雞丁餐盒</t>
  </si>
  <si>
    <t>日式茶碗蒸</t>
  </si>
  <si>
    <t>固定產線-導入率(固定產線數/總產線數)</t>
    <phoneticPr fontId="15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</si>
  <si>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5" type="noConversion"/>
  </si>
  <si>
    <t>薑炒筍尾</t>
  </si>
  <si>
    <t>川味秋木耳</t>
  </si>
  <si>
    <t>炒油蔥醬</t>
  </si>
  <si>
    <t>熟化去皮馬鈴薯滾刀17-23g</t>
  </si>
  <si>
    <t>蒸-全熟雞肉絲CL(113年)</t>
  </si>
  <si>
    <t>雞肉飯飯糰</t>
  </si>
  <si>
    <t>大溪廠</t>
    <phoneticPr fontId="15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</si>
  <si>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5" type="noConversion"/>
  </si>
  <si>
    <t>生產管理報表</t>
    <phoneticPr fontId="15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</si>
  <si>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</si>
  <si>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5" type="noConversion"/>
  </si>
  <si>
    <t>實績 (週平均)</t>
    <phoneticPr fontId="15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</si>
  <si>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5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</si>
  <si>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5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</si>
  <si>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5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</si>
  <si>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5" type="noConversion"/>
  </si>
  <si>
    <t>18℃-壽司手卷</t>
    <phoneticPr fontId="15" type="noConversion"/>
  </si>
  <si>
    <t>4℃-壽司手卷</t>
    <phoneticPr fontId="15" type="noConversion"/>
  </si>
  <si>
    <t>季節調理麵</t>
    <phoneticPr fontId="15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</si>
  <si>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5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</si>
  <si>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</si>
  <si>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2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</si>
  <si>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2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</si>
  <si>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</si>
  <si>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</si>
  <si>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</si>
  <si>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</si>
  <si>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5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</si>
  <si>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5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</si>
  <si>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5" type="noConversion"/>
  </si>
  <si>
    <t>調理多產</t>
  </si>
  <si>
    <t>其他原因</t>
  </si>
  <si>
    <t>步留不足</t>
  </si>
  <si>
    <t>蒜炒紅k高麗菜(111年)</t>
  </si>
  <si>
    <t>一配北海道秋鮭親子飯糰</t>
  </si>
  <si>
    <t>一配明太子龍蝦風味沙拉飯糰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</si>
  <si>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</si>
  <si>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</si>
  <si>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</si>
  <si>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</si>
  <si>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</si>
  <si>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二配北海道秋鮭親子飯糰</t>
  </si>
  <si>
    <t>二配明太子龍蝦風味沙拉飯糰</t>
  </si>
  <si>
    <t>二配油蔥G絲飯糰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</si>
  <si>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</si>
  <si>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</si>
  <si>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</si>
  <si>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</si>
  <si>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</si>
  <si>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</si>
  <si>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2"/>
  </si>
  <si>
    <t>材料費</t>
    <phoneticPr fontId="15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</si>
  <si>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2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</si>
  <si>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2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</si>
  <si>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2"/>
  </si>
  <si>
    <r>
      <t>教育訓練-</t>
    </r>
    <r>
      <rPr>
        <sz val="10"/>
        <color theme="1"/>
        <rFont val="Meiryo UI"/>
        <family val="2"/>
      </rPr>
      <t>實施率(%)</t>
    </r>
    <phoneticPr fontId="12"/>
  </si>
  <si>
    <t>※單位：千元</t>
    <phoneticPr fontId="12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</si>
  <si>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5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</si>
  <si>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5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</si>
  <si>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5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</si>
  <si>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5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</si>
  <si>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5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</si>
  <si>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5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</si>
  <si>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</si>
  <si>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</si>
  <si>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t>調理端</t>
  </si>
  <si>
    <t>報廢</t>
    <phoneticPr fontId="15" type="noConversion"/>
  </si>
  <si>
    <t>超用</t>
    <phoneticPr fontId="15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</si>
  <si>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2"/>
  </si>
  <si>
    <t>川燙毛豆玉米</t>
  </si>
  <si>
    <t>美式雞丁餐盒(113年)</t>
  </si>
  <si>
    <t>超用額</t>
    <phoneticPr fontId="83" type="noConversion"/>
  </si>
  <si>
    <t>超用率</t>
    <phoneticPr fontId="15" type="noConversion"/>
  </si>
  <si>
    <t>廢棄週合計</t>
    <phoneticPr fontId="15" type="noConversion"/>
  </si>
  <si>
    <t>超用週合計</t>
    <phoneticPr fontId="15" type="noConversion"/>
  </si>
  <si>
    <t>大溪廠半成品管理日別總表</t>
    <phoneticPr fontId="15" type="noConversion"/>
  </si>
  <si>
    <t>日期</t>
    <phoneticPr fontId="83" type="noConversion"/>
  </si>
  <si>
    <t>報廢額</t>
    <phoneticPr fontId="83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</si>
  <si>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5" type="noConversion"/>
  </si>
  <si>
    <t>廢棄前10名</t>
    <phoneticPr fontId="15" type="noConversion"/>
  </si>
  <si>
    <t>超用前10名</t>
    <phoneticPr fontId="15" type="noConversion"/>
  </si>
  <si>
    <t>金額總計</t>
    <phoneticPr fontId="15" type="noConversion"/>
  </si>
  <si>
    <t>構成比</t>
    <phoneticPr fontId="15" type="noConversion"/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</si>
  <si>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5" type="noConversion"/>
  </si>
  <si>
    <t>製程不穩</t>
    <phoneticPr fontId="83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</si>
  <si>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2"/>
  </si>
  <si>
    <t>清炒高麗菜</t>
  </si>
  <si>
    <t>二配乳酪燻腸紅醬焗飯</t>
  </si>
  <si>
    <t>教育訓練-實施率(進度/計畫)</t>
    <phoneticPr fontId="15" type="noConversion"/>
  </si>
  <si>
    <t>4℃-飯糰</t>
    <phoneticPr fontId="15" type="noConversion"/>
  </si>
  <si>
    <t>熱食義麵</t>
    <phoneticPr fontId="15" type="noConversion"/>
  </si>
  <si>
    <t>共用類廢棄</t>
    <phoneticPr fontId="15" type="noConversion"/>
  </si>
  <si>
    <t>金額總計</t>
    <phoneticPr fontId="83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</si>
  <si>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3" type="noConversion"/>
  </si>
  <si>
    <t>歐姆蛋-黑咖哩醬</t>
  </si>
  <si>
    <t>一配照燒雞肉飯糰</t>
  </si>
  <si>
    <t>蘑菇白醬</t>
  </si>
  <si>
    <t>人數配置相同與人時生產性維持穩定</t>
  </si>
  <si>
    <t>取樣不穩</t>
  </si>
  <si>
    <t>取樣不穩</t>
    <phoneticPr fontId="12"/>
  </si>
  <si>
    <t>（８）報廢原因別前幾名品項</t>
    <phoneticPr fontId="15" type="noConversion"/>
  </si>
  <si>
    <t>（８）超用原因別前幾名品項</t>
    <phoneticPr fontId="15" type="noConversion"/>
  </si>
  <si>
    <t>韓式部隊鍋</t>
  </si>
  <si>
    <t>烤照燒雞腿丁</t>
  </si>
  <si>
    <t>海陸雙拼肉肉餐盒</t>
  </si>
  <si>
    <t>二配三杯醬爆菇菇飯糰</t>
  </si>
  <si>
    <t>一配經典鮪魚沙拉細卷</t>
  </si>
  <si>
    <t>二配西班牙風味海鮮燉飯</t>
  </si>
  <si>
    <t>蔬活腿排補力餐盒</t>
  </si>
  <si>
    <t>合計</t>
    <phoneticPr fontId="83" type="noConversion"/>
  </si>
  <si>
    <t>一配雙鬆細卷</t>
  </si>
  <si>
    <t>二配兩粒飯糰(鮪魚.焦糖鮭魚)</t>
  </si>
  <si>
    <t>香腸腿排雙拼便當</t>
  </si>
  <si>
    <t>炒蔥花碎蛋</t>
  </si>
  <si>
    <t>一配兩粒飯糰(鮪魚.焦糖鮭魚)</t>
  </si>
  <si>
    <t>青花菜原物料規格偏大造成超用</t>
    <phoneticPr fontId="15" type="noConversion"/>
  </si>
  <si>
    <t>二配大飯糰韓式蒜烤豬五花</t>
  </si>
  <si>
    <t>東京豚骨風味拉麵</t>
  </si>
  <si>
    <t>豚骨醬油湯凍(114年)</t>
  </si>
  <si>
    <t>二配失控起司薯餅焗飯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</si>
  <si>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</si>
  <si>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t>月別</t>
    <phoneticPr fontId="15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</si>
  <si>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5" type="noConversion"/>
  </si>
  <si>
    <t>後續對策</t>
    <phoneticPr fontId="15" type="noConversion"/>
  </si>
  <si>
    <t>展開量高於需求量</t>
  </si>
  <si>
    <t>週前二十</t>
    <phoneticPr fontId="15" type="noConversion"/>
  </si>
  <si>
    <t>烤12切家常豆腐</t>
  </si>
  <si>
    <t>60切-烤豆腐蛋白丁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</si>
  <si>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</si>
  <si>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t>原因說明</t>
    <phoneticPr fontId="15" type="noConversion"/>
  </si>
  <si>
    <t>超用金額</t>
    <phoneticPr fontId="15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</si>
  <si>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5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</si>
  <si>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5" type="noConversion"/>
  </si>
  <si>
    <t>展開量高於需求量</t>
    <phoneticPr fontId="12"/>
  </si>
  <si>
    <t>展開量高於需求量</t>
    <phoneticPr fontId="15" type="noConversion"/>
  </si>
  <si>
    <t>操作方式冰杓定量,生產餘料報廢</t>
  </si>
  <si>
    <t>調理展開量下修，並已採用多次補單方式執行</t>
  </si>
  <si>
    <t>菜梗、葉差異，影響人員放料手感</t>
  </si>
  <si>
    <t>增加線上抽秤頻率，調理展開量下修，並已採用多次補單方式執行</t>
  </si>
  <si>
    <t>針對人員抓量手法教育訓練，並增加線上抽秤頻率</t>
    <phoneticPr fontId="15" type="noConversion"/>
  </si>
  <si>
    <r>
      <t>生產前確認標準定量的機台設定，生產中抽</t>
    </r>
    <r>
      <rPr>
        <sz val="12"/>
        <color theme="1"/>
        <rFont val="微軟正黑體"/>
        <family val="2"/>
        <charset val="136"/>
      </rPr>
      <t>查</t>
    </r>
    <r>
      <rPr>
        <sz val="12"/>
        <color theme="1"/>
        <rFont val="Meiryo UI"/>
        <family val="2"/>
        <charset val="128"/>
      </rPr>
      <t>確認設定及實際出料重量</t>
    </r>
    <phoneticPr fontId="15" type="noConversion"/>
  </si>
  <si>
    <t>二配大飯糰滷肉飯加蛋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</si>
  <si>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5" type="noConversion"/>
  </si>
  <si>
    <t>抓量較不穩定造成調理多產</t>
  </si>
  <si>
    <t>二配蒙古風味烤肉飯</t>
  </si>
  <si>
    <t>6切-烤醃漬咖哩腿排</t>
  </si>
  <si>
    <t>抓量較不穩定造成超用</t>
    <phoneticPr fontId="15" type="noConversion"/>
  </si>
  <si>
    <t>炒蒙古肉片</t>
  </si>
  <si>
    <t>炒蒙古烤肉蔬菜</t>
  </si>
  <si>
    <t>一配鮭魚奶油醬油飯糰</t>
  </si>
  <si>
    <r>
      <t>雞肉絲糾結成塊，</t>
    </r>
    <r>
      <rPr>
        <sz val="12"/>
        <color theme="1"/>
        <rFont val="Microsoft JhengHei"/>
        <family val="2"/>
      </rPr>
      <t>人員抓量</t>
    </r>
    <r>
      <rPr>
        <sz val="12"/>
        <color theme="1"/>
        <rFont val="Meiryo UI"/>
        <family val="2"/>
      </rPr>
      <t>放料有差異</t>
    </r>
    <phoneticPr fontId="15" type="noConversion"/>
  </si>
  <si>
    <r>
      <t>1</t>
    </r>
    <r>
      <rPr>
        <sz val="12"/>
        <color theme="1"/>
        <rFont val="Microsoft JhengHei"/>
        <family val="2"/>
      </rPr>
      <t>月報廢</t>
    </r>
    <phoneticPr fontId="15" type="noConversion"/>
  </si>
  <si>
    <t>1月超用</t>
    <phoneticPr fontId="15" type="noConversion"/>
  </si>
  <si>
    <t>洋蔥壹號醬</t>
  </si>
  <si>
    <t>炒綜合蔬菜丁</t>
  </si>
  <si>
    <t>壹號醬炙烤牛飯糰</t>
  </si>
  <si>
    <t>切-烤牛五花(112年)</t>
  </si>
  <si>
    <t>針對人員手法教育訓練，並增加線上抽秤頻率</t>
    <phoneticPr fontId="15" type="noConversion"/>
  </si>
  <si>
    <t>賣相設定要鋪滿，肉片狀態影響鋪滿效果</t>
    <phoneticPr fontId="15" type="noConversion"/>
  </si>
  <si>
    <t>調整分切方式，穩定分切長度減少規格異常。反映研發設定放料重量範圍</t>
    <phoneticPr fontId="15" type="noConversion"/>
  </si>
  <si>
    <t>反映研發，後續開發列入考量</t>
    <phoneticPr fontId="15" type="noConversion"/>
  </si>
  <si>
    <t>因原物料規格差異,超用量偏高，生產餘料報廢</t>
    <phoneticPr fontId="15" type="noConversion"/>
  </si>
  <si>
    <t>反映研發，後續開發列入考量，建議原物料規格多切製程</t>
    <phoneticPr fontId="15" type="noConversion"/>
  </si>
  <si>
    <t>因原物料規格差異,超用量偏高，生產餘料報廢
反映研發，後續開發列入考量，建議原物料規格多切製程</t>
    <phoneticPr fontId="15" type="noConversion"/>
  </si>
  <si>
    <t>菜梗、葉差異，影響人員放料手感
增加線上抽秤頻率，調理展開量下修，並已採用多次補單方式執行</t>
    <phoneticPr fontId="15" type="noConversion"/>
  </si>
  <si>
    <t>烤箱製程蛋片規格厚薄差異
準備室分切剔除，確保賣相準定</t>
    <phoneticPr fontId="15" type="noConversion"/>
  </si>
  <si>
    <t>烤盤產生炭渣，豆腐沾黏焦化物
定期更換烤盤，制定烤盤更換時程</t>
    <phoneticPr fontId="15" type="noConversion"/>
  </si>
  <si>
    <t>注餡機機台工差設定確認</t>
    <phoneticPr fontId="15" type="noConversion"/>
  </si>
  <si>
    <t>注餡機機台工差設定確認
生產前確認標準定量的機台設定，生產中抽查確認設定及實際出料重量</t>
    <phoneticPr fontId="15" type="noConversion"/>
  </si>
  <si>
    <t>賣相設定要鋪滿，肉片狀態影響鋪滿效果
調整分切方式，穩定分切長度減少規格異常。反映研發設定放料重量範圍</t>
    <phoneticPr fontId="15" type="noConversion"/>
  </si>
  <si>
    <t>明太子泡菜牛飯卷</t>
  </si>
  <si>
    <t>切烤雞胸肉(111年)</t>
  </si>
  <si>
    <t>蒜炒紅K油菜(A7)</t>
  </si>
  <si>
    <t>健身G肉餐盒(113年)</t>
  </si>
  <si>
    <t>原物料肉片的大小塊差異
回饋研發，後續開發列入考量</t>
    <phoneticPr fontId="15" type="noConversion"/>
  </si>
  <si>
    <t>部隊鍋湯凍</t>
  </si>
  <si>
    <t>操作方式冰杓定量,生產餘料報廢</t>
    <phoneticPr fontId="15" type="noConversion"/>
  </si>
  <si>
    <t>調理展開量下修，並已採用多次補單方式執行</t>
    <phoneticPr fontId="15" type="noConversion"/>
  </si>
  <si>
    <t>操作方式冰杓定量,生產餘料報廢
調理展開量下修，並已採用多次補單方式執行</t>
    <phoneticPr fontId="15" type="noConversion"/>
  </si>
  <si>
    <t>人員抓量放料手法不穩定</t>
    <phoneticPr fontId="15" type="noConversion"/>
  </si>
  <si>
    <t>一配紅運烏魚子紹興飯糰</t>
  </si>
  <si>
    <t>福氣魚四喜開運便當</t>
  </si>
  <si>
    <t>鴻運番茄湯麵</t>
  </si>
  <si>
    <t>研發設定</t>
    <phoneticPr fontId="15" type="noConversion"/>
  </si>
  <si>
    <t>蕃茄湯凍(115年)</t>
  </si>
  <si>
    <t>原物料大小顆差異，影響人員放料</t>
    <phoneticPr fontId="15" type="noConversion"/>
  </si>
  <si>
    <r>
      <t>因葉梗</t>
    </r>
    <r>
      <rPr>
        <sz val="12"/>
        <color theme="1"/>
        <rFont val="Microsoft JhengHei"/>
        <family val="2"/>
      </rPr>
      <t>大小片</t>
    </r>
    <r>
      <rPr>
        <sz val="12"/>
        <color theme="1"/>
        <rFont val="Meiryo UI"/>
        <family val="2"/>
      </rPr>
      <t>差異，</t>
    </r>
    <r>
      <rPr>
        <sz val="12"/>
        <color theme="1"/>
        <rFont val="Microsoft JhengHei"/>
        <family val="2"/>
      </rPr>
      <t>線上</t>
    </r>
    <r>
      <rPr>
        <sz val="12"/>
        <color theme="1"/>
        <rFont val="Meiryo UI"/>
        <family val="2"/>
      </rPr>
      <t>容易取樣不穩導致超用</t>
    </r>
    <phoneticPr fontId="15" type="noConversion"/>
  </si>
  <si>
    <r>
      <rPr>
        <sz val="12"/>
        <color theme="1"/>
        <rFont val="Microsoft JhengHei"/>
        <family val="2"/>
      </rPr>
      <t>設定</t>
    </r>
    <r>
      <rPr>
        <sz val="12"/>
        <color theme="1"/>
        <rFont val="Meiryo UI"/>
        <family val="2"/>
      </rPr>
      <t>雙圈秤重，因葉梗大小片差異，線上容易取樣不穩導致超用</t>
    </r>
    <phoneticPr fontId="15" type="noConversion"/>
  </si>
  <si>
    <t>抓量較不穩定造成調理多產
增加線上抽秤頻率，調理展開量下修，並已採用多次補單方式執行，目前已控制在2%內。</t>
    <phoneticPr fontId="15" type="noConversion"/>
  </si>
  <si>
    <t>油煮蛤蜊-肉</t>
  </si>
  <si>
    <r>
      <t>原物料肉</t>
    </r>
    <r>
      <rPr>
        <sz val="12"/>
        <color theme="1"/>
        <rFont val="Microsoft JhengHei"/>
        <family val="2"/>
      </rPr>
      <t>塊</t>
    </r>
    <r>
      <rPr>
        <sz val="12"/>
        <color theme="1"/>
        <rFont val="Meiryo UI"/>
        <family val="2"/>
      </rPr>
      <t>的大小塊差異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</si>
  <si>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週更新(0224-0302)</t>
    </r>
    <phoneticPr fontId="15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</si>
  <si>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性前幾名品項(0224-0302)</t>
    </r>
    <phoneticPr fontId="15" type="noConversion"/>
  </si>
  <si>
    <t>0224-0302</t>
    <phoneticPr fontId="15" type="noConversion"/>
  </si>
  <si>
    <t>0224-0302 總合計↑</t>
    <phoneticPr fontId="15" type="noConversion"/>
  </si>
  <si>
    <t>西班牙烤雞腿丁</t>
  </si>
  <si>
    <t>60切-焗烤蔬菜烘蛋(113年)</t>
  </si>
  <si>
    <t>炒蝦仁(8號)</t>
  </si>
  <si>
    <t>炙燒韓式牛五花</t>
  </si>
  <si>
    <t>原物料肉塊規格大小差異，影響人員放料，生產餘料報廢</t>
    <phoneticPr fontId="15" type="noConversion"/>
  </si>
  <si>
    <t>烤箱製程蛋片規格厚薄差異</t>
    <phoneticPr fontId="15" type="noConversion"/>
  </si>
  <si>
    <t>準備室分切剔除，確保賣相準定</t>
    <phoneticPr fontId="15" type="noConversion"/>
  </si>
  <si>
    <r>
      <t>針對人員抓量手法教育訓練，並增加線上抽秤頻率，目前控制在3%</t>
    </r>
    <r>
      <rPr>
        <sz val="12"/>
        <color theme="1"/>
        <rFont val="Microsoft JhengHei"/>
        <family val="2"/>
      </rPr>
      <t>內</t>
    </r>
    <r>
      <rPr>
        <sz val="12"/>
        <color theme="1"/>
        <rFont val="Meiryo UI"/>
        <family val="2"/>
      </rPr>
      <t>。</t>
    </r>
    <phoneticPr fontId="15" type="noConversion"/>
  </si>
  <si>
    <t>針對人員抓量手法教育訓練，並增加線上抽秤頻率，對比上週下降。</t>
    <phoneticPr fontId="15" type="noConversion"/>
  </si>
  <si>
    <t>反映研發，後續開發列入考量，設定放料量範圍，針對人員手法教育訓練，並增加線上抽秤頻率。</t>
    <phoneticPr fontId="15" type="noConversion"/>
  </si>
  <si>
    <t>原物料蝦仁大小隻公差，影響用量</t>
    <phoneticPr fontId="15" type="noConversion"/>
  </si>
  <si>
    <t>反映研發，後續開發列入考量。</t>
    <phoneticPr fontId="15" type="noConversion"/>
  </si>
  <si>
    <t>原物料大小長短差異，影響人員放料
反映研發，後續開發列入考量，調理展開量下修，並已採用多次補單方式執行，目前已控制在2%內。</t>
    <phoneticPr fontId="15" type="noConversion"/>
  </si>
  <si>
    <t>因葉梗大小片差異，線上容易取樣不穩導致超用
針對人員抓量手法教育訓練，並增加線上抽秤頻率，目前控制在3%內。</t>
    <phoneticPr fontId="15" type="noConversion"/>
  </si>
  <si>
    <t>設定雙圈秤重，因葉梗大小片差異，線上容易取樣不穩導致超用
針對人員抓量手法教育訓練，並增加線上抽秤頻率，對比上週下降。</t>
    <phoneticPr fontId="15" type="noConversion"/>
  </si>
  <si>
    <t>反映研發，後續開發列入考量</t>
  </si>
  <si>
    <t>原物料肉塊的大小塊差異</t>
    <phoneticPr fontId="15" type="noConversion"/>
  </si>
  <si>
    <t>反映研發，後續開發列入考量，設定放料量範圍，針對人員手法教育訓練，並增加線上抽秤頻率</t>
  </si>
  <si>
    <t>原物料肉塊的大小塊差異
反映研發，後續開發列入考量，設定放料量範圍，針對人員手法教育訓練，並增加線上抽秤頻率</t>
    <phoneticPr fontId="15" type="noConversion"/>
  </si>
  <si>
    <t>拌鮭魚沙拉(114年)</t>
  </si>
  <si>
    <t>奶香起司醬</t>
  </si>
  <si>
    <t>北海道秋鮭親子飯糰(114年)</t>
  </si>
  <si>
    <t>焙炒芝麻肉鬆</t>
  </si>
  <si>
    <t>經典肉鬆飯糰(114年)</t>
  </si>
  <si>
    <t>原物料規格過小，無法使用</t>
  </si>
  <si>
    <t>烤箱製程蛋片規格厚薄差異</t>
  </si>
  <si>
    <t>準備室分切剔除，確保賣相準定</t>
  </si>
  <si>
    <t>增加線上抽秤頻率，調理展開量下修，並已採用多次補單方式執行，目前已控制在2%內。</t>
  </si>
  <si>
    <t>烤盤產生炭渣，豆腐沾黏焦化物</t>
  </si>
  <si>
    <t>定期更換烤盤，制定烤盤更換時程</t>
  </si>
  <si>
    <t>高風險半成品拆袋即用,拆包後無法延用給下配次產生報廢</t>
  </si>
  <si>
    <t>每份用量少以致用量易有不穩定的狀況</t>
  </si>
  <si>
    <t>原物料大小長短差異，影響人員放料</t>
  </si>
  <si>
    <t>反映研發，後續開發列入考量，調理展開量下修，並已採用多次補單方式執行，目前已控制在2%內。</t>
  </si>
  <si>
    <t>增加線上抽秤頻率，準備展開量下修，並已採用多次補單方式執行</t>
  </si>
  <si>
    <t>因原物料規格差異,超用量偏高，生產餘料報廢</t>
  </si>
  <si>
    <r>
      <t>針對人員手法教育訓練，並增加線上抽秤頻率，用量控制3%</t>
    </r>
    <r>
      <rPr>
        <sz val="12"/>
        <color theme="1"/>
        <rFont val="Microsoft JhengHei"/>
        <family val="2"/>
      </rPr>
      <t>內</t>
    </r>
    <r>
      <rPr>
        <sz val="12"/>
        <color theme="1"/>
        <rFont val="Meiryo UI"/>
        <family val="2"/>
      </rPr>
      <t>。</t>
    </r>
    <phoneticPr fontId="15" type="noConversion"/>
  </si>
  <si>
    <t>高風險半成品拆袋即用,拆包後無法延用給下配次產生報廢
反映研發，後續開發列入考量</t>
    <phoneticPr fontId="12"/>
  </si>
  <si>
    <t>原物料規格過小，無法使用
反映研發，後續開發列入考量</t>
    <phoneticPr fontId="12"/>
  </si>
  <si>
    <r>
      <t>2</t>
    </r>
    <r>
      <rPr>
        <sz val="12"/>
        <color theme="1"/>
        <rFont val="Microsoft JhengHei"/>
        <family val="2"/>
      </rPr>
      <t>月報廢</t>
    </r>
    <phoneticPr fontId="15" type="noConversion"/>
  </si>
  <si>
    <t>2月超用</t>
    <phoneticPr fontId="15" type="noConversion"/>
  </si>
  <si>
    <t>月</t>
    <phoneticPr fontId="15" type="noConversion"/>
  </si>
  <si>
    <t>炒紅K碎蛋</t>
  </si>
  <si>
    <t>炒照燒牛蒡腿丁</t>
  </si>
  <si>
    <t>蒜炒洋菇片</t>
  </si>
  <si>
    <t>拌鹽烤豬肉片(114年)</t>
  </si>
  <si>
    <t>鹽蔥燒肉飯糰</t>
  </si>
  <si>
    <t>二配大飯糰鮪魚昆布</t>
  </si>
  <si>
    <t>蟹味可樂餅風炸飯糰</t>
  </si>
  <si>
    <t>香料咖哩烤雞飯卷</t>
  </si>
  <si>
    <t>二配鐵板豆腐燴蛋蓋飯</t>
  </si>
  <si>
    <t>二配濃起司燻腸紅醬焗烤飯</t>
  </si>
  <si>
    <t>W1</t>
    <phoneticPr fontId="15" type="noConversion"/>
  </si>
  <si>
    <t>炸飯糰新品,人數配置與人時性同舊品</t>
    <phoneticPr fontId="15" type="noConversion"/>
  </si>
  <si>
    <t>舊品開檔,人數與人時性同舊品</t>
    <phoneticPr fontId="15" type="noConversion"/>
  </si>
  <si>
    <t>促銷貼標+1人.人時性下降</t>
    <phoneticPr fontId="15" type="noConversion"/>
  </si>
  <si>
    <t>新品 達成率略低</t>
    <phoneticPr fontId="15" type="noConversion"/>
  </si>
  <si>
    <t>水煮蛋改2人.人時生產性上升</t>
    <phoneticPr fontId="15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</si>
  <si>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性前幾名品項(0303-0309)</t>
    </r>
    <phoneticPr fontId="15" type="noConversion"/>
  </si>
  <si>
    <t>反映研發，後續開發列入考量，調理展開量下修，並已採用多次補單方式執行</t>
  </si>
  <si>
    <t>0303-0309</t>
    <phoneticPr fontId="15" type="noConversion"/>
  </si>
  <si>
    <t>0310-0316</t>
    <phoneticPr fontId="15" type="noConversion"/>
  </si>
  <si>
    <t>0317-0323</t>
    <phoneticPr fontId="15" type="noConversion"/>
  </si>
  <si>
    <t>0324-0330</t>
    <phoneticPr fontId="15" type="noConversion"/>
  </si>
  <si>
    <t>0331-0406</t>
    <phoneticPr fontId="15" type="noConversion"/>
  </si>
  <si>
    <t>0303-0309 總合計↑</t>
    <phoneticPr fontId="15" type="noConversion"/>
  </si>
  <si>
    <t>0310-0316 總合計↑</t>
    <phoneticPr fontId="15" type="noConversion"/>
  </si>
  <si>
    <t>0317-0323 總合計↑</t>
    <phoneticPr fontId="15" type="noConversion"/>
  </si>
  <si>
    <t>0324-0330 總合計↑</t>
    <phoneticPr fontId="15" type="noConversion"/>
  </si>
  <si>
    <t>0331-0406 總合計↑</t>
    <phoneticPr fontId="15" type="noConversion"/>
  </si>
  <si>
    <t>因近期青花菜大朵比例有下降，線上放量較穩定，整體超用數據有下修</t>
    <phoneticPr fontId="15" type="noConversion"/>
  </si>
  <si>
    <r>
      <t>定量管理，設定單籃重量控管，用量有逐步</t>
    </r>
    <r>
      <rPr>
        <sz val="12"/>
        <color theme="1"/>
        <rFont val="Microsoft JhengHei"/>
        <family val="2"/>
      </rPr>
      <t>穩定</t>
    </r>
    <r>
      <rPr>
        <sz val="12"/>
        <color theme="1"/>
        <rFont val="Meiryo UI"/>
        <family val="2"/>
      </rPr>
      <t>下降。</t>
    </r>
    <phoneticPr fontId="15" type="noConversion"/>
  </si>
  <si>
    <r>
      <t>人員抓量放料手法不穩定</t>
    </r>
    <r>
      <rPr>
        <sz val="12"/>
        <color theme="1"/>
        <rFont val="Microsoft JhengHei"/>
        <family val="2"/>
      </rPr>
      <t>導致超用</t>
    </r>
    <phoneticPr fontId="15" type="noConversion"/>
  </si>
  <si>
    <r>
      <t>定量</t>
    </r>
    <r>
      <rPr>
        <sz val="12"/>
        <color theme="1"/>
        <rFont val="Microsoft JhengHei"/>
        <family val="2"/>
      </rPr>
      <t>管理，</t>
    </r>
    <r>
      <rPr>
        <sz val="12"/>
        <color theme="1"/>
        <rFont val="Meiryo UI"/>
        <family val="2"/>
      </rPr>
      <t>針對人員抓量手法教育訓練，並增加線上抽秤頻率</t>
    </r>
    <phoneticPr fontId="15" type="noConversion"/>
  </si>
  <si>
    <t>原物料肉片的大小塊差異</t>
    <phoneticPr fontId="15" type="noConversion"/>
  </si>
  <si>
    <t>回饋研發，後續開發列入考量</t>
    <phoneticPr fontId="15" type="noConversion"/>
  </si>
  <si>
    <r>
      <t>操作方式冰杓定量，人員</t>
    </r>
    <r>
      <rPr>
        <sz val="12"/>
        <color theme="1"/>
        <rFont val="Microsoft JhengHei"/>
        <family val="2"/>
      </rPr>
      <t>手法</t>
    </r>
    <r>
      <rPr>
        <sz val="12"/>
        <color theme="1"/>
        <rFont val="Meiryo UI"/>
        <family val="2"/>
      </rPr>
      <t>差異</t>
    </r>
    <phoneticPr fontId="15" type="noConversion"/>
  </si>
  <si>
    <t>（８）報廢原因別前幾名品項(0224-0302)</t>
    <phoneticPr fontId="15" type="noConversion"/>
  </si>
  <si>
    <t>（８）超用原因別前幾名品項(0224-0302)</t>
    <phoneticPr fontId="15" type="noConversion"/>
  </si>
  <si>
    <t>雞肉絲糾結成塊，人員抓量放料有差異
定量管理，設定單籃重量控管，用量有逐步穩定下降。</t>
    <phoneticPr fontId="15" type="noConversion"/>
  </si>
  <si>
    <t>抓量較不穩定造成超用
針對人員抓量手法教育訓練，並增加線上抽秤頻率</t>
    <phoneticPr fontId="15" type="noConversion"/>
  </si>
  <si>
    <t>青花菜原物料規格偏大造成超用
因近期青花菜大朵比例有下降，線上放量較穩定，整體超用數據有下修</t>
    <phoneticPr fontId="15" type="noConversion"/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</si>
  <si>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週更新(0303-0309)</t>
    </r>
    <phoneticPr fontId="15" type="noConversion"/>
  </si>
  <si>
    <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週更新(0310-0316)</t>
    </r>
    <phoneticPr fontId="15" type="noConversion"/>
  </si>
  <si>
    <t>一配日式鮪魚美乃滋脆卷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</si>
  <si>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週更新(0317-0323)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</si>
  <si>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週更新(0324-0330)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</si>
  <si>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週更新(0331-0406)</t>
    </r>
    <phoneticPr fontId="15" type="noConversion"/>
  </si>
  <si>
    <t>3月平均人時性</t>
    <phoneticPr fontId="15" type="noConversion"/>
  </si>
  <si>
    <t>日式茶碗蒸</t>
    <phoneticPr fontId="15" type="noConversion"/>
  </si>
  <si>
    <t>辣滷冬粉</t>
  </si>
  <si>
    <t>薯餅焗飯-紅醬</t>
  </si>
  <si>
    <t>蒸蛤蜊-肉(VN151)</t>
  </si>
  <si>
    <t>煮三杯料</t>
  </si>
  <si>
    <t>歐姆蛋(110年)</t>
  </si>
  <si>
    <t>(V)炒素雞肉絲(114年)</t>
  </si>
  <si>
    <t>辣炒酸菜碎</t>
  </si>
  <si>
    <t>煮紅蘿蔔塊(VN101)</t>
  </si>
  <si>
    <t>焗飯-義式蕃茄紅醬</t>
  </si>
  <si>
    <t>煮鐵板豆腐</t>
  </si>
  <si>
    <t>油蔥肉燥(113年)</t>
  </si>
  <si>
    <t>拌蒜香五花肉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</si>
</sst>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4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#,##0_ "/>
    <numFmt numFmtId="197" formatCode="#,##0.0_ "/>
    <numFmt numFmtId="198" formatCode="#,##0;[Red]#,##0"/>
  </numFmts>
  <fonts count="11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0"/>
      <color rgb="FF000000"/>
      <name val="Microsoft JhengHei"/>
      <family val="2"/>
      <charset val="136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2"/>
      <color rgb="FF00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0"/>
      <color rgb="FF000000"/>
      <name val="Meiryo UI"/>
      <family val="2"/>
      <charset val="136"/>
    </font>
    <font>
      <b/>
      <sz val="12"/>
      <color theme="1"/>
      <name val="微軟正黑體"/>
      <family val="2"/>
      <charset val="136"/>
    </font>
    <font>
      <sz val="10"/>
      <color rgb="FF000000"/>
      <name val="Arial"/>
      <family val="2"/>
      <charset val="136"/>
      <scheme val="minor"/>
    </font>
    <font>
      <sz val="12"/>
      <color rgb="FF000000"/>
      <name val="Microsoft JhengHei"/>
      <family val="2"/>
    </font>
    <font>
      <sz val="10"/>
      <color rgb="FF000000"/>
      <name val="Microsoft JhengHei"/>
      <family val="2"/>
    </font>
    <font>
      <sz val="11"/>
      <color theme="1"/>
      <name val="細明體"/>
      <family val="2"/>
      <charset val="136"/>
    </font>
    <font>
      <b/>
      <sz val="12"/>
      <name val="Meiryo UI"/>
      <family val="2"/>
      <charset val="136"/>
    </font>
    <font>
      <b/>
      <sz val="12"/>
      <name val="Meiryo UI"/>
      <family val="2"/>
      <charset val="128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8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</borders>
  <cellStyleXfs count="23">
    <xf numFmtId="0" fontId="0" fillId="0" borderId="0"/>
    <xf numFmtId="0" fontId="8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/>
    <xf numFmtId="9" fontId="11" fillId="0" borderId="0" applyFont="0" applyFill="0" applyBorder="0" applyAlignment="0" applyProtection="0"/>
    <xf numFmtId="0" fontId="26" fillId="0" borderId="0"/>
    <xf numFmtId="0" fontId="7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878">
    <xf numFmtId="0" fontId="0" fillId="0" borderId="0" xfId="0"/>
    <xf numFmtId="0" fontId="9" fillId="0" borderId="0" xfId="0" applyFont="1" applyAlignment="1">
      <alignment shrinkToFit="1"/>
    </xf>
    <xf numFmtId="0" fontId="0" fillId="0" borderId="0" xfId="0" applyAlignment="1">
      <alignment shrinkToFit="1"/>
    </xf>
    <xf numFmtId="0" fontId="9" fillId="0" borderId="1" xfId="0" applyFont="1" applyBorder="1" applyAlignment="1">
      <alignment horizontal="right" shrinkToFit="1"/>
    </xf>
    <xf numFmtId="0" fontId="9" fillId="0" borderId="1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10" fillId="0" borderId="3" xfId="0" applyFont="1" applyBorder="1" applyAlignment="1">
      <alignment shrinkToFit="1"/>
    </xf>
    <xf numFmtId="0" fontId="10" fillId="2" borderId="1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3" fontId="9" fillId="0" borderId="1" xfId="0" applyNumberFormat="1" applyFont="1" applyBorder="1" applyAlignment="1">
      <alignment shrinkToFit="1"/>
    </xf>
    <xf numFmtId="3" fontId="9" fillId="3" borderId="1" xfId="0" applyNumberFormat="1" applyFont="1" applyFill="1" applyBorder="1" applyAlignment="1">
      <alignment shrinkToFit="1"/>
    </xf>
    <xf numFmtId="4" fontId="9" fillId="0" borderId="1" xfId="0" applyNumberFormat="1" applyFont="1" applyBorder="1" applyAlignment="1">
      <alignment horizontal="right" shrinkToFit="1"/>
    </xf>
    <xf numFmtId="10" fontId="9" fillId="2" borderId="1" xfId="0" applyNumberFormat="1" applyFont="1" applyFill="1" applyBorder="1" applyAlignment="1">
      <alignment horizontal="right" shrinkToFit="1"/>
    </xf>
    <xf numFmtId="10" fontId="9" fillId="3" borderId="1" xfId="0" applyNumberFormat="1" applyFont="1" applyFill="1" applyBorder="1" applyAlignment="1">
      <alignment shrinkToFit="1"/>
    </xf>
    <xf numFmtId="10" fontId="9" fillId="0" borderId="1" xfId="0" applyNumberFormat="1" applyFont="1" applyBorder="1" applyAlignment="1">
      <alignment shrinkToFit="1"/>
    </xf>
    <xf numFmtId="10" fontId="10" fillId="0" borderId="0" xfId="0" applyNumberFormat="1" applyFont="1" applyAlignment="1">
      <alignment shrinkToFit="1"/>
    </xf>
    <xf numFmtId="0" fontId="9" fillId="3" borderId="1" xfId="0" applyFont="1" applyFill="1" applyBorder="1" applyAlignment="1">
      <alignment shrinkToFit="1"/>
    </xf>
    <xf numFmtId="4" fontId="9" fillId="0" borderId="1" xfId="0" applyNumberFormat="1" applyFont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10" fillId="2" borderId="7" xfId="0" applyFont="1" applyFill="1" applyBorder="1" applyAlignment="1">
      <alignment shrinkToFit="1"/>
    </xf>
    <xf numFmtId="0" fontId="9" fillId="0" borderId="3" xfId="0" applyFont="1" applyBorder="1" applyAlignment="1">
      <alignment shrinkToFit="1"/>
    </xf>
    <xf numFmtId="0" fontId="9" fillId="2" borderId="7" xfId="0" applyFont="1" applyFill="1" applyBorder="1" applyAlignment="1">
      <alignment shrinkToFit="1"/>
    </xf>
    <xf numFmtId="0" fontId="10" fillId="0" borderId="8" xfId="0" applyFont="1" applyBorder="1" applyAlignment="1">
      <alignment shrinkToFit="1"/>
    </xf>
    <xf numFmtId="0" fontId="9" fillId="0" borderId="5" xfId="0" applyFont="1" applyBorder="1" applyAlignment="1">
      <alignment shrinkToFit="1"/>
    </xf>
    <xf numFmtId="0" fontId="9" fillId="0" borderId="14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10" fontId="9" fillId="0" borderId="5" xfId="0" applyNumberFormat="1" applyFont="1" applyBorder="1" applyAlignment="1">
      <alignment shrinkToFit="1"/>
    </xf>
    <xf numFmtId="0" fontId="9" fillId="3" borderId="5" xfId="0" applyFont="1" applyFill="1" applyBorder="1" applyAlignment="1">
      <alignment shrinkToFit="1"/>
    </xf>
    <xf numFmtId="0" fontId="9" fillId="2" borderId="15" xfId="0" applyFont="1" applyFill="1" applyBorder="1" applyAlignment="1">
      <alignment shrinkToFit="1"/>
    </xf>
    <xf numFmtId="10" fontId="9" fillId="3" borderId="17" xfId="0" applyNumberFormat="1" applyFont="1" applyFill="1" applyBorder="1" applyAlignment="1">
      <alignment shrinkToFit="1"/>
    </xf>
    <xf numFmtId="0" fontId="9" fillId="3" borderId="18" xfId="0" applyFont="1" applyFill="1" applyBorder="1" applyAlignment="1">
      <alignment shrinkToFit="1"/>
    </xf>
    <xf numFmtId="0" fontId="9" fillId="0" borderId="6" xfId="0" applyFont="1" applyBorder="1" applyAlignment="1">
      <alignment shrinkToFit="1"/>
    </xf>
    <xf numFmtId="10" fontId="9" fillId="0" borderId="6" xfId="0" applyNumberFormat="1" applyFont="1" applyBorder="1" applyAlignment="1">
      <alignment shrinkToFit="1"/>
    </xf>
    <xf numFmtId="0" fontId="9" fillId="3" borderId="6" xfId="0" applyFont="1" applyFill="1" applyBorder="1" applyAlignment="1">
      <alignment shrinkToFit="1"/>
    </xf>
    <xf numFmtId="10" fontId="9" fillId="0" borderId="0" xfId="0" applyNumberFormat="1" applyFont="1" applyAlignment="1">
      <alignment shrinkToFit="1"/>
    </xf>
    <xf numFmtId="10" fontId="9" fillId="2" borderId="1" xfId="0" applyNumberFormat="1" applyFont="1" applyFill="1" applyBorder="1" applyAlignment="1">
      <alignment shrinkToFit="1"/>
    </xf>
    <xf numFmtId="0" fontId="9" fillId="3" borderId="7" xfId="0" applyFont="1" applyFill="1" applyBorder="1" applyAlignment="1">
      <alignment shrinkToFit="1"/>
    </xf>
    <xf numFmtId="10" fontId="9" fillId="3" borderId="5" xfId="0" applyNumberFormat="1" applyFont="1" applyFill="1" applyBorder="1" applyAlignment="1">
      <alignment shrinkToFit="1"/>
    </xf>
    <xf numFmtId="0" fontId="9" fillId="0" borderId="11" xfId="0" applyFont="1" applyBorder="1" applyAlignment="1">
      <alignment shrinkToFit="1"/>
    </xf>
    <xf numFmtId="10" fontId="9" fillId="0" borderId="14" xfId="0" applyNumberFormat="1" applyFont="1" applyBorder="1" applyAlignment="1">
      <alignment shrinkToFit="1"/>
    </xf>
    <xf numFmtId="10" fontId="9" fillId="3" borderId="14" xfId="0" applyNumberFormat="1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13" fillId="0" borderId="1" xfId="0" applyFont="1" applyBorder="1" applyAlignment="1">
      <alignment shrinkToFit="1"/>
    </xf>
    <xf numFmtId="0" fontId="13" fillId="2" borderId="1" xfId="0" applyFont="1" applyFill="1" applyBorder="1" applyAlignment="1">
      <alignment horizontal="left" shrinkToFit="1"/>
    </xf>
    <xf numFmtId="0" fontId="14" fillId="2" borderId="1" xfId="0" applyFont="1" applyFill="1" applyBorder="1" applyAlignment="1">
      <alignment shrinkToFit="1"/>
    </xf>
    <xf numFmtId="0" fontId="13" fillId="2" borderId="6" xfId="0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4" fillId="2" borderId="5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23" xfId="0" applyFont="1" applyFill="1" applyBorder="1" applyAlignment="1">
      <alignment shrinkToFit="1"/>
    </xf>
    <xf numFmtId="0" fontId="13" fillId="2" borderId="22" xfId="0" applyFont="1" applyFill="1" applyBorder="1" applyAlignment="1">
      <alignment shrinkToFit="1"/>
    </xf>
    <xf numFmtId="0" fontId="13" fillId="2" borderId="1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16" xfId="0" applyFont="1" applyFill="1" applyBorder="1" applyAlignment="1">
      <alignment shrinkToFit="1"/>
    </xf>
    <xf numFmtId="0" fontId="13" fillId="4" borderId="0" xfId="0" applyFont="1" applyFill="1"/>
    <xf numFmtId="0" fontId="14" fillId="4" borderId="0" xfId="0" applyFont="1" applyFill="1" applyAlignment="1">
      <alignment shrinkToFit="1"/>
    </xf>
    <xf numFmtId="0" fontId="13" fillId="4" borderId="0" xfId="0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9" fillId="4" borderId="0" xfId="0" applyFont="1" applyFill="1"/>
    <xf numFmtId="10" fontId="9" fillId="4" borderId="0" xfId="0" applyNumberFormat="1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9" fillId="2" borderId="24" xfId="0" applyFont="1" applyFill="1" applyBorder="1" applyAlignment="1">
      <alignment shrinkToFit="1"/>
    </xf>
    <xf numFmtId="0" fontId="14" fillId="0" borderId="11" xfId="0" applyFont="1" applyBorder="1" applyAlignment="1">
      <alignment horizontal="right" shrinkToFit="1"/>
    </xf>
    <xf numFmtId="0" fontId="14" fillId="0" borderId="3" xfId="0" applyFont="1" applyBorder="1" applyAlignment="1">
      <alignment horizontal="right" shrinkToFit="1"/>
    </xf>
    <xf numFmtId="0" fontId="16" fillId="0" borderId="0" xfId="0" applyFont="1" applyAlignment="1">
      <alignment horizontal="center"/>
    </xf>
    <xf numFmtId="10" fontId="16" fillId="0" borderId="0" xfId="0" applyNumberFormat="1" applyFont="1"/>
    <xf numFmtId="0" fontId="16" fillId="0" borderId="0" xfId="0" applyFont="1"/>
    <xf numFmtId="0" fontId="20" fillId="0" borderId="0" xfId="0" applyFont="1" applyAlignment="1">
      <alignment horizontal="left" vertical="center"/>
    </xf>
    <xf numFmtId="0" fontId="28" fillId="0" borderId="0" xfId="0" applyFont="1"/>
    <xf numFmtId="176" fontId="29" fillId="5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176" fontId="29" fillId="0" borderId="0" xfId="0" applyNumberFormat="1" applyFont="1" applyAlignment="1">
      <alignment horizontal="center" vertical="center"/>
    </xf>
    <xf numFmtId="179" fontId="28" fillId="0" borderId="0" xfId="0" applyNumberFormat="1" applyFont="1" applyAlignment="1">
      <alignment horizontal="center"/>
    </xf>
    <xf numFmtId="176" fontId="28" fillId="0" borderId="0" xfId="0" applyNumberFormat="1" applyFont="1"/>
    <xf numFmtId="177" fontId="28" fillId="0" borderId="0" xfId="0" applyNumberFormat="1" applyFont="1"/>
    <xf numFmtId="178" fontId="28" fillId="0" borderId="0" xfId="0" applyNumberFormat="1" applyFont="1"/>
    <xf numFmtId="10" fontId="28" fillId="0" borderId="0" xfId="0" applyNumberFormat="1" applyFont="1"/>
    <xf numFmtId="176" fontId="29" fillId="6" borderId="0" xfId="0" applyNumberFormat="1" applyFont="1" applyFill="1" applyAlignment="1">
      <alignment horizontal="center" vertical="center"/>
    </xf>
    <xf numFmtId="176" fontId="29" fillId="8" borderId="0" xfId="0" applyNumberFormat="1" applyFont="1" applyFill="1" applyAlignment="1">
      <alignment horizontal="center" vertical="center"/>
    </xf>
    <xf numFmtId="180" fontId="28" fillId="0" borderId="0" xfId="0" applyNumberFormat="1" applyFont="1"/>
    <xf numFmtId="180" fontId="16" fillId="0" borderId="0" xfId="0" applyNumberFormat="1" applyFont="1"/>
    <xf numFmtId="176" fontId="19" fillId="0" borderId="0" xfId="0" applyNumberFormat="1" applyFont="1" applyAlignment="1">
      <alignment horizontal="center" vertical="center"/>
    </xf>
    <xf numFmtId="180" fontId="19" fillId="0" borderId="0" xfId="0" applyNumberFormat="1" applyFont="1" applyAlignment="1">
      <alignment horizontal="center" vertical="center"/>
    </xf>
    <xf numFmtId="182" fontId="28" fillId="0" borderId="0" xfId="0" applyNumberFormat="1" applyFont="1"/>
    <xf numFmtId="182" fontId="29" fillId="0" borderId="22" xfId="0" applyNumberFormat="1" applyFont="1" applyBorder="1" applyAlignment="1">
      <alignment horizontal="center" vertical="center"/>
    </xf>
    <xf numFmtId="10" fontId="29" fillId="0" borderId="22" xfId="0" applyNumberFormat="1" applyFont="1" applyBorder="1" applyAlignment="1">
      <alignment horizontal="center" vertical="center"/>
    </xf>
    <xf numFmtId="182" fontId="28" fillId="0" borderId="0" xfId="0" applyNumberFormat="1" applyFont="1" applyAlignment="1">
      <alignment horizontal="center"/>
    </xf>
    <xf numFmtId="0" fontId="33" fillId="0" borderId="0" xfId="0" applyFont="1"/>
    <xf numFmtId="177" fontId="28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8" fillId="0" borderId="0" xfId="0" applyFont="1" applyAlignment="1">
      <alignment shrinkToFit="1"/>
    </xf>
    <xf numFmtId="0" fontId="28" fillId="4" borderId="0" xfId="0" applyFont="1" applyFill="1" applyAlignment="1">
      <alignment shrinkToFit="1"/>
    </xf>
    <xf numFmtId="0" fontId="30" fillId="0" borderId="0" xfId="0" applyFont="1" applyAlignment="1">
      <alignment shrinkToFit="1"/>
    </xf>
    <xf numFmtId="0" fontId="45" fillId="0" borderId="0" xfId="0" applyFont="1" applyAlignment="1">
      <alignment shrinkToFit="1"/>
    </xf>
    <xf numFmtId="0" fontId="28" fillId="0" borderId="22" xfId="0" applyFont="1" applyBorder="1" applyAlignment="1">
      <alignment shrinkToFit="1"/>
    </xf>
    <xf numFmtId="0" fontId="28" fillId="0" borderId="0" xfId="0" applyFont="1" applyAlignment="1">
      <alignment horizontal="center" shrinkToFit="1"/>
    </xf>
    <xf numFmtId="0" fontId="30" fillId="0" borderId="0" xfId="0" applyFont="1" applyAlignment="1">
      <alignment horizontal="center" shrinkToFit="1"/>
    </xf>
    <xf numFmtId="0" fontId="28" fillId="0" borderId="0" xfId="0" applyFont="1" applyAlignment="1">
      <alignment horizontal="center" vertical="center" shrinkToFit="1"/>
    </xf>
    <xf numFmtId="0" fontId="45" fillId="0" borderId="22" xfId="0" applyFont="1" applyBorder="1" applyAlignment="1">
      <alignment shrinkToFit="1"/>
    </xf>
    <xf numFmtId="0" fontId="30" fillId="0" borderId="22" xfId="0" applyFont="1" applyBorder="1" applyAlignment="1">
      <alignment shrinkToFit="1"/>
    </xf>
    <xf numFmtId="4" fontId="30" fillId="0" borderId="22" xfId="0" applyNumberFormat="1" applyFont="1" applyBorder="1" applyAlignment="1">
      <alignment shrinkToFit="1"/>
    </xf>
    <xf numFmtId="0" fontId="30" fillId="4" borderId="0" xfId="0" applyFont="1" applyFill="1" applyAlignment="1">
      <alignment shrinkToFit="1"/>
    </xf>
    <xf numFmtId="0" fontId="48" fillId="0" borderId="0" xfId="0" applyFont="1"/>
    <xf numFmtId="0" fontId="50" fillId="0" borderId="0" xfId="0" applyFont="1"/>
    <xf numFmtId="10" fontId="45" fillId="0" borderId="0" xfId="0" applyNumberFormat="1" applyFont="1" applyAlignment="1">
      <alignment shrinkToFit="1"/>
    </xf>
    <xf numFmtId="0" fontId="46" fillId="0" borderId="0" xfId="0" applyFont="1"/>
    <xf numFmtId="0" fontId="51" fillId="0" borderId="22" xfId="0" applyFont="1" applyBorder="1" applyAlignment="1">
      <alignment horizontal="center" vertical="center" shrinkToFit="1"/>
    </xf>
    <xf numFmtId="0" fontId="51" fillId="9" borderId="22" xfId="0" applyFont="1" applyFill="1" applyBorder="1" applyAlignment="1">
      <alignment horizontal="center" vertical="center" shrinkToFit="1"/>
    </xf>
    <xf numFmtId="0" fontId="45" fillId="0" borderId="22" xfId="0" applyFont="1" applyBorder="1" applyAlignment="1">
      <alignment horizontal="center" shrinkToFit="1"/>
    </xf>
    <xf numFmtId="3" fontId="30" fillId="0" borderId="22" xfId="0" applyNumberFormat="1" applyFont="1" applyBorder="1" applyAlignment="1">
      <alignment shrinkToFit="1"/>
    </xf>
    <xf numFmtId="10" fontId="30" fillId="0" borderId="22" xfId="0" applyNumberFormat="1" applyFont="1" applyBorder="1" applyAlignment="1">
      <alignment shrinkToFit="1"/>
    </xf>
    <xf numFmtId="4" fontId="30" fillId="0" borderId="22" xfId="0" applyNumberFormat="1" applyFont="1" applyBorder="1" applyAlignment="1">
      <alignment horizontal="right" shrinkToFit="1"/>
    </xf>
    <xf numFmtId="10" fontId="30" fillId="0" borderId="22" xfId="0" applyNumberFormat="1" applyFont="1" applyBorder="1" applyAlignment="1">
      <alignment horizontal="right" shrinkToFit="1"/>
    </xf>
    <xf numFmtId="0" fontId="45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shrinkToFit="1"/>
    </xf>
    <xf numFmtId="0" fontId="9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9" fillId="0" borderId="0" xfId="0" applyFont="1" applyAlignment="1">
      <alignment horizontal="right" shrinkToFit="1"/>
    </xf>
    <xf numFmtId="0" fontId="13" fillId="0" borderId="0" xfId="0" applyFont="1" applyAlignment="1">
      <alignment shrinkToFit="1"/>
    </xf>
    <xf numFmtId="0" fontId="10" fillId="0" borderId="0" xfId="0" applyFont="1" applyAlignment="1">
      <alignment shrinkToFit="1"/>
    </xf>
    <xf numFmtId="0" fontId="28" fillId="4" borderId="0" xfId="0" applyFont="1" applyFill="1" applyAlignment="1">
      <alignment horizontal="center" vertical="center" shrinkToFit="1"/>
    </xf>
    <xf numFmtId="0" fontId="28" fillId="4" borderId="0" xfId="0" applyFont="1" applyFill="1" applyAlignment="1">
      <alignment horizontal="center" shrinkToFit="1"/>
    </xf>
    <xf numFmtId="0" fontId="30" fillId="0" borderId="22" xfId="0" applyFont="1" applyBorder="1" applyAlignment="1">
      <alignment horizontal="center" vertical="center" shrinkToFit="1"/>
    </xf>
    <xf numFmtId="0" fontId="28" fillId="0" borderId="0" xfId="0" applyFont="1" applyAlignment="1">
      <alignment vertical="center" shrinkToFit="1"/>
    </xf>
    <xf numFmtId="0" fontId="30" fillId="2" borderId="22" xfId="0" applyFont="1" applyFill="1" applyBorder="1" applyAlignment="1">
      <alignment horizontal="center" vertical="center" shrinkToFit="1"/>
    </xf>
    <xf numFmtId="0" fontId="28" fillId="0" borderId="0" xfId="0" applyFont="1" applyAlignment="1">
      <alignment wrapText="1" shrinkToFit="1"/>
    </xf>
    <xf numFmtId="0" fontId="28" fillId="0" borderId="0" xfId="0" applyFont="1" applyAlignment="1">
      <alignment horizontal="center" vertical="center" wrapText="1" shrinkToFit="1"/>
    </xf>
    <xf numFmtId="10" fontId="30" fillId="2" borderId="22" xfId="0" applyNumberFormat="1" applyFont="1" applyFill="1" applyBorder="1" applyAlignment="1">
      <alignment horizontal="center" vertical="center" shrinkToFit="1"/>
    </xf>
    <xf numFmtId="10" fontId="30" fillId="3" borderId="22" xfId="0" applyNumberFormat="1" applyFont="1" applyFill="1" applyBorder="1" applyAlignment="1">
      <alignment shrinkToFit="1"/>
    </xf>
    <xf numFmtId="0" fontId="28" fillId="0" borderId="0" xfId="11" applyFont="1" applyAlignment="1">
      <alignment shrinkToFit="1"/>
    </xf>
    <xf numFmtId="0" fontId="28" fillId="4" borderId="0" xfId="11" applyFont="1" applyFill="1" applyAlignment="1">
      <alignment shrinkToFit="1"/>
    </xf>
    <xf numFmtId="184" fontId="60" fillId="0" borderId="0" xfId="11" applyNumberFormat="1" applyFont="1" applyAlignment="1">
      <alignment shrinkToFit="1"/>
    </xf>
    <xf numFmtId="0" fontId="45" fillId="0" borderId="6" xfId="11" applyFont="1" applyBorder="1" applyAlignment="1">
      <alignment horizontal="center" shrinkToFit="1"/>
    </xf>
    <xf numFmtId="3" fontId="38" fillId="0" borderId="6" xfId="11" applyNumberFormat="1" applyFont="1" applyBorder="1" applyAlignment="1">
      <alignment shrinkToFit="1"/>
    </xf>
    <xf numFmtId="10" fontId="38" fillId="0" borderId="6" xfId="11" applyNumberFormat="1" applyFont="1" applyBorder="1" applyAlignment="1">
      <alignment shrinkToFit="1"/>
    </xf>
    <xf numFmtId="3" fontId="30" fillId="0" borderId="22" xfId="11" applyNumberFormat="1" applyFont="1" applyBorder="1" applyAlignment="1">
      <alignment shrinkToFit="1"/>
    </xf>
    <xf numFmtId="10" fontId="30" fillId="0" borderId="22" xfId="11" applyNumberFormat="1" applyFont="1" applyBorder="1" applyAlignment="1">
      <alignment shrinkToFit="1"/>
    </xf>
    <xf numFmtId="0" fontId="45" fillId="0" borderId="1" xfId="11" applyFont="1" applyBorder="1" applyAlignment="1">
      <alignment horizontal="center" shrinkToFit="1"/>
    </xf>
    <xf numFmtId="3" fontId="38" fillId="0" borderId="1" xfId="11" applyNumberFormat="1" applyFont="1" applyBorder="1" applyAlignment="1">
      <alignment shrinkToFit="1"/>
    </xf>
    <xf numFmtId="0" fontId="33" fillId="0" borderId="0" xfId="11" applyFont="1"/>
    <xf numFmtId="0" fontId="33" fillId="0" borderId="0" xfId="11" applyFont="1" applyAlignment="1">
      <alignment vertical="center"/>
    </xf>
    <xf numFmtId="0" fontId="33" fillId="0" borderId="0" xfId="11" applyFont="1" applyAlignment="1">
      <alignment horizontal="center" vertical="center"/>
    </xf>
    <xf numFmtId="0" fontId="9" fillId="0" borderId="0" xfId="5"/>
    <xf numFmtId="0" fontId="66" fillId="9" borderId="30" xfId="5" applyFont="1" applyFill="1" applyBorder="1"/>
    <xf numFmtId="0" fontId="66" fillId="0" borderId="0" xfId="5" applyFont="1"/>
    <xf numFmtId="0" fontId="66" fillId="0" borderId="22" xfId="5" applyFont="1" applyBorder="1"/>
    <xf numFmtId="0" fontId="66" fillId="9" borderId="22" xfId="5" applyFont="1" applyFill="1" applyBorder="1"/>
    <xf numFmtId="185" fontId="28" fillId="0" borderId="0" xfId="0" applyNumberFormat="1" applyFont="1"/>
    <xf numFmtId="0" fontId="30" fillId="0" borderId="22" xfId="11" applyFont="1" applyBorder="1" applyAlignment="1">
      <alignment horizontal="center" vertical="center" shrinkToFit="1"/>
    </xf>
    <xf numFmtId="0" fontId="38" fillId="5" borderId="23" xfId="5" applyFont="1" applyFill="1" applyBorder="1" applyAlignment="1">
      <alignment horizontal="center" vertical="center"/>
    </xf>
    <xf numFmtId="0" fontId="67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shrinkToFit="1"/>
    </xf>
    <xf numFmtId="0" fontId="59" fillId="2" borderId="22" xfId="0" applyFont="1" applyFill="1" applyBorder="1" applyAlignment="1">
      <alignment horizontal="center" vertical="center" shrinkToFit="1"/>
    </xf>
    <xf numFmtId="0" fontId="33" fillId="5" borderId="23" xfId="11" applyFont="1" applyFill="1" applyBorder="1" applyAlignment="1">
      <alignment horizontal="center" vertical="center"/>
    </xf>
    <xf numFmtId="186" fontId="28" fillId="0" borderId="0" xfId="0" applyNumberFormat="1" applyFont="1"/>
    <xf numFmtId="0" fontId="16" fillId="9" borderId="0" xfId="11" applyFont="1" applyFill="1" applyAlignment="1">
      <alignment vertical="center"/>
    </xf>
    <xf numFmtId="188" fontId="28" fillId="0" borderId="0" xfId="0" applyNumberFormat="1" applyFont="1"/>
    <xf numFmtId="189" fontId="28" fillId="0" borderId="0" xfId="0" applyNumberFormat="1" applyFont="1"/>
    <xf numFmtId="0" fontId="28" fillId="9" borderId="0" xfId="0" applyFont="1" applyFill="1" applyAlignment="1">
      <alignment horizontal="center"/>
    </xf>
    <xf numFmtId="10" fontId="29" fillId="0" borderId="0" xfId="0" applyNumberFormat="1" applyFont="1" applyAlignment="1">
      <alignment horizontal="center" vertical="center"/>
    </xf>
    <xf numFmtId="186" fontId="16" fillId="0" borderId="0" xfId="0" applyNumberFormat="1" applyFont="1"/>
    <xf numFmtId="186" fontId="29" fillId="0" borderId="0" xfId="0" applyNumberFormat="1" applyFont="1" applyAlignment="1">
      <alignment horizontal="center" vertical="center"/>
    </xf>
    <xf numFmtId="0" fontId="59" fillId="0" borderId="22" xfId="0" applyFont="1" applyBorder="1" applyAlignment="1">
      <alignment horizontal="center" vertical="center" shrinkToFit="1"/>
    </xf>
    <xf numFmtId="179" fontId="16" fillId="0" borderId="22" xfId="0" applyNumberFormat="1" applyFont="1" applyBorder="1" applyAlignment="1">
      <alignment horizontal="center"/>
    </xf>
    <xf numFmtId="189" fontId="16" fillId="9" borderId="22" xfId="0" applyNumberFormat="1" applyFont="1" applyFill="1" applyBorder="1" applyAlignment="1">
      <alignment vertical="center" shrinkToFit="1"/>
    </xf>
    <xf numFmtId="10" fontId="16" fillId="0" borderId="22" xfId="0" applyNumberFormat="1" applyFont="1" applyBorder="1" applyAlignment="1">
      <alignment vertical="center"/>
    </xf>
    <xf numFmtId="10" fontId="29" fillId="0" borderId="23" xfId="0" applyNumberFormat="1" applyFont="1" applyBorder="1" applyAlignment="1">
      <alignment horizontal="center" vertical="center"/>
    </xf>
    <xf numFmtId="183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shrinkToFit="1"/>
    </xf>
    <xf numFmtId="0" fontId="16" fillId="0" borderId="0" xfId="0" applyFont="1" applyAlignment="1">
      <alignment vertical="center" shrinkToFit="1"/>
    </xf>
    <xf numFmtId="0" fontId="16" fillId="0" borderId="22" xfId="0" applyFont="1" applyBorder="1" applyAlignment="1">
      <alignment horizontal="center" vertical="center"/>
    </xf>
    <xf numFmtId="0" fontId="16" fillId="9" borderId="22" xfId="0" applyFont="1" applyFill="1" applyBorder="1" applyAlignment="1">
      <alignment horizontal="center" vertical="center" shrinkToFit="1"/>
    </xf>
    <xf numFmtId="0" fontId="16" fillId="0" borderId="22" xfId="0" applyFont="1" applyBorder="1" applyAlignment="1">
      <alignment horizontal="center" vertical="center" shrinkToFit="1"/>
    </xf>
    <xf numFmtId="0" fontId="16" fillId="0" borderId="22" xfId="0" applyFont="1" applyBorder="1" applyAlignment="1">
      <alignment horizontal="left" vertical="center" shrinkToFit="1"/>
    </xf>
    <xf numFmtId="1" fontId="16" fillId="0" borderId="22" xfId="0" applyNumberFormat="1" applyFont="1" applyBorder="1" applyAlignment="1">
      <alignment horizontal="center" vertical="center"/>
    </xf>
    <xf numFmtId="183" fontId="16" fillId="0" borderId="22" xfId="0" applyNumberFormat="1" applyFont="1" applyBorder="1" applyAlignment="1">
      <alignment horizontal="center" vertical="center"/>
    </xf>
    <xf numFmtId="1" fontId="16" fillId="9" borderId="22" xfId="0" applyNumberFormat="1" applyFont="1" applyFill="1" applyBorder="1" applyAlignment="1">
      <alignment horizontal="center" vertical="center" shrinkToFit="1"/>
    </xf>
    <xf numFmtId="183" fontId="16" fillId="9" borderId="22" xfId="0" applyNumberFormat="1" applyFont="1" applyFill="1" applyBorder="1" applyAlignment="1">
      <alignment horizontal="center" vertical="center" shrinkToFit="1"/>
    </xf>
    <xf numFmtId="1" fontId="16" fillId="0" borderId="22" xfId="0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4" borderId="0" xfId="0" applyFont="1" applyFill="1" applyAlignment="1">
      <alignment shrinkToFit="1"/>
    </xf>
    <xf numFmtId="0" fontId="59" fillId="5" borderId="22" xfId="0" applyFont="1" applyFill="1" applyBorder="1" applyAlignment="1">
      <alignment horizontal="center" vertical="center" shrinkToFit="1"/>
    </xf>
    <xf numFmtId="0" fontId="17" fillId="4" borderId="0" xfId="0" applyFont="1" applyFill="1" applyAlignment="1">
      <alignment horizontal="center" vertical="center" shrinkToFit="1"/>
    </xf>
    <xf numFmtId="0" fontId="16" fillId="4" borderId="0" xfId="0" applyFont="1" applyFill="1" applyAlignment="1">
      <alignment horizontal="center" vertical="center" shrinkToFit="1"/>
    </xf>
    <xf numFmtId="0" fontId="59" fillId="5" borderId="22" xfId="0" applyFont="1" applyFill="1" applyBorder="1" applyAlignment="1">
      <alignment horizontal="center" shrinkToFit="1"/>
    </xf>
    <xf numFmtId="0" fontId="59" fillId="0" borderId="22" xfId="0" applyFont="1" applyBorder="1" applyAlignment="1">
      <alignment horizontal="center" shrinkToFit="1"/>
    </xf>
    <xf numFmtId="0" fontId="17" fillId="4" borderId="22" xfId="0" applyFont="1" applyFill="1" applyBorder="1" applyAlignment="1">
      <alignment horizontal="center" shrinkToFit="1"/>
    </xf>
    <xf numFmtId="0" fontId="59" fillId="4" borderId="22" xfId="0" applyFont="1" applyFill="1" applyBorder="1" applyAlignment="1">
      <alignment horizontal="center" shrinkToFit="1"/>
    </xf>
    <xf numFmtId="0" fontId="17" fillId="4" borderId="0" xfId="0" applyFont="1" applyFill="1" applyAlignment="1">
      <alignment horizontal="center" shrinkToFit="1"/>
    </xf>
    <xf numFmtId="0" fontId="16" fillId="0" borderId="0" xfId="0" applyFont="1" applyAlignment="1">
      <alignment horizontal="center" shrinkToFit="1"/>
    </xf>
    <xf numFmtId="0" fontId="59" fillId="0" borderId="22" xfId="0" applyFont="1" applyBorder="1" applyAlignment="1">
      <alignment shrinkToFit="1"/>
    </xf>
    <xf numFmtId="0" fontId="74" fillId="0" borderId="22" xfId="0" applyFont="1" applyBorder="1" applyAlignment="1">
      <alignment shrinkToFit="1"/>
    </xf>
    <xf numFmtId="1" fontId="59" fillId="0" borderId="22" xfId="0" applyNumberFormat="1" applyFont="1" applyBorder="1" applyAlignment="1">
      <alignment shrinkToFit="1"/>
    </xf>
    <xf numFmtId="183" fontId="59" fillId="0" borderId="22" xfId="0" applyNumberFormat="1" applyFont="1" applyBorder="1" applyAlignment="1">
      <alignment shrinkToFit="1"/>
    </xf>
    <xf numFmtId="0" fontId="59" fillId="0" borderId="22" xfId="0" applyFont="1" applyBorder="1" applyAlignment="1">
      <alignment horizontal="right" shrinkToFit="1"/>
    </xf>
    <xf numFmtId="1" fontId="74" fillId="0" borderId="22" xfId="0" applyNumberFormat="1" applyFont="1" applyBorder="1" applyAlignment="1">
      <alignment shrinkToFit="1"/>
    </xf>
    <xf numFmtId="183" fontId="74" fillId="0" borderId="22" xfId="0" applyNumberFormat="1" applyFont="1" applyBorder="1" applyAlignment="1">
      <alignment shrinkToFit="1"/>
    </xf>
    <xf numFmtId="0" fontId="59" fillId="2" borderId="22" xfId="0" applyFont="1" applyFill="1" applyBorder="1" applyAlignment="1">
      <alignment horizontal="center" shrinkToFit="1"/>
    </xf>
    <xf numFmtId="0" fontId="16" fillId="4" borderId="0" xfId="0" applyFont="1" applyFill="1" applyAlignment="1">
      <alignment horizontal="center" shrinkToFit="1"/>
    </xf>
    <xf numFmtId="0" fontId="17" fillId="5" borderId="22" xfId="0" applyFont="1" applyFill="1" applyBorder="1" applyAlignment="1">
      <alignment horizontal="center" shrinkToFit="1"/>
    </xf>
    <xf numFmtId="183" fontId="30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70" fillId="0" borderId="67" xfId="0" applyFont="1" applyBorder="1" applyAlignment="1">
      <alignment horizontal="left" vertical="center"/>
    </xf>
    <xf numFmtId="10" fontId="30" fillId="3" borderId="50" xfId="0" applyNumberFormat="1" applyFont="1" applyFill="1" applyBorder="1" applyAlignment="1">
      <alignment horizontal="center" vertical="center" shrinkToFit="1"/>
    </xf>
    <xf numFmtId="190" fontId="28" fillId="0" borderId="0" xfId="0" applyNumberFormat="1" applyFont="1"/>
    <xf numFmtId="177" fontId="29" fillId="0" borderId="23" xfId="0" applyNumberFormat="1" applyFont="1" applyBorder="1" applyAlignment="1">
      <alignment horizontal="center" vertical="center"/>
    </xf>
    <xf numFmtId="184" fontId="30" fillId="0" borderId="22" xfId="0" applyNumberFormat="1" applyFont="1" applyBorder="1" applyAlignment="1">
      <alignment shrinkToFit="1"/>
    </xf>
    <xf numFmtId="0" fontId="76" fillId="0" borderId="22" xfId="0" applyFont="1" applyBorder="1" applyAlignment="1">
      <alignment shrinkToFit="1"/>
    </xf>
    <xf numFmtId="191" fontId="30" fillId="0" borderId="22" xfId="0" applyNumberFormat="1" applyFont="1" applyBorder="1" applyAlignment="1">
      <alignment horizontal="right" shrinkToFit="1"/>
    </xf>
    <xf numFmtId="185" fontId="30" fillId="0" borderId="22" xfId="0" applyNumberFormat="1" applyFont="1" applyBorder="1" applyAlignment="1">
      <alignment shrinkToFit="1"/>
    </xf>
    <xf numFmtId="186" fontId="30" fillId="0" borderId="22" xfId="0" applyNumberFormat="1" applyFont="1" applyBorder="1" applyAlignment="1">
      <alignment shrinkToFit="1"/>
    </xf>
    <xf numFmtId="192" fontId="30" fillId="0" borderId="22" xfId="0" applyNumberFormat="1" applyFont="1" applyBorder="1" applyAlignment="1">
      <alignment shrinkToFit="1"/>
    </xf>
    <xf numFmtId="191" fontId="30" fillId="0" borderId="22" xfId="0" applyNumberFormat="1" applyFont="1" applyBorder="1" applyAlignment="1">
      <alignment shrinkToFit="1"/>
    </xf>
    <xf numFmtId="191" fontId="29" fillId="0" borderId="22" xfId="0" applyNumberFormat="1" applyFont="1" applyBorder="1" applyAlignment="1">
      <alignment shrinkToFit="1"/>
    </xf>
    <xf numFmtId="190" fontId="28" fillId="9" borderId="22" xfId="0" applyNumberFormat="1" applyFont="1" applyFill="1" applyBorder="1"/>
    <xf numFmtId="0" fontId="69" fillId="0" borderId="0" xfId="11" applyFont="1" applyAlignment="1">
      <alignment shrinkToFit="1"/>
    </xf>
    <xf numFmtId="0" fontId="16" fillId="0" borderId="0" xfId="11" applyFont="1" applyAlignment="1">
      <alignment shrinkToFit="1"/>
    </xf>
    <xf numFmtId="0" fontId="30" fillId="0" borderId="0" xfId="11" applyFont="1" applyAlignment="1">
      <alignment shrinkToFit="1"/>
    </xf>
    <xf numFmtId="184" fontId="45" fillId="0" borderId="0" xfId="11" applyNumberFormat="1" applyFont="1" applyAlignment="1">
      <alignment shrinkToFit="1"/>
    </xf>
    <xf numFmtId="0" fontId="60" fillId="0" borderId="6" xfId="11" applyFont="1" applyBorder="1" applyAlignment="1">
      <alignment horizontal="center" shrinkToFit="1"/>
    </xf>
    <xf numFmtId="0" fontId="60" fillId="0" borderId="1" xfId="11" applyFont="1" applyBorder="1" applyAlignment="1">
      <alignment horizontal="center" shrinkToFit="1"/>
    </xf>
    <xf numFmtId="10" fontId="84" fillId="0" borderId="22" xfId="3" applyNumberFormat="1" applyFont="1" applyBorder="1" applyAlignment="1">
      <alignment horizontal="center" vertical="center"/>
    </xf>
    <xf numFmtId="0" fontId="6" fillId="0" borderId="0" xfId="15">
      <alignment vertical="center"/>
    </xf>
    <xf numFmtId="0" fontId="82" fillId="10" borderId="22" xfId="15" applyFont="1" applyFill="1" applyBorder="1" applyAlignment="1">
      <alignment horizontal="center" vertical="center" wrapText="1"/>
    </xf>
    <xf numFmtId="193" fontId="84" fillId="0" borderId="22" xfId="3" applyNumberFormat="1" applyFont="1" applyBorder="1" applyAlignment="1">
      <alignment horizontal="center" vertical="center"/>
    </xf>
    <xf numFmtId="194" fontId="87" fillId="0" borderId="22" xfId="5" applyNumberFormat="1" applyFont="1" applyBorder="1" applyAlignment="1">
      <alignment horizontal="center" vertical="center"/>
    </xf>
    <xf numFmtId="194" fontId="88" fillId="0" borderId="22" xfId="5" applyNumberFormat="1" applyFont="1" applyBorder="1" applyAlignment="1">
      <alignment horizontal="center" vertical="center"/>
    </xf>
    <xf numFmtId="186" fontId="38" fillId="0" borderId="6" xfId="11" applyNumberFormat="1" applyFont="1" applyBorder="1" applyAlignment="1">
      <alignment shrinkToFit="1"/>
    </xf>
    <xf numFmtId="10" fontId="16" fillId="0" borderId="22" xfId="0" applyNumberFormat="1" applyFont="1" applyBorder="1"/>
    <xf numFmtId="0" fontId="26" fillId="0" borderId="0" xfId="11"/>
    <xf numFmtId="0" fontId="28" fillId="0" borderId="0" xfId="11" applyFont="1" applyAlignment="1">
      <alignment wrapText="1" shrinkToFit="1"/>
    </xf>
    <xf numFmtId="0" fontId="28" fillId="0" borderId="0" xfId="11" applyFont="1" applyAlignment="1">
      <alignment vertical="center" shrinkToFit="1"/>
    </xf>
    <xf numFmtId="0" fontId="30" fillId="2" borderId="22" xfId="11" applyFont="1" applyFill="1" applyBorder="1" applyAlignment="1">
      <alignment horizontal="center" vertical="center" shrinkToFit="1"/>
    </xf>
    <xf numFmtId="0" fontId="28" fillId="0" borderId="0" xfId="11" applyFont="1" applyAlignment="1">
      <alignment horizontal="center" vertical="center" shrinkToFit="1"/>
    </xf>
    <xf numFmtId="0" fontId="30" fillId="0" borderId="22" xfId="11" applyFont="1" applyBorder="1" applyAlignment="1">
      <alignment vertical="center" shrinkToFit="1"/>
    </xf>
    <xf numFmtId="0" fontId="30" fillId="0" borderId="4" xfId="11" applyFont="1" applyBorder="1" applyAlignment="1">
      <alignment vertical="center"/>
    </xf>
    <xf numFmtId="0" fontId="30" fillId="0" borderId="2" xfId="11" applyFont="1" applyBorder="1" applyAlignment="1">
      <alignment vertical="center"/>
    </xf>
    <xf numFmtId="0" fontId="30" fillId="0" borderId="3" xfId="11" applyFont="1" applyBorder="1" applyAlignment="1">
      <alignment vertical="center"/>
    </xf>
    <xf numFmtId="0" fontId="30" fillId="0" borderId="25" xfId="11" applyFont="1" applyBorder="1" applyAlignment="1">
      <alignment horizontal="left" vertical="center"/>
    </xf>
    <xf numFmtId="0" fontId="30" fillId="0" borderId="28" xfId="11" applyFont="1" applyBorder="1" applyAlignment="1">
      <alignment horizontal="left" vertical="center"/>
    </xf>
    <xf numFmtId="10" fontId="30" fillId="0" borderId="22" xfId="11" applyNumberFormat="1" applyFont="1" applyBorder="1" applyAlignment="1">
      <alignment vertical="center" shrinkToFit="1"/>
    </xf>
    <xf numFmtId="0" fontId="66" fillId="0" borderId="22" xfId="11" applyFont="1" applyBorder="1" applyAlignment="1">
      <alignment horizontal="left" vertical="center" shrinkToFit="1"/>
    </xf>
    <xf numFmtId="0" fontId="30" fillId="0" borderId="54" xfId="11" applyFont="1" applyBorder="1" applyAlignment="1">
      <alignment vertical="center"/>
    </xf>
    <xf numFmtId="0" fontId="30" fillId="0" borderId="47" xfId="11" applyFont="1" applyBorder="1" applyAlignment="1">
      <alignment vertical="center"/>
    </xf>
    <xf numFmtId="0" fontId="30" fillId="0" borderId="48" xfId="11" applyFont="1" applyBorder="1" applyAlignment="1">
      <alignment vertical="center"/>
    </xf>
    <xf numFmtId="0" fontId="30" fillId="0" borderId="64" xfId="11" applyFont="1" applyBorder="1" applyAlignment="1">
      <alignment vertical="center" shrinkToFit="1"/>
    </xf>
    <xf numFmtId="10" fontId="30" fillId="0" borderId="64" xfId="11" applyNumberFormat="1" applyFont="1" applyBorder="1" applyAlignment="1">
      <alignment vertical="center" shrinkToFit="1"/>
    </xf>
    <xf numFmtId="0" fontId="30" fillId="2" borderId="49" xfId="11" applyFont="1" applyFill="1" applyBorder="1" applyAlignment="1">
      <alignment horizontal="center" vertical="center" shrinkToFit="1"/>
    </xf>
    <xf numFmtId="0" fontId="30" fillId="3" borderId="51" xfId="11" applyFont="1" applyFill="1" applyBorder="1" applyAlignment="1">
      <alignment vertical="center" shrinkToFit="1"/>
    </xf>
    <xf numFmtId="0" fontId="78" fillId="0" borderId="0" xfId="11" applyFont="1" applyAlignment="1">
      <alignment horizontal="left" vertical="center" shrinkToFit="1"/>
    </xf>
    <xf numFmtId="0" fontId="30" fillId="2" borderId="56" xfId="11" applyFont="1" applyFill="1" applyBorder="1" applyAlignment="1">
      <alignment horizontal="center" vertical="center" shrinkToFit="1"/>
    </xf>
    <xf numFmtId="0" fontId="30" fillId="2" borderId="59" xfId="11" applyFont="1" applyFill="1" applyBorder="1" applyAlignment="1">
      <alignment horizontal="center" vertical="center" shrinkToFit="1"/>
    </xf>
    <xf numFmtId="0" fontId="30" fillId="2" borderId="60" xfId="11" applyFont="1" applyFill="1" applyBorder="1" applyAlignment="1">
      <alignment horizontal="center" vertical="center" shrinkToFit="1"/>
    </xf>
    <xf numFmtId="0" fontId="66" fillId="2" borderId="60" xfId="11" applyFont="1" applyFill="1" applyBorder="1" applyAlignment="1">
      <alignment horizontal="left" vertical="center" shrinkToFit="1"/>
    </xf>
    <xf numFmtId="0" fontId="30" fillId="0" borderId="42" xfId="11" applyFont="1" applyBorder="1" applyAlignment="1">
      <alignment vertical="center" shrinkToFit="1"/>
    </xf>
    <xf numFmtId="0" fontId="30" fillId="0" borderId="1" xfId="11" applyFont="1" applyBorder="1" applyAlignment="1">
      <alignment vertical="center" shrinkToFit="1"/>
    </xf>
    <xf numFmtId="10" fontId="30" fillId="0" borderId="1" xfId="11" applyNumberFormat="1" applyFont="1" applyBorder="1" applyAlignment="1">
      <alignment vertical="center" shrinkToFit="1"/>
    </xf>
    <xf numFmtId="0" fontId="30" fillId="3" borderId="1" xfId="11" applyFont="1" applyFill="1" applyBorder="1" applyAlignment="1">
      <alignment vertical="center" shrinkToFit="1"/>
    </xf>
    <xf numFmtId="0" fontId="66" fillId="0" borderId="1" xfId="11" applyFont="1" applyBorder="1" applyAlignment="1">
      <alignment horizontal="left" vertical="center" shrinkToFit="1"/>
    </xf>
    <xf numFmtId="0" fontId="70" fillId="0" borderId="0" xfId="0" applyFont="1" applyAlignment="1">
      <alignment horizontal="left" vertical="center" indent="1"/>
    </xf>
    <xf numFmtId="0" fontId="30" fillId="0" borderId="41" xfId="11" applyFont="1" applyBorder="1" applyAlignment="1">
      <alignment vertical="center" shrinkToFit="1"/>
    </xf>
    <xf numFmtId="0" fontId="30" fillId="0" borderId="65" xfId="11" applyFont="1" applyBorder="1" applyAlignment="1">
      <alignment vertical="center" shrinkToFit="1"/>
    </xf>
    <xf numFmtId="10" fontId="30" fillId="0" borderId="65" xfId="11" applyNumberFormat="1" applyFont="1" applyBorder="1" applyAlignment="1">
      <alignment vertical="center" shrinkToFit="1"/>
    </xf>
    <xf numFmtId="0" fontId="30" fillId="3" borderId="65" xfId="11" applyFont="1" applyFill="1" applyBorder="1" applyAlignment="1">
      <alignment vertical="center" shrinkToFit="1"/>
    </xf>
    <xf numFmtId="0" fontId="66" fillId="0" borderId="55" xfId="11" applyFont="1" applyBorder="1" applyAlignment="1">
      <alignment horizontal="left" vertical="center" shrinkToFit="1"/>
    </xf>
    <xf numFmtId="0" fontId="78" fillId="0" borderId="0" xfId="11" applyFont="1" applyAlignment="1">
      <alignment vertical="center" shrinkToFit="1"/>
    </xf>
    <xf numFmtId="0" fontId="30" fillId="0" borderId="62" xfId="11" applyFont="1" applyBorder="1" applyAlignment="1">
      <alignment vertical="center"/>
    </xf>
    <xf numFmtId="0" fontId="30" fillId="0" borderId="3" xfId="11" applyFont="1" applyBorder="1" applyAlignment="1">
      <alignment vertical="center" shrinkToFit="1"/>
    </xf>
    <xf numFmtId="0" fontId="66" fillId="0" borderId="1" xfId="11" applyFont="1" applyBorder="1" applyAlignment="1">
      <alignment vertical="center" shrinkToFit="1"/>
    </xf>
    <xf numFmtId="0" fontId="30" fillId="0" borderId="63" xfId="11" applyFont="1" applyBorder="1" applyAlignment="1">
      <alignment vertical="center"/>
    </xf>
    <xf numFmtId="0" fontId="30" fillId="0" borderId="8" xfId="11" applyFont="1" applyBorder="1" applyAlignment="1">
      <alignment vertical="center" shrinkToFit="1"/>
    </xf>
    <xf numFmtId="0" fontId="30" fillId="0" borderId="5" xfId="11" applyFont="1" applyBorder="1" applyAlignment="1">
      <alignment vertical="center" shrinkToFit="1"/>
    </xf>
    <xf numFmtId="0" fontId="30" fillId="2" borderId="44" xfId="11" applyFont="1" applyFill="1" applyBorder="1" applyAlignment="1">
      <alignment horizontal="center" shrinkToFit="1"/>
    </xf>
    <xf numFmtId="0" fontId="13" fillId="2" borderId="8" xfId="11" applyFont="1" applyFill="1" applyBorder="1" applyAlignment="1">
      <alignment horizontal="center" vertical="center" shrinkToFit="1"/>
    </xf>
    <xf numFmtId="0" fontId="13" fillId="2" borderId="1" xfId="11" applyFont="1" applyFill="1" applyBorder="1" applyAlignment="1">
      <alignment horizontal="center" vertical="center" shrinkToFit="1"/>
    </xf>
    <xf numFmtId="0" fontId="9" fillId="2" borderId="1" xfId="11" applyFont="1" applyFill="1" applyBorder="1" applyAlignment="1">
      <alignment horizontal="center" vertical="center" shrinkToFit="1"/>
    </xf>
    <xf numFmtId="0" fontId="26" fillId="0" borderId="0" xfId="11" applyAlignment="1">
      <alignment horizontal="center" vertical="center" shrinkToFit="1"/>
    </xf>
    <xf numFmtId="0" fontId="9" fillId="0" borderId="22" xfId="11" applyFont="1" applyBorder="1" applyAlignment="1">
      <alignment vertical="center" shrinkToFit="1"/>
    </xf>
    <xf numFmtId="0" fontId="30" fillId="0" borderId="4" xfId="11" applyFont="1" applyBorder="1"/>
    <xf numFmtId="0" fontId="30" fillId="0" borderId="2" xfId="11" applyFont="1" applyBorder="1"/>
    <xf numFmtId="0" fontId="30" fillId="0" borderId="3" xfId="11" applyFont="1" applyBorder="1"/>
    <xf numFmtId="0" fontId="30" fillId="0" borderId="27" xfId="11" applyFont="1" applyBorder="1" applyAlignment="1">
      <alignment horizontal="left"/>
    </xf>
    <xf numFmtId="0" fontId="30" fillId="0" borderId="28" xfId="11" applyFont="1" applyBorder="1" applyAlignment="1">
      <alignment horizontal="left"/>
    </xf>
    <xf numFmtId="0" fontId="30" fillId="0" borderId="25" xfId="11" applyFont="1" applyBorder="1" applyAlignment="1">
      <alignment horizontal="left"/>
    </xf>
    <xf numFmtId="0" fontId="9" fillId="0" borderId="3" xfId="11" applyFont="1" applyBorder="1" applyAlignment="1">
      <alignment shrinkToFit="1"/>
    </xf>
    <xf numFmtId="10" fontId="9" fillId="0" borderId="1" xfId="11" applyNumberFormat="1" applyFont="1" applyBorder="1" applyAlignment="1">
      <alignment shrinkToFit="1"/>
    </xf>
    <xf numFmtId="0" fontId="9" fillId="0" borderId="1" xfId="11" applyFont="1" applyBorder="1" applyAlignment="1">
      <alignment shrinkToFit="1"/>
    </xf>
    <xf numFmtId="0" fontId="26" fillId="0" borderId="0" xfId="11" applyAlignment="1">
      <alignment shrinkToFit="1"/>
    </xf>
    <xf numFmtId="0" fontId="30" fillId="0" borderId="54" xfId="11" applyFont="1" applyBorder="1"/>
    <xf numFmtId="0" fontId="30" fillId="0" borderId="47" xfId="11" applyFont="1" applyBorder="1"/>
    <xf numFmtId="0" fontId="30" fillId="0" borderId="48" xfId="11" applyFont="1" applyBorder="1"/>
    <xf numFmtId="0" fontId="9" fillId="0" borderId="8" xfId="11" applyFont="1" applyBorder="1" applyAlignment="1">
      <alignment shrinkToFit="1"/>
    </xf>
    <xf numFmtId="0" fontId="9" fillId="0" borderId="5" xfId="11" applyFont="1" applyBorder="1" applyAlignment="1">
      <alignment shrinkToFit="1"/>
    </xf>
    <xf numFmtId="0" fontId="13" fillId="2" borderId="66" xfId="11" applyFont="1" applyFill="1" applyBorder="1" applyAlignment="1">
      <alignment horizontal="center" shrinkToFit="1"/>
    </xf>
    <xf numFmtId="0" fontId="13" fillId="2" borderId="16" xfId="11" applyFont="1" applyFill="1" applyBorder="1" applyAlignment="1">
      <alignment horizontal="center" shrinkToFit="1"/>
    </xf>
    <xf numFmtId="0" fontId="26" fillId="0" borderId="0" xfId="11" applyAlignment="1">
      <alignment wrapText="1" shrinkToFit="1"/>
    </xf>
    <xf numFmtId="0" fontId="26" fillId="0" borderId="0" xfId="11" applyAlignment="1">
      <alignment vertical="center" shrinkToFit="1"/>
    </xf>
    <xf numFmtId="0" fontId="9" fillId="0" borderId="4" xfId="11" applyFont="1" applyBorder="1" applyAlignment="1">
      <alignment shrinkToFit="1"/>
    </xf>
    <xf numFmtId="0" fontId="11" fillId="0" borderId="3" xfId="11" applyFont="1" applyBorder="1" applyAlignment="1">
      <alignment shrinkToFit="1"/>
    </xf>
    <xf numFmtId="0" fontId="9" fillId="0" borderId="9" xfId="11" applyFont="1" applyBorder="1" applyAlignment="1">
      <alignment shrinkToFit="1"/>
    </xf>
    <xf numFmtId="0" fontId="11" fillId="0" borderId="8" xfId="11" applyFont="1" applyBorder="1" applyAlignment="1">
      <alignment shrinkToFit="1"/>
    </xf>
    <xf numFmtId="0" fontId="13" fillId="2" borderId="22" xfId="11" applyFont="1" applyFill="1" applyBorder="1" applyAlignment="1">
      <alignment horizontal="center" vertical="center" shrinkToFit="1"/>
    </xf>
    <xf numFmtId="0" fontId="13" fillId="2" borderId="3" xfId="11" applyFont="1" applyFill="1" applyBorder="1" applyAlignment="1">
      <alignment horizontal="center" vertical="center" shrinkToFit="1"/>
    </xf>
    <xf numFmtId="0" fontId="30" fillId="0" borderId="28" xfId="11" applyFont="1" applyBorder="1" applyAlignment="1">
      <alignment vertical="center"/>
    </xf>
    <xf numFmtId="0" fontId="30" fillId="0" borderId="25" xfId="11" applyFont="1" applyBorder="1" applyAlignment="1">
      <alignment vertical="center"/>
    </xf>
    <xf numFmtId="186" fontId="84" fillId="0" borderId="22" xfId="4" applyNumberFormat="1" applyFont="1" applyBorder="1" applyAlignment="1">
      <alignment horizontal="center" vertical="center"/>
    </xf>
    <xf numFmtId="185" fontId="90" fillId="0" borderId="22" xfId="0" applyNumberFormat="1" applyFont="1" applyBorder="1" applyAlignment="1">
      <alignment shrinkToFit="1"/>
    </xf>
    <xf numFmtId="177" fontId="16" fillId="9" borderId="22" xfId="0" applyNumberFormat="1" applyFont="1" applyFill="1" applyBorder="1"/>
    <xf numFmtId="0" fontId="60" fillId="0" borderId="0" xfId="0" applyFont="1" applyAlignment="1">
      <alignment shrinkToFit="1"/>
    </xf>
    <xf numFmtId="0" fontId="68" fillId="0" borderId="0" xfId="0" applyFont="1" applyAlignment="1">
      <alignment horizontal="center" vertical="center" shrinkToFit="1"/>
    </xf>
    <xf numFmtId="185" fontId="28" fillId="0" borderId="0" xfId="14" applyNumberFormat="1" applyFont="1" applyAlignment="1">
      <alignment horizontal="center" vertical="center" shrinkToFit="1"/>
    </xf>
    <xf numFmtId="0" fontId="30" fillId="0" borderId="4" xfId="11" applyFont="1" applyBorder="1" applyAlignment="1">
      <alignment horizontal="left" vertical="center"/>
    </xf>
    <xf numFmtId="0" fontId="30" fillId="0" borderId="2" xfId="11" applyFont="1" applyBorder="1" applyAlignment="1">
      <alignment horizontal="left" vertical="center"/>
    </xf>
    <xf numFmtId="0" fontId="30" fillId="0" borderId="62" xfId="11" applyFont="1" applyBorder="1" applyAlignment="1">
      <alignment horizontal="left" vertical="center"/>
    </xf>
    <xf numFmtId="0" fontId="9" fillId="0" borderId="3" xfId="11" applyFont="1" applyBorder="1" applyAlignment="1">
      <alignment vertical="center" shrinkToFit="1"/>
    </xf>
    <xf numFmtId="10" fontId="9" fillId="0" borderId="1" xfId="11" applyNumberFormat="1" applyFont="1" applyBorder="1" applyAlignment="1">
      <alignment vertical="center" shrinkToFit="1"/>
    </xf>
    <xf numFmtId="0" fontId="9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9" fillId="0" borderId="8" xfId="11" applyFont="1" applyBorder="1" applyAlignment="1">
      <alignment vertical="center" shrinkToFit="1"/>
    </xf>
    <xf numFmtId="0" fontId="9" fillId="0" borderId="5" xfId="11" applyFont="1" applyBorder="1" applyAlignment="1">
      <alignment vertical="center" shrinkToFit="1"/>
    </xf>
    <xf numFmtId="0" fontId="70" fillId="0" borderId="0" xfId="0" applyFont="1" applyAlignment="1">
      <alignment horizontal="left" vertical="center"/>
    </xf>
    <xf numFmtId="189" fontId="28" fillId="0" borderId="0" xfId="0" applyNumberFormat="1" applyFont="1" applyAlignment="1">
      <alignment horizontal="center"/>
    </xf>
    <xf numFmtId="189" fontId="16" fillId="0" borderId="22" xfId="0" applyNumberFormat="1" applyFont="1" applyBorder="1" applyAlignment="1">
      <alignment shrinkToFit="1"/>
    </xf>
    <xf numFmtId="190" fontId="16" fillId="0" borderId="22" xfId="0" applyNumberFormat="1" applyFont="1" applyBorder="1"/>
    <xf numFmtId="1" fontId="30" fillId="3" borderId="22" xfId="11" applyNumberFormat="1" applyFont="1" applyFill="1" applyBorder="1" applyAlignment="1">
      <alignment vertical="center" shrinkToFit="1"/>
    </xf>
    <xf numFmtId="1" fontId="30" fillId="3" borderId="64" xfId="11" applyNumberFormat="1" applyFont="1" applyFill="1" applyBorder="1" applyAlignment="1">
      <alignment vertical="center" shrinkToFit="1"/>
    </xf>
    <xf numFmtId="1" fontId="30" fillId="3" borderId="51" xfId="11" applyNumberFormat="1" applyFont="1" applyFill="1" applyBorder="1" applyAlignment="1">
      <alignment vertical="center" shrinkToFit="1"/>
    </xf>
    <xf numFmtId="1" fontId="30" fillId="3" borderId="1" xfId="11" applyNumberFormat="1" applyFont="1" applyFill="1" applyBorder="1" applyAlignment="1">
      <alignment vertical="center" shrinkToFit="1"/>
    </xf>
    <xf numFmtId="1" fontId="30" fillId="3" borderId="45" xfId="11" applyNumberFormat="1" applyFont="1" applyFill="1" applyBorder="1" applyAlignment="1">
      <alignment shrinkToFit="1"/>
    </xf>
    <xf numFmtId="0" fontId="28" fillId="0" borderId="27" xfId="11" applyFont="1" applyBorder="1" applyAlignment="1">
      <alignment horizontal="center" vertical="center" shrinkToFit="1"/>
    </xf>
    <xf numFmtId="0" fontId="59" fillId="0" borderId="27" xfId="11" applyFont="1" applyBorder="1" applyAlignment="1">
      <alignment horizontal="center" vertical="center" shrinkToFit="1"/>
    </xf>
    <xf numFmtId="1" fontId="26" fillId="0" borderId="0" xfId="11" applyNumberFormat="1" applyAlignment="1">
      <alignment shrinkToFit="1"/>
    </xf>
    <xf numFmtId="1" fontId="9" fillId="2" borderId="1" xfId="11" applyNumberFormat="1" applyFont="1" applyFill="1" applyBorder="1" applyAlignment="1">
      <alignment horizontal="center" vertical="center" shrinkToFit="1"/>
    </xf>
    <xf numFmtId="1" fontId="30" fillId="3" borderId="22" xfId="11" applyNumberFormat="1" applyFont="1" applyFill="1" applyBorder="1" applyAlignment="1">
      <alignment shrinkToFit="1"/>
    </xf>
    <xf numFmtId="1" fontId="9" fillId="3" borderId="1" xfId="11" applyNumberFormat="1" applyFont="1" applyFill="1" applyBorder="1" applyAlignment="1">
      <alignment shrinkToFit="1"/>
    </xf>
    <xf numFmtId="1" fontId="9" fillId="3" borderId="5" xfId="11" applyNumberFormat="1" applyFont="1" applyFill="1" applyBorder="1" applyAlignment="1">
      <alignment shrinkToFit="1"/>
    </xf>
    <xf numFmtId="1" fontId="9" fillId="3" borderId="18" xfId="11" applyNumberFormat="1" applyFont="1" applyFill="1" applyBorder="1" applyAlignment="1">
      <alignment shrinkToFit="1"/>
    </xf>
    <xf numFmtId="0" fontId="82" fillId="10" borderId="22" xfId="4" applyFont="1" applyFill="1" applyBorder="1" applyAlignment="1">
      <alignment horizontal="center" vertical="center" wrapText="1"/>
    </xf>
    <xf numFmtId="195" fontId="84" fillId="9" borderId="22" xfId="4" applyNumberFormat="1" applyFont="1" applyFill="1" applyBorder="1" applyAlignment="1">
      <alignment horizontal="center" vertical="center"/>
    </xf>
    <xf numFmtId="10" fontId="84" fillId="0" borderId="22" xfId="4" applyNumberFormat="1" applyFont="1" applyBorder="1" applyAlignment="1">
      <alignment horizontal="center" vertical="center"/>
    </xf>
    <xf numFmtId="0" fontId="8" fillId="0" borderId="0" xfId="4">
      <alignment vertical="center"/>
    </xf>
    <xf numFmtId="0" fontId="68" fillId="0" borderId="0" xfId="11" applyFont="1" applyAlignment="1">
      <alignment vertical="center" shrinkToFit="1"/>
    </xf>
    <xf numFmtId="0" fontId="68" fillId="0" borderId="0" xfId="11" applyFont="1" applyAlignment="1">
      <alignment shrinkToFit="1"/>
    </xf>
    <xf numFmtId="0" fontId="0" fillId="0" borderId="0" xfId="0" applyAlignment="1">
      <alignment vertical="center"/>
    </xf>
    <xf numFmtId="10" fontId="30" fillId="3" borderId="50" xfId="11" applyNumberFormat="1" applyFont="1" applyFill="1" applyBorder="1" applyAlignment="1">
      <alignment horizontal="center" vertical="center" shrinkToFit="1"/>
    </xf>
    <xf numFmtId="0" fontId="26" fillId="0" borderId="0" xfId="11" applyAlignment="1">
      <alignment horizontal="left" vertical="center" indent="2"/>
    </xf>
    <xf numFmtId="0" fontId="70" fillId="0" borderId="0" xfId="11" applyFont="1" applyAlignment="1">
      <alignment horizontal="left" vertical="center" indent="1"/>
    </xf>
    <xf numFmtId="0" fontId="26" fillId="0" borderId="0" xfId="11" applyAlignment="1">
      <alignment horizontal="left" vertical="center"/>
    </xf>
    <xf numFmtId="0" fontId="70" fillId="0" borderId="0" xfId="11" applyFont="1" applyAlignment="1">
      <alignment horizontal="left" vertical="center"/>
    </xf>
    <xf numFmtId="0" fontId="70" fillId="0" borderId="67" xfId="11" applyFont="1" applyBorder="1" applyAlignment="1">
      <alignment horizontal="left" vertical="center"/>
    </xf>
    <xf numFmtId="0" fontId="26" fillId="0" borderId="0" xfId="11" applyAlignment="1">
      <alignment vertical="center"/>
    </xf>
    <xf numFmtId="0" fontId="30" fillId="2" borderId="72" xfId="11" applyFont="1" applyFill="1" applyBorder="1" applyAlignment="1">
      <alignment horizontal="center" vertical="center" shrinkToFit="1"/>
    </xf>
    <xf numFmtId="10" fontId="30" fillId="3" borderId="73" xfId="11" applyNumberFormat="1" applyFont="1" applyFill="1" applyBorder="1" applyAlignment="1">
      <alignment horizontal="center" vertical="center" shrinkToFit="1"/>
    </xf>
    <xf numFmtId="0" fontId="30" fillId="2" borderId="74" xfId="11" applyFont="1" applyFill="1" applyBorder="1" applyAlignment="1">
      <alignment horizontal="center" shrinkToFit="1"/>
    </xf>
    <xf numFmtId="0" fontId="13" fillId="2" borderId="75" xfId="11" applyFont="1" applyFill="1" applyBorder="1" applyAlignment="1">
      <alignment horizontal="center" shrinkToFit="1"/>
    </xf>
    <xf numFmtId="0" fontId="13" fillId="2" borderId="74" xfId="11" applyFont="1" applyFill="1" applyBorder="1" applyAlignment="1">
      <alignment horizontal="center" shrinkToFit="1"/>
    </xf>
    <xf numFmtId="1" fontId="9" fillId="3" borderId="76" xfId="11" applyNumberFormat="1" applyFont="1" applyFill="1" applyBorder="1" applyAlignment="1">
      <alignment shrinkToFit="1"/>
    </xf>
    <xf numFmtId="195" fontId="6" fillId="0" borderId="0" xfId="15" applyNumberFormat="1">
      <alignment vertical="center"/>
    </xf>
    <xf numFmtId="0" fontId="72" fillId="0" borderId="0" xfId="0" applyFont="1" applyAlignment="1">
      <alignment vertical="center"/>
    </xf>
    <xf numFmtId="193" fontId="84" fillId="9" borderId="22" xfId="4" applyNumberFormat="1" applyFont="1" applyFill="1" applyBorder="1" applyAlignment="1">
      <alignment horizontal="center" vertical="center"/>
    </xf>
    <xf numFmtId="193" fontId="84" fillId="9" borderId="22" xfId="6" applyNumberFormat="1" applyFont="1" applyFill="1" applyBorder="1" applyAlignment="1">
      <alignment horizontal="center" vertical="center"/>
    </xf>
    <xf numFmtId="0" fontId="30" fillId="0" borderId="77" xfId="11" applyFont="1" applyBorder="1" applyAlignment="1">
      <alignment vertical="center"/>
    </xf>
    <xf numFmtId="193" fontId="84" fillId="9" borderId="22" xfId="17" applyNumberFormat="1" applyFont="1" applyFill="1" applyBorder="1" applyAlignment="1">
      <alignment horizontal="center" vertical="center"/>
    </xf>
    <xf numFmtId="186" fontId="84" fillId="0" borderId="22" xfId="17" applyNumberFormat="1" applyFont="1" applyBorder="1" applyAlignment="1">
      <alignment horizontal="center" vertical="center"/>
    </xf>
    <xf numFmtId="186" fontId="88" fillId="0" borderId="22" xfId="19" applyNumberFormat="1" applyFont="1" applyBorder="1" applyAlignment="1">
      <alignment horizontal="center" vertical="center"/>
    </xf>
    <xf numFmtId="10" fontId="84" fillId="0" borderId="22" xfId="19" applyNumberFormat="1" applyFont="1" applyBorder="1" applyAlignment="1">
      <alignment horizontal="center" vertical="center"/>
    </xf>
    <xf numFmtId="10" fontId="84" fillId="0" borderId="22" xfId="17" applyNumberFormat="1" applyFont="1" applyBorder="1" applyAlignment="1">
      <alignment horizontal="center" vertical="center"/>
    </xf>
    <xf numFmtId="192" fontId="59" fillId="0" borderId="22" xfId="0" applyNumberFormat="1" applyFont="1" applyBorder="1" applyAlignment="1">
      <alignment shrinkToFit="1"/>
    </xf>
    <xf numFmtId="10" fontId="9" fillId="0" borderId="65" xfId="11" applyNumberFormat="1" applyFont="1" applyBorder="1" applyAlignment="1">
      <alignment shrinkToFit="1"/>
    </xf>
    <xf numFmtId="0" fontId="28" fillId="0" borderId="22" xfId="11" applyFont="1" applyBorder="1" applyAlignment="1">
      <alignment horizontal="center" vertical="center" shrinkToFit="1"/>
    </xf>
    <xf numFmtId="0" fontId="59" fillId="0" borderId="22" xfId="11" applyFont="1" applyBorder="1" applyAlignment="1">
      <alignment horizontal="center" vertical="center" shrinkToFit="1"/>
    </xf>
    <xf numFmtId="1" fontId="30" fillId="3" borderId="78" xfId="11" applyNumberFormat="1" applyFont="1" applyFill="1" applyBorder="1" applyAlignment="1">
      <alignment vertical="center" shrinkToFit="1"/>
    </xf>
    <xf numFmtId="0" fontId="30" fillId="0" borderId="71" xfId="11" applyFont="1" applyBorder="1" applyAlignment="1">
      <alignment vertical="center"/>
    </xf>
    <xf numFmtId="9" fontId="30" fillId="0" borderId="22" xfId="11" applyNumberFormat="1" applyFont="1" applyBorder="1" applyAlignment="1">
      <alignment shrinkToFit="1"/>
    </xf>
    <xf numFmtId="0" fontId="30" fillId="0" borderId="22" xfId="11" applyFont="1" applyBorder="1" applyAlignment="1">
      <alignment vertical="center"/>
    </xf>
    <xf numFmtId="0" fontId="30" fillId="0" borderId="57" xfId="11" applyFont="1" applyBorder="1" applyAlignment="1">
      <alignment vertical="center"/>
    </xf>
    <xf numFmtId="0" fontId="30" fillId="0" borderId="58" xfId="11" applyFont="1" applyBorder="1" applyAlignment="1">
      <alignment vertical="center"/>
    </xf>
    <xf numFmtId="0" fontId="30" fillId="0" borderId="61" xfId="11" applyFont="1" applyBorder="1" applyAlignment="1">
      <alignment vertical="center"/>
    </xf>
    <xf numFmtId="0" fontId="33" fillId="0" borderId="22" xfId="11" applyFont="1" applyBorder="1" applyAlignment="1">
      <alignment horizontal="center" vertical="center"/>
    </xf>
    <xf numFmtId="0" fontId="38" fillId="5" borderId="22" xfId="22" applyFont="1" applyFill="1" applyBorder="1" applyAlignment="1">
      <alignment horizontal="center" vertical="center" wrapText="1"/>
    </xf>
    <xf numFmtId="0" fontId="38" fillId="5" borderId="22" xfId="22" applyFont="1" applyFill="1" applyBorder="1" applyAlignment="1">
      <alignment horizontal="center" vertical="center"/>
    </xf>
    <xf numFmtId="0" fontId="33" fillId="0" borderId="22" xfId="11" applyFont="1" applyBorder="1" applyAlignment="1">
      <alignment horizontal="left" vertical="center"/>
    </xf>
    <xf numFmtId="196" fontId="38" fillId="0" borderId="22" xfId="11" applyNumberFormat="1" applyFont="1" applyBorder="1" applyAlignment="1">
      <alignment horizontal="center" vertical="center"/>
    </xf>
    <xf numFmtId="197" fontId="38" fillId="0" borderId="22" xfId="11" applyNumberFormat="1" applyFont="1" applyBorder="1" applyAlignment="1">
      <alignment horizontal="center" vertical="center"/>
    </xf>
    <xf numFmtId="185" fontId="38" fillId="9" borderId="22" xfId="13" applyNumberFormat="1" applyFont="1" applyFill="1" applyBorder="1" applyAlignment="1">
      <alignment horizontal="center" vertical="center"/>
    </xf>
    <xf numFmtId="196" fontId="38" fillId="0" borderId="22" xfId="21" applyNumberFormat="1" applyFont="1" applyBorder="1" applyAlignment="1">
      <alignment horizontal="center" vertical="center"/>
    </xf>
    <xf numFmtId="197" fontId="38" fillId="9" borderId="22" xfId="11" applyNumberFormat="1" applyFont="1" applyFill="1" applyBorder="1" applyAlignment="1">
      <alignment horizontal="center" vertical="center"/>
    </xf>
    <xf numFmtId="196" fontId="38" fillId="9" borderId="22" xfId="11" applyNumberFormat="1" applyFont="1" applyFill="1" applyBorder="1" applyAlignment="1">
      <alignment horizontal="center" vertical="center"/>
    </xf>
    <xf numFmtId="0" fontId="102" fillId="0" borderId="22" xfId="11" applyFont="1" applyBorder="1" applyAlignment="1">
      <alignment horizontal="center" vertical="center"/>
    </xf>
    <xf numFmtId="0" fontId="38" fillId="0" borderId="22" xfId="11" applyFont="1" applyBorder="1" applyAlignment="1">
      <alignment horizontal="center" vertical="center"/>
    </xf>
    <xf numFmtId="0" fontId="101" fillId="0" borderId="22" xfId="11" applyFont="1" applyBorder="1" applyAlignment="1">
      <alignment horizontal="left" vertical="center"/>
    </xf>
    <xf numFmtId="0" fontId="100" fillId="0" borderId="0" xfId="11" applyFont="1" applyAlignment="1">
      <alignment horizontal="center" vertical="center"/>
    </xf>
    <xf numFmtId="1" fontId="33" fillId="0" borderId="40" xfId="11" applyNumberFormat="1" applyFont="1" applyBorder="1" applyAlignment="1">
      <alignment horizontal="center" vertical="center"/>
    </xf>
    <xf numFmtId="0" fontId="33" fillId="0" borderId="40" xfId="11" applyFont="1" applyBorder="1" applyAlignment="1">
      <alignment horizontal="center" vertical="center"/>
    </xf>
    <xf numFmtId="0" fontId="33" fillId="0" borderId="0" xfId="11" applyFont="1" applyAlignment="1">
      <alignment horizontal="left" vertical="center"/>
    </xf>
    <xf numFmtId="0" fontId="100" fillId="0" borderId="0" xfId="11" applyFont="1" applyAlignment="1">
      <alignment horizontal="left" vertical="center"/>
    </xf>
    <xf numFmtId="0" fontId="95" fillId="0" borderId="0" xfId="11" applyFont="1" applyAlignment="1">
      <alignment horizontal="center" vertical="center"/>
    </xf>
    <xf numFmtId="0" fontId="102" fillId="0" borderId="0" xfId="11" applyFont="1" applyAlignment="1">
      <alignment horizontal="center" vertical="center"/>
    </xf>
    <xf numFmtId="198" fontId="38" fillId="9" borderId="22" xfId="13" applyNumberFormat="1" applyFont="1" applyFill="1" applyBorder="1" applyAlignment="1">
      <alignment horizontal="center" vertical="center"/>
    </xf>
    <xf numFmtId="1" fontId="63" fillId="0" borderId="79" xfId="11" applyNumberFormat="1" applyFont="1" applyBorder="1" applyAlignment="1">
      <alignment horizontal="center" vertical="center"/>
    </xf>
    <xf numFmtId="9" fontId="33" fillId="0" borderId="79" xfId="13" applyFont="1" applyBorder="1" applyAlignment="1">
      <alignment horizontal="center"/>
    </xf>
    <xf numFmtId="1" fontId="33" fillId="0" borderId="69" xfId="11" applyNumberFormat="1" applyFont="1" applyBorder="1" applyAlignment="1">
      <alignment horizontal="center" vertical="center"/>
    </xf>
    <xf numFmtId="1" fontId="33" fillId="0" borderId="22" xfId="11" applyNumberFormat="1" applyFont="1" applyBorder="1" applyAlignment="1">
      <alignment horizontal="center" vertical="center"/>
    </xf>
    <xf numFmtId="0" fontId="30" fillId="0" borderId="68" xfId="11" applyFont="1" applyBorder="1" applyAlignment="1">
      <alignment vertical="center"/>
    </xf>
    <xf numFmtId="0" fontId="3" fillId="0" borderId="0" xfId="15" applyFont="1">
      <alignment vertical="center"/>
    </xf>
    <xf numFmtId="0" fontId="30" fillId="0" borderId="54" xfId="11" applyFont="1" applyBorder="1" applyAlignment="1">
      <alignment horizontal="left" vertical="center"/>
    </xf>
    <xf numFmtId="0" fontId="30" fillId="0" borderId="47" xfId="11" applyFont="1" applyBorder="1" applyAlignment="1">
      <alignment horizontal="left" vertical="center"/>
    </xf>
    <xf numFmtId="0" fontId="30" fillId="0" borderId="63" xfId="11" applyFont="1" applyBorder="1" applyAlignment="1">
      <alignment horizontal="left" vertical="center"/>
    </xf>
    <xf numFmtId="0" fontId="30" fillId="0" borderId="27" xfId="11" applyFont="1" applyBorder="1" applyAlignment="1">
      <alignment vertical="center"/>
    </xf>
    <xf numFmtId="0" fontId="13" fillId="2" borderId="5" xfId="11" applyFont="1" applyFill="1" applyBorder="1" applyAlignment="1">
      <alignment horizontal="center" vertical="center" shrinkToFit="1"/>
    </xf>
    <xf numFmtId="0" fontId="30" fillId="0" borderId="22" xfId="11" applyFont="1" applyBorder="1" applyAlignment="1">
      <alignment horizontal="left" vertical="center"/>
    </xf>
    <xf numFmtId="0" fontId="30" fillId="0" borderId="59" xfId="11" applyFont="1" applyBorder="1" applyAlignment="1">
      <alignment vertical="center"/>
    </xf>
    <xf numFmtId="0" fontId="30" fillId="0" borderId="80" xfId="11" applyFont="1" applyBorder="1" applyAlignment="1">
      <alignment vertical="center"/>
    </xf>
    <xf numFmtId="0" fontId="95" fillId="0" borderId="22" xfId="11" applyFont="1" applyBorder="1" applyAlignment="1">
      <alignment horizontal="center" vertical="center"/>
    </xf>
    <xf numFmtId="177" fontId="16" fillId="9" borderId="25" xfId="0" applyNumberFormat="1" applyFont="1" applyFill="1" applyBorder="1"/>
    <xf numFmtId="0" fontId="16" fillId="0" borderId="0" xfId="11" applyFont="1" applyAlignment="1">
      <alignment horizontal="center" shrinkToFit="1"/>
    </xf>
    <xf numFmtId="0" fontId="28" fillId="0" borderId="0" xfId="11" applyFont="1" applyAlignment="1">
      <alignment horizontal="center" shrinkToFit="1"/>
    </xf>
    <xf numFmtId="3" fontId="8" fillId="0" borderId="0" xfId="4" applyNumberFormat="1">
      <alignment vertical="center"/>
    </xf>
    <xf numFmtId="0" fontId="2" fillId="0" borderId="0" xfId="15" applyFont="1">
      <alignment vertical="center"/>
    </xf>
    <xf numFmtId="0" fontId="95" fillId="0" borderId="0" xfId="15" applyFont="1">
      <alignment vertical="center"/>
    </xf>
    <xf numFmtId="10" fontId="9" fillId="0" borderId="65" xfId="11" applyNumberFormat="1" applyFont="1" applyBorder="1" applyAlignment="1">
      <alignment vertical="center" shrinkToFit="1"/>
    </xf>
    <xf numFmtId="183" fontId="16" fillId="0" borderId="0" xfId="0" applyNumberFormat="1" applyFont="1" applyAlignment="1">
      <alignment horizontal="center" vertical="center" shrinkToFit="1"/>
    </xf>
    <xf numFmtId="183" fontId="16" fillId="0" borderId="0" xfId="0" applyNumberFormat="1" applyFont="1" applyAlignment="1">
      <alignment horizontal="center" shrinkToFit="1"/>
    </xf>
    <xf numFmtId="1" fontId="16" fillId="0" borderId="0" xfId="0" applyNumberFormat="1" applyFont="1" applyAlignment="1">
      <alignment horizontal="center" shrinkToFit="1"/>
    </xf>
    <xf numFmtId="1" fontId="16" fillId="0" borderId="0" xfId="0" applyNumberFormat="1" applyFont="1" applyAlignment="1">
      <alignment horizontal="center" vertical="center" shrinkToFit="1"/>
    </xf>
    <xf numFmtId="0" fontId="103" fillId="0" borderId="0" xfId="0" applyFont="1" applyAlignment="1">
      <alignment shrinkToFit="1"/>
    </xf>
    <xf numFmtId="0" fontId="62" fillId="0" borderId="22" xfId="11" applyFont="1" applyBorder="1" applyAlignment="1">
      <alignment horizontal="center" vertical="center"/>
    </xf>
    <xf numFmtId="0" fontId="9" fillId="0" borderId="82" xfId="11" applyFont="1" applyBorder="1" applyAlignment="1">
      <alignment vertical="center" shrinkToFit="1"/>
    </xf>
    <xf numFmtId="1" fontId="9" fillId="3" borderId="76" xfId="0" applyNumberFormat="1" applyFont="1" applyFill="1" applyBorder="1" applyAlignment="1">
      <alignment shrinkToFit="1"/>
    </xf>
    <xf numFmtId="0" fontId="104" fillId="0" borderId="0" xfId="0" applyFont="1" applyAlignment="1">
      <alignment horizontal="left" vertical="center" indent="1"/>
    </xf>
    <xf numFmtId="0" fontId="68" fillId="0" borderId="0" xfId="0" applyFont="1" applyAlignment="1">
      <alignment horizontal="left" vertical="center" indent="2"/>
    </xf>
    <xf numFmtId="0" fontId="68" fillId="0" borderId="0" xfId="11" applyFont="1"/>
    <xf numFmtId="0" fontId="68" fillId="0" borderId="0" xfId="11" applyFont="1" applyAlignment="1">
      <alignment horizontal="left" vertical="center"/>
    </xf>
    <xf numFmtId="0" fontId="68" fillId="0" borderId="0" xfId="11" applyFont="1" applyAlignment="1">
      <alignment horizontal="left" vertical="center" indent="2"/>
    </xf>
    <xf numFmtId="0" fontId="104" fillId="0" borderId="0" xfId="11" applyFont="1" applyAlignment="1">
      <alignment horizontal="left" vertical="center" indent="1"/>
    </xf>
    <xf numFmtId="0" fontId="104" fillId="0" borderId="0" xfId="11" applyFont="1" applyAlignment="1">
      <alignment horizontal="left" vertical="center"/>
    </xf>
    <xf numFmtId="0" fontId="105" fillId="0" borderId="0" xfId="11" applyFont="1" applyAlignment="1">
      <alignment vertical="center" shrinkToFit="1"/>
    </xf>
    <xf numFmtId="0" fontId="68" fillId="0" borderId="0" xfId="0" applyFont="1" applyAlignment="1">
      <alignment shrinkToFit="1"/>
    </xf>
    <xf numFmtId="0" fontId="68" fillId="0" borderId="0" xfId="0" applyFont="1"/>
    <xf numFmtId="0" fontId="1" fillId="0" borderId="0" xfId="15" applyFont="1">
      <alignment vertical="center"/>
    </xf>
    <xf numFmtId="0" fontId="106" fillId="0" borderId="0" xfId="11" applyFont="1" applyAlignment="1">
      <alignment horizontal="center" vertical="center"/>
    </xf>
    <xf numFmtId="182" fontId="28" fillId="0" borderId="23" xfId="0" applyNumberFormat="1" applyFont="1" applyBorder="1" applyAlignment="1">
      <alignment horizontal="center"/>
    </xf>
    <xf numFmtId="182" fontId="28" fillId="0" borderId="29" xfId="0" applyNumberFormat="1" applyFont="1" applyBorder="1" applyAlignment="1">
      <alignment horizontal="center"/>
    </xf>
    <xf numFmtId="182" fontId="28" fillId="0" borderId="30" xfId="0" applyNumberFormat="1" applyFont="1" applyBorder="1" applyAlignment="1">
      <alignment horizontal="center"/>
    </xf>
    <xf numFmtId="177" fontId="28" fillId="0" borderId="23" xfId="0" applyNumberFormat="1" applyFont="1" applyBorder="1" applyAlignment="1">
      <alignment horizontal="center"/>
    </xf>
    <xf numFmtId="177" fontId="28" fillId="0" borderId="29" xfId="0" applyNumberFormat="1" applyFont="1" applyBorder="1" applyAlignment="1">
      <alignment horizontal="center"/>
    </xf>
    <xf numFmtId="177" fontId="28" fillId="0" borderId="30" xfId="0" applyNumberFormat="1" applyFont="1" applyBorder="1" applyAlignment="1">
      <alignment horizontal="center"/>
    </xf>
    <xf numFmtId="0" fontId="33" fillId="0" borderId="23" xfId="0" applyFont="1" applyBorder="1"/>
    <xf numFmtId="0" fontId="33" fillId="0" borderId="29" xfId="0" applyFont="1" applyBorder="1"/>
    <xf numFmtId="0" fontId="33" fillId="0" borderId="30" xfId="0" applyFont="1" applyBorder="1"/>
    <xf numFmtId="0" fontId="71" fillId="0" borderId="0" xfId="0" applyFont="1" applyAlignment="1">
      <alignment horizontal="center" vertical="center" shrinkToFit="1"/>
    </xf>
    <xf numFmtId="0" fontId="44" fillId="0" borderId="0" xfId="0" applyFont="1" applyAlignment="1">
      <alignment horizontal="center" vertical="center" shrinkToFit="1"/>
    </xf>
    <xf numFmtId="0" fontId="51" fillId="9" borderId="22" xfId="0" applyFont="1" applyFill="1" applyBorder="1" applyAlignment="1">
      <alignment horizontal="center" vertical="center" shrinkToFit="1"/>
    </xf>
    <xf numFmtId="0" fontId="51" fillId="9" borderId="27" xfId="0" applyFont="1" applyFill="1" applyBorder="1" applyAlignment="1">
      <alignment horizontal="center" vertical="center" shrinkToFit="1"/>
    </xf>
    <xf numFmtId="0" fontId="51" fillId="9" borderId="25" xfId="0" applyFont="1" applyFill="1" applyBorder="1" applyAlignment="1">
      <alignment horizontal="center" vertical="center" shrinkToFit="1"/>
    </xf>
    <xf numFmtId="179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88" fontId="28" fillId="0" borderId="0" xfId="0" applyNumberFormat="1" applyFont="1" applyAlignment="1">
      <alignment horizontal="center"/>
    </xf>
    <xf numFmtId="190" fontId="28" fillId="0" borderId="0" xfId="0" applyNumberFormat="1" applyFont="1" applyAlignment="1">
      <alignment horizontal="center"/>
    </xf>
    <xf numFmtId="185" fontId="28" fillId="0" borderId="0" xfId="13" applyNumberFormat="1" applyFont="1" applyAlignment="1">
      <alignment horizontal="center"/>
    </xf>
    <xf numFmtId="185" fontId="28" fillId="0" borderId="0" xfId="0" applyNumberFormat="1" applyFont="1" applyAlignment="1">
      <alignment horizontal="center"/>
    </xf>
    <xf numFmtId="189" fontId="28" fillId="0" borderId="0" xfId="0" applyNumberFormat="1" applyFont="1" applyAlignment="1">
      <alignment horizontal="center"/>
    </xf>
    <xf numFmtId="0" fontId="96" fillId="0" borderId="0" xfId="0" applyFont="1" applyAlignment="1">
      <alignment horizontal="center" vertical="center"/>
    </xf>
    <xf numFmtId="10" fontId="29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77" fontId="29" fillId="8" borderId="0" xfId="0" applyNumberFormat="1" applyFont="1" applyFill="1" applyAlignment="1">
      <alignment horizontal="center" vertical="center"/>
    </xf>
    <xf numFmtId="178" fontId="29" fillId="6" borderId="0" xfId="0" applyNumberFormat="1" applyFont="1" applyFill="1" applyAlignment="1">
      <alignment horizontal="center" vertical="center"/>
    </xf>
    <xf numFmtId="176" fontId="29" fillId="5" borderId="0" xfId="0" applyNumberFormat="1" applyFont="1" applyFill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 shrinkToFit="1"/>
    </xf>
    <xf numFmtId="178" fontId="29" fillId="0" borderId="0" xfId="0" applyNumberFormat="1" applyFont="1" applyAlignment="1">
      <alignment horizontal="center" vertical="center"/>
    </xf>
    <xf numFmtId="10" fontId="28" fillId="0" borderId="0" xfId="0" applyNumberFormat="1" applyFont="1" applyAlignment="1">
      <alignment horizontal="center"/>
    </xf>
    <xf numFmtId="180" fontId="28" fillId="0" borderId="0" xfId="0" applyNumberFormat="1" applyFont="1" applyAlignment="1">
      <alignment horizontal="center"/>
    </xf>
    <xf numFmtId="186" fontId="28" fillId="0" borderId="0" xfId="0" applyNumberFormat="1" applyFont="1" applyAlignment="1">
      <alignment horizontal="center"/>
    </xf>
    <xf numFmtId="0" fontId="107" fillId="0" borderId="0" xfId="0" applyFont="1" applyAlignment="1">
      <alignment horizontal="center" vertical="center"/>
    </xf>
    <xf numFmtId="10" fontId="17" fillId="5" borderId="0" xfId="0" applyNumberFormat="1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181" fontId="17" fillId="0" borderId="0" xfId="0" applyNumberFormat="1" applyFont="1" applyAlignment="1">
      <alignment horizontal="center" vertical="center"/>
    </xf>
    <xf numFmtId="10" fontId="17" fillId="0" borderId="0" xfId="0" applyNumberFormat="1" applyFont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182" fontId="29" fillId="0" borderId="22" xfId="0" applyNumberFormat="1" applyFont="1" applyBorder="1" applyAlignment="1">
      <alignment horizontal="center" vertical="center"/>
    </xf>
    <xf numFmtId="0" fontId="31" fillId="7" borderId="34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shrinkToFit="1"/>
    </xf>
    <xf numFmtId="0" fontId="30" fillId="0" borderId="23" xfId="0" applyFont="1" applyBorder="1" applyAlignment="1">
      <alignment horizontal="center" vertical="center" shrinkToFit="1"/>
    </xf>
    <xf numFmtId="182" fontId="30" fillId="0" borderId="22" xfId="0" applyNumberFormat="1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89" fontId="29" fillId="0" borderId="22" xfId="0" applyNumberFormat="1" applyFont="1" applyBorder="1" applyAlignment="1">
      <alignment horizontal="center" vertical="center"/>
    </xf>
    <xf numFmtId="189" fontId="29" fillId="0" borderId="23" xfId="0" applyNumberFormat="1" applyFont="1" applyBorder="1" applyAlignment="1">
      <alignment horizontal="center" vertical="center"/>
    </xf>
    <xf numFmtId="179" fontId="16" fillId="0" borderId="23" xfId="0" applyNumberFormat="1" applyFont="1" applyBorder="1" applyAlignment="1">
      <alignment horizontal="center" vertical="center"/>
    </xf>
    <xf numFmtId="179" fontId="16" fillId="0" borderId="29" xfId="0" applyNumberFormat="1" applyFont="1" applyBorder="1" applyAlignment="1">
      <alignment horizontal="center" vertical="center"/>
    </xf>
    <xf numFmtId="179" fontId="16" fillId="0" borderId="30" xfId="0" applyNumberFormat="1" applyFont="1" applyBorder="1" applyAlignment="1">
      <alignment horizontal="center" vertical="center"/>
    </xf>
    <xf numFmtId="189" fontId="28" fillId="0" borderId="29" xfId="0" applyNumberFormat="1" applyFont="1" applyBorder="1" applyAlignment="1">
      <alignment horizontal="center" vertical="center"/>
    </xf>
    <xf numFmtId="189" fontId="28" fillId="0" borderId="30" xfId="0" applyNumberFormat="1" applyFont="1" applyBorder="1" applyAlignment="1">
      <alignment horizontal="center" vertical="center"/>
    </xf>
    <xf numFmtId="189" fontId="16" fillId="0" borderId="23" xfId="0" applyNumberFormat="1" applyFont="1" applyBorder="1" applyAlignment="1">
      <alignment horizontal="center" shrinkToFit="1"/>
    </xf>
    <xf numFmtId="189" fontId="16" fillId="0" borderId="29" xfId="0" applyNumberFormat="1" applyFont="1" applyBorder="1" applyAlignment="1">
      <alignment horizontal="center" shrinkToFit="1"/>
    </xf>
    <xf numFmtId="189" fontId="16" fillId="0" borderId="30" xfId="0" applyNumberFormat="1" applyFont="1" applyBorder="1" applyAlignment="1">
      <alignment horizontal="center" shrinkToFit="1"/>
    </xf>
    <xf numFmtId="182" fontId="16" fillId="0" borderId="22" xfId="0" applyNumberFormat="1" applyFont="1" applyBorder="1" applyAlignment="1">
      <alignment horizontal="center" shrinkToFit="1"/>
    </xf>
    <xf numFmtId="189" fontId="28" fillId="0" borderId="23" xfId="0" applyNumberFormat="1" applyFont="1" applyBorder="1" applyAlignment="1">
      <alignment horizontal="center"/>
    </xf>
    <xf numFmtId="189" fontId="28" fillId="0" borderId="29" xfId="0" applyNumberFormat="1" applyFont="1" applyBorder="1" applyAlignment="1">
      <alignment horizontal="center"/>
    </xf>
    <xf numFmtId="0" fontId="96" fillId="0" borderId="29" xfId="0" applyFont="1" applyBorder="1" applyAlignment="1">
      <alignment horizontal="center" vertical="center"/>
    </xf>
    <xf numFmtId="0" fontId="96" fillId="0" borderId="30" xfId="0" applyFont="1" applyBorder="1" applyAlignment="1">
      <alignment horizontal="center" vertical="center"/>
    </xf>
    <xf numFmtId="0" fontId="96" fillId="0" borderId="23" xfId="0" applyFont="1" applyBorder="1" applyAlignment="1">
      <alignment horizontal="center" vertical="center"/>
    </xf>
    <xf numFmtId="177" fontId="29" fillId="0" borderId="22" xfId="0" applyNumberFormat="1" applyFont="1" applyBorder="1" applyAlignment="1">
      <alignment horizontal="center" vertical="center"/>
    </xf>
    <xf numFmtId="177" fontId="29" fillId="0" borderId="23" xfId="0" applyNumberFormat="1" applyFont="1" applyBorder="1" applyAlignment="1">
      <alignment horizontal="center" vertical="center"/>
    </xf>
    <xf numFmtId="190" fontId="28" fillId="0" borderId="22" xfId="0" applyNumberFormat="1" applyFont="1" applyBorder="1" applyAlignment="1">
      <alignment horizontal="center"/>
    </xf>
    <xf numFmtId="190" fontId="28" fillId="0" borderId="23" xfId="0" applyNumberFormat="1" applyFont="1" applyBorder="1" applyAlignment="1">
      <alignment horizontal="center"/>
    </xf>
    <xf numFmtId="190" fontId="28" fillId="0" borderId="29" xfId="0" applyNumberFormat="1" applyFont="1" applyBorder="1" applyAlignment="1">
      <alignment horizontal="center"/>
    </xf>
    <xf numFmtId="190" fontId="28" fillId="0" borderId="30" xfId="0" applyNumberFormat="1" applyFont="1" applyBorder="1" applyAlignment="1">
      <alignment horizontal="center"/>
    </xf>
    <xf numFmtId="177" fontId="16" fillId="0" borderId="22" xfId="0" applyNumberFormat="1" applyFont="1" applyBorder="1" applyAlignment="1">
      <alignment horizontal="center"/>
    </xf>
    <xf numFmtId="179" fontId="16" fillId="0" borderId="22" xfId="0" applyNumberFormat="1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177" fontId="34" fillId="0" borderId="22" xfId="0" applyNumberFormat="1" applyFont="1" applyBorder="1" applyAlignment="1">
      <alignment horizontal="center" vertical="center"/>
    </xf>
    <xf numFmtId="177" fontId="30" fillId="0" borderId="22" xfId="0" applyNumberFormat="1" applyFont="1" applyBorder="1" applyAlignment="1">
      <alignment horizontal="center" vertical="center" shrinkToFit="1"/>
    </xf>
    <xf numFmtId="0" fontId="33" fillId="0" borderId="23" xfId="0" applyFont="1" applyBorder="1" applyAlignment="1">
      <alignment horizontal="center" vertical="center"/>
    </xf>
    <xf numFmtId="177" fontId="81" fillId="0" borderId="22" xfId="0" applyNumberFormat="1" applyFont="1" applyBorder="1" applyAlignment="1">
      <alignment horizontal="center" vertical="center"/>
    </xf>
    <xf numFmtId="187" fontId="16" fillId="5" borderId="27" xfId="0" applyNumberFormat="1" applyFont="1" applyFill="1" applyBorder="1" applyAlignment="1">
      <alignment horizontal="center" vertical="center" shrinkToFit="1"/>
    </xf>
    <xf numFmtId="187" fontId="16" fillId="5" borderId="28" xfId="0" applyNumberFormat="1" applyFont="1" applyFill="1" applyBorder="1" applyAlignment="1">
      <alignment horizontal="center" vertical="center" shrinkToFit="1"/>
    </xf>
    <xf numFmtId="187" fontId="16" fillId="5" borderId="25" xfId="0" applyNumberFormat="1" applyFont="1" applyFill="1" applyBorder="1" applyAlignment="1">
      <alignment horizontal="center" vertical="center" shrinkToFit="1"/>
    </xf>
    <xf numFmtId="0" fontId="16" fillId="0" borderId="22" xfId="0" applyFont="1" applyBorder="1" applyAlignment="1">
      <alignment horizontal="center" vertical="center" shrinkToFit="1"/>
    </xf>
    <xf numFmtId="0" fontId="89" fillId="0" borderId="37" xfId="0" applyFont="1" applyBorder="1" applyAlignment="1">
      <alignment horizontal="left" vertical="center"/>
    </xf>
    <xf numFmtId="0" fontId="53" fillId="0" borderId="37" xfId="0" applyFont="1" applyBorder="1" applyAlignment="1">
      <alignment horizontal="left" vertical="center"/>
    </xf>
    <xf numFmtId="0" fontId="53" fillId="0" borderId="32" xfId="0" applyFont="1" applyBorder="1" applyAlignment="1">
      <alignment horizontal="left" vertical="center"/>
    </xf>
    <xf numFmtId="0" fontId="53" fillId="0" borderId="26" xfId="0" applyFont="1" applyBorder="1" applyAlignment="1">
      <alignment horizontal="left" vertical="center"/>
    </xf>
    <xf numFmtId="0" fontId="53" fillId="0" borderId="36" xfId="0" applyFont="1" applyBorder="1" applyAlignment="1">
      <alignment horizontal="left" vertical="center"/>
    </xf>
    <xf numFmtId="0" fontId="16" fillId="0" borderId="23" xfId="0" applyFont="1" applyBorder="1" applyAlignment="1">
      <alignment horizontal="center" vertical="center" shrinkToFit="1"/>
    </xf>
    <xf numFmtId="0" fontId="16" fillId="0" borderId="30" xfId="0" applyFont="1" applyBorder="1" applyAlignment="1">
      <alignment horizontal="center" vertical="center" shrinkToFit="1"/>
    </xf>
    <xf numFmtId="179" fontId="16" fillId="5" borderId="22" xfId="0" applyNumberFormat="1" applyFont="1" applyFill="1" applyBorder="1" applyAlignment="1">
      <alignment horizontal="center" vertical="center" shrinkToFit="1"/>
    </xf>
    <xf numFmtId="0" fontId="16" fillId="5" borderId="22" xfId="0" applyFont="1" applyFill="1" applyBorder="1" applyAlignment="1">
      <alignment horizontal="center" vertical="center" shrinkToFit="1"/>
    </xf>
    <xf numFmtId="187" fontId="16" fillId="5" borderId="22" xfId="0" applyNumberFormat="1" applyFont="1" applyFill="1" applyBorder="1" applyAlignment="1">
      <alignment horizontal="center" vertical="center" shrinkToFit="1"/>
    </xf>
    <xf numFmtId="0" fontId="16" fillId="9" borderId="22" xfId="0" applyFont="1" applyFill="1" applyBorder="1" applyAlignment="1">
      <alignment horizontal="center" vertical="center" shrinkToFit="1"/>
    </xf>
    <xf numFmtId="179" fontId="16" fillId="8" borderId="22" xfId="0" applyNumberFormat="1" applyFont="1" applyFill="1" applyBorder="1" applyAlignment="1">
      <alignment horizontal="center" vertical="center" shrinkToFit="1"/>
    </xf>
    <xf numFmtId="0" fontId="16" fillId="8" borderId="22" xfId="0" applyFont="1" applyFill="1" applyBorder="1" applyAlignment="1">
      <alignment horizontal="center" vertical="center" shrinkToFit="1"/>
    </xf>
    <xf numFmtId="179" fontId="16" fillId="5" borderId="27" xfId="0" applyNumberFormat="1" applyFont="1" applyFill="1" applyBorder="1" applyAlignment="1">
      <alignment horizontal="center" vertical="center" shrinkToFit="1"/>
    </xf>
    <xf numFmtId="179" fontId="16" fillId="5" borderId="28" xfId="0" applyNumberFormat="1" applyFont="1" applyFill="1" applyBorder="1" applyAlignment="1">
      <alignment horizontal="center" vertical="center" shrinkToFit="1"/>
    </xf>
    <xf numFmtId="179" fontId="16" fillId="5" borderId="25" xfId="0" applyNumberFormat="1" applyFont="1" applyFill="1" applyBorder="1" applyAlignment="1">
      <alignment horizontal="center" vertical="center" shrinkToFit="1"/>
    </xf>
    <xf numFmtId="187" fontId="16" fillId="8" borderId="22" xfId="0" applyNumberFormat="1" applyFont="1" applyFill="1" applyBorder="1" applyAlignment="1">
      <alignment horizontal="center" vertical="center" shrinkToFit="1"/>
    </xf>
    <xf numFmtId="183" fontId="16" fillId="0" borderId="22" xfId="0" applyNumberFormat="1" applyFont="1" applyBorder="1" applyAlignment="1">
      <alignment horizontal="center" vertical="center" shrinkToFit="1"/>
    </xf>
    <xf numFmtId="0" fontId="109" fillId="0" borderId="37" xfId="0" applyFont="1" applyBorder="1" applyAlignment="1">
      <alignment horizontal="left" vertical="center"/>
    </xf>
    <xf numFmtId="185" fontId="16" fillId="0" borderId="22" xfId="13" applyNumberFormat="1" applyFont="1" applyBorder="1" applyAlignment="1">
      <alignment horizontal="center" vertical="center" shrinkToFit="1"/>
    </xf>
    <xf numFmtId="183" fontId="16" fillId="0" borderId="22" xfId="0" applyNumberFormat="1" applyFont="1" applyBorder="1" applyAlignment="1">
      <alignment horizontal="center" vertical="center"/>
    </xf>
    <xf numFmtId="183" fontId="16" fillId="9" borderId="22" xfId="0" applyNumberFormat="1" applyFont="1" applyFill="1" applyBorder="1" applyAlignment="1">
      <alignment horizontal="center" vertical="center" shrinkToFit="1"/>
    </xf>
    <xf numFmtId="179" fontId="16" fillId="5" borderId="27" xfId="0" applyNumberFormat="1" applyFont="1" applyFill="1" applyBorder="1" applyAlignment="1">
      <alignment horizontal="center" vertical="center"/>
    </xf>
    <xf numFmtId="179" fontId="16" fillId="5" borderId="28" xfId="0" applyNumberFormat="1" applyFont="1" applyFill="1" applyBorder="1" applyAlignment="1">
      <alignment horizontal="center" vertical="center"/>
    </xf>
    <xf numFmtId="179" fontId="16" fillId="5" borderId="25" xfId="0" applyNumberFormat="1" applyFont="1" applyFill="1" applyBorder="1" applyAlignment="1">
      <alignment horizontal="center" vertical="center"/>
    </xf>
    <xf numFmtId="187" fontId="16" fillId="5" borderId="22" xfId="0" applyNumberFormat="1" applyFont="1" applyFill="1" applyBorder="1" applyAlignment="1">
      <alignment horizontal="center" vertical="center"/>
    </xf>
    <xf numFmtId="187" fontId="16" fillId="8" borderId="22" xfId="0" applyNumberFormat="1" applyFont="1" applyFill="1" applyBorder="1" applyAlignment="1">
      <alignment horizontal="center" vertical="center"/>
    </xf>
    <xf numFmtId="187" fontId="16" fillId="5" borderId="27" xfId="0" applyNumberFormat="1" applyFont="1" applyFill="1" applyBorder="1" applyAlignment="1">
      <alignment horizontal="center" vertical="center"/>
    </xf>
    <xf numFmtId="187" fontId="16" fillId="5" borderId="28" xfId="0" applyNumberFormat="1" applyFont="1" applyFill="1" applyBorder="1" applyAlignment="1">
      <alignment horizontal="center" vertical="center"/>
    </xf>
    <xf numFmtId="187" fontId="16" fillId="5" borderId="25" xfId="0" applyNumberFormat="1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179" fontId="16" fillId="5" borderId="22" xfId="0" applyNumberFormat="1" applyFont="1" applyFill="1" applyBorder="1" applyAlignment="1">
      <alignment horizontal="center" vertical="center"/>
    </xf>
    <xf numFmtId="0" fontId="16" fillId="5" borderId="22" xfId="0" applyFont="1" applyFill="1" applyBorder="1" applyAlignment="1">
      <alignment horizontal="center" vertical="center"/>
    </xf>
    <xf numFmtId="179" fontId="16" fillId="8" borderId="22" xfId="0" applyNumberFormat="1" applyFont="1" applyFill="1" applyBorder="1" applyAlignment="1">
      <alignment horizontal="center" vertical="center"/>
    </xf>
    <xf numFmtId="0" fontId="16" fillId="8" borderId="22" xfId="0" applyFont="1" applyFill="1" applyBorder="1" applyAlignment="1">
      <alignment horizontal="center" vertical="center"/>
    </xf>
    <xf numFmtId="0" fontId="93" fillId="0" borderId="22" xfId="0" applyFont="1" applyBorder="1" applyAlignment="1">
      <alignment horizontal="center" vertical="center"/>
    </xf>
    <xf numFmtId="183" fontId="16" fillId="0" borderId="23" xfId="0" applyNumberFormat="1" applyFont="1" applyBorder="1" applyAlignment="1">
      <alignment horizontal="center" vertical="center"/>
    </xf>
    <xf numFmtId="183" fontId="16" fillId="0" borderId="29" xfId="0" applyNumberFormat="1" applyFont="1" applyBorder="1" applyAlignment="1">
      <alignment horizontal="center" vertical="center"/>
    </xf>
    <xf numFmtId="183" fontId="16" fillId="0" borderId="30" xfId="0" applyNumberFormat="1" applyFont="1" applyBorder="1" applyAlignment="1">
      <alignment horizontal="center" vertical="center"/>
    </xf>
    <xf numFmtId="0" fontId="89" fillId="0" borderId="32" xfId="0" applyFont="1" applyBorder="1" applyAlignment="1">
      <alignment horizontal="left" vertical="center"/>
    </xf>
    <xf numFmtId="0" fontId="89" fillId="0" borderId="26" xfId="0" applyFont="1" applyBorder="1" applyAlignment="1">
      <alignment horizontal="left" vertical="center"/>
    </xf>
    <xf numFmtId="0" fontId="89" fillId="0" borderId="36" xfId="0" applyFont="1" applyBorder="1" applyAlignment="1">
      <alignment horizontal="left" vertical="center"/>
    </xf>
    <xf numFmtId="179" fontId="16" fillId="8" borderId="27" xfId="0" applyNumberFormat="1" applyFont="1" applyFill="1" applyBorder="1" applyAlignment="1">
      <alignment horizontal="center" vertical="center"/>
    </xf>
    <xf numFmtId="179" fontId="16" fillId="8" borderId="28" xfId="0" applyNumberFormat="1" applyFont="1" applyFill="1" applyBorder="1" applyAlignment="1">
      <alignment horizontal="center" vertical="center"/>
    </xf>
    <xf numFmtId="179" fontId="16" fillId="8" borderId="25" xfId="0" applyNumberFormat="1" applyFont="1" applyFill="1" applyBorder="1" applyAlignment="1">
      <alignment horizontal="center" vertical="center"/>
    </xf>
    <xf numFmtId="187" fontId="16" fillId="8" borderId="27" xfId="0" applyNumberFormat="1" applyFont="1" applyFill="1" applyBorder="1" applyAlignment="1">
      <alignment horizontal="center" vertical="center"/>
    </xf>
    <xf numFmtId="187" fontId="16" fillId="8" borderId="28" xfId="0" applyNumberFormat="1" applyFont="1" applyFill="1" applyBorder="1" applyAlignment="1">
      <alignment horizontal="center" vertical="center"/>
    </xf>
    <xf numFmtId="187" fontId="16" fillId="8" borderId="25" xfId="0" applyNumberFormat="1" applyFont="1" applyFill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9" borderId="27" xfId="0" applyFont="1" applyFill="1" applyBorder="1" applyAlignment="1">
      <alignment horizontal="center" vertical="center" shrinkToFit="1"/>
    </xf>
    <xf numFmtId="0" fontId="16" fillId="9" borderId="28" xfId="0" applyFont="1" applyFill="1" applyBorder="1" applyAlignment="1">
      <alignment horizontal="center" vertical="center" shrinkToFit="1"/>
    </xf>
    <xf numFmtId="0" fontId="16" fillId="9" borderId="25" xfId="0" applyFont="1" applyFill="1" applyBorder="1" applyAlignment="1">
      <alignment horizontal="center" vertical="center" shrinkToFit="1"/>
    </xf>
    <xf numFmtId="0" fontId="16" fillId="9" borderId="23" xfId="0" applyFont="1" applyFill="1" applyBorder="1" applyAlignment="1">
      <alignment horizontal="center" vertical="center" shrinkToFit="1"/>
    </xf>
    <xf numFmtId="0" fontId="16" fillId="9" borderId="29" xfId="0" applyFont="1" applyFill="1" applyBorder="1" applyAlignment="1">
      <alignment horizontal="center" vertical="center" shrinkToFit="1"/>
    </xf>
    <xf numFmtId="0" fontId="16" fillId="9" borderId="30" xfId="0" applyFont="1" applyFill="1" applyBorder="1" applyAlignment="1">
      <alignment horizontal="center" vertical="center" shrinkToFit="1"/>
    </xf>
    <xf numFmtId="0" fontId="59" fillId="0" borderId="22" xfId="0" applyFont="1" applyBorder="1" applyAlignment="1">
      <alignment shrinkToFit="1"/>
    </xf>
    <xf numFmtId="0" fontId="74" fillId="0" borderId="22" xfId="0" applyFont="1" applyBorder="1" applyAlignment="1">
      <alignment shrinkToFit="1"/>
    </xf>
    <xf numFmtId="0" fontId="59" fillId="0" borderId="27" xfId="0" applyFont="1" applyBorder="1" applyAlignment="1">
      <alignment shrinkToFit="1"/>
    </xf>
    <xf numFmtId="0" fontId="59" fillId="0" borderId="25" xfId="0" applyFont="1" applyBorder="1" applyAlignment="1">
      <alignment shrinkToFit="1"/>
    </xf>
    <xf numFmtId="0" fontId="59" fillId="2" borderId="22" xfId="0" applyFont="1" applyFill="1" applyBorder="1" applyAlignment="1">
      <alignment horizontal="center" shrinkToFit="1"/>
    </xf>
    <xf numFmtId="0" fontId="74" fillId="0" borderId="22" xfId="0" applyFont="1" applyBorder="1" applyAlignment="1">
      <alignment horizontal="center" shrinkToFit="1"/>
    </xf>
    <xf numFmtId="0" fontId="17" fillId="0" borderId="22" xfId="0" applyFont="1" applyBorder="1" applyAlignment="1">
      <alignment horizontal="center" vertical="center" shrinkToFit="1"/>
    </xf>
    <xf numFmtId="0" fontId="59" fillId="2" borderId="22" xfId="0" applyFont="1" applyFill="1" applyBorder="1" applyAlignment="1">
      <alignment horizontal="center" vertical="center" shrinkToFit="1"/>
    </xf>
    <xf numFmtId="0" fontId="53" fillId="0" borderId="0" xfId="0" applyFont="1" applyAlignment="1">
      <alignment horizontal="left" vertical="center" shrinkToFit="1"/>
    </xf>
    <xf numFmtId="0" fontId="74" fillId="0" borderId="22" xfId="0" applyFont="1" applyBorder="1" applyAlignment="1">
      <alignment horizontal="center" vertical="center" shrinkToFit="1"/>
    </xf>
    <xf numFmtId="0" fontId="108" fillId="0" borderId="22" xfId="0" applyFont="1" applyBorder="1" applyAlignment="1">
      <alignment shrinkToFit="1"/>
    </xf>
    <xf numFmtId="0" fontId="79" fillId="0" borderId="27" xfId="0" applyFont="1" applyBorder="1" applyAlignment="1">
      <alignment shrinkToFit="1"/>
    </xf>
    <xf numFmtId="0" fontId="108" fillId="0" borderId="27" xfId="0" applyFont="1" applyBorder="1" applyAlignment="1">
      <alignment shrinkToFit="1"/>
    </xf>
    <xf numFmtId="0" fontId="59" fillId="0" borderId="28" xfId="0" applyFont="1" applyBorder="1" applyAlignment="1">
      <alignment shrinkToFit="1"/>
    </xf>
    <xf numFmtId="0" fontId="59" fillId="2" borderId="27" xfId="0" applyFont="1" applyFill="1" applyBorder="1" applyAlignment="1">
      <alignment horizontal="center" shrinkToFit="1"/>
    </xf>
    <xf numFmtId="0" fontId="59" fillId="2" borderId="25" xfId="0" applyFont="1" applyFill="1" applyBorder="1" applyAlignment="1">
      <alignment horizontal="center" shrinkToFit="1"/>
    </xf>
    <xf numFmtId="0" fontId="59" fillId="2" borderId="28" xfId="0" applyFont="1" applyFill="1" applyBorder="1" applyAlignment="1">
      <alignment horizontal="center" shrinkToFit="1"/>
    </xf>
    <xf numFmtId="0" fontId="17" fillId="0" borderId="23" xfId="0" applyFont="1" applyBorder="1" applyAlignment="1">
      <alignment horizontal="center" vertical="center" shrinkToFit="1"/>
    </xf>
    <xf numFmtId="0" fontId="17" fillId="0" borderId="29" xfId="0" applyFont="1" applyBorder="1" applyAlignment="1">
      <alignment horizontal="center" vertical="center" shrinkToFit="1"/>
    </xf>
    <xf numFmtId="0" fontId="17" fillId="0" borderId="30" xfId="0" applyFont="1" applyBorder="1" applyAlignment="1">
      <alignment horizontal="center" vertical="center" shrinkToFit="1"/>
    </xf>
    <xf numFmtId="0" fontId="59" fillId="2" borderId="23" xfId="0" applyFont="1" applyFill="1" applyBorder="1" applyAlignment="1">
      <alignment horizontal="center" vertical="center" shrinkToFit="1"/>
    </xf>
    <xf numFmtId="0" fontId="59" fillId="2" borderId="29" xfId="0" applyFont="1" applyFill="1" applyBorder="1" applyAlignment="1">
      <alignment horizontal="center" vertical="center" shrinkToFit="1"/>
    </xf>
    <xf numFmtId="0" fontId="59" fillId="2" borderId="30" xfId="0" applyFont="1" applyFill="1" applyBorder="1" applyAlignment="1">
      <alignment horizontal="center" vertical="center" shrinkToFit="1"/>
    </xf>
    <xf numFmtId="0" fontId="59" fillId="2" borderId="27" xfId="0" applyFont="1" applyFill="1" applyBorder="1" applyAlignment="1">
      <alignment horizontal="center" vertical="center" shrinkToFit="1"/>
    </xf>
    <xf numFmtId="0" fontId="59" fillId="2" borderId="25" xfId="0" applyFont="1" applyFill="1" applyBorder="1" applyAlignment="1">
      <alignment horizontal="center" vertical="center" shrinkToFit="1"/>
    </xf>
    <xf numFmtId="0" fontId="59" fillId="2" borderId="28" xfId="0" applyFont="1" applyFill="1" applyBorder="1" applyAlignment="1">
      <alignment horizontal="center" vertical="center" shrinkToFit="1"/>
    </xf>
    <xf numFmtId="0" fontId="66" fillId="0" borderId="22" xfId="0" applyFont="1" applyBorder="1" applyAlignment="1">
      <alignment shrinkToFit="1"/>
    </xf>
    <xf numFmtId="0" fontId="44" fillId="0" borderId="0" xfId="11" applyFont="1" applyAlignment="1">
      <alignment horizontal="center" vertical="center" shrinkToFit="1"/>
    </xf>
    <xf numFmtId="0" fontId="53" fillId="0" borderId="0" xfId="11" applyFont="1" applyAlignment="1">
      <alignment horizontal="left" vertical="center" shrinkToFit="1"/>
    </xf>
    <xf numFmtId="0" fontId="46" fillId="0" borderId="22" xfId="11" applyFont="1" applyBorder="1" applyAlignment="1">
      <alignment horizontal="center" vertical="center"/>
    </xf>
    <xf numFmtId="0" fontId="30" fillId="0" borderId="22" xfId="11" applyFont="1" applyBorder="1" applyAlignment="1">
      <alignment horizontal="center" vertical="center" shrinkToFit="1"/>
    </xf>
    <xf numFmtId="0" fontId="30" fillId="0" borderId="37" xfId="11" applyFont="1" applyBorder="1" applyAlignment="1">
      <alignment horizontal="center" vertical="center" shrinkToFit="1"/>
    </xf>
    <xf numFmtId="0" fontId="30" fillId="0" borderId="0" xfId="11" applyFont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28" fillId="0" borderId="22" xfId="11" applyFont="1" applyBorder="1" applyAlignment="1">
      <alignment horizontal="center" shrinkToFit="1"/>
    </xf>
    <xf numFmtId="0" fontId="57" fillId="0" borderId="22" xfId="11" applyFont="1" applyBorder="1" applyAlignment="1">
      <alignment horizontal="center" vertical="center" shrinkToFit="1"/>
    </xf>
    <xf numFmtId="0" fontId="34" fillId="0" borderId="22" xfId="11" applyFont="1" applyBorder="1" applyAlignment="1">
      <alignment horizontal="center" vertical="center" shrinkToFit="1"/>
    </xf>
    <xf numFmtId="0" fontId="45" fillId="2" borderId="22" xfId="11" applyFont="1" applyFill="1" applyBorder="1" applyAlignment="1">
      <alignment horizontal="center" vertical="center" shrinkToFit="1"/>
    </xf>
    <xf numFmtId="0" fontId="39" fillId="0" borderId="22" xfId="11" applyFont="1" applyBorder="1" applyAlignment="1">
      <alignment horizontal="left" vertical="center" wrapText="1"/>
    </xf>
    <xf numFmtId="0" fontId="30" fillId="2" borderId="35" xfId="11" applyFont="1" applyFill="1" applyBorder="1" applyAlignment="1">
      <alignment horizontal="center" vertical="center" shrinkToFit="1"/>
    </xf>
    <xf numFmtId="0" fontId="30" fillId="2" borderId="26" xfId="11" applyFont="1" applyFill="1" applyBorder="1" applyAlignment="1">
      <alignment horizontal="center" vertical="center" shrinkToFit="1"/>
    </xf>
    <xf numFmtId="0" fontId="30" fillId="2" borderId="43" xfId="11" applyFont="1" applyFill="1" applyBorder="1" applyAlignment="1">
      <alignment horizontal="center" vertical="center" shrinkToFit="1"/>
    </xf>
    <xf numFmtId="0" fontId="30" fillId="2" borderId="57" xfId="11" applyFont="1" applyFill="1" applyBorder="1" applyAlignment="1">
      <alignment horizontal="center" vertical="center" shrinkToFit="1"/>
    </xf>
    <xf numFmtId="0" fontId="30" fillId="2" borderId="58" xfId="11" applyFont="1" applyFill="1" applyBorder="1" applyAlignment="1">
      <alignment horizontal="center" vertical="center" shrinkToFit="1"/>
    </xf>
    <xf numFmtId="0" fontId="30" fillId="2" borderId="59" xfId="11" applyFont="1" applyFill="1" applyBorder="1" applyAlignment="1">
      <alignment horizontal="center" vertical="center" shrinkToFit="1"/>
    </xf>
    <xf numFmtId="0" fontId="30" fillId="2" borderId="27" xfId="11" applyFont="1" applyFill="1" applyBorder="1" applyAlignment="1">
      <alignment horizontal="center" vertical="center" shrinkToFit="1"/>
    </xf>
    <xf numFmtId="0" fontId="30" fillId="2" borderId="28" xfId="11" applyFont="1" applyFill="1" applyBorder="1" applyAlignment="1">
      <alignment horizontal="center" vertical="center" shrinkToFit="1"/>
    </xf>
    <xf numFmtId="0" fontId="30" fillId="2" borderId="25" xfId="11" applyFont="1" applyFill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wrapText="1" shrinkToFit="1"/>
    </xf>
    <xf numFmtId="0" fontId="66" fillId="0" borderId="22" xfId="11" applyFont="1" applyBorder="1" applyAlignment="1">
      <alignment horizontal="left" vertical="center" wrapText="1"/>
    </xf>
    <xf numFmtId="0" fontId="66" fillId="2" borderId="22" xfId="11" applyFont="1" applyFill="1" applyBorder="1" applyAlignment="1">
      <alignment horizontal="center" vertical="center" shrinkToFit="1"/>
    </xf>
    <xf numFmtId="0" fontId="30" fillId="2" borderId="22" xfId="11" applyFont="1" applyFill="1" applyBorder="1" applyAlignment="1">
      <alignment horizontal="center" vertical="center" shrinkToFit="1"/>
    </xf>
    <xf numFmtId="0" fontId="39" fillId="0" borderId="22" xfId="11" applyFont="1" applyBorder="1" applyAlignment="1">
      <alignment vertical="center" wrapText="1"/>
    </xf>
    <xf numFmtId="0" fontId="66" fillId="0" borderId="22" xfId="11" applyFont="1" applyBorder="1" applyAlignment="1">
      <alignment vertical="center" wrapText="1"/>
    </xf>
    <xf numFmtId="0" fontId="30" fillId="0" borderId="77" xfId="11" applyFont="1" applyBorder="1" applyAlignment="1">
      <alignment horizontal="left" vertical="center"/>
    </xf>
    <xf numFmtId="0" fontId="30" fillId="0" borderId="28" xfId="11" applyFont="1" applyBorder="1" applyAlignment="1">
      <alignment horizontal="left" vertical="center"/>
    </xf>
    <xf numFmtId="0" fontId="30" fillId="0" borderId="25" xfId="11" applyFont="1" applyBorder="1" applyAlignment="1">
      <alignment horizontal="left" vertical="center"/>
    </xf>
    <xf numFmtId="0" fontId="54" fillId="0" borderId="0" xfId="11" applyFont="1" applyAlignment="1">
      <alignment horizontal="left" vertical="center" shrinkToFit="1"/>
    </xf>
    <xf numFmtId="0" fontId="28" fillId="9" borderId="22" xfId="11" applyFont="1" applyFill="1" applyBorder="1" applyAlignment="1">
      <alignment horizontal="center" vertical="center" shrinkToFit="1"/>
    </xf>
    <xf numFmtId="0" fontId="30" fillId="9" borderId="22" xfId="11" applyFont="1" applyFill="1" applyBorder="1" applyAlignment="1">
      <alignment horizontal="center" vertical="center" shrinkToFit="1"/>
    </xf>
    <xf numFmtId="0" fontId="66" fillId="0" borderId="22" xfId="11" applyFont="1" applyBorder="1" applyAlignment="1">
      <alignment horizontal="center" vertical="center" wrapText="1"/>
    </xf>
    <xf numFmtId="0" fontId="9" fillId="2" borderId="39" xfId="11" applyFont="1" applyFill="1" applyBorder="1" applyAlignment="1">
      <alignment horizontal="center" shrinkToFit="1"/>
    </xf>
    <xf numFmtId="0" fontId="9" fillId="2" borderId="2" xfId="11" applyFont="1" applyFill="1" applyBorder="1" applyAlignment="1">
      <alignment horizontal="center" shrinkToFit="1"/>
    </xf>
    <xf numFmtId="0" fontId="9" fillId="2" borderId="3" xfId="11" applyFont="1" applyFill="1" applyBorder="1" applyAlignment="1">
      <alignment horizontal="center" shrinkToFit="1"/>
    </xf>
    <xf numFmtId="0" fontId="37" fillId="0" borderId="27" xfId="11" applyFont="1" applyBorder="1" applyAlignment="1">
      <alignment horizontal="center" vertical="center" shrinkToFit="1"/>
    </xf>
    <xf numFmtId="0" fontId="37" fillId="0" borderId="25" xfId="11" applyFont="1" applyBorder="1" applyAlignment="1">
      <alignment horizontal="center" vertical="center" shrinkToFit="1"/>
    </xf>
    <xf numFmtId="0" fontId="9" fillId="2" borderId="68" xfId="11" applyFont="1" applyFill="1" applyBorder="1" applyAlignment="1">
      <alignment horizontal="center" vertical="center" shrinkToFit="1"/>
    </xf>
    <xf numFmtId="0" fontId="9" fillId="2" borderId="58" xfId="11" applyFont="1" applyFill="1" applyBorder="1" applyAlignment="1">
      <alignment horizontal="center" vertical="center" shrinkToFit="1"/>
    </xf>
    <xf numFmtId="0" fontId="9" fillId="2" borderId="61" xfId="11" applyFont="1" applyFill="1" applyBorder="1" applyAlignment="1">
      <alignment horizontal="center" vertical="center" shrinkToFit="1"/>
    </xf>
    <xf numFmtId="0" fontId="13" fillId="2" borderId="27" xfId="11" applyFont="1" applyFill="1" applyBorder="1" applyAlignment="1">
      <alignment horizontal="center" vertical="center" shrinkToFit="1"/>
    </xf>
    <xf numFmtId="0" fontId="13" fillId="2" borderId="28" xfId="11" applyFont="1" applyFill="1" applyBorder="1" applyAlignment="1">
      <alignment horizontal="center" vertical="center" shrinkToFit="1"/>
    </xf>
    <xf numFmtId="0" fontId="13" fillId="2" borderId="25" xfId="11" applyFont="1" applyFill="1" applyBorder="1" applyAlignment="1">
      <alignment horizontal="center" vertical="center" shrinkToFit="1"/>
    </xf>
    <xf numFmtId="0" fontId="14" fillId="2" borderId="4" xfId="11" applyFont="1" applyFill="1" applyBorder="1" applyAlignment="1">
      <alignment horizontal="center" vertical="center" shrinkToFit="1"/>
    </xf>
    <xf numFmtId="0" fontId="14" fillId="2" borderId="3" xfId="11" applyFont="1" applyFill="1" applyBorder="1" applyAlignment="1">
      <alignment horizontal="center" vertical="center" shrinkToFit="1"/>
    </xf>
    <xf numFmtId="0" fontId="26" fillId="0" borderId="23" xfId="11" applyBorder="1" applyAlignment="1">
      <alignment horizontal="center" vertical="center" shrinkToFit="1"/>
    </xf>
    <xf numFmtId="0" fontId="26" fillId="0" borderId="29" xfId="11" applyBorder="1" applyAlignment="1">
      <alignment horizontal="center" vertical="center" shrinkToFit="1"/>
    </xf>
    <xf numFmtId="0" fontId="26" fillId="0" borderId="30" xfId="11" applyBorder="1" applyAlignment="1">
      <alignment horizontal="center" vertical="center" shrinkToFit="1"/>
    </xf>
    <xf numFmtId="0" fontId="68" fillId="0" borderId="23" xfId="11" applyFont="1" applyBorder="1" applyAlignment="1">
      <alignment horizontal="center" vertical="center" wrapText="1" shrinkToFit="1"/>
    </xf>
    <xf numFmtId="0" fontId="68" fillId="0" borderId="29" xfId="11" applyFont="1" applyBorder="1" applyAlignment="1">
      <alignment horizontal="center" vertical="center" wrapText="1" shrinkToFit="1"/>
    </xf>
    <xf numFmtId="0" fontId="68" fillId="0" borderId="30" xfId="11" applyFont="1" applyBorder="1" applyAlignment="1">
      <alignment horizontal="center" vertical="center" wrapText="1" shrinkToFit="1"/>
    </xf>
    <xf numFmtId="0" fontId="79" fillId="0" borderId="4" xfId="11" applyFont="1" applyBorder="1" applyAlignment="1">
      <alignment horizontal="center" vertical="center" shrinkToFit="1"/>
    </xf>
    <xf numFmtId="0" fontId="79" fillId="0" borderId="3" xfId="11" applyFont="1" applyBorder="1" applyAlignment="1">
      <alignment horizontal="center" vertical="center" shrinkToFit="1"/>
    </xf>
    <xf numFmtId="0" fontId="79" fillId="0" borderId="4" xfId="11" applyFont="1" applyBorder="1" applyAlignment="1">
      <alignment horizontal="center" shrinkToFit="1"/>
    </xf>
    <xf numFmtId="0" fontId="79" fillId="0" borderId="3" xfId="11" applyFont="1" applyBorder="1" applyAlignment="1">
      <alignment horizontal="center" shrinkToFit="1"/>
    </xf>
    <xf numFmtId="0" fontId="9" fillId="2" borderId="27" xfId="11" applyFont="1" applyFill="1" applyBorder="1" applyAlignment="1">
      <alignment horizontal="center" vertical="center" shrinkToFit="1"/>
    </xf>
    <xf numFmtId="0" fontId="9" fillId="2" borderId="28" xfId="11" applyFont="1" applyFill="1" applyBorder="1" applyAlignment="1">
      <alignment horizontal="center" vertical="center" shrinkToFit="1"/>
    </xf>
    <xf numFmtId="0" fontId="9" fillId="2" borderId="25" xfId="11" applyFont="1" applyFill="1" applyBorder="1" applyAlignment="1">
      <alignment horizontal="center" vertical="center" shrinkToFit="1"/>
    </xf>
    <xf numFmtId="0" fontId="37" fillId="0" borderId="23" xfId="11" applyFont="1" applyBorder="1" applyAlignment="1">
      <alignment horizontal="center" vertical="center" wrapText="1" shrinkToFit="1"/>
    </xf>
    <xf numFmtId="0" fontId="37" fillId="0" borderId="29" xfId="11" applyFont="1" applyBorder="1" applyAlignment="1">
      <alignment horizontal="center" vertical="center" wrapText="1" shrinkToFit="1"/>
    </xf>
    <xf numFmtId="0" fontId="37" fillId="0" borderId="30" xfId="11" applyFont="1" applyBorder="1" applyAlignment="1">
      <alignment horizontal="center" vertical="center" wrapText="1" shrinkToFit="1"/>
    </xf>
    <xf numFmtId="0" fontId="79" fillId="0" borderId="4" xfId="11" applyFont="1" applyBorder="1" applyAlignment="1">
      <alignment vertical="center" wrapText="1" shrinkToFit="1"/>
    </xf>
    <xf numFmtId="0" fontId="79" fillId="0" borderId="3" xfId="11" applyFont="1" applyBorder="1" applyAlignment="1">
      <alignment vertical="center" wrapText="1" shrinkToFit="1"/>
    </xf>
    <xf numFmtId="0" fontId="9" fillId="2" borderId="4" xfId="11" applyFont="1" applyFill="1" applyBorder="1" applyAlignment="1">
      <alignment horizontal="center" vertical="center" shrinkToFit="1"/>
    </xf>
    <xf numFmtId="0" fontId="9" fillId="2" borderId="2" xfId="11" applyFont="1" applyFill="1" applyBorder="1" applyAlignment="1">
      <alignment horizontal="center" vertical="center" shrinkToFit="1"/>
    </xf>
    <xf numFmtId="0" fontId="9" fillId="2" borderId="3" xfId="11" applyFont="1" applyFill="1" applyBorder="1" applyAlignment="1">
      <alignment horizontal="center" vertical="center" shrinkToFit="1"/>
    </xf>
    <xf numFmtId="0" fontId="13" fillId="2" borderId="54" xfId="11" applyFont="1" applyFill="1" applyBorder="1" applyAlignment="1">
      <alignment horizontal="center" vertical="center" shrinkToFit="1"/>
    </xf>
    <xf numFmtId="0" fontId="13" fillId="2" borderId="47" xfId="11" applyFont="1" applyFill="1" applyBorder="1" applyAlignment="1">
      <alignment horizontal="center" vertical="center" shrinkToFit="1"/>
    </xf>
    <xf numFmtId="0" fontId="13" fillId="2" borderId="48" xfId="11" applyFont="1" applyFill="1" applyBorder="1" applyAlignment="1">
      <alignment horizontal="center" vertical="center" shrinkToFit="1"/>
    </xf>
    <xf numFmtId="0" fontId="91" fillId="4" borderId="4" xfId="11" applyFont="1" applyFill="1" applyBorder="1" applyAlignment="1">
      <alignment vertical="center" wrapText="1"/>
    </xf>
    <xf numFmtId="0" fontId="91" fillId="4" borderId="3" xfId="11" applyFont="1" applyFill="1" applyBorder="1" applyAlignment="1">
      <alignment vertical="center" wrapText="1"/>
    </xf>
    <xf numFmtId="0" fontId="79" fillId="0" borderId="4" xfId="11" applyFont="1" applyBorder="1" applyAlignment="1">
      <alignment vertical="center" wrapText="1"/>
    </xf>
    <xf numFmtId="0" fontId="79" fillId="0" borderId="3" xfId="11" applyFont="1" applyBorder="1" applyAlignment="1">
      <alignment vertical="center" wrapText="1"/>
    </xf>
    <xf numFmtId="0" fontId="79" fillId="0" borderId="4" xfId="11" applyFont="1" applyBorder="1" applyAlignment="1">
      <alignment horizontal="left" vertical="top" wrapText="1"/>
    </xf>
    <xf numFmtId="0" fontId="79" fillId="0" borderId="3" xfId="11" applyFont="1" applyBorder="1" applyAlignment="1">
      <alignment horizontal="left" vertical="top" wrapText="1"/>
    </xf>
    <xf numFmtId="0" fontId="79" fillId="0" borderId="4" xfId="11" applyFont="1" applyBorder="1" applyAlignment="1">
      <alignment horizontal="left" vertical="center" wrapText="1"/>
    </xf>
    <xf numFmtId="0" fontId="79" fillId="0" borderId="3" xfId="11" applyFont="1" applyBorder="1" applyAlignment="1">
      <alignment horizontal="left" vertical="center" wrapText="1"/>
    </xf>
    <xf numFmtId="0" fontId="79" fillId="4" borderId="4" xfId="11" applyFont="1" applyFill="1" applyBorder="1" applyAlignment="1">
      <alignment vertical="center" wrapText="1"/>
    </xf>
    <xf numFmtId="0" fontId="79" fillId="4" borderId="3" xfId="11" applyFont="1" applyFill="1" applyBorder="1" applyAlignment="1">
      <alignment vertical="center" wrapText="1"/>
    </xf>
    <xf numFmtId="0" fontId="26" fillId="0" borderId="23" xfId="11" applyBorder="1" applyAlignment="1">
      <alignment horizontal="center" vertical="center" wrapText="1" shrinkToFit="1"/>
    </xf>
    <xf numFmtId="0" fontId="26" fillId="0" borderId="29" xfId="11" applyBorder="1" applyAlignment="1">
      <alignment horizontal="center" vertical="center" wrapText="1" shrinkToFit="1"/>
    </xf>
    <xf numFmtId="0" fontId="26" fillId="0" borderId="30" xfId="11" applyBorder="1" applyAlignment="1">
      <alignment horizontal="center" vertical="center" wrapText="1" shrinkToFit="1"/>
    </xf>
    <xf numFmtId="0" fontId="39" fillId="0" borderId="68" xfId="11" applyFont="1" applyBorder="1" applyAlignment="1">
      <alignment horizontal="left" vertical="center" wrapText="1"/>
    </xf>
    <xf numFmtId="0" fontId="39" fillId="0" borderId="61" xfId="11" applyFont="1" applyBorder="1" applyAlignment="1">
      <alignment horizontal="left" vertical="center" wrapText="1"/>
    </xf>
    <xf numFmtId="0" fontId="79" fillId="4" borderId="4" xfId="11" applyFont="1" applyFill="1" applyBorder="1" applyAlignment="1">
      <alignment horizontal="left" vertical="center" wrapText="1"/>
    </xf>
    <xf numFmtId="0" fontId="79" fillId="4" borderId="3" xfId="11" applyFont="1" applyFill="1" applyBorder="1" applyAlignment="1">
      <alignment horizontal="left" vertical="center" wrapText="1"/>
    </xf>
    <xf numFmtId="0" fontId="79" fillId="0" borderId="4" xfId="11" applyFont="1" applyBorder="1" applyAlignment="1">
      <alignment horizontal="left" vertical="center" wrapText="1" shrinkToFit="1"/>
    </xf>
    <xf numFmtId="0" fontId="79" fillId="0" borderId="3" xfId="11" applyFont="1" applyBorder="1" applyAlignment="1">
      <alignment horizontal="left" vertical="center" wrapText="1" shrinkToFit="1"/>
    </xf>
    <xf numFmtId="0" fontId="9" fillId="2" borderId="35" xfId="11" applyFont="1" applyFill="1" applyBorder="1" applyAlignment="1">
      <alignment horizontal="center" vertical="center" shrinkToFit="1"/>
    </xf>
    <xf numFmtId="0" fontId="9" fillId="2" borderId="26" xfId="11" applyFont="1" applyFill="1" applyBorder="1" applyAlignment="1">
      <alignment horizontal="center" vertical="center" shrinkToFit="1"/>
    </xf>
    <xf numFmtId="0" fontId="9" fillId="2" borderId="36" xfId="11" applyFont="1" applyFill="1" applyBorder="1" applyAlignment="1">
      <alignment horizontal="center" vertical="center" shrinkToFit="1"/>
    </xf>
    <xf numFmtId="0" fontId="28" fillId="9" borderId="27" xfId="11" applyFont="1" applyFill="1" applyBorder="1" applyAlignment="1">
      <alignment horizontal="center" vertical="center" shrinkToFit="1"/>
    </xf>
    <xf numFmtId="0" fontId="28" fillId="9" borderId="25" xfId="11" applyFont="1" applyFill="1" applyBorder="1" applyAlignment="1">
      <alignment horizontal="center" vertical="center" shrinkToFit="1"/>
    </xf>
    <xf numFmtId="0" fontId="30" fillId="9" borderId="27" xfId="11" applyFont="1" applyFill="1" applyBorder="1" applyAlignment="1">
      <alignment horizontal="center" vertical="center" shrinkToFit="1"/>
    </xf>
    <xf numFmtId="0" fontId="30" fillId="9" borderId="25" xfId="11" applyFont="1" applyFill="1" applyBorder="1" applyAlignment="1">
      <alignment horizontal="center" vertical="center" shrinkToFit="1"/>
    </xf>
    <xf numFmtId="0" fontId="30" fillId="0" borderId="27" xfId="11" applyFont="1" applyBorder="1" applyAlignment="1">
      <alignment horizontal="center" vertical="center" shrinkToFit="1"/>
    </xf>
    <xf numFmtId="0" fontId="30" fillId="0" borderId="25" xfId="11" applyFont="1" applyBorder="1" applyAlignment="1">
      <alignment horizontal="center" vertical="center" shrinkToFit="1"/>
    </xf>
    <xf numFmtId="0" fontId="53" fillId="0" borderId="26" xfId="11" applyFont="1" applyBorder="1" applyAlignment="1">
      <alignment horizontal="left" vertical="center" shrinkToFit="1"/>
    </xf>
    <xf numFmtId="0" fontId="30" fillId="0" borderId="23" xfId="11" applyFont="1" applyBorder="1" applyAlignment="1">
      <alignment horizontal="center" vertical="center" shrinkToFit="1"/>
    </xf>
    <xf numFmtId="0" fontId="30" fillId="0" borderId="30" xfId="11" applyFont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66" fillId="0" borderId="4" xfId="11" applyFont="1" applyBorder="1" applyAlignment="1">
      <alignment horizontal="left" vertical="center" wrapText="1"/>
    </xf>
    <xf numFmtId="0" fontId="66" fillId="0" borderId="62" xfId="11" applyFont="1" applyBorder="1" applyAlignment="1">
      <alignment horizontal="left" vertical="center" wrapText="1"/>
    </xf>
    <xf numFmtId="0" fontId="30" fillId="2" borderId="46" xfId="11" applyFont="1" applyFill="1" applyBorder="1" applyAlignment="1">
      <alignment horizontal="center" shrinkToFit="1"/>
    </xf>
    <xf numFmtId="0" fontId="30" fillId="2" borderId="47" xfId="11" applyFont="1" applyFill="1" applyBorder="1" applyAlignment="1">
      <alignment horizontal="center" shrinkToFit="1"/>
    </xf>
    <xf numFmtId="0" fontId="30" fillId="2" borderId="63" xfId="11" applyFont="1" applyFill="1" applyBorder="1" applyAlignment="1">
      <alignment horizontal="center" shrinkToFit="1"/>
    </xf>
    <xf numFmtId="0" fontId="66" fillId="2" borderId="57" xfId="11" applyFont="1" applyFill="1" applyBorder="1" applyAlignment="1">
      <alignment horizontal="center" vertical="center" shrinkToFit="1"/>
    </xf>
    <xf numFmtId="0" fontId="66" fillId="2" borderId="61" xfId="11" applyFont="1" applyFill="1" applyBorder="1" applyAlignment="1">
      <alignment horizontal="center" vertical="center" shrinkToFit="1"/>
    </xf>
    <xf numFmtId="0" fontId="66" fillId="2" borderId="57" xfId="11" applyFont="1" applyFill="1" applyBorder="1" applyAlignment="1">
      <alignment horizontal="left" vertical="center" shrinkToFit="1"/>
    </xf>
    <xf numFmtId="0" fontId="66" fillId="2" borderId="61" xfId="11" applyFont="1" applyFill="1" applyBorder="1" applyAlignment="1">
      <alignment horizontal="left" vertical="center" shrinkToFit="1"/>
    </xf>
    <xf numFmtId="0" fontId="66" fillId="0" borderId="4" xfId="11" applyFont="1" applyBorder="1" applyAlignment="1">
      <alignment horizontal="left" vertical="center" shrinkToFit="1"/>
    </xf>
    <xf numFmtId="0" fontId="66" fillId="0" borderId="62" xfId="11" applyFont="1" applyBorder="1" applyAlignment="1">
      <alignment horizontal="left" vertical="center" shrinkToFit="1"/>
    </xf>
    <xf numFmtId="0" fontId="66" fillId="2" borderId="52" xfId="11" applyFont="1" applyFill="1" applyBorder="1" applyAlignment="1">
      <alignment horizontal="center" vertical="center" shrinkToFit="1"/>
    </xf>
    <xf numFmtId="0" fontId="66" fillId="2" borderId="26" xfId="11" applyFont="1" applyFill="1" applyBorder="1" applyAlignment="1">
      <alignment horizontal="center" vertical="center" shrinkToFit="1"/>
    </xf>
    <xf numFmtId="0" fontId="66" fillId="2" borderId="36" xfId="11" applyFont="1" applyFill="1" applyBorder="1" applyAlignment="1">
      <alignment horizontal="center" vertical="center" shrinkToFit="1"/>
    </xf>
    <xf numFmtId="0" fontId="66" fillId="0" borderId="68" xfId="11" applyFont="1" applyBorder="1" applyAlignment="1">
      <alignment horizontal="left" vertical="center" wrapText="1"/>
    </xf>
    <xf numFmtId="0" fontId="66" fillId="0" borderId="61" xfId="11" applyFont="1" applyBorder="1" applyAlignment="1">
      <alignment horizontal="left" vertical="center" wrapText="1"/>
    </xf>
    <xf numFmtId="0" fontId="66" fillId="2" borderId="52" xfId="11" applyFont="1" applyFill="1" applyBorder="1" applyAlignment="1">
      <alignment horizontal="left" vertical="center" shrinkToFit="1"/>
    </xf>
    <xf numFmtId="0" fontId="66" fillId="2" borderId="26" xfId="11" applyFont="1" applyFill="1" applyBorder="1" applyAlignment="1">
      <alignment horizontal="left" vertical="center" shrinkToFit="1"/>
    </xf>
    <xf numFmtId="0" fontId="66" fillId="2" borderId="53" xfId="11" applyFont="1" applyFill="1" applyBorder="1" applyAlignment="1">
      <alignment horizontal="left" vertical="center" shrinkToFit="1"/>
    </xf>
    <xf numFmtId="0" fontId="59" fillId="0" borderId="22" xfId="11" applyFont="1" applyBorder="1" applyAlignment="1">
      <alignment horizontal="center" vertical="center" shrinkToFit="1"/>
    </xf>
    <xf numFmtId="0" fontId="79" fillId="0" borderId="4" xfId="11" applyFont="1" applyBorder="1" applyAlignment="1">
      <alignment vertical="top" wrapText="1" shrinkToFit="1"/>
    </xf>
    <xf numFmtId="0" fontId="79" fillId="0" borderId="3" xfId="11" applyFont="1" applyBorder="1" applyAlignment="1">
      <alignment vertical="top" wrapText="1" shrinkToFit="1"/>
    </xf>
    <xf numFmtId="0" fontId="91" fillId="0" borderId="4" xfId="11" applyFont="1" applyBorder="1" applyAlignment="1">
      <alignment vertical="center" wrapText="1"/>
    </xf>
    <xf numFmtId="0" fontId="91" fillId="0" borderId="3" xfId="11" applyFont="1" applyBorder="1" applyAlignment="1">
      <alignment vertical="center" wrapText="1"/>
    </xf>
    <xf numFmtId="0" fontId="9" fillId="2" borderId="9" xfId="11" applyFont="1" applyFill="1" applyBorder="1" applyAlignment="1">
      <alignment horizontal="center" vertical="center" shrinkToFit="1"/>
    </xf>
    <xf numFmtId="0" fontId="9" fillId="2" borderId="10" xfId="11" applyFont="1" applyFill="1" applyBorder="1" applyAlignment="1">
      <alignment horizontal="center" vertical="center" shrinkToFit="1"/>
    </xf>
    <xf numFmtId="0" fontId="9" fillId="2" borderId="8" xfId="11" applyFont="1" applyFill="1" applyBorder="1" applyAlignment="1">
      <alignment horizontal="center" vertical="center" shrinkToFit="1"/>
    </xf>
    <xf numFmtId="0" fontId="13" fillId="2" borderId="9" xfId="11" applyFont="1" applyFill="1" applyBorder="1" applyAlignment="1">
      <alignment horizontal="center" vertical="center" shrinkToFit="1"/>
    </xf>
    <xf numFmtId="0" fontId="13" fillId="2" borderId="10" xfId="11" applyFont="1" applyFill="1" applyBorder="1" applyAlignment="1">
      <alignment horizontal="center" vertical="center" shrinkToFit="1"/>
    </xf>
    <xf numFmtId="0" fontId="13" fillId="2" borderId="8" xfId="11" applyFont="1" applyFill="1" applyBorder="1" applyAlignment="1">
      <alignment horizontal="center" vertical="center" shrinkToFit="1"/>
    </xf>
    <xf numFmtId="0" fontId="97" fillId="0" borderId="26" xfId="11" applyFont="1" applyBorder="1" applyAlignment="1">
      <alignment horizontal="center" shrinkToFit="1"/>
    </xf>
    <xf numFmtId="0" fontId="28" fillId="0" borderId="26" xfId="11" applyFont="1" applyBorder="1" applyAlignment="1">
      <alignment horizontal="center" shrinkToFit="1"/>
    </xf>
    <xf numFmtId="0" fontId="30" fillId="0" borderId="22" xfId="11" applyFont="1" applyBorder="1" applyAlignment="1">
      <alignment horizontal="center" vertical="center"/>
    </xf>
    <xf numFmtId="0" fontId="28" fillId="0" borderId="27" xfId="11" applyFont="1" applyBorder="1" applyAlignment="1">
      <alignment horizontal="center" shrinkToFit="1"/>
    </xf>
    <xf numFmtId="0" fontId="28" fillId="0" borderId="25" xfId="11" applyFont="1" applyBorder="1" applyAlignment="1">
      <alignment horizontal="center" shrinkToFit="1"/>
    </xf>
    <xf numFmtId="0" fontId="57" fillId="0" borderId="27" xfId="11" applyFont="1" applyBorder="1" applyAlignment="1">
      <alignment horizontal="center" vertical="center" shrinkToFit="1"/>
    </xf>
    <xf numFmtId="0" fontId="57" fillId="0" borderId="25" xfId="11" applyFont="1" applyBorder="1" applyAlignment="1">
      <alignment horizontal="center" vertical="center" shrinkToFit="1"/>
    </xf>
    <xf numFmtId="0" fontId="34" fillId="0" borderId="27" xfId="11" applyFont="1" applyBorder="1" applyAlignment="1">
      <alignment horizontal="center" vertical="center" shrinkToFit="1"/>
    </xf>
    <xf numFmtId="0" fontId="34" fillId="0" borderId="25" xfId="11" applyFont="1" applyBorder="1" applyAlignment="1">
      <alignment horizontal="center" vertical="center" shrinkToFit="1"/>
    </xf>
    <xf numFmtId="0" fontId="46" fillId="0" borderId="81" xfId="11" applyFont="1" applyBorder="1" applyAlignment="1">
      <alignment horizontal="center" vertical="center"/>
    </xf>
    <xf numFmtId="0" fontId="46" fillId="0" borderId="29" xfId="11" applyFont="1" applyBorder="1" applyAlignment="1">
      <alignment horizontal="center" vertical="center"/>
    </xf>
    <xf numFmtId="0" fontId="46" fillId="0" borderId="30" xfId="11" applyFont="1" applyBorder="1" applyAlignment="1">
      <alignment horizontal="center" vertical="center"/>
    </xf>
    <xf numFmtId="0" fontId="30" fillId="2" borderId="61" xfId="11" applyFont="1" applyFill="1" applyBorder="1" applyAlignment="1">
      <alignment horizontal="center" vertical="center" shrinkToFit="1"/>
    </xf>
    <xf numFmtId="0" fontId="28" fillId="0" borderId="23" xfId="11" applyFont="1" applyBorder="1" applyAlignment="1">
      <alignment horizontal="center" vertical="center" shrinkToFit="1"/>
    </xf>
    <xf numFmtId="0" fontId="28" fillId="0" borderId="29" xfId="11" applyFont="1" applyBorder="1" applyAlignment="1">
      <alignment horizontal="center" vertical="center" shrinkToFit="1"/>
    </xf>
    <xf numFmtId="0" fontId="28" fillId="0" borderId="30" xfId="11" applyFont="1" applyBorder="1" applyAlignment="1">
      <alignment horizontal="center" vertical="center" shrinkToFit="1"/>
    </xf>
    <xf numFmtId="0" fontId="28" fillId="0" borderId="23" xfId="11" applyFont="1" applyBorder="1" applyAlignment="1">
      <alignment horizontal="center" vertical="center" wrapText="1" shrinkToFit="1"/>
    </xf>
    <xf numFmtId="0" fontId="28" fillId="0" borderId="29" xfId="11" applyFont="1" applyBorder="1" applyAlignment="1">
      <alignment horizontal="center" vertical="center" wrapText="1" shrinkToFit="1"/>
    </xf>
    <xf numFmtId="0" fontId="28" fillId="0" borderId="30" xfId="11" applyFont="1" applyBorder="1" applyAlignment="1">
      <alignment horizontal="center" vertical="center" wrapText="1" shrinkToFit="1"/>
    </xf>
    <xf numFmtId="0" fontId="39" fillId="0" borderId="4" xfId="11" applyFont="1" applyBorder="1" applyAlignment="1">
      <alignment horizontal="left" vertical="center" wrapText="1"/>
    </xf>
    <xf numFmtId="0" fontId="39" fillId="0" borderId="62" xfId="11" applyFont="1" applyBorder="1" applyAlignment="1">
      <alignment horizontal="left" vertical="center" wrapText="1"/>
    </xf>
    <xf numFmtId="0" fontId="30" fillId="2" borderId="70" xfId="11" applyFont="1" applyFill="1" applyBorder="1" applyAlignment="1">
      <alignment horizontal="center" vertical="center" shrinkToFit="1"/>
    </xf>
    <xf numFmtId="0" fontId="39" fillId="0" borderId="71" xfId="11" applyFont="1" applyBorder="1" applyAlignment="1">
      <alignment horizontal="left" vertical="center" wrapText="1"/>
    </xf>
    <xf numFmtId="0" fontId="66" fillId="0" borderId="71" xfId="11" applyFont="1" applyBorder="1" applyAlignment="1">
      <alignment horizontal="left" vertical="center" wrapText="1"/>
    </xf>
    <xf numFmtId="0" fontId="59" fillId="0" borderId="27" xfId="11" applyFont="1" applyBorder="1" applyAlignment="1">
      <alignment horizontal="center" vertical="center" shrinkToFit="1"/>
    </xf>
    <xf numFmtId="0" fontId="59" fillId="0" borderId="25" xfId="11" applyFont="1" applyBorder="1" applyAlignment="1">
      <alignment horizontal="center" vertical="center" shrinkToFit="1"/>
    </xf>
    <xf numFmtId="0" fontId="30" fillId="2" borderId="68" xfId="11" applyFont="1" applyFill="1" applyBorder="1" applyAlignment="1">
      <alignment horizontal="center" vertical="center" shrinkToFit="1"/>
    </xf>
    <xf numFmtId="0" fontId="30" fillId="2" borderId="31" xfId="11" applyFont="1" applyFill="1" applyBorder="1" applyAlignment="1">
      <alignment horizontal="center" vertical="center" shrinkToFit="1"/>
    </xf>
    <xf numFmtId="0" fontId="30" fillId="2" borderId="37" xfId="11" applyFont="1" applyFill="1" applyBorder="1" applyAlignment="1">
      <alignment horizontal="center" vertical="center" shrinkToFit="1"/>
    </xf>
    <xf numFmtId="0" fontId="30" fillId="2" borderId="32" xfId="11" applyFont="1" applyFill="1" applyBorder="1" applyAlignment="1">
      <alignment horizontal="center" vertical="center" shrinkToFit="1"/>
    </xf>
    <xf numFmtId="0" fontId="45" fillId="2" borderId="27" xfId="11" applyFont="1" applyFill="1" applyBorder="1" applyAlignment="1">
      <alignment horizontal="center" vertical="center" shrinkToFit="1"/>
    </xf>
    <xf numFmtId="0" fontId="45" fillId="2" borderId="25" xfId="11" applyFont="1" applyFill="1" applyBorder="1" applyAlignment="1">
      <alignment horizontal="center" vertical="center" shrinkToFit="1"/>
    </xf>
    <xf numFmtId="0" fontId="53" fillId="0" borderId="37" xfId="11" applyFont="1" applyBorder="1" applyAlignment="1">
      <alignment horizontal="left" vertical="center" shrinkToFit="1"/>
    </xf>
    <xf numFmtId="0" fontId="94" fillId="0" borderId="4" xfId="11" applyFont="1" applyBorder="1" applyAlignment="1">
      <alignment horizontal="left" vertical="center" wrapText="1"/>
    </xf>
    <xf numFmtId="0" fontId="9" fillId="0" borderId="3" xfId="11" applyFont="1" applyBorder="1" applyAlignment="1">
      <alignment horizontal="left" vertical="center" wrapText="1"/>
    </xf>
    <xf numFmtId="0" fontId="30" fillId="2" borderId="22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30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30" fillId="9" borderId="22" xfId="0" applyFont="1" applyFill="1" applyBorder="1" applyAlignment="1">
      <alignment horizontal="center" vertical="center" shrinkToFit="1"/>
    </xf>
    <xf numFmtId="0" fontId="30" fillId="0" borderId="0" xfId="0" applyFont="1" applyAlignment="1">
      <alignment horizontal="center" shrinkToFit="1"/>
    </xf>
    <xf numFmtId="0" fontId="30" fillId="0" borderId="38" xfId="0" applyFont="1" applyBorder="1" applyAlignment="1">
      <alignment horizontal="center" shrinkToFit="1"/>
    </xf>
    <xf numFmtId="195" fontId="84" fillId="9" borderId="22" xfId="15" applyNumberFormat="1" applyFont="1" applyFill="1" applyBorder="1" applyAlignment="1">
      <alignment horizontal="center" vertical="center"/>
    </xf>
    <xf numFmtId="0" fontId="82" fillId="10" borderId="22" xfId="4" applyFont="1" applyFill="1" applyBorder="1" applyAlignment="1">
      <alignment horizontal="center" vertical="center" wrapText="1"/>
    </xf>
    <xf numFmtId="0" fontId="85" fillId="5" borderId="35" xfId="15" applyFont="1" applyFill="1" applyBorder="1" applyAlignment="1">
      <alignment horizontal="center" vertical="center"/>
    </xf>
    <xf numFmtId="0" fontId="85" fillId="5" borderId="26" xfId="15" applyFont="1" applyFill="1" applyBorder="1" applyAlignment="1">
      <alignment horizontal="center" vertical="center"/>
    </xf>
    <xf numFmtId="0" fontId="33" fillId="0" borderId="22" xfId="11" applyFont="1" applyBorder="1" applyAlignment="1">
      <alignment horizontal="center" vertical="center"/>
    </xf>
    <xf numFmtId="0" fontId="82" fillId="10" borderId="22" xfId="15" applyFont="1" applyFill="1" applyBorder="1" applyAlignment="1">
      <alignment horizontal="center" vertical="center" wrapText="1"/>
    </xf>
    <xf numFmtId="0" fontId="100" fillId="0" borderId="31" xfId="11" applyFont="1" applyBorder="1" applyAlignment="1">
      <alignment horizontal="center" vertical="center"/>
    </xf>
    <xf numFmtId="0" fontId="100" fillId="0" borderId="32" xfId="11" applyFont="1" applyBorder="1" applyAlignment="1">
      <alignment horizontal="center" vertical="center"/>
    </xf>
    <xf numFmtId="0" fontId="100" fillId="0" borderId="33" xfId="11" applyFont="1" applyBorder="1" applyAlignment="1">
      <alignment horizontal="center" vertical="center"/>
    </xf>
    <xf numFmtId="0" fontId="100" fillId="0" borderId="34" xfId="11" applyFont="1" applyBorder="1" applyAlignment="1">
      <alignment horizontal="center" vertical="center"/>
    </xf>
    <xf numFmtId="0" fontId="100" fillId="0" borderId="35" xfId="11" applyFont="1" applyBorder="1" applyAlignment="1">
      <alignment horizontal="center" vertical="center"/>
    </xf>
    <xf numFmtId="0" fontId="100" fillId="0" borderId="36" xfId="11" applyFont="1" applyBorder="1" applyAlignment="1">
      <alignment horizontal="center" vertical="center"/>
    </xf>
    <xf numFmtId="0" fontId="38" fillId="5" borderId="31" xfId="5" applyFont="1" applyFill="1" applyBorder="1" applyAlignment="1">
      <alignment horizontal="center" vertical="center"/>
    </xf>
    <xf numFmtId="0" fontId="38" fillId="5" borderId="37" xfId="5" applyFont="1" applyFill="1" applyBorder="1" applyAlignment="1">
      <alignment horizontal="center" vertical="center"/>
    </xf>
    <xf numFmtId="0" fontId="38" fillId="5" borderId="32" xfId="5" applyFont="1" applyFill="1" applyBorder="1" applyAlignment="1">
      <alignment horizontal="center" vertical="center"/>
    </xf>
    <xf numFmtId="0" fontId="38" fillId="5" borderId="33" xfId="5" applyFont="1" applyFill="1" applyBorder="1" applyAlignment="1">
      <alignment horizontal="center" vertical="center"/>
    </xf>
    <xf numFmtId="0" fontId="38" fillId="5" borderId="0" xfId="5" applyFont="1" applyFill="1" applyAlignment="1">
      <alignment horizontal="center" vertical="center"/>
    </xf>
    <xf numFmtId="0" fontId="38" fillId="5" borderId="34" xfId="5" applyFont="1" applyFill="1" applyBorder="1" applyAlignment="1">
      <alignment horizontal="center" vertical="center"/>
    </xf>
    <xf numFmtId="0" fontId="38" fillId="5" borderId="35" xfId="5" applyFont="1" applyFill="1" applyBorder="1" applyAlignment="1">
      <alignment horizontal="center" vertical="center"/>
    </xf>
    <xf numFmtId="0" fontId="38" fillId="5" borderId="26" xfId="5" applyFont="1" applyFill="1" applyBorder="1" applyAlignment="1">
      <alignment horizontal="center" vertical="center"/>
    </xf>
    <xf numFmtId="0" fontId="38" fillId="5" borderId="36" xfId="5" applyFont="1" applyFill="1" applyBorder="1" applyAlignment="1">
      <alignment horizontal="center" vertical="center"/>
    </xf>
    <xf numFmtId="0" fontId="38" fillId="5" borderId="22" xfId="22" applyFont="1" applyFill="1" applyBorder="1" applyAlignment="1">
      <alignment horizontal="center" vertical="center"/>
    </xf>
    <xf numFmtId="0" fontId="38" fillId="5" borderId="22" xfId="5" applyFont="1" applyFill="1" applyBorder="1" applyAlignment="1">
      <alignment horizontal="center" vertical="center"/>
    </xf>
    <xf numFmtId="0" fontId="38" fillId="5" borderId="22" xfId="22" applyFont="1" applyFill="1" applyBorder="1" applyAlignment="1">
      <alignment horizontal="center" vertical="center" wrapText="1"/>
    </xf>
    <xf numFmtId="0" fontId="40" fillId="5" borderId="22" xfId="22" applyFont="1" applyFill="1" applyBorder="1" applyAlignment="1">
      <alignment horizontal="center"/>
    </xf>
    <xf numFmtId="0" fontId="100" fillId="5" borderId="31" xfId="11" applyFont="1" applyFill="1" applyBorder="1" applyAlignment="1">
      <alignment horizontal="center" vertical="center"/>
    </xf>
    <xf numFmtId="0" fontId="33" fillId="5" borderId="32" xfId="11" applyFont="1" applyFill="1" applyBorder="1" applyAlignment="1">
      <alignment horizontal="center" vertical="center"/>
    </xf>
    <xf numFmtId="0" fontId="33" fillId="5" borderId="33" xfId="11" applyFont="1" applyFill="1" applyBorder="1" applyAlignment="1">
      <alignment horizontal="center" vertical="center"/>
    </xf>
    <xf numFmtId="0" fontId="33" fillId="5" borderId="34" xfId="11" applyFont="1" applyFill="1" applyBorder="1" applyAlignment="1">
      <alignment horizontal="center" vertical="center"/>
    </xf>
    <xf numFmtId="0" fontId="33" fillId="5" borderId="35" xfId="11" applyFont="1" applyFill="1" applyBorder="1" applyAlignment="1">
      <alignment horizontal="center" vertical="center"/>
    </xf>
    <xf numFmtId="0" fontId="33" fillId="5" borderId="36" xfId="11" applyFont="1" applyFill="1" applyBorder="1" applyAlignment="1">
      <alignment horizontal="center" vertical="center"/>
    </xf>
    <xf numFmtId="0" fontId="101" fillId="5" borderId="23" xfId="5" applyFont="1" applyFill="1" applyBorder="1" applyAlignment="1">
      <alignment horizontal="center" vertical="center"/>
    </xf>
    <xf numFmtId="0" fontId="101" fillId="5" borderId="29" xfId="5" applyFont="1" applyFill="1" applyBorder="1" applyAlignment="1">
      <alignment horizontal="center" vertical="center"/>
    </xf>
    <xf numFmtId="0" fontId="101" fillId="5" borderId="30" xfId="5" applyFont="1" applyFill="1" applyBorder="1" applyAlignment="1">
      <alignment horizontal="center" vertical="center"/>
    </xf>
    <xf numFmtId="0" fontId="38" fillId="5" borderId="23" xfId="5" applyFont="1" applyFill="1" applyBorder="1" applyAlignment="1">
      <alignment horizontal="center" vertical="center"/>
    </xf>
    <xf numFmtId="0" fontId="38" fillId="5" borderId="29" xfId="5" applyFont="1" applyFill="1" applyBorder="1" applyAlignment="1">
      <alignment horizontal="center" vertical="center"/>
    </xf>
    <xf numFmtId="0" fontId="38" fillId="5" borderId="30" xfId="5" applyFont="1" applyFill="1" applyBorder="1" applyAlignment="1">
      <alignment horizontal="center" vertical="center"/>
    </xf>
    <xf numFmtId="0" fontId="42" fillId="0" borderId="26" xfId="11" applyFont="1" applyBorder="1" applyAlignment="1">
      <alignment horizontal="center" vertical="center"/>
    </xf>
    <xf numFmtId="0" fontId="36" fillId="0" borderId="26" xfId="11" applyFont="1" applyBorder="1" applyAlignment="1">
      <alignment horizontal="center" vertical="center"/>
    </xf>
    <xf numFmtId="0" fontId="101" fillId="5" borderId="22" xfId="22" applyFont="1" applyFill="1" applyBorder="1" applyAlignment="1">
      <alignment horizontal="center" vertical="center" wrapText="1"/>
    </xf>
    <xf numFmtId="0" fontId="40" fillId="5" borderId="27" xfId="22" applyFont="1" applyFill="1" applyBorder="1" applyAlignment="1">
      <alignment horizontal="center"/>
    </xf>
    <xf numFmtId="0" fontId="40" fillId="5" borderId="28" xfId="22" applyFont="1" applyFill="1" applyBorder="1" applyAlignment="1">
      <alignment horizontal="center"/>
    </xf>
    <xf numFmtId="0" fontId="40" fillId="5" borderId="25" xfId="22" applyFont="1" applyFill="1" applyBorder="1" applyAlignment="1">
      <alignment horizontal="center"/>
    </xf>
    <xf numFmtId="0" fontId="62" fillId="5" borderId="23" xfId="5" applyFont="1" applyFill="1" applyBorder="1" applyAlignment="1">
      <alignment horizontal="center" vertical="center"/>
    </xf>
    <xf numFmtId="0" fontId="62" fillId="5" borderId="29" xfId="5" applyFont="1" applyFill="1" applyBorder="1" applyAlignment="1">
      <alignment horizontal="center" vertical="center"/>
    </xf>
    <xf numFmtId="0" fontId="62" fillId="5" borderId="30" xfId="5" applyFont="1" applyFill="1" applyBorder="1" applyAlignment="1">
      <alignment horizontal="center" vertical="center"/>
    </xf>
    <xf numFmtId="0" fontId="10" fillId="0" borderId="4" xfId="0" applyFont="1" applyBorder="1" applyAlignment="1">
      <alignment shrinkToFit="1"/>
    </xf>
    <xf numFmtId="0" fontId="11" fillId="0" borderId="2" xfId="0" applyFont="1" applyBorder="1" applyAlignment="1">
      <alignment shrinkToFit="1"/>
    </xf>
    <xf numFmtId="0" fontId="11" fillId="0" borderId="3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3" fillId="0" borderId="4" xfId="0" applyFont="1" applyBorder="1" applyAlignment="1">
      <alignment shrinkToFit="1"/>
    </xf>
    <xf numFmtId="0" fontId="9" fillId="0" borderId="4" xfId="0" applyFont="1" applyBorder="1" applyAlignment="1">
      <alignment shrinkToFit="1"/>
    </xf>
    <xf numFmtId="0" fontId="9" fillId="0" borderId="9" xfId="0" applyFont="1" applyBorder="1" applyAlignment="1">
      <alignment shrinkToFit="1"/>
    </xf>
    <xf numFmtId="0" fontId="11" fillId="0" borderId="8" xfId="0" applyFont="1" applyBorder="1" applyAlignment="1">
      <alignment shrinkToFit="1"/>
    </xf>
    <xf numFmtId="0" fontId="13" fillId="0" borderId="12" xfId="0" applyFont="1" applyBorder="1" applyAlignment="1">
      <alignment shrinkToFit="1"/>
    </xf>
    <xf numFmtId="0" fontId="11" fillId="0" borderId="11" xfId="0" applyFont="1" applyBorder="1" applyAlignment="1">
      <alignment shrinkToFit="1"/>
    </xf>
    <xf numFmtId="0" fontId="11" fillId="0" borderId="10" xfId="0" applyFont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10" fillId="0" borderId="9" xfId="0" applyFont="1" applyBorder="1" applyAlignment="1">
      <alignment shrinkToFit="1"/>
    </xf>
    <xf numFmtId="0" fontId="11" fillId="0" borderId="13" xfId="0" applyFont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3" fillId="0" borderId="19" xfId="0" applyFont="1" applyBorder="1" applyAlignment="1">
      <alignment shrinkToFit="1"/>
    </xf>
    <xf numFmtId="0" fontId="11" fillId="0" borderId="20" xfId="0" applyFont="1" applyBorder="1" applyAlignment="1">
      <alignment shrinkToFit="1"/>
    </xf>
    <xf numFmtId="0" fontId="11" fillId="0" borderId="21" xfId="0" applyFont="1" applyBorder="1" applyAlignment="1">
      <alignment shrinkToFit="1"/>
    </xf>
    <xf numFmtId="0" fontId="9" fillId="0" borderId="0" xfId="0" applyFont="1" applyAlignment="1">
      <alignment shrinkToFit="1"/>
    </xf>
    <xf numFmtId="0" fontId="0" fillId="0" borderId="0" xfId="0" applyAlignment="1">
      <alignment shrinkToFit="1"/>
    </xf>
    <xf numFmtId="0" fontId="9" fillId="0" borderId="19" xfId="0" applyFont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39" fillId="5" borderId="22" xfId="5" applyFont="1" applyFill="1" applyBorder="1" applyAlignment="1">
      <alignment horizontal="center"/>
    </xf>
  </cellXfs>
  <cellStyles count="23">
    <cellStyle name="一般" xfId="0" builtinId="0"/>
    <cellStyle name="一般 2" xfId="1"/>
    <cellStyle name="一般 2 2 2" xfId="9"/>
    <cellStyle name="一般 2 2 30 2 2 30 2" xfId="4"/>
    <cellStyle name="一般 2 2 30 2 2 30 2 2" xfId="12"/>
    <cellStyle name="一般 2 2 30 2 2 30 2 2 2" xfId="17"/>
    <cellStyle name="一般 2 2 30 2 2 30 2 2 2 2" xfId="20"/>
    <cellStyle name="一般 2 2 30 2 2 30 2 2 2 2 2" xfId="22"/>
    <cellStyle name="一般 2 2 30 2 2 30 2 3" xfId="15"/>
    <cellStyle name="一般 2 2 30 2 3 2" xfId="6"/>
    <cellStyle name="一般 2 2 30 2 3 2 2" xfId="16"/>
    <cellStyle name="一般 2 2 30 2 3 2 2 2" xfId="18"/>
    <cellStyle name="一般 2 2 30 3 30" xfId="7"/>
    <cellStyle name="一般 3" xfId="11"/>
    <cellStyle name="一般 4" xfId="5"/>
    <cellStyle name="千分位 2" xfId="2"/>
    <cellStyle name="千分位 3" xfId="21"/>
    <cellStyle name="百分比" xfId="14" builtinId="5"/>
    <cellStyle name="百分比 2" xfId="8"/>
    <cellStyle name="百分比 2 2" xfId="10"/>
    <cellStyle name="百分比 2 2 2" xfId="19"/>
    <cellStyle name="百分比 3" xfId="3"/>
    <cellStyle name="百分比 4" xfId="13"/>
  </cellStyles>
  <dxfs count="7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45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Q38"/>
  <sheetViews>
    <sheetView view="pageBreakPreview" zoomScale="115" zoomScaleNormal="100" zoomScaleSheetLayoutView="115" workbookViewId="0">
      <selection activeCell="B3" sqref="B3"/>
    </sheetView>
  </sheetViews>
  <sheetFormatPr defaultColWidth="12.54296875" defaultRowHeight="15.75" customHeight="1"/>
  <cols>
    <col min="1" max="1" width="27.453125" style="99" bestFit="1" customWidth="1"/>
    <col min="2" max="2" width="12.54296875" style="99" customWidth="1"/>
    <col min="3" max="4" width="12.54296875" style="99"/>
    <col min="5" max="5" width="16.453125" style="99" customWidth="1"/>
    <col min="6" max="6" width="2.453125" style="99" customWidth="1"/>
    <col min="7" max="7" width="24.81640625" style="99" bestFit="1" customWidth="1"/>
    <col min="8" max="10" width="12.54296875" style="99"/>
    <col min="11" max="11" width="16.453125" style="99" customWidth="1"/>
    <col min="12" max="12" width="12.54296875" style="100"/>
    <col min="13" max="16384" width="12.54296875" style="99"/>
  </cols>
  <sheetData>
    <row r="1" spans="1:12" ht="15.75" customHeight="1">
      <c r="A1" s="462" t="s">
        <v>337</v>
      </c>
      <c r="B1" s="463"/>
      <c r="C1" s="463"/>
      <c r="D1" s="463"/>
      <c r="E1" s="463"/>
      <c r="F1" s="463"/>
      <c r="G1" s="463"/>
      <c r="H1" s="463"/>
      <c r="I1" s="463"/>
      <c r="J1" s="463"/>
      <c r="K1" s="463"/>
      <c r="L1" s="99"/>
    </row>
    <row r="2" spans="1:12" s="100" customFormat="1" ht="15.75" customHeight="1">
      <c r="A2" s="463"/>
      <c r="B2" s="463"/>
      <c r="C2" s="463"/>
      <c r="D2" s="463"/>
      <c r="E2" s="463"/>
      <c r="F2" s="463"/>
      <c r="G2" s="463"/>
      <c r="H2" s="463"/>
      <c r="I2" s="463"/>
      <c r="J2" s="463"/>
      <c r="K2" s="463"/>
    </row>
    <row r="3" spans="1:12" ht="21.65" customHeight="1">
      <c r="A3" s="115" t="s">
        <v>328</v>
      </c>
      <c r="B3" s="116">
        <v>2</v>
      </c>
      <c r="C3" s="115" t="s">
        <v>20</v>
      </c>
      <c r="D3" s="464" t="s">
        <v>374</v>
      </c>
      <c r="E3" s="464"/>
      <c r="F3" s="100"/>
      <c r="G3" s="110"/>
      <c r="H3" s="100"/>
      <c r="I3" s="100"/>
      <c r="J3" s="100"/>
      <c r="K3" s="100"/>
    </row>
    <row r="4" spans="1:12" ht="15.75" customHeight="1">
      <c r="A4" s="111" t="s">
        <v>198</v>
      </c>
      <c r="E4" s="102" t="s">
        <v>23</v>
      </c>
      <c r="G4" s="112" t="s">
        <v>130</v>
      </c>
      <c r="L4" s="99"/>
    </row>
    <row r="5" spans="1:12" s="104" customFormat="1" ht="15.75" customHeight="1">
      <c r="A5" s="123" t="s">
        <v>200</v>
      </c>
      <c r="B5" s="117" t="s">
        <v>22</v>
      </c>
      <c r="C5" s="117" t="s">
        <v>1</v>
      </c>
      <c r="D5" s="117" t="s">
        <v>2</v>
      </c>
      <c r="E5" s="117" t="s">
        <v>3</v>
      </c>
      <c r="G5" s="123" t="s">
        <v>200</v>
      </c>
      <c r="H5" s="117" t="s">
        <v>69</v>
      </c>
      <c r="I5" s="117" t="s">
        <v>22</v>
      </c>
      <c r="J5" s="117" t="s">
        <v>67</v>
      </c>
      <c r="K5" s="117" t="s">
        <v>3</v>
      </c>
      <c r="L5" s="105" t="s">
        <v>60</v>
      </c>
    </row>
    <row r="6" spans="1:12" ht="18" customHeight="1">
      <c r="A6" s="107" t="s">
        <v>24</v>
      </c>
      <c r="B6" s="118" t="e">
        <f>'（１）收支狀況'!#REF!/1000</f>
        <v>#REF!</v>
      </c>
      <c r="C6" s="118">
        <v>146299.93539000006</v>
      </c>
      <c r="D6" s="118" t="e">
        <f t="shared" ref="D6:D11" si="0">B6-C6</f>
        <v>#REF!</v>
      </c>
      <c r="E6" s="108"/>
      <c r="G6" s="107" t="s">
        <v>201</v>
      </c>
      <c r="H6" s="120"/>
      <c r="I6" s="120" t="e">
        <f>'（２）ＫＰＩ達成進度'!#REF!</f>
        <v>#REF!</v>
      </c>
      <c r="J6" s="120">
        <v>458.3841382804668</v>
      </c>
      <c r="K6" s="121"/>
      <c r="L6" s="101" t="s">
        <v>197</v>
      </c>
    </row>
    <row r="7" spans="1:12" ht="18" customHeight="1">
      <c r="A7" s="107" t="s">
        <v>25</v>
      </c>
      <c r="B7" s="118" t="e">
        <f>'（１）收支狀況'!#REF!</f>
        <v>#REF!</v>
      </c>
      <c r="C7" s="118">
        <v>4768701</v>
      </c>
      <c r="D7" s="118" t="e">
        <f t="shared" si="0"/>
        <v>#REF!</v>
      </c>
      <c r="E7" s="108"/>
      <c r="G7" s="107" t="s">
        <v>202</v>
      </c>
      <c r="H7" s="119">
        <v>0.8</v>
      </c>
      <c r="I7" s="119" t="e">
        <f>'（２）ＫＰＩ達成進度'!#REF!</f>
        <v>#REF!</v>
      </c>
      <c r="J7" s="119">
        <v>0.92118998850576117</v>
      </c>
      <c r="K7" s="119"/>
      <c r="L7" s="101" t="s">
        <v>4</v>
      </c>
    </row>
    <row r="8" spans="1:12" ht="18" customHeight="1">
      <c r="A8" s="107" t="s">
        <v>5</v>
      </c>
      <c r="B8" s="118" t="e">
        <f>'（１）收支狀況'!#REF!/1000</f>
        <v>#REF!</v>
      </c>
      <c r="C8" s="118">
        <v>93253</v>
      </c>
      <c r="D8" s="118" t="e">
        <f>B8-C8</f>
        <v>#REF!</v>
      </c>
      <c r="E8" s="108"/>
      <c r="G8" s="107" t="s">
        <v>203</v>
      </c>
      <c r="H8" s="119">
        <v>2.5000000000000001E-3</v>
      </c>
      <c r="I8" s="222" t="e">
        <f>'（２）ＫＰＩ達成進度'!#REF!</f>
        <v>#REF!</v>
      </c>
      <c r="J8" s="119">
        <v>2.4135432458014692E-3</v>
      </c>
      <c r="K8" s="119"/>
      <c r="L8" s="101" t="s">
        <v>55</v>
      </c>
    </row>
    <row r="9" spans="1:12" ht="18" customHeight="1">
      <c r="A9" s="107" t="s">
        <v>6</v>
      </c>
      <c r="B9" s="119" t="e">
        <f>'（１）收支狀況'!#REF!</f>
        <v>#REF!</v>
      </c>
      <c r="C9" s="119">
        <v>0.65500000000000003</v>
      </c>
      <c r="D9" s="119" t="e">
        <f t="shared" si="0"/>
        <v>#REF!</v>
      </c>
      <c r="E9" s="119"/>
      <c r="G9" s="107" t="s">
        <v>204</v>
      </c>
      <c r="H9" s="119">
        <v>4.0000000000000001E-3</v>
      </c>
      <c r="I9" s="119" t="e">
        <f>'（２）ＫＰＩ達成進度'!#REF!</f>
        <v>#REF!</v>
      </c>
      <c r="J9" s="119">
        <v>5.599443330875099E-3</v>
      </c>
      <c r="K9" s="119"/>
      <c r="L9" s="101" t="s">
        <v>98</v>
      </c>
    </row>
    <row r="10" spans="1:12" ht="18" customHeight="1">
      <c r="A10" s="107" t="s">
        <v>64</v>
      </c>
      <c r="B10" s="118" t="e">
        <f>'（１）收支狀況'!#REF!/1000</f>
        <v>#REF!</v>
      </c>
      <c r="C10" s="118">
        <v>22378</v>
      </c>
      <c r="D10" s="118" t="e">
        <f t="shared" si="0"/>
        <v>#REF!</v>
      </c>
      <c r="E10" s="108"/>
      <c r="G10" s="107" t="s">
        <v>205</v>
      </c>
      <c r="H10" s="119">
        <v>0.8</v>
      </c>
      <c r="I10" s="119" t="e">
        <f>'（２）ＫＰＩ達成進度'!#REF!</f>
        <v>#REF!</v>
      </c>
      <c r="J10" s="119">
        <v>0.89999999999999947</v>
      </c>
      <c r="K10" s="119"/>
      <c r="L10" s="101" t="s">
        <v>7</v>
      </c>
    </row>
    <row r="11" spans="1:12" ht="18" customHeight="1">
      <c r="A11" s="107" t="s">
        <v>65</v>
      </c>
      <c r="B11" s="119" t="e">
        <f>'（１）收支狀況'!#REF!</f>
        <v>#REF!</v>
      </c>
      <c r="C11" s="119">
        <v>0.157</v>
      </c>
      <c r="D11" s="119" t="e">
        <f t="shared" si="0"/>
        <v>#REF!</v>
      </c>
      <c r="E11" s="119"/>
      <c r="G11" s="107" t="s">
        <v>206</v>
      </c>
      <c r="H11" s="119">
        <v>1</v>
      </c>
      <c r="I11" s="119" t="e">
        <f>'（２）ＫＰＩ達成進度'!#REF!</f>
        <v>#REF!</v>
      </c>
      <c r="J11" s="119">
        <v>5.7692307692307702E-2</v>
      </c>
      <c r="K11" s="119"/>
      <c r="L11" s="101" t="s">
        <v>62</v>
      </c>
    </row>
    <row r="12" spans="1:12" ht="9.65" customHeight="1">
      <c r="L12" s="99"/>
    </row>
    <row r="13" spans="1:12" ht="15.75" customHeight="1">
      <c r="A13" s="111" t="s">
        <v>32</v>
      </c>
      <c r="E13" s="320" t="s">
        <v>23</v>
      </c>
      <c r="G13" s="111" t="s">
        <v>154</v>
      </c>
      <c r="K13" s="320" t="s">
        <v>453</v>
      </c>
      <c r="L13" s="99"/>
    </row>
    <row r="14" spans="1:12" s="106" customFormat="1" ht="13.5">
      <c r="A14" s="122"/>
      <c r="B14" s="122" t="s">
        <v>22</v>
      </c>
      <c r="C14" s="122" t="s">
        <v>66</v>
      </c>
      <c r="D14" s="122" t="s">
        <v>67</v>
      </c>
      <c r="E14" s="122" t="s">
        <v>68</v>
      </c>
      <c r="G14" s="122"/>
      <c r="H14" s="122" t="s">
        <v>22</v>
      </c>
      <c r="I14" s="122" t="s">
        <v>66</v>
      </c>
      <c r="J14" s="122" t="s">
        <v>67</v>
      </c>
      <c r="K14" s="122" t="s">
        <v>68</v>
      </c>
    </row>
    <row r="15" spans="1:12" ht="18" customHeight="1">
      <c r="A15" s="107" t="s">
        <v>395</v>
      </c>
      <c r="B15" s="118">
        <f>SUM('（３）業績構成比'!M7:M11)/1000</f>
        <v>7427.5341300000009</v>
      </c>
      <c r="C15" s="119" t="str">
        <f>IFERROR(B15/$B$6,"")</f>
        <v/>
      </c>
      <c r="D15" s="119">
        <v>0.36139567422949059</v>
      </c>
      <c r="E15" s="119" t="str">
        <f>IFERROR(C15-D15,"")</f>
        <v/>
      </c>
      <c r="G15" s="107" t="s">
        <v>396</v>
      </c>
      <c r="H15" s="118">
        <f>SUM('（４）訂單數量構成比'!M7:M11)</f>
        <v>398562</v>
      </c>
      <c r="I15" s="119" t="str">
        <f t="shared" ref="I15:I23" si="1">IFERROR(H15/$B$7,"")</f>
        <v/>
      </c>
      <c r="J15" s="119">
        <v>0.58577126139802016</v>
      </c>
      <c r="K15" s="119" t="str">
        <f>IFERROR(I15-J15,"")</f>
        <v/>
      </c>
      <c r="L15" s="99"/>
    </row>
    <row r="16" spans="1:12" ht="18" customHeight="1">
      <c r="A16" s="107" t="s">
        <v>226</v>
      </c>
      <c r="B16" s="118">
        <f>SUM('（３）業績構成比'!S7:S11)/1000</f>
        <v>1730.8008399999999</v>
      </c>
      <c r="C16" s="119" t="str">
        <f t="shared" ref="C16:C23" si="2">IFERROR(B16/$B$6,"")</f>
        <v/>
      </c>
      <c r="D16" s="119">
        <v>6.9633574224369291E-2</v>
      </c>
      <c r="E16" s="119" t="str">
        <f t="shared" ref="E16:E23" si="3">IFERROR(C16-D16,"")</f>
        <v/>
      </c>
      <c r="G16" s="107" t="s">
        <v>257</v>
      </c>
      <c r="H16" s="118">
        <f>SUM('（４）訂單數量構成比'!S7:S11)</f>
        <v>65963</v>
      </c>
      <c r="I16" s="119" t="str">
        <f t="shared" si="1"/>
        <v/>
      </c>
      <c r="J16" s="119">
        <v>8.1693945583923164E-2</v>
      </c>
      <c r="K16" s="119" t="str">
        <f t="shared" ref="K16:K23" si="4">IFERROR(I16-J16,"")</f>
        <v/>
      </c>
      <c r="L16" s="99"/>
    </row>
    <row r="17" spans="1:17" ht="18" customHeight="1">
      <c r="A17" s="107" t="s">
        <v>222</v>
      </c>
      <c r="B17" s="118">
        <f>SUM('（３）業績構成比'!U7:U11)/1000</f>
        <v>682.08573000000001</v>
      </c>
      <c r="C17" s="119" t="str">
        <f t="shared" si="2"/>
        <v/>
      </c>
      <c r="D17" s="119">
        <v>2.2453221877666876E-2</v>
      </c>
      <c r="E17" s="119" t="str">
        <f t="shared" si="3"/>
        <v/>
      </c>
      <c r="G17" s="107" t="s">
        <v>238</v>
      </c>
      <c r="H17" s="118">
        <f>SUM('（４）訂單數量構成比'!U7:U11)</f>
        <v>27561</v>
      </c>
      <c r="I17" s="119" t="str">
        <f t="shared" si="1"/>
        <v/>
      </c>
      <c r="J17" s="119">
        <v>2.4966128092325353E-2</v>
      </c>
      <c r="K17" s="119" t="str">
        <f t="shared" si="4"/>
        <v/>
      </c>
      <c r="L17" s="99"/>
    </row>
    <row r="18" spans="1:17" ht="18" customHeight="1">
      <c r="A18" s="107" t="s">
        <v>224</v>
      </c>
      <c r="B18" s="118">
        <f>SUM('（３）業績構成比'!W7:W11)/1000</f>
        <v>600.06628000000001</v>
      </c>
      <c r="C18" s="119" t="str">
        <f t="shared" si="2"/>
        <v/>
      </c>
      <c r="D18" s="119">
        <v>8.5850389930237133E-3</v>
      </c>
      <c r="E18" s="119" t="str">
        <f t="shared" si="3"/>
        <v/>
      </c>
      <c r="G18" s="107" t="s">
        <v>223</v>
      </c>
      <c r="H18" s="118">
        <f>SUM('（４）訂單數量構成比'!W7:W11)</f>
        <v>23628</v>
      </c>
      <c r="I18" s="119" t="str">
        <f t="shared" si="1"/>
        <v/>
      </c>
      <c r="J18" s="119">
        <v>9.7963785106258503E-3</v>
      </c>
      <c r="K18" s="119" t="str">
        <f t="shared" si="4"/>
        <v/>
      </c>
      <c r="L18" s="99"/>
    </row>
    <row r="19" spans="1:17" ht="18" customHeight="1">
      <c r="A19" s="107" t="s">
        <v>228</v>
      </c>
      <c r="B19" s="118">
        <f>SUM('（３）業績構成比'!AC7:AC11)/1000</f>
        <v>3695.4989600000004</v>
      </c>
      <c r="C19" s="119" t="str">
        <f t="shared" si="2"/>
        <v/>
      </c>
      <c r="D19" s="119">
        <v>0.16215294044225204</v>
      </c>
      <c r="E19" s="119" t="str">
        <f t="shared" si="3"/>
        <v/>
      </c>
      <c r="G19" s="107" t="s">
        <v>227</v>
      </c>
      <c r="H19" s="118">
        <f>SUM('（４）訂單數量構成比'!AC7:AC11)</f>
        <v>66565</v>
      </c>
      <c r="I19" s="119" t="str">
        <f t="shared" si="1"/>
        <v/>
      </c>
      <c r="J19" s="119">
        <v>8.9953008167213674E-2</v>
      </c>
      <c r="K19" s="119" t="str">
        <f t="shared" si="4"/>
        <v/>
      </c>
      <c r="L19" s="99"/>
    </row>
    <row r="20" spans="1:17" ht="18" customHeight="1">
      <c r="A20" s="107" t="s">
        <v>230</v>
      </c>
      <c r="B20" s="118">
        <f>SUM('（３）業績構成比'!AE7:AE11)/1000</f>
        <v>5944.2204699999993</v>
      </c>
      <c r="C20" s="119" t="str">
        <f t="shared" si="2"/>
        <v/>
      </c>
      <c r="D20" s="119">
        <v>0.27057088032525339</v>
      </c>
      <c r="E20" s="119" t="str">
        <f t="shared" si="3"/>
        <v/>
      </c>
      <c r="G20" s="107" t="s">
        <v>229</v>
      </c>
      <c r="H20" s="118">
        <f>SUM('（４）訂單數量構成比'!AE7:AE11)</f>
        <v>98405</v>
      </c>
      <c r="I20" s="119" t="str">
        <f t="shared" si="1"/>
        <v/>
      </c>
      <c r="J20" s="119">
        <v>0.13708177551916129</v>
      </c>
      <c r="K20" s="119" t="str">
        <f t="shared" si="4"/>
        <v/>
      </c>
      <c r="L20" s="99"/>
    </row>
    <row r="21" spans="1:17" ht="18" customHeight="1">
      <c r="A21" s="107" t="s">
        <v>233</v>
      </c>
      <c r="B21" s="118">
        <f>SUM('（３）業績構成比'!AG7:AG11)/1000</f>
        <v>0</v>
      </c>
      <c r="C21" s="119" t="str">
        <f t="shared" si="2"/>
        <v/>
      </c>
      <c r="D21" s="119">
        <v>2.9234371078829206E-2</v>
      </c>
      <c r="E21" s="119" t="str">
        <f t="shared" ref="E21" si="5">IFERROR(C21-D21,"")</f>
        <v/>
      </c>
      <c r="G21" s="107" t="s">
        <v>239</v>
      </c>
      <c r="H21" s="118">
        <f>SUM('（４）訂單數量構成比'!AG7:AG11)</f>
        <v>0</v>
      </c>
      <c r="I21" s="119" t="str">
        <f t="shared" ref="I21" si="6">IFERROR(H21/$B$7,"")</f>
        <v/>
      </c>
      <c r="J21" s="119">
        <v>1.5652480623129864E-2</v>
      </c>
      <c r="K21" s="119" t="str">
        <f t="shared" ref="K21" si="7">IFERROR(I21-J21,"")</f>
        <v/>
      </c>
      <c r="L21" s="99"/>
    </row>
    <row r="22" spans="1:17" ht="18" customHeight="1">
      <c r="A22" s="107" t="s">
        <v>234</v>
      </c>
      <c r="B22" s="118">
        <f>SUM('（３）業績構成比'!AI7:AI11)/1000</f>
        <v>596.88324</v>
      </c>
      <c r="C22" s="119" t="str">
        <f t="shared" si="2"/>
        <v/>
      </c>
      <c r="D22" s="119">
        <v>4.0564165966170615E-2</v>
      </c>
      <c r="E22" s="119" t="str">
        <f t="shared" si="3"/>
        <v/>
      </c>
      <c r="G22" s="107" t="s">
        <v>240</v>
      </c>
      <c r="H22" s="118">
        <f>SUM('（４）訂單數量構成比'!AI7:AI11)</f>
        <v>9351</v>
      </c>
      <c r="I22" s="119" t="str">
        <f t="shared" si="1"/>
        <v/>
      </c>
      <c r="J22" s="119">
        <v>2.2004734622699137E-2</v>
      </c>
      <c r="K22" s="119" t="str">
        <f t="shared" si="4"/>
        <v/>
      </c>
      <c r="L22" s="99"/>
    </row>
    <row r="23" spans="1:17" ht="18" customHeight="1">
      <c r="A23" s="107" t="s">
        <v>236</v>
      </c>
      <c r="B23" s="118">
        <f>SUM('（３）業績構成比'!AK7:AK11)/1000</f>
        <v>689.80343999999991</v>
      </c>
      <c r="C23" s="119" t="str">
        <f t="shared" si="2"/>
        <v/>
      </c>
      <c r="D23" s="119">
        <v>3.5410132862943831E-2</v>
      </c>
      <c r="E23" s="119" t="str">
        <f t="shared" si="3"/>
        <v/>
      </c>
      <c r="G23" s="107" t="s">
        <v>235</v>
      </c>
      <c r="H23" s="118">
        <f>SUM('（４）訂單數量構成比'!AK7:AK11)</f>
        <v>23340</v>
      </c>
      <c r="I23" s="119" t="str">
        <f t="shared" si="1"/>
        <v/>
      </c>
      <c r="J23" s="119">
        <v>3.3080287482901531E-2</v>
      </c>
      <c r="K23" s="119" t="str">
        <f t="shared" si="4"/>
        <v/>
      </c>
      <c r="L23" s="99"/>
    </row>
    <row r="24" spans="1:17" ht="15.75" customHeight="1">
      <c r="C24" s="113">
        <f>SUM(C15:C23)</f>
        <v>0</v>
      </c>
      <c r="D24" s="113">
        <f t="shared" ref="D24" si="8">SUM(D15:D23)</f>
        <v>0.99999999999999944</v>
      </c>
      <c r="I24" s="113">
        <f t="shared" ref="I24:J24" si="9">SUM(I15:I23)</f>
        <v>0</v>
      </c>
      <c r="J24" s="113">
        <f t="shared" si="9"/>
        <v>1</v>
      </c>
      <c r="L24" s="99"/>
    </row>
    <row r="25" spans="1:17" ht="9.65" customHeight="1">
      <c r="A25" s="114"/>
      <c r="L25" s="99"/>
    </row>
    <row r="26" spans="1:17" ht="15.75" customHeight="1">
      <c r="A26" s="111" t="s">
        <v>199</v>
      </c>
      <c r="L26" s="99"/>
    </row>
    <row r="27" spans="1:17" ht="15.75" customHeight="1">
      <c r="A27" s="107" t="s">
        <v>190</v>
      </c>
      <c r="B27" s="107" t="s">
        <v>22</v>
      </c>
      <c r="C27" s="107" t="s">
        <v>1</v>
      </c>
      <c r="D27" s="107" t="s">
        <v>2</v>
      </c>
      <c r="E27" s="107" t="s">
        <v>3</v>
      </c>
      <c r="L27" s="99"/>
    </row>
    <row r="28" spans="1:17" ht="18" customHeight="1">
      <c r="A28" s="107" t="s">
        <v>237</v>
      </c>
      <c r="B28" s="212">
        <f>'（５-1）品群別人時生產性(18℃-飯糰)'!C1</f>
        <v>770.49370002361638</v>
      </c>
      <c r="C28" s="212">
        <v>768.96508698264131</v>
      </c>
      <c r="D28" s="224">
        <f t="shared" ref="D28:D36" si="10">B28-C28</f>
        <v>1.528613040975074</v>
      </c>
      <c r="E28" s="109"/>
      <c r="G28" s="124"/>
      <c r="H28" s="124"/>
      <c r="I28" s="124"/>
      <c r="J28" s="124"/>
      <c r="K28" s="124"/>
      <c r="L28" s="124"/>
      <c r="M28" s="124"/>
      <c r="N28" s="124"/>
      <c r="O28" s="124"/>
      <c r="P28" s="125"/>
      <c r="Q28" s="125"/>
    </row>
    <row r="29" spans="1:17" ht="18" customHeight="1">
      <c r="A29" s="107" t="s">
        <v>225</v>
      </c>
      <c r="B29" s="212">
        <f>'（５-2）品群別人時生產性(18℃-壽司手卷)'!C1</f>
        <v>307.16310533813407</v>
      </c>
      <c r="C29" s="212">
        <v>280.52357557404559</v>
      </c>
      <c r="D29" s="224">
        <f t="shared" si="10"/>
        <v>26.639529764088479</v>
      </c>
      <c r="E29" s="109"/>
      <c r="G29" s="126"/>
      <c r="H29" s="126"/>
      <c r="I29" s="127"/>
      <c r="J29" s="1"/>
      <c r="K29" s="128"/>
      <c r="L29" s="67"/>
      <c r="M29" s="66"/>
      <c r="N29" s="67"/>
      <c r="O29" s="67"/>
      <c r="P29" s="67"/>
      <c r="Q29" s="67"/>
    </row>
    <row r="30" spans="1:17" ht="18" customHeight="1">
      <c r="A30" s="107" t="s">
        <v>238</v>
      </c>
      <c r="B30" s="212">
        <f>'（５-3）品群別人時生產性(4℃-飯糰)'!C1</f>
        <v>330.85324673676564</v>
      </c>
      <c r="C30" s="212">
        <v>258.56166578115295</v>
      </c>
      <c r="D30" s="224">
        <f t="shared" si="10"/>
        <v>72.291580955612687</v>
      </c>
      <c r="E30" s="109"/>
      <c r="L30" s="99"/>
    </row>
    <row r="31" spans="1:17" ht="18" customHeight="1">
      <c r="A31" s="107" t="s">
        <v>223</v>
      </c>
      <c r="B31" s="212">
        <f>'（５-4）品群別人時生產性(4℃-壽司手卷)'!C1</f>
        <v>493.70226196451773</v>
      </c>
      <c r="C31" s="212">
        <v>486.07170829520021</v>
      </c>
      <c r="D31" s="224">
        <f t="shared" si="10"/>
        <v>7.6305536693175213</v>
      </c>
      <c r="E31" s="109"/>
      <c r="L31" s="99"/>
    </row>
    <row r="32" spans="1:17" ht="18" customHeight="1">
      <c r="A32" s="107" t="s">
        <v>227</v>
      </c>
      <c r="B32" s="212">
        <f>'（５-5）品群別人時生產性(微波主食) '!C1</f>
        <v>78.207319083847608</v>
      </c>
      <c r="C32" s="212">
        <v>68.891235373311801</v>
      </c>
      <c r="D32" s="224">
        <f t="shared" si="10"/>
        <v>9.316083710535807</v>
      </c>
      <c r="E32" s="109"/>
      <c r="L32" s="99"/>
    </row>
    <row r="33" spans="1:5" s="99" customFormat="1" ht="18" customHeight="1">
      <c r="A33" s="107" t="s">
        <v>229</v>
      </c>
      <c r="B33" s="212">
        <f>'（５-6）品群別人時生產性(便當)'!C1</f>
        <v>76.642721185599854</v>
      </c>
      <c r="C33" s="212">
        <v>78.306366965294018</v>
      </c>
      <c r="D33" s="224">
        <f t="shared" si="10"/>
        <v>-1.6636457796941642</v>
      </c>
      <c r="E33" s="109"/>
    </row>
    <row r="34" spans="1:5" s="99" customFormat="1" ht="18" customHeight="1">
      <c r="A34" s="107" t="s">
        <v>239</v>
      </c>
      <c r="B34" s="212">
        <f>'（５-7）品群別人時生產性(熱食義麵) '!C1</f>
        <v>0</v>
      </c>
      <c r="C34" s="212">
        <v>76.250132772766719</v>
      </c>
      <c r="D34" s="224">
        <f t="shared" si="10"/>
        <v>-76.250132772766719</v>
      </c>
      <c r="E34" s="109"/>
    </row>
    <row r="35" spans="1:5" s="99" customFormat="1" ht="18" customHeight="1">
      <c r="A35" s="107" t="s">
        <v>240</v>
      </c>
      <c r="B35" s="212">
        <f>'（５-8）品群別人時生產性(季節調理麵) '!C1</f>
        <v>84.60142398436416</v>
      </c>
      <c r="C35" s="212">
        <v>110.80830487807768</v>
      </c>
      <c r="D35" s="224">
        <f t="shared" si="10"/>
        <v>-26.206880893713517</v>
      </c>
      <c r="E35" s="109"/>
    </row>
    <row r="36" spans="1:5" s="99" customFormat="1" ht="18" customHeight="1">
      <c r="A36" s="103" t="s">
        <v>235</v>
      </c>
      <c r="B36" s="212">
        <f>'（５-9）品群別人時生產性(微波小吃)'!C1</f>
        <v>83.048342970011419</v>
      </c>
      <c r="C36" s="212">
        <v>76.123665150077642</v>
      </c>
      <c r="D36" s="224">
        <f t="shared" si="10"/>
        <v>6.9246778199337768</v>
      </c>
      <c r="E36" s="103"/>
    </row>
    <row r="37" spans="1:5" s="99" customFormat="1" ht="15.75" customHeight="1"/>
    <row r="38" spans="1:5" s="99" customFormat="1" ht="15.75" customHeight="1"/>
  </sheetData>
  <mergeCells count="2">
    <mergeCell ref="A1:K2"/>
    <mergeCell ref="D3:E3"/>
  </mergeCells>
  <phoneticPr fontId="15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tabSelected="1" view="pageBreakPreview" zoomScaleNormal="60" zoomScaleSheetLayoutView="100" workbookViewId="0">
      <selection activeCell="F11" sqref="F11"/>
    </sheetView>
  </sheetViews>
  <sheetFormatPr defaultColWidth="12.54296875" defaultRowHeight="15.75" customHeight="1"/>
  <cols>
    <col min="1" max="1" width="27.453125" style="99" bestFit="1" customWidth="1"/>
    <col min="2" max="2" width="12.54296875" style="99" customWidth="1"/>
    <col min="3" max="4" width="12.54296875" style="99"/>
    <col min="5" max="5" width="16.453125" style="99" customWidth="1"/>
    <col min="6" max="6" width="2.453125" style="99" customWidth="1"/>
    <col min="7" max="7" width="24.81640625" style="99" bestFit="1" customWidth="1"/>
    <col min="8" max="10" width="12.54296875" style="99"/>
    <col min="11" max="11" width="16.453125" style="99" customWidth="1"/>
    <col min="12" max="12" width="12.54296875" style="100"/>
    <col min="13" max="16384" width="12.54296875" style="99"/>
  </cols>
  <sheetData>
    <row r="1" spans="1:16" ht="15.75" customHeight="1">
      <c r="A1" s="462" t="s">
        <v>375</v>
      </c>
      <c r="B1" s="463"/>
      <c r="C1" s="463"/>
      <c r="D1" s="463"/>
      <c r="E1" s="463"/>
      <c r="F1" s="463"/>
      <c r="G1" s="463"/>
      <c r="H1" s="463"/>
      <c r="I1" s="463"/>
      <c r="J1" s="463"/>
      <c r="K1" s="463"/>
      <c r="L1" s="99"/>
    </row>
    <row r="2" spans="1:16" s="100" customFormat="1" ht="15.75" customHeight="1">
      <c r="A2" s="463"/>
      <c r="B2" s="463"/>
      <c r="C2" s="463"/>
      <c r="D2" s="463"/>
      <c r="E2" s="463"/>
      <c r="F2" s="463"/>
      <c r="G2" s="463"/>
      <c r="H2" s="463"/>
      <c r="I2" s="463"/>
      <c r="J2" s="463"/>
      <c r="K2" s="463"/>
    </row>
    <row r="3" spans="1:16" ht="21.65" customHeight="1">
      <c r="A3" s="115" t="s">
        <v>328</v>
      </c>
      <c r="B3" s="116">
        <v>3</v>
      </c>
      <c r="C3" s="159" t="s">
        <v>329</v>
      </c>
      <c r="D3" s="116" t="s">
        <v>615</v>
      </c>
      <c r="E3" s="115" t="s">
        <v>20</v>
      </c>
      <c r="F3" s="465" t="s">
        <v>374</v>
      </c>
      <c r="G3" s="466"/>
      <c r="H3" s="100"/>
      <c r="I3" s="110"/>
      <c r="J3" s="100"/>
      <c r="K3" s="100"/>
      <c r="M3" s="100"/>
      <c r="N3" s="100"/>
    </row>
    <row r="4" spans="1:16" ht="15.75" customHeight="1">
      <c r="A4" s="111" t="s">
        <v>418</v>
      </c>
      <c r="E4" s="102" t="s">
        <v>424</v>
      </c>
      <c r="G4" s="112" t="s">
        <v>71</v>
      </c>
      <c r="L4" s="99"/>
    </row>
    <row r="5" spans="1:16" s="104" customFormat="1" ht="15.75" customHeight="1">
      <c r="A5" s="123" t="s">
        <v>200</v>
      </c>
      <c r="B5" s="123" t="s">
        <v>331</v>
      </c>
      <c r="C5" s="123" t="s">
        <v>333</v>
      </c>
      <c r="D5" s="117" t="s">
        <v>2</v>
      </c>
      <c r="E5" s="117" t="s">
        <v>3</v>
      </c>
      <c r="G5" s="123" t="s">
        <v>200</v>
      </c>
      <c r="H5" s="117" t="s">
        <v>69</v>
      </c>
      <c r="I5" s="117" t="s">
        <v>330</v>
      </c>
      <c r="J5" s="117" t="s">
        <v>332</v>
      </c>
      <c r="K5" s="117" t="s">
        <v>3</v>
      </c>
      <c r="L5" s="105" t="s">
        <v>60</v>
      </c>
    </row>
    <row r="6" spans="1:16" ht="18" customHeight="1">
      <c r="A6" s="107" t="s">
        <v>24</v>
      </c>
      <c r="B6" s="118">
        <f>'（１）收支狀況'!G12/1000</f>
        <v>33854.096109999999</v>
      </c>
      <c r="C6" s="118">
        <v>32338.420109999999</v>
      </c>
      <c r="D6" s="118">
        <f>B6-C6</f>
        <v>1515.6759999999995</v>
      </c>
      <c r="E6" s="218">
        <v>33854.096109999999</v>
      </c>
      <c r="G6" s="219" t="s">
        <v>420</v>
      </c>
      <c r="H6" s="220">
        <v>497.6</v>
      </c>
      <c r="I6" s="220">
        <f>'（２）ＫＰＩ達成進度'!G12</f>
        <v>413.80533027826323</v>
      </c>
      <c r="J6" s="220">
        <v>468.73196966875156</v>
      </c>
      <c r="K6" s="220">
        <f>'（２）ＫＰＩ達成進度'!H10</f>
        <v>423.20738746061483</v>
      </c>
      <c r="L6" s="101" t="s">
        <v>197</v>
      </c>
    </row>
    <row r="7" spans="1:16" ht="18" customHeight="1">
      <c r="A7" s="107" t="s">
        <v>25</v>
      </c>
      <c r="B7" s="118">
        <f>'（１）收支狀況'!J12</f>
        <v>1137743</v>
      </c>
      <c r="C7" s="118">
        <v>1076054</v>
      </c>
      <c r="D7" s="118">
        <f t="shared" ref="D7:D11" si="0">B7-C7</f>
        <v>61689</v>
      </c>
      <c r="E7" s="218">
        <v>1137743</v>
      </c>
      <c r="G7" s="219" t="s">
        <v>421</v>
      </c>
      <c r="H7" s="221">
        <v>0.8</v>
      </c>
      <c r="I7" s="119">
        <f>'（２）ＫＰＩ達成進度'!J12</f>
        <v>0.83160235184538422</v>
      </c>
      <c r="J7" s="119">
        <v>0.94198546959154261</v>
      </c>
      <c r="K7" s="221">
        <f>'（２）ＫＰＩ達成進度'!K10</f>
        <v>0.85049716129544761</v>
      </c>
      <c r="L7" s="101" t="s">
        <v>4</v>
      </c>
    </row>
    <row r="8" spans="1:16" ht="18" customHeight="1">
      <c r="A8" s="107" t="s">
        <v>419</v>
      </c>
      <c r="B8" s="118">
        <f>'（１）收支狀況'!M12/1000</f>
        <v>22517.866401008665</v>
      </c>
      <c r="C8" s="118">
        <v>21241.350674792171</v>
      </c>
      <c r="D8" s="118">
        <f>B8-C8</f>
        <v>1276.5157262164939</v>
      </c>
      <c r="E8" s="118">
        <v>22517.866401008665</v>
      </c>
      <c r="G8" s="219" t="s">
        <v>203</v>
      </c>
      <c r="H8" s="119">
        <v>2.5000000000000001E-3</v>
      </c>
      <c r="I8" s="222">
        <f>'（２）ＫＰＩ達成進度'!M12</f>
        <v>2.0348074918875199E-3</v>
      </c>
      <c r="J8" s="222">
        <v>2.2409997247341139E-3</v>
      </c>
      <c r="K8" s="222">
        <f>'（２）ＫＰＩ達成進度'!N10</f>
        <v>2.0460085844532672E-3</v>
      </c>
      <c r="L8" s="101" t="s">
        <v>55</v>
      </c>
    </row>
    <row r="9" spans="1:16" ht="18" customHeight="1">
      <c r="A9" s="107" t="s">
        <v>6</v>
      </c>
      <c r="B9" s="221">
        <f>'（１）收支狀況'!P12</f>
        <v>0.66514451686563336</v>
      </c>
      <c r="C9" s="221">
        <v>0.65684565302012743</v>
      </c>
      <c r="D9" s="221">
        <f t="shared" si="0"/>
        <v>8.2988638455059327E-3</v>
      </c>
      <c r="E9" s="221">
        <v>0.66514451686563336</v>
      </c>
      <c r="G9" s="219" t="s">
        <v>204</v>
      </c>
      <c r="H9" s="119">
        <v>4.0000000000000001E-3</v>
      </c>
      <c r="I9" s="119">
        <f>'（２）ＫＰＩ達成進度'!P12</f>
        <v>5.0385612013626093E-3</v>
      </c>
      <c r="J9" s="119">
        <v>5.0772954698878481E-3</v>
      </c>
      <c r="K9" s="119">
        <f>'（２）ＫＰＩ達成進度'!Q10</f>
        <v>5.0579793466341292E-3</v>
      </c>
      <c r="L9" s="101" t="s">
        <v>98</v>
      </c>
    </row>
    <row r="10" spans="1:16" ht="18" customHeight="1">
      <c r="A10" s="107" t="s">
        <v>64</v>
      </c>
      <c r="B10" s="118">
        <f>'（１）收支狀況'!S12/1000</f>
        <v>5405.1639479999994</v>
      </c>
      <c r="C10" s="118">
        <v>5488.2977599999995</v>
      </c>
      <c r="D10" s="118">
        <f t="shared" si="0"/>
        <v>-83.133812000000034</v>
      </c>
      <c r="E10" s="118">
        <v>5405.1639479999994</v>
      </c>
      <c r="G10" s="219" t="s">
        <v>422</v>
      </c>
      <c r="H10" s="221">
        <v>0.8</v>
      </c>
      <c r="I10" s="221">
        <f>'（２）ＫＰＩ達成進度'!S12</f>
        <v>0.90000000000000013</v>
      </c>
      <c r="J10" s="221">
        <v>0.90000000000000013</v>
      </c>
      <c r="K10" s="221">
        <f>'（２）ＫＰＩ達成進度'!T10</f>
        <v>0.90000000000000013</v>
      </c>
      <c r="L10" s="101" t="s">
        <v>7</v>
      </c>
      <c r="M10" s="321"/>
      <c r="N10" s="321"/>
      <c r="O10" s="321"/>
      <c r="P10" s="321"/>
    </row>
    <row r="11" spans="1:16" ht="18" customHeight="1">
      <c r="A11" s="107" t="s">
        <v>65</v>
      </c>
      <c r="B11" s="221">
        <f>'（１）收支狀況'!V12</f>
        <v>0.15966056014129984</v>
      </c>
      <c r="C11" s="221">
        <v>0.16971446784757599</v>
      </c>
      <c r="D11" s="221">
        <f t="shared" si="0"/>
        <v>-1.0053907706276149E-2</v>
      </c>
      <c r="E11" s="221">
        <v>0.15966056014129984</v>
      </c>
      <c r="G11" s="219" t="s">
        <v>423</v>
      </c>
      <c r="H11" s="221">
        <v>1</v>
      </c>
      <c r="I11" s="318">
        <f>10/52*100%</f>
        <v>0.19230769230769232</v>
      </c>
      <c r="J11" s="318">
        <v>0.17307692307692307</v>
      </c>
      <c r="K11" s="318">
        <f>'（２）ＫＰＩ達成進度'!W10</f>
        <v>0.18803418803418803</v>
      </c>
      <c r="L11" s="101" t="s">
        <v>62</v>
      </c>
      <c r="M11" s="322"/>
      <c r="N11" s="322"/>
      <c r="O11" s="322"/>
      <c r="P11" s="322"/>
    </row>
    <row r="12" spans="1:16" ht="9.65" customHeight="1">
      <c r="L12" s="99"/>
    </row>
    <row r="13" spans="1:16" ht="15.75" customHeight="1">
      <c r="A13" s="111" t="s">
        <v>32</v>
      </c>
      <c r="E13" s="320" t="s">
        <v>23</v>
      </c>
      <c r="G13" s="111" t="s">
        <v>33</v>
      </c>
      <c r="K13" s="320" t="s">
        <v>453</v>
      </c>
      <c r="L13" s="99"/>
    </row>
    <row r="14" spans="1:16" s="106" customFormat="1" ht="13.5">
      <c r="A14" s="122"/>
      <c r="B14" s="160" t="s">
        <v>331</v>
      </c>
      <c r="C14" s="122" t="s">
        <v>66</v>
      </c>
      <c r="D14" s="160" t="s">
        <v>334</v>
      </c>
      <c r="E14" s="122" t="s">
        <v>68</v>
      </c>
      <c r="G14" s="122"/>
      <c r="H14" s="160" t="s">
        <v>331</v>
      </c>
      <c r="I14" s="122" t="s">
        <v>66</v>
      </c>
      <c r="J14" s="160" t="s">
        <v>334</v>
      </c>
      <c r="K14" s="122" t="s">
        <v>68</v>
      </c>
    </row>
    <row r="15" spans="1:16" ht="18" customHeight="1">
      <c r="A15" s="107" t="s">
        <v>395</v>
      </c>
      <c r="B15" s="118">
        <f>SUM('（３）業績構成比'!M14:M20)/1000</f>
        <v>12088.956550000001</v>
      </c>
      <c r="C15" s="221">
        <f>IFERROR(B15/$B$6,"")</f>
        <v>0.3570899223160503</v>
      </c>
      <c r="D15" s="221">
        <v>0.34854538260248979</v>
      </c>
      <c r="E15" s="221">
        <f>IFERROR(C15-D15,"")</f>
        <v>8.5445397135605061E-3</v>
      </c>
      <c r="G15" s="107" t="s">
        <v>396</v>
      </c>
      <c r="H15" s="118">
        <f>SUM('（４）訂單數量構成比'!M14:M20)</f>
        <v>645390</v>
      </c>
      <c r="I15" s="221">
        <f>IFERROR(H15/$B$7,"")</f>
        <v>0.56725464362338418</v>
      </c>
      <c r="J15" s="221">
        <v>0.56176641692703155</v>
      </c>
      <c r="K15" s="221">
        <f t="shared" ref="K15:K23" si="1">IFERROR(I15-J15,"")</f>
        <v>5.4882266963526272E-3</v>
      </c>
      <c r="L15" s="99"/>
    </row>
    <row r="16" spans="1:16" ht="18" customHeight="1">
      <c r="A16" s="107" t="s">
        <v>226</v>
      </c>
      <c r="B16" s="118">
        <f>SUM('（３）業績構成比'!S14:S20)/1000</f>
        <v>2809.6223999999993</v>
      </c>
      <c r="C16" s="221">
        <f t="shared" ref="C16:C23" si="2">IFERROR(B16/$B$6,"")</f>
        <v>8.2992096166764243E-2</v>
      </c>
      <c r="D16" s="221">
        <v>7.7659535359409976E-2</v>
      </c>
      <c r="E16" s="221">
        <f t="shared" ref="E16:E23" si="3">IFERROR(C16-D16,"")</f>
        <v>5.3325608073542669E-3</v>
      </c>
      <c r="G16" s="107" t="s">
        <v>257</v>
      </c>
      <c r="H16" s="118">
        <f>SUM('（４）訂單數量構成比'!S14:S20)</f>
        <v>114606</v>
      </c>
      <c r="I16" s="221">
        <f>IFERROR(H16/$B$7,"")</f>
        <v>0.10073100867243305</v>
      </c>
      <c r="J16" s="221">
        <v>8.9098688355788838E-2</v>
      </c>
      <c r="K16" s="221">
        <f t="shared" si="1"/>
        <v>1.1632320316644212E-2</v>
      </c>
      <c r="L16" s="99"/>
    </row>
    <row r="17" spans="1:17" ht="18" customHeight="1">
      <c r="A17" s="107" t="s">
        <v>222</v>
      </c>
      <c r="B17" s="118">
        <f>SUM('（３）業績構成比'!U14:U20)/1000</f>
        <v>810.6336399999999</v>
      </c>
      <c r="C17" s="221">
        <f t="shared" si="2"/>
        <v>2.3944920501379172E-2</v>
      </c>
      <c r="D17" s="221">
        <v>3.051684796731401E-2</v>
      </c>
      <c r="E17" s="221">
        <f t="shared" si="3"/>
        <v>-6.5719274659348376E-3</v>
      </c>
      <c r="G17" s="107" t="s">
        <v>238</v>
      </c>
      <c r="H17" s="118">
        <f>SUM('（４）訂單數量構成比'!U14:U20)</f>
        <v>30587</v>
      </c>
      <c r="I17" s="221">
        <f t="shared" ref="I17:I23" si="4">IFERROR(H17/$B$7,"")</f>
        <v>2.6883927213790813E-2</v>
      </c>
      <c r="J17" s="221">
        <v>3.6542775734303298E-2</v>
      </c>
      <c r="K17" s="221">
        <f t="shared" si="1"/>
        <v>-9.6588485205124849E-3</v>
      </c>
      <c r="L17" s="99"/>
    </row>
    <row r="18" spans="1:17" ht="18" customHeight="1">
      <c r="A18" s="107" t="s">
        <v>224</v>
      </c>
      <c r="B18" s="118">
        <f>SUM('（３）業績構成比'!W14:W20)/1000</f>
        <v>563.87272999999993</v>
      </c>
      <c r="C18" s="221">
        <f t="shared" si="2"/>
        <v>1.6655967660983872E-2</v>
      </c>
      <c r="D18" s="221">
        <v>2.6662266649612156E-2</v>
      </c>
      <c r="E18" s="221">
        <f t="shared" si="3"/>
        <v>-1.0006298988628284E-2</v>
      </c>
      <c r="G18" s="107" t="s">
        <v>223</v>
      </c>
      <c r="H18" s="118">
        <f>SUM('（４）訂單數量構成比'!W14:W20)</f>
        <v>21361</v>
      </c>
      <c r="I18" s="221">
        <f t="shared" si="4"/>
        <v>1.8774890287173818E-2</v>
      </c>
      <c r="J18" s="221">
        <v>3.120847095034264E-2</v>
      </c>
      <c r="K18" s="221">
        <f t="shared" si="1"/>
        <v>-1.2433580663168822E-2</v>
      </c>
      <c r="L18" s="99"/>
    </row>
    <row r="19" spans="1:17" ht="18" customHeight="1">
      <c r="A19" s="107" t="s">
        <v>228</v>
      </c>
      <c r="B19" s="118">
        <f>SUM('（３）業績構成比'!AC14:AC20)/1000</f>
        <v>7314.4163499999995</v>
      </c>
      <c r="C19" s="221">
        <f t="shared" si="2"/>
        <v>0.21605705632292541</v>
      </c>
      <c r="D19" s="221">
        <v>0.18359017292140686</v>
      </c>
      <c r="E19" s="221">
        <f t="shared" si="3"/>
        <v>3.2466883401518543E-2</v>
      </c>
      <c r="G19" s="107" t="s">
        <v>227</v>
      </c>
      <c r="H19" s="118">
        <f>SUM('（４）訂單數量構成比'!AC14:AC20)</f>
        <v>139738</v>
      </c>
      <c r="I19" s="221">
        <f t="shared" si="4"/>
        <v>0.12282035573938931</v>
      </c>
      <c r="J19" s="221">
        <v>0.10117614915236596</v>
      </c>
      <c r="K19" s="221">
        <f t="shared" si="1"/>
        <v>2.1644206587023346E-2</v>
      </c>
      <c r="L19" s="99"/>
    </row>
    <row r="20" spans="1:17" ht="18" customHeight="1">
      <c r="A20" s="107" t="s">
        <v>230</v>
      </c>
      <c r="B20" s="118">
        <f>SUM('（３）業績構成比'!AE14:AE20)/1000</f>
        <v>9696.3549400000011</v>
      </c>
      <c r="C20" s="221">
        <f t="shared" si="2"/>
        <v>0.28641600438819104</v>
      </c>
      <c r="D20" s="221">
        <v>0.28346202315447627</v>
      </c>
      <c r="E20" s="221">
        <f t="shared" si="3"/>
        <v>2.9539812337147642E-3</v>
      </c>
      <c r="G20" s="107" t="s">
        <v>229</v>
      </c>
      <c r="H20" s="118">
        <f>SUM('（４）訂單數量構成比'!AE14:AE20)</f>
        <v>159788</v>
      </c>
      <c r="I20" s="221">
        <f t="shared" si="4"/>
        <v>0.14044296471171433</v>
      </c>
      <c r="J20" s="221">
        <v>0.14085910186663494</v>
      </c>
      <c r="K20" s="221">
        <f t="shared" si="1"/>
        <v>-4.1613715492061498E-4</v>
      </c>
      <c r="L20" s="99"/>
    </row>
    <row r="21" spans="1:17" ht="18" customHeight="1">
      <c r="A21" s="107" t="s">
        <v>233</v>
      </c>
      <c r="B21" s="118">
        <f>SUM('（３）業績構成比'!AG14:AG20)/1000</f>
        <v>0</v>
      </c>
      <c r="C21" s="221">
        <f t="shared" si="2"/>
        <v>0</v>
      </c>
      <c r="D21" s="221">
        <v>0</v>
      </c>
      <c r="E21" s="221">
        <f t="shared" si="3"/>
        <v>0</v>
      </c>
      <c r="G21" s="107" t="s">
        <v>239</v>
      </c>
      <c r="H21" s="118">
        <f>SUM('（４）訂單數量構成比'!AG14:AG20)</f>
        <v>0</v>
      </c>
      <c r="I21" s="221">
        <f t="shared" si="4"/>
        <v>0</v>
      </c>
      <c r="J21" s="221">
        <v>0</v>
      </c>
      <c r="K21" s="221">
        <f t="shared" si="1"/>
        <v>0</v>
      </c>
      <c r="L21" s="99"/>
    </row>
    <row r="22" spans="1:17" ht="18" customHeight="1">
      <c r="A22" s="107" t="s">
        <v>234</v>
      </c>
      <c r="B22" s="118">
        <f>SUM('（３）業績構成比'!AI14:AI20)/1000</f>
        <v>72.558400000000006</v>
      </c>
      <c r="C22" s="221">
        <f t="shared" si="2"/>
        <v>2.1432679745529326E-3</v>
      </c>
      <c r="D22" s="221">
        <v>2.3826783045648302E-2</v>
      </c>
      <c r="E22" s="221">
        <f t="shared" si="3"/>
        <v>-2.168351507109537E-2</v>
      </c>
      <c r="G22" s="107" t="s">
        <v>240</v>
      </c>
      <c r="H22" s="118">
        <f>SUM('（４）訂單數量構成比'!AI14:AI20)</f>
        <v>1010</v>
      </c>
      <c r="I22" s="221">
        <f t="shared" si="4"/>
        <v>8.8772244698495173E-4</v>
      </c>
      <c r="J22" s="221">
        <v>1.093625412851028E-2</v>
      </c>
      <c r="K22" s="221">
        <f t="shared" si="1"/>
        <v>-1.0048531681525329E-2</v>
      </c>
      <c r="L22" s="99"/>
    </row>
    <row r="23" spans="1:17" ht="18" customHeight="1">
      <c r="A23" s="107" t="s">
        <v>236</v>
      </c>
      <c r="B23" s="118">
        <f>SUM('（３）業績構成比'!AK14:AK20)/1000</f>
        <v>497.68109999999996</v>
      </c>
      <c r="C23" s="221">
        <f t="shared" si="2"/>
        <v>1.4700764669153057E-2</v>
      </c>
      <c r="D23" s="221">
        <v>2.5736988299642691E-2</v>
      </c>
      <c r="E23" s="221">
        <f t="shared" si="3"/>
        <v>-1.1036223630489634E-2</v>
      </c>
      <c r="G23" s="107" t="s">
        <v>235</v>
      </c>
      <c r="H23" s="118">
        <f>SUM('（４）訂單數量構成比'!AK14:AK20)</f>
        <v>25263</v>
      </c>
      <c r="I23" s="221">
        <f t="shared" si="4"/>
        <v>2.2204487305129542E-2</v>
      </c>
      <c r="J23" s="221">
        <v>2.8412142885022498E-2</v>
      </c>
      <c r="K23" s="221">
        <f t="shared" si="1"/>
        <v>-6.207655579892956E-3</v>
      </c>
      <c r="L23" s="99"/>
    </row>
    <row r="24" spans="1:17" ht="15.75" customHeight="1">
      <c r="B24" s="102"/>
      <c r="C24" s="113">
        <f>SUM(C15:C23)</f>
        <v>1</v>
      </c>
      <c r="D24" s="113">
        <f>SUM(D15:D23)</f>
        <v>1</v>
      </c>
      <c r="I24" s="113">
        <f>SUM(I15:I23)</f>
        <v>1</v>
      </c>
      <c r="J24" s="113">
        <f>SUM(J15:J23)</f>
        <v>1</v>
      </c>
      <c r="L24" s="99"/>
    </row>
    <row r="25" spans="1:17" ht="9.65" customHeight="1">
      <c r="A25" s="114"/>
      <c r="L25" s="99"/>
    </row>
    <row r="26" spans="1:17" ht="15.75" customHeight="1">
      <c r="A26" s="111" t="s">
        <v>436</v>
      </c>
      <c r="L26" s="99"/>
    </row>
    <row r="27" spans="1:17" ht="15.75" customHeight="1">
      <c r="A27" s="107" t="s">
        <v>190</v>
      </c>
      <c r="B27" s="161" t="s">
        <v>331</v>
      </c>
      <c r="C27" s="161" t="s">
        <v>333</v>
      </c>
      <c r="D27" s="107" t="s">
        <v>2</v>
      </c>
      <c r="E27" s="107" t="s">
        <v>3</v>
      </c>
      <c r="L27" s="99"/>
    </row>
    <row r="28" spans="1:17" ht="18" customHeight="1">
      <c r="A28" s="107" t="s">
        <v>396</v>
      </c>
      <c r="B28" s="212">
        <f>'（５-1）品群別人時生產性(18℃-飯糰)'!L45</f>
        <v>770.49370002361638</v>
      </c>
      <c r="C28" s="212">
        <v>770.91905873162898</v>
      </c>
      <c r="D28" s="223">
        <f>B28-C28</f>
        <v>-0.42535870801259534</v>
      </c>
      <c r="E28" s="224">
        <f>'（５-1）品群別人時生產性(18℃-飯糰)'!C1</f>
        <v>770.49370002361638</v>
      </c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5"/>
    </row>
    <row r="29" spans="1:17" ht="18" customHeight="1">
      <c r="A29" s="107" t="s">
        <v>225</v>
      </c>
      <c r="B29" s="212">
        <f>'（５-2）品群別人時生產性(18℃-壽司手卷)'!L27</f>
        <v>307.16310533813407</v>
      </c>
      <c r="C29" s="212">
        <v>300.55927939537992</v>
      </c>
      <c r="D29" s="223">
        <f>B29-C29</f>
        <v>6.6038259427541561</v>
      </c>
      <c r="E29" s="224">
        <f>'（５-2）品群別人時生產性(18℃-壽司手卷)'!C1</f>
        <v>307.16310533813407</v>
      </c>
      <c r="G29" s="126"/>
      <c r="H29" s="126"/>
      <c r="I29" s="127"/>
      <c r="J29" s="1"/>
      <c r="K29" s="128"/>
      <c r="L29" s="67"/>
      <c r="M29" s="66"/>
      <c r="N29" s="67"/>
      <c r="O29" s="67"/>
      <c r="P29" s="67"/>
      <c r="Q29" s="67"/>
    </row>
    <row r="30" spans="1:17" ht="18" customHeight="1">
      <c r="A30" s="107" t="s">
        <v>238</v>
      </c>
      <c r="B30" s="212">
        <f>'（５-3）品群別人時生產性(4℃-飯糰)'!L27</f>
        <v>330.85324673676564</v>
      </c>
      <c r="C30" s="212">
        <v>317.46260310389169</v>
      </c>
      <c r="D30" s="223">
        <f>B30-C30</f>
        <v>13.390643632873946</v>
      </c>
      <c r="E30" s="224">
        <f>'（５-3）品群別人時生產性(4℃-飯糰)'!C1</f>
        <v>330.85324673676564</v>
      </c>
      <c r="L30" s="99"/>
    </row>
    <row r="31" spans="1:17" ht="18" customHeight="1">
      <c r="A31" s="107" t="s">
        <v>223</v>
      </c>
      <c r="B31" s="212">
        <f>'（５-4）品群別人時生產性(4℃-壽司手卷)'!L27</f>
        <v>493.70226196451773</v>
      </c>
      <c r="C31" s="212">
        <v>481.20056773217823</v>
      </c>
      <c r="D31" s="223">
        <f>B31-C31</f>
        <v>12.501694232339503</v>
      </c>
      <c r="E31" s="224">
        <f>'（５-4）品群別人時生產性(4℃-壽司手卷)'!C1</f>
        <v>493.70226196451773</v>
      </c>
      <c r="L31" s="99"/>
    </row>
    <row r="32" spans="1:17" ht="18" customHeight="1">
      <c r="A32" s="107" t="s">
        <v>228</v>
      </c>
      <c r="B32" s="212">
        <f>'（５-5）品群別人時生產性(微波主食) '!L27</f>
        <v>78.207319083847608</v>
      </c>
      <c r="C32" s="212">
        <v>79.96347046137852</v>
      </c>
      <c r="D32" s="223">
        <f t="shared" ref="D32:D36" si="5">B32-C32</f>
        <v>-1.7561513775309123</v>
      </c>
      <c r="E32" s="224">
        <f>'（５-5）品群別人時生產性(微波主食) '!C1</f>
        <v>78.207319083847608</v>
      </c>
      <c r="L32" s="99"/>
    </row>
    <row r="33" spans="1:12" ht="18" customHeight="1">
      <c r="A33" s="107" t="s">
        <v>229</v>
      </c>
      <c r="B33" s="212">
        <f>'（５-6）品群別人時生產性(便當)'!L27</f>
        <v>76.642721185599854</v>
      </c>
      <c r="C33" s="212">
        <v>78.283793886795436</v>
      </c>
      <c r="D33" s="223">
        <f t="shared" si="5"/>
        <v>-1.6410727011955828</v>
      </c>
      <c r="E33" s="224">
        <f>'（５-6）品群別人時生產性(便當)'!C1</f>
        <v>76.642721185599854</v>
      </c>
      <c r="L33" s="99"/>
    </row>
    <row r="34" spans="1:12" ht="18" customHeight="1">
      <c r="A34" s="107" t="s">
        <v>239</v>
      </c>
      <c r="B34" s="212">
        <v>0</v>
      </c>
      <c r="C34" s="212">
        <v>0</v>
      </c>
      <c r="D34" s="223">
        <f t="shared" si="5"/>
        <v>0</v>
      </c>
      <c r="E34" s="224">
        <f>'（５-7）品群別人時生產性(熱食義麵) '!C1</f>
        <v>0</v>
      </c>
      <c r="L34" s="99"/>
    </row>
    <row r="35" spans="1:12" ht="18" customHeight="1">
      <c r="A35" s="107" t="s">
        <v>240</v>
      </c>
      <c r="B35" s="212">
        <f>'（５-8）品群別人時生產性(季節調理麵) '!L27</f>
        <v>84.60142398436416</v>
      </c>
      <c r="C35" s="212">
        <v>84.576459084309448</v>
      </c>
      <c r="D35" s="223">
        <f t="shared" si="5"/>
        <v>2.4964900054712302E-2</v>
      </c>
      <c r="E35" s="224">
        <f>'（５-8）品群別人時生產性(季節調理麵) '!C1</f>
        <v>84.60142398436416</v>
      </c>
      <c r="L35" s="99"/>
    </row>
    <row r="36" spans="1:12" ht="18" customHeight="1">
      <c r="A36" s="103" t="s">
        <v>235</v>
      </c>
      <c r="B36" s="212">
        <f>'（５-9）品群別人時生產性(微波小吃)'!L27</f>
        <v>83.048342970011419</v>
      </c>
      <c r="C36" s="212">
        <v>78.042646380467062</v>
      </c>
      <c r="D36" s="223">
        <f t="shared" si="5"/>
        <v>5.0056965895443568</v>
      </c>
      <c r="E36" s="225">
        <f>'（５-9）品群別人時生產性(微波小吃)'!C1</f>
        <v>83.048342970011419</v>
      </c>
      <c r="L36" s="99"/>
    </row>
    <row r="37" spans="1:12" ht="15.75" customHeight="1">
      <c r="L37" s="99"/>
    </row>
    <row r="38" spans="1:12" ht="15.75" customHeight="1">
      <c r="L38" s="99"/>
    </row>
  </sheetData>
  <mergeCells count="2">
    <mergeCell ref="A1:K2"/>
    <mergeCell ref="F3:G3"/>
  </mergeCells>
  <phoneticPr fontId="15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  <pageSetUpPr fitToPage="1"/>
  </sheetPr>
  <dimension ref="B2:W46"/>
  <sheetViews>
    <sheetView topLeftCell="A7" zoomScale="80" zoomScaleNormal="80" workbookViewId="0">
      <selection activeCell="H10" sqref="H10:H40"/>
    </sheetView>
  </sheetViews>
  <sheetFormatPr defaultColWidth="8.81640625" defaultRowHeight="13.5"/>
  <cols>
    <col min="1" max="1" width="8.81640625" style="75"/>
    <col min="2" max="2" width="12.54296875" style="78" customWidth="1"/>
    <col min="3" max="3" width="8.81640625" style="75"/>
    <col min="4" max="4" width="17.453125" style="77" customWidth="1"/>
    <col min="5" max="5" width="4.453125" style="77" customWidth="1"/>
    <col min="6" max="8" width="19.54296875" style="81" customWidth="1"/>
    <col min="9" max="13" width="19.54296875" style="82" customWidth="1"/>
    <col min="14" max="14" width="19.54296875" style="83" customWidth="1"/>
    <col min="15" max="17" width="19.54296875" style="84" customWidth="1"/>
    <col min="18" max="20" width="19.54296875" style="83" customWidth="1"/>
    <col min="21" max="21" width="19.54296875" style="84" customWidth="1"/>
    <col min="22" max="23" width="19.54296875" style="75" customWidth="1"/>
    <col min="24" max="16384" width="8.81640625" style="75"/>
  </cols>
  <sheetData>
    <row r="2" spans="2:23" ht="38.15" customHeight="1">
      <c r="B2" s="476" t="s">
        <v>126</v>
      </c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6"/>
      <c r="U2" s="476"/>
      <c r="V2" s="476"/>
      <c r="W2" s="476"/>
    </row>
    <row r="3" spans="2:23" s="77" customFormat="1" ht="23.5" customHeight="1">
      <c r="B3" s="480" t="s">
        <v>122</v>
      </c>
      <c r="C3" s="481" t="s">
        <v>119</v>
      </c>
      <c r="D3" s="482" t="s">
        <v>105</v>
      </c>
      <c r="E3" s="482"/>
      <c r="F3" s="479" t="s">
        <v>123</v>
      </c>
      <c r="G3" s="479"/>
      <c r="H3" s="479"/>
      <c r="I3" s="477" t="s">
        <v>124</v>
      </c>
      <c r="J3" s="477"/>
      <c r="K3" s="477"/>
      <c r="L3" s="478" t="s">
        <v>125</v>
      </c>
      <c r="M3" s="478"/>
      <c r="N3" s="478"/>
      <c r="O3" s="475" t="s">
        <v>127</v>
      </c>
      <c r="P3" s="475"/>
      <c r="Q3" s="475"/>
      <c r="R3" s="483" t="s">
        <v>128</v>
      </c>
      <c r="S3" s="483"/>
      <c r="T3" s="483"/>
      <c r="U3" s="475" t="s">
        <v>129</v>
      </c>
      <c r="V3" s="475"/>
      <c r="W3" s="475"/>
    </row>
    <row r="4" spans="2:23" s="77" customFormat="1" ht="23.5" customHeight="1">
      <c r="B4" s="480"/>
      <c r="C4" s="481"/>
      <c r="D4" s="482"/>
      <c r="E4" s="482"/>
      <c r="F4" s="76" t="s">
        <v>116</v>
      </c>
      <c r="G4" s="76" t="s">
        <v>120</v>
      </c>
      <c r="H4" s="76" t="s">
        <v>121</v>
      </c>
      <c r="I4" s="86" t="s">
        <v>116</v>
      </c>
      <c r="J4" s="86" t="s">
        <v>120</v>
      </c>
      <c r="K4" s="86" t="s">
        <v>121</v>
      </c>
      <c r="L4" s="85" t="s">
        <v>116</v>
      </c>
      <c r="M4" s="85" t="s">
        <v>120</v>
      </c>
      <c r="N4" s="85" t="s">
        <v>121</v>
      </c>
      <c r="O4" s="79" t="s">
        <v>116</v>
      </c>
      <c r="P4" s="79" t="s">
        <v>120</v>
      </c>
      <c r="Q4" s="79" t="s">
        <v>121</v>
      </c>
      <c r="R4" s="79" t="s">
        <v>116</v>
      </c>
      <c r="S4" s="79" t="s">
        <v>120</v>
      </c>
      <c r="T4" s="79" t="s">
        <v>121</v>
      </c>
      <c r="U4" s="79" t="s">
        <v>116</v>
      </c>
      <c r="V4" s="79" t="s">
        <v>120</v>
      </c>
      <c r="W4" s="79" t="s">
        <v>121</v>
      </c>
    </row>
    <row r="5" spans="2:23">
      <c r="B5" s="467">
        <f>D6+7</f>
        <v>46085</v>
      </c>
      <c r="C5" s="474"/>
      <c r="D5" s="80">
        <v>46077</v>
      </c>
      <c r="E5" s="80" t="s">
        <v>118</v>
      </c>
      <c r="F5" s="166">
        <v>5238957.08</v>
      </c>
      <c r="G5" s="469">
        <f>SUM(F5:F11)</f>
        <v>32338420.109999999</v>
      </c>
      <c r="H5" s="469"/>
      <c r="I5" s="216">
        <v>175154</v>
      </c>
      <c r="J5" s="470">
        <f t="shared" ref="J5" si="0">SUM(I5:I11)</f>
        <v>1076054</v>
      </c>
      <c r="K5" s="470"/>
      <c r="L5" s="166">
        <v>3399597.0561187635</v>
      </c>
      <c r="M5" s="469">
        <f t="shared" ref="M5" si="1">SUM(L5:L11)</f>
        <v>21241350.674792171</v>
      </c>
      <c r="N5" s="469"/>
      <c r="O5" s="156">
        <f t="shared" ref="O5:O11" si="2">L5/F5</f>
        <v>0.64890721649484551</v>
      </c>
      <c r="P5" s="472">
        <f t="shared" ref="P5" si="3">M5/G5</f>
        <v>0.65684565302012743</v>
      </c>
      <c r="Q5" s="471"/>
      <c r="R5" s="167">
        <v>840082.54599999997</v>
      </c>
      <c r="S5" s="473">
        <f t="shared" ref="S5" si="4">SUM(R5:R11)</f>
        <v>5488297.7599999998</v>
      </c>
      <c r="T5" s="469"/>
      <c r="U5" s="156">
        <f t="shared" ref="U5:U8" si="5">R5/F5</f>
        <v>0.16035301171049104</v>
      </c>
      <c r="V5" s="472">
        <f>S5/G5</f>
        <v>0.16971446784757599</v>
      </c>
      <c r="W5" s="471"/>
    </row>
    <row r="6" spans="2:23">
      <c r="B6" s="468"/>
      <c r="C6" s="474"/>
      <c r="D6" s="80">
        <f t="shared" ref="D6:D46" si="6">D5+1</f>
        <v>46078</v>
      </c>
      <c r="E6" s="80" t="s">
        <v>112</v>
      </c>
      <c r="F6" s="166">
        <v>4692647.5</v>
      </c>
      <c r="G6" s="469"/>
      <c r="H6" s="469"/>
      <c r="I6" s="216">
        <v>156618</v>
      </c>
      <c r="J6" s="470"/>
      <c r="K6" s="470"/>
      <c r="L6" s="166">
        <v>3098792.1955154645</v>
      </c>
      <c r="M6" s="469"/>
      <c r="N6" s="469"/>
      <c r="O6" s="156">
        <f t="shared" si="2"/>
        <v>0.66035051546391765</v>
      </c>
      <c r="P6" s="472"/>
      <c r="Q6" s="471"/>
      <c r="R6" s="167">
        <v>789675.11600000004</v>
      </c>
      <c r="S6" s="473"/>
      <c r="T6" s="469"/>
      <c r="U6" s="156">
        <f t="shared" si="5"/>
        <v>0.1682792317130149</v>
      </c>
      <c r="V6" s="472"/>
      <c r="W6" s="471"/>
    </row>
    <row r="7" spans="2:23">
      <c r="B7" s="468"/>
      <c r="C7" s="474"/>
      <c r="D7" s="80">
        <f t="shared" si="6"/>
        <v>46079</v>
      </c>
      <c r="E7" s="80" t="s">
        <v>113</v>
      </c>
      <c r="F7" s="166">
        <v>3909306.83</v>
      </c>
      <c r="G7" s="469"/>
      <c r="H7" s="469"/>
      <c r="I7" s="216">
        <v>129387</v>
      </c>
      <c r="J7" s="470"/>
      <c r="K7" s="470"/>
      <c r="L7" s="166">
        <v>2647205.2558940202</v>
      </c>
      <c r="M7" s="469"/>
      <c r="N7" s="469"/>
      <c r="O7" s="156">
        <f t="shared" si="2"/>
        <v>0.67715463917525764</v>
      </c>
      <c r="P7" s="472"/>
      <c r="Q7" s="471"/>
      <c r="R7" s="167">
        <v>725122.696</v>
      </c>
      <c r="S7" s="473"/>
      <c r="T7" s="469"/>
      <c r="U7" s="156">
        <f t="shared" si="5"/>
        <v>0.1854862581865952</v>
      </c>
      <c r="V7" s="472"/>
      <c r="W7" s="471"/>
    </row>
    <row r="8" spans="2:23">
      <c r="B8" s="468"/>
      <c r="C8" s="474"/>
      <c r="D8" s="80">
        <f t="shared" si="6"/>
        <v>46080</v>
      </c>
      <c r="E8" s="80" t="s">
        <v>114</v>
      </c>
      <c r="F8" s="166">
        <v>3610052.0600000005</v>
      </c>
      <c r="G8" s="469"/>
      <c r="H8" s="469"/>
      <c r="I8" s="216">
        <v>120519</v>
      </c>
      <c r="J8" s="470"/>
      <c r="K8" s="470"/>
      <c r="L8" s="166">
        <v>2369385.0963694849</v>
      </c>
      <c r="M8" s="469"/>
      <c r="N8" s="469"/>
      <c r="O8" s="156">
        <f t="shared" si="2"/>
        <v>0.65632989690721655</v>
      </c>
      <c r="P8" s="472"/>
      <c r="Q8" s="471"/>
      <c r="R8" s="167">
        <v>750061.98600000003</v>
      </c>
      <c r="S8" s="473"/>
      <c r="T8" s="469"/>
      <c r="U8" s="156">
        <f t="shared" si="5"/>
        <v>0.20777040705612426</v>
      </c>
      <c r="V8" s="472"/>
      <c r="W8" s="471"/>
    </row>
    <row r="9" spans="2:23">
      <c r="B9" s="468"/>
      <c r="C9" s="474"/>
      <c r="D9" s="80">
        <f t="shared" si="6"/>
        <v>46081</v>
      </c>
      <c r="E9" s="80" t="s">
        <v>115</v>
      </c>
      <c r="F9" s="166">
        <v>3915929.62</v>
      </c>
      <c r="G9" s="469"/>
      <c r="H9" s="469"/>
      <c r="I9" s="216">
        <v>131697</v>
      </c>
      <c r="J9" s="470"/>
      <c r="K9" s="470"/>
      <c r="L9" s="166">
        <v>2568526.8674523714</v>
      </c>
      <c r="M9" s="469"/>
      <c r="N9" s="469"/>
      <c r="O9" s="156">
        <f t="shared" si="2"/>
        <v>0.65591752577319595</v>
      </c>
      <c r="P9" s="472"/>
      <c r="Q9" s="471"/>
      <c r="R9" s="167">
        <v>774937.55</v>
      </c>
      <c r="S9" s="473"/>
      <c r="T9" s="469"/>
      <c r="U9" s="156">
        <f t="shared" ref="U9:U15" si="7">R9/F9</f>
        <v>0.19789363579011413</v>
      </c>
      <c r="V9" s="472"/>
      <c r="W9" s="471"/>
    </row>
    <row r="10" spans="2:23">
      <c r="B10" s="468"/>
      <c r="C10" s="474" t="s">
        <v>112</v>
      </c>
      <c r="D10" s="80">
        <f t="shared" si="6"/>
        <v>46082</v>
      </c>
      <c r="E10" s="80" t="s">
        <v>116</v>
      </c>
      <c r="F10" s="166">
        <v>5447490.2600000007</v>
      </c>
      <c r="G10" s="469"/>
      <c r="H10" s="469">
        <f>SUM(F10:F40)</f>
        <v>44825623.129999995</v>
      </c>
      <c r="I10" s="216">
        <v>179915</v>
      </c>
      <c r="J10" s="470"/>
      <c r="K10" s="470">
        <f>SUM(I10:I40)</f>
        <v>1500422</v>
      </c>
      <c r="L10" s="166">
        <v>3643303.9497653628</v>
      </c>
      <c r="M10" s="469"/>
      <c r="N10" s="469">
        <f>SUM(L10:L40)</f>
        <v>29675710.604450729</v>
      </c>
      <c r="O10" s="156">
        <f t="shared" si="2"/>
        <v>0.66880412371134046</v>
      </c>
      <c r="P10" s="472"/>
      <c r="Q10" s="471">
        <f>N10/H10</f>
        <v>0.66202561241340474</v>
      </c>
      <c r="R10" s="167">
        <v>804587.51</v>
      </c>
      <c r="S10" s="473"/>
      <c r="T10" s="469">
        <f>SUM(R10:R40)</f>
        <v>7013581.8140000002</v>
      </c>
      <c r="U10" s="156">
        <f t="shared" si="7"/>
        <v>0.14769875146137479</v>
      </c>
      <c r="V10" s="472"/>
      <c r="W10" s="471">
        <f>T10/H10</f>
        <v>0.15646367689434507</v>
      </c>
    </row>
    <row r="11" spans="2:23">
      <c r="B11" s="468"/>
      <c r="C11" s="474"/>
      <c r="D11" s="80">
        <f t="shared" si="6"/>
        <v>46083</v>
      </c>
      <c r="E11" s="80" t="s">
        <v>117</v>
      </c>
      <c r="F11" s="166">
        <v>5524036.7599999998</v>
      </c>
      <c r="G11" s="469"/>
      <c r="H11" s="469"/>
      <c r="I11" s="216">
        <v>182764</v>
      </c>
      <c r="J11" s="470"/>
      <c r="K11" s="470"/>
      <c r="L11" s="166">
        <v>3514540.2536767018</v>
      </c>
      <c r="M11" s="469"/>
      <c r="N11" s="469"/>
      <c r="O11" s="156">
        <f t="shared" si="2"/>
        <v>0.63622680412371146</v>
      </c>
      <c r="P11" s="472"/>
      <c r="Q11" s="471"/>
      <c r="R11" s="167">
        <v>803830.35600000003</v>
      </c>
      <c r="S11" s="473"/>
      <c r="T11" s="469"/>
      <c r="U11" s="156">
        <f t="shared" si="7"/>
        <v>0.14551502658718732</v>
      </c>
      <c r="V11" s="472"/>
      <c r="W11" s="471"/>
    </row>
    <row r="12" spans="2:23">
      <c r="B12" s="467">
        <f>B5+7</f>
        <v>46092</v>
      </c>
      <c r="C12" s="474"/>
      <c r="D12" s="80">
        <f t="shared" si="6"/>
        <v>46084</v>
      </c>
      <c r="E12" s="80" t="s">
        <v>118</v>
      </c>
      <c r="F12" s="166">
        <v>5503117.0600000005</v>
      </c>
      <c r="G12" s="469">
        <f>SUM(F12:F18)</f>
        <v>33854096.109999999</v>
      </c>
      <c r="H12" s="469"/>
      <c r="I12" s="216">
        <v>182389</v>
      </c>
      <c r="J12" s="470">
        <f t="shared" ref="J12" si="8">SUM(I12:I18)</f>
        <v>1137743</v>
      </c>
      <c r="K12" s="470"/>
      <c r="L12" s="166">
        <v>3633986.187229279</v>
      </c>
      <c r="M12" s="469">
        <f t="shared" ref="M12" si="9">SUM(L12:L18)</f>
        <v>22517866.401008666</v>
      </c>
      <c r="N12" s="469"/>
      <c r="O12" s="156">
        <f t="shared" ref="O12:O18" si="10">L12/F12</f>
        <v>0.66035051546391754</v>
      </c>
      <c r="P12" s="472">
        <f t="shared" ref="P12" si="11">M12/G12</f>
        <v>0.66514451686563336</v>
      </c>
      <c r="Q12" s="471"/>
      <c r="R12" s="167">
        <v>830265.72600000002</v>
      </c>
      <c r="S12" s="473">
        <f t="shared" ref="S12" si="12">SUM(R12:R18)</f>
        <v>5405163.9479999999</v>
      </c>
      <c r="T12" s="469"/>
      <c r="U12" s="156">
        <f t="shared" si="7"/>
        <v>0.15087189986105801</v>
      </c>
      <c r="V12" s="472">
        <f>S12/G12</f>
        <v>0.15966056014129984</v>
      </c>
      <c r="W12" s="471"/>
    </row>
    <row r="13" spans="2:23">
      <c r="B13" s="468"/>
      <c r="C13" s="474"/>
      <c r="D13" s="80">
        <f t="shared" si="6"/>
        <v>46085</v>
      </c>
      <c r="E13" s="80" t="s">
        <v>112</v>
      </c>
      <c r="F13" s="166">
        <v>5072703.08</v>
      </c>
      <c r="G13" s="469"/>
      <c r="H13" s="469"/>
      <c r="I13" s="216">
        <v>171444</v>
      </c>
      <c r="J13" s="470"/>
      <c r="K13" s="470"/>
      <c r="L13" s="166">
        <v>3462721.2550424747</v>
      </c>
      <c r="M13" s="469"/>
      <c r="N13" s="469"/>
      <c r="O13" s="156">
        <f t="shared" si="10"/>
        <v>0.682618556701031</v>
      </c>
      <c r="P13" s="472"/>
      <c r="Q13" s="471"/>
      <c r="R13" s="167">
        <v>794675.29200000002</v>
      </c>
      <c r="S13" s="473"/>
      <c r="T13" s="469"/>
      <c r="U13" s="156">
        <f t="shared" si="7"/>
        <v>0.1566571666954337</v>
      </c>
      <c r="V13" s="472"/>
      <c r="W13" s="471"/>
    </row>
    <row r="14" spans="2:23">
      <c r="B14" s="468"/>
      <c r="C14" s="474"/>
      <c r="D14" s="80">
        <f t="shared" si="6"/>
        <v>46086</v>
      </c>
      <c r="E14" s="80" t="s">
        <v>113</v>
      </c>
      <c r="F14" s="166">
        <v>4496569.9800000004</v>
      </c>
      <c r="G14" s="469"/>
      <c r="H14" s="469"/>
      <c r="I14" s="216">
        <v>153251</v>
      </c>
      <c r="J14" s="470"/>
      <c r="K14" s="470"/>
      <c r="L14" s="166">
        <v>3011033.0565043311</v>
      </c>
      <c r="M14" s="469"/>
      <c r="N14" s="469"/>
      <c r="O14" s="156">
        <f t="shared" si="10"/>
        <v>0.66962886597938165</v>
      </c>
      <c r="P14" s="472"/>
      <c r="Q14" s="471"/>
      <c r="R14" s="167">
        <v>724960.16</v>
      </c>
      <c r="S14" s="473"/>
      <c r="T14" s="469"/>
      <c r="U14" s="156">
        <f t="shared" si="7"/>
        <v>0.16122514788483286</v>
      </c>
      <c r="V14" s="472"/>
      <c r="W14" s="471"/>
    </row>
    <row r="15" spans="2:23">
      <c r="B15" s="468"/>
      <c r="C15" s="474"/>
      <c r="D15" s="80">
        <f t="shared" si="6"/>
        <v>46087</v>
      </c>
      <c r="E15" s="80" t="s">
        <v>114</v>
      </c>
      <c r="F15" s="166">
        <v>3821772.9</v>
      </c>
      <c r="G15" s="469"/>
      <c r="H15" s="469"/>
      <c r="I15" s="216">
        <v>131075</v>
      </c>
      <c r="J15" s="470"/>
      <c r="K15" s="470"/>
      <c r="L15" s="166">
        <v>2509131.807872165</v>
      </c>
      <c r="M15" s="469"/>
      <c r="N15" s="469"/>
      <c r="O15" s="156">
        <f t="shared" si="10"/>
        <v>0.65653608247422679</v>
      </c>
      <c r="P15" s="472"/>
      <c r="Q15" s="471"/>
      <c r="R15" s="167">
        <v>685553.826</v>
      </c>
      <c r="S15" s="473"/>
      <c r="T15" s="469"/>
      <c r="U15" s="156">
        <f t="shared" si="7"/>
        <v>0.17938109980318298</v>
      </c>
      <c r="V15" s="472"/>
      <c r="W15" s="471"/>
    </row>
    <row r="16" spans="2:23">
      <c r="B16" s="468"/>
      <c r="C16" s="474"/>
      <c r="D16" s="80">
        <f t="shared" si="6"/>
        <v>46088</v>
      </c>
      <c r="E16" s="80" t="s">
        <v>115</v>
      </c>
      <c r="F16" s="166">
        <v>4127790.8299999996</v>
      </c>
      <c r="G16" s="469"/>
      <c r="H16" s="469"/>
      <c r="I16" s="216">
        <v>139687</v>
      </c>
      <c r="J16" s="470"/>
      <c r="K16" s="470"/>
      <c r="L16" s="166">
        <v>3057288.7050569076</v>
      </c>
      <c r="M16" s="469"/>
      <c r="N16" s="469"/>
      <c r="O16" s="156">
        <f t="shared" si="10"/>
        <v>0.74065979381443314</v>
      </c>
      <c r="P16" s="472"/>
      <c r="Q16" s="471"/>
      <c r="R16" s="167">
        <v>750910.43799999997</v>
      </c>
      <c r="S16" s="473"/>
      <c r="T16" s="469"/>
      <c r="U16" s="156">
        <f t="shared" ref="U16:U22" si="13">R16/F16</f>
        <v>0.18191581621397226</v>
      </c>
      <c r="V16" s="472"/>
      <c r="W16" s="471"/>
    </row>
    <row r="17" spans="2:23">
      <c r="B17" s="468"/>
      <c r="C17" s="474"/>
      <c r="D17" s="80">
        <f t="shared" si="6"/>
        <v>46089</v>
      </c>
      <c r="E17" s="80" t="s">
        <v>116</v>
      </c>
      <c r="F17" s="166">
        <v>5624945.9799999995</v>
      </c>
      <c r="G17" s="469"/>
      <c r="H17" s="469"/>
      <c r="I17" s="216">
        <v>184408</v>
      </c>
      <c r="J17" s="470"/>
      <c r="K17" s="470"/>
      <c r="L17" s="166">
        <v>3467402.2673002062</v>
      </c>
      <c r="M17" s="469"/>
      <c r="N17" s="469"/>
      <c r="O17" s="156">
        <f t="shared" si="10"/>
        <v>0.61643298969072169</v>
      </c>
      <c r="P17" s="472"/>
      <c r="Q17" s="471"/>
      <c r="R17" s="167">
        <v>835817.76800000004</v>
      </c>
      <c r="S17" s="473"/>
      <c r="T17" s="469"/>
      <c r="U17" s="156">
        <f t="shared" si="13"/>
        <v>0.14859125242656998</v>
      </c>
      <c r="V17" s="472"/>
      <c r="W17" s="471"/>
    </row>
    <row r="18" spans="2:23">
      <c r="B18" s="468"/>
      <c r="C18" s="474"/>
      <c r="D18" s="80">
        <f t="shared" si="6"/>
        <v>46090</v>
      </c>
      <c r="E18" s="80" t="s">
        <v>117</v>
      </c>
      <c r="F18" s="166">
        <v>5207196.28</v>
      </c>
      <c r="G18" s="469"/>
      <c r="H18" s="469"/>
      <c r="I18" s="216">
        <v>175489</v>
      </c>
      <c r="J18" s="470"/>
      <c r="K18" s="470"/>
      <c r="L18" s="166">
        <v>3376303.1220033006</v>
      </c>
      <c r="M18" s="469"/>
      <c r="N18" s="469"/>
      <c r="O18" s="156">
        <f t="shared" si="10"/>
        <v>0.64839175257731985</v>
      </c>
      <c r="P18" s="472"/>
      <c r="Q18" s="471"/>
      <c r="R18" s="167">
        <v>782980.73800000001</v>
      </c>
      <c r="S18" s="473"/>
      <c r="T18" s="469"/>
      <c r="U18" s="156">
        <f t="shared" si="13"/>
        <v>0.15036512854476075</v>
      </c>
      <c r="V18" s="472"/>
      <c r="W18" s="471"/>
    </row>
    <row r="19" spans="2:23">
      <c r="B19" s="467">
        <f>B12+7</f>
        <v>46099</v>
      </c>
      <c r="C19" s="474"/>
      <c r="D19" s="80">
        <f t="shared" si="6"/>
        <v>46091</v>
      </c>
      <c r="E19" s="80" t="s">
        <v>118</v>
      </c>
      <c r="F19" s="166"/>
      <c r="G19" s="469">
        <f>SUM(F19:F25)</f>
        <v>0</v>
      </c>
      <c r="H19" s="469"/>
      <c r="I19" s="216"/>
      <c r="J19" s="470">
        <f t="shared" ref="J19" si="14">SUM(I19:I25)</f>
        <v>0</v>
      </c>
      <c r="K19" s="470"/>
      <c r="L19" s="166"/>
      <c r="M19" s="469">
        <f t="shared" ref="M19" si="15">SUM(L19:L25)</f>
        <v>0</v>
      </c>
      <c r="N19" s="469"/>
      <c r="O19" s="156" t="e">
        <f t="shared" ref="O19:O39" si="16">L19/F19</f>
        <v>#DIV/0!</v>
      </c>
      <c r="P19" s="472" t="e">
        <f t="shared" ref="P19" si="17">M19/G19</f>
        <v>#DIV/0!</v>
      </c>
      <c r="Q19" s="471"/>
      <c r="R19" s="167"/>
      <c r="S19" s="473">
        <f t="shared" ref="S19" si="18">SUM(R19:R25)</f>
        <v>0</v>
      </c>
      <c r="T19" s="469"/>
      <c r="U19" s="156" t="e">
        <f t="shared" si="13"/>
        <v>#DIV/0!</v>
      </c>
      <c r="V19" s="472" t="e">
        <f>S19/G19</f>
        <v>#DIV/0!</v>
      </c>
      <c r="W19" s="471"/>
    </row>
    <row r="20" spans="2:23">
      <c r="B20" s="468"/>
      <c r="C20" s="474"/>
      <c r="D20" s="80">
        <f t="shared" si="6"/>
        <v>46092</v>
      </c>
      <c r="E20" s="80" t="s">
        <v>112</v>
      </c>
      <c r="F20" s="166"/>
      <c r="G20" s="469"/>
      <c r="H20" s="469"/>
      <c r="I20" s="216"/>
      <c r="J20" s="470"/>
      <c r="K20" s="470"/>
      <c r="L20" s="166"/>
      <c r="M20" s="469"/>
      <c r="N20" s="469"/>
      <c r="O20" s="156" t="e">
        <f t="shared" si="16"/>
        <v>#DIV/0!</v>
      </c>
      <c r="P20" s="472"/>
      <c r="Q20" s="471"/>
      <c r="R20" s="167"/>
      <c r="S20" s="473"/>
      <c r="T20" s="469"/>
      <c r="U20" s="156" t="e">
        <f t="shared" si="13"/>
        <v>#DIV/0!</v>
      </c>
      <c r="V20" s="472"/>
      <c r="W20" s="471"/>
    </row>
    <row r="21" spans="2:23">
      <c r="B21" s="468"/>
      <c r="C21" s="474"/>
      <c r="D21" s="80">
        <f t="shared" si="6"/>
        <v>46093</v>
      </c>
      <c r="E21" s="80" t="s">
        <v>113</v>
      </c>
      <c r="F21" s="166"/>
      <c r="G21" s="469"/>
      <c r="H21" s="469"/>
      <c r="I21" s="216"/>
      <c r="J21" s="470"/>
      <c r="K21" s="470"/>
      <c r="L21" s="166"/>
      <c r="M21" s="469"/>
      <c r="N21" s="469"/>
      <c r="O21" s="156" t="e">
        <f t="shared" si="16"/>
        <v>#DIV/0!</v>
      </c>
      <c r="P21" s="472"/>
      <c r="Q21" s="471"/>
      <c r="R21" s="167"/>
      <c r="S21" s="473"/>
      <c r="T21" s="469"/>
      <c r="U21" s="156" t="e">
        <f t="shared" si="13"/>
        <v>#DIV/0!</v>
      </c>
      <c r="V21" s="472"/>
      <c r="W21" s="471"/>
    </row>
    <row r="22" spans="2:23">
      <c r="B22" s="468"/>
      <c r="C22" s="474"/>
      <c r="D22" s="80">
        <f t="shared" si="6"/>
        <v>46094</v>
      </c>
      <c r="E22" s="80" t="s">
        <v>114</v>
      </c>
      <c r="F22" s="166"/>
      <c r="G22" s="469"/>
      <c r="H22" s="469"/>
      <c r="I22" s="216"/>
      <c r="J22" s="470"/>
      <c r="K22" s="470"/>
      <c r="L22" s="166"/>
      <c r="M22" s="469"/>
      <c r="N22" s="469"/>
      <c r="O22" s="156" t="e">
        <f t="shared" si="16"/>
        <v>#DIV/0!</v>
      </c>
      <c r="P22" s="472"/>
      <c r="Q22" s="471"/>
      <c r="R22" s="167"/>
      <c r="S22" s="473"/>
      <c r="T22" s="469"/>
      <c r="U22" s="156" t="e">
        <f t="shared" si="13"/>
        <v>#DIV/0!</v>
      </c>
      <c r="V22" s="472"/>
      <c r="W22" s="471"/>
    </row>
    <row r="23" spans="2:23">
      <c r="B23" s="468"/>
      <c r="C23" s="474"/>
      <c r="D23" s="80">
        <f t="shared" si="6"/>
        <v>46095</v>
      </c>
      <c r="E23" s="80" t="s">
        <v>115</v>
      </c>
      <c r="F23" s="166"/>
      <c r="G23" s="469"/>
      <c r="H23" s="469"/>
      <c r="I23" s="216"/>
      <c r="J23" s="470"/>
      <c r="K23" s="470"/>
      <c r="L23" s="166"/>
      <c r="M23" s="469"/>
      <c r="N23" s="469"/>
      <c r="O23" s="156" t="e">
        <f t="shared" si="16"/>
        <v>#DIV/0!</v>
      </c>
      <c r="P23" s="472"/>
      <c r="Q23" s="471"/>
      <c r="R23" s="167"/>
      <c r="S23" s="473"/>
      <c r="T23" s="469"/>
      <c r="U23" s="156" t="e">
        <f t="shared" ref="U23:U39" si="19">R23/F23</f>
        <v>#DIV/0!</v>
      </c>
      <c r="V23" s="472"/>
      <c r="W23" s="471"/>
    </row>
    <row r="24" spans="2:23">
      <c r="B24" s="468"/>
      <c r="C24" s="474"/>
      <c r="D24" s="80">
        <f t="shared" si="6"/>
        <v>46096</v>
      </c>
      <c r="E24" s="80" t="s">
        <v>116</v>
      </c>
      <c r="F24" s="166"/>
      <c r="G24" s="469"/>
      <c r="H24" s="469"/>
      <c r="I24" s="216"/>
      <c r="J24" s="470"/>
      <c r="K24" s="470"/>
      <c r="L24" s="166"/>
      <c r="M24" s="469"/>
      <c r="N24" s="469"/>
      <c r="O24" s="156" t="e">
        <f t="shared" si="16"/>
        <v>#DIV/0!</v>
      </c>
      <c r="P24" s="472"/>
      <c r="Q24" s="471"/>
      <c r="R24" s="167"/>
      <c r="S24" s="473"/>
      <c r="T24" s="469"/>
      <c r="U24" s="156" t="e">
        <f t="shared" si="19"/>
        <v>#DIV/0!</v>
      </c>
      <c r="V24" s="472"/>
      <c r="W24" s="471"/>
    </row>
    <row r="25" spans="2:23">
      <c r="B25" s="468"/>
      <c r="C25" s="474"/>
      <c r="D25" s="80">
        <f t="shared" si="6"/>
        <v>46097</v>
      </c>
      <c r="E25" s="80" t="s">
        <v>117</v>
      </c>
      <c r="F25" s="166"/>
      <c r="G25" s="469"/>
      <c r="H25" s="469"/>
      <c r="I25" s="216"/>
      <c r="J25" s="470"/>
      <c r="K25" s="470"/>
      <c r="L25" s="166"/>
      <c r="M25" s="469"/>
      <c r="N25" s="469"/>
      <c r="O25" s="156" t="e">
        <f t="shared" si="16"/>
        <v>#DIV/0!</v>
      </c>
      <c r="P25" s="472"/>
      <c r="Q25" s="471"/>
      <c r="R25" s="167"/>
      <c r="S25" s="473"/>
      <c r="T25" s="469"/>
      <c r="U25" s="156" t="e">
        <f t="shared" si="19"/>
        <v>#DIV/0!</v>
      </c>
      <c r="V25" s="472"/>
      <c r="W25" s="471"/>
    </row>
    <row r="26" spans="2:23">
      <c r="B26" s="467">
        <f>B19+7</f>
        <v>46106</v>
      </c>
      <c r="C26" s="474"/>
      <c r="D26" s="80">
        <f t="shared" si="6"/>
        <v>46098</v>
      </c>
      <c r="E26" s="80" t="s">
        <v>118</v>
      </c>
      <c r="F26" s="166"/>
      <c r="G26" s="469">
        <f>SUM(F26:F32)</f>
        <v>0</v>
      </c>
      <c r="H26" s="469"/>
      <c r="I26" s="216"/>
      <c r="J26" s="470">
        <f t="shared" ref="J26" si="20">SUM(I26:I32)</f>
        <v>0</v>
      </c>
      <c r="K26" s="470"/>
      <c r="L26" s="166"/>
      <c r="M26" s="469">
        <f t="shared" ref="M26" si="21">SUM(L26:L32)</f>
        <v>0</v>
      </c>
      <c r="N26" s="469"/>
      <c r="O26" s="156" t="e">
        <f t="shared" si="16"/>
        <v>#DIV/0!</v>
      </c>
      <c r="P26" s="472" t="e">
        <f t="shared" ref="P26" si="22">M26/G26</f>
        <v>#DIV/0!</v>
      </c>
      <c r="Q26" s="471"/>
      <c r="R26" s="167"/>
      <c r="S26" s="473">
        <f t="shared" ref="S26" si="23">SUM(R26:R32)</f>
        <v>0</v>
      </c>
      <c r="T26" s="469"/>
      <c r="U26" s="156" t="e">
        <f t="shared" si="19"/>
        <v>#DIV/0!</v>
      </c>
      <c r="V26" s="472" t="e">
        <f>S26/G26</f>
        <v>#DIV/0!</v>
      </c>
      <c r="W26" s="471"/>
    </row>
    <row r="27" spans="2:23">
      <c r="B27" s="468"/>
      <c r="C27" s="474"/>
      <c r="D27" s="80">
        <f t="shared" si="6"/>
        <v>46099</v>
      </c>
      <c r="E27" s="80" t="s">
        <v>112</v>
      </c>
      <c r="F27" s="166"/>
      <c r="G27" s="469"/>
      <c r="H27" s="469"/>
      <c r="I27" s="216"/>
      <c r="J27" s="470"/>
      <c r="K27" s="470"/>
      <c r="L27" s="166"/>
      <c r="M27" s="469"/>
      <c r="N27" s="469"/>
      <c r="O27" s="156" t="e">
        <f t="shared" si="16"/>
        <v>#DIV/0!</v>
      </c>
      <c r="P27" s="472"/>
      <c r="Q27" s="471"/>
      <c r="R27" s="167"/>
      <c r="S27" s="473"/>
      <c r="T27" s="469"/>
      <c r="U27" s="156" t="e">
        <f t="shared" si="19"/>
        <v>#DIV/0!</v>
      </c>
      <c r="V27" s="472"/>
      <c r="W27" s="471"/>
    </row>
    <row r="28" spans="2:23">
      <c r="B28" s="468"/>
      <c r="C28" s="474"/>
      <c r="D28" s="80">
        <f t="shared" si="6"/>
        <v>46100</v>
      </c>
      <c r="E28" s="80" t="s">
        <v>113</v>
      </c>
      <c r="F28" s="166"/>
      <c r="G28" s="469"/>
      <c r="H28" s="469"/>
      <c r="I28" s="216"/>
      <c r="J28" s="470"/>
      <c r="K28" s="470"/>
      <c r="L28" s="166"/>
      <c r="M28" s="469"/>
      <c r="N28" s="469"/>
      <c r="O28" s="156" t="e">
        <f t="shared" si="16"/>
        <v>#DIV/0!</v>
      </c>
      <c r="P28" s="472"/>
      <c r="Q28" s="471"/>
      <c r="R28" s="167"/>
      <c r="S28" s="473"/>
      <c r="T28" s="469"/>
      <c r="U28" s="156" t="e">
        <f t="shared" si="19"/>
        <v>#DIV/0!</v>
      </c>
      <c r="V28" s="472"/>
      <c r="W28" s="471"/>
    </row>
    <row r="29" spans="2:23">
      <c r="B29" s="468"/>
      <c r="C29" s="474"/>
      <c r="D29" s="80">
        <f t="shared" si="6"/>
        <v>46101</v>
      </c>
      <c r="E29" s="80" t="s">
        <v>114</v>
      </c>
      <c r="F29" s="166"/>
      <c r="G29" s="469"/>
      <c r="H29" s="469"/>
      <c r="I29" s="216"/>
      <c r="J29" s="470"/>
      <c r="K29" s="470"/>
      <c r="L29" s="166"/>
      <c r="M29" s="469"/>
      <c r="N29" s="469"/>
      <c r="O29" s="156" t="e">
        <f t="shared" si="16"/>
        <v>#DIV/0!</v>
      </c>
      <c r="P29" s="472"/>
      <c r="Q29" s="471"/>
      <c r="R29" s="167"/>
      <c r="S29" s="473"/>
      <c r="T29" s="469"/>
      <c r="U29" s="156" t="e">
        <f t="shared" si="19"/>
        <v>#DIV/0!</v>
      </c>
      <c r="V29" s="472"/>
      <c r="W29" s="471"/>
    </row>
    <row r="30" spans="2:23">
      <c r="B30" s="468"/>
      <c r="C30" s="474"/>
      <c r="D30" s="80">
        <f t="shared" si="6"/>
        <v>46102</v>
      </c>
      <c r="E30" s="80" t="s">
        <v>115</v>
      </c>
      <c r="F30" s="166"/>
      <c r="G30" s="469"/>
      <c r="H30" s="469"/>
      <c r="I30" s="216"/>
      <c r="J30" s="470"/>
      <c r="K30" s="470"/>
      <c r="L30" s="166"/>
      <c r="M30" s="469"/>
      <c r="N30" s="469"/>
      <c r="O30" s="156" t="e">
        <f t="shared" si="16"/>
        <v>#DIV/0!</v>
      </c>
      <c r="P30" s="472"/>
      <c r="Q30" s="471"/>
      <c r="R30" s="167"/>
      <c r="S30" s="473"/>
      <c r="T30" s="469"/>
      <c r="U30" s="156" t="e">
        <f t="shared" si="19"/>
        <v>#DIV/0!</v>
      </c>
      <c r="V30" s="472"/>
      <c r="W30" s="471"/>
    </row>
    <row r="31" spans="2:23">
      <c r="B31" s="468"/>
      <c r="C31" s="474"/>
      <c r="D31" s="80">
        <f t="shared" si="6"/>
        <v>46103</v>
      </c>
      <c r="E31" s="80" t="s">
        <v>116</v>
      </c>
      <c r="F31" s="166"/>
      <c r="G31" s="469"/>
      <c r="H31" s="469"/>
      <c r="I31" s="216"/>
      <c r="J31" s="470"/>
      <c r="K31" s="470"/>
      <c r="L31" s="166"/>
      <c r="M31" s="469"/>
      <c r="N31" s="469"/>
      <c r="O31" s="156" t="e">
        <f t="shared" si="16"/>
        <v>#DIV/0!</v>
      </c>
      <c r="P31" s="472"/>
      <c r="Q31" s="471"/>
      <c r="R31" s="167"/>
      <c r="S31" s="473"/>
      <c r="T31" s="469"/>
      <c r="U31" s="156" t="e">
        <f t="shared" si="19"/>
        <v>#DIV/0!</v>
      </c>
      <c r="V31" s="472"/>
      <c r="W31" s="471"/>
    </row>
    <row r="32" spans="2:23">
      <c r="B32" s="468"/>
      <c r="C32" s="474"/>
      <c r="D32" s="80">
        <f t="shared" si="6"/>
        <v>46104</v>
      </c>
      <c r="E32" s="80" t="s">
        <v>117</v>
      </c>
      <c r="F32" s="166"/>
      <c r="G32" s="469"/>
      <c r="H32" s="469"/>
      <c r="I32" s="216"/>
      <c r="J32" s="470"/>
      <c r="K32" s="470"/>
      <c r="L32" s="166"/>
      <c r="M32" s="469"/>
      <c r="N32" s="469"/>
      <c r="O32" s="156" t="e">
        <f t="shared" si="16"/>
        <v>#DIV/0!</v>
      </c>
      <c r="P32" s="472"/>
      <c r="Q32" s="471"/>
      <c r="R32" s="167"/>
      <c r="S32" s="473"/>
      <c r="T32" s="469"/>
      <c r="U32" s="156" t="e">
        <f t="shared" si="19"/>
        <v>#DIV/0!</v>
      </c>
      <c r="V32" s="472"/>
      <c r="W32" s="471"/>
    </row>
    <row r="33" spans="2:23">
      <c r="B33" s="467">
        <f>B26+7</f>
        <v>46113</v>
      </c>
      <c r="C33" s="474"/>
      <c r="D33" s="80">
        <f t="shared" si="6"/>
        <v>46105</v>
      </c>
      <c r="E33" s="80" t="s">
        <v>118</v>
      </c>
      <c r="F33" s="166"/>
      <c r="G33" s="469">
        <f>SUM(F33:F39)</f>
        <v>0</v>
      </c>
      <c r="H33" s="469"/>
      <c r="I33" s="216"/>
      <c r="J33" s="470">
        <f t="shared" ref="J33" si="24">SUM(I33:I39)</f>
        <v>0</v>
      </c>
      <c r="K33" s="470"/>
      <c r="L33" s="166"/>
      <c r="M33" s="469">
        <f t="shared" ref="M33" si="25">SUM(L33:L39)</f>
        <v>0</v>
      </c>
      <c r="N33" s="469"/>
      <c r="O33" s="156" t="e">
        <f t="shared" si="16"/>
        <v>#DIV/0!</v>
      </c>
      <c r="P33" s="472" t="e">
        <f>M33/G33</f>
        <v>#DIV/0!</v>
      </c>
      <c r="Q33" s="471"/>
      <c r="R33" s="167"/>
      <c r="S33" s="473">
        <f t="shared" ref="S33" si="26">SUM(R33:R39)</f>
        <v>0</v>
      </c>
      <c r="T33" s="469"/>
      <c r="U33" s="156" t="e">
        <f t="shared" si="19"/>
        <v>#DIV/0!</v>
      </c>
      <c r="V33" s="472" t="e">
        <f>S33/G33</f>
        <v>#DIV/0!</v>
      </c>
      <c r="W33" s="471"/>
    </row>
    <row r="34" spans="2:23">
      <c r="B34" s="468"/>
      <c r="C34" s="474"/>
      <c r="D34" s="80">
        <f t="shared" si="6"/>
        <v>46106</v>
      </c>
      <c r="E34" s="80" t="s">
        <v>112</v>
      </c>
      <c r="F34" s="166"/>
      <c r="G34" s="469"/>
      <c r="H34" s="469"/>
      <c r="I34" s="216"/>
      <c r="J34" s="470"/>
      <c r="K34" s="470"/>
      <c r="L34" s="166"/>
      <c r="M34" s="469"/>
      <c r="N34" s="469"/>
      <c r="O34" s="156" t="e">
        <f t="shared" si="16"/>
        <v>#DIV/0!</v>
      </c>
      <c r="P34" s="472"/>
      <c r="Q34" s="471"/>
      <c r="R34" s="167"/>
      <c r="S34" s="473"/>
      <c r="T34" s="469"/>
      <c r="U34" s="156" t="e">
        <f t="shared" si="19"/>
        <v>#DIV/0!</v>
      </c>
      <c r="V34" s="472"/>
      <c r="W34" s="471"/>
    </row>
    <row r="35" spans="2:23">
      <c r="B35" s="468"/>
      <c r="C35" s="474"/>
      <c r="D35" s="80">
        <f t="shared" si="6"/>
        <v>46107</v>
      </c>
      <c r="E35" s="80" t="s">
        <v>113</v>
      </c>
      <c r="F35" s="166"/>
      <c r="G35" s="469"/>
      <c r="H35" s="469"/>
      <c r="I35" s="216"/>
      <c r="J35" s="470"/>
      <c r="K35" s="470"/>
      <c r="L35" s="166"/>
      <c r="M35" s="469"/>
      <c r="N35" s="469"/>
      <c r="O35" s="156" t="e">
        <f t="shared" si="16"/>
        <v>#DIV/0!</v>
      </c>
      <c r="P35" s="472"/>
      <c r="Q35" s="471"/>
      <c r="R35" s="167"/>
      <c r="S35" s="473"/>
      <c r="T35" s="469"/>
      <c r="U35" s="156" t="e">
        <f t="shared" si="19"/>
        <v>#DIV/0!</v>
      </c>
      <c r="V35" s="472"/>
      <c r="W35" s="471"/>
    </row>
    <row r="36" spans="2:23">
      <c r="B36" s="468"/>
      <c r="C36" s="474"/>
      <c r="D36" s="80">
        <f t="shared" si="6"/>
        <v>46108</v>
      </c>
      <c r="E36" s="80" t="s">
        <v>114</v>
      </c>
      <c r="F36" s="166"/>
      <c r="G36" s="469"/>
      <c r="H36" s="469"/>
      <c r="I36" s="216"/>
      <c r="J36" s="470"/>
      <c r="K36" s="470"/>
      <c r="L36" s="166"/>
      <c r="M36" s="469"/>
      <c r="N36" s="469"/>
      <c r="O36" s="156" t="e">
        <f t="shared" si="16"/>
        <v>#DIV/0!</v>
      </c>
      <c r="P36" s="472"/>
      <c r="Q36" s="471"/>
      <c r="R36" s="167"/>
      <c r="S36" s="473"/>
      <c r="T36" s="469"/>
      <c r="U36" s="156" t="e">
        <f t="shared" si="19"/>
        <v>#DIV/0!</v>
      </c>
      <c r="V36" s="472"/>
      <c r="W36" s="471"/>
    </row>
    <row r="37" spans="2:23">
      <c r="B37" s="468"/>
      <c r="C37" s="474"/>
      <c r="D37" s="80">
        <f t="shared" si="6"/>
        <v>46109</v>
      </c>
      <c r="E37" s="80" t="s">
        <v>115</v>
      </c>
      <c r="F37" s="166"/>
      <c r="G37" s="469"/>
      <c r="H37" s="469"/>
      <c r="I37" s="216"/>
      <c r="J37" s="470"/>
      <c r="K37" s="470"/>
      <c r="L37" s="166"/>
      <c r="M37" s="469"/>
      <c r="N37" s="469"/>
      <c r="O37" s="156" t="e">
        <f t="shared" si="16"/>
        <v>#DIV/0!</v>
      </c>
      <c r="P37" s="472"/>
      <c r="Q37" s="471"/>
      <c r="R37" s="167"/>
      <c r="S37" s="473"/>
      <c r="T37" s="469"/>
      <c r="U37" s="156" t="e">
        <f t="shared" si="19"/>
        <v>#DIV/0!</v>
      </c>
      <c r="V37" s="472"/>
      <c r="W37" s="471"/>
    </row>
    <row r="38" spans="2:23">
      <c r="B38" s="468"/>
      <c r="D38" s="80">
        <f t="shared" si="6"/>
        <v>46110</v>
      </c>
      <c r="E38" s="80" t="s">
        <v>116</v>
      </c>
      <c r="F38" s="166"/>
      <c r="G38" s="469"/>
      <c r="H38" s="469"/>
      <c r="I38" s="216"/>
      <c r="J38" s="470"/>
      <c r="K38" s="470"/>
      <c r="L38" s="166"/>
      <c r="M38" s="469"/>
      <c r="N38" s="469"/>
      <c r="O38" s="156" t="e">
        <f t="shared" si="16"/>
        <v>#DIV/0!</v>
      </c>
      <c r="P38" s="472"/>
      <c r="Q38" s="471"/>
      <c r="R38" s="167"/>
      <c r="S38" s="473"/>
      <c r="T38" s="469"/>
      <c r="U38" s="156" t="e">
        <f t="shared" si="19"/>
        <v>#DIV/0!</v>
      </c>
      <c r="V38" s="472"/>
      <c r="W38" s="471"/>
    </row>
    <row r="39" spans="2:23">
      <c r="B39" s="468"/>
      <c r="D39" s="80">
        <f t="shared" si="6"/>
        <v>46111</v>
      </c>
      <c r="E39" s="80" t="s">
        <v>117</v>
      </c>
      <c r="F39" s="166"/>
      <c r="G39" s="469"/>
      <c r="H39" s="469"/>
      <c r="I39" s="216"/>
      <c r="J39" s="470"/>
      <c r="K39" s="470"/>
      <c r="L39" s="166"/>
      <c r="M39" s="469"/>
      <c r="N39" s="469"/>
      <c r="O39" s="156" t="e">
        <f t="shared" si="16"/>
        <v>#DIV/0!</v>
      </c>
      <c r="P39" s="472"/>
      <c r="Q39" s="471"/>
      <c r="R39" s="167"/>
      <c r="S39" s="473"/>
      <c r="T39" s="469"/>
      <c r="U39" s="156" t="e">
        <f t="shared" si="19"/>
        <v>#DIV/0!</v>
      </c>
      <c r="V39" s="472"/>
      <c r="W39" s="471"/>
    </row>
    <row r="40" spans="2:23">
      <c r="B40" s="467">
        <f>B33+7</f>
        <v>46120</v>
      </c>
      <c r="D40" s="80">
        <f t="shared" si="6"/>
        <v>46112</v>
      </c>
      <c r="E40" s="80" t="s">
        <v>118</v>
      </c>
      <c r="F40" s="166"/>
      <c r="G40" s="469">
        <f>SUM(F40:F46)</f>
        <v>0</v>
      </c>
      <c r="H40" s="469"/>
      <c r="I40" s="216"/>
      <c r="J40" s="470">
        <f t="shared" ref="J40" si="27">SUM(I40:I46)</f>
        <v>0</v>
      </c>
      <c r="K40" s="470"/>
      <c r="L40" s="166"/>
      <c r="M40" s="469">
        <f t="shared" ref="M40" si="28">SUM(L40:L46)</f>
        <v>0</v>
      </c>
      <c r="N40" s="469"/>
      <c r="O40" s="156" t="e">
        <f t="shared" ref="O40:O46" si="29">L40/F40</f>
        <v>#DIV/0!</v>
      </c>
      <c r="P40" s="472" t="e">
        <f>M40/G40</f>
        <v>#DIV/0!</v>
      </c>
      <c r="Q40" s="471"/>
      <c r="R40" s="167"/>
      <c r="T40" s="469"/>
      <c r="U40" s="156" t="e">
        <f t="shared" ref="U40" si="30">R40/F40</f>
        <v>#DIV/0!</v>
      </c>
      <c r="W40" s="471"/>
    </row>
    <row r="41" spans="2:23">
      <c r="B41" s="468"/>
      <c r="D41" s="80">
        <f t="shared" si="6"/>
        <v>46113</v>
      </c>
      <c r="E41" s="80" t="s">
        <v>112</v>
      </c>
      <c r="G41" s="469"/>
      <c r="J41" s="470"/>
      <c r="M41" s="469"/>
      <c r="O41" s="156" t="e">
        <f t="shared" si="29"/>
        <v>#DIV/0!</v>
      </c>
      <c r="P41" s="472"/>
    </row>
    <row r="42" spans="2:23">
      <c r="B42" s="468"/>
      <c r="D42" s="80">
        <f t="shared" si="6"/>
        <v>46114</v>
      </c>
      <c r="E42" s="80" t="s">
        <v>113</v>
      </c>
      <c r="G42" s="469"/>
      <c r="J42" s="470"/>
      <c r="M42" s="469"/>
      <c r="O42" s="156" t="e">
        <f t="shared" si="29"/>
        <v>#DIV/0!</v>
      </c>
      <c r="P42" s="472"/>
    </row>
    <row r="43" spans="2:23">
      <c r="B43" s="468"/>
      <c r="D43" s="80">
        <f t="shared" si="6"/>
        <v>46115</v>
      </c>
      <c r="E43" s="80" t="s">
        <v>114</v>
      </c>
      <c r="G43" s="469"/>
      <c r="J43" s="470"/>
      <c r="M43" s="469"/>
      <c r="O43" s="156" t="e">
        <f t="shared" si="29"/>
        <v>#DIV/0!</v>
      </c>
      <c r="P43" s="472"/>
    </row>
    <row r="44" spans="2:23">
      <c r="B44" s="468"/>
      <c r="D44" s="80">
        <f t="shared" si="6"/>
        <v>46116</v>
      </c>
      <c r="E44" s="80" t="s">
        <v>115</v>
      </c>
      <c r="G44" s="469"/>
      <c r="J44" s="470"/>
      <c r="M44" s="469"/>
      <c r="O44" s="156" t="e">
        <f t="shared" si="29"/>
        <v>#DIV/0!</v>
      </c>
      <c r="P44" s="472"/>
    </row>
    <row r="45" spans="2:23">
      <c r="B45" s="468"/>
      <c r="D45" s="80">
        <f t="shared" si="6"/>
        <v>46117</v>
      </c>
      <c r="E45" s="80" t="s">
        <v>116</v>
      </c>
      <c r="G45" s="469"/>
      <c r="J45" s="470"/>
      <c r="M45" s="469"/>
      <c r="O45" s="156" t="e">
        <f t="shared" si="29"/>
        <v>#DIV/0!</v>
      </c>
      <c r="P45" s="472"/>
    </row>
    <row r="46" spans="2:23">
      <c r="B46" s="468"/>
      <c r="D46" s="80">
        <f t="shared" si="6"/>
        <v>46118</v>
      </c>
      <c r="E46" s="80" t="s">
        <v>117</v>
      </c>
      <c r="G46" s="469"/>
      <c r="J46" s="470"/>
      <c r="M46" s="469"/>
      <c r="O46" s="156" t="e">
        <f t="shared" si="29"/>
        <v>#DIV/0!</v>
      </c>
      <c r="P46" s="472"/>
    </row>
  </sheetData>
  <mergeCells count="64">
    <mergeCell ref="S19:S25"/>
    <mergeCell ref="S33:S39"/>
    <mergeCell ref="V12:V18"/>
    <mergeCell ref="M5:M11"/>
    <mergeCell ref="P5:P11"/>
    <mergeCell ref="S5:S11"/>
    <mergeCell ref="T5:T9"/>
    <mergeCell ref="T10:T40"/>
    <mergeCell ref="M40:M46"/>
    <mergeCell ref="P40:P46"/>
    <mergeCell ref="Q10:Q40"/>
    <mergeCell ref="N5:N9"/>
    <mergeCell ref="Q5:Q9"/>
    <mergeCell ref="O3:Q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G26:G32"/>
    <mergeCell ref="J26:J32"/>
    <mergeCell ref="M12:M18"/>
    <mergeCell ref="C5:C9"/>
    <mergeCell ref="G5:G11"/>
    <mergeCell ref="J5:J11"/>
    <mergeCell ref="C10:C37"/>
    <mergeCell ref="K5:K9"/>
    <mergeCell ref="K10:K40"/>
    <mergeCell ref="W10:W40"/>
    <mergeCell ref="V33:V39"/>
    <mergeCell ref="M33:M39"/>
    <mergeCell ref="P33:P39"/>
    <mergeCell ref="V19:V25"/>
    <mergeCell ref="M26:M32"/>
    <mergeCell ref="P26:P32"/>
    <mergeCell ref="S26:S32"/>
    <mergeCell ref="V26:V32"/>
    <mergeCell ref="M19:M25"/>
    <mergeCell ref="V5:V11"/>
    <mergeCell ref="P19:P25"/>
    <mergeCell ref="W5:W9"/>
    <mergeCell ref="P12:P18"/>
    <mergeCell ref="S12:S18"/>
    <mergeCell ref="N10:N40"/>
    <mergeCell ref="B40:B46"/>
    <mergeCell ref="G40:G46"/>
    <mergeCell ref="J40:J46"/>
    <mergeCell ref="H5:H9"/>
    <mergeCell ref="H10:H40"/>
    <mergeCell ref="B19:B25"/>
    <mergeCell ref="G19:G25"/>
    <mergeCell ref="J19:J25"/>
    <mergeCell ref="B12:B18"/>
    <mergeCell ref="G12:G18"/>
    <mergeCell ref="J12:J18"/>
    <mergeCell ref="B5:B11"/>
    <mergeCell ref="B33:B39"/>
    <mergeCell ref="G33:G39"/>
    <mergeCell ref="J33:J39"/>
    <mergeCell ref="B26:B32"/>
  </mergeCells>
  <phoneticPr fontId="15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46"/>
  <sheetViews>
    <sheetView topLeftCell="A4" zoomScale="85" zoomScaleNormal="85" workbookViewId="0">
      <selection activeCell="F22" sqref="F22"/>
    </sheetView>
  </sheetViews>
  <sheetFormatPr defaultColWidth="8.81640625" defaultRowHeight="13.5"/>
  <cols>
    <col min="1" max="1" width="4.453125" style="73" customWidth="1"/>
    <col min="2" max="2" width="18.54296875" style="78" bestFit="1" customWidth="1"/>
    <col min="3" max="3" width="8.81640625" style="75"/>
    <col min="4" max="4" width="17.453125" style="77" customWidth="1"/>
    <col min="5" max="5" width="4.453125" style="77" customWidth="1"/>
    <col min="6" max="8" width="25.54296875" style="88" customWidth="1"/>
    <col min="9" max="11" width="15" style="72" customWidth="1"/>
    <col min="12" max="12" width="14.54296875" style="170" customWidth="1"/>
    <col min="13" max="17" width="14.54296875" style="72" customWidth="1"/>
    <col min="18" max="21" width="14.1796875" style="72" customWidth="1"/>
    <col min="22" max="23" width="14.1796875" style="73" customWidth="1"/>
    <col min="24" max="16384" width="8.81640625" style="73"/>
  </cols>
  <sheetData>
    <row r="1" spans="2:23">
      <c r="B1" s="165" t="s">
        <v>367</v>
      </c>
      <c r="C1" s="168">
        <v>497.6</v>
      </c>
    </row>
    <row r="2" spans="2:23" ht="38.15" customHeight="1">
      <c r="B2" s="476" t="s">
        <v>131</v>
      </c>
      <c r="C2" s="489"/>
      <c r="D2" s="489"/>
      <c r="E2" s="489"/>
      <c r="F2" s="489"/>
      <c r="G2" s="489"/>
      <c r="H2" s="489"/>
      <c r="I2" s="489"/>
      <c r="J2" s="489"/>
      <c r="K2" s="489"/>
      <c r="L2" s="489"/>
      <c r="M2" s="489"/>
      <c r="N2" s="489"/>
      <c r="O2" s="489"/>
      <c r="P2" s="489"/>
      <c r="Q2" s="489"/>
      <c r="R2" s="489"/>
      <c r="S2" s="489"/>
      <c r="T2" s="489"/>
      <c r="U2" s="489"/>
    </row>
    <row r="3" spans="2:23" s="71" customFormat="1" ht="23.5" customHeight="1">
      <c r="B3" s="480" t="s">
        <v>122</v>
      </c>
      <c r="C3" s="481" t="s">
        <v>119</v>
      </c>
      <c r="D3" s="482" t="s">
        <v>105</v>
      </c>
      <c r="E3" s="482"/>
      <c r="F3" s="490" t="s">
        <v>107</v>
      </c>
      <c r="G3" s="490"/>
      <c r="H3" s="490"/>
      <c r="I3" s="491" t="s">
        <v>108</v>
      </c>
      <c r="J3" s="491"/>
      <c r="K3" s="491"/>
      <c r="L3" s="488" t="s">
        <v>327</v>
      </c>
      <c r="M3" s="488"/>
      <c r="N3" s="488"/>
      <c r="O3" s="488" t="s">
        <v>106</v>
      </c>
      <c r="P3" s="488"/>
      <c r="Q3" s="488"/>
      <c r="R3" s="488" t="s">
        <v>366</v>
      </c>
      <c r="S3" s="488"/>
      <c r="T3" s="488"/>
      <c r="U3" s="488" t="s">
        <v>456</v>
      </c>
      <c r="V3" s="488"/>
      <c r="W3" s="488"/>
    </row>
    <row r="4" spans="2:23" ht="15">
      <c r="B4" s="480"/>
      <c r="C4" s="481"/>
      <c r="D4" s="482"/>
      <c r="E4" s="482"/>
      <c r="F4" s="79" t="s">
        <v>116</v>
      </c>
      <c r="G4" s="90" t="s">
        <v>132</v>
      </c>
      <c r="H4" s="90" t="s">
        <v>133</v>
      </c>
      <c r="I4" s="79" t="s">
        <v>116</v>
      </c>
      <c r="J4" s="89" t="s">
        <v>132</v>
      </c>
      <c r="K4" s="89" t="s">
        <v>133</v>
      </c>
      <c r="L4" s="171" t="s">
        <v>116</v>
      </c>
      <c r="M4" s="89" t="s">
        <v>132</v>
      </c>
      <c r="N4" s="89" t="s">
        <v>133</v>
      </c>
      <c r="O4" s="169" t="s">
        <v>116</v>
      </c>
      <c r="P4" s="89" t="s">
        <v>132</v>
      </c>
      <c r="Q4" s="89" t="s">
        <v>133</v>
      </c>
      <c r="R4" s="79" t="s">
        <v>116</v>
      </c>
      <c r="S4" s="89" t="s">
        <v>132</v>
      </c>
      <c r="T4" s="89" t="s">
        <v>133</v>
      </c>
      <c r="U4" s="79" t="s">
        <v>116</v>
      </c>
      <c r="V4" s="89" t="s">
        <v>132</v>
      </c>
      <c r="W4" s="89" t="s">
        <v>133</v>
      </c>
    </row>
    <row r="5" spans="2:23">
      <c r="B5" s="467">
        <f>D6+7</f>
        <v>46085</v>
      </c>
      <c r="C5" s="474"/>
      <c r="D5" s="80">
        <v>46077</v>
      </c>
      <c r="E5" s="80" t="s">
        <v>118</v>
      </c>
      <c r="F5" s="87">
        <v>464.32903674831493</v>
      </c>
      <c r="G5" s="485">
        <f>AVERAGE(F5:F11)</f>
        <v>468.73196966875156</v>
      </c>
      <c r="H5" s="485"/>
      <c r="I5" s="156">
        <f>F5/$C$1</f>
        <v>0.93313713172892865</v>
      </c>
      <c r="J5" s="472">
        <f t="shared" ref="J5" si="0">AVERAGE(I5:I11)</f>
        <v>0.94198546959154261</v>
      </c>
      <c r="K5" s="484"/>
      <c r="L5" s="164">
        <v>2.3089761216367891E-3</v>
      </c>
      <c r="M5" s="486">
        <f t="shared" ref="M5" si="1">AVERAGE(L5:L11)</f>
        <v>2.2409997247341139E-3</v>
      </c>
      <c r="N5" s="486"/>
      <c r="O5" s="84">
        <v>5.0852114253243713E-3</v>
      </c>
      <c r="P5" s="484">
        <f t="shared" ref="P5" si="2">AVERAGE(O5:O11)</f>
        <v>5.0772954698878481E-3</v>
      </c>
      <c r="Q5" s="484"/>
      <c r="R5" s="156">
        <v>0.9</v>
      </c>
      <c r="S5" s="472">
        <f t="shared" ref="S5" si="3">AVERAGE(R5:R11)</f>
        <v>0.90000000000000013</v>
      </c>
      <c r="T5" s="484"/>
      <c r="U5" s="156">
        <f>9/52*100%</f>
        <v>0.17307692307692307</v>
      </c>
      <c r="V5" s="472">
        <f t="shared" ref="V5" si="4">AVERAGE(U5:U11)</f>
        <v>0.1730769230769231</v>
      </c>
      <c r="W5" s="484"/>
    </row>
    <row r="6" spans="2:23">
      <c r="B6" s="467"/>
      <c r="C6" s="474"/>
      <c r="D6" s="80">
        <f t="shared" ref="D6:D46" si="5">D5+1</f>
        <v>46078</v>
      </c>
      <c r="E6" s="80" t="s">
        <v>112</v>
      </c>
      <c r="F6" s="87">
        <v>465.0372140296048</v>
      </c>
      <c r="G6" s="485"/>
      <c r="H6" s="485"/>
      <c r="I6" s="156">
        <f t="shared" ref="I6:I11" si="6">F6/$C$1</f>
        <v>0.93456031758361091</v>
      </c>
      <c r="J6" s="472"/>
      <c r="K6" s="484"/>
      <c r="L6" s="164">
        <v>2.3055099067210991E-3</v>
      </c>
      <c r="M6" s="486"/>
      <c r="N6" s="486"/>
      <c r="O6" s="84">
        <v>5.0598021692445493E-3</v>
      </c>
      <c r="P6" s="484"/>
      <c r="Q6" s="484"/>
      <c r="R6" s="156">
        <v>0.9</v>
      </c>
      <c r="S6" s="472"/>
      <c r="T6" s="484"/>
      <c r="U6" s="156">
        <f>9/52*100%</f>
        <v>0.17307692307692307</v>
      </c>
      <c r="V6" s="472"/>
      <c r="W6" s="484"/>
    </row>
    <row r="7" spans="2:23">
      <c r="B7" s="467"/>
      <c r="C7" s="474"/>
      <c r="D7" s="80">
        <f t="shared" si="5"/>
        <v>46079</v>
      </c>
      <c r="E7" s="80" t="s">
        <v>113</v>
      </c>
      <c r="F7" s="87">
        <v>463.6233114830336</v>
      </c>
      <c r="G7" s="485"/>
      <c r="H7" s="485"/>
      <c r="I7" s="156">
        <f t="shared" si="6"/>
        <v>0.93171887355915106</v>
      </c>
      <c r="J7" s="472"/>
      <c r="K7" s="484"/>
      <c r="L7" s="164">
        <v>2.2997823887873229E-3</v>
      </c>
      <c r="M7" s="486"/>
      <c r="N7" s="486"/>
      <c r="O7" s="84">
        <v>5.0498787530576118E-3</v>
      </c>
      <c r="P7" s="484"/>
      <c r="Q7" s="484"/>
      <c r="R7" s="156">
        <v>0.9</v>
      </c>
      <c r="S7" s="472"/>
      <c r="T7" s="484"/>
      <c r="U7" s="156">
        <f t="shared" ref="U7:U11" si="7">9/52*100%</f>
        <v>0.17307692307692307</v>
      </c>
      <c r="V7" s="472"/>
      <c r="W7" s="484"/>
    </row>
    <row r="8" spans="2:23">
      <c r="B8" s="467"/>
      <c r="C8" s="474"/>
      <c r="D8" s="80">
        <f t="shared" si="5"/>
        <v>46080</v>
      </c>
      <c r="E8" s="80" t="s">
        <v>114</v>
      </c>
      <c r="F8" s="87">
        <v>486.84866489480203</v>
      </c>
      <c r="G8" s="485"/>
      <c r="H8" s="485"/>
      <c r="I8" s="156">
        <f t="shared" si="6"/>
        <v>0.97839361916157963</v>
      </c>
      <c r="J8" s="472"/>
      <c r="K8" s="484"/>
      <c r="L8" s="164">
        <v>2.29803500396058E-3</v>
      </c>
      <c r="M8" s="486"/>
      <c r="N8" s="486"/>
      <c r="O8" s="84">
        <v>5.0264344664325998E-3</v>
      </c>
      <c r="P8" s="484"/>
      <c r="Q8" s="484"/>
      <c r="R8" s="156">
        <v>0.9</v>
      </c>
      <c r="S8" s="472"/>
      <c r="T8" s="484"/>
      <c r="U8" s="156">
        <f t="shared" si="7"/>
        <v>0.17307692307692307</v>
      </c>
      <c r="V8" s="472"/>
      <c r="W8" s="484"/>
    </row>
    <row r="9" spans="2:23">
      <c r="B9" s="467"/>
      <c r="C9" s="474"/>
      <c r="D9" s="80">
        <f t="shared" si="5"/>
        <v>46081</v>
      </c>
      <c r="E9" s="80" t="s">
        <v>115</v>
      </c>
      <c r="F9" s="87">
        <v>489.05638532781512</v>
      </c>
      <c r="G9" s="485"/>
      <c r="H9" s="485"/>
      <c r="I9" s="156">
        <f t="shared" si="6"/>
        <v>0.98283035636618787</v>
      </c>
      <c r="J9" s="472"/>
      <c r="K9" s="484"/>
      <c r="L9" s="164">
        <v>2.3042698351662407E-3</v>
      </c>
      <c r="M9" s="486"/>
      <c r="N9" s="486"/>
      <c r="O9" s="84">
        <v>5.0678557649869093E-3</v>
      </c>
      <c r="P9" s="484"/>
      <c r="Q9" s="484"/>
      <c r="R9" s="156">
        <v>0.9</v>
      </c>
      <c r="S9" s="472"/>
      <c r="T9" s="484"/>
      <c r="U9" s="156">
        <f t="shared" si="7"/>
        <v>0.17307692307692307</v>
      </c>
      <c r="V9" s="472"/>
      <c r="W9" s="484"/>
    </row>
    <row r="10" spans="2:23">
      <c r="B10" s="467"/>
      <c r="C10" s="487" t="s">
        <v>112</v>
      </c>
      <c r="D10" s="80">
        <f t="shared" si="5"/>
        <v>46082</v>
      </c>
      <c r="E10" s="80" t="s">
        <v>116</v>
      </c>
      <c r="F10" s="87">
        <v>467.10924719659278</v>
      </c>
      <c r="G10" s="485"/>
      <c r="H10" s="485">
        <f>AVERAGEIF(F10:F40,"&lt;&gt;0")</f>
        <v>423.20738746061483</v>
      </c>
      <c r="I10" s="156">
        <f t="shared" si="6"/>
        <v>0.93872437137578935</v>
      </c>
      <c r="J10" s="472"/>
      <c r="K10" s="484">
        <f>AVERAGEIF(I10:I40,"&lt;&gt;0")</f>
        <v>0.85049716129544761</v>
      </c>
      <c r="L10" s="164">
        <v>2.0801357761399642E-3</v>
      </c>
      <c r="M10" s="486"/>
      <c r="N10" s="486">
        <f>AVERAGEIF(L10:L40,"&lt;&gt;0")</f>
        <v>2.0460085844532672E-3</v>
      </c>
      <c r="O10" s="84">
        <v>5.1182745428167108E-3</v>
      </c>
      <c r="P10" s="484"/>
      <c r="Q10" s="484">
        <f>AVERAGEIF(O10:O40,"&lt;&gt;0")</f>
        <v>5.0579793466341292E-3</v>
      </c>
      <c r="R10" s="156">
        <v>0.9</v>
      </c>
      <c r="S10" s="472"/>
      <c r="T10" s="484">
        <f>AVERAGEIF(R10:R40,"&lt;&gt;0")</f>
        <v>0.90000000000000013</v>
      </c>
      <c r="U10" s="156">
        <f t="shared" si="7"/>
        <v>0.17307692307692307</v>
      </c>
      <c r="V10" s="472"/>
      <c r="W10" s="484">
        <f>AVERAGEIF(U10:U40,"&lt;&gt;0")</f>
        <v>0.18803418803418803</v>
      </c>
    </row>
    <row r="11" spans="2:23">
      <c r="B11" s="467"/>
      <c r="C11" s="468"/>
      <c r="D11" s="80">
        <f t="shared" si="5"/>
        <v>46083</v>
      </c>
      <c r="E11" s="80" t="s">
        <v>117</v>
      </c>
      <c r="F11" s="87">
        <v>445.11992800109806</v>
      </c>
      <c r="G11" s="485"/>
      <c r="H11" s="485"/>
      <c r="I11" s="156">
        <f t="shared" si="6"/>
        <v>0.8945336173655507</v>
      </c>
      <c r="J11" s="472"/>
      <c r="K11" s="484"/>
      <c r="L11" s="164">
        <v>2.090289040726803E-3</v>
      </c>
      <c r="M11" s="486"/>
      <c r="N11" s="486"/>
      <c r="O11" s="84">
        <v>5.13361116735219E-3</v>
      </c>
      <c r="P11" s="484"/>
      <c r="Q11" s="484"/>
      <c r="R11" s="156">
        <v>0.9</v>
      </c>
      <c r="S11" s="472"/>
      <c r="T11" s="484"/>
      <c r="U11" s="156">
        <f t="shared" si="7"/>
        <v>0.17307692307692307</v>
      </c>
      <c r="V11" s="472"/>
      <c r="W11" s="484"/>
    </row>
    <row r="12" spans="2:23">
      <c r="B12" s="467">
        <f t="shared" ref="B12" si="8">B5+7</f>
        <v>46092</v>
      </c>
      <c r="C12" s="468"/>
      <c r="D12" s="80">
        <f t="shared" si="5"/>
        <v>46084</v>
      </c>
      <c r="E12" s="80" t="s">
        <v>118</v>
      </c>
      <c r="F12" s="87">
        <v>401.96085807216724</v>
      </c>
      <c r="G12" s="485">
        <f>AVERAGE(F12:F18)</f>
        <v>413.80533027826323</v>
      </c>
      <c r="H12" s="485"/>
      <c r="I12" s="156">
        <f>F12/$C$1</f>
        <v>0.80779915207429109</v>
      </c>
      <c r="J12" s="472">
        <f t="shared" ref="J12" si="9">AVERAGE(I12:I18)</f>
        <v>0.83160235184538422</v>
      </c>
      <c r="K12" s="484"/>
      <c r="L12" s="164">
        <v>2.0397947704205296E-3</v>
      </c>
      <c r="M12" s="486">
        <f t="shared" ref="M12" si="10">AVERAGE(L12:L18)</f>
        <v>2.0348074918875199E-3</v>
      </c>
      <c r="N12" s="486"/>
      <c r="O12" s="84">
        <v>5.0565527130545847E-3</v>
      </c>
      <c r="P12" s="472">
        <f t="shared" ref="P12" si="11">AVERAGE(O12:O18)</f>
        <v>5.0385612013626093E-3</v>
      </c>
      <c r="Q12" s="484"/>
      <c r="R12" s="156">
        <v>0.9</v>
      </c>
      <c r="S12" s="472">
        <f t="shared" ref="S12" si="12">AVERAGE(R12:R18)</f>
        <v>0.90000000000000013</v>
      </c>
      <c r="T12" s="484"/>
      <c r="U12" s="156">
        <f>10/52*100%</f>
        <v>0.19230769230769232</v>
      </c>
      <c r="V12" s="472">
        <f t="shared" ref="V12" si="13">AVERAGE(U12:U18)</f>
        <v>0.19230769230769232</v>
      </c>
      <c r="W12" s="484"/>
    </row>
    <row r="13" spans="2:23">
      <c r="B13" s="467"/>
      <c r="C13" s="468"/>
      <c r="D13" s="80">
        <f t="shared" si="5"/>
        <v>46085</v>
      </c>
      <c r="E13" s="80" t="s">
        <v>112</v>
      </c>
      <c r="F13" s="87">
        <v>422.79756758347418</v>
      </c>
      <c r="G13" s="485"/>
      <c r="H13" s="485"/>
      <c r="I13" s="156">
        <f t="shared" ref="I13:I18" si="14">F13/$C$1</f>
        <v>0.84967356829476315</v>
      </c>
      <c r="J13" s="472"/>
      <c r="K13" s="484"/>
      <c r="L13" s="164">
        <v>2.0279246661525476E-3</v>
      </c>
      <c r="M13" s="486"/>
      <c r="N13" s="486"/>
      <c r="O13" s="84">
        <v>5.0497071474563766E-3</v>
      </c>
      <c r="P13" s="472"/>
      <c r="Q13" s="484"/>
      <c r="R13" s="156">
        <v>0.9</v>
      </c>
      <c r="S13" s="472"/>
      <c r="T13" s="484"/>
      <c r="U13" s="156">
        <f t="shared" ref="U13:U18" si="15">10/52*100%</f>
        <v>0.19230769230769232</v>
      </c>
      <c r="V13" s="472"/>
      <c r="W13" s="484"/>
    </row>
    <row r="14" spans="2:23">
      <c r="B14" s="467"/>
      <c r="C14" s="468"/>
      <c r="D14" s="80">
        <f t="shared" si="5"/>
        <v>46086</v>
      </c>
      <c r="E14" s="80" t="s">
        <v>113</v>
      </c>
      <c r="F14" s="87">
        <v>422.77990495896722</v>
      </c>
      <c r="G14" s="485"/>
      <c r="H14" s="485"/>
      <c r="I14" s="156">
        <f t="shared" si="14"/>
        <v>0.84963807266673474</v>
      </c>
      <c r="J14" s="472"/>
      <c r="K14" s="484"/>
      <c r="L14" s="164">
        <v>2.0499699639946441E-3</v>
      </c>
      <c r="M14" s="486"/>
      <c r="N14" s="486"/>
      <c r="O14" s="84">
        <v>5.0196275384109508E-3</v>
      </c>
      <c r="P14" s="472"/>
      <c r="Q14" s="484"/>
      <c r="R14" s="156">
        <v>0.9</v>
      </c>
      <c r="S14" s="472"/>
      <c r="T14" s="484"/>
      <c r="U14" s="156">
        <f t="shared" si="15"/>
        <v>0.19230769230769232</v>
      </c>
      <c r="V14" s="472"/>
      <c r="W14" s="484"/>
    </row>
    <row r="15" spans="2:23">
      <c r="B15" s="467"/>
      <c r="C15" s="468"/>
      <c r="D15" s="80">
        <f t="shared" si="5"/>
        <v>46087</v>
      </c>
      <c r="E15" s="80" t="s">
        <v>114</v>
      </c>
      <c r="F15" s="87">
        <v>423.29065402436635</v>
      </c>
      <c r="G15" s="485"/>
      <c r="H15" s="485"/>
      <c r="I15" s="156">
        <f t="shared" si="14"/>
        <v>0.85066449763739216</v>
      </c>
      <c r="J15" s="472"/>
      <c r="K15" s="484"/>
      <c r="L15" s="164">
        <v>2.029787588896242E-3</v>
      </c>
      <c r="M15" s="486"/>
      <c r="N15" s="486"/>
      <c r="O15" s="84">
        <v>5.0801225002144986E-3</v>
      </c>
      <c r="P15" s="472"/>
      <c r="Q15" s="484"/>
      <c r="R15" s="156">
        <v>0.9</v>
      </c>
      <c r="S15" s="472"/>
      <c r="T15" s="484"/>
      <c r="U15" s="156">
        <f t="shared" si="15"/>
        <v>0.19230769230769232</v>
      </c>
      <c r="V15" s="472"/>
      <c r="W15" s="484"/>
    </row>
    <row r="16" spans="2:23">
      <c r="B16" s="467"/>
      <c r="C16" s="468"/>
      <c r="D16" s="80">
        <f t="shared" si="5"/>
        <v>46088</v>
      </c>
      <c r="E16" s="80" t="s">
        <v>115</v>
      </c>
      <c r="F16" s="87">
        <v>424.20122417620701</v>
      </c>
      <c r="G16" s="485"/>
      <c r="H16" s="485"/>
      <c r="I16" s="156">
        <f t="shared" si="14"/>
        <v>0.85249442157597866</v>
      </c>
      <c r="J16" s="472"/>
      <c r="K16" s="484"/>
      <c r="L16" s="164">
        <v>2.0559927936077129E-3</v>
      </c>
      <c r="M16" s="486"/>
      <c r="N16" s="486"/>
      <c r="O16" s="84">
        <v>5.0015599506528308E-3</v>
      </c>
      <c r="P16" s="472"/>
      <c r="Q16" s="484"/>
      <c r="R16" s="156">
        <v>0.9</v>
      </c>
      <c r="S16" s="472"/>
      <c r="T16" s="484"/>
      <c r="U16" s="156">
        <f t="shared" si="15"/>
        <v>0.19230769230769232</v>
      </c>
      <c r="V16" s="472"/>
      <c r="W16" s="484"/>
    </row>
    <row r="17" spans="2:23">
      <c r="B17" s="467"/>
      <c r="C17" s="468"/>
      <c r="D17" s="80">
        <f t="shared" si="5"/>
        <v>46089</v>
      </c>
      <c r="E17" s="80" t="s">
        <v>116</v>
      </c>
      <c r="F17" s="87">
        <v>404.74220047303766</v>
      </c>
      <c r="G17" s="485"/>
      <c r="H17" s="485"/>
      <c r="I17" s="156">
        <f t="shared" si="14"/>
        <v>0.81338866654549369</v>
      </c>
      <c r="J17" s="472"/>
      <c r="K17" s="484"/>
      <c r="L17" s="164">
        <v>2.0164628283239078E-3</v>
      </c>
      <c r="M17" s="486"/>
      <c r="N17" s="486"/>
      <c r="O17" s="84">
        <v>5.0375200261034312E-3</v>
      </c>
      <c r="P17" s="472"/>
      <c r="Q17" s="484"/>
      <c r="R17" s="156">
        <v>0.9</v>
      </c>
      <c r="S17" s="472"/>
      <c r="T17" s="484"/>
      <c r="U17" s="156">
        <f t="shared" si="15"/>
        <v>0.19230769230769232</v>
      </c>
      <c r="V17" s="472"/>
      <c r="W17" s="484"/>
    </row>
    <row r="18" spans="2:23">
      <c r="B18" s="467"/>
      <c r="C18" s="468"/>
      <c r="D18" s="80">
        <f t="shared" si="5"/>
        <v>46090</v>
      </c>
      <c r="E18" s="80" t="s">
        <v>117</v>
      </c>
      <c r="F18" s="87">
        <v>396.86490265962254</v>
      </c>
      <c r="G18" s="485"/>
      <c r="H18" s="485"/>
      <c r="I18" s="156">
        <f t="shared" si="14"/>
        <v>0.79755808412303564</v>
      </c>
      <c r="J18" s="472"/>
      <c r="K18" s="484"/>
      <c r="L18" s="164">
        <v>2.0237198318170551E-3</v>
      </c>
      <c r="M18" s="486"/>
      <c r="N18" s="486"/>
      <c r="O18" s="84">
        <v>5.0248385336455923E-3</v>
      </c>
      <c r="P18" s="472"/>
      <c r="Q18" s="484"/>
      <c r="R18" s="156">
        <v>0.9</v>
      </c>
      <c r="S18" s="472"/>
      <c r="T18" s="484"/>
      <c r="U18" s="156">
        <f t="shared" si="15"/>
        <v>0.19230769230769232</v>
      </c>
      <c r="V18" s="472"/>
      <c r="W18" s="484"/>
    </row>
    <row r="19" spans="2:23">
      <c r="B19" s="467">
        <f t="shared" ref="B19" si="16">B12+7</f>
        <v>46099</v>
      </c>
      <c r="C19" s="468"/>
      <c r="D19" s="80">
        <f t="shared" si="5"/>
        <v>46091</v>
      </c>
      <c r="E19" s="80" t="s">
        <v>118</v>
      </c>
      <c r="F19" s="87"/>
      <c r="G19" s="485" t="e">
        <f t="shared" ref="G19" si="17">AVERAGE(F19:F25)</f>
        <v>#DIV/0!</v>
      </c>
      <c r="H19" s="485"/>
      <c r="I19" s="156">
        <f>F19/$C$1</f>
        <v>0</v>
      </c>
      <c r="J19" s="472">
        <f t="shared" ref="J19" si="18">AVERAGE(I19:I25)</f>
        <v>0</v>
      </c>
      <c r="K19" s="484"/>
      <c r="L19" s="164"/>
      <c r="M19" s="486" t="e">
        <f t="shared" ref="M19" si="19">AVERAGE(L19:L25)</f>
        <v>#DIV/0!</v>
      </c>
      <c r="N19" s="486"/>
      <c r="O19" s="84"/>
      <c r="P19" s="472" t="e">
        <f t="shared" ref="P19" si="20">AVERAGE(O19:O25)</f>
        <v>#DIV/0!</v>
      </c>
      <c r="Q19" s="484"/>
      <c r="R19" s="156"/>
      <c r="S19" s="472" t="e">
        <f t="shared" ref="S19" si="21">AVERAGE(R19:R25)</f>
        <v>#DIV/0!</v>
      </c>
      <c r="T19" s="484"/>
      <c r="U19" s="156"/>
      <c r="V19" s="472" t="e">
        <f t="shared" ref="V19" si="22">AVERAGE(U19:U25)</f>
        <v>#DIV/0!</v>
      </c>
      <c r="W19" s="484"/>
    </row>
    <row r="20" spans="2:23">
      <c r="B20" s="467"/>
      <c r="C20" s="468"/>
      <c r="D20" s="80">
        <f t="shared" si="5"/>
        <v>46092</v>
      </c>
      <c r="E20" s="80" t="s">
        <v>112</v>
      </c>
      <c r="F20" s="87"/>
      <c r="G20" s="485"/>
      <c r="H20" s="485"/>
      <c r="I20" s="156">
        <f t="shared" ref="I20:I25" si="23">F20/$C$1</f>
        <v>0</v>
      </c>
      <c r="J20" s="472"/>
      <c r="K20" s="484"/>
      <c r="L20" s="164"/>
      <c r="M20" s="486"/>
      <c r="N20" s="486"/>
      <c r="O20" s="84"/>
      <c r="P20" s="472"/>
      <c r="Q20" s="484"/>
      <c r="R20" s="156"/>
      <c r="S20" s="472"/>
      <c r="T20" s="484"/>
      <c r="U20" s="156"/>
      <c r="V20" s="472"/>
      <c r="W20" s="484"/>
    </row>
    <row r="21" spans="2:23">
      <c r="B21" s="467"/>
      <c r="C21" s="468"/>
      <c r="D21" s="80">
        <f t="shared" si="5"/>
        <v>46093</v>
      </c>
      <c r="E21" s="80" t="s">
        <v>113</v>
      </c>
      <c r="F21" s="87"/>
      <c r="G21" s="485"/>
      <c r="H21" s="485"/>
      <c r="I21" s="156">
        <f t="shared" si="23"/>
        <v>0</v>
      </c>
      <c r="J21" s="472"/>
      <c r="K21" s="484"/>
      <c r="L21" s="164"/>
      <c r="M21" s="486"/>
      <c r="N21" s="486"/>
      <c r="O21" s="84"/>
      <c r="P21" s="472"/>
      <c r="Q21" s="484"/>
      <c r="R21" s="156"/>
      <c r="S21" s="472"/>
      <c r="T21" s="484"/>
      <c r="U21" s="156"/>
      <c r="V21" s="472"/>
      <c r="W21" s="484"/>
    </row>
    <row r="22" spans="2:23">
      <c r="B22" s="467"/>
      <c r="C22" s="468"/>
      <c r="D22" s="80">
        <f t="shared" si="5"/>
        <v>46094</v>
      </c>
      <c r="E22" s="80" t="s">
        <v>114</v>
      </c>
      <c r="F22" s="87"/>
      <c r="G22" s="485"/>
      <c r="H22" s="485"/>
      <c r="I22" s="156">
        <f t="shared" si="23"/>
        <v>0</v>
      </c>
      <c r="J22" s="472"/>
      <c r="K22" s="484"/>
      <c r="L22" s="164"/>
      <c r="M22" s="486"/>
      <c r="N22" s="486"/>
      <c r="O22" s="84"/>
      <c r="P22" s="472"/>
      <c r="Q22" s="484"/>
      <c r="R22" s="156"/>
      <c r="S22" s="472"/>
      <c r="T22" s="484"/>
      <c r="U22" s="156"/>
      <c r="V22" s="472"/>
      <c r="W22" s="484"/>
    </row>
    <row r="23" spans="2:23">
      <c r="B23" s="467"/>
      <c r="C23" s="468"/>
      <c r="D23" s="80">
        <f t="shared" si="5"/>
        <v>46095</v>
      </c>
      <c r="E23" s="80" t="s">
        <v>115</v>
      </c>
      <c r="F23" s="87"/>
      <c r="G23" s="485"/>
      <c r="H23" s="485"/>
      <c r="I23" s="156">
        <f t="shared" si="23"/>
        <v>0</v>
      </c>
      <c r="J23" s="472"/>
      <c r="K23" s="484"/>
      <c r="L23" s="164"/>
      <c r="M23" s="486"/>
      <c r="N23" s="486"/>
      <c r="O23" s="84"/>
      <c r="P23" s="472"/>
      <c r="Q23" s="484"/>
      <c r="R23" s="156"/>
      <c r="S23" s="472"/>
      <c r="T23" s="484"/>
      <c r="U23" s="156"/>
      <c r="V23" s="472"/>
      <c r="W23" s="484"/>
    </row>
    <row r="24" spans="2:23">
      <c r="B24" s="467"/>
      <c r="C24" s="468"/>
      <c r="D24" s="80">
        <f t="shared" si="5"/>
        <v>46096</v>
      </c>
      <c r="E24" s="80" t="s">
        <v>116</v>
      </c>
      <c r="F24" s="87"/>
      <c r="G24" s="485"/>
      <c r="H24" s="485"/>
      <c r="I24" s="156">
        <f t="shared" si="23"/>
        <v>0</v>
      </c>
      <c r="J24" s="472"/>
      <c r="K24" s="484"/>
      <c r="L24" s="164"/>
      <c r="M24" s="486"/>
      <c r="N24" s="486"/>
      <c r="O24" s="84"/>
      <c r="P24" s="472"/>
      <c r="Q24" s="484"/>
      <c r="R24" s="156"/>
      <c r="S24" s="472"/>
      <c r="T24" s="484"/>
      <c r="U24" s="156"/>
      <c r="V24" s="472"/>
      <c r="W24" s="484"/>
    </row>
    <row r="25" spans="2:23">
      <c r="B25" s="467"/>
      <c r="C25" s="468"/>
      <c r="D25" s="80">
        <f t="shared" si="5"/>
        <v>46097</v>
      </c>
      <c r="E25" s="80" t="s">
        <v>117</v>
      </c>
      <c r="F25" s="87"/>
      <c r="G25" s="485"/>
      <c r="H25" s="485"/>
      <c r="I25" s="156">
        <f t="shared" si="23"/>
        <v>0</v>
      </c>
      <c r="J25" s="472"/>
      <c r="K25" s="484"/>
      <c r="L25" s="164"/>
      <c r="M25" s="486"/>
      <c r="N25" s="486"/>
      <c r="O25" s="84"/>
      <c r="P25" s="472"/>
      <c r="Q25" s="484"/>
      <c r="R25" s="156"/>
      <c r="S25" s="472"/>
      <c r="T25" s="484"/>
      <c r="U25" s="156"/>
      <c r="V25" s="472"/>
      <c r="W25" s="484"/>
    </row>
    <row r="26" spans="2:23">
      <c r="B26" s="467">
        <f t="shared" ref="B26" si="24">B19+7</f>
        <v>46106</v>
      </c>
      <c r="C26" s="468"/>
      <c r="D26" s="80">
        <f t="shared" si="5"/>
        <v>46098</v>
      </c>
      <c r="E26" s="80" t="s">
        <v>118</v>
      </c>
      <c r="F26" s="87"/>
      <c r="G26" s="485" t="e">
        <f t="shared" ref="G26" si="25">AVERAGE(F26:F32)</f>
        <v>#DIV/0!</v>
      </c>
      <c r="H26" s="485"/>
      <c r="I26" s="156">
        <f>F26/$C$1</f>
        <v>0</v>
      </c>
      <c r="J26" s="472">
        <f t="shared" ref="J26" si="26">AVERAGE(I26:I32)</f>
        <v>0</v>
      </c>
      <c r="K26" s="484"/>
      <c r="L26" s="164"/>
      <c r="M26" s="486" t="e">
        <f t="shared" ref="M26" si="27">AVERAGE(L26:L32)</f>
        <v>#DIV/0!</v>
      </c>
      <c r="N26" s="486"/>
      <c r="O26" s="84"/>
      <c r="P26" s="472" t="e">
        <f t="shared" ref="P26" si="28">AVERAGE(O26:O32)</f>
        <v>#DIV/0!</v>
      </c>
      <c r="Q26" s="484"/>
      <c r="R26" s="156"/>
      <c r="S26" s="472" t="e">
        <f t="shared" ref="S26" si="29">AVERAGE(R26:R32)</f>
        <v>#DIV/0!</v>
      </c>
      <c r="T26" s="484"/>
      <c r="U26" s="156"/>
      <c r="V26" s="472" t="e">
        <f t="shared" ref="V26" si="30">AVERAGE(U26:U32)</f>
        <v>#DIV/0!</v>
      </c>
      <c r="W26" s="484"/>
    </row>
    <row r="27" spans="2:23">
      <c r="B27" s="467"/>
      <c r="C27" s="468"/>
      <c r="D27" s="80">
        <f t="shared" si="5"/>
        <v>46099</v>
      </c>
      <c r="E27" s="80" t="s">
        <v>112</v>
      </c>
      <c r="F27" s="87"/>
      <c r="G27" s="485"/>
      <c r="H27" s="485"/>
      <c r="I27" s="156">
        <f t="shared" ref="I27:I32" si="31">F27/$C$1</f>
        <v>0</v>
      </c>
      <c r="J27" s="472"/>
      <c r="K27" s="484"/>
      <c r="L27" s="164"/>
      <c r="M27" s="486"/>
      <c r="N27" s="486"/>
      <c r="O27" s="84"/>
      <c r="P27" s="472"/>
      <c r="Q27" s="484"/>
      <c r="R27" s="156"/>
      <c r="S27" s="472"/>
      <c r="T27" s="484"/>
      <c r="U27" s="156"/>
      <c r="V27" s="472"/>
      <c r="W27" s="484"/>
    </row>
    <row r="28" spans="2:23">
      <c r="B28" s="467"/>
      <c r="C28" s="468"/>
      <c r="D28" s="80">
        <f t="shared" si="5"/>
        <v>46100</v>
      </c>
      <c r="E28" s="80" t="s">
        <v>113</v>
      </c>
      <c r="F28" s="87"/>
      <c r="G28" s="485"/>
      <c r="H28" s="485"/>
      <c r="I28" s="156">
        <f t="shared" si="31"/>
        <v>0</v>
      </c>
      <c r="J28" s="472"/>
      <c r="K28" s="484"/>
      <c r="L28" s="164"/>
      <c r="M28" s="486"/>
      <c r="N28" s="486"/>
      <c r="O28" s="84"/>
      <c r="P28" s="472"/>
      <c r="Q28" s="484"/>
      <c r="R28" s="156"/>
      <c r="S28" s="472"/>
      <c r="T28" s="484"/>
      <c r="U28" s="156"/>
      <c r="V28" s="472"/>
      <c r="W28" s="484"/>
    </row>
    <row r="29" spans="2:23">
      <c r="B29" s="467"/>
      <c r="C29" s="468"/>
      <c r="D29" s="80">
        <f t="shared" si="5"/>
        <v>46101</v>
      </c>
      <c r="E29" s="80" t="s">
        <v>114</v>
      </c>
      <c r="F29" s="87"/>
      <c r="G29" s="485"/>
      <c r="H29" s="485"/>
      <c r="I29" s="156">
        <f t="shared" si="31"/>
        <v>0</v>
      </c>
      <c r="J29" s="472"/>
      <c r="K29" s="484"/>
      <c r="L29" s="164"/>
      <c r="M29" s="486"/>
      <c r="N29" s="486"/>
      <c r="O29" s="84"/>
      <c r="P29" s="472"/>
      <c r="Q29" s="484"/>
      <c r="R29" s="156"/>
      <c r="S29" s="472"/>
      <c r="T29" s="484"/>
      <c r="U29" s="156"/>
      <c r="V29" s="472"/>
      <c r="W29" s="484"/>
    </row>
    <row r="30" spans="2:23">
      <c r="B30" s="467"/>
      <c r="C30" s="468"/>
      <c r="D30" s="80">
        <f t="shared" si="5"/>
        <v>46102</v>
      </c>
      <c r="E30" s="80" t="s">
        <v>115</v>
      </c>
      <c r="F30" s="87"/>
      <c r="G30" s="485"/>
      <c r="H30" s="485"/>
      <c r="I30" s="156">
        <f t="shared" si="31"/>
        <v>0</v>
      </c>
      <c r="J30" s="472"/>
      <c r="K30" s="484"/>
      <c r="L30" s="164"/>
      <c r="M30" s="486"/>
      <c r="N30" s="486"/>
      <c r="O30" s="84"/>
      <c r="P30" s="472"/>
      <c r="Q30" s="484"/>
      <c r="R30" s="156"/>
      <c r="S30" s="472"/>
      <c r="T30" s="484"/>
      <c r="U30" s="156"/>
      <c r="V30" s="472"/>
      <c r="W30" s="484"/>
    </row>
    <row r="31" spans="2:23">
      <c r="B31" s="467"/>
      <c r="C31" s="468"/>
      <c r="D31" s="80">
        <f t="shared" si="5"/>
        <v>46103</v>
      </c>
      <c r="E31" s="80" t="s">
        <v>116</v>
      </c>
      <c r="F31" s="87"/>
      <c r="G31" s="485"/>
      <c r="H31" s="485"/>
      <c r="I31" s="156">
        <f t="shared" si="31"/>
        <v>0</v>
      </c>
      <c r="J31" s="472"/>
      <c r="K31" s="484"/>
      <c r="L31" s="164"/>
      <c r="M31" s="486"/>
      <c r="N31" s="486"/>
      <c r="O31" s="84"/>
      <c r="P31" s="472"/>
      <c r="Q31" s="484"/>
      <c r="R31" s="156"/>
      <c r="S31" s="472"/>
      <c r="T31" s="484"/>
      <c r="U31" s="156"/>
      <c r="V31" s="472"/>
      <c r="W31" s="484"/>
    </row>
    <row r="32" spans="2:23">
      <c r="B32" s="467"/>
      <c r="C32" s="468"/>
      <c r="D32" s="80">
        <f t="shared" si="5"/>
        <v>46104</v>
      </c>
      <c r="E32" s="80" t="s">
        <v>117</v>
      </c>
      <c r="F32" s="87"/>
      <c r="G32" s="485"/>
      <c r="H32" s="485"/>
      <c r="I32" s="156">
        <f t="shared" si="31"/>
        <v>0</v>
      </c>
      <c r="J32" s="472"/>
      <c r="K32" s="484"/>
      <c r="L32" s="164"/>
      <c r="M32" s="486"/>
      <c r="N32" s="486"/>
      <c r="O32" s="84"/>
      <c r="P32" s="472"/>
      <c r="Q32" s="484"/>
      <c r="R32" s="156"/>
      <c r="S32" s="472"/>
      <c r="T32" s="484"/>
      <c r="U32" s="156"/>
      <c r="V32" s="472"/>
      <c r="W32" s="484"/>
    </row>
    <row r="33" spans="2:23">
      <c r="B33" s="467">
        <f t="shared" ref="B33" si="32">B26+7</f>
        <v>46113</v>
      </c>
      <c r="C33" s="468"/>
      <c r="D33" s="80">
        <f t="shared" si="5"/>
        <v>46105</v>
      </c>
      <c r="E33" s="80" t="s">
        <v>118</v>
      </c>
      <c r="F33" s="87"/>
      <c r="G33" s="485" t="e">
        <f t="shared" ref="G33" si="33">AVERAGE(F33:F39)</f>
        <v>#DIV/0!</v>
      </c>
      <c r="H33" s="485"/>
      <c r="I33" s="156">
        <f>F33/$C$1</f>
        <v>0</v>
      </c>
      <c r="J33" s="472">
        <f t="shared" ref="J33" si="34">AVERAGE(I33:I39)</f>
        <v>0</v>
      </c>
      <c r="K33" s="484"/>
      <c r="L33" s="164"/>
      <c r="M33" s="486" t="e">
        <f t="shared" ref="M33" si="35">AVERAGE(L33:L39)</f>
        <v>#DIV/0!</v>
      </c>
      <c r="N33" s="486"/>
      <c r="O33" s="84"/>
      <c r="P33" s="472" t="e">
        <f t="shared" ref="P33" si="36">AVERAGE(O33:O39)</f>
        <v>#DIV/0!</v>
      </c>
      <c r="Q33" s="484"/>
      <c r="R33" s="156"/>
      <c r="S33" s="472" t="e">
        <f t="shared" ref="S33" si="37">AVERAGE(R33:R39)</f>
        <v>#DIV/0!</v>
      </c>
      <c r="T33" s="484"/>
      <c r="U33" s="156"/>
      <c r="V33" s="472" t="e">
        <f t="shared" ref="V33" si="38">AVERAGE(U33:U39)</f>
        <v>#DIV/0!</v>
      </c>
      <c r="W33" s="484"/>
    </row>
    <row r="34" spans="2:23">
      <c r="B34" s="467"/>
      <c r="C34" s="468"/>
      <c r="D34" s="80">
        <f t="shared" si="5"/>
        <v>46106</v>
      </c>
      <c r="E34" s="80" t="s">
        <v>112</v>
      </c>
      <c r="F34" s="87"/>
      <c r="G34" s="485"/>
      <c r="H34" s="485"/>
      <c r="I34" s="156">
        <f t="shared" ref="I34:I39" si="39">F34/$C$1</f>
        <v>0</v>
      </c>
      <c r="J34" s="472"/>
      <c r="K34" s="484"/>
      <c r="L34" s="164"/>
      <c r="M34" s="486"/>
      <c r="N34" s="486"/>
      <c r="O34" s="84"/>
      <c r="P34" s="472"/>
      <c r="Q34" s="484"/>
      <c r="R34" s="156"/>
      <c r="S34" s="472"/>
      <c r="T34" s="484"/>
      <c r="U34" s="156"/>
      <c r="V34" s="472"/>
      <c r="W34" s="484"/>
    </row>
    <row r="35" spans="2:23">
      <c r="B35" s="467"/>
      <c r="C35" s="468"/>
      <c r="D35" s="80">
        <f t="shared" si="5"/>
        <v>46107</v>
      </c>
      <c r="E35" s="80" t="s">
        <v>113</v>
      </c>
      <c r="F35" s="87"/>
      <c r="G35" s="485"/>
      <c r="H35" s="485"/>
      <c r="I35" s="156">
        <f t="shared" si="39"/>
        <v>0</v>
      </c>
      <c r="J35" s="472"/>
      <c r="K35" s="484"/>
      <c r="L35" s="164"/>
      <c r="M35" s="486"/>
      <c r="N35" s="486"/>
      <c r="O35" s="84"/>
      <c r="P35" s="472"/>
      <c r="Q35" s="484"/>
      <c r="R35" s="156"/>
      <c r="S35" s="472"/>
      <c r="T35" s="484"/>
      <c r="U35" s="156"/>
      <c r="V35" s="472"/>
      <c r="W35" s="484"/>
    </row>
    <row r="36" spans="2:23">
      <c r="B36" s="467"/>
      <c r="C36" s="468"/>
      <c r="D36" s="80">
        <f t="shared" si="5"/>
        <v>46108</v>
      </c>
      <c r="E36" s="80" t="s">
        <v>114</v>
      </c>
      <c r="F36" s="87"/>
      <c r="G36" s="485"/>
      <c r="H36" s="485"/>
      <c r="I36" s="156">
        <f t="shared" si="39"/>
        <v>0</v>
      </c>
      <c r="J36" s="472"/>
      <c r="K36" s="484"/>
      <c r="L36" s="164"/>
      <c r="M36" s="486"/>
      <c r="N36" s="486"/>
      <c r="O36" s="84"/>
      <c r="P36" s="472"/>
      <c r="Q36" s="484"/>
      <c r="R36" s="156"/>
      <c r="S36" s="472"/>
      <c r="T36" s="484"/>
      <c r="U36" s="156"/>
      <c r="V36" s="472"/>
      <c r="W36" s="484"/>
    </row>
    <row r="37" spans="2:23">
      <c r="B37" s="467"/>
      <c r="C37" s="468"/>
      <c r="D37" s="80">
        <f t="shared" si="5"/>
        <v>46109</v>
      </c>
      <c r="E37" s="80" t="s">
        <v>115</v>
      </c>
      <c r="F37" s="87"/>
      <c r="G37" s="485"/>
      <c r="H37" s="485"/>
      <c r="I37" s="156">
        <f t="shared" si="39"/>
        <v>0</v>
      </c>
      <c r="J37" s="472"/>
      <c r="K37" s="484"/>
      <c r="L37" s="164"/>
      <c r="M37" s="486"/>
      <c r="N37" s="486"/>
      <c r="O37" s="84"/>
      <c r="P37" s="472"/>
      <c r="Q37" s="484"/>
      <c r="R37" s="156"/>
      <c r="S37" s="472"/>
      <c r="T37" s="484"/>
      <c r="U37" s="156"/>
      <c r="V37" s="472"/>
      <c r="W37" s="484"/>
    </row>
    <row r="38" spans="2:23">
      <c r="B38" s="467"/>
      <c r="C38" s="468"/>
      <c r="D38" s="80">
        <f t="shared" si="5"/>
        <v>46110</v>
      </c>
      <c r="E38" s="80" t="s">
        <v>116</v>
      </c>
      <c r="F38" s="87"/>
      <c r="G38" s="485"/>
      <c r="H38" s="485"/>
      <c r="I38" s="156">
        <f t="shared" si="39"/>
        <v>0</v>
      </c>
      <c r="J38" s="472"/>
      <c r="K38" s="484"/>
      <c r="L38" s="164"/>
      <c r="M38" s="486"/>
      <c r="N38" s="486"/>
      <c r="O38" s="84"/>
      <c r="P38" s="472"/>
      <c r="Q38" s="484"/>
      <c r="R38" s="156"/>
      <c r="S38" s="472"/>
      <c r="T38" s="484"/>
      <c r="U38" s="156"/>
      <c r="V38" s="472"/>
      <c r="W38" s="484"/>
    </row>
    <row r="39" spans="2:23">
      <c r="B39" s="467"/>
      <c r="C39" s="468"/>
      <c r="D39" s="80">
        <f t="shared" si="5"/>
        <v>46111</v>
      </c>
      <c r="E39" s="80" t="s">
        <v>117</v>
      </c>
      <c r="F39" s="87"/>
      <c r="G39" s="485"/>
      <c r="H39" s="485"/>
      <c r="I39" s="156">
        <f t="shared" si="39"/>
        <v>0</v>
      </c>
      <c r="J39" s="472"/>
      <c r="K39" s="484"/>
      <c r="L39" s="164"/>
      <c r="M39" s="486"/>
      <c r="N39" s="486"/>
      <c r="O39" s="84"/>
      <c r="P39" s="472"/>
      <c r="Q39" s="484"/>
      <c r="R39" s="156"/>
      <c r="S39" s="472"/>
      <c r="T39" s="484"/>
      <c r="U39" s="156"/>
      <c r="V39" s="472"/>
      <c r="W39" s="484"/>
    </row>
    <row r="40" spans="2:23">
      <c r="B40" s="467">
        <f t="shared" ref="B40" si="40">B33+7</f>
        <v>46120</v>
      </c>
      <c r="C40" s="468"/>
      <c r="D40" s="80">
        <f t="shared" si="5"/>
        <v>46112</v>
      </c>
      <c r="E40" s="80" t="s">
        <v>118</v>
      </c>
      <c r="F40" s="87"/>
      <c r="G40" s="485" t="e">
        <f t="shared" ref="G40" si="41">AVERAGE(F40:F46)</f>
        <v>#DIV/0!</v>
      </c>
      <c r="H40" s="485"/>
      <c r="I40" s="156">
        <f>F40/$C$1</f>
        <v>0</v>
      </c>
      <c r="J40" s="472">
        <f t="shared" ref="J40" si="42">AVERAGE(I40:I46)</f>
        <v>0</v>
      </c>
      <c r="K40" s="484"/>
      <c r="L40" s="164"/>
      <c r="M40" s="486" t="e">
        <f t="shared" ref="M40" si="43">AVERAGE(L40:L46)</f>
        <v>#DIV/0!</v>
      </c>
      <c r="N40" s="486"/>
      <c r="O40" s="84"/>
      <c r="P40" s="472" t="e">
        <f t="shared" ref="P40" si="44">AVERAGE(O40:O46)</f>
        <v>#DIV/0!</v>
      </c>
      <c r="Q40" s="484"/>
      <c r="R40" s="156"/>
      <c r="S40" s="472" t="e">
        <f t="shared" ref="S40" si="45">AVERAGE(R40:R46)</f>
        <v>#DIV/0!</v>
      </c>
      <c r="T40" s="484"/>
      <c r="U40" s="156"/>
      <c r="V40" s="472" t="e">
        <f t="shared" ref="V40" si="46">AVERAGE(U40:U46)</f>
        <v>#DIV/0!</v>
      </c>
      <c r="W40" s="484"/>
    </row>
    <row r="41" spans="2:23">
      <c r="B41" s="467"/>
      <c r="D41" s="80">
        <f t="shared" si="5"/>
        <v>46113</v>
      </c>
      <c r="E41" s="80" t="s">
        <v>112</v>
      </c>
      <c r="F41" s="87"/>
      <c r="G41" s="485"/>
      <c r="I41" s="156">
        <f t="shared" ref="I41:I46" si="47">F41/$C$1</f>
        <v>0</v>
      </c>
      <c r="J41" s="472"/>
      <c r="K41" s="84"/>
      <c r="L41" s="164"/>
      <c r="M41" s="486"/>
      <c r="O41" s="84"/>
      <c r="P41" s="472"/>
      <c r="Q41" s="84"/>
      <c r="R41" s="156"/>
      <c r="S41" s="472"/>
      <c r="U41" s="156"/>
      <c r="V41" s="472"/>
    </row>
    <row r="42" spans="2:23">
      <c r="B42" s="467"/>
      <c r="D42" s="80">
        <f t="shared" si="5"/>
        <v>46114</v>
      </c>
      <c r="E42" s="80" t="s">
        <v>113</v>
      </c>
      <c r="F42" s="87"/>
      <c r="G42" s="485"/>
      <c r="I42" s="156">
        <f t="shared" si="47"/>
        <v>0</v>
      </c>
      <c r="J42" s="472"/>
      <c r="K42" s="84"/>
      <c r="L42" s="164"/>
      <c r="M42" s="486"/>
      <c r="O42" s="84"/>
      <c r="P42" s="472"/>
      <c r="R42" s="156"/>
      <c r="S42" s="472"/>
      <c r="U42" s="156"/>
      <c r="V42" s="472"/>
    </row>
    <row r="43" spans="2:23">
      <c r="B43" s="467"/>
      <c r="D43" s="80">
        <f t="shared" si="5"/>
        <v>46115</v>
      </c>
      <c r="E43" s="80" t="s">
        <v>114</v>
      </c>
      <c r="F43" s="87"/>
      <c r="G43" s="485"/>
      <c r="I43" s="156">
        <f t="shared" si="47"/>
        <v>0</v>
      </c>
      <c r="J43" s="472"/>
      <c r="K43" s="84"/>
      <c r="L43" s="164"/>
      <c r="M43" s="486"/>
      <c r="O43" s="84"/>
      <c r="P43" s="472"/>
      <c r="R43" s="156"/>
      <c r="S43" s="472"/>
      <c r="U43" s="156"/>
      <c r="V43" s="472"/>
    </row>
    <row r="44" spans="2:23">
      <c r="B44" s="467"/>
      <c r="D44" s="80">
        <f t="shared" si="5"/>
        <v>46116</v>
      </c>
      <c r="E44" s="80" t="s">
        <v>115</v>
      </c>
      <c r="F44" s="87"/>
      <c r="G44" s="485"/>
      <c r="I44" s="156">
        <f t="shared" si="47"/>
        <v>0</v>
      </c>
      <c r="J44" s="472"/>
      <c r="L44" s="164"/>
      <c r="M44" s="486"/>
      <c r="O44" s="84"/>
      <c r="P44" s="472"/>
      <c r="R44" s="156"/>
      <c r="S44" s="472"/>
      <c r="U44" s="156"/>
      <c r="V44" s="472"/>
    </row>
    <row r="45" spans="2:23">
      <c r="B45" s="467"/>
      <c r="D45" s="80">
        <f t="shared" si="5"/>
        <v>46117</v>
      </c>
      <c r="E45" s="80" t="s">
        <v>116</v>
      </c>
      <c r="F45" s="87"/>
      <c r="G45" s="485"/>
      <c r="I45" s="156">
        <f t="shared" si="47"/>
        <v>0</v>
      </c>
      <c r="J45" s="472"/>
      <c r="L45" s="164"/>
      <c r="M45" s="486"/>
      <c r="O45" s="84"/>
      <c r="P45" s="472"/>
      <c r="R45" s="156"/>
      <c r="S45" s="472"/>
      <c r="U45" s="156"/>
      <c r="V45" s="472"/>
    </row>
    <row r="46" spans="2:23">
      <c r="B46" s="467"/>
      <c r="D46" s="80">
        <f t="shared" si="5"/>
        <v>46118</v>
      </c>
      <c r="E46" s="80" t="s">
        <v>117</v>
      </c>
      <c r="F46" s="87"/>
      <c r="G46" s="485"/>
      <c r="I46" s="156">
        <f t="shared" si="47"/>
        <v>0</v>
      </c>
      <c r="J46" s="472"/>
      <c r="L46" s="164"/>
      <c r="M46" s="486"/>
      <c r="O46" s="84"/>
      <c r="P46" s="472"/>
      <c r="R46" s="156"/>
      <c r="S46" s="472"/>
      <c r="U46" s="156"/>
      <c r="V46" s="472"/>
    </row>
  </sheetData>
  <mergeCells count="66">
    <mergeCell ref="S33:S39"/>
    <mergeCell ref="V33:V39"/>
    <mergeCell ref="T5:T9"/>
    <mergeCell ref="Q5:Q9"/>
    <mergeCell ref="S19:S25"/>
    <mergeCell ref="V19:V25"/>
    <mergeCell ref="S26:S32"/>
    <mergeCell ref="V26:V32"/>
    <mergeCell ref="U3:W3"/>
    <mergeCell ref="B2:U2"/>
    <mergeCell ref="F3:H3"/>
    <mergeCell ref="L3:N3"/>
    <mergeCell ref="R3:T3"/>
    <mergeCell ref="B3:B4"/>
    <mergeCell ref="C3:C4"/>
    <mergeCell ref="D3:E4"/>
    <mergeCell ref="I3:K3"/>
    <mergeCell ref="O3:Q3"/>
    <mergeCell ref="C5:C9"/>
    <mergeCell ref="H5:H9"/>
    <mergeCell ref="K5:K9"/>
    <mergeCell ref="N5:N9"/>
    <mergeCell ref="B19:B25"/>
    <mergeCell ref="G19:G25"/>
    <mergeCell ref="J19:J25"/>
    <mergeCell ref="M19:M25"/>
    <mergeCell ref="B5:B11"/>
    <mergeCell ref="G5:G11"/>
    <mergeCell ref="J5:J11"/>
    <mergeCell ref="M5:M11"/>
    <mergeCell ref="B12:B18"/>
    <mergeCell ref="G12:G18"/>
    <mergeCell ref="J12:J18"/>
    <mergeCell ref="M12:M18"/>
    <mergeCell ref="B40:B46"/>
    <mergeCell ref="G40:G46"/>
    <mergeCell ref="J40:J46"/>
    <mergeCell ref="M40:M46"/>
    <mergeCell ref="P40:P46"/>
    <mergeCell ref="C10:C40"/>
    <mergeCell ref="B33:B39"/>
    <mergeCell ref="G33:G39"/>
    <mergeCell ref="J33:J39"/>
    <mergeCell ref="M33:M39"/>
    <mergeCell ref="P33:P39"/>
    <mergeCell ref="P19:P25"/>
    <mergeCell ref="P5:P11"/>
    <mergeCell ref="B26:B32"/>
    <mergeCell ref="G26:G32"/>
    <mergeCell ref="J26:J32"/>
    <mergeCell ref="W10:W40"/>
    <mergeCell ref="S40:S46"/>
    <mergeCell ref="V40:V46"/>
    <mergeCell ref="H10:H40"/>
    <mergeCell ref="K10:K40"/>
    <mergeCell ref="N10:N40"/>
    <mergeCell ref="Q10:Q40"/>
    <mergeCell ref="T10:T40"/>
    <mergeCell ref="M26:M32"/>
    <mergeCell ref="P26:P32"/>
    <mergeCell ref="S12:S18"/>
    <mergeCell ref="V12:V18"/>
    <mergeCell ref="S5:S11"/>
    <mergeCell ref="V5:V11"/>
    <mergeCell ref="P12:P18"/>
    <mergeCell ref="W5:W9"/>
  </mergeCells>
  <phoneticPr fontId="15" type="noConversion"/>
  <pageMargins left="0.7" right="0.7" top="0.75" bottom="0.75" header="0.3" footer="0.3"/>
  <pageSetup paperSize="257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N48"/>
  <sheetViews>
    <sheetView topLeftCell="E3" zoomScale="85" zoomScaleNormal="85" workbookViewId="0">
      <selection activeCell="U14" sqref="U14:U20"/>
    </sheetView>
  </sheetViews>
  <sheetFormatPr defaultColWidth="8.81640625" defaultRowHeight="16"/>
  <cols>
    <col min="1" max="1" width="8.81640625" style="75"/>
    <col min="2" max="2" width="13.1796875" style="75" customWidth="1"/>
    <col min="3" max="3" width="8.81640625" style="95"/>
    <col min="4" max="4" width="17" style="95" customWidth="1"/>
    <col min="5" max="5" width="8.54296875" style="77" customWidth="1"/>
    <col min="6" max="6" width="20.26953125" style="333" bestFit="1" customWidth="1"/>
    <col min="7" max="8" width="20.26953125" style="94" bestFit="1" customWidth="1"/>
    <col min="9" max="9" width="18.26953125" style="91" bestFit="1" customWidth="1"/>
    <col min="10" max="10" width="10.54296875" style="84" customWidth="1"/>
    <col min="11" max="11" width="18.26953125" style="91" bestFit="1" customWidth="1"/>
    <col min="12" max="12" width="10.54296875" style="84" customWidth="1"/>
    <col min="13" max="13" width="20.26953125" style="84" bestFit="1" customWidth="1"/>
    <col min="14" max="14" width="10.54296875" style="84" customWidth="1"/>
    <col min="15" max="15" width="18.26953125" style="91" bestFit="1" customWidth="1"/>
    <col min="16" max="16" width="10.54296875" style="84" customWidth="1"/>
    <col min="17" max="17" width="18.26953125" style="91" bestFit="1" customWidth="1"/>
    <col min="18" max="18" width="10.54296875" style="84" customWidth="1"/>
    <col min="19" max="19" width="18.26953125" style="91" bestFit="1" customWidth="1"/>
    <col min="20" max="20" width="10.54296875" style="84" customWidth="1"/>
    <col min="21" max="21" width="18.26953125" style="91" bestFit="1" customWidth="1"/>
    <col min="22" max="22" width="10.54296875" style="84" customWidth="1"/>
    <col min="23" max="23" width="17" style="91" bestFit="1" customWidth="1"/>
    <col min="24" max="24" width="10.54296875" style="84" customWidth="1"/>
    <col min="25" max="25" width="18.26953125" style="91" bestFit="1" customWidth="1"/>
    <col min="26" max="26" width="10.54296875" style="84" customWidth="1"/>
    <col min="27" max="27" width="18.26953125" style="91" bestFit="1" customWidth="1"/>
    <col min="28" max="28" width="10.54296875" style="84" customWidth="1"/>
    <col min="29" max="29" width="18.26953125" style="91" bestFit="1" customWidth="1"/>
    <col min="30" max="30" width="10.54296875" style="84" customWidth="1"/>
    <col min="31" max="31" width="20.26953125" style="91" bestFit="1" customWidth="1"/>
    <col min="32" max="32" width="10.54296875" style="84" customWidth="1"/>
    <col min="33" max="33" width="18.26953125" style="91" bestFit="1" customWidth="1"/>
    <col min="34" max="34" width="10.453125" style="84" customWidth="1"/>
    <col min="35" max="35" width="20.26953125" style="91" bestFit="1" customWidth="1"/>
    <col min="36" max="36" width="10.453125" style="84" customWidth="1"/>
    <col min="37" max="37" width="18.26953125" style="91" bestFit="1" customWidth="1"/>
    <col min="38" max="38" width="10.453125" style="84" customWidth="1"/>
    <col min="39" max="16384" width="8.81640625" style="75"/>
  </cols>
  <sheetData>
    <row r="2" spans="1:40" ht="38.15" customHeight="1">
      <c r="A2" s="74"/>
      <c r="B2" s="476" t="s">
        <v>325</v>
      </c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6"/>
      <c r="U2" s="476"/>
      <c r="V2" s="476"/>
      <c r="W2" s="476"/>
      <c r="X2" s="476"/>
      <c r="Y2" s="476"/>
      <c r="Z2" s="476"/>
      <c r="AA2" s="476"/>
      <c r="AB2" s="476"/>
      <c r="AC2" s="476"/>
      <c r="AD2" s="476"/>
      <c r="AE2" s="476"/>
      <c r="AF2" s="476"/>
      <c r="AG2" s="476"/>
      <c r="AH2" s="476"/>
      <c r="AI2" s="476"/>
      <c r="AJ2" s="476"/>
      <c r="AK2" s="476"/>
      <c r="AL2" s="476"/>
    </row>
    <row r="3" spans="1:40" ht="25.4" customHeight="1">
      <c r="B3" s="494" t="s">
        <v>152</v>
      </c>
      <c r="C3" s="495" t="s">
        <v>145</v>
      </c>
      <c r="D3" s="496" t="s">
        <v>105</v>
      </c>
      <c r="E3" s="496"/>
      <c r="F3" s="498" t="s">
        <v>136</v>
      </c>
      <c r="G3" s="498"/>
      <c r="H3" s="498"/>
      <c r="I3" s="499" t="s">
        <v>109</v>
      </c>
      <c r="J3" s="499"/>
      <c r="K3" s="499"/>
      <c r="L3" s="499"/>
      <c r="M3" s="499"/>
      <c r="N3" s="499"/>
      <c r="O3" s="499"/>
      <c r="P3" s="499"/>
      <c r="Q3" s="499"/>
      <c r="R3" s="499"/>
      <c r="S3" s="499"/>
      <c r="T3" s="499"/>
      <c r="U3" s="499"/>
      <c r="V3" s="499"/>
      <c r="W3" s="499"/>
      <c r="X3" s="499"/>
      <c r="Y3" s="499"/>
      <c r="Z3" s="499"/>
      <c r="AA3" s="499"/>
      <c r="AB3" s="499"/>
      <c r="AC3" s="499"/>
      <c r="AD3" s="499"/>
      <c r="AE3" s="499"/>
      <c r="AF3" s="499"/>
      <c r="AG3" s="499"/>
      <c r="AH3" s="499"/>
      <c r="AI3" s="499"/>
      <c r="AJ3" s="499"/>
      <c r="AK3" s="499"/>
      <c r="AL3" s="499"/>
    </row>
    <row r="4" spans="1:40" ht="25.4" customHeight="1">
      <c r="B4" s="494"/>
      <c r="C4" s="495"/>
      <c r="D4" s="496"/>
      <c r="E4" s="496"/>
      <c r="F4" s="498"/>
      <c r="G4" s="498"/>
      <c r="H4" s="498"/>
      <c r="I4" s="492" t="s">
        <v>146</v>
      </c>
      <c r="J4" s="492"/>
      <c r="K4" s="492"/>
      <c r="L4" s="492"/>
      <c r="M4" s="492"/>
      <c r="N4" s="492"/>
      <c r="O4" s="492" t="s">
        <v>147</v>
      </c>
      <c r="P4" s="492"/>
      <c r="Q4" s="492"/>
      <c r="R4" s="492"/>
      <c r="S4" s="492"/>
      <c r="T4" s="492"/>
      <c r="U4" s="492" t="s">
        <v>148</v>
      </c>
      <c r="V4" s="492"/>
      <c r="W4" s="492" t="s">
        <v>149</v>
      </c>
      <c r="X4" s="492"/>
      <c r="Y4" s="492" t="s">
        <v>140</v>
      </c>
      <c r="Z4" s="492"/>
      <c r="AA4" s="492"/>
      <c r="AB4" s="492"/>
      <c r="AC4" s="492"/>
      <c r="AD4" s="492"/>
      <c r="AE4" s="492" t="s">
        <v>138</v>
      </c>
      <c r="AF4" s="492"/>
      <c r="AG4" s="492" t="s">
        <v>150</v>
      </c>
      <c r="AH4" s="492"/>
      <c r="AI4" s="492" t="s">
        <v>151</v>
      </c>
      <c r="AJ4" s="492"/>
      <c r="AK4" s="492" t="s">
        <v>144</v>
      </c>
      <c r="AL4" s="492"/>
    </row>
    <row r="5" spans="1:40" ht="25.4" customHeight="1">
      <c r="B5" s="494"/>
      <c r="C5" s="495"/>
      <c r="D5" s="496"/>
      <c r="E5" s="496"/>
      <c r="F5" s="501" t="s">
        <v>116</v>
      </c>
      <c r="G5" s="493" t="s">
        <v>120</v>
      </c>
      <c r="H5" s="493" t="s">
        <v>121</v>
      </c>
      <c r="I5" s="492" t="s">
        <v>134</v>
      </c>
      <c r="J5" s="492"/>
      <c r="K5" s="492" t="s">
        <v>135</v>
      </c>
      <c r="L5" s="492"/>
      <c r="M5" s="500" t="s">
        <v>153</v>
      </c>
      <c r="N5" s="492"/>
      <c r="O5" s="492" t="s">
        <v>134</v>
      </c>
      <c r="P5" s="492"/>
      <c r="Q5" s="492" t="s">
        <v>135</v>
      </c>
      <c r="R5" s="492"/>
      <c r="S5" s="500" t="s">
        <v>153</v>
      </c>
      <c r="T5" s="492"/>
      <c r="U5" s="492" t="s">
        <v>134</v>
      </c>
      <c r="V5" s="492"/>
      <c r="W5" s="492" t="s">
        <v>134</v>
      </c>
      <c r="X5" s="492"/>
      <c r="Y5" s="492" t="s">
        <v>134</v>
      </c>
      <c r="Z5" s="492"/>
      <c r="AA5" s="492" t="s">
        <v>135</v>
      </c>
      <c r="AB5" s="492"/>
      <c r="AC5" s="500" t="s">
        <v>153</v>
      </c>
      <c r="AD5" s="492"/>
      <c r="AE5" s="492" t="s">
        <v>134</v>
      </c>
      <c r="AF5" s="492"/>
      <c r="AG5" s="492" t="s">
        <v>134</v>
      </c>
      <c r="AH5" s="492"/>
      <c r="AI5" s="492" t="s">
        <v>134</v>
      </c>
      <c r="AJ5" s="492"/>
      <c r="AK5" s="492" t="s">
        <v>134</v>
      </c>
      <c r="AL5" s="492"/>
    </row>
    <row r="6" spans="1:40" s="77" customFormat="1" ht="23.5" customHeight="1">
      <c r="B6" s="494"/>
      <c r="C6" s="495"/>
      <c r="D6" s="497"/>
      <c r="E6" s="497"/>
      <c r="F6" s="502"/>
      <c r="G6" s="493"/>
      <c r="H6" s="493"/>
      <c r="I6" s="92" t="s">
        <v>110</v>
      </c>
      <c r="J6" s="93" t="s">
        <v>111</v>
      </c>
      <c r="K6" s="92" t="s">
        <v>110</v>
      </c>
      <c r="L6" s="93" t="s">
        <v>111</v>
      </c>
      <c r="M6" s="92" t="s">
        <v>110</v>
      </c>
      <c r="N6" s="93" t="s">
        <v>111</v>
      </c>
      <c r="O6" s="92" t="s">
        <v>110</v>
      </c>
      <c r="P6" s="93" t="s">
        <v>111</v>
      </c>
      <c r="Q6" s="92" t="s">
        <v>110</v>
      </c>
      <c r="R6" s="93" t="s">
        <v>111</v>
      </c>
      <c r="S6" s="92" t="s">
        <v>110</v>
      </c>
      <c r="T6" s="93" t="s">
        <v>111</v>
      </c>
      <c r="U6" s="92" t="s">
        <v>110</v>
      </c>
      <c r="V6" s="93" t="s">
        <v>111</v>
      </c>
      <c r="W6" s="92" t="s">
        <v>110</v>
      </c>
      <c r="X6" s="93" t="s">
        <v>111</v>
      </c>
      <c r="Y6" s="92" t="s">
        <v>110</v>
      </c>
      <c r="Z6" s="93" t="s">
        <v>111</v>
      </c>
      <c r="AA6" s="92" t="s">
        <v>110</v>
      </c>
      <c r="AB6" s="93" t="s">
        <v>111</v>
      </c>
      <c r="AC6" s="92" t="s">
        <v>110</v>
      </c>
      <c r="AD6" s="93" t="s">
        <v>111</v>
      </c>
      <c r="AE6" s="92" t="s">
        <v>110</v>
      </c>
      <c r="AF6" s="93" t="s">
        <v>111</v>
      </c>
      <c r="AG6" s="92" t="s">
        <v>110</v>
      </c>
      <c r="AH6" s="93" t="s">
        <v>111</v>
      </c>
      <c r="AI6" s="92" t="s">
        <v>110</v>
      </c>
      <c r="AJ6" s="93" t="s">
        <v>111</v>
      </c>
      <c r="AK6" s="92" t="s">
        <v>110</v>
      </c>
      <c r="AL6" s="93" t="s">
        <v>111</v>
      </c>
    </row>
    <row r="7" spans="1:40" s="73" customFormat="1" ht="14.25" customHeight="1">
      <c r="B7" s="503">
        <f>D8+7</f>
        <v>46085</v>
      </c>
      <c r="C7" s="514"/>
      <c r="D7" s="173">
        <v>46077</v>
      </c>
      <c r="E7" s="173" t="s">
        <v>118</v>
      </c>
      <c r="F7" s="334">
        <f t="shared" ref="F7:F20" si="0">SUM(M7,S7,U7,W7,AC7,AE7,AG7,AI7,AK7)</f>
        <v>5238957.08</v>
      </c>
      <c r="G7" s="511">
        <f>SUM(F7:F13)</f>
        <v>32338420.109999999</v>
      </c>
      <c r="H7" s="506"/>
      <c r="I7" s="174">
        <v>815562.12999999989</v>
      </c>
      <c r="J7" s="175">
        <f t="shared" ref="J7:J20" si="1">I7/$F7</f>
        <v>0.15567261146563924</v>
      </c>
      <c r="K7" s="174">
        <v>962970.78</v>
      </c>
      <c r="L7" s="175">
        <f t="shared" ref="L7:L20" si="2">K7/$F7</f>
        <v>0.18380963334786474</v>
      </c>
      <c r="M7" s="174">
        <f t="shared" ref="M7:M20" si="3">I7+K7</f>
        <v>1778532.91</v>
      </c>
      <c r="N7" s="175">
        <f t="shared" ref="N7" si="4">M7/$F7</f>
        <v>0.33948224481350397</v>
      </c>
      <c r="O7" s="174">
        <v>220466.87</v>
      </c>
      <c r="P7" s="175">
        <f t="shared" ref="P7:P20" si="5">O7/$F7</f>
        <v>4.208220579657812E-2</v>
      </c>
      <c r="Q7" s="174">
        <v>178349.54</v>
      </c>
      <c r="R7" s="175">
        <f t="shared" ref="R7:R20" si="6">Q7/$F7</f>
        <v>3.4042947341725506E-2</v>
      </c>
      <c r="S7" s="174">
        <f t="shared" ref="S7:S20" si="7">O7+Q7</f>
        <v>398816.41000000003</v>
      </c>
      <c r="T7" s="175">
        <f t="shared" ref="T7" si="8">S7/$F7</f>
        <v>7.6125153138303633E-2</v>
      </c>
      <c r="U7" s="174">
        <v>185358.40999999997</v>
      </c>
      <c r="V7" s="175">
        <f t="shared" ref="V7" si="9">U7/$F7</f>
        <v>3.5380784222801838E-2</v>
      </c>
      <c r="W7" s="174">
        <v>233726.34000000003</v>
      </c>
      <c r="X7" s="175">
        <f t="shared" ref="X7:X20" si="10">W7/$F7</f>
        <v>4.461314273641654E-2</v>
      </c>
      <c r="Y7" s="174">
        <v>262050.32</v>
      </c>
      <c r="Z7" s="175">
        <f t="shared" ref="Z7:Z20" si="11">Y7/$F7</f>
        <v>5.0019558472885979E-2</v>
      </c>
      <c r="AA7" s="174">
        <v>622985.41</v>
      </c>
      <c r="AB7" s="175">
        <f t="shared" ref="AB7:AB20" si="12">AA7/$F7</f>
        <v>0.1189140129393845</v>
      </c>
      <c r="AC7" s="174">
        <f t="shared" ref="AC7:AC20" si="13">Y7+AA7</f>
        <v>885035.73</v>
      </c>
      <c r="AD7" s="175">
        <f t="shared" ref="AD7:AD20" si="14">AC7/$F7</f>
        <v>0.16893357141227047</v>
      </c>
      <c r="AE7" s="174">
        <v>1459250.84</v>
      </c>
      <c r="AF7" s="175">
        <f t="shared" ref="AF7:AF20" si="15">AE7/F7</f>
        <v>0.27853842238386883</v>
      </c>
      <c r="AG7" s="174">
        <v>0</v>
      </c>
      <c r="AH7" s="175">
        <f t="shared" ref="AH7:AH20" si="16">AG7/$F7</f>
        <v>0</v>
      </c>
      <c r="AI7" s="174">
        <v>147496.78000000003</v>
      </c>
      <c r="AJ7" s="175">
        <f t="shared" ref="AJ7:AJ20" si="17">AI7/$F7</f>
        <v>2.8153843932617221E-2</v>
      </c>
      <c r="AK7" s="174">
        <v>150739.65999999997</v>
      </c>
      <c r="AL7" s="175">
        <f t="shared" ref="AL7:AL20" si="18">AK7/$F7</f>
        <v>2.8772837360217497E-2</v>
      </c>
      <c r="AN7" s="72"/>
    </row>
    <row r="8" spans="1:40" s="73" customFormat="1" ht="14.25" customHeight="1">
      <c r="B8" s="504"/>
      <c r="C8" s="514"/>
      <c r="D8" s="173">
        <v>46078</v>
      </c>
      <c r="E8" s="173" t="s">
        <v>112</v>
      </c>
      <c r="F8" s="334">
        <f t="shared" si="0"/>
        <v>4692647.5</v>
      </c>
      <c r="G8" s="511"/>
      <c r="H8" s="506"/>
      <c r="I8" s="174">
        <v>799279.10000000021</v>
      </c>
      <c r="J8" s="175">
        <f t="shared" si="1"/>
        <v>0.1703258341906142</v>
      </c>
      <c r="K8" s="174">
        <v>843869.38</v>
      </c>
      <c r="L8" s="175">
        <f t="shared" si="2"/>
        <v>0.1798279926203705</v>
      </c>
      <c r="M8" s="174">
        <f t="shared" si="3"/>
        <v>1643148.4800000002</v>
      </c>
      <c r="N8" s="175">
        <f t="shared" ref="N8" si="19">M8/F8</f>
        <v>0.35015382681098467</v>
      </c>
      <c r="O8" s="174">
        <v>220683.47999999998</v>
      </c>
      <c r="P8" s="175">
        <f t="shared" si="5"/>
        <v>4.7027499934738329E-2</v>
      </c>
      <c r="Q8" s="174">
        <v>169504.31000000003</v>
      </c>
      <c r="R8" s="175">
        <f t="shared" si="6"/>
        <v>3.6121253514141013E-2</v>
      </c>
      <c r="S8" s="174">
        <f t="shared" si="7"/>
        <v>390187.79000000004</v>
      </c>
      <c r="T8" s="175">
        <f t="shared" ref="T8" si="20">S8/F8</f>
        <v>8.3148753448879342E-2</v>
      </c>
      <c r="U8" s="174">
        <v>148052.13999999998</v>
      </c>
      <c r="V8" s="175">
        <f t="shared" ref="V8" si="21">U8/F8</f>
        <v>3.1549810634615108E-2</v>
      </c>
      <c r="W8" s="174">
        <v>127954.87000000001</v>
      </c>
      <c r="X8" s="175">
        <f t="shared" si="10"/>
        <v>2.7267096026283671E-2</v>
      </c>
      <c r="Y8" s="174">
        <v>246268.26</v>
      </c>
      <c r="Z8" s="175">
        <f t="shared" si="11"/>
        <v>5.2479599202795442E-2</v>
      </c>
      <c r="AA8" s="174">
        <v>471199.58</v>
      </c>
      <c r="AB8" s="175">
        <f t="shared" si="12"/>
        <v>0.10041231096092344</v>
      </c>
      <c r="AC8" s="174">
        <f t="shared" si="13"/>
        <v>717467.84000000008</v>
      </c>
      <c r="AD8" s="175">
        <f t="shared" si="14"/>
        <v>0.15289191016371889</v>
      </c>
      <c r="AE8" s="174">
        <v>1390723.68</v>
      </c>
      <c r="AF8" s="175">
        <f t="shared" si="15"/>
        <v>0.29636227310915636</v>
      </c>
      <c r="AG8" s="174">
        <v>0</v>
      </c>
      <c r="AH8" s="175">
        <f t="shared" si="16"/>
        <v>0</v>
      </c>
      <c r="AI8" s="174">
        <v>133540.96000000002</v>
      </c>
      <c r="AJ8" s="175">
        <f t="shared" si="17"/>
        <v>2.8457488017158764E-2</v>
      </c>
      <c r="AK8" s="174">
        <v>141571.74</v>
      </c>
      <c r="AL8" s="175">
        <f t="shared" si="18"/>
        <v>3.0168841789203215E-2</v>
      </c>
      <c r="AN8" s="72"/>
    </row>
    <row r="9" spans="1:40" s="73" customFormat="1" ht="14.25" customHeight="1">
      <c r="B9" s="504"/>
      <c r="C9" s="514"/>
      <c r="D9" s="173">
        <v>46079</v>
      </c>
      <c r="E9" s="173" t="s">
        <v>113</v>
      </c>
      <c r="F9" s="334">
        <f t="shared" si="0"/>
        <v>3909306.83</v>
      </c>
      <c r="G9" s="511"/>
      <c r="H9" s="506"/>
      <c r="I9" s="174">
        <v>569381.54</v>
      </c>
      <c r="J9" s="175">
        <f t="shared" si="1"/>
        <v>0.14564769785542775</v>
      </c>
      <c r="K9" s="174">
        <v>745558.51</v>
      </c>
      <c r="L9" s="175">
        <f t="shared" si="2"/>
        <v>0.19071373581592213</v>
      </c>
      <c r="M9" s="174">
        <f t="shared" si="3"/>
        <v>1314940.05</v>
      </c>
      <c r="N9" s="175">
        <f t="shared" ref="N9" si="22">M9/$F9</f>
        <v>0.33636143367134985</v>
      </c>
      <c r="O9" s="174">
        <v>181316.11</v>
      </c>
      <c r="P9" s="175">
        <f t="shared" si="5"/>
        <v>4.6380629069220435E-2</v>
      </c>
      <c r="Q9" s="174">
        <v>144695.62</v>
      </c>
      <c r="R9" s="175">
        <f t="shared" si="6"/>
        <v>3.7013114163771073E-2</v>
      </c>
      <c r="S9" s="174">
        <f t="shared" si="7"/>
        <v>326011.73</v>
      </c>
      <c r="T9" s="175">
        <f t="shared" ref="T9" si="23">S9/$F9</f>
        <v>8.3393743232991507E-2</v>
      </c>
      <c r="U9" s="174">
        <v>126261.09</v>
      </c>
      <c r="V9" s="175">
        <f t="shared" ref="V9" si="24">U9/$F9</f>
        <v>3.2297564629891175E-2</v>
      </c>
      <c r="W9" s="174">
        <v>117881.98000000001</v>
      </c>
      <c r="X9" s="175">
        <f t="shared" si="10"/>
        <v>3.0154189764634055E-2</v>
      </c>
      <c r="Y9" s="174">
        <v>228101.86000000002</v>
      </c>
      <c r="Z9" s="175">
        <f t="shared" si="11"/>
        <v>5.83484156959867E-2</v>
      </c>
      <c r="AA9" s="174">
        <v>422415.5</v>
      </c>
      <c r="AB9" s="175">
        <f t="shared" si="12"/>
        <v>0.10805381065471395</v>
      </c>
      <c r="AC9" s="174">
        <f t="shared" si="13"/>
        <v>650517.36</v>
      </c>
      <c r="AD9" s="175">
        <f t="shared" si="14"/>
        <v>0.16640222635070065</v>
      </c>
      <c r="AE9" s="174">
        <v>1113115.73</v>
      </c>
      <c r="AF9" s="175">
        <f t="shared" si="15"/>
        <v>0.28473480808872709</v>
      </c>
      <c r="AG9" s="174">
        <v>0</v>
      </c>
      <c r="AH9" s="175">
        <f t="shared" si="16"/>
        <v>0</v>
      </c>
      <c r="AI9" s="174">
        <v>126738.1</v>
      </c>
      <c r="AJ9" s="175">
        <f t="shared" si="17"/>
        <v>3.241958370405016E-2</v>
      </c>
      <c r="AK9" s="174">
        <v>133840.78999999998</v>
      </c>
      <c r="AL9" s="175">
        <f t="shared" si="18"/>
        <v>3.4236450557655507E-2</v>
      </c>
      <c r="AN9" s="72"/>
    </row>
    <row r="10" spans="1:40" s="73" customFormat="1" ht="14.25" customHeight="1">
      <c r="B10" s="504"/>
      <c r="C10" s="514"/>
      <c r="D10" s="173">
        <v>46080</v>
      </c>
      <c r="E10" s="173" t="s">
        <v>114</v>
      </c>
      <c r="F10" s="334">
        <f t="shared" si="0"/>
        <v>3610052.0600000005</v>
      </c>
      <c r="G10" s="511"/>
      <c r="H10" s="506"/>
      <c r="I10" s="174">
        <v>545361.13</v>
      </c>
      <c r="J10" s="175">
        <f t="shared" si="1"/>
        <v>0.15106738654622059</v>
      </c>
      <c r="K10" s="174">
        <v>729491.75000000012</v>
      </c>
      <c r="L10" s="175">
        <f t="shared" si="2"/>
        <v>0.20207236291212932</v>
      </c>
      <c r="M10" s="174">
        <f t="shared" si="3"/>
        <v>1274852.8800000001</v>
      </c>
      <c r="N10" s="175">
        <f t="shared" ref="N10" si="25">M10/F10</f>
        <v>0.35313974945834992</v>
      </c>
      <c r="O10" s="174">
        <v>174530.93</v>
      </c>
      <c r="P10" s="175">
        <f t="shared" si="5"/>
        <v>4.8345820807913768E-2</v>
      </c>
      <c r="Q10" s="174">
        <v>138334.66</v>
      </c>
      <c r="R10" s="175">
        <f t="shared" si="6"/>
        <v>3.8319297810901924E-2</v>
      </c>
      <c r="S10" s="174">
        <f t="shared" si="7"/>
        <v>312865.58999999997</v>
      </c>
      <c r="T10" s="175">
        <f t="shared" ref="T10" si="26">S10/F10</f>
        <v>8.6665118618815692E-2</v>
      </c>
      <c r="U10" s="174">
        <v>105159.82</v>
      </c>
      <c r="V10" s="175">
        <f t="shared" ref="V10" si="27">U10/F10</f>
        <v>2.9129723963038912E-2</v>
      </c>
      <c r="W10" s="174">
        <v>54549.87</v>
      </c>
      <c r="X10" s="175">
        <f t="shared" si="10"/>
        <v>1.5110549402991157E-2</v>
      </c>
      <c r="Y10" s="174">
        <v>204485.54</v>
      </c>
      <c r="Z10" s="175">
        <f t="shared" si="11"/>
        <v>5.6643377048695522E-2</v>
      </c>
      <c r="AA10" s="174">
        <v>465150.63999999996</v>
      </c>
      <c r="AB10" s="175">
        <f t="shared" si="12"/>
        <v>0.1288487346633998</v>
      </c>
      <c r="AC10" s="174">
        <f t="shared" si="13"/>
        <v>669636.17999999993</v>
      </c>
      <c r="AD10" s="175">
        <f t="shared" si="14"/>
        <v>0.18549211171209531</v>
      </c>
      <c r="AE10" s="174">
        <v>952067.01000000013</v>
      </c>
      <c r="AF10" s="175">
        <f t="shared" si="15"/>
        <v>0.26372667046801535</v>
      </c>
      <c r="AG10" s="174">
        <v>0</v>
      </c>
      <c r="AH10" s="175">
        <f t="shared" si="16"/>
        <v>0</v>
      </c>
      <c r="AI10" s="174">
        <v>118704.20000000001</v>
      </c>
      <c r="AJ10" s="175">
        <f t="shared" si="17"/>
        <v>3.288157567456243E-2</v>
      </c>
      <c r="AK10" s="174">
        <v>122216.51</v>
      </c>
      <c r="AL10" s="175">
        <f t="shared" si="18"/>
        <v>3.3854500702131141E-2</v>
      </c>
      <c r="AN10" s="72"/>
    </row>
    <row r="11" spans="1:40" s="73" customFormat="1" ht="14.25" customHeight="1">
      <c r="B11" s="504"/>
      <c r="C11" s="515"/>
      <c r="D11" s="173">
        <v>46081</v>
      </c>
      <c r="E11" s="173" t="s">
        <v>115</v>
      </c>
      <c r="F11" s="334">
        <f t="shared" si="0"/>
        <v>3915929.62</v>
      </c>
      <c r="G11" s="511"/>
      <c r="H11" s="507"/>
      <c r="I11" s="174">
        <v>533505.22</v>
      </c>
      <c r="J11" s="175">
        <f t="shared" si="1"/>
        <v>0.13623973660691072</v>
      </c>
      <c r="K11" s="174">
        <v>882554.59</v>
      </c>
      <c r="L11" s="175">
        <f t="shared" si="2"/>
        <v>0.22537549844933116</v>
      </c>
      <c r="M11" s="174">
        <f t="shared" si="3"/>
        <v>1416059.81</v>
      </c>
      <c r="N11" s="175">
        <f t="shared" ref="N11" si="28">M11/$F11</f>
        <v>0.36161523505624188</v>
      </c>
      <c r="O11" s="174">
        <v>166313.66999999998</v>
      </c>
      <c r="P11" s="175">
        <f t="shared" si="5"/>
        <v>4.2471056974716509E-2</v>
      </c>
      <c r="Q11" s="174">
        <v>136605.65</v>
      </c>
      <c r="R11" s="175">
        <f t="shared" si="6"/>
        <v>3.4884602956679285E-2</v>
      </c>
      <c r="S11" s="174">
        <f t="shared" si="7"/>
        <v>302919.31999999995</v>
      </c>
      <c r="T11" s="175">
        <f t="shared" ref="T11" si="29">S11/$F11</f>
        <v>7.7355659931395787E-2</v>
      </c>
      <c r="U11" s="174">
        <v>117254.27</v>
      </c>
      <c r="V11" s="175">
        <f t="shared" ref="V11" si="30">U11/$F11</f>
        <v>2.9942895143248258E-2</v>
      </c>
      <c r="W11" s="174">
        <v>65953.22</v>
      </c>
      <c r="X11" s="175">
        <f t="shared" si="10"/>
        <v>1.6842289417857311E-2</v>
      </c>
      <c r="Y11" s="174">
        <v>222027.47</v>
      </c>
      <c r="Z11" s="175">
        <f t="shared" si="11"/>
        <v>5.6698534331676778E-2</v>
      </c>
      <c r="AA11" s="174">
        <v>550814.38</v>
      </c>
      <c r="AB11" s="175">
        <f t="shared" si="12"/>
        <v>0.14065992840800851</v>
      </c>
      <c r="AC11" s="174">
        <f t="shared" si="13"/>
        <v>772841.85</v>
      </c>
      <c r="AD11" s="175">
        <f t="shared" si="14"/>
        <v>0.1973584627396853</v>
      </c>
      <c r="AE11" s="174">
        <v>1029063.2100000001</v>
      </c>
      <c r="AF11" s="175">
        <f t="shared" si="15"/>
        <v>0.26278899517096022</v>
      </c>
      <c r="AG11" s="174">
        <v>0</v>
      </c>
      <c r="AH11" s="175">
        <f t="shared" si="16"/>
        <v>0</v>
      </c>
      <c r="AI11" s="174">
        <v>70403.199999999997</v>
      </c>
      <c r="AJ11" s="175">
        <f t="shared" si="17"/>
        <v>1.7978668370449414E-2</v>
      </c>
      <c r="AK11" s="174">
        <v>141434.74</v>
      </c>
      <c r="AL11" s="175">
        <f t="shared" si="18"/>
        <v>3.6117794170161817E-2</v>
      </c>
      <c r="AN11" s="72"/>
    </row>
    <row r="12" spans="1:40" s="73" customFormat="1" ht="14.25" customHeight="1">
      <c r="B12" s="504"/>
      <c r="C12" s="516" t="s">
        <v>112</v>
      </c>
      <c r="D12" s="173">
        <v>46082</v>
      </c>
      <c r="E12" s="173" t="s">
        <v>116</v>
      </c>
      <c r="F12" s="334">
        <f t="shared" si="0"/>
        <v>5447490.2600000007</v>
      </c>
      <c r="G12" s="511"/>
      <c r="H12" s="512">
        <f>SUM(F12:F42)</f>
        <v>44825623.129999995</v>
      </c>
      <c r="I12" s="174">
        <v>880068.55</v>
      </c>
      <c r="J12" s="175">
        <f t="shared" si="1"/>
        <v>0.16155486434958766</v>
      </c>
      <c r="K12" s="174">
        <v>1018931.31</v>
      </c>
      <c r="L12" s="175">
        <f t="shared" si="2"/>
        <v>0.1870460085962595</v>
      </c>
      <c r="M12" s="174">
        <f t="shared" si="3"/>
        <v>1898999.86</v>
      </c>
      <c r="N12" s="175">
        <f t="shared" ref="N12" si="31">M12/F12</f>
        <v>0.34860087294584713</v>
      </c>
      <c r="O12" s="174">
        <v>229722.55</v>
      </c>
      <c r="P12" s="175">
        <f t="shared" si="5"/>
        <v>4.2170346165979186E-2</v>
      </c>
      <c r="Q12" s="174">
        <v>170790.6</v>
      </c>
      <c r="R12" s="175">
        <f t="shared" si="6"/>
        <v>3.1352162527776596E-2</v>
      </c>
      <c r="S12" s="174">
        <f t="shared" si="7"/>
        <v>400513.15</v>
      </c>
      <c r="T12" s="175">
        <f t="shared" ref="T12" si="32">S12/F12</f>
        <v>7.3522508693755789E-2</v>
      </c>
      <c r="U12" s="174">
        <v>173999.35999999999</v>
      </c>
      <c r="V12" s="175">
        <f t="shared" ref="V12" si="33">U12/F12</f>
        <v>3.1941197082562559E-2</v>
      </c>
      <c r="W12" s="174">
        <v>148402.32</v>
      </c>
      <c r="X12" s="175">
        <f t="shared" si="10"/>
        <v>2.7242328653562381E-2</v>
      </c>
      <c r="Y12" s="174">
        <v>296339.40000000002</v>
      </c>
      <c r="Z12" s="175">
        <f t="shared" si="11"/>
        <v>5.4399252840518157E-2</v>
      </c>
      <c r="AA12" s="174">
        <v>622748.12</v>
      </c>
      <c r="AB12" s="175">
        <f t="shared" si="12"/>
        <v>0.11431835400840164</v>
      </c>
      <c r="AC12" s="174">
        <f t="shared" si="13"/>
        <v>919087.52</v>
      </c>
      <c r="AD12" s="175">
        <f t="shared" si="14"/>
        <v>0.16871760684891979</v>
      </c>
      <c r="AE12" s="174">
        <v>1756824.69</v>
      </c>
      <c r="AF12" s="175">
        <f t="shared" si="15"/>
        <v>0.32250166703372862</v>
      </c>
      <c r="AG12" s="174">
        <v>0</v>
      </c>
      <c r="AH12" s="175">
        <f t="shared" si="16"/>
        <v>0</v>
      </c>
      <c r="AI12" s="174">
        <v>81107.360000000001</v>
      </c>
      <c r="AJ12" s="175">
        <f t="shared" si="17"/>
        <v>1.4888940801887728E-2</v>
      </c>
      <c r="AK12" s="174">
        <v>68556</v>
      </c>
      <c r="AL12" s="175">
        <f t="shared" si="18"/>
        <v>1.2584877939735865E-2</v>
      </c>
      <c r="AN12" s="72"/>
    </row>
    <row r="13" spans="1:40" s="73" customFormat="1" ht="14.25" customHeight="1">
      <c r="B13" s="505"/>
      <c r="C13" s="514"/>
      <c r="D13" s="173">
        <v>46083</v>
      </c>
      <c r="E13" s="173" t="s">
        <v>117</v>
      </c>
      <c r="F13" s="334">
        <f t="shared" si="0"/>
        <v>5524036.7599999998</v>
      </c>
      <c r="G13" s="511"/>
      <c r="H13" s="513"/>
      <c r="I13" s="174">
        <v>846957.79999999981</v>
      </c>
      <c r="J13" s="175">
        <f t="shared" si="1"/>
        <v>0.15332225993369383</v>
      </c>
      <c r="K13" s="174">
        <v>1097915.22</v>
      </c>
      <c r="L13" s="175">
        <f t="shared" si="2"/>
        <v>0.19875233777408824</v>
      </c>
      <c r="M13" s="174">
        <f t="shared" si="3"/>
        <v>1944873.0199999998</v>
      </c>
      <c r="N13" s="175">
        <f t="shared" ref="N13:N14" si="34">M13/$F13</f>
        <v>0.35207459770778204</v>
      </c>
      <c r="O13" s="174">
        <v>211406.03</v>
      </c>
      <c r="P13" s="175">
        <f t="shared" si="5"/>
        <v>3.8270206949165921E-2</v>
      </c>
      <c r="Q13" s="174">
        <v>168666.66</v>
      </c>
      <c r="R13" s="175">
        <f t="shared" si="6"/>
        <v>3.053322548852843E-2</v>
      </c>
      <c r="S13" s="174">
        <f t="shared" si="7"/>
        <v>380072.69</v>
      </c>
      <c r="T13" s="175">
        <f t="shared" ref="T13:T14" si="35">S13/$F13</f>
        <v>6.8803432437694351E-2</v>
      </c>
      <c r="U13" s="174">
        <v>130781.56</v>
      </c>
      <c r="V13" s="175">
        <f t="shared" ref="V13:V14" si="36">U13/$F13</f>
        <v>2.3674998136688722E-2</v>
      </c>
      <c r="W13" s="174">
        <v>113746.98000000001</v>
      </c>
      <c r="X13" s="175">
        <f t="shared" si="10"/>
        <v>2.0591278614156074E-2</v>
      </c>
      <c r="Y13" s="174">
        <v>253080.66</v>
      </c>
      <c r="Z13" s="175">
        <f t="shared" si="11"/>
        <v>4.5814441683766062E-2</v>
      </c>
      <c r="AA13" s="174">
        <v>1069349</v>
      </c>
      <c r="AB13" s="175">
        <f t="shared" si="12"/>
        <v>0.19358107964509635</v>
      </c>
      <c r="AC13" s="174">
        <f t="shared" si="13"/>
        <v>1322429.6599999999</v>
      </c>
      <c r="AD13" s="175">
        <f t="shared" si="14"/>
        <v>0.23939552132886241</v>
      </c>
      <c r="AE13" s="174">
        <v>1465668.83</v>
      </c>
      <c r="AF13" s="175">
        <f t="shared" si="15"/>
        <v>0.26532568367629766</v>
      </c>
      <c r="AG13" s="174">
        <v>0</v>
      </c>
      <c r="AH13" s="175">
        <f t="shared" si="16"/>
        <v>0</v>
      </c>
      <c r="AI13" s="174">
        <v>92529.919999999998</v>
      </c>
      <c r="AJ13" s="175">
        <f t="shared" si="17"/>
        <v>1.6750417135167651E-2</v>
      </c>
      <c r="AK13" s="174">
        <v>73934.099999999991</v>
      </c>
      <c r="AL13" s="175">
        <f t="shared" si="18"/>
        <v>1.3384070963351083E-2</v>
      </c>
      <c r="AN13" s="72"/>
    </row>
    <row r="14" spans="1:40" s="73" customFormat="1" ht="14.25" customHeight="1">
      <c r="B14" s="503">
        <f>D15+7</f>
        <v>46092</v>
      </c>
      <c r="C14" s="514"/>
      <c r="D14" s="173">
        <v>46084</v>
      </c>
      <c r="E14" s="173" t="s">
        <v>118</v>
      </c>
      <c r="F14" s="334">
        <f t="shared" si="0"/>
        <v>5503117.0600000005</v>
      </c>
      <c r="G14" s="511">
        <f t="shared" ref="G14" si="37">SUM(F14:F20)</f>
        <v>33854096.109999999</v>
      </c>
      <c r="H14" s="513"/>
      <c r="I14" s="174">
        <v>830881.12</v>
      </c>
      <c r="J14" s="175">
        <f t="shared" si="1"/>
        <v>0.15098372630292548</v>
      </c>
      <c r="K14" s="174">
        <v>1064969.9800000002</v>
      </c>
      <c r="L14" s="175">
        <f t="shared" si="2"/>
        <v>0.19352122958474741</v>
      </c>
      <c r="M14" s="174">
        <f t="shared" si="3"/>
        <v>1895851.1</v>
      </c>
      <c r="N14" s="175">
        <f t="shared" si="34"/>
        <v>0.34450495588767283</v>
      </c>
      <c r="O14" s="174">
        <v>287774.40000000002</v>
      </c>
      <c r="P14" s="175">
        <f t="shared" si="5"/>
        <v>5.2292981752417964E-2</v>
      </c>
      <c r="Q14" s="174">
        <v>169433.19</v>
      </c>
      <c r="R14" s="175">
        <f t="shared" si="6"/>
        <v>3.0788585478499705E-2</v>
      </c>
      <c r="S14" s="174">
        <f t="shared" si="7"/>
        <v>457207.59</v>
      </c>
      <c r="T14" s="175">
        <f t="shared" si="35"/>
        <v>8.3081567230917669E-2</v>
      </c>
      <c r="U14" s="174">
        <v>122084.54000000001</v>
      </c>
      <c r="V14" s="175">
        <f t="shared" si="36"/>
        <v>2.2184616221847187E-2</v>
      </c>
      <c r="W14" s="174">
        <v>86700.45</v>
      </c>
      <c r="X14" s="175">
        <f t="shared" si="10"/>
        <v>1.5754789341152046E-2</v>
      </c>
      <c r="Y14" s="174">
        <v>202214.74000000002</v>
      </c>
      <c r="Z14" s="175">
        <f t="shared" si="11"/>
        <v>3.6745491290712251E-2</v>
      </c>
      <c r="AA14" s="174">
        <v>974142.49999999988</v>
      </c>
      <c r="AB14" s="175">
        <f t="shared" si="12"/>
        <v>0.17701649617462431</v>
      </c>
      <c r="AC14" s="174">
        <f t="shared" si="13"/>
        <v>1176357.24</v>
      </c>
      <c r="AD14" s="175">
        <f t="shared" si="14"/>
        <v>0.21376198746533659</v>
      </c>
      <c r="AE14" s="174">
        <v>1623033.4400000002</v>
      </c>
      <c r="AF14" s="175">
        <f t="shared" si="15"/>
        <v>0.29492984108900638</v>
      </c>
      <c r="AG14" s="174">
        <v>0</v>
      </c>
      <c r="AH14" s="175">
        <f t="shared" si="16"/>
        <v>0</v>
      </c>
      <c r="AI14" s="174">
        <v>72558.400000000009</v>
      </c>
      <c r="AJ14" s="175">
        <f t="shared" si="17"/>
        <v>1.318496394114502E-2</v>
      </c>
      <c r="AK14" s="174">
        <v>69324.3</v>
      </c>
      <c r="AL14" s="175">
        <f t="shared" si="18"/>
        <v>1.2597278822922222E-2</v>
      </c>
      <c r="AN14" s="72"/>
    </row>
    <row r="15" spans="1:40" s="73" customFormat="1" ht="14.25" customHeight="1">
      <c r="B15" s="504"/>
      <c r="C15" s="514"/>
      <c r="D15" s="173">
        <v>46085</v>
      </c>
      <c r="E15" s="173" t="s">
        <v>112</v>
      </c>
      <c r="F15" s="334">
        <f t="shared" si="0"/>
        <v>5072703.08</v>
      </c>
      <c r="G15" s="511"/>
      <c r="H15" s="513"/>
      <c r="I15" s="174">
        <v>815697.95000000007</v>
      </c>
      <c r="J15" s="175">
        <f t="shared" si="1"/>
        <v>0.16080143803725253</v>
      </c>
      <c r="K15" s="174">
        <v>1020941.84</v>
      </c>
      <c r="L15" s="175">
        <f t="shared" si="2"/>
        <v>0.20126189605404618</v>
      </c>
      <c r="M15" s="174">
        <f t="shared" si="3"/>
        <v>1836639.79</v>
      </c>
      <c r="N15" s="175">
        <f t="shared" ref="N15" si="38">M15/F15</f>
        <v>0.36206333409129871</v>
      </c>
      <c r="O15" s="174">
        <v>271042.24</v>
      </c>
      <c r="P15" s="175">
        <f t="shared" si="5"/>
        <v>5.343152077412739E-2</v>
      </c>
      <c r="Q15" s="174">
        <v>176841.24000000002</v>
      </c>
      <c r="R15" s="175">
        <f t="shared" si="6"/>
        <v>3.4861342603951503E-2</v>
      </c>
      <c r="S15" s="174">
        <f t="shared" si="7"/>
        <v>447883.48</v>
      </c>
      <c r="T15" s="175">
        <f t="shared" ref="T15" si="39">S15/F15</f>
        <v>8.8292863378078887E-2</v>
      </c>
      <c r="U15" s="174">
        <v>113916.98</v>
      </c>
      <c r="V15" s="175">
        <f t="shared" ref="V15" si="40">U15/F15</f>
        <v>2.2456859430455764E-2</v>
      </c>
      <c r="W15" s="174">
        <v>80208.430000000008</v>
      </c>
      <c r="X15" s="175">
        <f t="shared" si="10"/>
        <v>1.5811773079373689E-2</v>
      </c>
      <c r="Y15" s="174">
        <v>188760.25</v>
      </c>
      <c r="Z15" s="175">
        <f t="shared" si="11"/>
        <v>3.7210979437022361E-2</v>
      </c>
      <c r="AA15" s="174">
        <v>879092.45</v>
      </c>
      <c r="AB15" s="175">
        <f t="shared" si="12"/>
        <v>0.17329862129442827</v>
      </c>
      <c r="AC15" s="174">
        <f t="shared" si="13"/>
        <v>1067852.7</v>
      </c>
      <c r="AD15" s="175">
        <f t="shared" si="14"/>
        <v>0.21050960073145064</v>
      </c>
      <c r="AE15" s="174">
        <v>1451322</v>
      </c>
      <c r="AF15" s="175">
        <f t="shared" si="15"/>
        <v>0.28610426770730685</v>
      </c>
      <c r="AG15" s="174">
        <v>0</v>
      </c>
      <c r="AH15" s="175">
        <f t="shared" si="16"/>
        <v>0</v>
      </c>
      <c r="AI15" s="174">
        <v>0</v>
      </c>
      <c r="AJ15" s="175">
        <f t="shared" si="17"/>
        <v>0</v>
      </c>
      <c r="AK15" s="174">
        <v>74879.7</v>
      </c>
      <c r="AL15" s="175">
        <f t="shared" si="18"/>
        <v>1.476130158203543E-2</v>
      </c>
      <c r="AN15" s="72"/>
    </row>
    <row r="16" spans="1:40" s="73" customFormat="1" ht="14.25" customHeight="1">
      <c r="B16" s="504"/>
      <c r="C16" s="514"/>
      <c r="D16" s="173">
        <v>46086</v>
      </c>
      <c r="E16" s="173" t="s">
        <v>113</v>
      </c>
      <c r="F16" s="334">
        <f t="shared" si="0"/>
        <v>4496569.9800000004</v>
      </c>
      <c r="G16" s="511"/>
      <c r="H16" s="513"/>
      <c r="I16" s="174">
        <v>759369.68</v>
      </c>
      <c r="J16" s="175">
        <f t="shared" si="1"/>
        <v>0.16887754074273298</v>
      </c>
      <c r="K16" s="174">
        <v>904680.64999999991</v>
      </c>
      <c r="L16" s="175">
        <f t="shared" si="2"/>
        <v>0.20119349949491941</v>
      </c>
      <c r="M16" s="174">
        <f t="shared" si="3"/>
        <v>1664050.33</v>
      </c>
      <c r="N16" s="175">
        <f t="shared" ref="N16" si="41">M16/$F16</f>
        <v>0.37007104023765242</v>
      </c>
      <c r="O16" s="174">
        <v>250314.84999999998</v>
      </c>
      <c r="P16" s="175">
        <f t="shared" si="5"/>
        <v>5.5667953821103427E-2</v>
      </c>
      <c r="Q16" s="174">
        <v>157714.79</v>
      </c>
      <c r="R16" s="175">
        <f t="shared" si="6"/>
        <v>3.5074465804266208E-2</v>
      </c>
      <c r="S16" s="174">
        <f t="shared" si="7"/>
        <v>408029.64</v>
      </c>
      <c r="T16" s="175">
        <f t="shared" ref="T16" si="42">S16/$F16</f>
        <v>9.0742419625369636E-2</v>
      </c>
      <c r="U16" s="174">
        <v>98671.55</v>
      </c>
      <c r="V16" s="175">
        <f t="shared" ref="V16" si="43">U16/$F16</f>
        <v>2.1943737212781016E-2</v>
      </c>
      <c r="W16" s="174">
        <v>81953.75</v>
      </c>
      <c r="X16" s="175">
        <f t="shared" si="10"/>
        <v>1.8225836663171423E-2</v>
      </c>
      <c r="Y16" s="174">
        <v>185070.2</v>
      </c>
      <c r="Z16" s="175">
        <f t="shared" si="11"/>
        <v>4.1158082899445947E-2</v>
      </c>
      <c r="AA16" s="174">
        <v>699113.47</v>
      </c>
      <c r="AB16" s="175">
        <f t="shared" si="12"/>
        <v>0.15547705764828326</v>
      </c>
      <c r="AC16" s="174">
        <f t="shared" si="13"/>
        <v>884183.66999999993</v>
      </c>
      <c r="AD16" s="175">
        <f t="shared" si="14"/>
        <v>0.19663514054772918</v>
      </c>
      <c r="AE16" s="174">
        <v>1289233.8400000001</v>
      </c>
      <c r="AF16" s="175">
        <f t="shared" si="15"/>
        <v>0.28671495067002156</v>
      </c>
      <c r="AG16" s="174">
        <v>0</v>
      </c>
      <c r="AH16" s="175">
        <f t="shared" si="16"/>
        <v>0</v>
      </c>
      <c r="AI16" s="174">
        <v>0</v>
      </c>
      <c r="AJ16" s="175">
        <f t="shared" si="17"/>
        <v>0</v>
      </c>
      <c r="AK16" s="174">
        <v>70447.199999999997</v>
      </c>
      <c r="AL16" s="175">
        <f t="shared" si="18"/>
        <v>1.5666875043274648E-2</v>
      </c>
      <c r="AN16" s="72"/>
    </row>
    <row r="17" spans="2:40" s="73" customFormat="1" ht="14.25" customHeight="1">
      <c r="B17" s="504"/>
      <c r="C17" s="514"/>
      <c r="D17" s="173">
        <v>46087</v>
      </c>
      <c r="E17" s="173" t="s">
        <v>114</v>
      </c>
      <c r="F17" s="334">
        <f t="shared" si="0"/>
        <v>3821772.9</v>
      </c>
      <c r="G17" s="511"/>
      <c r="H17" s="513"/>
      <c r="I17" s="174">
        <v>565614.91</v>
      </c>
      <c r="J17" s="175">
        <f t="shared" si="1"/>
        <v>0.14799804300250285</v>
      </c>
      <c r="K17" s="174">
        <v>832303.86</v>
      </c>
      <c r="L17" s="175">
        <f t="shared" si="2"/>
        <v>0.21777951798234793</v>
      </c>
      <c r="M17" s="174">
        <f t="shared" si="3"/>
        <v>1397918.77</v>
      </c>
      <c r="N17" s="175">
        <f t="shared" ref="N17" si="44">M17/F17</f>
        <v>0.36577756098485081</v>
      </c>
      <c r="O17" s="174">
        <v>196738.65</v>
      </c>
      <c r="P17" s="175">
        <f t="shared" si="5"/>
        <v>5.147837277301328E-2</v>
      </c>
      <c r="Q17" s="174">
        <v>127782.41</v>
      </c>
      <c r="R17" s="175">
        <f t="shared" si="6"/>
        <v>3.3435374980025634E-2</v>
      </c>
      <c r="S17" s="174">
        <f t="shared" si="7"/>
        <v>324521.06</v>
      </c>
      <c r="T17" s="175">
        <f t="shared" ref="T17" si="45">S17/F17</f>
        <v>8.4913747753038907E-2</v>
      </c>
      <c r="U17" s="174">
        <v>108285.89</v>
      </c>
      <c r="V17" s="175">
        <f t="shared" ref="V17" si="46">U17/F17</f>
        <v>2.8333941558903199E-2</v>
      </c>
      <c r="W17" s="174">
        <v>79685.59</v>
      </c>
      <c r="X17" s="175">
        <f t="shared" si="10"/>
        <v>2.0850425204490826E-2</v>
      </c>
      <c r="Y17" s="174">
        <v>196026.81</v>
      </c>
      <c r="Z17" s="175">
        <f t="shared" si="11"/>
        <v>5.1292113667978548E-2</v>
      </c>
      <c r="AA17" s="174">
        <v>672018.1399999999</v>
      </c>
      <c r="AB17" s="175">
        <f t="shared" si="12"/>
        <v>0.17583937025666802</v>
      </c>
      <c r="AC17" s="174">
        <f t="shared" si="13"/>
        <v>868044.95</v>
      </c>
      <c r="AD17" s="175">
        <f t="shared" si="14"/>
        <v>0.22713148392464658</v>
      </c>
      <c r="AE17" s="174">
        <v>974997.0399999998</v>
      </c>
      <c r="AF17" s="175">
        <f t="shared" si="15"/>
        <v>0.2551164251544093</v>
      </c>
      <c r="AG17" s="174">
        <v>0</v>
      </c>
      <c r="AH17" s="175">
        <f t="shared" si="16"/>
        <v>0</v>
      </c>
      <c r="AI17" s="174">
        <v>0</v>
      </c>
      <c r="AJ17" s="175">
        <f t="shared" si="17"/>
        <v>0</v>
      </c>
      <c r="AK17" s="174">
        <v>68319.599999999991</v>
      </c>
      <c r="AL17" s="175">
        <f t="shared" si="18"/>
        <v>1.7876415419660334E-2</v>
      </c>
      <c r="AN17" s="72"/>
    </row>
    <row r="18" spans="2:40" s="73" customFormat="1" ht="14.25" customHeight="1">
      <c r="B18" s="504"/>
      <c r="C18" s="514"/>
      <c r="D18" s="173">
        <v>46088</v>
      </c>
      <c r="E18" s="173" t="s">
        <v>115</v>
      </c>
      <c r="F18" s="334">
        <f t="shared" si="0"/>
        <v>4127790.8299999996</v>
      </c>
      <c r="G18" s="511"/>
      <c r="H18" s="513"/>
      <c r="I18" s="174">
        <v>535411.80000000005</v>
      </c>
      <c r="J18" s="175">
        <f t="shared" si="1"/>
        <v>0.12970904342069098</v>
      </c>
      <c r="K18" s="174">
        <v>954382.0199999999</v>
      </c>
      <c r="L18" s="175">
        <f t="shared" si="2"/>
        <v>0.23120891036041183</v>
      </c>
      <c r="M18" s="174">
        <f t="shared" si="3"/>
        <v>1489793.8199999998</v>
      </c>
      <c r="N18" s="175">
        <f t="shared" ref="N18" si="47">M18/$F18</f>
        <v>0.36091795378110281</v>
      </c>
      <c r="O18" s="174">
        <v>191833.53999999998</v>
      </c>
      <c r="P18" s="175">
        <f t="shared" si="5"/>
        <v>4.6473658162567315E-2</v>
      </c>
      <c r="Q18" s="174">
        <v>123847.84999999999</v>
      </c>
      <c r="R18" s="175">
        <f t="shared" si="6"/>
        <v>3.0003421951494573E-2</v>
      </c>
      <c r="S18" s="174">
        <f t="shared" si="7"/>
        <v>315681.38999999996</v>
      </c>
      <c r="T18" s="175">
        <f t="shared" ref="T18" si="48">S18/$F18</f>
        <v>7.6477080114061874E-2</v>
      </c>
      <c r="U18" s="174">
        <v>101929.25</v>
      </c>
      <c r="V18" s="175">
        <f t="shared" ref="V18" si="49">U18/$F18</f>
        <v>2.4693414515870711E-2</v>
      </c>
      <c r="W18" s="174">
        <v>65524.79</v>
      </c>
      <c r="X18" s="175">
        <f t="shared" si="10"/>
        <v>1.5874057746283622E-2</v>
      </c>
      <c r="Y18" s="174">
        <v>216407.24000000002</v>
      </c>
      <c r="Z18" s="175">
        <f t="shared" si="11"/>
        <v>5.2426891020541377E-2</v>
      </c>
      <c r="AA18" s="174">
        <v>773297.12999999989</v>
      </c>
      <c r="AB18" s="175">
        <f t="shared" si="12"/>
        <v>0.18733922377554194</v>
      </c>
      <c r="AC18" s="174">
        <f t="shared" si="13"/>
        <v>989704.36999999988</v>
      </c>
      <c r="AD18" s="175">
        <f t="shared" si="14"/>
        <v>0.23976611479608331</v>
      </c>
      <c r="AE18" s="174">
        <v>1094887.31</v>
      </c>
      <c r="AF18" s="175">
        <f t="shared" si="15"/>
        <v>0.26524776934978561</v>
      </c>
      <c r="AG18" s="174">
        <v>0</v>
      </c>
      <c r="AH18" s="175">
        <f t="shared" si="16"/>
        <v>0</v>
      </c>
      <c r="AI18" s="174">
        <v>0</v>
      </c>
      <c r="AJ18" s="175">
        <f t="shared" si="17"/>
        <v>0</v>
      </c>
      <c r="AK18" s="174">
        <v>70269.899999999994</v>
      </c>
      <c r="AL18" s="175">
        <f t="shared" si="18"/>
        <v>1.7023609696812086E-2</v>
      </c>
      <c r="AN18" s="72"/>
    </row>
    <row r="19" spans="2:40" s="73" customFormat="1" ht="14.25" customHeight="1">
      <c r="B19" s="504"/>
      <c r="C19" s="514"/>
      <c r="D19" s="173">
        <v>46089</v>
      </c>
      <c r="E19" s="173" t="s">
        <v>116</v>
      </c>
      <c r="F19" s="334">
        <f t="shared" si="0"/>
        <v>5624945.9799999995</v>
      </c>
      <c r="G19" s="511"/>
      <c r="H19" s="513"/>
      <c r="I19" s="174">
        <v>852217.39</v>
      </c>
      <c r="J19" s="175">
        <f t="shared" si="1"/>
        <v>0.15150676878144884</v>
      </c>
      <c r="K19" s="174">
        <v>1075261.6499999999</v>
      </c>
      <c r="L19" s="175">
        <f t="shared" si="2"/>
        <v>0.19115946247718454</v>
      </c>
      <c r="M19" s="174">
        <f t="shared" si="3"/>
        <v>1927479.04</v>
      </c>
      <c r="N19" s="175">
        <f t="shared" ref="N19" si="50">M19/F19</f>
        <v>0.34266623125863338</v>
      </c>
      <c r="O19" s="174">
        <v>281846.31</v>
      </c>
      <c r="P19" s="175">
        <f t="shared" si="5"/>
        <v>5.0106491867145012E-2</v>
      </c>
      <c r="Q19" s="174">
        <v>159148.46</v>
      </c>
      <c r="R19" s="175">
        <f t="shared" si="6"/>
        <v>2.8293331272134282E-2</v>
      </c>
      <c r="S19" s="174">
        <f t="shared" si="7"/>
        <v>440994.77</v>
      </c>
      <c r="T19" s="175">
        <f t="shared" ref="T19" si="51">S19/F19</f>
        <v>7.839982313927929E-2</v>
      </c>
      <c r="U19" s="174">
        <v>129839.87</v>
      </c>
      <c r="V19" s="175">
        <f t="shared" ref="V19" si="52">U19/F19</f>
        <v>2.3082865233134204E-2</v>
      </c>
      <c r="W19" s="174">
        <v>81957.960000000006</v>
      </c>
      <c r="X19" s="175">
        <f t="shared" si="10"/>
        <v>1.4570443928067734E-2</v>
      </c>
      <c r="Y19" s="174">
        <v>246041.18000000002</v>
      </c>
      <c r="Z19" s="175">
        <f t="shared" si="11"/>
        <v>4.3741074292059257E-2</v>
      </c>
      <c r="AA19" s="174">
        <v>937191.64</v>
      </c>
      <c r="AB19" s="175">
        <f t="shared" si="12"/>
        <v>0.16661344719260754</v>
      </c>
      <c r="AC19" s="174">
        <f t="shared" si="13"/>
        <v>1183232.82</v>
      </c>
      <c r="AD19" s="175">
        <f t="shared" si="14"/>
        <v>0.2103545214846668</v>
      </c>
      <c r="AE19" s="174">
        <v>1792767.3199999998</v>
      </c>
      <c r="AF19" s="175">
        <f t="shared" si="15"/>
        <v>0.31871725104104909</v>
      </c>
      <c r="AG19" s="174">
        <v>0</v>
      </c>
      <c r="AH19" s="175">
        <f t="shared" si="16"/>
        <v>0</v>
      </c>
      <c r="AI19" s="174">
        <v>0</v>
      </c>
      <c r="AJ19" s="175">
        <f t="shared" si="17"/>
        <v>0</v>
      </c>
      <c r="AK19" s="174">
        <v>68674.2</v>
      </c>
      <c r="AL19" s="175">
        <f t="shared" si="18"/>
        <v>1.2208863915169546E-2</v>
      </c>
      <c r="AN19" s="72"/>
    </row>
    <row r="20" spans="2:40" s="73" customFormat="1" ht="14.25" customHeight="1">
      <c r="B20" s="505"/>
      <c r="C20" s="514"/>
      <c r="D20" s="173">
        <v>46090</v>
      </c>
      <c r="E20" s="173" t="s">
        <v>117</v>
      </c>
      <c r="F20" s="334">
        <f t="shared" si="0"/>
        <v>5207196.28</v>
      </c>
      <c r="G20" s="511"/>
      <c r="H20" s="513"/>
      <c r="I20" s="174">
        <v>822660.51</v>
      </c>
      <c r="J20" s="175">
        <f t="shared" si="1"/>
        <v>0.15798530836252633</v>
      </c>
      <c r="K20" s="174">
        <v>1054563.19</v>
      </c>
      <c r="L20" s="175">
        <f t="shared" si="2"/>
        <v>0.20252034555532442</v>
      </c>
      <c r="M20" s="174">
        <f t="shared" si="3"/>
        <v>1877223.7</v>
      </c>
      <c r="N20" s="175">
        <f t="shared" ref="N20" si="53">M20/$F20</f>
        <v>0.36050565391785078</v>
      </c>
      <c r="O20" s="174">
        <v>254532.38</v>
      </c>
      <c r="P20" s="175">
        <f t="shared" si="5"/>
        <v>4.8880888353991528E-2</v>
      </c>
      <c r="Q20" s="174">
        <v>160772.09</v>
      </c>
      <c r="R20" s="175">
        <f t="shared" si="6"/>
        <v>3.0874981728170998E-2</v>
      </c>
      <c r="S20" s="174">
        <f t="shared" si="7"/>
        <v>415304.47</v>
      </c>
      <c r="T20" s="175">
        <f t="shared" ref="T20" si="54">S20/$F20</f>
        <v>7.9755870082162519E-2</v>
      </c>
      <c r="U20" s="174">
        <v>135905.56</v>
      </c>
      <c r="V20" s="175">
        <f t="shared" ref="V20" si="55">U20/$F20</f>
        <v>2.609956542679048E-2</v>
      </c>
      <c r="W20" s="174">
        <v>87841.760000000009</v>
      </c>
      <c r="X20" s="175">
        <f t="shared" si="10"/>
        <v>1.686930072856789E-2</v>
      </c>
      <c r="Y20" s="174">
        <v>235368.42</v>
      </c>
      <c r="Z20" s="175">
        <f t="shared" si="11"/>
        <v>4.5200604575635468E-2</v>
      </c>
      <c r="AA20" s="174">
        <v>909672.17999999993</v>
      </c>
      <c r="AB20" s="175">
        <f t="shared" si="12"/>
        <v>0.17469519700916669</v>
      </c>
      <c r="AC20" s="174">
        <f t="shared" si="13"/>
        <v>1145040.5999999999</v>
      </c>
      <c r="AD20" s="175">
        <f t="shared" si="14"/>
        <v>0.21989580158480213</v>
      </c>
      <c r="AE20" s="174">
        <v>1470113.9899999998</v>
      </c>
      <c r="AF20" s="175">
        <f t="shared" si="15"/>
        <v>0.28232352132499211</v>
      </c>
      <c r="AG20" s="174">
        <v>0</v>
      </c>
      <c r="AH20" s="175">
        <f t="shared" si="16"/>
        <v>0</v>
      </c>
      <c r="AI20" s="174">
        <v>0</v>
      </c>
      <c r="AJ20" s="175">
        <f t="shared" si="17"/>
        <v>0</v>
      </c>
      <c r="AK20" s="174">
        <v>75766.2</v>
      </c>
      <c r="AL20" s="175">
        <f t="shared" si="18"/>
        <v>1.4550286934833959E-2</v>
      </c>
      <c r="AN20" s="72"/>
    </row>
    <row r="21" spans="2:40" s="73" customFormat="1" ht="14.25" customHeight="1">
      <c r="B21" s="503">
        <f>B14+7</f>
        <v>46099</v>
      </c>
      <c r="C21" s="514"/>
      <c r="D21" s="173">
        <v>46091</v>
      </c>
      <c r="E21" s="173" t="s">
        <v>118</v>
      </c>
      <c r="F21" s="334"/>
      <c r="G21" s="508">
        <f t="shared" ref="G21" si="56">SUM(F21:F27)</f>
        <v>0</v>
      </c>
      <c r="H21" s="513"/>
      <c r="I21" s="174"/>
      <c r="J21" s="175" t="e">
        <f t="shared" ref="J21:J41" si="57">I21/$F21</f>
        <v>#DIV/0!</v>
      </c>
      <c r="K21" s="174"/>
      <c r="L21" s="175" t="e">
        <f t="shared" ref="L21:L41" si="58">K21/$F21</f>
        <v>#DIV/0!</v>
      </c>
      <c r="M21" s="174">
        <f t="shared" ref="M21:M41" si="59">I21+K21</f>
        <v>0</v>
      </c>
      <c r="N21" s="175" t="e">
        <f t="shared" ref="N21" si="60">M21/F21</f>
        <v>#DIV/0!</v>
      </c>
      <c r="O21" s="174"/>
      <c r="P21" s="175" t="e">
        <f t="shared" ref="P21:P41" si="61">O21/$F21</f>
        <v>#DIV/0!</v>
      </c>
      <c r="Q21" s="174"/>
      <c r="R21" s="175" t="e">
        <f t="shared" ref="R21:R41" si="62">Q21/$F21</f>
        <v>#DIV/0!</v>
      </c>
      <c r="S21" s="174">
        <f t="shared" ref="S21:S41" si="63">O21+Q21</f>
        <v>0</v>
      </c>
      <c r="T21" s="175" t="e">
        <f t="shared" ref="T21" si="64">S21/F21</f>
        <v>#DIV/0!</v>
      </c>
      <c r="U21" s="174"/>
      <c r="V21" s="175" t="e">
        <f t="shared" ref="V21" si="65">U21/F21</f>
        <v>#DIV/0!</v>
      </c>
      <c r="W21" s="174"/>
      <c r="X21" s="175" t="e">
        <f t="shared" ref="X21:X41" si="66">W21/$F21</f>
        <v>#DIV/0!</v>
      </c>
      <c r="Y21" s="174"/>
      <c r="Z21" s="175" t="e">
        <f t="shared" ref="Z21:Z41" si="67">Y21/$F21</f>
        <v>#DIV/0!</v>
      </c>
      <c r="AA21" s="174"/>
      <c r="AB21" s="175" t="e">
        <f t="shared" ref="AB21:AB41" si="68">AA21/$F21</f>
        <v>#DIV/0!</v>
      </c>
      <c r="AC21" s="174">
        <f t="shared" ref="AC21:AC41" si="69">Y21+AA21</f>
        <v>0</v>
      </c>
      <c r="AD21" s="175" t="e">
        <f t="shared" ref="AD21:AD41" si="70">AC21/$F21</f>
        <v>#DIV/0!</v>
      </c>
      <c r="AE21" s="174"/>
      <c r="AF21" s="175" t="e">
        <f t="shared" ref="AF21:AF41" si="71">AE21/F21</f>
        <v>#DIV/0!</v>
      </c>
      <c r="AG21" s="174"/>
      <c r="AH21" s="175" t="e">
        <f t="shared" ref="AH21:AH41" si="72">AG21/$F21</f>
        <v>#DIV/0!</v>
      </c>
      <c r="AI21" s="174"/>
      <c r="AJ21" s="175" t="e">
        <f t="shared" ref="AJ21:AJ41" si="73">AI21/$F21</f>
        <v>#DIV/0!</v>
      </c>
      <c r="AK21" s="174"/>
      <c r="AL21" s="175" t="e">
        <f t="shared" ref="AL21:AL41" si="74">AK21/$F21</f>
        <v>#DIV/0!</v>
      </c>
      <c r="AN21" s="72"/>
    </row>
    <row r="22" spans="2:40" s="73" customFormat="1" ht="14.25" customHeight="1">
      <c r="B22" s="504"/>
      <c r="C22" s="514"/>
      <c r="D22" s="173">
        <v>46092</v>
      </c>
      <c r="E22" s="173" t="s">
        <v>112</v>
      </c>
      <c r="F22" s="334"/>
      <c r="G22" s="509"/>
      <c r="H22" s="513"/>
      <c r="I22" s="174"/>
      <c r="J22" s="175" t="e">
        <f t="shared" si="57"/>
        <v>#DIV/0!</v>
      </c>
      <c r="K22" s="174"/>
      <c r="L22" s="175" t="e">
        <f t="shared" si="58"/>
        <v>#DIV/0!</v>
      </c>
      <c r="M22" s="174">
        <f t="shared" si="59"/>
        <v>0</v>
      </c>
      <c r="N22" s="175" t="e">
        <f t="shared" ref="N22" si="75">M22/$F22</f>
        <v>#DIV/0!</v>
      </c>
      <c r="O22" s="174"/>
      <c r="P22" s="175" t="e">
        <f t="shared" si="61"/>
        <v>#DIV/0!</v>
      </c>
      <c r="Q22" s="174"/>
      <c r="R22" s="175" t="e">
        <f t="shared" si="62"/>
        <v>#DIV/0!</v>
      </c>
      <c r="S22" s="174">
        <f t="shared" si="63"/>
        <v>0</v>
      </c>
      <c r="T22" s="175" t="e">
        <f t="shared" ref="T22" si="76">S22/$F22</f>
        <v>#DIV/0!</v>
      </c>
      <c r="U22" s="174"/>
      <c r="V22" s="175" t="e">
        <f t="shared" ref="V22" si="77">U22/$F22</f>
        <v>#DIV/0!</v>
      </c>
      <c r="W22" s="174"/>
      <c r="X22" s="175" t="e">
        <f t="shared" si="66"/>
        <v>#DIV/0!</v>
      </c>
      <c r="Y22" s="174"/>
      <c r="Z22" s="175" t="e">
        <f t="shared" si="67"/>
        <v>#DIV/0!</v>
      </c>
      <c r="AA22" s="174"/>
      <c r="AB22" s="175" t="e">
        <f t="shared" si="68"/>
        <v>#DIV/0!</v>
      </c>
      <c r="AC22" s="174">
        <f t="shared" si="69"/>
        <v>0</v>
      </c>
      <c r="AD22" s="175" t="e">
        <f t="shared" si="70"/>
        <v>#DIV/0!</v>
      </c>
      <c r="AE22" s="174"/>
      <c r="AF22" s="175" t="e">
        <f t="shared" si="71"/>
        <v>#DIV/0!</v>
      </c>
      <c r="AG22" s="174"/>
      <c r="AH22" s="175" t="e">
        <f t="shared" si="72"/>
        <v>#DIV/0!</v>
      </c>
      <c r="AI22" s="174"/>
      <c r="AJ22" s="175" t="e">
        <f t="shared" si="73"/>
        <v>#DIV/0!</v>
      </c>
      <c r="AK22" s="174"/>
      <c r="AL22" s="175" t="e">
        <f t="shared" si="74"/>
        <v>#DIV/0!</v>
      </c>
      <c r="AN22" s="72"/>
    </row>
    <row r="23" spans="2:40" s="73" customFormat="1" ht="14.25" customHeight="1">
      <c r="B23" s="504"/>
      <c r="C23" s="514"/>
      <c r="D23" s="173">
        <v>46093</v>
      </c>
      <c r="E23" s="173" t="s">
        <v>113</v>
      </c>
      <c r="F23" s="334"/>
      <c r="G23" s="509"/>
      <c r="H23" s="513"/>
      <c r="I23" s="174"/>
      <c r="J23" s="175" t="e">
        <f t="shared" si="57"/>
        <v>#DIV/0!</v>
      </c>
      <c r="K23" s="174"/>
      <c r="L23" s="175" t="e">
        <f t="shared" si="58"/>
        <v>#DIV/0!</v>
      </c>
      <c r="M23" s="174">
        <f t="shared" si="59"/>
        <v>0</v>
      </c>
      <c r="N23" s="175" t="e">
        <f t="shared" ref="N23" si="78">M23/F23</f>
        <v>#DIV/0!</v>
      </c>
      <c r="O23" s="174"/>
      <c r="P23" s="175" t="e">
        <f t="shared" si="61"/>
        <v>#DIV/0!</v>
      </c>
      <c r="Q23" s="174"/>
      <c r="R23" s="175" t="e">
        <f t="shared" si="62"/>
        <v>#DIV/0!</v>
      </c>
      <c r="S23" s="174">
        <f t="shared" si="63"/>
        <v>0</v>
      </c>
      <c r="T23" s="175" t="e">
        <f t="shared" ref="T23" si="79">S23/F23</f>
        <v>#DIV/0!</v>
      </c>
      <c r="U23" s="174"/>
      <c r="V23" s="175" t="e">
        <f t="shared" ref="V23" si="80">U23/F23</f>
        <v>#DIV/0!</v>
      </c>
      <c r="W23" s="174"/>
      <c r="X23" s="175" t="e">
        <f t="shared" si="66"/>
        <v>#DIV/0!</v>
      </c>
      <c r="Y23" s="174"/>
      <c r="Z23" s="175" t="e">
        <f t="shared" si="67"/>
        <v>#DIV/0!</v>
      </c>
      <c r="AA23" s="174"/>
      <c r="AB23" s="175" t="e">
        <f t="shared" si="68"/>
        <v>#DIV/0!</v>
      </c>
      <c r="AC23" s="174">
        <f t="shared" si="69"/>
        <v>0</v>
      </c>
      <c r="AD23" s="175" t="e">
        <f t="shared" si="70"/>
        <v>#DIV/0!</v>
      </c>
      <c r="AE23" s="174"/>
      <c r="AF23" s="175" t="e">
        <f t="shared" si="71"/>
        <v>#DIV/0!</v>
      </c>
      <c r="AG23" s="174"/>
      <c r="AH23" s="175" t="e">
        <f t="shared" si="72"/>
        <v>#DIV/0!</v>
      </c>
      <c r="AI23" s="174"/>
      <c r="AJ23" s="175" t="e">
        <f t="shared" si="73"/>
        <v>#DIV/0!</v>
      </c>
      <c r="AK23" s="174"/>
      <c r="AL23" s="175" t="e">
        <f t="shared" si="74"/>
        <v>#DIV/0!</v>
      </c>
      <c r="AN23" s="72"/>
    </row>
    <row r="24" spans="2:40" s="73" customFormat="1" ht="14.25" customHeight="1">
      <c r="B24" s="504"/>
      <c r="C24" s="514"/>
      <c r="D24" s="173">
        <v>46094</v>
      </c>
      <c r="E24" s="173" t="s">
        <v>114</v>
      </c>
      <c r="F24" s="334"/>
      <c r="G24" s="509"/>
      <c r="H24" s="513"/>
      <c r="I24" s="174"/>
      <c r="J24" s="175" t="e">
        <f t="shared" si="57"/>
        <v>#DIV/0!</v>
      </c>
      <c r="K24" s="174"/>
      <c r="L24" s="175" t="e">
        <f t="shared" si="58"/>
        <v>#DIV/0!</v>
      </c>
      <c r="M24" s="174">
        <f t="shared" si="59"/>
        <v>0</v>
      </c>
      <c r="N24" s="175" t="e">
        <f t="shared" ref="N24:N25" si="81">M24/$F24</f>
        <v>#DIV/0!</v>
      </c>
      <c r="O24" s="174"/>
      <c r="P24" s="175" t="e">
        <f t="shared" si="61"/>
        <v>#DIV/0!</v>
      </c>
      <c r="Q24" s="174"/>
      <c r="R24" s="175" t="e">
        <f t="shared" si="62"/>
        <v>#DIV/0!</v>
      </c>
      <c r="S24" s="174">
        <f t="shared" si="63"/>
        <v>0</v>
      </c>
      <c r="T24" s="175" t="e">
        <f t="shared" ref="T24:T25" si="82">S24/$F24</f>
        <v>#DIV/0!</v>
      </c>
      <c r="U24" s="174"/>
      <c r="V24" s="175" t="e">
        <f t="shared" ref="V24:V25" si="83">U24/$F24</f>
        <v>#DIV/0!</v>
      </c>
      <c r="W24" s="174"/>
      <c r="X24" s="175" t="e">
        <f t="shared" si="66"/>
        <v>#DIV/0!</v>
      </c>
      <c r="Y24" s="174"/>
      <c r="Z24" s="175" t="e">
        <f t="shared" si="67"/>
        <v>#DIV/0!</v>
      </c>
      <c r="AA24" s="174"/>
      <c r="AB24" s="175" t="e">
        <f t="shared" si="68"/>
        <v>#DIV/0!</v>
      </c>
      <c r="AC24" s="174">
        <f t="shared" si="69"/>
        <v>0</v>
      </c>
      <c r="AD24" s="175" t="e">
        <f t="shared" si="70"/>
        <v>#DIV/0!</v>
      </c>
      <c r="AE24" s="174"/>
      <c r="AF24" s="175" t="e">
        <f t="shared" si="71"/>
        <v>#DIV/0!</v>
      </c>
      <c r="AG24" s="174"/>
      <c r="AH24" s="175" t="e">
        <f t="shared" si="72"/>
        <v>#DIV/0!</v>
      </c>
      <c r="AI24" s="174"/>
      <c r="AJ24" s="175" t="e">
        <f t="shared" si="73"/>
        <v>#DIV/0!</v>
      </c>
      <c r="AK24" s="174"/>
      <c r="AL24" s="175" t="e">
        <f t="shared" si="74"/>
        <v>#DIV/0!</v>
      </c>
      <c r="AN24" s="72"/>
    </row>
    <row r="25" spans="2:40" s="73" customFormat="1" ht="14.25" customHeight="1" collapsed="1">
      <c r="B25" s="504"/>
      <c r="C25" s="514"/>
      <c r="D25" s="173">
        <v>46095</v>
      </c>
      <c r="E25" s="173" t="s">
        <v>115</v>
      </c>
      <c r="F25" s="334"/>
      <c r="G25" s="509"/>
      <c r="H25" s="513"/>
      <c r="I25" s="174"/>
      <c r="J25" s="175" t="e">
        <f t="shared" si="57"/>
        <v>#DIV/0!</v>
      </c>
      <c r="K25" s="174"/>
      <c r="L25" s="175" t="e">
        <f t="shared" si="58"/>
        <v>#DIV/0!</v>
      </c>
      <c r="M25" s="174">
        <f t="shared" si="59"/>
        <v>0</v>
      </c>
      <c r="N25" s="175" t="e">
        <f t="shared" si="81"/>
        <v>#DIV/0!</v>
      </c>
      <c r="O25" s="174"/>
      <c r="P25" s="175" t="e">
        <f t="shared" si="61"/>
        <v>#DIV/0!</v>
      </c>
      <c r="Q25" s="174"/>
      <c r="R25" s="175" t="e">
        <f t="shared" si="62"/>
        <v>#DIV/0!</v>
      </c>
      <c r="S25" s="174">
        <f t="shared" si="63"/>
        <v>0</v>
      </c>
      <c r="T25" s="175" t="e">
        <f t="shared" si="82"/>
        <v>#DIV/0!</v>
      </c>
      <c r="U25" s="174"/>
      <c r="V25" s="175" t="e">
        <f t="shared" si="83"/>
        <v>#DIV/0!</v>
      </c>
      <c r="W25" s="174"/>
      <c r="X25" s="175" t="e">
        <f t="shared" si="66"/>
        <v>#DIV/0!</v>
      </c>
      <c r="Y25" s="174"/>
      <c r="Z25" s="175" t="e">
        <f t="shared" si="67"/>
        <v>#DIV/0!</v>
      </c>
      <c r="AA25" s="174"/>
      <c r="AB25" s="175" t="e">
        <f t="shared" si="68"/>
        <v>#DIV/0!</v>
      </c>
      <c r="AC25" s="174">
        <f t="shared" si="69"/>
        <v>0</v>
      </c>
      <c r="AD25" s="175" t="e">
        <f t="shared" si="70"/>
        <v>#DIV/0!</v>
      </c>
      <c r="AE25" s="174"/>
      <c r="AF25" s="175" t="e">
        <f t="shared" si="71"/>
        <v>#DIV/0!</v>
      </c>
      <c r="AG25" s="174"/>
      <c r="AH25" s="175" t="e">
        <f t="shared" si="72"/>
        <v>#DIV/0!</v>
      </c>
      <c r="AI25" s="174"/>
      <c r="AJ25" s="175" t="e">
        <f t="shared" si="73"/>
        <v>#DIV/0!</v>
      </c>
      <c r="AK25" s="174"/>
      <c r="AL25" s="175" t="e">
        <f t="shared" si="74"/>
        <v>#DIV/0!</v>
      </c>
      <c r="AN25" s="72"/>
    </row>
    <row r="26" spans="2:40" s="73" customFormat="1" ht="14.25" customHeight="1">
      <c r="B26" s="504"/>
      <c r="C26" s="514"/>
      <c r="D26" s="173">
        <v>46096</v>
      </c>
      <c r="E26" s="173" t="s">
        <v>116</v>
      </c>
      <c r="F26" s="334"/>
      <c r="G26" s="509"/>
      <c r="H26" s="513"/>
      <c r="I26" s="174"/>
      <c r="J26" s="175" t="e">
        <f t="shared" si="57"/>
        <v>#DIV/0!</v>
      </c>
      <c r="K26" s="174"/>
      <c r="L26" s="175" t="e">
        <f t="shared" si="58"/>
        <v>#DIV/0!</v>
      </c>
      <c r="M26" s="174">
        <f t="shared" si="59"/>
        <v>0</v>
      </c>
      <c r="N26" s="175" t="e">
        <f t="shared" ref="N26" si="84">M26/F26</f>
        <v>#DIV/0!</v>
      </c>
      <c r="O26" s="174"/>
      <c r="P26" s="175" t="e">
        <f t="shared" si="61"/>
        <v>#DIV/0!</v>
      </c>
      <c r="Q26" s="174"/>
      <c r="R26" s="175" t="e">
        <f t="shared" si="62"/>
        <v>#DIV/0!</v>
      </c>
      <c r="S26" s="174">
        <f t="shared" si="63"/>
        <v>0</v>
      </c>
      <c r="T26" s="175" t="e">
        <f t="shared" ref="T26" si="85">S26/F26</f>
        <v>#DIV/0!</v>
      </c>
      <c r="U26" s="174"/>
      <c r="V26" s="175" t="e">
        <f t="shared" ref="V26" si="86">U26/F26</f>
        <v>#DIV/0!</v>
      </c>
      <c r="W26" s="174"/>
      <c r="X26" s="175" t="e">
        <f t="shared" si="66"/>
        <v>#DIV/0!</v>
      </c>
      <c r="Y26" s="174"/>
      <c r="Z26" s="175" t="e">
        <f t="shared" si="67"/>
        <v>#DIV/0!</v>
      </c>
      <c r="AA26" s="174"/>
      <c r="AB26" s="175" t="e">
        <f t="shared" si="68"/>
        <v>#DIV/0!</v>
      </c>
      <c r="AC26" s="174">
        <f t="shared" si="69"/>
        <v>0</v>
      </c>
      <c r="AD26" s="175" t="e">
        <f t="shared" si="70"/>
        <v>#DIV/0!</v>
      </c>
      <c r="AE26" s="174"/>
      <c r="AF26" s="175" t="e">
        <f t="shared" si="71"/>
        <v>#DIV/0!</v>
      </c>
      <c r="AG26" s="174"/>
      <c r="AH26" s="175" t="e">
        <f t="shared" si="72"/>
        <v>#DIV/0!</v>
      </c>
      <c r="AI26" s="174"/>
      <c r="AJ26" s="175" t="e">
        <f t="shared" si="73"/>
        <v>#DIV/0!</v>
      </c>
      <c r="AK26" s="174"/>
      <c r="AL26" s="175" t="e">
        <f t="shared" si="74"/>
        <v>#DIV/0!</v>
      </c>
      <c r="AN26" s="72"/>
    </row>
    <row r="27" spans="2:40" s="73" customFormat="1" ht="14.25" customHeight="1">
      <c r="B27" s="505"/>
      <c r="C27" s="514"/>
      <c r="D27" s="173">
        <v>46097</v>
      </c>
      <c r="E27" s="173" t="s">
        <v>117</v>
      </c>
      <c r="F27" s="334"/>
      <c r="G27" s="510"/>
      <c r="H27" s="513"/>
      <c r="I27" s="174"/>
      <c r="J27" s="175" t="e">
        <f t="shared" si="57"/>
        <v>#DIV/0!</v>
      </c>
      <c r="K27" s="174"/>
      <c r="L27" s="175" t="e">
        <f t="shared" si="58"/>
        <v>#DIV/0!</v>
      </c>
      <c r="M27" s="174">
        <f t="shared" si="59"/>
        <v>0</v>
      </c>
      <c r="N27" s="175" t="e">
        <f t="shared" ref="N27" si="87">M27/$F27</f>
        <v>#DIV/0!</v>
      </c>
      <c r="O27" s="174"/>
      <c r="P27" s="175" t="e">
        <f t="shared" si="61"/>
        <v>#DIV/0!</v>
      </c>
      <c r="Q27" s="174"/>
      <c r="R27" s="175" t="e">
        <f t="shared" si="62"/>
        <v>#DIV/0!</v>
      </c>
      <c r="S27" s="174">
        <f t="shared" si="63"/>
        <v>0</v>
      </c>
      <c r="T27" s="175" t="e">
        <f t="shared" ref="T27" si="88">S27/$F27</f>
        <v>#DIV/0!</v>
      </c>
      <c r="U27" s="174"/>
      <c r="V27" s="175" t="e">
        <f t="shared" ref="V27" si="89">U27/$F27</f>
        <v>#DIV/0!</v>
      </c>
      <c r="W27" s="174"/>
      <c r="X27" s="175" t="e">
        <f t="shared" si="66"/>
        <v>#DIV/0!</v>
      </c>
      <c r="Y27" s="174"/>
      <c r="Z27" s="175" t="e">
        <f t="shared" si="67"/>
        <v>#DIV/0!</v>
      </c>
      <c r="AA27" s="174"/>
      <c r="AB27" s="175" t="e">
        <f t="shared" si="68"/>
        <v>#DIV/0!</v>
      </c>
      <c r="AC27" s="174">
        <f t="shared" si="69"/>
        <v>0</v>
      </c>
      <c r="AD27" s="175" t="e">
        <f t="shared" si="70"/>
        <v>#DIV/0!</v>
      </c>
      <c r="AE27" s="174"/>
      <c r="AF27" s="175" t="e">
        <f t="shared" si="71"/>
        <v>#DIV/0!</v>
      </c>
      <c r="AG27" s="174"/>
      <c r="AH27" s="175" t="e">
        <f t="shared" si="72"/>
        <v>#DIV/0!</v>
      </c>
      <c r="AI27" s="174"/>
      <c r="AJ27" s="175" t="e">
        <f t="shared" si="73"/>
        <v>#DIV/0!</v>
      </c>
      <c r="AK27" s="174"/>
      <c r="AL27" s="175" t="e">
        <f t="shared" si="74"/>
        <v>#DIV/0!</v>
      </c>
      <c r="AN27" s="72"/>
    </row>
    <row r="28" spans="2:40" s="73" customFormat="1" ht="14.25" customHeight="1">
      <c r="B28" s="503">
        <f>B21+7</f>
        <v>46106</v>
      </c>
      <c r="C28" s="514"/>
      <c r="D28" s="173">
        <v>46098</v>
      </c>
      <c r="E28" s="173" t="s">
        <v>118</v>
      </c>
      <c r="F28" s="334"/>
      <c r="G28" s="508">
        <f t="shared" ref="G28" si="90">SUM(F28:F34)</f>
        <v>0</v>
      </c>
      <c r="H28" s="513"/>
      <c r="I28" s="174"/>
      <c r="J28" s="175" t="e">
        <f t="shared" si="57"/>
        <v>#DIV/0!</v>
      </c>
      <c r="K28" s="174"/>
      <c r="L28" s="175" t="e">
        <f t="shared" si="58"/>
        <v>#DIV/0!</v>
      </c>
      <c r="M28" s="174">
        <f t="shared" si="59"/>
        <v>0</v>
      </c>
      <c r="N28" s="175" t="e">
        <f t="shared" ref="N28" si="91">M28/F28</f>
        <v>#DIV/0!</v>
      </c>
      <c r="O28" s="174"/>
      <c r="P28" s="175" t="e">
        <f t="shared" si="61"/>
        <v>#DIV/0!</v>
      </c>
      <c r="Q28" s="174"/>
      <c r="R28" s="175" t="e">
        <f t="shared" si="62"/>
        <v>#DIV/0!</v>
      </c>
      <c r="S28" s="174">
        <f t="shared" si="63"/>
        <v>0</v>
      </c>
      <c r="T28" s="175" t="e">
        <f t="shared" ref="T28" si="92">S28/F28</f>
        <v>#DIV/0!</v>
      </c>
      <c r="U28" s="174"/>
      <c r="V28" s="175" t="e">
        <f t="shared" ref="V28" si="93">U28/F28</f>
        <v>#DIV/0!</v>
      </c>
      <c r="W28" s="174"/>
      <c r="X28" s="175" t="e">
        <f t="shared" si="66"/>
        <v>#DIV/0!</v>
      </c>
      <c r="Y28" s="174"/>
      <c r="Z28" s="175" t="e">
        <f t="shared" si="67"/>
        <v>#DIV/0!</v>
      </c>
      <c r="AA28" s="174"/>
      <c r="AB28" s="175" t="e">
        <f t="shared" si="68"/>
        <v>#DIV/0!</v>
      </c>
      <c r="AC28" s="174">
        <f t="shared" si="69"/>
        <v>0</v>
      </c>
      <c r="AD28" s="175" t="e">
        <f t="shared" si="70"/>
        <v>#DIV/0!</v>
      </c>
      <c r="AE28" s="174"/>
      <c r="AF28" s="175" t="e">
        <f t="shared" si="71"/>
        <v>#DIV/0!</v>
      </c>
      <c r="AG28" s="174"/>
      <c r="AH28" s="175" t="e">
        <f t="shared" si="72"/>
        <v>#DIV/0!</v>
      </c>
      <c r="AI28" s="174"/>
      <c r="AJ28" s="175" t="e">
        <f t="shared" si="73"/>
        <v>#DIV/0!</v>
      </c>
      <c r="AK28" s="174"/>
      <c r="AL28" s="175" t="e">
        <f t="shared" si="74"/>
        <v>#DIV/0!</v>
      </c>
      <c r="AN28" s="72"/>
    </row>
    <row r="29" spans="2:40" s="73" customFormat="1" ht="14.25" customHeight="1">
      <c r="B29" s="504"/>
      <c r="C29" s="514"/>
      <c r="D29" s="173">
        <v>46099</v>
      </c>
      <c r="E29" s="173" t="s">
        <v>112</v>
      </c>
      <c r="F29" s="334"/>
      <c r="G29" s="509"/>
      <c r="H29" s="513"/>
      <c r="I29" s="174"/>
      <c r="J29" s="175" t="e">
        <f t="shared" si="57"/>
        <v>#DIV/0!</v>
      </c>
      <c r="K29" s="174"/>
      <c r="L29" s="175" t="e">
        <f t="shared" si="58"/>
        <v>#DIV/0!</v>
      </c>
      <c r="M29" s="174">
        <f t="shared" si="59"/>
        <v>0</v>
      </c>
      <c r="N29" s="175" t="e">
        <f t="shared" ref="N29" si="94">M29/$F29</f>
        <v>#DIV/0!</v>
      </c>
      <c r="O29" s="174"/>
      <c r="P29" s="175" t="e">
        <f t="shared" si="61"/>
        <v>#DIV/0!</v>
      </c>
      <c r="Q29" s="174"/>
      <c r="R29" s="175" t="e">
        <f t="shared" si="62"/>
        <v>#DIV/0!</v>
      </c>
      <c r="S29" s="174">
        <f t="shared" si="63"/>
        <v>0</v>
      </c>
      <c r="T29" s="175" t="e">
        <f t="shared" ref="T29" si="95">S29/$F29</f>
        <v>#DIV/0!</v>
      </c>
      <c r="U29" s="174"/>
      <c r="V29" s="175" t="e">
        <f t="shared" ref="V29" si="96">U29/$F29</f>
        <v>#DIV/0!</v>
      </c>
      <c r="W29" s="174"/>
      <c r="X29" s="175" t="e">
        <f t="shared" si="66"/>
        <v>#DIV/0!</v>
      </c>
      <c r="Y29" s="174"/>
      <c r="Z29" s="175" t="e">
        <f t="shared" si="67"/>
        <v>#DIV/0!</v>
      </c>
      <c r="AA29" s="174"/>
      <c r="AB29" s="175" t="e">
        <f t="shared" si="68"/>
        <v>#DIV/0!</v>
      </c>
      <c r="AC29" s="174">
        <f t="shared" si="69"/>
        <v>0</v>
      </c>
      <c r="AD29" s="175" t="e">
        <f t="shared" si="70"/>
        <v>#DIV/0!</v>
      </c>
      <c r="AE29" s="174"/>
      <c r="AF29" s="175" t="e">
        <f t="shared" si="71"/>
        <v>#DIV/0!</v>
      </c>
      <c r="AG29" s="174"/>
      <c r="AH29" s="175" t="e">
        <f t="shared" si="72"/>
        <v>#DIV/0!</v>
      </c>
      <c r="AI29" s="174"/>
      <c r="AJ29" s="175" t="e">
        <f t="shared" si="73"/>
        <v>#DIV/0!</v>
      </c>
      <c r="AK29" s="174"/>
      <c r="AL29" s="175" t="e">
        <f t="shared" si="74"/>
        <v>#DIV/0!</v>
      </c>
      <c r="AN29" s="72"/>
    </row>
    <row r="30" spans="2:40" s="73" customFormat="1" ht="14.25" customHeight="1">
      <c r="B30" s="504"/>
      <c r="C30" s="514"/>
      <c r="D30" s="173">
        <v>46100</v>
      </c>
      <c r="E30" s="173" t="s">
        <v>113</v>
      </c>
      <c r="F30" s="334"/>
      <c r="G30" s="509"/>
      <c r="H30" s="513"/>
      <c r="I30" s="174"/>
      <c r="J30" s="175" t="e">
        <f t="shared" si="57"/>
        <v>#DIV/0!</v>
      </c>
      <c r="K30" s="174"/>
      <c r="L30" s="175" t="e">
        <f t="shared" si="58"/>
        <v>#DIV/0!</v>
      </c>
      <c r="M30" s="174">
        <f t="shared" si="59"/>
        <v>0</v>
      </c>
      <c r="N30" s="175" t="e">
        <f t="shared" ref="N30" si="97">M30/F30</f>
        <v>#DIV/0!</v>
      </c>
      <c r="O30" s="174"/>
      <c r="P30" s="175" t="e">
        <f t="shared" si="61"/>
        <v>#DIV/0!</v>
      </c>
      <c r="Q30" s="174"/>
      <c r="R30" s="175" t="e">
        <f t="shared" si="62"/>
        <v>#DIV/0!</v>
      </c>
      <c r="S30" s="174">
        <f t="shared" si="63"/>
        <v>0</v>
      </c>
      <c r="T30" s="175" t="e">
        <f t="shared" ref="T30" si="98">S30/F30</f>
        <v>#DIV/0!</v>
      </c>
      <c r="U30" s="174"/>
      <c r="V30" s="175" t="e">
        <f t="shared" ref="V30" si="99">U30/F30</f>
        <v>#DIV/0!</v>
      </c>
      <c r="W30" s="174"/>
      <c r="X30" s="175" t="e">
        <f t="shared" si="66"/>
        <v>#DIV/0!</v>
      </c>
      <c r="Y30" s="174"/>
      <c r="Z30" s="175" t="e">
        <f t="shared" si="67"/>
        <v>#DIV/0!</v>
      </c>
      <c r="AA30" s="174"/>
      <c r="AB30" s="175" t="e">
        <f t="shared" si="68"/>
        <v>#DIV/0!</v>
      </c>
      <c r="AC30" s="174">
        <f t="shared" si="69"/>
        <v>0</v>
      </c>
      <c r="AD30" s="175" t="e">
        <f t="shared" si="70"/>
        <v>#DIV/0!</v>
      </c>
      <c r="AE30" s="174"/>
      <c r="AF30" s="175" t="e">
        <f t="shared" si="71"/>
        <v>#DIV/0!</v>
      </c>
      <c r="AG30" s="174"/>
      <c r="AH30" s="175" t="e">
        <f t="shared" si="72"/>
        <v>#DIV/0!</v>
      </c>
      <c r="AI30" s="174"/>
      <c r="AJ30" s="175" t="e">
        <f t="shared" si="73"/>
        <v>#DIV/0!</v>
      </c>
      <c r="AK30" s="174"/>
      <c r="AL30" s="175" t="e">
        <f t="shared" si="74"/>
        <v>#DIV/0!</v>
      </c>
      <c r="AN30" s="72"/>
    </row>
    <row r="31" spans="2:40" s="73" customFormat="1" ht="14.25" customHeight="1">
      <c r="B31" s="504"/>
      <c r="C31" s="514"/>
      <c r="D31" s="173">
        <v>46101</v>
      </c>
      <c r="E31" s="173" t="s">
        <v>114</v>
      </c>
      <c r="F31" s="334"/>
      <c r="G31" s="509"/>
      <c r="H31" s="513"/>
      <c r="I31" s="174"/>
      <c r="J31" s="175" t="e">
        <f t="shared" si="57"/>
        <v>#DIV/0!</v>
      </c>
      <c r="K31" s="174"/>
      <c r="L31" s="175" t="e">
        <f t="shared" si="58"/>
        <v>#DIV/0!</v>
      </c>
      <c r="M31" s="174">
        <f t="shared" si="59"/>
        <v>0</v>
      </c>
      <c r="N31" s="175" t="e">
        <f t="shared" ref="N31:N32" si="100">M31/$F31</f>
        <v>#DIV/0!</v>
      </c>
      <c r="O31" s="174"/>
      <c r="P31" s="175" t="e">
        <f t="shared" si="61"/>
        <v>#DIV/0!</v>
      </c>
      <c r="Q31" s="174"/>
      <c r="R31" s="175" t="e">
        <f t="shared" si="62"/>
        <v>#DIV/0!</v>
      </c>
      <c r="S31" s="174">
        <f t="shared" si="63"/>
        <v>0</v>
      </c>
      <c r="T31" s="175" t="e">
        <f t="shared" ref="T31:T32" si="101">S31/$F31</f>
        <v>#DIV/0!</v>
      </c>
      <c r="U31" s="174"/>
      <c r="V31" s="175" t="e">
        <f t="shared" ref="V31:V32" si="102">U31/$F31</f>
        <v>#DIV/0!</v>
      </c>
      <c r="W31" s="174"/>
      <c r="X31" s="175" t="e">
        <f t="shared" si="66"/>
        <v>#DIV/0!</v>
      </c>
      <c r="Y31" s="174"/>
      <c r="Z31" s="175" t="e">
        <f t="shared" si="67"/>
        <v>#DIV/0!</v>
      </c>
      <c r="AA31" s="174"/>
      <c r="AB31" s="175" t="e">
        <f t="shared" si="68"/>
        <v>#DIV/0!</v>
      </c>
      <c r="AC31" s="174">
        <f t="shared" si="69"/>
        <v>0</v>
      </c>
      <c r="AD31" s="175" t="e">
        <f t="shared" si="70"/>
        <v>#DIV/0!</v>
      </c>
      <c r="AE31" s="174"/>
      <c r="AF31" s="175" t="e">
        <f t="shared" si="71"/>
        <v>#DIV/0!</v>
      </c>
      <c r="AG31" s="174"/>
      <c r="AH31" s="175" t="e">
        <f t="shared" si="72"/>
        <v>#DIV/0!</v>
      </c>
      <c r="AI31" s="174"/>
      <c r="AJ31" s="175" t="e">
        <f t="shared" si="73"/>
        <v>#DIV/0!</v>
      </c>
      <c r="AK31" s="174"/>
      <c r="AL31" s="175" t="e">
        <f t="shared" si="74"/>
        <v>#DIV/0!</v>
      </c>
      <c r="AN31" s="72"/>
    </row>
    <row r="32" spans="2:40" s="73" customFormat="1" ht="14.25" customHeight="1" collapsed="1">
      <c r="B32" s="504"/>
      <c r="C32" s="514"/>
      <c r="D32" s="173">
        <v>46102</v>
      </c>
      <c r="E32" s="173" t="s">
        <v>115</v>
      </c>
      <c r="F32" s="334"/>
      <c r="G32" s="509"/>
      <c r="H32" s="513"/>
      <c r="I32" s="174"/>
      <c r="J32" s="175" t="e">
        <f t="shared" si="57"/>
        <v>#DIV/0!</v>
      </c>
      <c r="K32" s="174"/>
      <c r="L32" s="175" t="e">
        <f t="shared" si="58"/>
        <v>#DIV/0!</v>
      </c>
      <c r="M32" s="174">
        <f t="shared" si="59"/>
        <v>0</v>
      </c>
      <c r="N32" s="175" t="e">
        <f t="shared" si="100"/>
        <v>#DIV/0!</v>
      </c>
      <c r="O32" s="174"/>
      <c r="P32" s="175" t="e">
        <f t="shared" si="61"/>
        <v>#DIV/0!</v>
      </c>
      <c r="Q32" s="174"/>
      <c r="R32" s="175" t="e">
        <f t="shared" si="62"/>
        <v>#DIV/0!</v>
      </c>
      <c r="S32" s="174">
        <f t="shared" si="63"/>
        <v>0</v>
      </c>
      <c r="T32" s="175" t="e">
        <f t="shared" si="101"/>
        <v>#DIV/0!</v>
      </c>
      <c r="U32" s="174"/>
      <c r="V32" s="175" t="e">
        <f t="shared" si="102"/>
        <v>#DIV/0!</v>
      </c>
      <c r="W32" s="174"/>
      <c r="X32" s="175" t="e">
        <f t="shared" si="66"/>
        <v>#DIV/0!</v>
      </c>
      <c r="Y32" s="174"/>
      <c r="Z32" s="175" t="e">
        <f t="shared" si="67"/>
        <v>#DIV/0!</v>
      </c>
      <c r="AA32" s="174"/>
      <c r="AB32" s="175" t="e">
        <f t="shared" si="68"/>
        <v>#DIV/0!</v>
      </c>
      <c r="AC32" s="174">
        <f t="shared" si="69"/>
        <v>0</v>
      </c>
      <c r="AD32" s="175" t="e">
        <f t="shared" si="70"/>
        <v>#DIV/0!</v>
      </c>
      <c r="AE32" s="174"/>
      <c r="AF32" s="175" t="e">
        <f t="shared" si="71"/>
        <v>#DIV/0!</v>
      </c>
      <c r="AG32" s="174"/>
      <c r="AH32" s="175" t="e">
        <f t="shared" si="72"/>
        <v>#DIV/0!</v>
      </c>
      <c r="AI32" s="174"/>
      <c r="AJ32" s="175" t="e">
        <f t="shared" si="73"/>
        <v>#DIV/0!</v>
      </c>
      <c r="AK32" s="174"/>
      <c r="AL32" s="175" t="e">
        <f t="shared" si="74"/>
        <v>#DIV/0!</v>
      </c>
      <c r="AN32" s="72"/>
    </row>
    <row r="33" spans="2:40" s="73" customFormat="1" ht="14.25" customHeight="1">
      <c r="B33" s="504"/>
      <c r="C33" s="514"/>
      <c r="D33" s="173">
        <v>46103</v>
      </c>
      <c r="E33" s="173" t="s">
        <v>116</v>
      </c>
      <c r="F33" s="334"/>
      <c r="G33" s="509"/>
      <c r="H33" s="513"/>
      <c r="I33" s="174"/>
      <c r="J33" s="175" t="e">
        <f t="shared" si="57"/>
        <v>#DIV/0!</v>
      </c>
      <c r="K33" s="174"/>
      <c r="L33" s="175" t="e">
        <f t="shared" si="58"/>
        <v>#DIV/0!</v>
      </c>
      <c r="M33" s="174">
        <f t="shared" si="59"/>
        <v>0</v>
      </c>
      <c r="N33" s="175" t="e">
        <f t="shared" ref="N33" si="103">M33/F33</f>
        <v>#DIV/0!</v>
      </c>
      <c r="O33" s="174"/>
      <c r="P33" s="175" t="e">
        <f t="shared" si="61"/>
        <v>#DIV/0!</v>
      </c>
      <c r="Q33" s="174"/>
      <c r="R33" s="175" t="e">
        <f t="shared" si="62"/>
        <v>#DIV/0!</v>
      </c>
      <c r="S33" s="174">
        <f t="shared" si="63"/>
        <v>0</v>
      </c>
      <c r="T33" s="175" t="e">
        <f t="shared" ref="T33" si="104">S33/F33</f>
        <v>#DIV/0!</v>
      </c>
      <c r="U33" s="174"/>
      <c r="V33" s="175" t="e">
        <f t="shared" ref="V33" si="105">U33/F33</f>
        <v>#DIV/0!</v>
      </c>
      <c r="W33" s="174"/>
      <c r="X33" s="175" t="e">
        <f t="shared" si="66"/>
        <v>#DIV/0!</v>
      </c>
      <c r="Y33" s="174"/>
      <c r="Z33" s="175" t="e">
        <f t="shared" si="67"/>
        <v>#DIV/0!</v>
      </c>
      <c r="AA33" s="174"/>
      <c r="AB33" s="175" t="e">
        <f t="shared" si="68"/>
        <v>#DIV/0!</v>
      </c>
      <c r="AC33" s="174">
        <f t="shared" si="69"/>
        <v>0</v>
      </c>
      <c r="AD33" s="175" t="e">
        <f t="shared" si="70"/>
        <v>#DIV/0!</v>
      </c>
      <c r="AE33" s="174"/>
      <c r="AF33" s="175" t="e">
        <f t="shared" si="71"/>
        <v>#DIV/0!</v>
      </c>
      <c r="AG33" s="174"/>
      <c r="AH33" s="175" t="e">
        <f t="shared" si="72"/>
        <v>#DIV/0!</v>
      </c>
      <c r="AI33" s="174"/>
      <c r="AJ33" s="175" t="e">
        <f t="shared" si="73"/>
        <v>#DIV/0!</v>
      </c>
      <c r="AK33" s="174"/>
      <c r="AL33" s="175" t="e">
        <f t="shared" si="74"/>
        <v>#DIV/0!</v>
      </c>
      <c r="AN33" s="72"/>
    </row>
    <row r="34" spans="2:40" s="73" customFormat="1" ht="14.25" customHeight="1">
      <c r="B34" s="505"/>
      <c r="C34" s="514"/>
      <c r="D34" s="173">
        <v>46104</v>
      </c>
      <c r="E34" s="173" t="s">
        <v>117</v>
      </c>
      <c r="F34" s="334"/>
      <c r="G34" s="510"/>
      <c r="H34" s="513"/>
      <c r="I34" s="174"/>
      <c r="J34" s="175" t="e">
        <f t="shared" si="57"/>
        <v>#DIV/0!</v>
      </c>
      <c r="K34" s="174"/>
      <c r="L34" s="175" t="e">
        <f t="shared" si="58"/>
        <v>#DIV/0!</v>
      </c>
      <c r="M34" s="174">
        <f t="shared" si="59"/>
        <v>0</v>
      </c>
      <c r="N34" s="175" t="e">
        <f t="shared" ref="N34" si="106">M34/$F34</f>
        <v>#DIV/0!</v>
      </c>
      <c r="O34" s="174"/>
      <c r="P34" s="175" t="e">
        <f t="shared" si="61"/>
        <v>#DIV/0!</v>
      </c>
      <c r="Q34" s="174"/>
      <c r="R34" s="175" t="e">
        <f t="shared" si="62"/>
        <v>#DIV/0!</v>
      </c>
      <c r="S34" s="174">
        <f t="shared" si="63"/>
        <v>0</v>
      </c>
      <c r="T34" s="175" t="e">
        <f t="shared" ref="T34" si="107">S34/$F34</f>
        <v>#DIV/0!</v>
      </c>
      <c r="U34" s="174"/>
      <c r="V34" s="175" t="e">
        <f t="shared" ref="V34" si="108">U34/$F34</f>
        <v>#DIV/0!</v>
      </c>
      <c r="W34" s="174"/>
      <c r="X34" s="175" t="e">
        <f t="shared" si="66"/>
        <v>#DIV/0!</v>
      </c>
      <c r="Y34" s="174"/>
      <c r="Z34" s="175" t="e">
        <f t="shared" si="67"/>
        <v>#DIV/0!</v>
      </c>
      <c r="AA34" s="174"/>
      <c r="AB34" s="175" t="e">
        <f t="shared" si="68"/>
        <v>#DIV/0!</v>
      </c>
      <c r="AC34" s="174">
        <f t="shared" si="69"/>
        <v>0</v>
      </c>
      <c r="AD34" s="175" t="e">
        <f t="shared" si="70"/>
        <v>#DIV/0!</v>
      </c>
      <c r="AE34" s="174"/>
      <c r="AF34" s="175" t="e">
        <f t="shared" si="71"/>
        <v>#DIV/0!</v>
      </c>
      <c r="AG34" s="174"/>
      <c r="AH34" s="175" t="e">
        <f t="shared" si="72"/>
        <v>#DIV/0!</v>
      </c>
      <c r="AI34" s="174"/>
      <c r="AJ34" s="175" t="e">
        <f t="shared" si="73"/>
        <v>#DIV/0!</v>
      </c>
      <c r="AK34" s="174"/>
      <c r="AL34" s="175" t="e">
        <f t="shared" si="74"/>
        <v>#DIV/0!</v>
      </c>
      <c r="AN34" s="72"/>
    </row>
    <row r="35" spans="2:40" s="73" customFormat="1" ht="14.25" customHeight="1">
      <c r="B35" s="503">
        <f>B28+7</f>
        <v>46113</v>
      </c>
      <c r="C35" s="514"/>
      <c r="D35" s="173">
        <v>46105</v>
      </c>
      <c r="E35" s="173" t="s">
        <v>118</v>
      </c>
      <c r="F35" s="334"/>
      <c r="G35" s="508">
        <f t="shared" ref="G35" si="109">SUM(F35:F41)</f>
        <v>0</v>
      </c>
      <c r="H35" s="513"/>
      <c r="I35" s="174"/>
      <c r="J35" s="175" t="e">
        <f t="shared" si="57"/>
        <v>#DIV/0!</v>
      </c>
      <c r="K35" s="174"/>
      <c r="L35" s="175" t="e">
        <f t="shared" si="58"/>
        <v>#DIV/0!</v>
      </c>
      <c r="M35" s="174">
        <f t="shared" si="59"/>
        <v>0</v>
      </c>
      <c r="N35" s="175" t="e">
        <f t="shared" ref="N35" si="110">M35/F35</f>
        <v>#DIV/0!</v>
      </c>
      <c r="O35" s="174"/>
      <c r="P35" s="175" t="e">
        <f t="shared" si="61"/>
        <v>#DIV/0!</v>
      </c>
      <c r="Q35" s="174"/>
      <c r="R35" s="175" t="e">
        <f t="shared" si="62"/>
        <v>#DIV/0!</v>
      </c>
      <c r="S35" s="174">
        <f t="shared" si="63"/>
        <v>0</v>
      </c>
      <c r="T35" s="175" t="e">
        <f t="shared" ref="T35" si="111">S35/F35</f>
        <v>#DIV/0!</v>
      </c>
      <c r="U35" s="174"/>
      <c r="V35" s="175" t="e">
        <f t="shared" ref="V35" si="112">U35/F35</f>
        <v>#DIV/0!</v>
      </c>
      <c r="W35" s="174"/>
      <c r="X35" s="175" t="e">
        <f t="shared" si="66"/>
        <v>#DIV/0!</v>
      </c>
      <c r="Y35" s="174"/>
      <c r="Z35" s="175" t="e">
        <f t="shared" si="67"/>
        <v>#DIV/0!</v>
      </c>
      <c r="AA35" s="174"/>
      <c r="AB35" s="175" t="e">
        <f t="shared" si="68"/>
        <v>#DIV/0!</v>
      </c>
      <c r="AC35" s="174">
        <f t="shared" si="69"/>
        <v>0</v>
      </c>
      <c r="AD35" s="175" t="e">
        <f t="shared" si="70"/>
        <v>#DIV/0!</v>
      </c>
      <c r="AE35" s="174"/>
      <c r="AF35" s="175" t="e">
        <f t="shared" si="71"/>
        <v>#DIV/0!</v>
      </c>
      <c r="AG35" s="174"/>
      <c r="AH35" s="175" t="e">
        <f t="shared" si="72"/>
        <v>#DIV/0!</v>
      </c>
      <c r="AI35" s="174"/>
      <c r="AJ35" s="175" t="e">
        <f t="shared" si="73"/>
        <v>#DIV/0!</v>
      </c>
      <c r="AK35" s="174"/>
      <c r="AL35" s="175" t="e">
        <f t="shared" si="74"/>
        <v>#DIV/0!</v>
      </c>
      <c r="AN35" s="72"/>
    </row>
    <row r="36" spans="2:40" s="73" customFormat="1" ht="14.25" customHeight="1">
      <c r="B36" s="504"/>
      <c r="C36" s="514"/>
      <c r="D36" s="173">
        <v>46106</v>
      </c>
      <c r="E36" s="173" t="s">
        <v>112</v>
      </c>
      <c r="F36" s="334"/>
      <c r="G36" s="509"/>
      <c r="H36" s="513"/>
      <c r="I36" s="174"/>
      <c r="J36" s="175" t="e">
        <f t="shared" si="57"/>
        <v>#DIV/0!</v>
      </c>
      <c r="K36" s="174"/>
      <c r="L36" s="175" t="e">
        <f t="shared" si="58"/>
        <v>#DIV/0!</v>
      </c>
      <c r="M36" s="174">
        <f t="shared" si="59"/>
        <v>0</v>
      </c>
      <c r="N36" s="175" t="e">
        <f t="shared" ref="N36" si="113">M36/$F36</f>
        <v>#DIV/0!</v>
      </c>
      <c r="O36" s="174"/>
      <c r="P36" s="175" t="e">
        <f t="shared" si="61"/>
        <v>#DIV/0!</v>
      </c>
      <c r="Q36" s="174"/>
      <c r="R36" s="175" t="e">
        <f t="shared" si="62"/>
        <v>#DIV/0!</v>
      </c>
      <c r="S36" s="174">
        <f t="shared" si="63"/>
        <v>0</v>
      </c>
      <c r="T36" s="175" t="e">
        <f t="shared" ref="T36" si="114">S36/$F36</f>
        <v>#DIV/0!</v>
      </c>
      <c r="U36" s="174"/>
      <c r="V36" s="175" t="e">
        <f t="shared" ref="V36" si="115">U36/$F36</f>
        <v>#DIV/0!</v>
      </c>
      <c r="W36" s="174"/>
      <c r="X36" s="175" t="e">
        <f t="shared" si="66"/>
        <v>#DIV/0!</v>
      </c>
      <c r="Y36" s="174"/>
      <c r="Z36" s="175" t="e">
        <f t="shared" si="67"/>
        <v>#DIV/0!</v>
      </c>
      <c r="AA36" s="174"/>
      <c r="AB36" s="175" t="e">
        <f t="shared" si="68"/>
        <v>#DIV/0!</v>
      </c>
      <c r="AC36" s="174">
        <f t="shared" si="69"/>
        <v>0</v>
      </c>
      <c r="AD36" s="175" t="e">
        <f t="shared" si="70"/>
        <v>#DIV/0!</v>
      </c>
      <c r="AE36" s="174"/>
      <c r="AF36" s="175" t="e">
        <f t="shared" si="71"/>
        <v>#DIV/0!</v>
      </c>
      <c r="AG36" s="174"/>
      <c r="AH36" s="175" t="e">
        <f t="shared" si="72"/>
        <v>#DIV/0!</v>
      </c>
      <c r="AI36" s="174"/>
      <c r="AJ36" s="175" t="e">
        <f t="shared" si="73"/>
        <v>#DIV/0!</v>
      </c>
      <c r="AK36" s="174"/>
      <c r="AL36" s="175" t="e">
        <f t="shared" si="74"/>
        <v>#DIV/0!</v>
      </c>
      <c r="AN36" s="72"/>
    </row>
    <row r="37" spans="2:40" s="73" customFormat="1" ht="14.25" customHeight="1">
      <c r="B37" s="504"/>
      <c r="C37" s="514"/>
      <c r="D37" s="173">
        <v>46107</v>
      </c>
      <c r="E37" s="173" t="s">
        <v>113</v>
      </c>
      <c r="F37" s="334"/>
      <c r="G37" s="509"/>
      <c r="H37" s="513"/>
      <c r="I37" s="174"/>
      <c r="J37" s="175" t="e">
        <f t="shared" si="57"/>
        <v>#DIV/0!</v>
      </c>
      <c r="K37" s="174"/>
      <c r="L37" s="175" t="e">
        <f t="shared" si="58"/>
        <v>#DIV/0!</v>
      </c>
      <c r="M37" s="174">
        <f t="shared" si="59"/>
        <v>0</v>
      </c>
      <c r="N37" s="175" t="e">
        <f t="shared" ref="N37" si="116">M37/F37</f>
        <v>#DIV/0!</v>
      </c>
      <c r="O37" s="174"/>
      <c r="P37" s="175" t="e">
        <f t="shared" si="61"/>
        <v>#DIV/0!</v>
      </c>
      <c r="Q37" s="174"/>
      <c r="R37" s="175" t="e">
        <f t="shared" si="62"/>
        <v>#DIV/0!</v>
      </c>
      <c r="S37" s="174">
        <f t="shared" si="63"/>
        <v>0</v>
      </c>
      <c r="T37" s="175" t="e">
        <f t="shared" ref="T37" si="117">S37/F37</f>
        <v>#DIV/0!</v>
      </c>
      <c r="U37" s="174"/>
      <c r="V37" s="175" t="e">
        <f t="shared" ref="V37" si="118">U37/F37</f>
        <v>#DIV/0!</v>
      </c>
      <c r="W37" s="174"/>
      <c r="X37" s="175" t="e">
        <f t="shared" si="66"/>
        <v>#DIV/0!</v>
      </c>
      <c r="Y37" s="174"/>
      <c r="Z37" s="175" t="e">
        <f t="shared" si="67"/>
        <v>#DIV/0!</v>
      </c>
      <c r="AA37" s="174"/>
      <c r="AB37" s="175" t="e">
        <f t="shared" si="68"/>
        <v>#DIV/0!</v>
      </c>
      <c r="AC37" s="174">
        <f t="shared" si="69"/>
        <v>0</v>
      </c>
      <c r="AD37" s="175" t="e">
        <f t="shared" si="70"/>
        <v>#DIV/0!</v>
      </c>
      <c r="AE37" s="174"/>
      <c r="AF37" s="175" t="e">
        <f t="shared" si="71"/>
        <v>#DIV/0!</v>
      </c>
      <c r="AG37" s="174"/>
      <c r="AH37" s="175" t="e">
        <f t="shared" si="72"/>
        <v>#DIV/0!</v>
      </c>
      <c r="AI37" s="174"/>
      <c r="AJ37" s="175" t="e">
        <f t="shared" si="73"/>
        <v>#DIV/0!</v>
      </c>
      <c r="AK37" s="174"/>
      <c r="AL37" s="175" t="e">
        <f t="shared" si="74"/>
        <v>#DIV/0!</v>
      </c>
      <c r="AN37" s="72"/>
    </row>
    <row r="38" spans="2:40" s="73" customFormat="1" ht="14.25" customHeight="1">
      <c r="B38" s="504"/>
      <c r="C38" s="514"/>
      <c r="D38" s="173">
        <v>46108</v>
      </c>
      <c r="E38" s="173" t="s">
        <v>114</v>
      </c>
      <c r="F38" s="334"/>
      <c r="G38" s="509"/>
      <c r="H38" s="513"/>
      <c r="I38" s="174"/>
      <c r="J38" s="175" t="e">
        <f t="shared" si="57"/>
        <v>#DIV/0!</v>
      </c>
      <c r="K38" s="174"/>
      <c r="L38" s="175" t="e">
        <f t="shared" si="58"/>
        <v>#DIV/0!</v>
      </c>
      <c r="M38" s="174">
        <f t="shared" si="59"/>
        <v>0</v>
      </c>
      <c r="N38" s="175" t="e">
        <f t="shared" ref="N38:N39" si="119">M38/$F38</f>
        <v>#DIV/0!</v>
      </c>
      <c r="O38" s="174"/>
      <c r="P38" s="175" t="e">
        <f t="shared" si="61"/>
        <v>#DIV/0!</v>
      </c>
      <c r="Q38" s="174"/>
      <c r="R38" s="175" t="e">
        <f t="shared" si="62"/>
        <v>#DIV/0!</v>
      </c>
      <c r="S38" s="174">
        <f t="shared" si="63"/>
        <v>0</v>
      </c>
      <c r="T38" s="175" t="e">
        <f t="shared" ref="T38:T39" si="120">S38/$F38</f>
        <v>#DIV/0!</v>
      </c>
      <c r="U38" s="174"/>
      <c r="V38" s="175" t="e">
        <f t="shared" ref="V38:V39" si="121">U38/$F38</f>
        <v>#DIV/0!</v>
      </c>
      <c r="W38" s="174"/>
      <c r="X38" s="175" t="e">
        <f t="shared" si="66"/>
        <v>#DIV/0!</v>
      </c>
      <c r="Y38" s="174"/>
      <c r="Z38" s="175" t="e">
        <f t="shared" si="67"/>
        <v>#DIV/0!</v>
      </c>
      <c r="AA38" s="174"/>
      <c r="AB38" s="175" t="e">
        <f t="shared" si="68"/>
        <v>#DIV/0!</v>
      </c>
      <c r="AC38" s="174">
        <f t="shared" si="69"/>
        <v>0</v>
      </c>
      <c r="AD38" s="175" t="e">
        <f t="shared" si="70"/>
        <v>#DIV/0!</v>
      </c>
      <c r="AE38" s="174"/>
      <c r="AF38" s="175" t="e">
        <f t="shared" si="71"/>
        <v>#DIV/0!</v>
      </c>
      <c r="AG38" s="174"/>
      <c r="AH38" s="175" t="e">
        <f t="shared" si="72"/>
        <v>#DIV/0!</v>
      </c>
      <c r="AI38" s="174"/>
      <c r="AJ38" s="175" t="e">
        <f t="shared" si="73"/>
        <v>#DIV/0!</v>
      </c>
      <c r="AK38" s="174"/>
      <c r="AL38" s="175" t="e">
        <f t="shared" si="74"/>
        <v>#DIV/0!</v>
      </c>
      <c r="AN38" s="72"/>
    </row>
    <row r="39" spans="2:40" s="73" customFormat="1" ht="14.25" customHeight="1" collapsed="1">
      <c r="B39" s="504"/>
      <c r="C39" s="514"/>
      <c r="D39" s="173">
        <v>46109</v>
      </c>
      <c r="E39" s="173" t="s">
        <v>115</v>
      </c>
      <c r="F39" s="334"/>
      <c r="G39" s="509"/>
      <c r="H39" s="513"/>
      <c r="I39" s="174"/>
      <c r="J39" s="175" t="e">
        <f t="shared" si="57"/>
        <v>#DIV/0!</v>
      </c>
      <c r="K39" s="174"/>
      <c r="L39" s="175" t="e">
        <f t="shared" si="58"/>
        <v>#DIV/0!</v>
      </c>
      <c r="M39" s="174">
        <f t="shared" si="59"/>
        <v>0</v>
      </c>
      <c r="N39" s="175" t="e">
        <f t="shared" si="119"/>
        <v>#DIV/0!</v>
      </c>
      <c r="O39" s="174"/>
      <c r="P39" s="175" t="e">
        <f t="shared" si="61"/>
        <v>#DIV/0!</v>
      </c>
      <c r="Q39" s="174"/>
      <c r="R39" s="175" t="e">
        <f t="shared" si="62"/>
        <v>#DIV/0!</v>
      </c>
      <c r="S39" s="174">
        <f t="shared" si="63"/>
        <v>0</v>
      </c>
      <c r="T39" s="175" t="e">
        <f t="shared" si="120"/>
        <v>#DIV/0!</v>
      </c>
      <c r="U39" s="174"/>
      <c r="V39" s="175" t="e">
        <f t="shared" si="121"/>
        <v>#DIV/0!</v>
      </c>
      <c r="W39" s="174"/>
      <c r="X39" s="175" t="e">
        <f t="shared" si="66"/>
        <v>#DIV/0!</v>
      </c>
      <c r="Y39" s="174"/>
      <c r="Z39" s="175" t="e">
        <f t="shared" si="67"/>
        <v>#DIV/0!</v>
      </c>
      <c r="AA39" s="174"/>
      <c r="AB39" s="175" t="e">
        <f t="shared" si="68"/>
        <v>#DIV/0!</v>
      </c>
      <c r="AC39" s="174">
        <f t="shared" si="69"/>
        <v>0</v>
      </c>
      <c r="AD39" s="175" t="e">
        <f t="shared" si="70"/>
        <v>#DIV/0!</v>
      </c>
      <c r="AE39" s="174"/>
      <c r="AF39" s="175" t="e">
        <f t="shared" si="71"/>
        <v>#DIV/0!</v>
      </c>
      <c r="AG39" s="174"/>
      <c r="AH39" s="175" t="e">
        <f t="shared" si="72"/>
        <v>#DIV/0!</v>
      </c>
      <c r="AI39" s="174"/>
      <c r="AJ39" s="175" t="e">
        <f t="shared" si="73"/>
        <v>#DIV/0!</v>
      </c>
      <c r="AK39" s="174"/>
      <c r="AL39" s="175" t="e">
        <f t="shared" si="74"/>
        <v>#DIV/0!</v>
      </c>
      <c r="AN39" s="72"/>
    </row>
    <row r="40" spans="2:40" s="73" customFormat="1" ht="14.25" customHeight="1" collapsed="1">
      <c r="B40" s="504"/>
      <c r="C40" s="514"/>
      <c r="D40" s="173">
        <v>46110</v>
      </c>
      <c r="E40" s="173" t="s">
        <v>116</v>
      </c>
      <c r="F40" s="334"/>
      <c r="G40" s="509"/>
      <c r="H40" s="513"/>
      <c r="I40" s="174"/>
      <c r="J40" s="175" t="e">
        <f t="shared" si="57"/>
        <v>#DIV/0!</v>
      </c>
      <c r="K40" s="174"/>
      <c r="L40" s="175" t="e">
        <f t="shared" si="58"/>
        <v>#DIV/0!</v>
      </c>
      <c r="M40" s="174">
        <f t="shared" si="59"/>
        <v>0</v>
      </c>
      <c r="N40" s="175" t="e">
        <f t="shared" ref="N40" si="122">M40/F40</f>
        <v>#DIV/0!</v>
      </c>
      <c r="O40" s="174"/>
      <c r="P40" s="175" t="e">
        <f t="shared" si="61"/>
        <v>#DIV/0!</v>
      </c>
      <c r="Q40" s="174"/>
      <c r="R40" s="175" t="e">
        <f t="shared" si="62"/>
        <v>#DIV/0!</v>
      </c>
      <c r="S40" s="174">
        <f t="shared" si="63"/>
        <v>0</v>
      </c>
      <c r="T40" s="175" t="e">
        <f t="shared" ref="T40" si="123">S40/F40</f>
        <v>#DIV/0!</v>
      </c>
      <c r="U40" s="174"/>
      <c r="V40" s="175" t="e">
        <f t="shared" ref="V40" si="124">U40/F40</f>
        <v>#DIV/0!</v>
      </c>
      <c r="W40" s="174"/>
      <c r="X40" s="175" t="e">
        <f t="shared" si="66"/>
        <v>#DIV/0!</v>
      </c>
      <c r="Y40" s="174"/>
      <c r="Z40" s="175" t="e">
        <f t="shared" si="67"/>
        <v>#DIV/0!</v>
      </c>
      <c r="AA40" s="174"/>
      <c r="AB40" s="175" t="e">
        <f t="shared" si="68"/>
        <v>#DIV/0!</v>
      </c>
      <c r="AC40" s="174">
        <f t="shared" si="69"/>
        <v>0</v>
      </c>
      <c r="AD40" s="175" t="e">
        <f t="shared" si="70"/>
        <v>#DIV/0!</v>
      </c>
      <c r="AE40" s="174"/>
      <c r="AF40" s="175" t="e">
        <f t="shared" si="71"/>
        <v>#DIV/0!</v>
      </c>
      <c r="AG40" s="174"/>
      <c r="AH40" s="175" t="e">
        <f t="shared" si="72"/>
        <v>#DIV/0!</v>
      </c>
      <c r="AI40" s="174"/>
      <c r="AJ40" s="175" t="e">
        <f t="shared" si="73"/>
        <v>#DIV/0!</v>
      </c>
      <c r="AK40" s="174"/>
      <c r="AL40" s="175" t="e">
        <f t="shared" si="74"/>
        <v>#DIV/0!</v>
      </c>
      <c r="AN40" s="72"/>
    </row>
    <row r="41" spans="2:40" s="73" customFormat="1" ht="14.25" customHeight="1">
      <c r="B41" s="505"/>
      <c r="C41" s="515"/>
      <c r="D41" s="173">
        <v>46111</v>
      </c>
      <c r="E41" s="173" t="s">
        <v>117</v>
      </c>
      <c r="F41" s="334"/>
      <c r="G41" s="510"/>
      <c r="H41" s="513"/>
      <c r="I41" s="174"/>
      <c r="J41" s="175" t="e">
        <f t="shared" si="57"/>
        <v>#DIV/0!</v>
      </c>
      <c r="K41" s="174"/>
      <c r="L41" s="175" t="e">
        <f t="shared" si="58"/>
        <v>#DIV/0!</v>
      </c>
      <c r="M41" s="174">
        <f t="shared" si="59"/>
        <v>0</v>
      </c>
      <c r="N41" s="175" t="e">
        <f t="shared" ref="N41" si="125">M41/$F41</f>
        <v>#DIV/0!</v>
      </c>
      <c r="O41" s="174"/>
      <c r="P41" s="175" t="e">
        <f t="shared" si="61"/>
        <v>#DIV/0!</v>
      </c>
      <c r="Q41" s="174"/>
      <c r="R41" s="175" t="e">
        <f t="shared" si="62"/>
        <v>#DIV/0!</v>
      </c>
      <c r="S41" s="174">
        <f t="shared" si="63"/>
        <v>0</v>
      </c>
      <c r="T41" s="175" t="e">
        <f t="shared" ref="T41" si="126">S41/$F41</f>
        <v>#DIV/0!</v>
      </c>
      <c r="U41" s="174"/>
      <c r="V41" s="175" t="e">
        <f t="shared" ref="V41" si="127">U41/$F41</f>
        <v>#DIV/0!</v>
      </c>
      <c r="W41" s="174"/>
      <c r="X41" s="175" t="e">
        <f t="shared" si="66"/>
        <v>#DIV/0!</v>
      </c>
      <c r="Y41" s="174"/>
      <c r="Z41" s="175" t="e">
        <f t="shared" si="67"/>
        <v>#DIV/0!</v>
      </c>
      <c r="AA41" s="174"/>
      <c r="AB41" s="175" t="e">
        <f t="shared" si="68"/>
        <v>#DIV/0!</v>
      </c>
      <c r="AC41" s="174">
        <f t="shared" si="69"/>
        <v>0</v>
      </c>
      <c r="AD41" s="175" t="e">
        <f t="shared" si="70"/>
        <v>#DIV/0!</v>
      </c>
      <c r="AE41" s="174"/>
      <c r="AF41" s="175" t="e">
        <f t="shared" si="71"/>
        <v>#DIV/0!</v>
      </c>
      <c r="AG41" s="174"/>
      <c r="AH41" s="175" t="e">
        <f t="shared" si="72"/>
        <v>#DIV/0!</v>
      </c>
      <c r="AI41" s="174"/>
      <c r="AJ41" s="175" t="e">
        <f t="shared" si="73"/>
        <v>#DIV/0!</v>
      </c>
      <c r="AK41" s="174"/>
      <c r="AL41" s="175" t="e">
        <f t="shared" si="74"/>
        <v>#DIV/0!</v>
      </c>
      <c r="AN41" s="72"/>
    </row>
    <row r="42" spans="2:40" s="73" customFormat="1" ht="14.25" customHeight="1">
      <c r="B42" s="503">
        <f>B35+7</f>
        <v>46120</v>
      </c>
      <c r="C42" s="459"/>
      <c r="D42" s="173">
        <v>46112</v>
      </c>
      <c r="E42" s="173" t="s">
        <v>118</v>
      </c>
      <c r="F42" s="334"/>
      <c r="G42" s="508">
        <f t="shared" ref="G42" si="128">SUM(F42:F48)</f>
        <v>0</v>
      </c>
      <c r="H42" s="513"/>
      <c r="I42" s="174"/>
      <c r="J42" s="175" t="e">
        <f t="shared" ref="J42:J48" si="129">I42/$F42</f>
        <v>#DIV/0!</v>
      </c>
      <c r="K42" s="174"/>
      <c r="L42" s="175" t="e">
        <f t="shared" ref="L42:L48" si="130">K42/$F42</f>
        <v>#DIV/0!</v>
      </c>
      <c r="M42" s="174">
        <f t="shared" ref="M42:M48" si="131">I42+K42</f>
        <v>0</v>
      </c>
      <c r="N42" s="175" t="e">
        <f t="shared" ref="N42" si="132">M42/F42</f>
        <v>#DIV/0!</v>
      </c>
      <c r="O42" s="174"/>
      <c r="P42" s="175" t="e">
        <f t="shared" ref="P42:P48" si="133">O42/$F42</f>
        <v>#DIV/0!</v>
      </c>
      <c r="Q42" s="174"/>
      <c r="R42" s="175" t="e">
        <f t="shared" ref="R42:R48" si="134">Q42/$F42</f>
        <v>#DIV/0!</v>
      </c>
      <c r="S42" s="174">
        <f t="shared" ref="S42:S48" si="135">O42+Q42</f>
        <v>0</v>
      </c>
      <c r="T42" s="175" t="e">
        <f t="shared" ref="T42" si="136">S42/F42</f>
        <v>#DIV/0!</v>
      </c>
      <c r="U42" s="174"/>
      <c r="V42" s="175" t="e">
        <f t="shared" ref="V42" si="137">U42/F42</f>
        <v>#DIV/0!</v>
      </c>
      <c r="W42" s="174"/>
      <c r="X42" s="175" t="e">
        <f t="shared" ref="X42:X48" si="138">W42/$F42</f>
        <v>#DIV/0!</v>
      </c>
      <c r="Y42" s="174"/>
      <c r="Z42" s="175" t="e">
        <f t="shared" ref="Z42:Z48" si="139">Y42/$F42</f>
        <v>#DIV/0!</v>
      </c>
      <c r="AA42" s="174"/>
      <c r="AB42" s="175" t="e">
        <f t="shared" ref="AB42:AB48" si="140">AA42/$F42</f>
        <v>#DIV/0!</v>
      </c>
      <c r="AC42" s="174">
        <f t="shared" ref="AC42:AC48" si="141">Y42+AA42</f>
        <v>0</v>
      </c>
      <c r="AD42" s="175" t="e">
        <f t="shared" ref="AD42:AD48" si="142">AC42/$F42</f>
        <v>#DIV/0!</v>
      </c>
      <c r="AE42" s="174"/>
      <c r="AF42" s="175" t="e">
        <f t="shared" ref="AF42:AF48" si="143">AE42/F42</f>
        <v>#DIV/0!</v>
      </c>
      <c r="AG42" s="174"/>
      <c r="AH42" s="175" t="e">
        <f t="shared" ref="AH42:AH48" si="144">AG42/$F42</f>
        <v>#DIV/0!</v>
      </c>
      <c r="AI42" s="174"/>
      <c r="AJ42" s="175" t="e">
        <f t="shared" ref="AJ42:AJ48" si="145">AI42/$F42</f>
        <v>#DIV/0!</v>
      </c>
      <c r="AK42" s="174"/>
      <c r="AL42" s="175" t="e">
        <f t="shared" ref="AL42:AL48" si="146">AK42/$F42</f>
        <v>#DIV/0!</v>
      </c>
      <c r="AN42" s="72"/>
    </row>
    <row r="43" spans="2:40" s="73" customFormat="1" ht="14.25" customHeight="1">
      <c r="B43" s="504"/>
      <c r="C43" s="460"/>
      <c r="D43" s="173">
        <v>46113</v>
      </c>
      <c r="E43" s="173" t="s">
        <v>112</v>
      </c>
      <c r="F43" s="334"/>
      <c r="G43" s="509"/>
      <c r="H43" s="453"/>
      <c r="I43" s="174"/>
      <c r="J43" s="175" t="e">
        <f t="shared" si="129"/>
        <v>#DIV/0!</v>
      </c>
      <c r="K43" s="174"/>
      <c r="L43" s="175" t="e">
        <f t="shared" si="130"/>
        <v>#DIV/0!</v>
      </c>
      <c r="M43" s="174">
        <f t="shared" si="131"/>
        <v>0</v>
      </c>
      <c r="N43" s="175" t="e">
        <f t="shared" ref="N43" si="147">M43/$F43</f>
        <v>#DIV/0!</v>
      </c>
      <c r="O43" s="174"/>
      <c r="P43" s="175" t="e">
        <f t="shared" si="133"/>
        <v>#DIV/0!</v>
      </c>
      <c r="Q43" s="174"/>
      <c r="R43" s="175" t="e">
        <f t="shared" si="134"/>
        <v>#DIV/0!</v>
      </c>
      <c r="S43" s="174">
        <f t="shared" si="135"/>
        <v>0</v>
      </c>
      <c r="T43" s="175" t="e">
        <f t="shared" ref="T43" si="148">S43/$F43</f>
        <v>#DIV/0!</v>
      </c>
      <c r="U43" s="174"/>
      <c r="V43" s="175" t="e">
        <f t="shared" ref="V43" si="149">U43/$F43</f>
        <v>#DIV/0!</v>
      </c>
      <c r="W43" s="174"/>
      <c r="X43" s="175" t="e">
        <f t="shared" si="138"/>
        <v>#DIV/0!</v>
      </c>
      <c r="Y43" s="174"/>
      <c r="Z43" s="175" t="e">
        <f t="shared" si="139"/>
        <v>#DIV/0!</v>
      </c>
      <c r="AA43" s="174"/>
      <c r="AB43" s="175" t="e">
        <f t="shared" si="140"/>
        <v>#DIV/0!</v>
      </c>
      <c r="AC43" s="174">
        <f t="shared" si="141"/>
        <v>0</v>
      </c>
      <c r="AD43" s="175" t="e">
        <f t="shared" si="142"/>
        <v>#DIV/0!</v>
      </c>
      <c r="AE43" s="174"/>
      <c r="AF43" s="175" t="e">
        <f t="shared" si="143"/>
        <v>#DIV/0!</v>
      </c>
      <c r="AG43" s="174"/>
      <c r="AH43" s="175" t="e">
        <f t="shared" si="144"/>
        <v>#DIV/0!</v>
      </c>
      <c r="AI43" s="174"/>
      <c r="AJ43" s="175" t="e">
        <f t="shared" si="145"/>
        <v>#DIV/0!</v>
      </c>
      <c r="AK43" s="174"/>
      <c r="AL43" s="175" t="e">
        <f t="shared" si="146"/>
        <v>#DIV/0!</v>
      </c>
      <c r="AN43" s="72"/>
    </row>
    <row r="44" spans="2:40" s="73" customFormat="1" ht="14.25" customHeight="1">
      <c r="B44" s="504"/>
      <c r="C44" s="460"/>
      <c r="D44" s="173">
        <v>46114</v>
      </c>
      <c r="E44" s="173" t="s">
        <v>113</v>
      </c>
      <c r="F44" s="334"/>
      <c r="G44" s="509"/>
      <c r="H44" s="454"/>
      <c r="I44" s="174"/>
      <c r="J44" s="175" t="e">
        <f t="shared" si="129"/>
        <v>#DIV/0!</v>
      </c>
      <c r="K44" s="174"/>
      <c r="L44" s="175" t="e">
        <f t="shared" si="130"/>
        <v>#DIV/0!</v>
      </c>
      <c r="M44" s="174">
        <f t="shared" si="131"/>
        <v>0</v>
      </c>
      <c r="N44" s="175" t="e">
        <f t="shared" ref="N44" si="150">M44/F44</f>
        <v>#DIV/0!</v>
      </c>
      <c r="O44" s="174"/>
      <c r="P44" s="175" t="e">
        <f t="shared" si="133"/>
        <v>#DIV/0!</v>
      </c>
      <c r="Q44" s="174"/>
      <c r="R44" s="175" t="e">
        <f t="shared" si="134"/>
        <v>#DIV/0!</v>
      </c>
      <c r="S44" s="174">
        <f t="shared" si="135"/>
        <v>0</v>
      </c>
      <c r="T44" s="175" t="e">
        <f t="shared" ref="T44" si="151">S44/F44</f>
        <v>#DIV/0!</v>
      </c>
      <c r="U44" s="174"/>
      <c r="V44" s="175" t="e">
        <f t="shared" ref="V44" si="152">U44/F44</f>
        <v>#DIV/0!</v>
      </c>
      <c r="W44" s="174"/>
      <c r="X44" s="175" t="e">
        <f t="shared" si="138"/>
        <v>#DIV/0!</v>
      </c>
      <c r="Y44" s="174"/>
      <c r="Z44" s="175" t="e">
        <f t="shared" si="139"/>
        <v>#DIV/0!</v>
      </c>
      <c r="AA44" s="174"/>
      <c r="AB44" s="175" t="e">
        <f t="shared" si="140"/>
        <v>#DIV/0!</v>
      </c>
      <c r="AC44" s="174">
        <f t="shared" si="141"/>
        <v>0</v>
      </c>
      <c r="AD44" s="175" t="e">
        <f t="shared" si="142"/>
        <v>#DIV/0!</v>
      </c>
      <c r="AE44" s="174"/>
      <c r="AF44" s="175" t="e">
        <f t="shared" si="143"/>
        <v>#DIV/0!</v>
      </c>
      <c r="AG44" s="174"/>
      <c r="AH44" s="175" t="e">
        <f t="shared" si="144"/>
        <v>#DIV/0!</v>
      </c>
      <c r="AI44" s="174"/>
      <c r="AJ44" s="175" t="e">
        <f t="shared" si="145"/>
        <v>#DIV/0!</v>
      </c>
      <c r="AK44" s="174"/>
      <c r="AL44" s="175" t="e">
        <f t="shared" si="146"/>
        <v>#DIV/0!</v>
      </c>
      <c r="AN44" s="72"/>
    </row>
    <row r="45" spans="2:40" s="73" customFormat="1" ht="14.25" customHeight="1">
      <c r="B45" s="504"/>
      <c r="C45" s="460"/>
      <c r="D45" s="173">
        <v>46115</v>
      </c>
      <c r="E45" s="173" t="s">
        <v>114</v>
      </c>
      <c r="F45" s="334"/>
      <c r="G45" s="509"/>
      <c r="H45" s="454"/>
      <c r="I45" s="174"/>
      <c r="J45" s="175" t="e">
        <f t="shared" si="129"/>
        <v>#DIV/0!</v>
      </c>
      <c r="K45" s="174"/>
      <c r="L45" s="175" t="e">
        <f t="shared" si="130"/>
        <v>#DIV/0!</v>
      </c>
      <c r="M45" s="174">
        <f t="shared" si="131"/>
        <v>0</v>
      </c>
      <c r="N45" s="175" t="e">
        <f t="shared" ref="N45:N46" si="153">M45/$F45</f>
        <v>#DIV/0!</v>
      </c>
      <c r="O45" s="174"/>
      <c r="P45" s="175" t="e">
        <f t="shared" si="133"/>
        <v>#DIV/0!</v>
      </c>
      <c r="Q45" s="174"/>
      <c r="R45" s="175" t="e">
        <f t="shared" si="134"/>
        <v>#DIV/0!</v>
      </c>
      <c r="S45" s="174">
        <f t="shared" si="135"/>
        <v>0</v>
      </c>
      <c r="T45" s="175" t="e">
        <f t="shared" ref="T45:T46" si="154">S45/$F45</f>
        <v>#DIV/0!</v>
      </c>
      <c r="U45" s="174"/>
      <c r="V45" s="175" t="e">
        <f t="shared" ref="V45:V46" si="155">U45/$F45</f>
        <v>#DIV/0!</v>
      </c>
      <c r="W45" s="174"/>
      <c r="X45" s="175" t="e">
        <f t="shared" si="138"/>
        <v>#DIV/0!</v>
      </c>
      <c r="Y45" s="174"/>
      <c r="Z45" s="175" t="e">
        <f t="shared" si="139"/>
        <v>#DIV/0!</v>
      </c>
      <c r="AA45" s="174"/>
      <c r="AB45" s="175" t="e">
        <f t="shared" si="140"/>
        <v>#DIV/0!</v>
      </c>
      <c r="AC45" s="174">
        <f t="shared" si="141"/>
        <v>0</v>
      </c>
      <c r="AD45" s="175" t="e">
        <f t="shared" si="142"/>
        <v>#DIV/0!</v>
      </c>
      <c r="AE45" s="174"/>
      <c r="AF45" s="175" t="e">
        <f t="shared" si="143"/>
        <v>#DIV/0!</v>
      </c>
      <c r="AG45" s="174"/>
      <c r="AH45" s="175" t="e">
        <f t="shared" si="144"/>
        <v>#DIV/0!</v>
      </c>
      <c r="AI45" s="174"/>
      <c r="AJ45" s="175" t="e">
        <f t="shared" si="145"/>
        <v>#DIV/0!</v>
      </c>
      <c r="AK45" s="174"/>
      <c r="AL45" s="175" t="e">
        <f t="shared" si="146"/>
        <v>#DIV/0!</v>
      </c>
      <c r="AN45" s="72"/>
    </row>
    <row r="46" spans="2:40" s="73" customFormat="1" ht="14.25" customHeight="1" collapsed="1">
      <c r="B46" s="504"/>
      <c r="C46" s="460"/>
      <c r="D46" s="173">
        <v>46116</v>
      </c>
      <c r="E46" s="173" t="s">
        <v>115</v>
      </c>
      <c r="F46" s="334"/>
      <c r="G46" s="509"/>
      <c r="H46" s="454"/>
      <c r="I46" s="174"/>
      <c r="J46" s="175" t="e">
        <f t="shared" si="129"/>
        <v>#DIV/0!</v>
      </c>
      <c r="K46" s="174"/>
      <c r="L46" s="175" t="e">
        <f t="shared" si="130"/>
        <v>#DIV/0!</v>
      </c>
      <c r="M46" s="174">
        <f t="shared" si="131"/>
        <v>0</v>
      </c>
      <c r="N46" s="175" t="e">
        <f t="shared" si="153"/>
        <v>#DIV/0!</v>
      </c>
      <c r="O46" s="174"/>
      <c r="P46" s="175" t="e">
        <f t="shared" si="133"/>
        <v>#DIV/0!</v>
      </c>
      <c r="Q46" s="174"/>
      <c r="R46" s="175" t="e">
        <f t="shared" si="134"/>
        <v>#DIV/0!</v>
      </c>
      <c r="S46" s="174">
        <f t="shared" si="135"/>
        <v>0</v>
      </c>
      <c r="T46" s="175" t="e">
        <f t="shared" si="154"/>
        <v>#DIV/0!</v>
      </c>
      <c r="U46" s="174"/>
      <c r="V46" s="175" t="e">
        <f t="shared" si="155"/>
        <v>#DIV/0!</v>
      </c>
      <c r="W46" s="174"/>
      <c r="X46" s="175" t="e">
        <f t="shared" si="138"/>
        <v>#DIV/0!</v>
      </c>
      <c r="Y46" s="174"/>
      <c r="Z46" s="175" t="e">
        <f t="shared" si="139"/>
        <v>#DIV/0!</v>
      </c>
      <c r="AA46" s="174"/>
      <c r="AB46" s="175" t="e">
        <f t="shared" si="140"/>
        <v>#DIV/0!</v>
      </c>
      <c r="AC46" s="174">
        <f t="shared" si="141"/>
        <v>0</v>
      </c>
      <c r="AD46" s="175" t="e">
        <f t="shared" si="142"/>
        <v>#DIV/0!</v>
      </c>
      <c r="AE46" s="174"/>
      <c r="AF46" s="175" t="e">
        <f t="shared" si="143"/>
        <v>#DIV/0!</v>
      </c>
      <c r="AG46" s="174"/>
      <c r="AH46" s="175" t="e">
        <f t="shared" si="144"/>
        <v>#DIV/0!</v>
      </c>
      <c r="AI46" s="174"/>
      <c r="AJ46" s="175" t="e">
        <f t="shared" si="145"/>
        <v>#DIV/0!</v>
      </c>
      <c r="AK46" s="174"/>
      <c r="AL46" s="175" t="e">
        <f t="shared" si="146"/>
        <v>#DIV/0!</v>
      </c>
      <c r="AN46" s="72"/>
    </row>
    <row r="47" spans="2:40" s="73" customFormat="1" ht="14.25" customHeight="1" collapsed="1">
      <c r="B47" s="504"/>
      <c r="C47" s="460"/>
      <c r="D47" s="173">
        <v>46117</v>
      </c>
      <c r="E47" s="173" t="s">
        <v>116</v>
      </c>
      <c r="F47" s="334"/>
      <c r="G47" s="509"/>
      <c r="H47" s="454"/>
      <c r="I47" s="174"/>
      <c r="J47" s="175" t="e">
        <f t="shared" si="129"/>
        <v>#DIV/0!</v>
      </c>
      <c r="K47" s="174"/>
      <c r="L47" s="175" t="e">
        <f t="shared" si="130"/>
        <v>#DIV/0!</v>
      </c>
      <c r="M47" s="174">
        <f t="shared" si="131"/>
        <v>0</v>
      </c>
      <c r="N47" s="175" t="e">
        <f t="shared" ref="N47" si="156">M47/F47</f>
        <v>#DIV/0!</v>
      </c>
      <c r="O47" s="174"/>
      <c r="P47" s="175" t="e">
        <f t="shared" si="133"/>
        <v>#DIV/0!</v>
      </c>
      <c r="Q47" s="174"/>
      <c r="R47" s="175" t="e">
        <f t="shared" si="134"/>
        <v>#DIV/0!</v>
      </c>
      <c r="S47" s="174">
        <f t="shared" si="135"/>
        <v>0</v>
      </c>
      <c r="T47" s="175" t="e">
        <f t="shared" ref="T47" si="157">S47/F47</f>
        <v>#DIV/0!</v>
      </c>
      <c r="U47" s="174"/>
      <c r="V47" s="175" t="e">
        <f t="shared" ref="V47" si="158">U47/F47</f>
        <v>#DIV/0!</v>
      </c>
      <c r="W47" s="174"/>
      <c r="X47" s="175" t="e">
        <f t="shared" si="138"/>
        <v>#DIV/0!</v>
      </c>
      <c r="Y47" s="174"/>
      <c r="Z47" s="175" t="e">
        <f t="shared" si="139"/>
        <v>#DIV/0!</v>
      </c>
      <c r="AA47" s="174"/>
      <c r="AB47" s="175" t="e">
        <f t="shared" si="140"/>
        <v>#DIV/0!</v>
      </c>
      <c r="AC47" s="174">
        <f t="shared" si="141"/>
        <v>0</v>
      </c>
      <c r="AD47" s="175" t="e">
        <f t="shared" si="142"/>
        <v>#DIV/0!</v>
      </c>
      <c r="AE47" s="174"/>
      <c r="AF47" s="175" t="e">
        <f t="shared" si="143"/>
        <v>#DIV/0!</v>
      </c>
      <c r="AG47" s="174"/>
      <c r="AH47" s="175" t="e">
        <f t="shared" si="144"/>
        <v>#DIV/0!</v>
      </c>
      <c r="AI47" s="174"/>
      <c r="AJ47" s="175" t="e">
        <f t="shared" si="145"/>
        <v>#DIV/0!</v>
      </c>
      <c r="AK47" s="174"/>
      <c r="AL47" s="175" t="e">
        <f t="shared" si="146"/>
        <v>#DIV/0!</v>
      </c>
      <c r="AN47" s="72"/>
    </row>
    <row r="48" spans="2:40" s="73" customFormat="1" ht="14.25" customHeight="1">
      <c r="B48" s="505"/>
      <c r="C48" s="461"/>
      <c r="D48" s="173">
        <v>46118</v>
      </c>
      <c r="E48" s="173" t="s">
        <v>117</v>
      </c>
      <c r="F48" s="334"/>
      <c r="G48" s="510"/>
      <c r="H48" s="455"/>
      <c r="I48" s="174"/>
      <c r="J48" s="175" t="e">
        <f t="shared" si="129"/>
        <v>#DIV/0!</v>
      </c>
      <c r="K48" s="174"/>
      <c r="L48" s="175" t="e">
        <f t="shared" si="130"/>
        <v>#DIV/0!</v>
      </c>
      <c r="M48" s="174">
        <f t="shared" si="131"/>
        <v>0</v>
      </c>
      <c r="N48" s="175" t="e">
        <f t="shared" ref="N48" si="159">M48/$F48</f>
        <v>#DIV/0!</v>
      </c>
      <c r="O48" s="174"/>
      <c r="P48" s="175" t="e">
        <f t="shared" si="133"/>
        <v>#DIV/0!</v>
      </c>
      <c r="Q48" s="174"/>
      <c r="R48" s="175" t="e">
        <f t="shared" si="134"/>
        <v>#DIV/0!</v>
      </c>
      <c r="S48" s="174">
        <f t="shared" si="135"/>
        <v>0</v>
      </c>
      <c r="T48" s="175" t="e">
        <f t="shared" ref="T48" si="160">S48/$F48</f>
        <v>#DIV/0!</v>
      </c>
      <c r="U48" s="174"/>
      <c r="V48" s="175" t="e">
        <f t="shared" ref="V48" si="161">U48/$F48</f>
        <v>#DIV/0!</v>
      </c>
      <c r="W48" s="174"/>
      <c r="X48" s="175" t="e">
        <f t="shared" si="138"/>
        <v>#DIV/0!</v>
      </c>
      <c r="Y48" s="174"/>
      <c r="Z48" s="175" t="e">
        <f t="shared" si="139"/>
        <v>#DIV/0!</v>
      </c>
      <c r="AA48" s="174"/>
      <c r="AB48" s="175" t="e">
        <f t="shared" si="140"/>
        <v>#DIV/0!</v>
      </c>
      <c r="AC48" s="174">
        <f t="shared" si="141"/>
        <v>0</v>
      </c>
      <c r="AD48" s="175" t="e">
        <f t="shared" si="142"/>
        <v>#DIV/0!</v>
      </c>
      <c r="AE48" s="174"/>
      <c r="AF48" s="175" t="e">
        <f t="shared" si="143"/>
        <v>#DIV/0!</v>
      </c>
      <c r="AG48" s="174"/>
      <c r="AH48" s="175" t="e">
        <f t="shared" si="144"/>
        <v>#DIV/0!</v>
      </c>
      <c r="AI48" s="174"/>
      <c r="AJ48" s="175" t="e">
        <f t="shared" si="145"/>
        <v>#DIV/0!</v>
      </c>
      <c r="AK48" s="174"/>
      <c r="AL48" s="175" t="e">
        <f t="shared" si="146"/>
        <v>#DIV/0!</v>
      </c>
      <c r="AN48" s="72"/>
    </row>
  </sheetData>
  <mergeCells count="49">
    <mergeCell ref="B42:B48"/>
    <mergeCell ref="H7:H11"/>
    <mergeCell ref="G21:G27"/>
    <mergeCell ref="G28:G34"/>
    <mergeCell ref="G35:G41"/>
    <mergeCell ref="G14:G20"/>
    <mergeCell ref="G7:G13"/>
    <mergeCell ref="G42:G48"/>
    <mergeCell ref="H12:H42"/>
    <mergeCell ref="C7:C11"/>
    <mergeCell ref="C12:C41"/>
    <mergeCell ref="B21:B27"/>
    <mergeCell ref="B28:B34"/>
    <mergeCell ref="B35:B41"/>
    <mergeCell ref="B7:B13"/>
    <mergeCell ref="B14:B20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AI4:AJ4"/>
    <mergeCell ref="G5:G6"/>
    <mergeCell ref="H5:H6"/>
    <mergeCell ref="I5:J5"/>
    <mergeCell ref="K5:L5"/>
  </mergeCells>
  <phoneticPr fontId="15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48"/>
  <sheetViews>
    <sheetView topLeftCell="A9" zoomScale="85" zoomScaleNormal="85" workbookViewId="0">
      <selection activeCell="H43" sqref="H43"/>
    </sheetView>
  </sheetViews>
  <sheetFormatPr defaultColWidth="8.81640625" defaultRowHeight="16"/>
  <cols>
    <col min="1" max="1" width="8.81640625" style="75"/>
    <col min="2" max="2" width="13.1796875" style="75" customWidth="1"/>
    <col min="3" max="3" width="8.81640625" style="95"/>
    <col min="4" max="4" width="17" style="95" customWidth="1"/>
    <col min="5" max="5" width="8.54296875" style="77" customWidth="1"/>
    <col min="6" max="8" width="17.453125" style="96" customWidth="1"/>
    <col min="9" max="9" width="10.54296875" style="82" customWidth="1"/>
    <col min="10" max="10" width="10.54296875" style="84" customWidth="1"/>
    <col min="11" max="11" width="10.54296875" style="82" customWidth="1"/>
    <col min="12" max="12" width="10.54296875" style="84" customWidth="1"/>
    <col min="13" max="13" width="10.54296875" style="82" customWidth="1"/>
    <col min="14" max="14" width="10.54296875" style="84" customWidth="1"/>
    <col min="15" max="15" width="10.54296875" style="82" customWidth="1"/>
    <col min="16" max="16" width="10.54296875" style="84" customWidth="1"/>
    <col min="17" max="17" width="10.54296875" style="82" customWidth="1"/>
    <col min="18" max="18" width="10.54296875" style="84" customWidth="1"/>
    <col min="19" max="19" width="10.54296875" style="82" customWidth="1"/>
    <col min="20" max="20" width="10.54296875" style="84" customWidth="1"/>
    <col min="21" max="21" width="10.54296875" style="82" customWidth="1"/>
    <col min="22" max="22" width="10.54296875" style="84" customWidth="1"/>
    <col min="23" max="23" width="10.54296875" style="82" customWidth="1"/>
    <col min="24" max="24" width="10.54296875" style="84" customWidth="1"/>
    <col min="25" max="25" width="10.54296875" style="82" customWidth="1"/>
    <col min="26" max="26" width="10.54296875" style="84" customWidth="1"/>
    <col min="27" max="27" width="10.54296875" style="82" customWidth="1"/>
    <col min="28" max="28" width="10.54296875" style="84" customWidth="1"/>
    <col min="29" max="29" width="10.54296875" style="82" customWidth="1"/>
    <col min="30" max="30" width="10.54296875" style="84" customWidth="1"/>
    <col min="31" max="31" width="10.54296875" style="82" customWidth="1"/>
    <col min="32" max="32" width="10.54296875" style="84" customWidth="1"/>
    <col min="33" max="33" width="10.453125" style="82" customWidth="1"/>
    <col min="34" max="34" width="10.453125" style="84" customWidth="1"/>
    <col min="35" max="35" width="10.453125" style="82" customWidth="1"/>
    <col min="36" max="36" width="10.453125" style="84" customWidth="1"/>
    <col min="37" max="37" width="10.453125" style="82" customWidth="1"/>
    <col min="38" max="38" width="10.453125" style="84" customWidth="1"/>
    <col min="39" max="16384" width="8.81640625" style="75"/>
  </cols>
  <sheetData>
    <row r="2" spans="1:38" ht="38.15" customHeight="1">
      <c r="A2" s="74"/>
      <c r="B2" s="476" t="s">
        <v>326</v>
      </c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6"/>
      <c r="U2" s="476"/>
      <c r="V2" s="476"/>
      <c r="W2" s="476"/>
      <c r="X2" s="476"/>
      <c r="Y2" s="476"/>
      <c r="Z2" s="476"/>
      <c r="AA2" s="476"/>
      <c r="AB2" s="476"/>
      <c r="AC2" s="476"/>
      <c r="AD2" s="476"/>
      <c r="AE2" s="476"/>
      <c r="AF2" s="476"/>
      <c r="AG2" s="476"/>
      <c r="AH2" s="476"/>
      <c r="AI2" s="476"/>
      <c r="AJ2" s="476"/>
      <c r="AK2" s="476"/>
      <c r="AL2" s="476"/>
    </row>
    <row r="3" spans="1:38" ht="25.4" customHeight="1">
      <c r="B3" s="494" t="s">
        <v>425</v>
      </c>
      <c r="C3" s="495" t="s">
        <v>426</v>
      </c>
      <c r="D3" s="496" t="s">
        <v>105</v>
      </c>
      <c r="E3" s="496"/>
      <c r="F3" s="527" t="s">
        <v>155</v>
      </c>
      <c r="G3" s="527"/>
      <c r="H3" s="527"/>
      <c r="I3" s="529" t="s">
        <v>324</v>
      </c>
      <c r="J3" s="529"/>
      <c r="K3" s="529"/>
      <c r="L3" s="529"/>
      <c r="M3" s="529"/>
      <c r="N3" s="529"/>
      <c r="O3" s="529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29"/>
      <c r="AB3" s="529"/>
      <c r="AC3" s="529"/>
      <c r="AD3" s="529"/>
      <c r="AE3" s="529"/>
      <c r="AF3" s="529"/>
      <c r="AG3" s="529"/>
      <c r="AH3" s="529"/>
      <c r="AI3" s="529"/>
      <c r="AJ3" s="529"/>
      <c r="AK3" s="529"/>
      <c r="AL3" s="529"/>
    </row>
    <row r="4" spans="1:38" ht="25.4" customHeight="1">
      <c r="B4" s="494"/>
      <c r="C4" s="495"/>
      <c r="D4" s="496"/>
      <c r="E4" s="496"/>
      <c r="F4" s="527"/>
      <c r="G4" s="527"/>
      <c r="H4" s="527"/>
      <c r="I4" s="526" t="s">
        <v>427</v>
      </c>
      <c r="J4" s="526"/>
      <c r="K4" s="526"/>
      <c r="L4" s="526"/>
      <c r="M4" s="526"/>
      <c r="N4" s="526"/>
      <c r="O4" s="526" t="s">
        <v>428</v>
      </c>
      <c r="P4" s="526"/>
      <c r="Q4" s="526"/>
      <c r="R4" s="526"/>
      <c r="S4" s="526"/>
      <c r="T4" s="526"/>
      <c r="U4" s="526" t="s">
        <v>429</v>
      </c>
      <c r="V4" s="526"/>
      <c r="W4" s="526" t="s">
        <v>430</v>
      </c>
      <c r="X4" s="526"/>
      <c r="Y4" s="526" t="s">
        <v>140</v>
      </c>
      <c r="Z4" s="526"/>
      <c r="AA4" s="526"/>
      <c r="AB4" s="526"/>
      <c r="AC4" s="526"/>
      <c r="AD4" s="526"/>
      <c r="AE4" s="526" t="s">
        <v>138</v>
      </c>
      <c r="AF4" s="526"/>
      <c r="AG4" s="526" t="s">
        <v>431</v>
      </c>
      <c r="AH4" s="526"/>
      <c r="AI4" s="526" t="s">
        <v>432</v>
      </c>
      <c r="AJ4" s="526"/>
      <c r="AK4" s="526" t="s">
        <v>144</v>
      </c>
      <c r="AL4" s="526"/>
    </row>
    <row r="5" spans="1:38" ht="25.4" customHeight="1">
      <c r="B5" s="494"/>
      <c r="C5" s="495"/>
      <c r="D5" s="496"/>
      <c r="E5" s="496"/>
      <c r="F5" s="517" t="s">
        <v>116</v>
      </c>
      <c r="G5" s="517" t="s">
        <v>120</v>
      </c>
      <c r="H5" s="517" t="s">
        <v>121</v>
      </c>
      <c r="I5" s="526" t="s">
        <v>134</v>
      </c>
      <c r="J5" s="526"/>
      <c r="K5" s="526" t="s">
        <v>135</v>
      </c>
      <c r="L5" s="526"/>
      <c r="M5" s="526" t="s">
        <v>153</v>
      </c>
      <c r="N5" s="526"/>
      <c r="O5" s="526" t="s">
        <v>134</v>
      </c>
      <c r="P5" s="526"/>
      <c r="Q5" s="526" t="s">
        <v>135</v>
      </c>
      <c r="R5" s="526"/>
      <c r="S5" s="526" t="s">
        <v>153</v>
      </c>
      <c r="T5" s="526"/>
      <c r="U5" s="526" t="s">
        <v>134</v>
      </c>
      <c r="V5" s="526"/>
      <c r="W5" s="526" t="s">
        <v>134</v>
      </c>
      <c r="X5" s="526"/>
      <c r="Y5" s="526" t="s">
        <v>134</v>
      </c>
      <c r="Z5" s="526"/>
      <c r="AA5" s="526" t="s">
        <v>135</v>
      </c>
      <c r="AB5" s="526"/>
      <c r="AC5" s="526" t="s">
        <v>153</v>
      </c>
      <c r="AD5" s="526"/>
      <c r="AE5" s="526" t="s">
        <v>134</v>
      </c>
      <c r="AF5" s="526"/>
      <c r="AG5" s="526" t="s">
        <v>134</v>
      </c>
      <c r="AH5" s="526"/>
      <c r="AI5" s="526" t="s">
        <v>134</v>
      </c>
      <c r="AJ5" s="526"/>
      <c r="AK5" s="526" t="s">
        <v>134</v>
      </c>
      <c r="AL5" s="526"/>
    </row>
    <row r="6" spans="1:38" s="77" customFormat="1" ht="23.5" customHeight="1">
      <c r="B6" s="494"/>
      <c r="C6" s="528"/>
      <c r="D6" s="497"/>
      <c r="E6" s="497"/>
      <c r="F6" s="518"/>
      <c r="G6" s="517"/>
      <c r="H6" s="517"/>
      <c r="I6" s="217" t="s">
        <v>156</v>
      </c>
      <c r="J6" s="176" t="s">
        <v>111</v>
      </c>
      <c r="K6" s="217" t="s">
        <v>156</v>
      </c>
      <c r="L6" s="176" t="s">
        <v>111</v>
      </c>
      <c r="M6" s="217" t="s">
        <v>156</v>
      </c>
      <c r="N6" s="176" t="s">
        <v>111</v>
      </c>
      <c r="O6" s="217" t="s">
        <v>156</v>
      </c>
      <c r="P6" s="176" t="s">
        <v>111</v>
      </c>
      <c r="Q6" s="217" t="s">
        <v>156</v>
      </c>
      <c r="R6" s="176" t="s">
        <v>111</v>
      </c>
      <c r="S6" s="217" t="s">
        <v>156</v>
      </c>
      <c r="T6" s="176" t="s">
        <v>111</v>
      </c>
      <c r="U6" s="217" t="s">
        <v>156</v>
      </c>
      <c r="V6" s="176" t="s">
        <v>111</v>
      </c>
      <c r="W6" s="217" t="s">
        <v>156</v>
      </c>
      <c r="X6" s="176" t="s">
        <v>111</v>
      </c>
      <c r="Y6" s="217" t="s">
        <v>156</v>
      </c>
      <c r="Z6" s="176" t="s">
        <v>111</v>
      </c>
      <c r="AA6" s="217" t="s">
        <v>156</v>
      </c>
      <c r="AB6" s="176" t="s">
        <v>111</v>
      </c>
      <c r="AC6" s="217" t="s">
        <v>156</v>
      </c>
      <c r="AD6" s="176" t="s">
        <v>111</v>
      </c>
      <c r="AE6" s="217" t="s">
        <v>156</v>
      </c>
      <c r="AF6" s="176" t="s">
        <v>111</v>
      </c>
      <c r="AG6" s="217" t="s">
        <v>156</v>
      </c>
      <c r="AH6" s="176" t="s">
        <v>111</v>
      </c>
      <c r="AI6" s="217" t="s">
        <v>156</v>
      </c>
      <c r="AJ6" s="176" t="s">
        <v>111</v>
      </c>
      <c r="AK6" s="217" t="s">
        <v>156</v>
      </c>
      <c r="AL6" s="176" t="s">
        <v>111</v>
      </c>
    </row>
    <row r="7" spans="1:38" s="73" customFormat="1" ht="14.25" customHeight="1">
      <c r="B7" s="524">
        <f t="shared" ref="B7" si="0">D15</f>
        <v>46085</v>
      </c>
      <c r="C7" s="514"/>
      <c r="D7" s="173">
        <v>46077</v>
      </c>
      <c r="E7" s="173" t="s">
        <v>118</v>
      </c>
      <c r="F7" s="335">
        <f t="shared" ref="F7:F20" si="1">SUM(M7,S7,U7,W7,AC7,AE7,AG7,AI7,AK7)</f>
        <v>175154</v>
      </c>
      <c r="G7" s="523">
        <f t="shared" ref="G7" si="2">SUM(F7:F13)</f>
        <v>1076054</v>
      </c>
      <c r="H7" s="521"/>
      <c r="I7" s="319">
        <v>41576</v>
      </c>
      <c r="J7" s="240">
        <f t="shared" ref="J7:J20" si="3">I7/$F7</f>
        <v>0.23736825878940818</v>
      </c>
      <c r="K7" s="319">
        <v>53591</v>
      </c>
      <c r="L7" s="240">
        <f t="shared" ref="L7:L20" si="4">K7/$F7</f>
        <v>0.30596503648218137</v>
      </c>
      <c r="M7" s="319">
        <f t="shared" ref="M7:M20" si="5">I7+K7</f>
        <v>95167</v>
      </c>
      <c r="N7" s="240">
        <f t="shared" ref="N7:N20" si="6">M7/$F7</f>
        <v>0.54333329527158958</v>
      </c>
      <c r="O7" s="319">
        <v>8958</v>
      </c>
      <c r="P7" s="240">
        <f t="shared" ref="P7:P20" si="7">O7/$F7</f>
        <v>5.1143565091291095E-2</v>
      </c>
      <c r="Q7" s="319">
        <v>6240</v>
      </c>
      <c r="R7" s="240">
        <f t="shared" ref="R7:R20" si="8">Q7/$F7</f>
        <v>3.5625792160042018E-2</v>
      </c>
      <c r="S7" s="319">
        <f t="shared" ref="S7:S20" si="9">O7+Q7</f>
        <v>15198</v>
      </c>
      <c r="T7" s="240">
        <f t="shared" ref="T7:T20" si="10">S7/$F7</f>
        <v>8.6769357251333112E-2</v>
      </c>
      <c r="U7" s="319">
        <v>7835</v>
      </c>
      <c r="V7" s="240">
        <f t="shared" ref="V7:V20" si="11">U7/$F7</f>
        <v>4.4732064354796354E-2</v>
      </c>
      <c r="W7" s="319">
        <v>9313</v>
      </c>
      <c r="X7" s="240">
        <f t="shared" ref="X7:X20" si="12">W7/$F7</f>
        <v>5.3170352946549891E-2</v>
      </c>
      <c r="Y7" s="319">
        <v>4616</v>
      </c>
      <c r="Z7" s="240">
        <f t="shared" ref="Z7:Z20" si="13">Y7/$F7</f>
        <v>2.635395137992852E-2</v>
      </c>
      <c r="AA7" s="319">
        <v>11354</v>
      </c>
      <c r="AB7" s="240">
        <f t="shared" ref="AB7:AB20" si="14">AA7/$F7</f>
        <v>6.4822955798896964E-2</v>
      </c>
      <c r="AC7" s="319">
        <f t="shared" ref="AC7:AC20" si="15">Y7+AA7</f>
        <v>15970</v>
      </c>
      <c r="AD7" s="240">
        <f t="shared" ref="AD7:AD20" si="16">AC7/$F7</f>
        <v>9.1176907178825498E-2</v>
      </c>
      <c r="AE7" s="319">
        <v>24205</v>
      </c>
      <c r="AF7" s="240">
        <f t="shared" ref="AF7:AF20" si="17">AE7/$F7</f>
        <v>0.13819267615926556</v>
      </c>
      <c r="AG7" s="319">
        <v>0</v>
      </c>
      <c r="AH7" s="240">
        <f t="shared" ref="AH7:AH20" si="18">AG7/$F7</f>
        <v>0</v>
      </c>
      <c r="AI7" s="319">
        <v>2347</v>
      </c>
      <c r="AJ7" s="240">
        <f t="shared" ref="AJ7:AJ20" si="19">AI7/$F7</f>
        <v>1.3399636890964522E-2</v>
      </c>
      <c r="AK7" s="319">
        <v>5119</v>
      </c>
      <c r="AL7" s="240">
        <f t="shared" ref="AL7:AL20" si="20">AK7/$F7</f>
        <v>2.9225709946675497E-2</v>
      </c>
    </row>
    <row r="8" spans="1:38" s="73" customFormat="1" ht="14.25" customHeight="1">
      <c r="B8" s="525"/>
      <c r="C8" s="514"/>
      <c r="D8" s="173">
        <v>46078</v>
      </c>
      <c r="E8" s="173" t="s">
        <v>112</v>
      </c>
      <c r="F8" s="335">
        <f t="shared" si="1"/>
        <v>156618</v>
      </c>
      <c r="G8" s="523"/>
      <c r="H8" s="521"/>
      <c r="I8" s="319">
        <v>40753</v>
      </c>
      <c r="J8" s="240">
        <f t="shared" si="3"/>
        <v>0.2602063619762735</v>
      </c>
      <c r="K8" s="319">
        <v>47002</v>
      </c>
      <c r="L8" s="240">
        <f t="shared" si="4"/>
        <v>0.30010599037147712</v>
      </c>
      <c r="M8" s="319">
        <f t="shared" si="5"/>
        <v>87755</v>
      </c>
      <c r="N8" s="240">
        <f t="shared" si="6"/>
        <v>0.56031235234775056</v>
      </c>
      <c r="O8" s="319">
        <v>8950</v>
      </c>
      <c r="P8" s="240">
        <f t="shared" si="7"/>
        <v>5.7145411127712015E-2</v>
      </c>
      <c r="Q8" s="319">
        <v>5935</v>
      </c>
      <c r="R8" s="240">
        <f t="shared" si="8"/>
        <v>3.7894750284130814E-2</v>
      </c>
      <c r="S8" s="319">
        <f t="shared" si="9"/>
        <v>14885</v>
      </c>
      <c r="T8" s="240">
        <f t="shared" si="10"/>
        <v>9.5040161411842822E-2</v>
      </c>
      <c r="U8" s="319">
        <v>5976</v>
      </c>
      <c r="V8" s="240">
        <f t="shared" si="11"/>
        <v>3.8156533731754969E-2</v>
      </c>
      <c r="W8" s="319">
        <v>5080</v>
      </c>
      <c r="X8" s="240">
        <f t="shared" si="12"/>
        <v>3.2435607656846596E-2</v>
      </c>
      <c r="Y8" s="319">
        <v>4338</v>
      </c>
      <c r="Z8" s="240">
        <f t="shared" si="13"/>
        <v>2.7697965751063095E-2</v>
      </c>
      <c r="AA8" s="319">
        <v>8607</v>
      </c>
      <c r="AB8" s="240">
        <f t="shared" si="14"/>
        <v>5.4955369114661153E-2</v>
      </c>
      <c r="AC8" s="319">
        <f t="shared" si="15"/>
        <v>12945</v>
      </c>
      <c r="AD8" s="240">
        <f t="shared" si="16"/>
        <v>8.2653334865724251E-2</v>
      </c>
      <c r="AE8" s="319">
        <v>22954</v>
      </c>
      <c r="AF8" s="240">
        <f t="shared" si="17"/>
        <v>0.14656042089670407</v>
      </c>
      <c r="AG8" s="319">
        <v>0</v>
      </c>
      <c r="AH8" s="240">
        <f t="shared" si="18"/>
        <v>0</v>
      </c>
      <c r="AI8" s="319">
        <v>2130</v>
      </c>
      <c r="AJ8" s="240">
        <f t="shared" si="19"/>
        <v>1.3599969352181742E-2</v>
      </c>
      <c r="AK8" s="319">
        <v>4893</v>
      </c>
      <c r="AL8" s="240">
        <f t="shared" si="20"/>
        <v>3.124161973719496E-2</v>
      </c>
    </row>
    <row r="9" spans="1:38" s="73" customFormat="1" ht="14.25" customHeight="1">
      <c r="B9" s="525"/>
      <c r="C9" s="514"/>
      <c r="D9" s="173">
        <v>46079</v>
      </c>
      <c r="E9" s="173" t="s">
        <v>113</v>
      </c>
      <c r="F9" s="335">
        <f t="shared" si="1"/>
        <v>129387</v>
      </c>
      <c r="G9" s="523"/>
      <c r="H9" s="521"/>
      <c r="I9" s="319">
        <v>29097</v>
      </c>
      <c r="J9" s="240">
        <f t="shared" si="3"/>
        <v>0.22488348906768069</v>
      </c>
      <c r="K9" s="319">
        <v>41590</v>
      </c>
      <c r="L9" s="240">
        <f t="shared" si="4"/>
        <v>0.32143878442192803</v>
      </c>
      <c r="M9" s="319">
        <f t="shared" si="5"/>
        <v>70687</v>
      </c>
      <c r="N9" s="240">
        <f t="shared" si="6"/>
        <v>0.54632227348960871</v>
      </c>
      <c r="O9" s="319">
        <v>7351</v>
      </c>
      <c r="P9" s="240">
        <f t="shared" si="7"/>
        <v>5.6814053962144576E-2</v>
      </c>
      <c r="Q9" s="319">
        <v>5068</v>
      </c>
      <c r="R9" s="240">
        <f t="shared" si="8"/>
        <v>3.9169313764133955E-2</v>
      </c>
      <c r="S9" s="319">
        <f t="shared" si="9"/>
        <v>12419</v>
      </c>
      <c r="T9" s="240">
        <f t="shared" si="10"/>
        <v>9.5983367726278523E-2</v>
      </c>
      <c r="U9" s="319">
        <v>5083</v>
      </c>
      <c r="V9" s="240">
        <f t="shared" si="11"/>
        <v>3.928524504007358E-2</v>
      </c>
      <c r="W9" s="319">
        <v>4674</v>
      </c>
      <c r="X9" s="240">
        <f t="shared" si="12"/>
        <v>3.6124185582786524E-2</v>
      </c>
      <c r="Y9" s="319">
        <v>4018</v>
      </c>
      <c r="Z9" s="240">
        <f t="shared" si="13"/>
        <v>3.1054124448360344E-2</v>
      </c>
      <c r="AA9" s="319">
        <v>7686</v>
      </c>
      <c r="AB9" s="240">
        <f t="shared" si="14"/>
        <v>5.9403185791462823E-2</v>
      </c>
      <c r="AC9" s="319">
        <f t="shared" si="15"/>
        <v>11704</v>
      </c>
      <c r="AD9" s="240">
        <f t="shared" si="16"/>
        <v>9.045731023982316E-2</v>
      </c>
      <c r="AE9" s="319">
        <v>18371</v>
      </c>
      <c r="AF9" s="240">
        <f t="shared" si="17"/>
        <v>0.14198489801912093</v>
      </c>
      <c r="AG9" s="319">
        <v>0</v>
      </c>
      <c r="AH9" s="240">
        <f t="shared" si="18"/>
        <v>0</v>
      </c>
      <c r="AI9" s="319">
        <v>2016</v>
      </c>
      <c r="AJ9" s="240">
        <f t="shared" si="19"/>
        <v>1.558116348628533E-2</v>
      </c>
      <c r="AK9" s="319">
        <v>4433</v>
      </c>
      <c r="AL9" s="240">
        <f t="shared" si="20"/>
        <v>3.4261556416023249E-2</v>
      </c>
    </row>
    <row r="10" spans="1:38" s="73" customFormat="1" ht="14.25" customHeight="1">
      <c r="B10" s="525"/>
      <c r="C10" s="514"/>
      <c r="D10" s="173">
        <v>46080</v>
      </c>
      <c r="E10" s="173" t="s">
        <v>114</v>
      </c>
      <c r="F10" s="335">
        <f t="shared" si="1"/>
        <v>120519</v>
      </c>
      <c r="G10" s="523"/>
      <c r="H10" s="521"/>
      <c r="I10" s="319">
        <v>27884</v>
      </c>
      <c r="J10" s="240">
        <f t="shared" si="3"/>
        <v>0.23136600867912943</v>
      </c>
      <c r="K10" s="319">
        <v>40646</v>
      </c>
      <c r="L10" s="240">
        <f t="shared" si="4"/>
        <v>0.33725802570549041</v>
      </c>
      <c r="M10" s="319">
        <f t="shared" si="5"/>
        <v>68530</v>
      </c>
      <c r="N10" s="240">
        <f t="shared" si="6"/>
        <v>0.56862403438461984</v>
      </c>
      <c r="O10" s="319">
        <v>7105</v>
      </c>
      <c r="P10" s="240">
        <f t="shared" si="7"/>
        <v>5.895336005111227E-2</v>
      </c>
      <c r="Q10" s="319">
        <v>4845</v>
      </c>
      <c r="R10" s="240">
        <f t="shared" si="8"/>
        <v>4.0201130112264456E-2</v>
      </c>
      <c r="S10" s="319">
        <f t="shared" si="9"/>
        <v>11950</v>
      </c>
      <c r="T10" s="240">
        <f t="shared" si="10"/>
        <v>9.9154490163376727E-2</v>
      </c>
      <c r="U10" s="319">
        <v>4096</v>
      </c>
      <c r="V10" s="240">
        <f t="shared" si="11"/>
        <v>3.3986342402442769E-2</v>
      </c>
      <c r="W10" s="319">
        <v>2067</v>
      </c>
      <c r="X10" s="240">
        <f t="shared" si="12"/>
        <v>1.7150822691857717E-2</v>
      </c>
      <c r="Y10" s="319">
        <v>3602</v>
      </c>
      <c r="Z10" s="240">
        <f t="shared" si="13"/>
        <v>2.9887403645898158E-2</v>
      </c>
      <c r="AA10" s="319">
        <v>8442</v>
      </c>
      <c r="AB10" s="240">
        <f t="shared" si="14"/>
        <v>7.0047046523784628E-2</v>
      </c>
      <c r="AC10" s="319">
        <f t="shared" si="15"/>
        <v>12044</v>
      </c>
      <c r="AD10" s="240">
        <f t="shared" si="16"/>
        <v>9.993445016968279E-2</v>
      </c>
      <c r="AE10" s="319">
        <v>15752</v>
      </c>
      <c r="AF10" s="240">
        <f t="shared" si="17"/>
        <v>0.13070138318439417</v>
      </c>
      <c r="AG10" s="319">
        <v>0</v>
      </c>
      <c r="AH10" s="240">
        <f t="shared" si="18"/>
        <v>0</v>
      </c>
      <c r="AI10" s="319">
        <v>1878</v>
      </c>
      <c r="AJ10" s="240">
        <f t="shared" si="19"/>
        <v>1.5582605232369999E-2</v>
      </c>
      <c r="AK10" s="319">
        <v>4202</v>
      </c>
      <c r="AL10" s="240">
        <f t="shared" si="20"/>
        <v>3.4865871771255982E-2</v>
      </c>
    </row>
    <row r="11" spans="1:38" s="73" customFormat="1" ht="14.25" customHeight="1">
      <c r="B11" s="525"/>
      <c r="C11" s="515"/>
      <c r="D11" s="173">
        <v>46081</v>
      </c>
      <c r="E11" s="173" t="s">
        <v>115</v>
      </c>
      <c r="F11" s="335">
        <f t="shared" si="1"/>
        <v>131697</v>
      </c>
      <c r="G11" s="523"/>
      <c r="H11" s="522"/>
      <c r="I11" s="319">
        <v>27309</v>
      </c>
      <c r="J11" s="240">
        <f t="shared" si="3"/>
        <v>0.2073623544955466</v>
      </c>
      <c r="K11" s="319">
        <v>49114</v>
      </c>
      <c r="L11" s="240">
        <f t="shared" si="4"/>
        <v>0.37293180558403</v>
      </c>
      <c r="M11" s="319">
        <f t="shared" si="5"/>
        <v>76423</v>
      </c>
      <c r="N11" s="240">
        <f t="shared" si="6"/>
        <v>0.58029416007957657</v>
      </c>
      <c r="O11" s="319">
        <v>6731</v>
      </c>
      <c r="P11" s="240">
        <f t="shared" si="7"/>
        <v>5.1109744337380504E-2</v>
      </c>
      <c r="Q11" s="319">
        <v>4780</v>
      </c>
      <c r="R11" s="240">
        <f t="shared" si="8"/>
        <v>3.6295435735058508E-2</v>
      </c>
      <c r="S11" s="319">
        <f t="shared" si="9"/>
        <v>11511</v>
      </c>
      <c r="T11" s="240">
        <f t="shared" si="10"/>
        <v>8.7405180072439012E-2</v>
      </c>
      <c r="U11" s="319">
        <v>4571</v>
      </c>
      <c r="V11" s="240">
        <f t="shared" si="11"/>
        <v>3.4708459570073728E-2</v>
      </c>
      <c r="W11" s="319">
        <v>2494</v>
      </c>
      <c r="X11" s="240">
        <f t="shared" si="12"/>
        <v>1.8937409356325506E-2</v>
      </c>
      <c r="Y11" s="319">
        <v>3911</v>
      </c>
      <c r="Z11" s="240">
        <f t="shared" si="13"/>
        <v>2.9696955891174437E-2</v>
      </c>
      <c r="AA11" s="319">
        <v>9991</v>
      </c>
      <c r="AB11" s="240">
        <f t="shared" si="14"/>
        <v>7.5863535236186094E-2</v>
      </c>
      <c r="AC11" s="319">
        <f t="shared" si="15"/>
        <v>13902</v>
      </c>
      <c r="AD11" s="240">
        <f t="shared" si="16"/>
        <v>0.10556049112736053</v>
      </c>
      <c r="AE11" s="319">
        <v>17123</v>
      </c>
      <c r="AF11" s="240">
        <f t="shared" si="17"/>
        <v>0.13001814771786752</v>
      </c>
      <c r="AG11" s="319">
        <v>0</v>
      </c>
      <c r="AH11" s="240">
        <f t="shared" si="18"/>
        <v>0</v>
      </c>
      <c r="AI11" s="319">
        <v>980</v>
      </c>
      <c r="AJ11" s="240">
        <f t="shared" si="19"/>
        <v>7.4413236444262204E-3</v>
      </c>
      <c r="AK11" s="319">
        <v>4693</v>
      </c>
      <c r="AL11" s="240">
        <f t="shared" si="20"/>
        <v>3.5634828431930873E-2</v>
      </c>
    </row>
    <row r="12" spans="1:38" s="73" customFormat="1" ht="14.25" customHeight="1">
      <c r="B12" s="525"/>
      <c r="C12" s="516" t="s">
        <v>112</v>
      </c>
      <c r="D12" s="173">
        <v>46082</v>
      </c>
      <c r="E12" s="173" t="s">
        <v>116</v>
      </c>
      <c r="F12" s="335">
        <f t="shared" si="1"/>
        <v>179915</v>
      </c>
      <c r="G12" s="523"/>
      <c r="H12" s="520">
        <f>SUM(F12:F42)</f>
        <v>1500422</v>
      </c>
      <c r="I12" s="426">
        <v>45109</v>
      </c>
      <c r="J12" s="240">
        <f t="shared" si="3"/>
        <v>0.25072395297779509</v>
      </c>
      <c r="K12" s="319">
        <v>56909</v>
      </c>
      <c r="L12" s="240">
        <f t="shared" si="4"/>
        <v>0.31631047994886474</v>
      </c>
      <c r="M12" s="319">
        <f t="shared" si="5"/>
        <v>102018</v>
      </c>
      <c r="N12" s="240">
        <f t="shared" si="6"/>
        <v>0.56703443292665978</v>
      </c>
      <c r="O12" s="319">
        <v>9378</v>
      </c>
      <c r="P12" s="240">
        <f t="shared" si="7"/>
        <v>5.212461440124503E-2</v>
      </c>
      <c r="Q12" s="319">
        <v>5980</v>
      </c>
      <c r="R12" s="240">
        <f t="shared" si="8"/>
        <v>3.3237917905677684E-2</v>
      </c>
      <c r="S12" s="319">
        <f t="shared" si="9"/>
        <v>15358</v>
      </c>
      <c r="T12" s="240">
        <f t="shared" si="10"/>
        <v>8.5362532306922714E-2</v>
      </c>
      <c r="U12" s="319">
        <v>6798</v>
      </c>
      <c r="V12" s="240">
        <f t="shared" si="11"/>
        <v>3.7784509351638275E-2</v>
      </c>
      <c r="W12" s="319">
        <v>5640</v>
      </c>
      <c r="X12" s="240">
        <f t="shared" si="12"/>
        <v>3.1348136620070591E-2</v>
      </c>
      <c r="Y12" s="319">
        <v>5220</v>
      </c>
      <c r="Z12" s="240">
        <f t="shared" si="13"/>
        <v>2.901370091432065E-2</v>
      </c>
      <c r="AA12" s="319">
        <v>11326</v>
      </c>
      <c r="AB12" s="240">
        <f t="shared" si="14"/>
        <v>6.2951949531723311E-2</v>
      </c>
      <c r="AC12" s="319">
        <f t="shared" si="15"/>
        <v>16546</v>
      </c>
      <c r="AD12" s="240">
        <f t="shared" si="16"/>
        <v>9.1965650446043962E-2</v>
      </c>
      <c r="AE12" s="319">
        <v>28946</v>
      </c>
      <c r="AF12" s="240">
        <f t="shared" si="17"/>
        <v>0.16088708556818498</v>
      </c>
      <c r="AG12" s="319">
        <v>0</v>
      </c>
      <c r="AH12" s="240">
        <f t="shared" si="18"/>
        <v>0</v>
      </c>
      <c r="AI12" s="319">
        <v>1129</v>
      </c>
      <c r="AJ12" s="240">
        <f t="shared" si="19"/>
        <v>6.2751855042659033E-3</v>
      </c>
      <c r="AK12" s="319">
        <v>3480</v>
      </c>
      <c r="AL12" s="240">
        <f t="shared" si="20"/>
        <v>1.9342467276213769E-2</v>
      </c>
    </row>
    <row r="13" spans="1:38" s="73" customFormat="1" ht="14.25" customHeight="1">
      <c r="B13" s="525"/>
      <c r="C13" s="514"/>
      <c r="D13" s="173">
        <v>46083</v>
      </c>
      <c r="E13" s="173" t="s">
        <v>117</v>
      </c>
      <c r="F13" s="335">
        <f t="shared" si="1"/>
        <v>182764</v>
      </c>
      <c r="G13" s="523"/>
      <c r="H13" s="521"/>
      <c r="I13" s="426">
        <v>43427</v>
      </c>
      <c r="J13" s="240">
        <f t="shared" si="3"/>
        <v>0.23761244008666915</v>
      </c>
      <c r="K13" s="319">
        <v>60484</v>
      </c>
      <c r="L13" s="240">
        <f t="shared" si="4"/>
        <v>0.33094044779059334</v>
      </c>
      <c r="M13" s="319">
        <f t="shared" si="5"/>
        <v>103911</v>
      </c>
      <c r="N13" s="240">
        <f t="shared" si="6"/>
        <v>0.56855288787726244</v>
      </c>
      <c r="O13" s="319">
        <v>8646</v>
      </c>
      <c r="P13" s="240">
        <f t="shared" si="7"/>
        <v>4.7306909457004664E-2</v>
      </c>
      <c r="Q13" s="319">
        <v>5908</v>
      </c>
      <c r="R13" s="240">
        <f t="shared" si="8"/>
        <v>3.2325840975246767E-2</v>
      </c>
      <c r="S13" s="319">
        <f t="shared" si="9"/>
        <v>14554</v>
      </c>
      <c r="T13" s="240">
        <f t="shared" si="10"/>
        <v>7.9632750432251431E-2</v>
      </c>
      <c r="U13" s="319">
        <v>4963</v>
      </c>
      <c r="V13" s="240">
        <f t="shared" si="11"/>
        <v>2.7155238449585256E-2</v>
      </c>
      <c r="W13" s="319">
        <v>4314</v>
      </c>
      <c r="X13" s="240">
        <f t="shared" si="12"/>
        <v>2.3604210894924604E-2</v>
      </c>
      <c r="Y13" s="319">
        <v>4458</v>
      </c>
      <c r="Z13" s="240">
        <f t="shared" si="13"/>
        <v>2.4392112232168261E-2</v>
      </c>
      <c r="AA13" s="319">
        <v>21302</v>
      </c>
      <c r="AB13" s="240">
        <f t="shared" si="14"/>
        <v>0.11655468254141954</v>
      </c>
      <c r="AC13" s="319">
        <f t="shared" si="15"/>
        <v>25760</v>
      </c>
      <c r="AD13" s="240">
        <f t="shared" si="16"/>
        <v>0.14094679477358779</v>
      </c>
      <c r="AE13" s="319">
        <v>24221</v>
      </c>
      <c r="AF13" s="240">
        <f t="shared" si="17"/>
        <v>0.1325260992317962</v>
      </c>
      <c r="AG13" s="319">
        <v>0</v>
      </c>
      <c r="AH13" s="240">
        <f t="shared" si="18"/>
        <v>0</v>
      </c>
      <c r="AI13" s="319">
        <v>1288</v>
      </c>
      <c r="AJ13" s="240">
        <f t="shared" si="19"/>
        <v>7.0473397386793899E-3</v>
      </c>
      <c r="AK13" s="319">
        <v>3753</v>
      </c>
      <c r="AL13" s="240">
        <f t="shared" si="20"/>
        <v>2.053467860191285E-2</v>
      </c>
    </row>
    <row r="14" spans="1:38" s="73" customFormat="1" ht="14.25" customHeight="1">
      <c r="B14" s="503">
        <f>B7+7</f>
        <v>46092</v>
      </c>
      <c r="C14" s="514"/>
      <c r="D14" s="173">
        <v>46084</v>
      </c>
      <c r="E14" s="173" t="s">
        <v>118</v>
      </c>
      <c r="F14" s="335">
        <f t="shared" si="1"/>
        <v>182389</v>
      </c>
      <c r="G14" s="523">
        <f t="shared" ref="G14" si="21">SUM(F14:F20)</f>
        <v>1137743</v>
      </c>
      <c r="H14" s="521"/>
      <c r="I14" s="319">
        <v>42651</v>
      </c>
      <c r="J14" s="240">
        <f t="shared" si="3"/>
        <v>0.23384633941739907</v>
      </c>
      <c r="K14" s="319">
        <v>58621</v>
      </c>
      <c r="L14" s="240">
        <f t="shared" si="4"/>
        <v>0.32140644446759398</v>
      </c>
      <c r="M14" s="319">
        <f t="shared" si="5"/>
        <v>101272</v>
      </c>
      <c r="N14" s="240">
        <f t="shared" si="6"/>
        <v>0.55525278388499311</v>
      </c>
      <c r="O14" s="319">
        <v>13280</v>
      </c>
      <c r="P14" s="240">
        <f t="shared" si="7"/>
        <v>7.2811408582754436E-2</v>
      </c>
      <c r="Q14" s="319">
        <v>5934</v>
      </c>
      <c r="R14" s="240">
        <f t="shared" si="8"/>
        <v>3.2534856817022957E-2</v>
      </c>
      <c r="S14" s="319">
        <f t="shared" si="9"/>
        <v>19214</v>
      </c>
      <c r="T14" s="240">
        <f t="shared" si="10"/>
        <v>0.1053462653997774</v>
      </c>
      <c r="U14" s="319">
        <v>4542</v>
      </c>
      <c r="V14" s="240">
        <f t="shared" si="11"/>
        <v>2.4902817604131829E-2</v>
      </c>
      <c r="W14" s="319">
        <v>3285</v>
      </c>
      <c r="X14" s="240">
        <f t="shared" si="12"/>
        <v>1.8010954608008157E-2</v>
      </c>
      <c r="Y14" s="319">
        <v>3562</v>
      </c>
      <c r="Z14" s="240">
        <f t="shared" si="13"/>
        <v>1.9529686549079165E-2</v>
      </c>
      <c r="AA14" s="319">
        <v>19243</v>
      </c>
      <c r="AB14" s="240">
        <f t="shared" si="14"/>
        <v>0.10550526621671263</v>
      </c>
      <c r="AC14" s="319">
        <f t="shared" si="15"/>
        <v>22805</v>
      </c>
      <c r="AD14" s="240">
        <f t="shared" si="16"/>
        <v>0.1250349527657918</v>
      </c>
      <c r="AE14" s="319">
        <v>26742</v>
      </c>
      <c r="AF14" s="240">
        <f t="shared" si="17"/>
        <v>0.14662068436144723</v>
      </c>
      <c r="AG14" s="319">
        <v>0</v>
      </c>
      <c r="AH14" s="240">
        <f t="shared" si="18"/>
        <v>0</v>
      </c>
      <c r="AI14" s="319">
        <v>1010</v>
      </c>
      <c r="AJ14" s="240">
        <f t="shared" si="19"/>
        <v>5.5376146587787639E-3</v>
      </c>
      <c r="AK14" s="319">
        <v>3519</v>
      </c>
      <c r="AL14" s="240">
        <f t="shared" si="20"/>
        <v>1.9293926717071752E-2</v>
      </c>
    </row>
    <row r="15" spans="1:38" s="73" customFormat="1" ht="14.25" customHeight="1">
      <c r="B15" s="504"/>
      <c r="C15" s="514"/>
      <c r="D15" s="173">
        <v>46085</v>
      </c>
      <c r="E15" s="173" t="s">
        <v>112</v>
      </c>
      <c r="F15" s="335">
        <f t="shared" si="1"/>
        <v>171444</v>
      </c>
      <c r="G15" s="523"/>
      <c r="H15" s="521"/>
      <c r="I15" s="319">
        <v>41657</v>
      </c>
      <c r="J15" s="240">
        <f t="shared" si="3"/>
        <v>0.2429772987097828</v>
      </c>
      <c r="K15" s="319">
        <v>56001</v>
      </c>
      <c r="L15" s="240">
        <f t="shared" si="4"/>
        <v>0.3266431021208091</v>
      </c>
      <c r="M15" s="319">
        <f t="shared" si="5"/>
        <v>97658</v>
      </c>
      <c r="N15" s="240">
        <f t="shared" si="6"/>
        <v>0.56962040083059196</v>
      </c>
      <c r="O15" s="319">
        <v>11933</v>
      </c>
      <c r="P15" s="240">
        <f t="shared" si="7"/>
        <v>6.9602902405450182E-2</v>
      </c>
      <c r="Q15" s="319">
        <v>6206</v>
      </c>
      <c r="R15" s="240">
        <f t="shared" si="8"/>
        <v>3.6198408809873781E-2</v>
      </c>
      <c r="S15" s="319">
        <f t="shared" si="9"/>
        <v>18139</v>
      </c>
      <c r="T15" s="240">
        <f t="shared" si="10"/>
        <v>0.10580131121532395</v>
      </c>
      <c r="U15" s="319">
        <v>4259</v>
      </c>
      <c r="V15" s="240">
        <f t="shared" si="11"/>
        <v>2.4841930892886308E-2</v>
      </c>
      <c r="W15" s="319">
        <v>3035</v>
      </c>
      <c r="X15" s="240">
        <f t="shared" si="12"/>
        <v>1.770257343505751E-2</v>
      </c>
      <c r="Y15" s="319">
        <v>3325</v>
      </c>
      <c r="Z15" s="240">
        <f t="shared" si="13"/>
        <v>1.9394087865425444E-2</v>
      </c>
      <c r="AA15" s="319">
        <v>17352</v>
      </c>
      <c r="AB15" s="240">
        <f t="shared" si="14"/>
        <v>0.10121089101980822</v>
      </c>
      <c r="AC15" s="319">
        <f t="shared" si="15"/>
        <v>20677</v>
      </c>
      <c r="AD15" s="240">
        <f t="shared" si="16"/>
        <v>0.12060497888523367</v>
      </c>
      <c r="AE15" s="319">
        <v>23875</v>
      </c>
      <c r="AF15" s="240">
        <f t="shared" si="17"/>
        <v>0.13925830008632556</v>
      </c>
      <c r="AG15" s="319">
        <v>0</v>
      </c>
      <c r="AH15" s="240">
        <f t="shared" si="18"/>
        <v>0</v>
      </c>
      <c r="AI15" s="319">
        <v>0</v>
      </c>
      <c r="AJ15" s="240">
        <f t="shared" si="19"/>
        <v>0</v>
      </c>
      <c r="AK15" s="319">
        <v>3801</v>
      </c>
      <c r="AL15" s="240">
        <f t="shared" si="20"/>
        <v>2.2170504654581088E-2</v>
      </c>
    </row>
    <row r="16" spans="1:38" s="73" customFormat="1" ht="14.25" customHeight="1">
      <c r="B16" s="504"/>
      <c r="C16" s="514"/>
      <c r="D16" s="173">
        <v>46086</v>
      </c>
      <c r="E16" s="173" t="s">
        <v>113</v>
      </c>
      <c r="F16" s="335">
        <f t="shared" si="1"/>
        <v>153251</v>
      </c>
      <c r="G16" s="523"/>
      <c r="H16" s="521"/>
      <c r="I16" s="319">
        <v>38873</v>
      </c>
      <c r="J16" s="240">
        <f t="shared" si="3"/>
        <v>0.25365576733593909</v>
      </c>
      <c r="K16" s="319">
        <v>49420</v>
      </c>
      <c r="L16" s="240">
        <f t="shared" si="4"/>
        <v>0.3224775042250948</v>
      </c>
      <c r="M16" s="319">
        <f t="shared" si="5"/>
        <v>88293</v>
      </c>
      <c r="N16" s="240">
        <f t="shared" si="6"/>
        <v>0.57613327156103389</v>
      </c>
      <c r="O16" s="319">
        <v>10955</v>
      </c>
      <c r="P16" s="240">
        <f t="shared" si="7"/>
        <v>7.1484035993239853E-2</v>
      </c>
      <c r="Q16" s="319">
        <v>5524</v>
      </c>
      <c r="R16" s="240">
        <f t="shared" si="8"/>
        <v>3.6045441791570688E-2</v>
      </c>
      <c r="S16" s="319">
        <f t="shared" si="9"/>
        <v>16479</v>
      </c>
      <c r="T16" s="240">
        <f t="shared" si="10"/>
        <v>0.10752947778481053</v>
      </c>
      <c r="U16" s="319">
        <v>3735</v>
      </c>
      <c r="V16" s="240">
        <f t="shared" si="11"/>
        <v>2.4371782239593871E-2</v>
      </c>
      <c r="W16" s="319">
        <v>3103</v>
      </c>
      <c r="X16" s="240">
        <f t="shared" si="12"/>
        <v>2.0247828725424303E-2</v>
      </c>
      <c r="Y16" s="319">
        <v>3260</v>
      </c>
      <c r="Z16" s="240">
        <f t="shared" si="13"/>
        <v>2.1272291861064527E-2</v>
      </c>
      <c r="AA16" s="319">
        <v>13639</v>
      </c>
      <c r="AB16" s="240">
        <f t="shared" si="14"/>
        <v>8.899778794265617E-2</v>
      </c>
      <c r="AC16" s="319">
        <f t="shared" si="15"/>
        <v>16899</v>
      </c>
      <c r="AD16" s="240">
        <f t="shared" si="16"/>
        <v>0.11027007980372069</v>
      </c>
      <c r="AE16" s="319">
        <v>21166</v>
      </c>
      <c r="AF16" s="240">
        <f t="shared" si="17"/>
        <v>0.13811329126726743</v>
      </c>
      <c r="AG16" s="319">
        <v>0</v>
      </c>
      <c r="AH16" s="240">
        <f t="shared" si="18"/>
        <v>0</v>
      </c>
      <c r="AI16" s="319">
        <v>0</v>
      </c>
      <c r="AJ16" s="240">
        <f t="shared" si="19"/>
        <v>0</v>
      </c>
      <c r="AK16" s="319">
        <v>3576</v>
      </c>
      <c r="AL16" s="240">
        <f t="shared" si="20"/>
        <v>2.3334268618149311E-2</v>
      </c>
    </row>
    <row r="17" spans="2:38" s="73" customFormat="1" ht="14.25" customHeight="1">
      <c r="B17" s="504"/>
      <c r="C17" s="514"/>
      <c r="D17" s="173">
        <v>46087</v>
      </c>
      <c r="E17" s="173" t="s">
        <v>114</v>
      </c>
      <c r="F17" s="335">
        <f t="shared" si="1"/>
        <v>131075</v>
      </c>
      <c r="G17" s="523"/>
      <c r="H17" s="521"/>
      <c r="I17" s="319">
        <v>28949</v>
      </c>
      <c r="J17" s="240">
        <f t="shared" si="3"/>
        <v>0.22085828724012971</v>
      </c>
      <c r="K17" s="319">
        <v>45623</v>
      </c>
      <c r="L17" s="240">
        <f t="shared" si="4"/>
        <v>0.34806790005721916</v>
      </c>
      <c r="M17" s="319">
        <f t="shared" si="5"/>
        <v>74572</v>
      </c>
      <c r="N17" s="240">
        <f t="shared" si="6"/>
        <v>0.5689261872973489</v>
      </c>
      <c r="O17" s="319">
        <v>8718</v>
      </c>
      <c r="P17" s="240">
        <f t="shared" si="7"/>
        <v>6.6511539195117306E-2</v>
      </c>
      <c r="Q17" s="319">
        <v>4474</v>
      </c>
      <c r="R17" s="240">
        <f t="shared" si="8"/>
        <v>3.4133129887469006E-2</v>
      </c>
      <c r="S17" s="319">
        <f t="shared" si="9"/>
        <v>13192</v>
      </c>
      <c r="T17" s="240">
        <f t="shared" si="10"/>
        <v>0.1006446690825863</v>
      </c>
      <c r="U17" s="319">
        <v>4167</v>
      </c>
      <c r="V17" s="240">
        <f t="shared" si="11"/>
        <v>3.1790959374403967E-2</v>
      </c>
      <c r="W17" s="319">
        <v>3023</v>
      </c>
      <c r="X17" s="240">
        <f t="shared" si="12"/>
        <v>2.3063131794773983E-2</v>
      </c>
      <c r="Y17" s="319">
        <v>3453</v>
      </c>
      <c r="Z17" s="240">
        <f t="shared" si="13"/>
        <v>2.6343696357047492E-2</v>
      </c>
      <c r="AA17" s="319">
        <v>13042</v>
      </c>
      <c r="AB17" s="240">
        <f t="shared" si="14"/>
        <v>9.9500286095746709E-2</v>
      </c>
      <c r="AC17" s="319">
        <f t="shared" si="15"/>
        <v>16495</v>
      </c>
      <c r="AD17" s="240">
        <f t="shared" si="16"/>
        <v>0.12584398245279421</v>
      </c>
      <c r="AE17" s="319">
        <v>16158</v>
      </c>
      <c r="AF17" s="240">
        <f t="shared" si="17"/>
        <v>0.12327293534236124</v>
      </c>
      <c r="AG17" s="319">
        <v>0</v>
      </c>
      <c r="AH17" s="240">
        <f t="shared" si="18"/>
        <v>0</v>
      </c>
      <c r="AI17" s="319">
        <v>0</v>
      </c>
      <c r="AJ17" s="240">
        <f t="shared" si="19"/>
        <v>0</v>
      </c>
      <c r="AK17" s="319">
        <v>3468</v>
      </c>
      <c r="AL17" s="240">
        <f t="shared" si="20"/>
        <v>2.6458134655731453E-2</v>
      </c>
    </row>
    <row r="18" spans="2:38" s="73" customFormat="1" ht="14.25" customHeight="1">
      <c r="B18" s="504"/>
      <c r="C18" s="514"/>
      <c r="D18" s="173">
        <v>46088</v>
      </c>
      <c r="E18" s="173" t="s">
        <v>115</v>
      </c>
      <c r="F18" s="335">
        <f t="shared" si="1"/>
        <v>139687</v>
      </c>
      <c r="G18" s="523"/>
      <c r="H18" s="521"/>
      <c r="I18" s="319">
        <v>27370</v>
      </c>
      <c r="J18" s="240">
        <f t="shared" si="3"/>
        <v>0.19593806152326274</v>
      </c>
      <c r="K18" s="319">
        <v>52622</v>
      </c>
      <c r="L18" s="240">
        <f t="shared" si="4"/>
        <v>0.37671365266631829</v>
      </c>
      <c r="M18" s="319">
        <f t="shared" si="5"/>
        <v>79992</v>
      </c>
      <c r="N18" s="240">
        <f t="shared" si="6"/>
        <v>0.57265171418958094</v>
      </c>
      <c r="O18" s="319">
        <v>8516</v>
      </c>
      <c r="P18" s="240">
        <f t="shared" si="7"/>
        <v>6.0964871462627163E-2</v>
      </c>
      <c r="Q18" s="319">
        <v>4336</v>
      </c>
      <c r="R18" s="240">
        <f t="shared" si="8"/>
        <v>3.1040826991774469E-2</v>
      </c>
      <c r="S18" s="319">
        <f t="shared" si="9"/>
        <v>12852</v>
      </c>
      <c r="T18" s="240">
        <f t="shared" si="10"/>
        <v>9.2005698454401624E-2</v>
      </c>
      <c r="U18" s="319">
        <v>3830</v>
      </c>
      <c r="V18" s="240">
        <f t="shared" si="11"/>
        <v>2.74184426610923E-2</v>
      </c>
      <c r="W18" s="319">
        <v>2479</v>
      </c>
      <c r="X18" s="240">
        <f t="shared" si="12"/>
        <v>1.7746819675417181E-2</v>
      </c>
      <c r="Y18" s="319">
        <v>3812</v>
      </c>
      <c r="Z18" s="240">
        <f t="shared" si="13"/>
        <v>2.7289583139447481E-2</v>
      </c>
      <c r="AA18" s="319">
        <v>14992</v>
      </c>
      <c r="AB18" s="240">
        <f t="shared" si="14"/>
        <v>0.10732566380550802</v>
      </c>
      <c r="AC18" s="319">
        <f t="shared" si="15"/>
        <v>18804</v>
      </c>
      <c r="AD18" s="240">
        <f t="shared" si="16"/>
        <v>0.1346152469449555</v>
      </c>
      <c r="AE18" s="319">
        <v>18163</v>
      </c>
      <c r="AF18" s="240">
        <f t="shared" si="17"/>
        <v>0.13002641620193719</v>
      </c>
      <c r="AG18" s="319">
        <v>0</v>
      </c>
      <c r="AH18" s="240">
        <f t="shared" si="18"/>
        <v>0</v>
      </c>
      <c r="AI18" s="319">
        <v>0</v>
      </c>
      <c r="AJ18" s="240">
        <f t="shared" si="19"/>
        <v>0</v>
      </c>
      <c r="AK18" s="319">
        <v>3567</v>
      </c>
      <c r="AL18" s="240">
        <f t="shared" si="20"/>
        <v>2.5535661872615203E-2</v>
      </c>
    </row>
    <row r="19" spans="2:38" s="73" customFormat="1" ht="14.25" customHeight="1">
      <c r="B19" s="504"/>
      <c r="C19" s="514"/>
      <c r="D19" s="173">
        <v>46089</v>
      </c>
      <c r="E19" s="173" t="s">
        <v>116</v>
      </c>
      <c r="F19" s="335">
        <f t="shared" si="1"/>
        <v>184408</v>
      </c>
      <c r="G19" s="523"/>
      <c r="H19" s="521"/>
      <c r="I19" s="319">
        <v>43794</v>
      </c>
      <c r="J19" s="240">
        <f t="shared" si="3"/>
        <v>0.23748427400112793</v>
      </c>
      <c r="K19" s="319">
        <v>59347</v>
      </c>
      <c r="L19" s="240">
        <f t="shared" si="4"/>
        <v>0.32182443277948897</v>
      </c>
      <c r="M19" s="319">
        <f t="shared" si="5"/>
        <v>103141</v>
      </c>
      <c r="N19" s="240">
        <f t="shared" si="6"/>
        <v>0.55930870678061684</v>
      </c>
      <c r="O19" s="319">
        <v>12412</v>
      </c>
      <c r="P19" s="240">
        <f t="shared" si="7"/>
        <v>6.7307275172443712E-2</v>
      </c>
      <c r="Q19" s="319">
        <v>5576</v>
      </c>
      <c r="R19" s="240">
        <f t="shared" si="8"/>
        <v>3.0237299900221247E-2</v>
      </c>
      <c r="S19" s="319">
        <f t="shared" si="9"/>
        <v>17988</v>
      </c>
      <c r="T19" s="240">
        <f t="shared" si="10"/>
        <v>9.7544575072664966E-2</v>
      </c>
      <c r="U19" s="319">
        <v>4916</v>
      </c>
      <c r="V19" s="240">
        <f t="shared" si="11"/>
        <v>2.6658279467268231E-2</v>
      </c>
      <c r="W19" s="319">
        <v>3108</v>
      </c>
      <c r="X19" s="240">
        <f t="shared" si="12"/>
        <v>1.6853932584269662E-2</v>
      </c>
      <c r="Y19" s="319">
        <v>4334</v>
      </c>
      <c r="Z19" s="240">
        <f t="shared" si="13"/>
        <v>2.3502234176391478E-2</v>
      </c>
      <c r="AA19" s="319">
        <v>18040</v>
      </c>
      <c r="AB19" s="240">
        <f t="shared" si="14"/>
        <v>9.782655850071581E-2</v>
      </c>
      <c r="AC19" s="319">
        <f t="shared" si="15"/>
        <v>22374</v>
      </c>
      <c r="AD19" s="240">
        <f t="shared" si="16"/>
        <v>0.12132879267710728</v>
      </c>
      <c r="AE19" s="319">
        <v>29395</v>
      </c>
      <c r="AF19" s="240">
        <f t="shared" si="17"/>
        <v>0.15940197822220295</v>
      </c>
      <c r="AG19" s="319">
        <v>0</v>
      </c>
      <c r="AH19" s="240">
        <f t="shared" si="18"/>
        <v>0</v>
      </c>
      <c r="AI19" s="319">
        <v>0</v>
      </c>
      <c r="AJ19" s="240">
        <f t="shared" si="19"/>
        <v>0</v>
      </c>
      <c r="AK19" s="319">
        <v>3486</v>
      </c>
      <c r="AL19" s="240">
        <f t="shared" si="20"/>
        <v>1.8903735195870026E-2</v>
      </c>
    </row>
    <row r="20" spans="2:38" s="73" customFormat="1" ht="14.25" customHeight="1">
      <c r="B20" s="505"/>
      <c r="C20" s="514"/>
      <c r="D20" s="173">
        <v>46090</v>
      </c>
      <c r="E20" s="173" t="s">
        <v>117</v>
      </c>
      <c r="F20" s="335">
        <f t="shared" si="1"/>
        <v>175489</v>
      </c>
      <c r="G20" s="523"/>
      <c r="H20" s="521"/>
      <c r="I20" s="319">
        <v>42280</v>
      </c>
      <c r="J20" s="240">
        <f t="shared" si="3"/>
        <v>0.24092678173560736</v>
      </c>
      <c r="K20" s="319">
        <v>58182</v>
      </c>
      <c r="L20" s="240">
        <f t="shared" si="4"/>
        <v>0.33154214794089659</v>
      </c>
      <c r="M20" s="319">
        <f t="shared" si="5"/>
        <v>100462</v>
      </c>
      <c r="N20" s="240">
        <f t="shared" si="6"/>
        <v>0.57246892967650398</v>
      </c>
      <c r="O20" s="319">
        <v>11112</v>
      </c>
      <c r="P20" s="240">
        <f t="shared" si="7"/>
        <v>6.3320208104211656E-2</v>
      </c>
      <c r="Q20" s="319">
        <v>5630</v>
      </c>
      <c r="R20" s="240">
        <f t="shared" si="8"/>
        <v>3.2081782903771748E-2</v>
      </c>
      <c r="S20" s="319">
        <f t="shared" si="9"/>
        <v>16742</v>
      </c>
      <c r="T20" s="240">
        <f t="shared" si="10"/>
        <v>9.5401991007983411E-2</v>
      </c>
      <c r="U20" s="319">
        <v>5138</v>
      </c>
      <c r="V20" s="240">
        <f t="shared" si="11"/>
        <v>2.9278188376479438E-2</v>
      </c>
      <c r="W20" s="319">
        <v>3328</v>
      </c>
      <c r="X20" s="240">
        <f t="shared" si="12"/>
        <v>1.8964151599245537E-2</v>
      </c>
      <c r="Y20" s="319">
        <v>4146</v>
      </c>
      <c r="Z20" s="240">
        <f t="shared" si="13"/>
        <v>2.3625412419012018E-2</v>
      </c>
      <c r="AA20" s="319">
        <v>17538</v>
      </c>
      <c r="AB20" s="240">
        <f t="shared" si="14"/>
        <v>9.9937887844822187E-2</v>
      </c>
      <c r="AC20" s="319">
        <f t="shared" si="15"/>
        <v>21684</v>
      </c>
      <c r="AD20" s="240">
        <f t="shared" si="16"/>
        <v>0.12356330026383421</v>
      </c>
      <c r="AE20" s="319">
        <v>24289</v>
      </c>
      <c r="AF20" s="240">
        <f t="shared" si="17"/>
        <v>0.13840753551504653</v>
      </c>
      <c r="AG20" s="319">
        <v>0</v>
      </c>
      <c r="AH20" s="240">
        <f t="shared" si="18"/>
        <v>0</v>
      </c>
      <c r="AI20" s="319">
        <v>0</v>
      </c>
      <c r="AJ20" s="240">
        <f t="shared" si="19"/>
        <v>0</v>
      </c>
      <c r="AK20" s="319">
        <v>3846</v>
      </c>
      <c r="AL20" s="240">
        <f t="shared" si="20"/>
        <v>2.191590356090695E-2</v>
      </c>
    </row>
    <row r="21" spans="2:38" s="73" customFormat="1" ht="13.5">
      <c r="B21" s="503">
        <f>B14+7</f>
        <v>46099</v>
      </c>
      <c r="C21" s="514"/>
      <c r="D21" s="173">
        <v>46091</v>
      </c>
      <c r="E21" s="173" t="s">
        <v>118</v>
      </c>
      <c r="F21" s="335"/>
      <c r="G21" s="519">
        <f t="shared" ref="G21" si="22">SUM(F21:F27)</f>
        <v>0</v>
      </c>
      <c r="H21" s="521"/>
      <c r="I21" s="426"/>
      <c r="J21" s="240" t="e">
        <f t="shared" ref="J21:J41" si="23">I21/$F21</f>
        <v>#DIV/0!</v>
      </c>
      <c r="K21" s="319"/>
      <c r="L21" s="240" t="e">
        <f t="shared" ref="L21:L41" si="24">K21/$F21</f>
        <v>#DIV/0!</v>
      </c>
      <c r="M21" s="226">
        <f t="shared" ref="M21:M41" si="25">I21+K21</f>
        <v>0</v>
      </c>
      <c r="N21" s="240" t="e">
        <f t="shared" ref="N21:N41" si="26">M21/$F21</f>
        <v>#DIV/0!</v>
      </c>
      <c r="O21" s="319"/>
      <c r="P21" s="240" t="e">
        <f t="shared" ref="P21:P41" si="27">O21/$F21</f>
        <v>#DIV/0!</v>
      </c>
      <c r="Q21" s="319"/>
      <c r="R21" s="240" t="e">
        <f t="shared" ref="R21:R41" si="28">Q21/$F21</f>
        <v>#DIV/0!</v>
      </c>
      <c r="S21" s="226">
        <f t="shared" ref="S21:S41" si="29">O21+Q21</f>
        <v>0</v>
      </c>
      <c r="T21" s="240" t="e">
        <f t="shared" ref="T21:T41" si="30">S21/$F21</f>
        <v>#DIV/0!</v>
      </c>
      <c r="U21" s="319"/>
      <c r="V21" s="240" t="e">
        <f t="shared" ref="V21:V41" si="31">U21/$F21</f>
        <v>#DIV/0!</v>
      </c>
      <c r="W21" s="319"/>
      <c r="X21" s="240" t="e">
        <f t="shared" ref="X21:X41" si="32">W21/$F21</f>
        <v>#DIV/0!</v>
      </c>
      <c r="Y21" s="319"/>
      <c r="Z21" s="240" t="e">
        <f t="shared" ref="Z21:Z41" si="33">Y21/$F21</f>
        <v>#DIV/0!</v>
      </c>
      <c r="AA21" s="319"/>
      <c r="AB21" s="240" t="e">
        <f t="shared" ref="AB21:AB41" si="34">AA21/$F21</f>
        <v>#DIV/0!</v>
      </c>
      <c r="AC21" s="226">
        <f t="shared" ref="AC21:AC41" si="35">Y21+AA21</f>
        <v>0</v>
      </c>
      <c r="AD21" s="240" t="e">
        <f t="shared" ref="AD21:AD41" si="36">AC21/$F21</f>
        <v>#DIV/0!</v>
      </c>
      <c r="AE21" s="319"/>
      <c r="AF21" s="240" t="e">
        <f t="shared" ref="AF21:AF41" si="37">AE21/$F21</f>
        <v>#DIV/0!</v>
      </c>
      <c r="AG21" s="319"/>
      <c r="AH21" s="240" t="e">
        <f t="shared" ref="AH21:AH41" si="38">AG21/$F21</f>
        <v>#DIV/0!</v>
      </c>
      <c r="AI21" s="319"/>
      <c r="AJ21" s="240" t="e">
        <f t="shared" ref="AJ21:AJ41" si="39">AI21/$F21</f>
        <v>#DIV/0!</v>
      </c>
      <c r="AK21" s="319"/>
      <c r="AL21" s="240" t="e">
        <f t="shared" ref="AL21:AL41" si="40">AK21/$F21</f>
        <v>#DIV/0!</v>
      </c>
    </row>
    <row r="22" spans="2:38" s="73" customFormat="1" ht="13.5">
      <c r="B22" s="504"/>
      <c r="C22" s="514"/>
      <c r="D22" s="173">
        <v>46092</v>
      </c>
      <c r="E22" s="173" t="s">
        <v>112</v>
      </c>
      <c r="F22" s="335"/>
      <c r="G22" s="519"/>
      <c r="H22" s="521"/>
      <c r="I22" s="426"/>
      <c r="J22" s="240" t="e">
        <f t="shared" si="23"/>
        <v>#DIV/0!</v>
      </c>
      <c r="K22" s="319"/>
      <c r="L22" s="240" t="e">
        <f t="shared" si="24"/>
        <v>#DIV/0!</v>
      </c>
      <c r="M22" s="226">
        <f t="shared" si="25"/>
        <v>0</v>
      </c>
      <c r="N22" s="240" t="e">
        <f t="shared" si="26"/>
        <v>#DIV/0!</v>
      </c>
      <c r="O22" s="319"/>
      <c r="P22" s="240" t="e">
        <f t="shared" si="27"/>
        <v>#DIV/0!</v>
      </c>
      <c r="Q22" s="319"/>
      <c r="R22" s="240" t="e">
        <f t="shared" si="28"/>
        <v>#DIV/0!</v>
      </c>
      <c r="S22" s="226">
        <f t="shared" si="29"/>
        <v>0</v>
      </c>
      <c r="T22" s="240" t="e">
        <f t="shared" si="30"/>
        <v>#DIV/0!</v>
      </c>
      <c r="U22" s="319"/>
      <c r="V22" s="240" t="e">
        <f t="shared" si="31"/>
        <v>#DIV/0!</v>
      </c>
      <c r="W22" s="319"/>
      <c r="X22" s="240" t="e">
        <f t="shared" si="32"/>
        <v>#DIV/0!</v>
      </c>
      <c r="Y22" s="319"/>
      <c r="Z22" s="240" t="e">
        <f t="shared" si="33"/>
        <v>#DIV/0!</v>
      </c>
      <c r="AA22" s="319"/>
      <c r="AB22" s="240" t="e">
        <f t="shared" si="34"/>
        <v>#DIV/0!</v>
      </c>
      <c r="AC22" s="226">
        <f t="shared" si="35"/>
        <v>0</v>
      </c>
      <c r="AD22" s="240" t="e">
        <f t="shared" si="36"/>
        <v>#DIV/0!</v>
      </c>
      <c r="AE22" s="319"/>
      <c r="AF22" s="240" t="e">
        <f t="shared" si="37"/>
        <v>#DIV/0!</v>
      </c>
      <c r="AG22" s="319"/>
      <c r="AH22" s="240" t="e">
        <f t="shared" si="38"/>
        <v>#DIV/0!</v>
      </c>
      <c r="AI22" s="319"/>
      <c r="AJ22" s="240" t="e">
        <f t="shared" si="39"/>
        <v>#DIV/0!</v>
      </c>
      <c r="AK22" s="319"/>
      <c r="AL22" s="240" t="e">
        <f t="shared" si="40"/>
        <v>#DIV/0!</v>
      </c>
    </row>
    <row r="23" spans="2:38" s="73" customFormat="1" ht="13.5">
      <c r="B23" s="504"/>
      <c r="C23" s="514"/>
      <c r="D23" s="173">
        <v>46093</v>
      </c>
      <c r="E23" s="173" t="s">
        <v>113</v>
      </c>
      <c r="F23" s="335"/>
      <c r="G23" s="519"/>
      <c r="H23" s="521"/>
      <c r="I23" s="426"/>
      <c r="J23" s="240" t="e">
        <f t="shared" si="23"/>
        <v>#DIV/0!</v>
      </c>
      <c r="K23" s="319"/>
      <c r="L23" s="240" t="e">
        <f t="shared" si="24"/>
        <v>#DIV/0!</v>
      </c>
      <c r="M23" s="226">
        <f t="shared" si="25"/>
        <v>0</v>
      </c>
      <c r="N23" s="240" t="e">
        <f t="shared" si="26"/>
        <v>#DIV/0!</v>
      </c>
      <c r="O23" s="319"/>
      <c r="P23" s="240" t="e">
        <f t="shared" si="27"/>
        <v>#DIV/0!</v>
      </c>
      <c r="Q23" s="319"/>
      <c r="R23" s="240" t="e">
        <f t="shared" si="28"/>
        <v>#DIV/0!</v>
      </c>
      <c r="S23" s="226">
        <f t="shared" si="29"/>
        <v>0</v>
      </c>
      <c r="T23" s="240" t="e">
        <f t="shared" si="30"/>
        <v>#DIV/0!</v>
      </c>
      <c r="U23" s="319"/>
      <c r="V23" s="240" t="e">
        <f t="shared" si="31"/>
        <v>#DIV/0!</v>
      </c>
      <c r="W23" s="319"/>
      <c r="X23" s="240" t="e">
        <f t="shared" si="32"/>
        <v>#DIV/0!</v>
      </c>
      <c r="Y23" s="319"/>
      <c r="Z23" s="240" t="e">
        <f t="shared" si="33"/>
        <v>#DIV/0!</v>
      </c>
      <c r="AA23" s="319"/>
      <c r="AB23" s="240" t="e">
        <f t="shared" si="34"/>
        <v>#DIV/0!</v>
      </c>
      <c r="AC23" s="226">
        <f t="shared" si="35"/>
        <v>0</v>
      </c>
      <c r="AD23" s="240" t="e">
        <f t="shared" si="36"/>
        <v>#DIV/0!</v>
      </c>
      <c r="AE23" s="319"/>
      <c r="AF23" s="240" t="e">
        <f t="shared" si="37"/>
        <v>#DIV/0!</v>
      </c>
      <c r="AG23" s="319"/>
      <c r="AH23" s="240" t="e">
        <f t="shared" si="38"/>
        <v>#DIV/0!</v>
      </c>
      <c r="AI23" s="319"/>
      <c r="AJ23" s="240" t="e">
        <f t="shared" si="39"/>
        <v>#DIV/0!</v>
      </c>
      <c r="AK23" s="319"/>
      <c r="AL23" s="240" t="e">
        <f t="shared" si="40"/>
        <v>#DIV/0!</v>
      </c>
    </row>
    <row r="24" spans="2:38" s="73" customFormat="1" ht="13.5">
      <c r="B24" s="504"/>
      <c r="C24" s="514"/>
      <c r="D24" s="173">
        <v>46094</v>
      </c>
      <c r="E24" s="173" t="s">
        <v>114</v>
      </c>
      <c r="F24" s="335"/>
      <c r="G24" s="519"/>
      <c r="H24" s="521"/>
      <c r="I24" s="426"/>
      <c r="J24" s="240" t="e">
        <f t="shared" si="23"/>
        <v>#DIV/0!</v>
      </c>
      <c r="K24" s="319"/>
      <c r="L24" s="240" t="e">
        <f t="shared" si="24"/>
        <v>#DIV/0!</v>
      </c>
      <c r="M24" s="226">
        <f t="shared" si="25"/>
        <v>0</v>
      </c>
      <c r="N24" s="240" t="e">
        <f t="shared" si="26"/>
        <v>#DIV/0!</v>
      </c>
      <c r="O24" s="319"/>
      <c r="P24" s="240" t="e">
        <f t="shared" si="27"/>
        <v>#DIV/0!</v>
      </c>
      <c r="Q24" s="319"/>
      <c r="R24" s="240" t="e">
        <f t="shared" si="28"/>
        <v>#DIV/0!</v>
      </c>
      <c r="S24" s="226">
        <f t="shared" si="29"/>
        <v>0</v>
      </c>
      <c r="T24" s="240" t="e">
        <f t="shared" si="30"/>
        <v>#DIV/0!</v>
      </c>
      <c r="U24" s="319"/>
      <c r="V24" s="240" t="e">
        <f t="shared" si="31"/>
        <v>#DIV/0!</v>
      </c>
      <c r="W24" s="319"/>
      <c r="X24" s="240" t="e">
        <f t="shared" si="32"/>
        <v>#DIV/0!</v>
      </c>
      <c r="Y24" s="319"/>
      <c r="Z24" s="240" t="e">
        <f t="shared" si="33"/>
        <v>#DIV/0!</v>
      </c>
      <c r="AA24" s="319"/>
      <c r="AB24" s="240" t="e">
        <f t="shared" si="34"/>
        <v>#DIV/0!</v>
      </c>
      <c r="AC24" s="226">
        <f t="shared" si="35"/>
        <v>0</v>
      </c>
      <c r="AD24" s="240" t="e">
        <f t="shared" si="36"/>
        <v>#DIV/0!</v>
      </c>
      <c r="AE24" s="319"/>
      <c r="AF24" s="240" t="e">
        <f t="shared" si="37"/>
        <v>#DIV/0!</v>
      </c>
      <c r="AG24" s="319"/>
      <c r="AH24" s="240" t="e">
        <f t="shared" si="38"/>
        <v>#DIV/0!</v>
      </c>
      <c r="AI24" s="319"/>
      <c r="AJ24" s="240" t="e">
        <f t="shared" si="39"/>
        <v>#DIV/0!</v>
      </c>
      <c r="AK24" s="319"/>
      <c r="AL24" s="240" t="e">
        <f t="shared" si="40"/>
        <v>#DIV/0!</v>
      </c>
    </row>
    <row r="25" spans="2:38" s="73" customFormat="1" ht="13.5" collapsed="1">
      <c r="B25" s="504"/>
      <c r="C25" s="514"/>
      <c r="D25" s="173">
        <v>46095</v>
      </c>
      <c r="E25" s="173" t="s">
        <v>115</v>
      </c>
      <c r="F25" s="335"/>
      <c r="G25" s="519"/>
      <c r="H25" s="521"/>
      <c r="I25" s="426"/>
      <c r="J25" s="240" t="e">
        <f t="shared" si="23"/>
        <v>#DIV/0!</v>
      </c>
      <c r="K25" s="319"/>
      <c r="L25" s="240" t="e">
        <f t="shared" si="24"/>
        <v>#DIV/0!</v>
      </c>
      <c r="M25" s="226">
        <f t="shared" si="25"/>
        <v>0</v>
      </c>
      <c r="N25" s="240" t="e">
        <f t="shared" si="26"/>
        <v>#DIV/0!</v>
      </c>
      <c r="O25" s="319"/>
      <c r="P25" s="240" t="e">
        <f t="shared" si="27"/>
        <v>#DIV/0!</v>
      </c>
      <c r="Q25" s="319"/>
      <c r="R25" s="240" t="e">
        <f t="shared" si="28"/>
        <v>#DIV/0!</v>
      </c>
      <c r="S25" s="226">
        <f t="shared" si="29"/>
        <v>0</v>
      </c>
      <c r="T25" s="240" t="e">
        <f t="shared" si="30"/>
        <v>#DIV/0!</v>
      </c>
      <c r="U25" s="319"/>
      <c r="V25" s="240" t="e">
        <f t="shared" si="31"/>
        <v>#DIV/0!</v>
      </c>
      <c r="W25" s="319"/>
      <c r="X25" s="240" t="e">
        <f t="shared" si="32"/>
        <v>#DIV/0!</v>
      </c>
      <c r="Y25" s="319"/>
      <c r="Z25" s="240" t="e">
        <f t="shared" si="33"/>
        <v>#DIV/0!</v>
      </c>
      <c r="AA25" s="319"/>
      <c r="AB25" s="240" t="e">
        <f t="shared" si="34"/>
        <v>#DIV/0!</v>
      </c>
      <c r="AC25" s="226">
        <f t="shared" si="35"/>
        <v>0</v>
      </c>
      <c r="AD25" s="240" t="e">
        <f t="shared" si="36"/>
        <v>#DIV/0!</v>
      </c>
      <c r="AE25" s="319"/>
      <c r="AF25" s="240" t="e">
        <f t="shared" si="37"/>
        <v>#DIV/0!</v>
      </c>
      <c r="AG25" s="319"/>
      <c r="AH25" s="240" t="e">
        <f t="shared" si="38"/>
        <v>#DIV/0!</v>
      </c>
      <c r="AI25" s="319"/>
      <c r="AJ25" s="240" t="e">
        <f t="shared" si="39"/>
        <v>#DIV/0!</v>
      </c>
      <c r="AK25" s="319"/>
      <c r="AL25" s="240" t="e">
        <f t="shared" si="40"/>
        <v>#DIV/0!</v>
      </c>
    </row>
    <row r="26" spans="2:38" s="73" customFormat="1" ht="13.5">
      <c r="B26" s="504"/>
      <c r="C26" s="514"/>
      <c r="D26" s="173">
        <v>46096</v>
      </c>
      <c r="E26" s="173" t="s">
        <v>116</v>
      </c>
      <c r="F26" s="335"/>
      <c r="G26" s="519"/>
      <c r="H26" s="521"/>
      <c r="I26" s="426"/>
      <c r="J26" s="240" t="e">
        <f t="shared" si="23"/>
        <v>#DIV/0!</v>
      </c>
      <c r="K26" s="319"/>
      <c r="L26" s="240" t="e">
        <f t="shared" si="24"/>
        <v>#DIV/0!</v>
      </c>
      <c r="M26" s="226">
        <f t="shared" si="25"/>
        <v>0</v>
      </c>
      <c r="N26" s="240" t="e">
        <f t="shared" si="26"/>
        <v>#DIV/0!</v>
      </c>
      <c r="O26" s="319"/>
      <c r="P26" s="240" t="e">
        <f t="shared" si="27"/>
        <v>#DIV/0!</v>
      </c>
      <c r="Q26" s="319"/>
      <c r="R26" s="240" t="e">
        <f t="shared" si="28"/>
        <v>#DIV/0!</v>
      </c>
      <c r="S26" s="226">
        <f t="shared" si="29"/>
        <v>0</v>
      </c>
      <c r="T26" s="240" t="e">
        <f t="shared" si="30"/>
        <v>#DIV/0!</v>
      </c>
      <c r="U26" s="319"/>
      <c r="V26" s="240" t="e">
        <f t="shared" si="31"/>
        <v>#DIV/0!</v>
      </c>
      <c r="W26" s="319"/>
      <c r="X26" s="240" t="e">
        <f t="shared" si="32"/>
        <v>#DIV/0!</v>
      </c>
      <c r="Y26" s="319"/>
      <c r="Z26" s="240" t="e">
        <f t="shared" si="33"/>
        <v>#DIV/0!</v>
      </c>
      <c r="AA26" s="319"/>
      <c r="AB26" s="240" t="e">
        <f t="shared" si="34"/>
        <v>#DIV/0!</v>
      </c>
      <c r="AC26" s="226">
        <f t="shared" si="35"/>
        <v>0</v>
      </c>
      <c r="AD26" s="240" t="e">
        <f t="shared" si="36"/>
        <v>#DIV/0!</v>
      </c>
      <c r="AE26" s="319"/>
      <c r="AF26" s="240" t="e">
        <f t="shared" si="37"/>
        <v>#DIV/0!</v>
      </c>
      <c r="AG26" s="319"/>
      <c r="AH26" s="240" t="e">
        <f t="shared" si="38"/>
        <v>#DIV/0!</v>
      </c>
      <c r="AI26" s="319"/>
      <c r="AJ26" s="240" t="e">
        <f t="shared" si="39"/>
        <v>#DIV/0!</v>
      </c>
      <c r="AK26" s="319"/>
      <c r="AL26" s="240" t="e">
        <f t="shared" si="40"/>
        <v>#DIV/0!</v>
      </c>
    </row>
    <row r="27" spans="2:38" s="73" customFormat="1" ht="13.5">
      <c r="B27" s="505"/>
      <c r="C27" s="514"/>
      <c r="D27" s="173">
        <v>46097</v>
      </c>
      <c r="E27" s="173" t="s">
        <v>117</v>
      </c>
      <c r="F27" s="335"/>
      <c r="G27" s="519"/>
      <c r="H27" s="521"/>
      <c r="I27" s="426"/>
      <c r="J27" s="240" t="e">
        <f t="shared" si="23"/>
        <v>#DIV/0!</v>
      </c>
      <c r="K27" s="319"/>
      <c r="L27" s="240" t="e">
        <f t="shared" si="24"/>
        <v>#DIV/0!</v>
      </c>
      <c r="M27" s="226">
        <f t="shared" si="25"/>
        <v>0</v>
      </c>
      <c r="N27" s="240" t="e">
        <f t="shared" si="26"/>
        <v>#DIV/0!</v>
      </c>
      <c r="O27" s="319"/>
      <c r="P27" s="240" t="e">
        <f t="shared" si="27"/>
        <v>#DIV/0!</v>
      </c>
      <c r="Q27" s="319"/>
      <c r="R27" s="240" t="e">
        <f t="shared" si="28"/>
        <v>#DIV/0!</v>
      </c>
      <c r="S27" s="226">
        <f t="shared" si="29"/>
        <v>0</v>
      </c>
      <c r="T27" s="240" t="e">
        <f t="shared" si="30"/>
        <v>#DIV/0!</v>
      </c>
      <c r="U27" s="319"/>
      <c r="V27" s="240" t="e">
        <f t="shared" si="31"/>
        <v>#DIV/0!</v>
      </c>
      <c r="W27" s="319"/>
      <c r="X27" s="240" t="e">
        <f t="shared" si="32"/>
        <v>#DIV/0!</v>
      </c>
      <c r="Y27" s="319"/>
      <c r="Z27" s="240" t="e">
        <f t="shared" si="33"/>
        <v>#DIV/0!</v>
      </c>
      <c r="AA27" s="319"/>
      <c r="AB27" s="240" t="e">
        <f t="shared" si="34"/>
        <v>#DIV/0!</v>
      </c>
      <c r="AC27" s="226">
        <f t="shared" si="35"/>
        <v>0</v>
      </c>
      <c r="AD27" s="240" t="e">
        <f t="shared" si="36"/>
        <v>#DIV/0!</v>
      </c>
      <c r="AE27" s="319"/>
      <c r="AF27" s="240" t="e">
        <f t="shared" si="37"/>
        <v>#DIV/0!</v>
      </c>
      <c r="AG27" s="319"/>
      <c r="AH27" s="240" t="e">
        <f t="shared" si="38"/>
        <v>#DIV/0!</v>
      </c>
      <c r="AI27" s="319"/>
      <c r="AJ27" s="240" t="e">
        <f t="shared" si="39"/>
        <v>#DIV/0!</v>
      </c>
      <c r="AK27" s="319"/>
      <c r="AL27" s="240" t="e">
        <f t="shared" si="40"/>
        <v>#DIV/0!</v>
      </c>
    </row>
    <row r="28" spans="2:38" s="73" customFormat="1" ht="13.5">
      <c r="B28" s="503">
        <f>B21+7</f>
        <v>46106</v>
      </c>
      <c r="C28" s="514"/>
      <c r="D28" s="173">
        <v>46098</v>
      </c>
      <c r="E28" s="173" t="s">
        <v>118</v>
      </c>
      <c r="F28" s="335"/>
      <c r="G28" s="519">
        <f t="shared" ref="G28" si="41">SUM(F28:F34)</f>
        <v>0</v>
      </c>
      <c r="H28" s="521"/>
      <c r="I28" s="426"/>
      <c r="J28" s="240" t="e">
        <f t="shared" si="23"/>
        <v>#DIV/0!</v>
      </c>
      <c r="K28" s="319"/>
      <c r="L28" s="240" t="e">
        <f t="shared" si="24"/>
        <v>#DIV/0!</v>
      </c>
      <c r="M28" s="226">
        <f t="shared" si="25"/>
        <v>0</v>
      </c>
      <c r="N28" s="240" t="e">
        <f t="shared" si="26"/>
        <v>#DIV/0!</v>
      </c>
      <c r="O28" s="319"/>
      <c r="P28" s="240" t="e">
        <f t="shared" si="27"/>
        <v>#DIV/0!</v>
      </c>
      <c r="Q28" s="319"/>
      <c r="R28" s="240" t="e">
        <f t="shared" si="28"/>
        <v>#DIV/0!</v>
      </c>
      <c r="S28" s="226">
        <f t="shared" si="29"/>
        <v>0</v>
      </c>
      <c r="T28" s="240" t="e">
        <f t="shared" si="30"/>
        <v>#DIV/0!</v>
      </c>
      <c r="U28" s="319"/>
      <c r="V28" s="240" t="e">
        <f t="shared" si="31"/>
        <v>#DIV/0!</v>
      </c>
      <c r="W28" s="319"/>
      <c r="X28" s="240" t="e">
        <f t="shared" si="32"/>
        <v>#DIV/0!</v>
      </c>
      <c r="Y28" s="319"/>
      <c r="Z28" s="240" t="e">
        <f t="shared" si="33"/>
        <v>#DIV/0!</v>
      </c>
      <c r="AA28" s="319"/>
      <c r="AB28" s="240" t="e">
        <f t="shared" si="34"/>
        <v>#DIV/0!</v>
      </c>
      <c r="AC28" s="226">
        <f t="shared" si="35"/>
        <v>0</v>
      </c>
      <c r="AD28" s="240" t="e">
        <f t="shared" si="36"/>
        <v>#DIV/0!</v>
      </c>
      <c r="AE28" s="319"/>
      <c r="AF28" s="240" t="e">
        <f t="shared" si="37"/>
        <v>#DIV/0!</v>
      </c>
      <c r="AG28" s="319"/>
      <c r="AH28" s="240" t="e">
        <f t="shared" si="38"/>
        <v>#DIV/0!</v>
      </c>
      <c r="AI28" s="319"/>
      <c r="AJ28" s="240" t="e">
        <f t="shared" si="39"/>
        <v>#DIV/0!</v>
      </c>
      <c r="AK28" s="319"/>
      <c r="AL28" s="240" t="e">
        <f t="shared" si="40"/>
        <v>#DIV/0!</v>
      </c>
    </row>
    <row r="29" spans="2:38" s="73" customFormat="1" ht="13.5">
      <c r="B29" s="504"/>
      <c r="C29" s="514"/>
      <c r="D29" s="173">
        <v>46099</v>
      </c>
      <c r="E29" s="173" t="s">
        <v>112</v>
      </c>
      <c r="F29" s="335"/>
      <c r="G29" s="519"/>
      <c r="H29" s="521"/>
      <c r="I29" s="426"/>
      <c r="J29" s="240" t="e">
        <f t="shared" si="23"/>
        <v>#DIV/0!</v>
      </c>
      <c r="K29" s="319"/>
      <c r="L29" s="240" t="e">
        <f t="shared" si="24"/>
        <v>#DIV/0!</v>
      </c>
      <c r="M29" s="226">
        <f t="shared" si="25"/>
        <v>0</v>
      </c>
      <c r="N29" s="240" t="e">
        <f t="shared" si="26"/>
        <v>#DIV/0!</v>
      </c>
      <c r="O29" s="319"/>
      <c r="P29" s="240" t="e">
        <f t="shared" si="27"/>
        <v>#DIV/0!</v>
      </c>
      <c r="Q29" s="319"/>
      <c r="R29" s="240" t="e">
        <f t="shared" si="28"/>
        <v>#DIV/0!</v>
      </c>
      <c r="S29" s="226">
        <f t="shared" si="29"/>
        <v>0</v>
      </c>
      <c r="T29" s="240" t="e">
        <f t="shared" si="30"/>
        <v>#DIV/0!</v>
      </c>
      <c r="U29" s="319"/>
      <c r="V29" s="240" t="e">
        <f t="shared" si="31"/>
        <v>#DIV/0!</v>
      </c>
      <c r="W29" s="319"/>
      <c r="X29" s="240" t="e">
        <f t="shared" si="32"/>
        <v>#DIV/0!</v>
      </c>
      <c r="Y29" s="319"/>
      <c r="Z29" s="240" t="e">
        <f t="shared" si="33"/>
        <v>#DIV/0!</v>
      </c>
      <c r="AA29" s="319"/>
      <c r="AB29" s="240" t="e">
        <f t="shared" si="34"/>
        <v>#DIV/0!</v>
      </c>
      <c r="AC29" s="226">
        <f t="shared" si="35"/>
        <v>0</v>
      </c>
      <c r="AD29" s="240" t="e">
        <f t="shared" si="36"/>
        <v>#DIV/0!</v>
      </c>
      <c r="AE29" s="319"/>
      <c r="AF29" s="240" t="e">
        <f t="shared" si="37"/>
        <v>#DIV/0!</v>
      </c>
      <c r="AG29" s="319"/>
      <c r="AH29" s="240" t="e">
        <f t="shared" si="38"/>
        <v>#DIV/0!</v>
      </c>
      <c r="AI29" s="319"/>
      <c r="AJ29" s="240" t="e">
        <f t="shared" si="39"/>
        <v>#DIV/0!</v>
      </c>
      <c r="AK29" s="319"/>
      <c r="AL29" s="240" t="e">
        <f t="shared" si="40"/>
        <v>#DIV/0!</v>
      </c>
    </row>
    <row r="30" spans="2:38" s="73" customFormat="1" ht="13.5">
      <c r="B30" s="504"/>
      <c r="C30" s="514"/>
      <c r="D30" s="173">
        <v>46100</v>
      </c>
      <c r="E30" s="173" t="s">
        <v>113</v>
      </c>
      <c r="F30" s="335"/>
      <c r="G30" s="519"/>
      <c r="H30" s="521"/>
      <c r="I30" s="426"/>
      <c r="J30" s="240" t="e">
        <f t="shared" si="23"/>
        <v>#DIV/0!</v>
      </c>
      <c r="K30" s="319"/>
      <c r="L30" s="240" t="e">
        <f t="shared" si="24"/>
        <v>#DIV/0!</v>
      </c>
      <c r="M30" s="226">
        <f t="shared" si="25"/>
        <v>0</v>
      </c>
      <c r="N30" s="240" t="e">
        <f t="shared" si="26"/>
        <v>#DIV/0!</v>
      </c>
      <c r="O30" s="319"/>
      <c r="P30" s="240" t="e">
        <f t="shared" si="27"/>
        <v>#DIV/0!</v>
      </c>
      <c r="Q30" s="319"/>
      <c r="R30" s="240" t="e">
        <f t="shared" si="28"/>
        <v>#DIV/0!</v>
      </c>
      <c r="S30" s="226">
        <f t="shared" si="29"/>
        <v>0</v>
      </c>
      <c r="T30" s="240" t="e">
        <f t="shared" si="30"/>
        <v>#DIV/0!</v>
      </c>
      <c r="U30" s="319"/>
      <c r="V30" s="240" t="e">
        <f t="shared" si="31"/>
        <v>#DIV/0!</v>
      </c>
      <c r="W30" s="319"/>
      <c r="X30" s="240" t="e">
        <f t="shared" si="32"/>
        <v>#DIV/0!</v>
      </c>
      <c r="Y30" s="319"/>
      <c r="Z30" s="240" t="e">
        <f t="shared" si="33"/>
        <v>#DIV/0!</v>
      </c>
      <c r="AA30" s="319"/>
      <c r="AB30" s="240" t="e">
        <f t="shared" si="34"/>
        <v>#DIV/0!</v>
      </c>
      <c r="AC30" s="226">
        <f t="shared" si="35"/>
        <v>0</v>
      </c>
      <c r="AD30" s="240" t="e">
        <f t="shared" si="36"/>
        <v>#DIV/0!</v>
      </c>
      <c r="AE30" s="319"/>
      <c r="AF30" s="240" t="e">
        <f t="shared" si="37"/>
        <v>#DIV/0!</v>
      </c>
      <c r="AG30" s="319"/>
      <c r="AH30" s="240" t="e">
        <f t="shared" si="38"/>
        <v>#DIV/0!</v>
      </c>
      <c r="AI30" s="319"/>
      <c r="AJ30" s="240" t="e">
        <f t="shared" si="39"/>
        <v>#DIV/0!</v>
      </c>
      <c r="AK30" s="319"/>
      <c r="AL30" s="240" t="e">
        <f t="shared" si="40"/>
        <v>#DIV/0!</v>
      </c>
    </row>
    <row r="31" spans="2:38" s="73" customFormat="1" ht="13.5">
      <c r="B31" s="504"/>
      <c r="C31" s="514"/>
      <c r="D31" s="173">
        <v>46101</v>
      </c>
      <c r="E31" s="173" t="s">
        <v>114</v>
      </c>
      <c r="F31" s="335"/>
      <c r="G31" s="519"/>
      <c r="H31" s="521"/>
      <c r="I31" s="426"/>
      <c r="J31" s="240" t="e">
        <f t="shared" si="23"/>
        <v>#DIV/0!</v>
      </c>
      <c r="K31" s="319"/>
      <c r="L31" s="240" t="e">
        <f t="shared" si="24"/>
        <v>#DIV/0!</v>
      </c>
      <c r="M31" s="226">
        <f t="shared" si="25"/>
        <v>0</v>
      </c>
      <c r="N31" s="240" t="e">
        <f t="shared" si="26"/>
        <v>#DIV/0!</v>
      </c>
      <c r="O31" s="319"/>
      <c r="P31" s="240" t="e">
        <f t="shared" si="27"/>
        <v>#DIV/0!</v>
      </c>
      <c r="Q31" s="319"/>
      <c r="R31" s="240" t="e">
        <f t="shared" si="28"/>
        <v>#DIV/0!</v>
      </c>
      <c r="S31" s="226">
        <f t="shared" si="29"/>
        <v>0</v>
      </c>
      <c r="T31" s="240" t="e">
        <f t="shared" si="30"/>
        <v>#DIV/0!</v>
      </c>
      <c r="U31" s="319"/>
      <c r="V31" s="240" t="e">
        <f t="shared" si="31"/>
        <v>#DIV/0!</v>
      </c>
      <c r="W31" s="319"/>
      <c r="X31" s="240" t="e">
        <f t="shared" si="32"/>
        <v>#DIV/0!</v>
      </c>
      <c r="Y31" s="319"/>
      <c r="Z31" s="240" t="e">
        <f t="shared" si="33"/>
        <v>#DIV/0!</v>
      </c>
      <c r="AA31" s="319"/>
      <c r="AB31" s="240" t="e">
        <f t="shared" si="34"/>
        <v>#DIV/0!</v>
      </c>
      <c r="AC31" s="226">
        <f t="shared" si="35"/>
        <v>0</v>
      </c>
      <c r="AD31" s="240" t="e">
        <f t="shared" si="36"/>
        <v>#DIV/0!</v>
      </c>
      <c r="AE31" s="319"/>
      <c r="AF31" s="240" t="e">
        <f t="shared" si="37"/>
        <v>#DIV/0!</v>
      </c>
      <c r="AG31" s="319"/>
      <c r="AH31" s="240" t="e">
        <f t="shared" si="38"/>
        <v>#DIV/0!</v>
      </c>
      <c r="AI31" s="319"/>
      <c r="AJ31" s="240" t="e">
        <f t="shared" si="39"/>
        <v>#DIV/0!</v>
      </c>
      <c r="AK31" s="319"/>
      <c r="AL31" s="240" t="e">
        <f t="shared" si="40"/>
        <v>#DIV/0!</v>
      </c>
    </row>
    <row r="32" spans="2:38" s="73" customFormat="1" ht="13.5" collapsed="1">
      <c r="B32" s="504"/>
      <c r="C32" s="514"/>
      <c r="D32" s="173">
        <v>46102</v>
      </c>
      <c r="E32" s="173" t="s">
        <v>115</v>
      </c>
      <c r="F32" s="335"/>
      <c r="G32" s="519"/>
      <c r="H32" s="521"/>
      <c r="I32" s="426"/>
      <c r="J32" s="240" t="e">
        <f t="shared" si="23"/>
        <v>#DIV/0!</v>
      </c>
      <c r="K32" s="319"/>
      <c r="L32" s="240" t="e">
        <f t="shared" si="24"/>
        <v>#DIV/0!</v>
      </c>
      <c r="M32" s="226">
        <f t="shared" si="25"/>
        <v>0</v>
      </c>
      <c r="N32" s="240" t="e">
        <f t="shared" si="26"/>
        <v>#DIV/0!</v>
      </c>
      <c r="O32" s="319"/>
      <c r="P32" s="240" t="e">
        <f t="shared" si="27"/>
        <v>#DIV/0!</v>
      </c>
      <c r="Q32" s="319"/>
      <c r="R32" s="240" t="e">
        <f t="shared" si="28"/>
        <v>#DIV/0!</v>
      </c>
      <c r="S32" s="226">
        <f t="shared" si="29"/>
        <v>0</v>
      </c>
      <c r="T32" s="240" t="e">
        <f t="shared" si="30"/>
        <v>#DIV/0!</v>
      </c>
      <c r="U32" s="319"/>
      <c r="V32" s="240" t="e">
        <f t="shared" si="31"/>
        <v>#DIV/0!</v>
      </c>
      <c r="W32" s="319"/>
      <c r="X32" s="240" t="e">
        <f t="shared" si="32"/>
        <v>#DIV/0!</v>
      </c>
      <c r="Y32" s="319"/>
      <c r="Z32" s="240" t="e">
        <f t="shared" si="33"/>
        <v>#DIV/0!</v>
      </c>
      <c r="AA32" s="319"/>
      <c r="AB32" s="240" t="e">
        <f t="shared" si="34"/>
        <v>#DIV/0!</v>
      </c>
      <c r="AC32" s="226">
        <f t="shared" si="35"/>
        <v>0</v>
      </c>
      <c r="AD32" s="240" t="e">
        <f t="shared" si="36"/>
        <v>#DIV/0!</v>
      </c>
      <c r="AE32" s="319"/>
      <c r="AF32" s="240" t="e">
        <f t="shared" si="37"/>
        <v>#DIV/0!</v>
      </c>
      <c r="AG32" s="319"/>
      <c r="AH32" s="240" t="e">
        <f t="shared" si="38"/>
        <v>#DIV/0!</v>
      </c>
      <c r="AI32" s="319"/>
      <c r="AJ32" s="240" t="e">
        <f t="shared" si="39"/>
        <v>#DIV/0!</v>
      </c>
      <c r="AK32" s="319"/>
      <c r="AL32" s="240" t="e">
        <f t="shared" si="40"/>
        <v>#DIV/0!</v>
      </c>
    </row>
    <row r="33" spans="2:38" s="73" customFormat="1" ht="13.5">
      <c r="B33" s="504"/>
      <c r="C33" s="514"/>
      <c r="D33" s="173">
        <v>46103</v>
      </c>
      <c r="E33" s="173" t="s">
        <v>116</v>
      </c>
      <c r="F33" s="335"/>
      <c r="G33" s="519"/>
      <c r="H33" s="521"/>
      <c r="I33" s="426"/>
      <c r="J33" s="240" t="e">
        <f t="shared" si="23"/>
        <v>#DIV/0!</v>
      </c>
      <c r="K33" s="319"/>
      <c r="L33" s="240" t="e">
        <f t="shared" si="24"/>
        <v>#DIV/0!</v>
      </c>
      <c r="M33" s="226">
        <f t="shared" si="25"/>
        <v>0</v>
      </c>
      <c r="N33" s="240" t="e">
        <f t="shared" si="26"/>
        <v>#DIV/0!</v>
      </c>
      <c r="O33" s="319"/>
      <c r="P33" s="240" t="e">
        <f t="shared" si="27"/>
        <v>#DIV/0!</v>
      </c>
      <c r="Q33" s="319"/>
      <c r="R33" s="240" t="e">
        <f t="shared" si="28"/>
        <v>#DIV/0!</v>
      </c>
      <c r="S33" s="226">
        <f t="shared" si="29"/>
        <v>0</v>
      </c>
      <c r="T33" s="240" t="e">
        <f t="shared" si="30"/>
        <v>#DIV/0!</v>
      </c>
      <c r="U33" s="319"/>
      <c r="V33" s="240" t="e">
        <f t="shared" si="31"/>
        <v>#DIV/0!</v>
      </c>
      <c r="W33" s="319"/>
      <c r="X33" s="240" t="e">
        <f t="shared" si="32"/>
        <v>#DIV/0!</v>
      </c>
      <c r="Y33" s="319"/>
      <c r="Z33" s="240" t="e">
        <f t="shared" si="33"/>
        <v>#DIV/0!</v>
      </c>
      <c r="AA33" s="319"/>
      <c r="AB33" s="240" t="e">
        <f t="shared" si="34"/>
        <v>#DIV/0!</v>
      </c>
      <c r="AC33" s="226">
        <f t="shared" si="35"/>
        <v>0</v>
      </c>
      <c r="AD33" s="240" t="e">
        <f t="shared" si="36"/>
        <v>#DIV/0!</v>
      </c>
      <c r="AE33" s="319"/>
      <c r="AF33" s="240" t="e">
        <f t="shared" si="37"/>
        <v>#DIV/0!</v>
      </c>
      <c r="AG33" s="319"/>
      <c r="AH33" s="240" t="e">
        <f t="shared" si="38"/>
        <v>#DIV/0!</v>
      </c>
      <c r="AI33" s="319"/>
      <c r="AJ33" s="240" t="e">
        <f t="shared" si="39"/>
        <v>#DIV/0!</v>
      </c>
      <c r="AK33" s="319"/>
      <c r="AL33" s="240" t="e">
        <f t="shared" si="40"/>
        <v>#DIV/0!</v>
      </c>
    </row>
    <row r="34" spans="2:38" s="73" customFormat="1" ht="13.5">
      <c r="B34" s="505"/>
      <c r="C34" s="514"/>
      <c r="D34" s="173">
        <v>46104</v>
      </c>
      <c r="E34" s="173" t="s">
        <v>117</v>
      </c>
      <c r="F34" s="335"/>
      <c r="G34" s="519"/>
      <c r="H34" s="521"/>
      <c r="I34" s="426"/>
      <c r="J34" s="240" t="e">
        <f t="shared" si="23"/>
        <v>#DIV/0!</v>
      </c>
      <c r="K34" s="319"/>
      <c r="L34" s="240" t="e">
        <f t="shared" si="24"/>
        <v>#DIV/0!</v>
      </c>
      <c r="M34" s="226">
        <f t="shared" si="25"/>
        <v>0</v>
      </c>
      <c r="N34" s="240" t="e">
        <f t="shared" si="26"/>
        <v>#DIV/0!</v>
      </c>
      <c r="O34" s="319"/>
      <c r="P34" s="240" t="e">
        <f t="shared" si="27"/>
        <v>#DIV/0!</v>
      </c>
      <c r="Q34" s="319"/>
      <c r="R34" s="240" t="e">
        <f t="shared" si="28"/>
        <v>#DIV/0!</v>
      </c>
      <c r="S34" s="226">
        <f t="shared" si="29"/>
        <v>0</v>
      </c>
      <c r="T34" s="240" t="e">
        <f t="shared" si="30"/>
        <v>#DIV/0!</v>
      </c>
      <c r="U34" s="319"/>
      <c r="V34" s="240" t="e">
        <f t="shared" si="31"/>
        <v>#DIV/0!</v>
      </c>
      <c r="W34" s="319"/>
      <c r="X34" s="240" t="e">
        <f t="shared" si="32"/>
        <v>#DIV/0!</v>
      </c>
      <c r="Y34" s="319"/>
      <c r="Z34" s="240" t="e">
        <f t="shared" si="33"/>
        <v>#DIV/0!</v>
      </c>
      <c r="AA34" s="319"/>
      <c r="AB34" s="240" t="e">
        <f t="shared" si="34"/>
        <v>#DIV/0!</v>
      </c>
      <c r="AC34" s="226">
        <f t="shared" si="35"/>
        <v>0</v>
      </c>
      <c r="AD34" s="240" t="e">
        <f t="shared" si="36"/>
        <v>#DIV/0!</v>
      </c>
      <c r="AE34" s="319"/>
      <c r="AF34" s="240" t="e">
        <f t="shared" si="37"/>
        <v>#DIV/0!</v>
      </c>
      <c r="AG34" s="319"/>
      <c r="AH34" s="240" t="e">
        <f t="shared" si="38"/>
        <v>#DIV/0!</v>
      </c>
      <c r="AI34" s="319"/>
      <c r="AJ34" s="240" t="e">
        <f t="shared" si="39"/>
        <v>#DIV/0!</v>
      </c>
      <c r="AK34" s="319"/>
      <c r="AL34" s="240" t="e">
        <f t="shared" si="40"/>
        <v>#DIV/0!</v>
      </c>
    </row>
    <row r="35" spans="2:38" s="73" customFormat="1" ht="13.5">
      <c r="B35" s="503">
        <f>B28+7</f>
        <v>46113</v>
      </c>
      <c r="C35" s="514"/>
      <c r="D35" s="173">
        <v>46105</v>
      </c>
      <c r="E35" s="173" t="s">
        <v>118</v>
      </c>
      <c r="F35" s="335"/>
      <c r="G35" s="519">
        <f>SUM(F35:F41)</f>
        <v>0</v>
      </c>
      <c r="H35" s="521"/>
      <c r="I35" s="426"/>
      <c r="J35" s="240" t="e">
        <f t="shared" si="23"/>
        <v>#DIV/0!</v>
      </c>
      <c r="K35" s="319"/>
      <c r="L35" s="240" t="e">
        <f t="shared" si="24"/>
        <v>#DIV/0!</v>
      </c>
      <c r="M35" s="226">
        <f t="shared" si="25"/>
        <v>0</v>
      </c>
      <c r="N35" s="240" t="e">
        <f t="shared" si="26"/>
        <v>#DIV/0!</v>
      </c>
      <c r="O35" s="319"/>
      <c r="P35" s="240" t="e">
        <f t="shared" si="27"/>
        <v>#DIV/0!</v>
      </c>
      <c r="Q35" s="319"/>
      <c r="R35" s="240" t="e">
        <f t="shared" si="28"/>
        <v>#DIV/0!</v>
      </c>
      <c r="S35" s="226">
        <f t="shared" si="29"/>
        <v>0</v>
      </c>
      <c r="T35" s="240" t="e">
        <f t="shared" si="30"/>
        <v>#DIV/0!</v>
      </c>
      <c r="U35" s="319"/>
      <c r="V35" s="240" t="e">
        <f t="shared" si="31"/>
        <v>#DIV/0!</v>
      </c>
      <c r="W35" s="319"/>
      <c r="X35" s="240" t="e">
        <f t="shared" si="32"/>
        <v>#DIV/0!</v>
      </c>
      <c r="Y35" s="319"/>
      <c r="Z35" s="240" t="e">
        <f t="shared" si="33"/>
        <v>#DIV/0!</v>
      </c>
      <c r="AA35" s="319"/>
      <c r="AB35" s="240" t="e">
        <f t="shared" si="34"/>
        <v>#DIV/0!</v>
      </c>
      <c r="AC35" s="226">
        <f t="shared" si="35"/>
        <v>0</v>
      </c>
      <c r="AD35" s="240" t="e">
        <f t="shared" si="36"/>
        <v>#DIV/0!</v>
      </c>
      <c r="AE35" s="319"/>
      <c r="AF35" s="240" t="e">
        <f t="shared" si="37"/>
        <v>#DIV/0!</v>
      </c>
      <c r="AG35" s="319"/>
      <c r="AH35" s="240" t="e">
        <f t="shared" si="38"/>
        <v>#DIV/0!</v>
      </c>
      <c r="AI35" s="319"/>
      <c r="AJ35" s="240" t="e">
        <f t="shared" si="39"/>
        <v>#DIV/0!</v>
      </c>
      <c r="AK35" s="319"/>
      <c r="AL35" s="240" t="e">
        <f t="shared" si="40"/>
        <v>#DIV/0!</v>
      </c>
    </row>
    <row r="36" spans="2:38" s="73" customFormat="1" ht="13.5">
      <c r="B36" s="504"/>
      <c r="C36" s="514"/>
      <c r="D36" s="173">
        <v>46106</v>
      </c>
      <c r="E36" s="173" t="s">
        <v>112</v>
      </c>
      <c r="F36" s="335"/>
      <c r="G36" s="519"/>
      <c r="H36" s="521"/>
      <c r="I36" s="426"/>
      <c r="J36" s="240" t="e">
        <f t="shared" si="23"/>
        <v>#DIV/0!</v>
      </c>
      <c r="K36" s="319"/>
      <c r="L36" s="240" t="e">
        <f t="shared" si="24"/>
        <v>#DIV/0!</v>
      </c>
      <c r="M36" s="226">
        <f t="shared" si="25"/>
        <v>0</v>
      </c>
      <c r="N36" s="240" t="e">
        <f t="shared" si="26"/>
        <v>#DIV/0!</v>
      </c>
      <c r="O36" s="319"/>
      <c r="P36" s="240" t="e">
        <f t="shared" si="27"/>
        <v>#DIV/0!</v>
      </c>
      <c r="Q36" s="319"/>
      <c r="R36" s="240" t="e">
        <f t="shared" si="28"/>
        <v>#DIV/0!</v>
      </c>
      <c r="S36" s="226">
        <f t="shared" si="29"/>
        <v>0</v>
      </c>
      <c r="T36" s="240" t="e">
        <f t="shared" si="30"/>
        <v>#DIV/0!</v>
      </c>
      <c r="U36" s="319"/>
      <c r="V36" s="240" t="e">
        <f t="shared" si="31"/>
        <v>#DIV/0!</v>
      </c>
      <c r="W36" s="319"/>
      <c r="X36" s="240" t="e">
        <f t="shared" si="32"/>
        <v>#DIV/0!</v>
      </c>
      <c r="Y36" s="319"/>
      <c r="Z36" s="240" t="e">
        <f t="shared" si="33"/>
        <v>#DIV/0!</v>
      </c>
      <c r="AA36" s="319"/>
      <c r="AB36" s="240" t="e">
        <f t="shared" si="34"/>
        <v>#DIV/0!</v>
      </c>
      <c r="AC36" s="226">
        <f t="shared" si="35"/>
        <v>0</v>
      </c>
      <c r="AD36" s="240" t="e">
        <f t="shared" si="36"/>
        <v>#DIV/0!</v>
      </c>
      <c r="AE36" s="319"/>
      <c r="AF36" s="240" t="e">
        <f t="shared" si="37"/>
        <v>#DIV/0!</v>
      </c>
      <c r="AG36" s="319"/>
      <c r="AH36" s="240" t="e">
        <f t="shared" si="38"/>
        <v>#DIV/0!</v>
      </c>
      <c r="AI36" s="319"/>
      <c r="AJ36" s="240" t="e">
        <f t="shared" si="39"/>
        <v>#DIV/0!</v>
      </c>
      <c r="AK36" s="319"/>
      <c r="AL36" s="240" t="e">
        <f t="shared" si="40"/>
        <v>#DIV/0!</v>
      </c>
    </row>
    <row r="37" spans="2:38" s="73" customFormat="1" ht="13.5">
      <c r="B37" s="504"/>
      <c r="C37" s="514"/>
      <c r="D37" s="173">
        <v>46107</v>
      </c>
      <c r="E37" s="173" t="s">
        <v>113</v>
      </c>
      <c r="F37" s="335"/>
      <c r="G37" s="519"/>
      <c r="H37" s="521"/>
      <c r="I37" s="426"/>
      <c r="J37" s="240" t="e">
        <f t="shared" si="23"/>
        <v>#DIV/0!</v>
      </c>
      <c r="K37" s="319"/>
      <c r="L37" s="240" t="e">
        <f t="shared" si="24"/>
        <v>#DIV/0!</v>
      </c>
      <c r="M37" s="226">
        <f t="shared" si="25"/>
        <v>0</v>
      </c>
      <c r="N37" s="240" t="e">
        <f t="shared" si="26"/>
        <v>#DIV/0!</v>
      </c>
      <c r="O37" s="319"/>
      <c r="P37" s="240" t="e">
        <f t="shared" si="27"/>
        <v>#DIV/0!</v>
      </c>
      <c r="Q37" s="319"/>
      <c r="R37" s="240" t="e">
        <f t="shared" si="28"/>
        <v>#DIV/0!</v>
      </c>
      <c r="S37" s="226">
        <f t="shared" si="29"/>
        <v>0</v>
      </c>
      <c r="T37" s="240" t="e">
        <f t="shared" si="30"/>
        <v>#DIV/0!</v>
      </c>
      <c r="U37" s="319"/>
      <c r="V37" s="240" t="e">
        <f t="shared" si="31"/>
        <v>#DIV/0!</v>
      </c>
      <c r="W37" s="319"/>
      <c r="X37" s="240" t="e">
        <f t="shared" si="32"/>
        <v>#DIV/0!</v>
      </c>
      <c r="Y37" s="319"/>
      <c r="Z37" s="240" t="e">
        <f t="shared" si="33"/>
        <v>#DIV/0!</v>
      </c>
      <c r="AA37" s="319"/>
      <c r="AB37" s="240" t="e">
        <f t="shared" si="34"/>
        <v>#DIV/0!</v>
      </c>
      <c r="AC37" s="226">
        <f t="shared" si="35"/>
        <v>0</v>
      </c>
      <c r="AD37" s="240" t="e">
        <f t="shared" si="36"/>
        <v>#DIV/0!</v>
      </c>
      <c r="AE37" s="319"/>
      <c r="AF37" s="240" t="e">
        <f t="shared" si="37"/>
        <v>#DIV/0!</v>
      </c>
      <c r="AG37" s="319"/>
      <c r="AH37" s="240" t="e">
        <f t="shared" si="38"/>
        <v>#DIV/0!</v>
      </c>
      <c r="AI37" s="319"/>
      <c r="AJ37" s="240" t="e">
        <f t="shared" si="39"/>
        <v>#DIV/0!</v>
      </c>
      <c r="AK37" s="319"/>
      <c r="AL37" s="240" t="e">
        <f t="shared" si="40"/>
        <v>#DIV/0!</v>
      </c>
    </row>
    <row r="38" spans="2:38" s="73" customFormat="1" ht="13.5">
      <c r="B38" s="504"/>
      <c r="C38" s="514"/>
      <c r="D38" s="173">
        <v>46108</v>
      </c>
      <c r="E38" s="173" t="s">
        <v>114</v>
      </c>
      <c r="F38" s="335"/>
      <c r="G38" s="519"/>
      <c r="H38" s="521"/>
      <c r="I38" s="426"/>
      <c r="J38" s="240" t="e">
        <f t="shared" si="23"/>
        <v>#DIV/0!</v>
      </c>
      <c r="K38" s="319"/>
      <c r="L38" s="240" t="e">
        <f t="shared" si="24"/>
        <v>#DIV/0!</v>
      </c>
      <c r="M38" s="226">
        <f t="shared" si="25"/>
        <v>0</v>
      </c>
      <c r="N38" s="240" t="e">
        <f t="shared" si="26"/>
        <v>#DIV/0!</v>
      </c>
      <c r="O38" s="319"/>
      <c r="P38" s="240" t="e">
        <f t="shared" si="27"/>
        <v>#DIV/0!</v>
      </c>
      <c r="Q38" s="319"/>
      <c r="R38" s="240" t="e">
        <f t="shared" si="28"/>
        <v>#DIV/0!</v>
      </c>
      <c r="S38" s="226">
        <f t="shared" si="29"/>
        <v>0</v>
      </c>
      <c r="T38" s="240" t="e">
        <f t="shared" si="30"/>
        <v>#DIV/0!</v>
      </c>
      <c r="U38" s="319"/>
      <c r="V38" s="240" t="e">
        <f t="shared" si="31"/>
        <v>#DIV/0!</v>
      </c>
      <c r="W38" s="319"/>
      <c r="X38" s="240" t="e">
        <f t="shared" si="32"/>
        <v>#DIV/0!</v>
      </c>
      <c r="Y38" s="319"/>
      <c r="Z38" s="240" t="e">
        <f t="shared" si="33"/>
        <v>#DIV/0!</v>
      </c>
      <c r="AA38" s="319"/>
      <c r="AB38" s="240" t="e">
        <f t="shared" si="34"/>
        <v>#DIV/0!</v>
      </c>
      <c r="AC38" s="226">
        <f t="shared" si="35"/>
        <v>0</v>
      </c>
      <c r="AD38" s="240" t="e">
        <f t="shared" si="36"/>
        <v>#DIV/0!</v>
      </c>
      <c r="AE38" s="319"/>
      <c r="AF38" s="240" t="e">
        <f t="shared" si="37"/>
        <v>#DIV/0!</v>
      </c>
      <c r="AG38" s="319"/>
      <c r="AH38" s="240" t="e">
        <f t="shared" si="38"/>
        <v>#DIV/0!</v>
      </c>
      <c r="AI38" s="319"/>
      <c r="AJ38" s="240" t="e">
        <f t="shared" si="39"/>
        <v>#DIV/0!</v>
      </c>
      <c r="AK38" s="319"/>
      <c r="AL38" s="240" t="e">
        <f t="shared" si="40"/>
        <v>#DIV/0!</v>
      </c>
    </row>
    <row r="39" spans="2:38" s="73" customFormat="1" ht="13.5" collapsed="1">
      <c r="B39" s="504"/>
      <c r="C39" s="514"/>
      <c r="D39" s="173">
        <v>46109</v>
      </c>
      <c r="E39" s="173" t="s">
        <v>115</v>
      </c>
      <c r="F39" s="335"/>
      <c r="G39" s="519"/>
      <c r="H39" s="521"/>
      <c r="I39" s="426"/>
      <c r="J39" s="240" t="e">
        <f t="shared" si="23"/>
        <v>#DIV/0!</v>
      </c>
      <c r="K39" s="319"/>
      <c r="L39" s="240" t="e">
        <f t="shared" si="24"/>
        <v>#DIV/0!</v>
      </c>
      <c r="M39" s="226">
        <f t="shared" si="25"/>
        <v>0</v>
      </c>
      <c r="N39" s="240" t="e">
        <f t="shared" si="26"/>
        <v>#DIV/0!</v>
      </c>
      <c r="O39" s="319"/>
      <c r="P39" s="240" t="e">
        <f t="shared" si="27"/>
        <v>#DIV/0!</v>
      </c>
      <c r="Q39" s="319"/>
      <c r="R39" s="240" t="e">
        <f t="shared" si="28"/>
        <v>#DIV/0!</v>
      </c>
      <c r="S39" s="226">
        <f t="shared" si="29"/>
        <v>0</v>
      </c>
      <c r="T39" s="240" t="e">
        <f t="shared" si="30"/>
        <v>#DIV/0!</v>
      </c>
      <c r="U39" s="319"/>
      <c r="V39" s="240" t="e">
        <f t="shared" si="31"/>
        <v>#DIV/0!</v>
      </c>
      <c r="W39" s="319"/>
      <c r="X39" s="240" t="e">
        <f t="shared" si="32"/>
        <v>#DIV/0!</v>
      </c>
      <c r="Y39" s="319"/>
      <c r="Z39" s="240" t="e">
        <f t="shared" si="33"/>
        <v>#DIV/0!</v>
      </c>
      <c r="AA39" s="319"/>
      <c r="AB39" s="240" t="e">
        <f t="shared" si="34"/>
        <v>#DIV/0!</v>
      </c>
      <c r="AC39" s="226">
        <f t="shared" si="35"/>
        <v>0</v>
      </c>
      <c r="AD39" s="240" t="e">
        <f t="shared" si="36"/>
        <v>#DIV/0!</v>
      </c>
      <c r="AE39" s="319"/>
      <c r="AF39" s="240" t="e">
        <f t="shared" si="37"/>
        <v>#DIV/0!</v>
      </c>
      <c r="AG39" s="319"/>
      <c r="AH39" s="240" t="e">
        <f t="shared" si="38"/>
        <v>#DIV/0!</v>
      </c>
      <c r="AI39" s="319"/>
      <c r="AJ39" s="240" t="e">
        <f t="shared" si="39"/>
        <v>#DIV/0!</v>
      </c>
      <c r="AK39" s="319"/>
      <c r="AL39" s="240" t="e">
        <f t="shared" si="40"/>
        <v>#DIV/0!</v>
      </c>
    </row>
    <row r="40" spans="2:38" s="73" customFormat="1" ht="13.5">
      <c r="B40" s="504"/>
      <c r="C40" s="514"/>
      <c r="D40" s="173">
        <v>46110</v>
      </c>
      <c r="E40" s="173" t="s">
        <v>116</v>
      </c>
      <c r="F40" s="335"/>
      <c r="G40" s="519"/>
      <c r="H40" s="521"/>
      <c r="I40" s="426"/>
      <c r="J40" s="240" t="e">
        <f t="shared" si="23"/>
        <v>#DIV/0!</v>
      </c>
      <c r="K40" s="319"/>
      <c r="L40" s="240" t="e">
        <f t="shared" si="24"/>
        <v>#DIV/0!</v>
      </c>
      <c r="M40" s="226">
        <f>I40+K40</f>
        <v>0</v>
      </c>
      <c r="N40" s="240" t="e">
        <f t="shared" si="26"/>
        <v>#DIV/0!</v>
      </c>
      <c r="O40" s="319"/>
      <c r="P40" s="240" t="e">
        <f t="shared" si="27"/>
        <v>#DIV/0!</v>
      </c>
      <c r="Q40" s="319"/>
      <c r="R40" s="240" t="e">
        <f t="shared" si="28"/>
        <v>#DIV/0!</v>
      </c>
      <c r="S40" s="226">
        <f t="shared" si="29"/>
        <v>0</v>
      </c>
      <c r="T40" s="240" t="e">
        <f t="shared" si="30"/>
        <v>#DIV/0!</v>
      </c>
      <c r="U40" s="319"/>
      <c r="V40" s="240" t="e">
        <f t="shared" si="31"/>
        <v>#DIV/0!</v>
      </c>
      <c r="W40" s="319"/>
      <c r="X40" s="240" t="e">
        <f t="shared" si="32"/>
        <v>#DIV/0!</v>
      </c>
      <c r="Y40" s="319"/>
      <c r="Z40" s="240" t="e">
        <f t="shared" si="33"/>
        <v>#DIV/0!</v>
      </c>
      <c r="AA40" s="319"/>
      <c r="AB40" s="240" t="e">
        <f t="shared" si="34"/>
        <v>#DIV/0!</v>
      </c>
      <c r="AC40" s="226">
        <f t="shared" si="35"/>
        <v>0</v>
      </c>
      <c r="AD40" s="240" t="e">
        <f t="shared" si="36"/>
        <v>#DIV/0!</v>
      </c>
      <c r="AE40" s="319"/>
      <c r="AF40" s="240" t="e">
        <f t="shared" si="37"/>
        <v>#DIV/0!</v>
      </c>
      <c r="AG40" s="319"/>
      <c r="AH40" s="240" t="e">
        <f t="shared" si="38"/>
        <v>#DIV/0!</v>
      </c>
      <c r="AI40" s="319"/>
      <c r="AJ40" s="240" t="e">
        <f t="shared" si="39"/>
        <v>#DIV/0!</v>
      </c>
      <c r="AK40" s="319"/>
      <c r="AL40" s="240" t="e">
        <f t="shared" si="40"/>
        <v>#DIV/0!</v>
      </c>
    </row>
    <row r="41" spans="2:38" s="73" customFormat="1" ht="13.5">
      <c r="B41" s="505"/>
      <c r="C41" s="515"/>
      <c r="D41" s="173">
        <v>46111</v>
      </c>
      <c r="E41" s="173" t="s">
        <v>117</v>
      </c>
      <c r="F41" s="335"/>
      <c r="G41" s="519"/>
      <c r="H41" s="521"/>
      <c r="I41" s="426"/>
      <c r="J41" s="240" t="e">
        <f t="shared" si="23"/>
        <v>#DIV/0!</v>
      </c>
      <c r="K41" s="319"/>
      <c r="L41" s="240" t="e">
        <f t="shared" si="24"/>
        <v>#DIV/0!</v>
      </c>
      <c r="M41" s="226">
        <f t="shared" si="25"/>
        <v>0</v>
      </c>
      <c r="N41" s="240" t="e">
        <f t="shared" si="26"/>
        <v>#DIV/0!</v>
      </c>
      <c r="O41" s="319"/>
      <c r="P41" s="240" t="e">
        <f t="shared" si="27"/>
        <v>#DIV/0!</v>
      </c>
      <c r="Q41" s="319"/>
      <c r="R41" s="240" t="e">
        <f t="shared" si="28"/>
        <v>#DIV/0!</v>
      </c>
      <c r="S41" s="226">
        <f t="shared" si="29"/>
        <v>0</v>
      </c>
      <c r="T41" s="240" t="e">
        <f t="shared" si="30"/>
        <v>#DIV/0!</v>
      </c>
      <c r="U41" s="319"/>
      <c r="V41" s="240" t="e">
        <f t="shared" si="31"/>
        <v>#DIV/0!</v>
      </c>
      <c r="W41" s="319"/>
      <c r="X41" s="240" t="e">
        <f t="shared" si="32"/>
        <v>#DIV/0!</v>
      </c>
      <c r="Y41" s="319"/>
      <c r="Z41" s="240" t="e">
        <f t="shared" si="33"/>
        <v>#DIV/0!</v>
      </c>
      <c r="AA41" s="319"/>
      <c r="AB41" s="240" t="e">
        <f t="shared" si="34"/>
        <v>#DIV/0!</v>
      </c>
      <c r="AC41" s="226">
        <f t="shared" si="35"/>
        <v>0</v>
      </c>
      <c r="AD41" s="240" t="e">
        <f t="shared" si="36"/>
        <v>#DIV/0!</v>
      </c>
      <c r="AE41" s="319"/>
      <c r="AF41" s="240" t="e">
        <f t="shared" si="37"/>
        <v>#DIV/0!</v>
      </c>
      <c r="AG41" s="319"/>
      <c r="AH41" s="240" t="e">
        <f t="shared" si="38"/>
        <v>#DIV/0!</v>
      </c>
      <c r="AI41" s="319"/>
      <c r="AJ41" s="240" t="e">
        <f t="shared" si="39"/>
        <v>#DIV/0!</v>
      </c>
      <c r="AK41" s="319"/>
      <c r="AL41" s="240" t="e">
        <f t="shared" si="40"/>
        <v>#DIV/0!</v>
      </c>
    </row>
    <row r="42" spans="2:38" s="73" customFormat="1" ht="14.25" customHeight="1">
      <c r="B42" s="503">
        <f>B35+7</f>
        <v>46120</v>
      </c>
      <c r="C42" s="95"/>
      <c r="D42" s="173">
        <v>46112</v>
      </c>
      <c r="E42" s="173" t="s">
        <v>118</v>
      </c>
      <c r="F42" s="335"/>
      <c r="G42" s="519">
        <f>SUM(F42:F48)</f>
        <v>0</v>
      </c>
      <c r="H42" s="522"/>
      <c r="I42" s="426"/>
      <c r="J42" s="240" t="e">
        <f t="shared" ref="J42:J48" si="42">I42/$F42</f>
        <v>#DIV/0!</v>
      </c>
      <c r="K42" s="319"/>
      <c r="L42" s="240" t="e">
        <f t="shared" ref="L42:L48" si="43">K42/$F42</f>
        <v>#DIV/0!</v>
      </c>
      <c r="M42" s="226">
        <f t="shared" ref="M42:M46" si="44">I42+K42</f>
        <v>0</v>
      </c>
      <c r="N42" s="240" t="e">
        <f t="shared" ref="N42:N48" si="45">M42/$F42</f>
        <v>#DIV/0!</v>
      </c>
      <c r="O42" s="319"/>
      <c r="P42" s="240" t="e">
        <f t="shared" ref="P42:P48" si="46">O42/$F42</f>
        <v>#DIV/0!</v>
      </c>
      <c r="Q42" s="319"/>
      <c r="R42" s="240" t="e">
        <f t="shared" ref="R42:R48" si="47">Q42/$F42</f>
        <v>#DIV/0!</v>
      </c>
      <c r="S42" s="226">
        <f t="shared" ref="S42:S48" si="48">O42+Q42</f>
        <v>0</v>
      </c>
      <c r="T42" s="240" t="e">
        <f t="shared" ref="T42:T48" si="49">S42/$F42</f>
        <v>#DIV/0!</v>
      </c>
      <c r="U42" s="319"/>
      <c r="V42" s="240" t="e">
        <f t="shared" ref="V42:V48" si="50">U42/$F42</f>
        <v>#DIV/0!</v>
      </c>
      <c r="W42" s="319"/>
      <c r="X42" s="240" t="e">
        <f t="shared" ref="X42:X48" si="51">W42/$F42</f>
        <v>#DIV/0!</v>
      </c>
      <c r="Y42" s="319"/>
      <c r="Z42" s="240" t="e">
        <f t="shared" ref="Z42:Z48" si="52">Y42/$F42</f>
        <v>#DIV/0!</v>
      </c>
      <c r="AA42" s="319"/>
      <c r="AB42" s="240" t="e">
        <f t="shared" ref="AB42:AB48" si="53">AA42/$F42</f>
        <v>#DIV/0!</v>
      </c>
      <c r="AC42" s="226">
        <f t="shared" ref="AC42:AC48" si="54">Y42+AA42</f>
        <v>0</v>
      </c>
      <c r="AD42" s="240" t="e">
        <f t="shared" ref="AD42:AD48" si="55">AC42/$F42</f>
        <v>#DIV/0!</v>
      </c>
      <c r="AE42" s="319"/>
      <c r="AF42" s="240" t="e">
        <f t="shared" ref="AF42:AF48" si="56">AE42/$F42</f>
        <v>#DIV/0!</v>
      </c>
      <c r="AG42" s="319"/>
      <c r="AH42" s="240" t="e">
        <f t="shared" ref="AH42:AH48" si="57">AG42/$F42</f>
        <v>#DIV/0!</v>
      </c>
      <c r="AI42" s="319"/>
      <c r="AJ42" s="240" t="e">
        <f t="shared" ref="AJ42:AJ48" si="58">AI42/$F42</f>
        <v>#DIV/0!</v>
      </c>
      <c r="AK42" s="319"/>
      <c r="AL42" s="240" t="e">
        <f t="shared" ref="AL42:AL48" si="59">AK42/$F42</f>
        <v>#DIV/0!</v>
      </c>
    </row>
    <row r="43" spans="2:38" s="73" customFormat="1">
      <c r="B43" s="504"/>
      <c r="C43" s="95"/>
      <c r="D43" s="173">
        <v>46113</v>
      </c>
      <c r="E43" s="173" t="s">
        <v>112</v>
      </c>
      <c r="F43" s="335"/>
      <c r="G43" s="519"/>
      <c r="H43" s="456"/>
      <c r="I43" s="426"/>
      <c r="J43" s="240" t="e">
        <f t="shared" si="42"/>
        <v>#DIV/0!</v>
      </c>
      <c r="K43" s="319"/>
      <c r="L43" s="240" t="e">
        <f t="shared" si="43"/>
        <v>#DIV/0!</v>
      </c>
      <c r="M43" s="226">
        <f t="shared" si="44"/>
        <v>0</v>
      </c>
      <c r="N43" s="240" t="e">
        <f t="shared" si="45"/>
        <v>#DIV/0!</v>
      </c>
      <c r="O43" s="319"/>
      <c r="P43" s="240" t="e">
        <f t="shared" si="46"/>
        <v>#DIV/0!</v>
      </c>
      <c r="Q43" s="319"/>
      <c r="R43" s="240" t="e">
        <f t="shared" si="47"/>
        <v>#DIV/0!</v>
      </c>
      <c r="S43" s="226">
        <f t="shared" si="48"/>
        <v>0</v>
      </c>
      <c r="T43" s="240" t="e">
        <f t="shared" si="49"/>
        <v>#DIV/0!</v>
      </c>
      <c r="U43" s="319"/>
      <c r="V43" s="240" t="e">
        <f t="shared" si="50"/>
        <v>#DIV/0!</v>
      </c>
      <c r="W43" s="319"/>
      <c r="X43" s="240" t="e">
        <f t="shared" si="51"/>
        <v>#DIV/0!</v>
      </c>
      <c r="Y43" s="319"/>
      <c r="Z43" s="240" t="e">
        <f t="shared" si="52"/>
        <v>#DIV/0!</v>
      </c>
      <c r="AA43" s="319"/>
      <c r="AB43" s="240" t="e">
        <f t="shared" si="53"/>
        <v>#DIV/0!</v>
      </c>
      <c r="AC43" s="226">
        <f t="shared" si="54"/>
        <v>0</v>
      </c>
      <c r="AD43" s="240" t="e">
        <f t="shared" si="55"/>
        <v>#DIV/0!</v>
      </c>
      <c r="AE43" s="319"/>
      <c r="AF43" s="240" t="e">
        <f t="shared" si="56"/>
        <v>#DIV/0!</v>
      </c>
      <c r="AG43" s="319"/>
      <c r="AH43" s="240" t="e">
        <f t="shared" si="57"/>
        <v>#DIV/0!</v>
      </c>
      <c r="AI43" s="319"/>
      <c r="AJ43" s="240" t="e">
        <f t="shared" si="58"/>
        <v>#DIV/0!</v>
      </c>
      <c r="AK43" s="319"/>
      <c r="AL43" s="240" t="e">
        <f t="shared" si="59"/>
        <v>#DIV/0!</v>
      </c>
    </row>
    <row r="44" spans="2:38" s="73" customFormat="1">
      <c r="B44" s="504"/>
      <c r="C44" s="95"/>
      <c r="D44" s="173">
        <v>46114</v>
      </c>
      <c r="E44" s="173" t="s">
        <v>113</v>
      </c>
      <c r="F44" s="335"/>
      <c r="G44" s="519"/>
      <c r="H44" s="457"/>
      <c r="I44" s="426"/>
      <c r="J44" s="240" t="e">
        <f t="shared" si="42"/>
        <v>#DIV/0!</v>
      </c>
      <c r="K44" s="319"/>
      <c r="L44" s="240" t="e">
        <f t="shared" si="43"/>
        <v>#DIV/0!</v>
      </c>
      <c r="M44" s="226">
        <f t="shared" si="44"/>
        <v>0</v>
      </c>
      <c r="N44" s="240" t="e">
        <f t="shared" si="45"/>
        <v>#DIV/0!</v>
      </c>
      <c r="O44" s="319"/>
      <c r="P44" s="240" t="e">
        <f t="shared" si="46"/>
        <v>#DIV/0!</v>
      </c>
      <c r="Q44" s="319"/>
      <c r="R44" s="240" t="e">
        <f t="shared" si="47"/>
        <v>#DIV/0!</v>
      </c>
      <c r="S44" s="226">
        <f t="shared" si="48"/>
        <v>0</v>
      </c>
      <c r="T44" s="240" t="e">
        <f t="shared" si="49"/>
        <v>#DIV/0!</v>
      </c>
      <c r="U44" s="319"/>
      <c r="V44" s="240" t="e">
        <f t="shared" si="50"/>
        <v>#DIV/0!</v>
      </c>
      <c r="W44" s="319"/>
      <c r="X44" s="240" t="e">
        <f t="shared" si="51"/>
        <v>#DIV/0!</v>
      </c>
      <c r="Y44" s="319"/>
      <c r="Z44" s="240" t="e">
        <f t="shared" si="52"/>
        <v>#DIV/0!</v>
      </c>
      <c r="AA44" s="319"/>
      <c r="AB44" s="240" t="e">
        <f t="shared" si="53"/>
        <v>#DIV/0!</v>
      </c>
      <c r="AC44" s="226">
        <f t="shared" si="54"/>
        <v>0</v>
      </c>
      <c r="AD44" s="240" t="e">
        <f t="shared" si="55"/>
        <v>#DIV/0!</v>
      </c>
      <c r="AE44" s="319"/>
      <c r="AF44" s="240" t="e">
        <f t="shared" si="56"/>
        <v>#DIV/0!</v>
      </c>
      <c r="AG44" s="319"/>
      <c r="AH44" s="240" t="e">
        <f t="shared" si="57"/>
        <v>#DIV/0!</v>
      </c>
      <c r="AI44" s="319"/>
      <c r="AJ44" s="240" t="e">
        <f t="shared" si="58"/>
        <v>#DIV/0!</v>
      </c>
      <c r="AK44" s="319"/>
      <c r="AL44" s="240" t="e">
        <f t="shared" si="59"/>
        <v>#DIV/0!</v>
      </c>
    </row>
    <row r="45" spans="2:38" s="73" customFormat="1">
      <c r="B45" s="504"/>
      <c r="C45" s="95"/>
      <c r="D45" s="173">
        <v>46115</v>
      </c>
      <c r="E45" s="173" t="s">
        <v>114</v>
      </c>
      <c r="F45" s="335"/>
      <c r="G45" s="519"/>
      <c r="H45" s="457"/>
      <c r="I45" s="426"/>
      <c r="J45" s="240" t="e">
        <f t="shared" si="42"/>
        <v>#DIV/0!</v>
      </c>
      <c r="K45" s="319"/>
      <c r="L45" s="240" t="e">
        <f t="shared" si="43"/>
        <v>#DIV/0!</v>
      </c>
      <c r="M45" s="226">
        <f t="shared" si="44"/>
        <v>0</v>
      </c>
      <c r="N45" s="240" t="e">
        <f t="shared" si="45"/>
        <v>#DIV/0!</v>
      </c>
      <c r="O45" s="319"/>
      <c r="P45" s="240" t="e">
        <f t="shared" si="46"/>
        <v>#DIV/0!</v>
      </c>
      <c r="Q45" s="319"/>
      <c r="R45" s="240" t="e">
        <f t="shared" si="47"/>
        <v>#DIV/0!</v>
      </c>
      <c r="S45" s="226">
        <f t="shared" si="48"/>
        <v>0</v>
      </c>
      <c r="T45" s="240" t="e">
        <f t="shared" si="49"/>
        <v>#DIV/0!</v>
      </c>
      <c r="U45" s="319"/>
      <c r="V45" s="240" t="e">
        <f t="shared" si="50"/>
        <v>#DIV/0!</v>
      </c>
      <c r="W45" s="319"/>
      <c r="X45" s="240" t="e">
        <f t="shared" si="51"/>
        <v>#DIV/0!</v>
      </c>
      <c r="Y45" s="319"/>
      <c r="Z45" s="240" t="e">
        <f t="shared" si="52"/>
        <v>#DIV/0!</v>
      </c>
      <c r="AA45" s="319"/>
      <c r="AB45" s="240" t="e">
        <f t="shared" si="53"/>
        <v>#DIV/0!</v>
      </c>
      <c r="AC45" s="226">
        <f t="shared" si="54"/>
        <v>0</v>
      </c>
      <c r="AD45" s="240" t="e">
        <f t="shared" si="55"/>
        <v>#DIV/0!</v>
      </c>
      <c r="AE45" s="319"/>
      <c r="AF45" s="240" t="e">
        <f t="shared" si="56"/>
        <v>#DIV/0!</v>
      </c>
      <c r="AG45" s="319"/>
      <c r="AH45" s="240" t="e">
        <f t="shared" si="57"/>
        <v>#DIV/0!</v>
      </c>
      <c r="AI45" s="319"/>
      <c r="AJ45" s="240" t="e">
        <f t="shared" si="58"/>
        <v>#DIV/0!</v>
      </c>
      <c r="AK45" s="319"/>
      <c r="AL45" s="240" t="e">
        <f t="shared" si="59"/>
        <v>#DIV/0!</v>
      </c>
    </row>
    <row r="46" spans="2:38" s="73" customFormat="1" collapsed="1">
      <c r="B46" s="504"/>
      <c r="C46" s="95"/>
      <c r="D46" s="173">
        <v>46116</v>
      </c>
      <c r="E46" s="173" t="s">
        <v>115</v>
      </c>
      <c r="F46" s="335"/>
      <c r="G46" s="519"/>
      <c r="H46" s="457"/>
      <c r="I46" s="426"/>
      <c r="J46" s="240" t="e">
        <f t="shared" si="42"/>
        <v>#DIV/0!</v>
      </c>
      <c r="K46" s="319"/>
      <c r="L46" s="240" t="e">
        <f t="shared" si="43"/>
        <v>#DIV/0!</v>
      </c>
      <c r="M46" s="226">
        <f t="shared" si="44"/>
        <v>0</v>
      </c>
      <c r="N46" s="240" t="e">
        <f t="shared" si="45"/>
        <v>#DIV/0!</v>
      </c>
      <c r="O46" s="319"/>
      <c r="P46" s="240" t="e">
        <f t="shared" si="46"/>
        <v>#DIV/0!</v>
      </c>
      <c r="Q46" s="319"/>
      <c r="R46" s="240" t="e">
        <f t="shared" si="47"/>
        <v>#DIV/0!</v>
      </c>
      <c r="S46" s="226">
        <f t="shared" si="48"/>
        <v>0</v>
      </c>
      <c r="T46" s="240" t="e">
        <f t="shared" si="49"/>
        <v>#DIV/0!</v>
      </c>
      <c r="U46" s="319"/>
      <c r="V46" s="240" t="e">
        <f t="shared" si="50"/>
        <v>#DIV/0!</v>
      </c>
      <c r="W46" s="319"/>
      <c r="X46" s="240" t="e">
        <f t="shared" si="51"/>
        <v>#DIV/0!</v>
      </c>
      <c r="Y46" s="319"/>
      <c r="Z46" s="240" t="e">
        <f t="shared" si="52"/>
        <v>#DIV/0!</v>
      </c>
      <c r="AA46" s="319"/>
      <c r="AB46" s="240" t="e">
        <f t="shared" si="53"/>
        <v>#DIV/0!</v>
      </c>
      <c r="AC46" s="226">
        <f t="shared" si="54"/>
        <v>0</v>
      </c>
      <c r="AD46" s="240" t="e">
        <f t="shared" si="55"/>
        <v>#DIV/0!</v>
      </c>
      <c r="AE46" s="319"/>
      <c r="AF46" s="240" t="e">
        <f t="shared" si="56"/>
        <v>#DIV/0!</v>
      </c>
      <c r="AG46" s="319"/>
      <c r="AH46" s="240" t="e">
        <f t="shared" si="57"/>
        <v>#DIV/0!</v>
      </c>
      <c r="AI46" s="319"/>
      <c r="AJ46" s="240" t="e">
        <f t="shared" si="58"/>
        <v>#DIV/0!</v>
      </c>
      <c r="AK46" s="319"/>
      <c r="AL46" s="240" t="e">
        <f t="shared" si="59"/>
        <v>#DIV/0!</v>
      </c>
    </row>
    <row r="47" spans="2:38" s="73" customFormat="1">
      <c r="B47" s="504"/>
      <c r="C47" s="95"/>
      <c r="D47" s="173">
        <v>46117</v>
      </c>
      <c r="E47" s="173" t="s">
        <v>116</v>
      </c>
      <c r="F47" s="335"/>
      <c r="G47" s="519"/>
      <c r="H47" s="457"/>
      <c r="I47" s="426"/>
      <c r="J47" s="240" t="e">
        <f t="shared" si="42"/>
        <v>#DIV/0!</v>
      </c>
      <c r="K47" s="319"/>
      <c r="L47" s="240" t="e">
        <f t="shared" si="43"/>
        <v>#DIV/0!</v>
      </c>
      <c r="M47" s="226">
        <f>I47+K47</f>
        <v>0</v>
      </c>
      <c r="N47" s="240" t="e">
        <f t="shared" si="45"/>
        <v>#DIV/0!</v>
      </c>
      <c r="O47" s="319"/>
      <c r="P47" s="240" t="e">
        <f t="shared" si="46"/>
        <v>#DIV/0!</v>
      </c>
      <c r="Q47" s="319"/>
      <c r="R47" s="240" t="e">
        <f t="shared" si="47"/>
        <v>#DIV/0!</v>
      </c>
      <c r="S47" s="226">
        <f t="shared" si="48"/>
        <v>0</v>
      </c>
      <c r="T47" s="240" t="e">
        <f t="shared" si="49"/>
        <v>#DIV/0!</v>
      </c>
      <c r="U47" s="319"/>
      <c r="V47" s="240" t="e">
        <f t="shared" si="50"/>
        <v>#DIV/0!</v>
      </c>
      <c r="W47" s="319"/>
      <c r="X47" s="240" t="e">
        <f t="shared" si="51"/>
        <v>#DIV/0!</v>
      </c>
      <c r="Y47" s="319"/>
      <c r="Z47" s="240" t="e">
        <f t="shared" si="52"/>
        <v>#DIV/0!</v>
      </c>
      <c r="AA47" s="319"/>
      <c r="AB47" s="240" t="e">
        <f t="shared" si="53"/>
        <v>#DIV/0!</v>
      </c>
      <c r="AC47" s="226">
        <f t="shared" si="54"/>
        <v>0</v>
      </c>
      <c r="AD47" s="240" t="e">
        <f t="shared" si="55"/>
        <v>#DIV/0!</v>
      </c>
      <c r="AE47" s="319"/>
      <c r="AF47" s="240" t="e">
        <f t="shared" si="56"/>
        <v>#DIV/0!</v>
      </c>
      <c r="AG47" s="319"/>
      <c r="AH47" s="240" t="e">
        <f t="shared" si="57"/>
        <v>#DIV/0!</v>
      </c>
      <c r="AI47" s="319"/>
      <c r="AJ47" s="240" t="e">
        <f t="shared" si="58"/>
        <v>#DIV/0!</v>
      </c>
      <c r="AK47" s="319"/>
      <c r="AL47" s="240" t="e">
        <f t="shared" si="59"/>
        <v>#DIV/0!</v>
      </c>
    </row>
    <row r="48" spans="2:38" s="73" customFormat="1">
      <c r="B48" s="505"/>
      <c r="C48" s="95"/>
      <c r="D48" s="173">
        <v>46118</v>
      </c>
      <c r="E48" s="173" t="s">
        <v>117</v>
      </c>
      <c r="F48" s="335"/>
      <c r="G48" s="519"/>
      <c r="H48" s="458"/>
      <c r="I48" s="426"/>
      <c r="J48" s="240" t="e">
        <f t="shared" si="42"/>
        <v>#DIV/0!</v>
      </c>
      <c r="K48" s="319"/>
      <c r="L48" s="240" t="e">
        <f t="shared" si="43"/>
        <v>#DIV/0!</v>
      </c>
      <c r="M48" s="226">
        <f t="shared" ref="M48" si="60">I48+K48</f>
        <v>0</v>
      </c>
      <c r="N48" s="240" t="e">
        <f t="shared" si="45"/>
        <v>#DIV/0!</v>
      </c>
      <c r="O48" s="319"/>
      <c r="P48" s="240" t="e">
        <f t="shared" si="46"/>
        <v>#DIV/0!</v>
      </c>
      <c r="Q48" s="319"/>
      <c r="R48" s="240" t="e">
        <f t="shared" si="47"/>
        <v>#DIV/0!</v>
      </c>
      <c r="S48" s="226">
        <f t="shared" si="48"/>
        <v>0</v>
      </c>
      <c r="T48" s="240" t="e">
        <f t="shared" si="49"/>
        <v>#DIV/0!</v>
      </c>
      <c r="U48" s="319"/>
      <c r="V48" s="240" t="e">
        <f t="shared" si="50"/>
        <v>#DIV/0!</v>
      </c>
      <c r="W48" s="319"/>
      <c r="X48" s="240" t="e">
        <f t="shared" si="51"/>
        <v>#DIV/0!</v>
      </c>
      <c r="Y48" s="319"/>
      <c r="Z48" s="240" t="e">
        <f t="shared" si="52"/>
        <v>#DIV/0!</v>
      </c>
      <c r="AA48" s="319"/>
      <c r="AB48" s="240" t="e">
        <f t="shared" si="53"/>
        <v>#DIV/0!</v>
      </c>
      <c r="AC48" s="226">
        <f t="shared" si="54"/>
        <v>0</v>
      </c>
      <c r="AD48" s="240" t="e">
        <f t="shared" si="55"/>
        <v>#DIV/0!</v>
      </c>
      <c r="AE48" s="319"/>
      <c r="AF48" s="240" t="e">
        <f t="shared" si="56"/>
        <v>#DIV/0!</v>
      </c>
      <c r="AG48" s="319"/>
      <c r="AH48" s="240" t="e">
        <f t="shared" si="57"/>
        <v>#DIV/0!</v>
      </c>
      <c r="AI48" s="319"/>
      <c r="AJ48" s="240" t="e">
        <f t="shared" si="58"/>
        <v>#DIV/0!</v>
      </c>
      <c r="AK48" s="319"/>
      <c r="AL48" s="240" t="e">
        <f t="shared" si="59"/>
        <v>#DIV/0!</v>
      </c>
    </row>
  </sheetData>
  <mergeCells count="49">
    <mergeCell ref="S5:T5"/>
    <mergeCell ref="I4:N4"/>
    <mergeCell ref="H5:H6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AI5:AJ5"/>
    <mergeCell ref="K5:L5"/>
    <mergeCell ref="B28:B34"/>
    <mergeCell ref="Y4:AD4"/>
    <mergeCell ref="AK4:AL4"/>
    <mergeCell ref="F3:H4"/>
    <mergeCell ref="B3:B6"/>
    <mergeCell ref="C3:C6"/>
    <mergeCell ref="D3:E6"/>
    <mergeCell ref="G5:G6"/>
    <mergeCell ref="M5:N5"/>
    <mergeCell ref="I3:AL3"/>
    <mergeCell ref="AI4:AJ4"/>
    <mergeCell ref="O5:P5"/>
    <mergeCell ref="I5:J5"/>
    <mergeCell ref="Q5:R5"/>
    <mergeCell ref="AA5:AB5"/>
    <mergeCell ref="O4:T4"/>
    <mergeCell ref="B35:B41"/>
    <mergeCell ref="F5:F6"/>
    <mergeCell ref="B42:B48"/>
    <mergeCell ref="G42:G48"/>
    <mergeCell ref="H12:H42"/>
    <mergeCell ref="C12:C41"/>
    <mergeCell ref="H7:H11"/>
    <mergeCell ref="G35:G41"/>
    <mergeCell ref="G7:G13"/>
    <mergeCell ref="G14:G20"/>
    <mergeCell ref="G21:G27"/>
    <mergeCell ref="G28:G34"/>
    <mergeCell ref="C7:C11"/>
    <mergeCell ref="B7:B13"/>
    <mergeCell ref="B14:B20"/>
    <mergeCell ref="B21:B27"/>
  </mergeCells>
  <phoneticPr fontId="1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15"/>
  <sheetViews>
    <sheetView zoomScale="85" zoomScaleNormal="85" workbookViewId="0">
      <pane xSplit="13" ySplit="1" topLeftCell="N44" activePane="bottomRight" state="frozen"/>
      <selection activeCell="E31" sqref="E31"/>
      <selection pane="topRight" activeCell="E31" sqref="E31"/>
      <selection pane="bottomLeft" activeCell="E31" sqref="E31"/>
      <selection pane="bottomRight" activeCell="L45" sqref="L45:L77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54296875" style="179" bestFit="1" customWidth="1"/>
    <col min="4" max="4" width="26.453125" style="178" customWidth="1"/>
    <col min="5" max="5" width="7.7265625" style="179" customWidth="1"/>
    <col min="6" max="7" width="8.7265625" style="179" customWidth="1"/>
    <col min="8" max="8" width="10.7265625" style="179" customWidth="1"/>
    <col min="9" max="9" width="7.7265625" style="180" customWidth="1"/>
    <col min="10" max="11" width="8.7265625" style="180" customWidth="1"/>
    <col min="12" max="12" width="10.7265625" style="180" customWidth="1"/>
    <col min="13" max="13" width="5.7265625" style="180" customWidth="1"/>
    <col min="14" max="14" width="9.81640625" style="180" customWidth="1"/>
    <col min="15" max="15" width="7.1796875" style="180" customWidth="1" collapsed="1"/>
    <col min="16" max="16" width="7.7265625" style="180" customWidth="1"/>
    <col min="17" max="18" width="8.7265625" style="180" customWidth="1"/>
    <col min="19" max="19" width="9.54296875" style="180" bestFit="1" customWidth="1"/>
    <col min="20" max="20" width="10.7265625" style="180" customWidth="1"/>
    <col min="21" max="21" width="7.7265625" style="181" customWidth="1"/>
    <col min="22" max="23" width="8.7265625" style="181" customWidth="1"/>
    <col min="24" max="24" width="5.453125" style="180" customWidth="1"/>
    <col min="25" max="25" width="10.7265625" style="181" customWidth="1"/>
    <col min="26" max="26" width="7.7265625" style="181" customWidth="1"/>
    <col min="27" max="28" width="8.7265625" style="181" customWidth="1"/>
    <col min="29" max="29" width="5.453125" style="180" customWidth="1"/>
    <col min="30" max="30" width="10.7265625" style="181" customWidth="1"/>
    <col min="31" max="31" width="7.7265625" style="181" customWidth="1"/>
    <col min="32" max="33" width="8.7265625" style="181" customWidth="1"/>
    <col min="34" max="34" width="5.453125" style="180" customWidth="1"/>
    <col min="35" max="35" width="10.7265625" style="181" customWidth="1"/>
    <col min="36" max="36" width="7.7265625" style="181" customWidth="1"/>
    <col min="37" max="38" width="8.7265625" style="181" customWidth="1"/>
    <col min="39" max="39" width="5.453125" style="180" customWidth="1"/>
    <col min="40" max="40" width="10.7265625" style="181" customWidth="1"/>
    <col min="41" max="41" width="7.7265625" style="181" customWidth="1"/>
    <col min="42" max="43" width="8.7265625" style="181" customWidth="1"/>
    <col min="44" max="44" width="5.453125" style="181" customWidth="1"/>
    <col min="45" max="45" width="10.7265625" style="181" customWidth="1"/>
    <col min="46" max="46" width="7.7265625" style="181" customWidth="1"/>
    <col min="47" max="48" width="8.7265625" style="181" customWidth="1"/>
    <col min="49" max="49" width="5.453125" style="181" customWidth="1"/>
    <col min="50" max="50" width="10.7265625" style="181" customWidth="1"/>
    <col min="51" max="16384" width="8.81640625" style="78"/>
  </cols>
  <sheetData>
    <row r="1" spans="1:50" ht="24.5">
      <c r="A1" s="74"/>
      <c r="B1" s="370" t="s">
        <v>651</v>
      </c>
      <c r="C1" s="177">
        <f>AVERAGE(L45,L83)</f>
        <v>770.49370002361638</v>
      </c>
    </row>
    <row r="2" spans="1:50" ht="14.25" customHeight="1" collapsed="1">
      <c r="B2" s="534" t="s">
        <v>559</v>
      </c>
      <c r="C2" s="535"/>
      <c r="D2" s="535"/>
      <c r="E2" s="535"/>
      <c r="F2" s="535"/>
      <c r="G2" s="535"/>
      <c r="H2" s="535"/>
      <c r="I2" s="535"/>
      <c r="J2" s="535"/>
      <c r="K2" s="535"/>
      <c r="L2" s="535"/>
      <c r="M2" s="536"/>
      <c r="N2" s="539" t="s">
        <v>378</v>
      </c>
      <c r="O2" s="539" t="s">
        <v>105</v>
      </c>
      <c r="P2" s="541">
        <v>46077</v>
      </c>
      <c r="Q2" s="542"/>
      <c r="R2" s="542"/>
      <c r="S2" s="542"/>
      <c r="T2" s="542"/>
      <c r="U2" s="545">
        <f>P2+1</f>
        <v>46078</v>
      </c>
      <c r="V2" s="546"/>
      <c r="W2" s="546"/>
      <c r="X2" s="546"/>
      <c r="Y2" s="546"/>
      <c r="Z2" s="541">
        <f t="shared" ref="Z2" si="0">U2+1</f>
        <v>46079</v>
      </c>
      <c r="AA2" s="542"/>
      <c r="AB2" s="542"/>
      <c r="AC2" s="542"/>
      <c r="AD2" s="542"/>
      <c r="AE2" s="545">
        <f t="shared" ref="AE2" si="1">Z2+1</f>
        <v>46080</v>
      </c>
      <c r="AF2" s="546"/>
      <c r="AG2" s="546"/>
      <c r="AH2" s="546"/>
      <c r="AI2" s="546"/>
      <c r="AJ2" s="547">
        <f t="shared" ref="AJ2" si="2">AE2+1</f>
        <v>46081</v>
      </c>
      <c r="AK2" s="548"/>
      <c r="AL2" s="548"/>
      <c r="AM2" s="548"/>
      <c r="AN2" s="549"/>
      <c r="AO2" s="545">
        <f t="shared" ref="AO2" si="3">AJ2+1</f>
        <v>46082</v>
      </c>
      <c r="AP2" s="546"/>
      <c r="AQ2" s="546"/>
      <c r="AR2" s="546"/>
      <c r="AS2" s="546"/>
      <c r="AT2" s="547">
        <f t="shared" ref="AT2" si="4">AO2+1</f>
        <v>46083</v>
      </c>
      <c r="AU2" s="548"/>
      <c r="AV2" s="548"/>
      <c r="AW2" s="548"/>
      <c r="AX2" s="549"/>
    </row>
    <row r="3" spans="1:50" ht="14.25" customHeight="1"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8"/>
      <c r="N3" s="540"/>
      <c r="O3" s="540"/>
      <c r="P3" s="543">
        <f>P2</f>
        <v>46077</v>
      </c>
      <c r="Q3" s="543"/>
      <c r="R3" s="543"/>
      <c r="S3" s="543"/>
      <c r="T3" s="543"/>
      <c r="U3" s="550">
        <f>U2</f>
        <v>46078</v>
      </c>
      <c r="V3" s="550"/>
      <c r="W3" s="550"/>
      <c r="X3" s="550"/>
      <c r="Y3" s="550"/>
      <c r="Z3" s="543">
        <f t="shared" ref="Z3" si="5">Z2</f>
        <v>46079</v>
      </c>
      <c r="AA3" s="543"/>
      <c r="AB3" s="543"/>
      <c r="AC3" s="543"/>
      <c r="AD3" s="543"/>
      <c r="AE3" s="550">
        <f t="shared" ref="AE3" si="6">AE2</f>
        <v>46080</v>
      </c>
      <c r="AF3" s="550"/>
      <c r="AG3" s="550"/>
      <c r="AH3" s="550"/>
      <c r="AI3" s="550"/>
      <c r="AJ3" s="530">
        <f t="shared" ref="AJ3" si="7">AJ2</f>
        <v>46081</v>
      </c>
      <c r="AK3" s="531"/>
      <c r="AL3" s="531"/>
      <c r="AM3" s="531"/>
      <c r="AN3" s="532"/>
      <c r="AO3" s="550">
        <f t="shared" ref="AO3" si="8">AO2</f>
        <v>46082</v>
      </c>
      <c r="AP3" s="550"/>
      <c r="AQ3" s="550"/>
      <c r="AR3" s="550"/>
      <c r="AS3" s="550"/>
      <c r="AT3" s="530">
        <f t="shared" ref="AT3" si="9">AT2</f>
        <v>46083</v>
      </c>
      <c r="AU3" s="531"/>
      <c r="AV3" s="531"/>
      <c r="AW3" s="531"/>
      <c r="AX3" s="532"/>
    </row>
    <row r="4" spans="1:50" ht="14.25" customHeight="1">
      <c r="B4" s="525" t="s">
        <v>164</v>
      </c>
      <c r="C4" s="525" t="s">
        <v>159</v>
      </c>
      <c r="D4" s="525"/>
      <c r="E4" s="525" t="s">
        <v>160</v>
      </c>
      <c r="F4" s="525"/>
      <c r="G4" s="525"/>
      <c r="H4" s="525" t="s">
        <v>165</v>
      </c>
      <c r="I4" s="544" t="s">
        <v>379</v>
      </c>
      <c r="J4" s="544"/>
      <c r="K4" s="544"/>
      <c r="L4" s="544" t="s">
        <v>165</v>
      </c>
      <c r="M4" s="544" t="s">
        <v>167</v>
      </c>
      <c r="N4" s="553"/>
      <c r="O4" s="533" t="s">
        <v>166</v>
      </c>
      <c r="P4" s="533" t="s">
        <v>162</v>
      </c>
      <c r="Q4" s="533"/>
      <c r="R4" s="533"/>
      <c r="S4" s="533"/>
      <c r="T4" s="533" t="s">
        <v>165</v>
      </c>
      <c r="U4" s="533" t="s">
        <v>162</v>
      </c>
      <c r="V4" s="533"/>
      <c r="W4" s="533"/>
      <c r="X4" s="533"/>
      <c r="Y4" s="533" t="s">
        <v>165</v>
      </c>
      <c r="Z4" s="533" t="s">
        <v>162</v>
      </c>
      <c r="AA4" s="533"/>
      <c r="AB4" s="533"/>
      <c r="AC4" s="533"/>
      <c r="AD4" s="533" t="s">
        <v>165</v>
      </c>
      <c r="AE4" s="533" t="s">
        <v>162</v>
      </c>
      <c r="AF4" s="533"/>
      <c r="AG4" s="533"/>
      <c r="AH4" s="533"/>
      <c r="AI4" s="533" t="s">
        <v>165</v>
      </c>
      <c r="AJ4" s="533" t="s">
        <v>162</v>
      </c>
      <c r="AK4" s="533"/>
      <c r="AL4" s="533"/>
      <c r="AM4" s="533"/>
      <c r="AN4" s="533" t="s">
        <v>165</v>
      </c>
      <c r="AO4" s="533" t="s">
        <v>162</v>
      </c>
      <c r="AP4" s="533"/>
      <c r="AQ4" s="533"/>
      <c r="AR4" s="533"/>
      <c r="AS4" s="533" t="s">
        <v>165</v>
      </c>
      <c r="AT4" s="533" t="s">
        <v>162</v>
      </c>
      <c r="AU4" s="533"/>
      <c r="AV4" s="533"/>
      <c r="AW4" s="533"/>
      <c r="AX4" s="533" t="s">
        <v>165</v>
      </c>
    </row>
    <row r="5" spans="1:50" ht="14.25" customHeight="1">
      <c r="B5" s="525"/>
      <c r="C5" s="525"/>
      <c r="D5" s="525"/>
      <c r="E5" s="525" t="s">
        <v>380</v>
      </c>
      <c r="F5" s="525"/>
      <c r="G5" s="525"/>
      <c r="H5" s="525"/>
      <c r="I5" s="544" t="s">
        <v>380</v>
      </c>
      <c r="J5" s="544"/>
      <c r="K5" s="544"/>
      <c r="L5" s="544"/>
      <c r="M5" s="544"/>
      <c r="N5" s="553"/>
      <c r="O5" s="533"/>
      <c r="P5" s="533" t="s">
        <v>381</v>
      </c>
      <c r="Q5" s="533"/>
      <c r="R5" s="533"/>
      <c r="S5" s="533"/>
      <c r="T5" s="533"/>
      <c r="U5" s="533" t="s">
        <v>381</v>
      </c>
      <c r="V5" s="533"/>
      <c r="W5" s="533"/>
      <c r="X5" s="533"/>
      <c r="Y5" s="533"/>
      <c r="Z5" s="533" t="s">
        <v>381</v>
      </c>
      <c r="AA5" s="533"/>
      <c r="AB5" s="533"/>
      <c r="AC5" s="533"/>
      <c r="AD5" s="533"/>
      <c r="AE5" s="533" t="s">
        <v>381</v>
      </c>
      <c r="AF5" s="533"/>
      <c r="AG5" s="533"/>
      <c r="AH5" s="533"/>
      <c r="AI5" s="533"/>
      <c r="AJ5" s="533" t="s">
        <v>381</v>
      </c>
      <c r="AK5" s="533"/>
      <c r="AL5" s="533"/>
      <c r="AM5" s="533"/>
      <c r="AN5" s="533"/>
      <c r="AO5" s="533" t="s">
        <v>381</v>
      </c>
      <c r="AP5" s="533"/>
      <c r="AQ5" s="533"/>
      <c r="AR5" s="533"/>
      <c r="AS5" s="533"/>
      <c r="AT5" s="533" t="s">
        <v>381</v>
      </c>
      <c r="AU5" s="533"/>
      <c r="AV5" s="533"/>
      <c r="AW5" s="533"/>
      <c r="AX5" s="533"/>
    </row>
    <row r="6" spans="1:50" ht="14.25" customHeight="1">
      <c r="A6" s="179"/>
      <c r="B6" s="525"/>
      <c r="C6" s="525"/>
      <c r="D6" s="525"/>
      <c r="E6" s="182" t="s">
        <v>161</v>
      </c>
      <c r="F6" s="182" t="s">
        <v>382</v>
      </c>
      <c r="G6" s="182" t="s">
        <v>163</v>
      </c>
      <c r="H6" s="525"/>
      <c r="I6" s="183" t="s">
        <v>161</v>
      </c>
      <c r="J6" s="183" t="s">
        <v>382</v>
      </c>
      <c r="K6" s="183" t="s">
        <v>163</v>
      </c>
      <c r="L6" s="544"/>
      <c r="M6" s="544"/>
      <c r="N6" s="553"/>
      <c r="O6" s="533"/>
      <c r="P6" s="184" t="s">
        <v>161</v>
      </c>
      <c r="Q6" s="184" t="s">
        <v>382</v>
      </c>
      <c r="R6" s="184" t="s">
        <v>163</v>
      </c>
      <c r="S6" s="184" t="s">
        <v>167</v>
      </c>
      <c r="T6" s="533"/>
      <c r="U6" s="184" t="s">
        <v>161</v>
      </c>
      <c r="V6" s="184" t="s">
        <v>382</v>
      </c>
      <c r="W6" s="184" t="s">
        <v>163</v>
      </c>
      <c r="X6" s="184" t="s">
        <v>167</v>
      </c>
      <c r="Y6" s="533"/>
      <c r="Z6" s="184" t="s">
        <v>161</v>
      </c>
      <c r="AA6" s="184" t="s">
        <v>382</v>
      </c>
      <c r="AB6" s="184" t="s">
        <v>163</v>
      </c>
      <c r="AC6" s="184" t="s">
        <v>167</v>
      </c>
      <c r="AD6" s="533"/>
      <c r="AE6" s="184" t="s">
        <v>161</v>
      </c>
      <c r="AF6" s="184" t="s">
        <v>382</v>
      </c>
      <c r="AG6" s="184" t="s">
        <v>163</v>
      </c>
      <c r="AH6" s="184" t="s">
        <v>167</v>
      </c>
      <c r="AI6" s="533"/>
      <c r="AJ6" s="184" t="s">
        <v>161</v>
      </c>
      <c r="AK6" s="184" t="s">
        <v>382</v>
      </c>
      <c r="AL6" s="184" t="s">
        <v>163</v>
      </c>
      <c r="AM6" s="184" t="s">
        <v>167</v>
      </c>
      <c r="AN6" s="533"/>
      <c r="AO6" s="184" t="s">
        <v>161</v>
      </c>
      <c r="AP6" s="184" t="s">
        <v>382</v>
      </c>
      <c r="AQ6" s="184" t="s">
        <v>163</v>
      </c>
      <c r="AR6" s="184" t="s">
        <v>167</v>
      </c>
      <c r="AS6" s="533"/>
      <c r="AT6" s="184" t="s">
        <v>161</v>
      </c>
      <c r="AU6" s="184" t="s">
        <v>382</v>
      </c>
      <c r="AV6" s="184" t="s">
        <v>163</v>
      </c>
      <c r="AW6" s="184" t="s">
        <v>167</v>
      </c>
      <c r="AX6" s="533"/>
    </row>
    <row r="7" spans="1:50" ht="14.25" customHeight="1">
      <c r="B7" s="525" t="s">
        <v>383</v>
      </c>
      <c r="C7" s="182">
        <v>1</v>
      </c>
      <c r="D7" s="185" t="s">
        <v>408</v>
      </c>
      <c r="E7" s="186">
        <v>4</v>
      </c>
      <c r="F7" s="182">
        <v>3300</v>
      </c>
      <c r="G7" s="187">
        <f>F7/E7</f>
        <v>825</v>
      </c>
      <c r="H7" s="554">
        <f>AVERAGE(G7:G39)</f>
        <v>869.33333333333337</v>
      </c>
      <c r="I7" s="188">
        <f>AVERAGE(P7,U7,Z7,AE7,AJ7,AO7,AT7)</f>
        <v>4</v>
      </c>
      <c r="J7" s="188">
        <f>AVERAGE(Q7,V7,AA7,AF7,AK7,AP7,AU7)</f>
        <v>2962.302049454298</v>
      </c>
      <c r="K7" s="189">
        <f>AVERAGE(R7,W7,AB7,AG7,AL7,AQ7,AV7)</f>
        <v>740.57551236357449</v>
      </c>
      <c r="L7" s="555">
        <f>IFERROR(AVERAGE(K7:K39),"-")</f>
        <v>770.91905873162898</v>
      </c>
      <c r="M7" s="188">
        <f>RANK(K7, K$7:$K$39)</f>
        <v>16</v>
      </c>
      <c r="N7" s="553"/>
      <c r="O7" s="533"/>
      <c r="P7" s="190">
        <v>4</v>
      </c>
      <c r="Q7" s="190">
        <v>2961.6641901931662</v>
      </c>
      <c r="R7" s="187">
        <f t="shared" ref="R7:R35" si="10">IFERROR(Q7/P7,"")</f>
        <v>740.41604754829154</v>
      </c>
      <c r="S7" s="184">
        <f>RANK(R7, R$7:R$39)</f>
        <v>16</v>
      </c>
      <c r="T7" s="551">
        <f>AVERAGE(R7:R39)</f>
        <v>776.09340635187971</v>
      </c>
      <c r="U7" s="190">
        <v>4</v>
      </c>
      <c r="V7" s="190">
        <v>2961.8427641462176</v>
      </c>
      <c r="W7" s="187">
        <f t="shared" ref="W7:W35" si="11">IFERROR(V7/U7,"")</f>
        <v>740.46069103655441</v>
      </c>
      <c r="X7" s="184">
        <f>RANK(W7, W$7:W$39)</f>
        <v>16</v>
      </c>
      <c r="Y7" s="551">
        <f>AVERAGE(W7:W39)</f>
        <v>776.16964066600656</v>
      </c>
      <c r="Z7" s="190">
        <v>4</v>
      </c>
      <c r="AA7" s="190">
        <v>2961.993769470404</v>
      </c>
      <c r="AB7" s="187">
        <f>IFERROR(AA7/Z7,"")</f>
        <v>740.498442367601</v>
      </c>
      <c r="AC7" s="184">
        <f>RANK(AB7, AB$7:AB$39)</f>
        <v>16</v>
      </c>
      <c r="AD7" s="551">
        <f>AVERAGE(AB7:AB39)</f>
        <v>776.34172697461179</v>
      </c>
      <c r="AE7" s="190">
        <v>4</v>
      </c>
      <c r="AF7" s="190">
        <v>2962.1739130434785</v>
      </c>
      <c r="AG7" s="187">
        <f>IFERROR(AF7/AE7,"")</f>
        <v>740.54347826086962</v>
      </c>
      <c r="AH7" s="184">
        <f>RANK(AG7, AG$7:AG$39)</f>
        <v>17</v>
      </c>
      <c r="AI7" s="551">
        <f>AVERAGE(AG7:AG39)</f>
        <v>776.65641373881761</v>
      </c>
      <c r="AJ7" s="190">
        <v>4</v>
      </c>
      <c r="AK7" s="190">
        <v>2962.8435324294628</v>
      </c>
      <c r="AL7" s="187">
        <f>IFERROR(AK7/AJ7,"")</f>
        <v>740.7108831073657</v>
      </c>
      <c r="AM7" s="184">
        <f>RANK(AL7, AL$7:AL$39)</f>
        <v>16</v>
      </c>
      <c r="AN7" s="551">
        <f>AVERAGE(AL7:AL39)</f>
        <v>776.78819237673417</v>
      </c>
      <c r="AO7" s="190">
        <v>4</v>
      </c>
      <c r="AP7" s="190">
        <v>2962.8099173553724</v>
      </c>
      <c r="AQ7" s="187">
        <f>IFERROR(AP7/AO7,"")</f>
        <v>740.70247933884309</v>
      </c>
      <c r="AR7" s="184">
        <f>RANK(AQ7, AQ$7:AQ$39)</f>
        <v>16</v>
      </c>
      <c r="AS7" s="551">
        <f>AVERAGE(AQ7:AQ39)</f>
        <v>776.73268404090675</v>
      </c>
      <c r="AT7" s="190">
        <v>4</v>
      </c>
      <c r="AU7" s="190">
        <v>2962.7862595419851</v>
      </c>
      <c r="AV7" s="187">
        <f>IFERROR(AU7/AT7,"")</f>
        <v>740.69656488549629</v>
      </c>
      <c r="AW7" s="184">
        <f>RANK(AV7, AV$7:AV$39)</f>
        <v>16</v>
      </c>
      <c r="AX7" s="551">
        <f>AVERAGE(AV7:AV39)</f>
        <v>771.19592636995674</v>
      </c>
    </row>
    <row r="8" spans="1:50" ht="14.25" customHeight="1">
      <c r="B8" s="525"/>
      <c r="C8" s="182">
        <v>2</v>
      </c>
      <c r="D8" s="185" t="s">
        <v>406</v>
      </c>
      <c r="E8" s="186">
        <v>3</v>
      </c>
      <c r="F8" s="182">
        <v>3600</v>
      </c>
      <c r="G8" s="187">
        <f t="shared" ref="G8:G27" si="12">F8/E8</f>
        <v>1200</v>
      </c>
      <c r="H8" s="554"/>
      <c r="I8" s="188">
        <f t="shared" ref="I8:K36" si="13">AVERAGE(P8,U8,Z8,AE8,AJ8,AO8,AT8)</f>
        <v>3</v>
      </c>
      <c r="J8" s="188">
        <f t="shared" si="13"/>
        <v>3144.2648275266729</v>
      </c>
      <c r="K8" s="189">
        <f t="shared" si="13"/>
        <v>1048.0882758422244</v>
      </c>
      <c r="L8" s="555"/>
      <c r="M8" s="188">
        <f>RANK(K8, K$7:$K$39)</f>
        <v>6</v>
      </c>
      <c r="N8" s="553"/>
      <c r="O8" s="533"/>
      <c r="P8" s="190">
        <v>3</v>
      </c>
      <c r="Q8" s="190">
        <v>3139.9437976716172</v>
      </c>
      <c r="R8" s="187">
        <f t="shared" si="10"/>
        <v>1046.6479325572056</v>
      </c>
      <c r="S8" s="184">
        <f t="shared" ref="S8:S35" si="14">RANK(R8, R$7:R$39)</f>
        <v>6</v>
      </c>
      <c r="T8" s="551"/>
      <c r="U8" s="190">
        <v>3</v>
      </c>
      <c r="V8" s="190">
        <v>3140.122699386503</v>
      </c>
      <c r="W8" s="187">
        <f t="shared" si="11"/>
        <v>1046.7075664621677</v>
      </c>
      <c r="X8" s="184">
        <f t="shared" ref="X8:X35" si="15">RANK(W8, W$7:W$39)</f>
        <v>6</v>
      </c>
      <c r="Y8" s="551"/>
      <c r="Z8" s="190">
        <v>3</v>
      </c>
      <c r="AA8" s="190">
        <v>3141.3047637268014</v>
      </c>
      <c r="AB8" s="187">
        <f t="shared" ref="AB8:AB35" si="16">IFERROR(AA8/Z8,"")</f>
        <v>1047.1015879089339</v>
      </c>
      <c r="AC8" s="184">
        <f t="shared" ref="AC8:AC35" si="17">RANK(AB8, AB$7:AB$39)</f>
        <v>6</v>
      </c>
      <c r="AD8" s="551"/>
      <c r="AE8" s="190">
        <v>3</v>
      </c>
      <c r="AF8" s="190">
        <v>3146.7729083665345</v>
      </c>
      <c r="AG8" s="187">
        <f t="shared" ref="AG8:AG35" si="18">IFERROR(AF8/AE8,"")</f>
        <v>1048.9243027888449</v>
      </c>
      <c r="AH8" s="184">
        <f t="shared" ref="AH8:AH35" si="19">RANK(AG8, AG$7:AG$39)</f>
        <v>3</v>
      </c>
      <c r="AI8" s="551"/>
      <c r="AJ8" s="190">
        <v>3</v>
      </c>
      <c r="AK8" s="190">
        <v>3147.0731707317063</v>
      </c>
      <c r="AL8" s="187">
        <f t="shared" ref="AL8:AL35" si="20">IFERROR(AK8/AJ8,"")</f>
        <v>1049.0243902439022</v>
      </c>
      <c r="AM8" s="184">
        <f t="shared" ref="AM8:AM35" si="21">RANK(AL8, AL$7:AL$39)</f>
        <v>3</v>
      </c>
      <c r="AN8" s="551"/>
      <c r="AO8" s="190">
        <v>3</v>
      </c>
      <c r="AP8" s="190">
        <v>3147.2485313511565</v>
      </c>
      <c r="AQ8" s="187">
        <f t="shared" ref="AQ8:AQ35" si="22">IFERROR(AP8/AO8,"")</f>
        <v>1049.0828437837188</v>
      </c>
      <c r="AR8" s="184">
        <f t="shared" ref="AR8:AR35" si="23">RANK(AQ8, AQ$7:AQ$39)</f>
        <v>3</v>
      </c>
      <c r="AS8" s="551"/>
      <c r="AT8" s="190">
        <v>3</v>
      </c>
      <c r="AU8" s="190">
        <v>3147.3879214523899</v>
      </c>
      <c r="AV8" s="187">
        <f t="shared" ref="AV8:AV36" si="24">IFERROR(AU8/AT8,"")</f>
        <v>1049.1293071507966</v>
      </c>
      <c r="AW8" s="184">
        <f t="shared" ref="AW8:AW36" si="25">RANK(AV8, AV$7:AV$39)</f>
        <v>3</v>
      </c>
      <c r="AX8" s="551"/>
    </row>
    <row r="9" spans="1:50" ht="14.25" customHeight="1">
      <c r="B9" s="525"/>
      <c r="C9" s="182">
        <v>3</v>
      </c>
      <c r="D9" s="185" t="s">
        <v>407</v>
      </c>
      <c r="E9" s="186">
        <v>4</v>
      </c>
      <c r="F9" s="182">
        <v>3300</v>
      </c>
      <c r="G9" s="187">
        <f t="shared" si="12"/>
        <v>825</v>
      </c>
      <c r="H9" s="554"/>
      <c r="I9" s="188">
        <f t="shared" si="13"/>
        <v>4</v>
      </c>
      <c r="J9" s="188">
        <f t="shared" si="13"/>
        <v>2963.9546154947789</v>
      </c>
      <c r="K9" s="189">
        <f t="shared" si="13"/>
        <v>740.98865387369472</v>
      </c>
      <c r="L9" s="555"/>
      <c r="M9" s="188">
        <f>RANK(K9, K$7:$K$39)</f>
        <v>15</v>
      </c>
      <c r="N9" s="553"/>
      <c r="O9" s="533"/>
      <c r="P9" s="190">
        <v>4</v>
      </c>
      <c r="Q9" s="190">
        <v>2963.5764705882357</v>
      </c>
      <c r="R9" s="187">
        <f t="shared" si="10"/>
        <v>740.89411764705892</v>
      </c>
      <c r="S9" s="184">
        <f t="shared" si="14"/>
        <v>15</v>
      </c>
      <c r="T9" s="551"/>
      <c r="U9" s="190">
        <v>4</v>
      </c>
      <c r="V9" s="190">
        <v>2963.6969985707497</v>
      </c>
      <c r="W9" s="187">
        <f t="shared" si="11"/>
        <v>740.92424964268741</v>
      </c>
      <c r="X9" s="184">
        <f t="shared" si="15"/>
        <v>15</v>
      </c>
      <c r="Y9" s="551"/>
      <c r="Z9" s="190">
        <v>4</v>
      </c>
      <c r="AA9" s="190">
        <v>2963.761979050591</v>
      </c>
      <c r="AB9" s="187">
        <f t="shared" si="16"/>
        <v>740.94049476264775</v>
      </c>
      <c r="AC9" s="184">
        <f t="shared" si="17"/>
        <v>15</v>
      </c>
      <c r="AD9" s="551"/>
      <c r="AE9" s="190">
        <v>4</v>
      </c>
      <c r="AF9" s="190">
        <v>2964.1666666666642</v>
      </c>
      <c r="AG9" s="187">
        <f t="shared" si="18"/>
        <v>741.04166666666606</v>
      </c>
      <c r="AH9" s="184">
        <f t="shared" si="19"/>
        <v>15</v>
      </c>
      <c r="AI9" s="551"/>
      <c r="AJ9" s="190">
        <v>4</v>
      </c>
      <c r="AK9" s="190">
        <v>2964.2589118198862</v>
      </c>
      <c r="AL9" s="187">
        <f t="shared" si="20"/>
        <v>741.06472795497154</v>
      </c>
      <c r="AM9" s="184">
        <f t="shared" si="21"/>
        <v>15</v>
      </c>
      <c r="AN9" s="551"/>
      <c r="AO9" s="190">
        <v>4</v>
      </c>
      <c r="AP9" s="190">
        <v>2964.0614192834414</v>
      </c>
      <c r="AQ9" s="187">
        <f t="shared" si="22"/>
        <v>741.01535482086035</v>
      </c>
      <c r="AR9" s="184">
        <f t="shared" si="23"/>
        <v>15</v>
      </c>
      <c r="AS9" s="551"/>
      <c r="AT9" s="190">
        <v>4</v>
      </c>
      <c r="AU9" s="190">
        <v>2964.1598624838857</v>
      </c>
      <c r="AV9" s="187">
        <f t="shared" si="24"/>
        <v>741.03996562097143</v>
      </c>
      <c r="AW9" s="184">
        <f t="shared" si="25"/>
        <v>15</v>
      </c>
      <c r="AX9" s="551"/>
    </row>
    <row r="10" spans="1:50" ht="14.25" customHeight="1">
      <c r="B10" s="525"/>
      <c r="C10" s="182">
        <v>4</v>
      </c>
      <c r="D10" s="185" t="s">
        <v>232</v>
      </c>
      <c r="E10" s="186">
        <v>5</v>
      </c>
      <c r="F10" s="182">
        <v>3300</v>
      </c>
      <c r="G10" s="187">
        <f t="shared" si="12"/>
        <v>660</v>
      </c>
      <c r="H10" s="554"/>
      <c r="I10" s="188">
        <f t="shared" si="13"/>
        <v>5</v>
      </c>
      <c r="J10" s="188">
        <f t="shared" si="13"/>
        <v>2967.1611207537385</v>
      </c>
      <c r="K10" s="189">
        <f t="shared" si="13"/>
        <v>593.43222415074774</v>
      </c>
      <c r="L10" s="555"/>
      <c r="M10" s="188">
        <f>RANK(K10, K$7:$K$39)</f>
        <v>25</v>
      </c>
      <c r="N10" s="553"/>
      <c r="O10" s="533"/>
      <c r="P10" s="190">
        <v>5</v>
      </c>
      <c r="Q10" s="190">
        <v>2966.081871345028</v>
      </c>
      <c r="R10" s="187">
        <f t="shared" si="10"/>
        <v>593.21637426900566</v>
      </c>
      <c r="S10" s="184">
        <f t="shared" si="14"/>
        <v>24</v>
      </c>
      <c r="T10" s="551"/>
      <c r="U10" s="190">
        <v>5</v>
      </c>
      <c r="V10" s="190">
        <v>2966.3810151615021</v>
      </c>
      <c r="W10" s="187">
        <f t="shared" si="11"/>
        <v>593.27620303230037</v>
      </c>
      <c r="X10" s="184">
        <f t="shared" si="15"/>
        <v>25</v>
      </c>
      <c r="Y10" s="551"/>
      <c r="Z10" s="190">
        <v>5</v>
      </c>
      <c r="AA10" s="190">
        <v>2967.5213675213631</v>
      </c>
      <c r="AB10" s="187">
        <f t="shared" si="16"/>
        <v>593.50427350427265</v>
      </c>
      <c r="AC10" s="184">
        <f t="shared" si="17"/>
        <v>24</v>
      </c>
      <c r="AD10" s="551"/>
      <c r="AE10" s="190">
        <v>5</v>
      </c>
      <c r="AF10" s="190">
        <v>2968.104312938819</v>
      </c>
      <c r="AG10" s="187">
        <f t="shared" si="18"/>
        <v>593.62086258776378</v>
      </c>
      <c r="AH10" s="184">
        <f t="shared" si="19"/>
        <v>24</v>
      </c>
      <c r="AI10" s="551"/>
      <c r="AJ10" s="190">
        <v>5</v>
      </c>
      <c r="AK10" s="190">
        <v>2969.7219361482962</v>
      </c>
      <c r="AL10" s="187">
        <f t="shared" si="20"/>
        <v>593.94438722965924</v>
      </c>
      <c r="AM10" s="184">
        <f t="shared" si="21"/>
        <v>24</v>
      </c>
      <c r="AN10" s="551"/>
      <c r="AO10" s="190">
        <v>5</v>
      </c>
      <c r="AP10" s="190">
        <v>2965.3631284916155</v>
      </c>
      <c r="AQ10" s="187">
        <f t="shared" si="22"/>
        <v>593.07262569832312</v>
      </c>
      <c r="AR10" s="184">
        <f t="shared" si="23"/>
        <v>25</v>
      </c>
      <c r="AS10" s="551"/>
      <c r="AT10" s="190">
        <v>5</v>
      </c>
      <c r="AU10" s="190">
        <v>2966.9542136695472</v>
      </c>
      <c r="AV10" s="187">
        <f t="shared" si="24"/>
        <v>593.39084273390949</v>
      </c>
      <c r="AW10" s="184">
        <f t="shared" si="25"/>
        <v>26</v>
      </c>
      <c r="AX10" s="551"/>
    </row>
    <row r="11" spans="1:50" ht="14.25" customHeight="1">
      <c r="B11" s="525"/>
      <c r="C11" s="182">
        <v>5</v>
      </c>
      <c r="D11" s="185" t="s">
        <v>403</v>
      </c>
      <c r="E11" s="186">
        <v>3</v>
      </c>
      <c r="F11" s="182">
        <v>3600</v>
      </c>
      <c r="G11" s="187">
        <f t="shared" si="12"/>
        <v>1200</v>
      </c>
      <c r="H11" s="554"/>
      <c r="I11" s="188">
        <f t="shared" si="13"/>
        <v>3</v>
      </c>
      <c r="J11" s="188">
        <f t="shared" si="13"/>
        <v>3144.8244057808597</v>
      </c>
      <c r="K11" s="189">
        <f t="shared" si="13"/>
        <v>1048.2748019269532</v>
      </c>
      <c r="L11" s="555"/>
      <c r="M11" s="188">
        <f>RANK(K11, K$7:$K$39)</f>
        <v>5</v>
      </c>
      <c r="N11" s="553"/>
      <c r="O11" s="533"/>
      <c r="P11" s="190">
        <v>3</v>
      </c>
      <c r="Q11" s="190">
        <v>3142.6630434782592</v>
      </c>
      <c r="R11" s="187">
        <f t="shared" si="10"/>
        <v>1047.5543478260863</v>
      </c>
      <c r="S11" s="184">
        <f t="shared" si="14"/>
        <v>3</v>
      </c>
      <c r="T11" s="551"/>
      <c r="U11" s="190">
        <v>3</v>
      </c>
      <c r="V11" s="190">
        <v>3143.3298862461243</v>
      </c>
      <c r="W11" s="187">
        <f t="shared" si="11"/>
        <v>1047.7766287487082</v>
      </c>
      <c r="X11" s="184">
        <f t="shared" si="15"/>
        <v>3</v>
      </c>
      <c r="Y11" s="551"/>
      <c r="Z11" s="190">
        <v>3</v>
      </c>
      <c r="AA11" s="190">
        <v>3144.2389758179252</v>
      </c>
      <c r="AB11" s="187">
        <f t="shared" si="16"/>
        <v>1048.0796586059751</v>
      </c>
      <c r="AC11" s="184">
        <f t="shared" si="17"/>
        <v>4</v>
      </c>
      <c r="AD11" s="551"/>
      <c r="AE11" s="190">
        <v>3</v>
      </c>
      <c r="AF11" s="190">
        <v>3145.3194650817254</v>
      </c>
      <c r="AG11" s="187">
        <f t="shared" si="18"/>
        <v>1048.4398216939085</v>
      </c>
      <c r="AH11" s="184">
        <f t="shared" si="19"/>
        <v>6</v>
      </c>
      <c r="AI11" s="551"/>
      <c r="AJ11" s="190">
        <v>3</v>
      </c>
      <c r="AK11" s="190">
        <v>3146.2481608631674</v>
      </c>
      <c r="AL11" s="187">
        <f t="shared" si="20"/>
        <v>1048.7493869543891</v>
      </c>
      <c r="AM11" s="184">
        <f t="shared" si="21"/>
        <v>5</v>
      </c>
      <c r="AN11" s="551"/>
      <c r="AO11" s="190">
        <v>3</v>
      </c>
      <c r="AP11" s="190">
        <v>3145.8531935176379</v>
      </c>
      <c r="AQ11" s="187">
        <f t="shared" si="22"/>
        <v>1048.617731172546</v>
      </c>
      <c r="AR11" s="184">
        <f t="shared" si="23"/>
        <v>5</v>
      </c>
      <c r="AS11" s="551"/>
      <c r="AT11" s="190">
        <v>3</v>
      </c>
      <c r="AU11" s="190">
        <v>3146.1181154611818</v>
      </c>
      <c r="AV11" s="187">
        <f t="shared" si="24"/>
        <v>1048.7060384870606</v>
      </c>
      <c r="AW11" s="184">
        <f t="shared" si="25"/>
        <v>5</v>
      </c>
      <c r="AX11" s="551"/>
    </row>
    <row r="12" spans="1:50" ht="14.25" customHeight="1">
      <c r="B12" s="525"/>
      <c r="C12" s="182">
        <v>6</v>
      </c>
      <c r="D12" s="185" t="s">
        <v>344</v>
      </c>
      <c r="E12" s="186">
        <v>3</v>
      </c>
      <c r="F12" s="182">
        <v>3000</v>
      </c>
      <c r="G12" s="187">
        <f t="shared" si="12"/>
        <v>1000</v>
      </c>
      <c r="H12" s="554"/>
      <c r="I12" s="188">
        <f t="shared" si="13"/>
        <v>3</v>
      </c>
      <c r="J12" s="188">
        <f t="shared" si="13"/>
        <v>2693.1680216749905</v>
      </c>
      <c r="K12" s="189">
        <f t="shared" si="13"/>
        <v>897.72267389166336</v>
      </c>
      <c r="L12" s="555"/>
      <c r="M12" s="188">
        <f>RANK(K12, K$7:$K$39)</f>
        <v>10</v>
      </c>
      <c r="N12" s="553"/>
      <c r="O12" s="533"/>
      <c r="P12" s="190">
        <v>3</v>
      </c>
      <c r="Q12" s="190">
        <v>2692.3636363636383</v>
      </c>
      <c r="R12" s="187">
        <f t="shared" si="10"/>
        <v>897.45454545454606</v>
      </c>
      <c r="S12" s="184">
        <f t="shared" si="14"/>
        <v>11</v>
      </c>
      <c r="T12" s="551"/>
      <c r="U12" s="190">
        <v>3</v>
      </c>
      <c r="V12" s="190">
        <v>2692.5953627524318</v>
      </c>
      <c r="W12" s="187">
        <f t="shared" si="11"/>
        <v>897.5317875841439</v>
      </c>
      <c r="X12" s="184">
        <f t="shared" si="15"/>
        <v>11</v>
      </c>
      <c r="Y12" s="551"/>
      <c r="Z12" s="190">
        <v>3</v>
      </c>
      <c r="AA12" s="190">
        <v>2693.2423208191167</v>
      </c>
      <c r="AB12" s="187">
        <f t="shared" si="16"/>
        <v>897.74744027303893</v>
      </c>
      <c r="AC12" s="184">
        <f t="shared" si="17"/>
        <v>10</v>
      </c>
      <c r="AD12" s="551"/>
      <c r="AE12" s="190">
        <v>3</v>
      </c>
      <c r="AF12" s="190">
        <v>2693.6260623229446</v>
      </c>
      <c r="AG12" s="187">
        <f t="shared" si="18"/>
        <v>897.87535410764815</v>
      </c>
      <c r="AH12" s="184">
        <f t="shared" si="19"/>
        <v>10</v>
      </c>
      <c r="AI12" s="551"/>
      <c r="AJ12" s="190">
        <v>3</v>
      </c>
      <c r="AK12" s="190">
        <v>2693.3726067746697</v>
      </c>
      <c r="AL12" s="187">
        <f t="shared" si="20"/>
        <v>897.79086892488988</v>
      </c>
      <c r="AM12" s="184">
        <f t="shared" si="21"/>
        <v>10</v>
      </c>
      <c r="AN12" s="551"/>
      <c r="AO12" s="190">
        <v>3</v>
      </c>
      <c r="AP12" s="190">
        <v>2693.4335617952684</v>
      </c>
      <c r="AQ12" s="187">
        <f t="shared" si="22"/>
        <v>897.81118726508942</v>
      </c>
      <c r="AR12" s="184">
        <f t="shared" si="23"/>
        <v>10</v>
      </c>
      <c r="AS12" s="551"/>
      <c r="AT12" s="190">
        <v>3</v>
      </c>
      <c r="AU12" s="190">
        <v>2693.5426008968607</v>
      </c>
      <c r="AV12" s="187">
        <f t="shared" si="24"/>
        <v>897.84753363228685</v>
      </c>
      <c r="AW12" s="184">
        <f t="shared" si="25"/>
        <v>10</v>
      </c>
      <c r="AX12" s="551"/>
    </row>
    <row r="13" spans="1:50" ht="14.25" customHeight="1">
      <c r="B13" s="525"/>
      <c r="C13" s="182">
        <v>7</v>
      </c>
      <c r="D13" s="185" t="s">
        <v>405</v>
      </c>
      <c r="E13" s="186">
        <v>3</v>
      </c>
      <c r="F13" s="182">
        <v>3600</v>
      </c>
      <c r="G13" s="187">
        <f t="shared" si="12"/>
        <v>1200</v>
      </c>
      <c r="H13" s="554"/>
      <c r="I13" s="188">
        <f t="shared" si="13"/>
        <v>3</v>
      </c>
      <c r="J13" s="188">
        <f t="shared" si="13"/>
        <v>3144.8670983138668</v>
      </c>
      <c r="K13" s="189">
        <f t="shared" si="13"/>
        <v>1048.2890327712892</v>
      </c>
      <c r="L13" s="555"/>
      <c r="M13" s="188">
        <f>RANK(K13, K$7:$K$39)</f>
        <v>4</v>
      </c>
      <c r="N13" s="553"/>
      <c r="O13" s="533"/>
      <c r="P13" s="190">
        <v>3</v>
      </c>
      <c r="Q13" s="190">
        <v>3144.0000000000009</v>
      </c>
      <c r="R13" s="187">
        <f t="shared" si="10"/>
        <v>1048.0000000000002</v>
      </c>
      <c r="S13" s="184">
        <f t="shared" si="14"/>
        <v>2</v>
      </c>
      <c r="T13" s="551"/>
      <c r="U13" s="190">
        <v>3</v>
      </c>
      <c r="V13" s="190">
        <v>3143.6260623229491</v>
      </c>
      <c r="W13" s="187">
        <f t="shared" si="11"/>
        <v>1047.8753541076496</v>
      </c>
      <c r="X13" s="184">
        <f t="shared" si="15"/>
        <v>2</v>
      </c>
      <c r="Y13" s="551"/>
      <c r="Z13" s="190">
        <v>3</v>
      </c>
      <c r="AA13" s="190">
        <v>3144.6215139442324</v>
      </c>
      <c r="AB13" s="187">
        <f t="shared" si="16"/>
        <v>1048.2071713147441</v>
      </c>
      <c r="AC13" s="184">
        <f t="shared" si="17"/>
        <v>3</v>
      </c>
      <c r="AD13" s="551"/>
      <c r="AE13" s="190">
        <v>3</v>
      </c>
      <c r="AF13" s="190">
        <v>3145.6684491978749</v>
      </c>
      <c r="AG13" s="187">
        <f t="shared" si="18"/>
        <v>1048.556149732625</v>
      </c>
      <c r="AH13" s="184">
        <f t="shared" si="19"/>
        <v>5</v>
      </c>
      <c r="AI13" s="551"/>
      <c r="AJ13" s="190">
        <v>3</v>
      </c>
      <c r="AK13" s="190">
        <v>3145.6684491978749</v>
      </c>
      <c r="AL13" s="187">
        <f t="shared" si="20"/>
        <v>1048.556149732625</v>
      </c>
      <c r="AM13" s="184">
        <f t="shared" si="21"/>
        <v>6</v>
      </c>
      <c r="AN13" s="551"/>
      <c r="AO13" s="190">
        <v>3</v>
      </c>
      <c r="AP13" s="190">
        <v>3145.0676982591917</v>
      </c>
      <c r="AQ13" s="187">
        <f t="shared" si="22"/>
        <v>1048.3558994197306</v>
      </c>
      <c r="AR13" s="184">
        <f t="shared" si="23"/>
        <v>6</v>
      </c>
      <c r="AS13" s="551"/>
      <c r="AT13" s="190">
        <v>3</v>
      </c>
      <c r="AU13" s="190">
        <v>3145.417515274949</v>
      </c>
      <c r="AV13" s="187">
        <f t="shared" si="24"/>
        <v>1048.4725050916497</v>
      </c>
      <c r="AW13" s="184">
        <f t="shared" si="25"/>
        <v>6</v>
      </c>
      <c r="AX13" s="551"/>
    </row>
    <row r="14" spans="1:50" ht="14.25" customHeight="1">
      <c r="B14" s="525"/>
      <c r="C14" s="182">
        <v>8</v>
      </c>
      <c r="D14" s="185" t="s">
        <v>404</v>
      </c>
      <c r="E14" s="186">
        <v>4</v>
      </c>
      <c r="F14" s="182">
        <v>3300</v>
      </c>
      <c r="G14" s="187">
        <f t="shared" si="12"/>
        <v>825</v>
      </c>
      <c r="H14" s="554"/>
      <c r="I14" s="188">
        <f t="shared" si="13"/>
        <v>4</v>
      </c>
      <c r="J14" s="188">
        <f t="shared" si="13"/>
        <v>2932.9873240869515</v>
      </c>
      <c r="K14" s="189">
        <f t="shared" si="13"/>
        <v>733.24683102173788</v>
      </c>
      <c r="L14" s="555"/>
      <c r="M14" s="188">
        <f>RANK(K14, K$7:$K$39)</f>
        <v>19</v>
      </c>
      <c r="N14" s="553"/>
      <c r="O14" s="533"/>
      <c r="P14" s="190">
        <v>4</v>
      </c>
      <c r="Q14" s="190">
        <v>2929.0258449304156</v>
      </c>
      <c r="R14" s="187">
        <f t="shared" si="10"/>
        <v>732.2564612326039</v>
      </c>
      <c r="S14" s="184">
        <f t="shared" si="14"/>
        <v>21</v>
      </c>
      <c r="T14" s="551"/>
      <c r="U14" s="190">
        <v>4</v>
      </c>
      <c r="V14" s="190">
        <v>2929.7777777777778</v>
      </c>
      <c r="W14" s="187">
        <f t="shared" si="11"/>
        <v>732.44444444444446</v>
      </c>
      <c r="X14" s="184">
        <f t="shared" si="15"/>
        <v>21</v>
      </c>
      <c r="Y14" s="551"/>
      <c r="Z14" s="190">
        <v>4</v>
      </c>
      <c r="AA14" s="190">
        <v>2934.0711462450604</v>
      </c>
      <c r="AB14" s="187">
        <f t="shared" si="16"/>
        <v>733.5177865612651</v>
      </c>
      <c r="AC14" s="184">
        <f t="shared" si="17"/>
        <v>19</v>
      </c>
      <c r="AD14" s="551"/>
      <c r="AE14" s="190">
        <v>4</v>
      </c>
      <c r="AF14" s="190">
        <v>2933.7759336099593</v>
      </c>
      <c r="AG14" s="187">
        <f t="shared" si="18"/>
        <v>733.44398340248983</v>
      </c>
      <c r="AH14" s="184">
        <f t="shared" si="19"/>
        <v>19</v>
      </c>
      <c r="AI14" s="551"/>
      <c r="AJ14" s="190">
        <v>4</v>
      </c>
      <c r="AK14" s="190">
        <v>2935.0125944584288</v>
      </c>
      <c r="AL14" s="187">
        <f t="shared" si="20"/>
        <v>733.7531486146072</v>
      </c>
      <c r="AM14" s="184">
        <f t="shared" si="21"/>
        <v>19</v>
      </c>
      <c r="AN14" s="551"/>
      <c r="AO14" s="190">
        <v>4</v>
      </c>
      <c r="AP14" s="190">
        <v>2934.6919870310326</v>
      </c>
      <c r="AQ14" s="187">
        <f t="shared" si="22"/>
        <v>733.67299675775814</v>
      </c>
      <c r="AR14" s="184">
        <f t="shared" si="23"/>
        <v>18</v>
      </c>
      <c r="AS14" s="551"/>
      <c r="AT14" s="190">
        <v>4</v>
      </c>
      <c r="AU14" s="190">
        <v>2934.5559845559837</v>
      </c>
      <c r="AV14" s="187">
        <f t="shared" si="24"/>
        <v>733.63899613899594</v>
      </c>
      <c r="AW14" s="184">
        <f t="shared" si="25"/>
        <v>19</v>
      </c>
      <c r="AX14" s="551"/>
    </row>
    <row r="15" spans="1:50" ht="14.25" customHeight="1">
      <c r="B15" s="525"/>
      <c r="C15" s="182">
        <v>9</v>
      </c>
      <c r="D15" s="185" t="s">
        <v>402</v>
      </c>
      <c r="E15" s="186">
        <v>4</v>
      </c>
      <c r="F15" s="182">
        <v>3300</v>
      </c>
      <c r="G15" s="187">
        <f t="shared" si="12"/>
        <v>825</v>
      </c>
      <c r="H15" s="554"/>
      <c r="I15" s="188">
        <f t="shared" si="13"/>
        <v>4</v>
      </c>
      <c r="J15" s="188">
        <f t="shared" si="13"/>
        <v>2932.9634050535565</v>
      </c>
      <c r="K15" s="189">
        <f t="shared" si="13"/>
        <v>733.24085126338912</v>
      </c>
      <c r="L15" s="555"/>
      <c r="M15" s="188">
        <f>RANK(K15, K$7:$K$39)</f>
        <v>20</v>
      </c>
      <c r="N15" s="553"/>
      <c r="O15" s="533"/>
      <c r="P15" s="190">
        <v>4</v>
      </c>
      <c r="Q15" s="190">
        <v>2931.4708299096101</v>
      </c>
      <c r="R15" s="187">
        <f t="shared" si="10"/>
        <v>732.86770747740252</v>
      </c>
      <c r="S15" s="184">
        <f t="shared" si="14"/>
        <v>19</v>
      </c>
      <c r="T15" s="551"/>
      <c r="U15" s="190">
        <v>4</v>
      </c>
      <c r="V15" s="190">
        <v>2932.0800980792783</v>
      </c>
      <c r="W15" s="187">
        <f t="shared" si="11"/>
        <v>733.02002451981957</v>
      </c>
      <c r="X15" s="184">
        <f t="shared" si="15"/>
        <v>19</v>
      </c>
      <c r="Y15" s="551"/>
      <c r="Z15" s="190">
        <v>4</v>
      </c>
      <c r="AA15" s="190">
        <v>2933.4112149532675</v>
      </c>
      <c r="AB15" s="187">
        <f t="shared" si="16"/>
        <v>733.35280373831688</v>
      </c>
      <c r="AC15" s="184">
        <f t="shared" si="17"/>
        <v>20</v>
      </c>
      <c r="AD15" s="551"/>
      <c r="AE15" s="190">
        <v>4</v>
      </c>
      <c r="AF15" s="190">
        <v>2933.3333333333362</v>
      </c>
      <c r="AG15" s="187">
        <f t="shared" si="18"/>
        <v>733.33333333333405</v>
      </c>
      <c r="AH15" s="184">
        <f t="shared" si="19"/>
        <v>20</v>
      </c>
      <c r="AI15" s="551"/>
      <c r="AJ15" s="190">
        <v>4</v>
      </c>
      <c r="AK15" s="190">
        <v>2933.579335793358</v>
      </c>
      <c r="AL15" s="187">
        <f t="shared" si="20"/>
        <v>733.39483394833951</v>
      </c>
      <c r="AM15" s="184">
        <f t="shared" si="21"/>
        <v>20</v>
      </c>
      <c r="AN15" s="551"/>
      <c r="AO15" s="190">
        <v>4</v>
      </c>
      <c r="AP15" s="190">
        <v>2933.6405529953922</v>
      </c>
      <c r="AQ15" s="187">
        <f t="shared" si="22"/>
        <v>733.41013824884806</v>
      </c>
      <c r="AR15" s="184">
        <f t="shared" si="23"/>
        <v>20</v>
      </c>
      <c r="AS15" s="551"/>
      <c r="AT15" s="190">
        <v>4</v>
      </c>
      <c r="AU15" s="190">
        <v>2933.2284703106538</v>
      </c>
      <c r="AV15" s="187">
        <f t="shared" si="24"/>
        <v>733.30711757766346</v>
      </c>
      <c r="AW15" s="184">
        <f t="shared" si="25"/>
        <v>21</v>
      </c>
      <c r="AX15" s="551"/>
    </row>
    <row r="16" spans="1:50" ht="14.25" customHeight="1">
      <c r="B16" s="525"/>
      <c r="C16" s="182">
        <v>10</v>
      </c>
      <c r="D16" s="185" t="s">
        <v>463</v>
      </c>
      <c r="E16" s="186">
        <v>4</v>
      </c>
      <c r="F16" s="182">
        <v>3300</v>
      </c>
      <c r="G16" s="187">
        <f t="shared" si="12"/>
        <v>825</v>
      </c>
      <c r="H16" s="554"/>
      <c r="I16" s="188">
        <f t="shared" si="13"/>
        <v>4</v>
      </c>
      <c r="J16" s="188">
        <f t="shared" si="13"/>
        <v>2966.9897160839378</v>
      </c>
      <c r="K16" s="189">
        <f t="shared" si="13"/>
        <v>741.74742902098444</v>
      </c>
      <c r="L16" s="555"/>
      <c r="M16" s="188">
        <f>RANK(K16, K$7:$K$39)</f>
        <v>12</v>
      </c>
      <c r="N16" s="553"/>
      <c r="O16" s="533"/>
      <c r="P16" s="190">
        <v>4</v>
      </c>
      <c r="Q16" s="190">
        <v>2965.3725078698885</v>
      </c>
      <c r="R16" s="187">
        <f t="shared" si="10"/>
        <v>741.34312696747213</v>
      </c>
      <c r="S16" s="184">
        <f t="shared" si="14"/>
        <v>12</v>
      </c>
      <c r="T16" s="551"/>
      <c r="U16" s="190">
        <v>4</v>
      </c>
      <c r="V16" s="190">
        <v>2965.941644562336</v>
      </c>
      <c r="W16" s="187">
        <f t="shared" si="11"/>
        <v>741.48541114058401</v>
      </c>
      <c r="X16" s="184">
        <f t="shared" si="15"/>
        <v>12</v>
      </c>
      <c r="Y16" s="551"/>
      <c r="Z16" s="190">
        <v>4</v>
      </c>
      <c r="AA16" s="190">
        <v>2967.3062164236399</v>
      </c>
      <c r="AB16" s="187">
        <f t="shared" si="16"/>
        <v>741.82655410590996</v>
      </c>
      <c r="AC16" s="184">
        <f t="shared" si="17"/>
        <v>12</v>
      </c>
      <c r="AD16" s="551"/>
      <c r="AE16" s="190">
        <v>4</v>
      </c>
      <c r="AF16" s="190">
        <v>2967.7626303127586</v>
      </c>
      <c r="AG16" s="187">
        <f t="shared" si="18"/>
        <v>741.94065757818964</v>
      </c>
      <c r="AH16" s="184">
        <f t="shared" si="19"/>
        <v>12</v>
      </c>
      <c r="AI16" s="551"/>
      <c r="AJ16" s="190">
        <v>4</v>
      </c>
      <c r="AK16" s="190">
        <v>2967.2904800650849</v>
      </c>
      <c r="AL16" s="187">
        <f t="shared" si="20"/>
        <v>741.82262001627123</v>
      </c>
      <c r="AM16" s="184">
        <f t="shared" si="21"/>
        <v>13</v>
      </c>
      <c r="AN16" s="551"/>
      <c r="AO16" s="190">
        <v>4</v>
      </c>
      <c r="AP16" s="190">
        <v>2966.994106090373</v>
      </c>
      <c r="AQ16" s="187">
        <f t="shared" si="22"/>
        <v>741.74852652259324</v>
      </c>
      <c r="AR16" s="184">
        <f t="shared" si="23"/>
        <v>12</v>
      </c>
      <c r="AS16" s="551"/>
      <c r="AT16" s="190">
        <v>4</v>
      </c>
      <c r="AU16" s="190">
        <v>2968.2604272634831</v>
      </c>
      <c r="AV16" s="187">
        <f t="shared" si="24"/>
        <v>742.06510681587076</v>
      </c>
      <c r="AW16" s="184">
        <f t="shared" si="25"/>
        <v>12</v>
      </c>
      <c r="AX16" s="551"/>
    </row>
    <row r="17" spans="2:50" ht="14.25" customHeight="1">
      <c r="B17" s="525"/>
      <c r="C17" s="182">
        <v>11</v>
      </c>
      <c r="D17" s="185" t="s">
        <v>231</v>
      </c>
      <c r="E17" s="186">
        <v>3</v>
      </c>
      <c r="F17" s="182">
        <v>3000</v>
      </c>
      <c r="G17" s="187">
        <f t="shared" si="12"/>
        <v>1000</v>
      </c>
      <c r="H17" s="554"/>
      <c r="I17" s="188">
        <f t="shared" si="13"/>
        <v>3</v>
      </c>
      <c r="J17" s="188">
        <f t="shared" si="13"/>
        <v>2693.1022887416889</v>
      </c>
      <c r="K17" s="189">
        <f t="shared" si="13"/>
        <v>897.70076291389626</v>
      </c>
      <c r="L17" s="555"/>
      <c r="M17" s="188">
        <f>RANK(K17, K$7:$K$39)</f>
        <v>11</v>
      </c>
      <c r="N17" s="553"/>
      <c r="O17" s="533"/>
      <c r="P17" s="190">
        <v>3</v>
      </c>
      <c r="Q17" s="190">
        <v>2692.8453577321143</v>
      </c>
      <c r="R17" s="187">
        <f t="shared" si="10"/>
        <v>897.61511924403806</v>
      </c>
      <c r="S17" s="184">
        <f t="shared" si="14"/>
        <v>10</v>
      </c>
      <c r="T17" s="551"/>
      <c r="U17" s="190">
        <v>3</v>
      </c>
      <c r="V17" s="190">
        <v>2692.9525564256101</v>
      </c>
      <c r="W17" s="187">
        <f t="shared" si="11"/>
        <v>897.65085214187002</v>
      </c>
      <c r="X17" s="184">
        <f t="shared" si="15"/>
        <v>10</v>
      </c>
      <c r="Y17" s="551"/>
      <c r="Z17" s="190">
        <v>3</v>
      </c>
      <c r="AA17" s="190">
        <v>2692.96131896005</v>
      </c>
      <c r="AB17" s="187">
        <f t="shared" si="16"/>
        <v>897.65377298668329</v>
      </c>
      <c r="AC17" s="184">
        <f t="shared" si="17"/>
        <v>11</v>
      </c>
      <c r="AD17" s="551"/>
      <c r="AE17" s="190">
        <v>3</v>
      </c>
      <c r="AF17" s="190">
        <v>2693.0448222565683</v>
      </c>
      <c r="AG17" s="187">
        <f t="shared" si="18"/>
        <v>897.68160741885606</v>
      </c>
      <c r="AH17" s="184">
        <f t="shared" si="19"/>
        <v>11</v>
      </c>
      <c r="AI17" s="551"/>
      <c r="AJ17" s="190">
        <v>3</v>
      </c>
      <c r="AK17" s="190">
        <v>2693.2911678337477</v>
      </c>
      <c r="AL17" s="187">
        <f t="shared" si="20"/>
        <v>897.76372261124925</v>
      </c>
      <c r="AM17" s="184">
        <f t="shared" si="21"/>
        <v>11</v>
      </c>
      <c r="AN17" s="551"/>
      <c r="AO17" s="190">
        <v>3</v>
      </c>
      <c r="AP17" s="190">
        <v>2693.2496931678706</v>
      </c>
      <c r="AQ17" s="187">
        <f t="shared" si="22"/>
        <v>897.74989772262359</v>
      </c>
      <c r="AR17" s="184">
        <f t="shared" si="23"/>
        <v>11</v>
      </c>
      <c r="AS17" s="551"/>
      <c r="AT17" s="190">
        <v>3</v>
      </c>
      <c r="AU17" s="190">
        <v>2693.3711048158634</v>
      </c>
      <c r="AV17" s="187">
        <f t="shared" si="24"/>
        <v>897.79036827195443</v>
      </c>
      <c r="AW17" s="184">
        <f t="shared" si="25"/>
        <v>11</v>
      </c>
      <c r="AX17" s="551"/>
    </row>
    <row r="18" spans="2:50" ht="14.25" customHeight="1">
      <c r="B18" s="525"/>
      <c r="C18" s="182">
        <v>12</v>
      </c>
      <c r="D18" s="185" t="s">
        <v>482</v>
      </c>
      <c r="E18" s="186">
        <v>12</v>
      </c>
      <c r="F18" s="182">
        <v>3600</v>
      </c>
      <c r="G18" s="187">
        <f t="shared" si="12"/>
        <v>300</v>
      </c>
      <c r="H18" s="554"/>
      <c r="I18" s="188">
        <f t="shared" si="13"/>
        <v>12</v>
      </c>
      <c r="J18" s="188">
        <f t="shared" si="13"/>
        <v>3126.1142403960889</v>
      </c>
      <c r="K18" s="189">
        <f t="shared" si="13"/>
        <v>260.50952003300745</v>
      </c>
      <c r="L18" s="555"/>
      <c r="M18" s="188">
        <f>RANK(K18, K$7:$K$39)</f>
        <v>29</v>
      </c>
      <c r="N18" s="553"/>
      <c r="O18" s="533"/>
      <c r="P18" s="190">
        <v>12</v>
      </c>
      <c r="Q18" s="190">
        <v>3125.7050765511699</v>
      </c>
      <c r="R18" s="187">
        <f t="shared" si="10"/>
        <v>260.47542304593082</v>
      </c>
      <c r="S18" s="184">
        <f t="shared" si="14"/>
        <v>29</v>
      </c>
      <c r="T18" s="551"/>
      <c r="U18" s="190">
        <v>12</v>
      </c>
      <c r="V18" s="190">
        <v>3125.7663628831824</v>
      </c>
      <c r="W18" s="187">
        <f t="shared" si="11"/>
        <v>260.48053024026518</v>
      </c>
      <c r="X18" s="184">
        <f t="shared" si="15"/>
        <v>28</v>
      </c>
      <c r="Y18" s="551"/>
      <c r="Z18" s="190">
        <v>12</v>
      </c>
      <c r="AA18" s="190">
        <v>3126.3681592039802</v>
      </c>
      <c r="AB18" s="187">
        <f t="shared" si="16"/>
        <v>260.530679933665</v>
      </c>
      <c r="AC18" s="184">
        <f t="shared" si="17"/>
        <v>28</v>
      </c>
      <c r="AD18" s="551"/>
      <c r="AE18" s="190">
        <v>12</v>
      </c>
      <c r="AF18" s="190">
        <v>3126.5353418308173</v>
      </c>
      <c r="AG18" s="187">
        <f t="shared" si="18"/>
        <v>260.54461181923477</v>
      </c>
      <c r="AH18" s="184">
        <f t="shared" si="19"/>
        <v>28</v>
      </c>
      <c r="AI18" s="551"/>
      <c r="AJ18" s="190">
        <v>12</v>
      </c>
      <c r="AK18" s="190">
        <v>3128.1451141018106</v>
      </c>
      <c r="AL18" s="187">
        <f t="shared" si="20"/>
        <v>260.67875950848423</v>
      </c>
      <c r="AM18" s="184">
        <f t="shared" si="21"/>
        <v>28</v>
      </c>
      <c r="AN18" s="551"/>
      <c r="AO18" s="190">
        <v>12</v>
      </c>
      <c r="AP18" s="190">
        <v>3125.2595155709323</v>
      </c>
      <c r="AQ18" s="187">
        <f t="shared" si="22"/>
        <v>260.43829296424434</v>
      </c>
      <c r="AR18" s="184">
        <f t="shared" si="23"/>
        <v>28</v>
      </c>
      <c r="AS18" s="551"/>
      <c r="AT18" s="190">
        <v>12</v>
      </c>
      <c r="AU18" s="190">
        <v>3125.0201126307343</v>
      </c>
      <c r="AV18" s="187">
        <f t="shared" si="24"/>
        <v>260.41834271922784</v>
      </c>
      <c r="AW18" s="184">
        <f t="shared" si="25"/>
        <v>29</v>
      </c>
      <c r="AX18" s="551"/>
    </row>
    <row r="19" spans="2:50" ht="14.25" customHeight="1">
      <c r="B19" s="525"/>
      <c r="C19" s="182">
        <v>13</v>
      </c>
      <c r="D19" s="185" t="s">
        <v>517</v>
      </c>
      <c r="E19" s="186">
        <v>3</v>
      </c>
      <c r="F19" s="182">
        <v>3300</v>
      </c>
      <c r="G19" s="187">
        <f t="shared" si="12"/>
        <v>1100</v>
      </c>
      <c r="H19" s="554"/>
      <c r="I19" s="188">
        <f t="shared" si="13"/>
        <v>3</v>
      </c>
      <c r="J19" s="188">
        <f t="shared" si="13"/>
        <v>2962.0824562427224</v>
      </c>
      <c r="K19" s="189">
        <f t="shared" si="13"/>
        <v>987.36081874757417</v>
      </c>
      <c r="L19" s="555"/>
      <c r="M19" s="188">
        <f>RANK(K19, K$7:$K$39)</f>
        <v>8</v>
      </c>
      <c r="N19" s="553"/>
      <c r="O19" s="533"/>
      <c r="P19" s="190">
        <v>3</v>
      </c>
      <c r="Q19" s="190">
        <v>2959.7182478538434</v>
      </c>
      <c r="R19" s="187">
        <f t="shared" si="10"/>
        <v>986.57274928461447</v>
      </c>
      <c r="S19" s="184">
        <f t="shared" si="14"/>
        <v>8</v>
      </c>
      <c r="T19" s="551"/>
      <c r="U19" s="190">
        <v>3</v>
      </c>
      <c r="V19" s="190">
        <v>2959.9634369287041</v>
      </c>
      <c r="W19" s="187">
        <f t="shared" si="11"/>
        <v>986.65447897623471</v>
      </c>
      <c r="X19" s="184">
        <f t="shared" si="15"/>
        <v>8</v>
      </c>
      <c r="Y19" s="551"/>
      <c r="Z19" s="190">
        <v>3</v>
      </c>
      <c r="AA19" s="190">
        <v>2959.4619382451851</v>
      </c>
      <c r="AB19" s="187">
        <f t="shared" si="16"/>
        <v>986.48731274839508</v>
      </c>
      <c r="AC19" s="184">
        <f t="shared" si="17"/>
        <v>8</v>
      </c>
      <c r="AD19" s="551"/>
      <c r="AE19" s="190">
        <v>3</v>
      </c>
      <c r="AF19" s="190">
        <v>2963.3039092055451</v>
      </c>
      <c r="AG19" s="187">
        <f t="shared" si="18"/>
        <v>987.76796973518174</v>
      </c>
      <c r="AH19" s="184">
        <f t="shared" si="19"/>
        <v>8</v>
      </c>
      <c r="AI19" s="551"/>
      <c r="AJ19" s="190">
        <v>3</v>
      </c>
      <c r="AK19" s="190">
        <v>2964.0039774610541</v>
      </c>
      <c r="AL19" s="187">
        <f t="shared" si="20"/>
        <v>988.00132582035133</v>
      </c>
      <c r="AM19" s="184">
        <f t="shared" si="21"/>
        <v>8</v>
      </c>
      <c r="AN19" s="551"/>
      <c r="AO19" s="190">
        <v>3</v>
      </c>
      <c r="AP19" s="190">
        <v>2964.2302980808486</v>
      </c>
      <c r="AQ19" s="187">
        <f t="shared" si="22"/>
        <v>988.07676602694949</v>
      </c>
      <c r="AR19" s="184">
        <f t="shared" si="23"/>
        <v>8</v>
      </c>
      <c r="AS19" s="551"/>
      <c r="AT19" s="190">
        <v>3</v>
      </c>
      <c r="AU19" s="190">
        <v>2963.8953859238786</v>
      </c>
      <c r="AV19" s="187">
        <f t="shared" si="24"/>
        <v>987.96512864129284</v>
      </c>
      <c r="AW19" s="184">
        <f t="shared" si="25"/>
        <v>8</v>
      </c>
      <c r="AX19" s="551"/>
    </row>
    <row r="20" spans="2:50" ht="14.25" customHeight="1">
      <c r="B20" s="525"/>
      <c r="C20" s="182">
        <v>14</v>
      </c>
      <c r="D20" s="185" t="s">
        <v>548</v>
      </c>
      <c r="E20" s="186">
        <v>5</v>
      </c>
      <c r="F20" s="182">
        <v>3300</v>
      </c>
      <c r="G20" s="187">
        <f t="shared" si="12"/>
        <v>660</v>
      </c>
      <c r="H20" s="554"/>
      <c r="I20" s="188">
        <f t="shared" si="13"/>
        <v>5</v>
      </c>
      <c r="J20" s="188">
        <f t="shared" si="13"/>
        <v>2961.9073064467134</v>
      </c>
      <c r="K20" s="189">
        <f t="shared" si="13"/>
        <v>592.38146128934284</v>
      </c>
      <c r="L20" s="555"/>
      <c r="M20" s="188">
        <f>RANK(K20, K$7:$K$39)</f>
        <v>27</v>
      </c>
      <c r="N20" s="553"/>
      <c r="O20" s="533"/>
      <c r="P20" s="190">
        <v>5</v>
      </c>
      <c r="Q20" s="190">
        <v>2960.3305785123962</v>
      </c>
      <c r="R20" s="187">
        <f t="shared" si="10"/>
        <v>592.06611570247924</v>
      </c>
      <c r="S20" s="184">
        <f t="shared" si="14"/>
        <v>26</v>
      </c>
      <c r="T20" s="551"/>
      <c r="U20" s="190">
        <v>5</v>
      </c>
      <c r="V20" s="190">
        <v>2959.9999999999968</v>
      </c>
      <c r="W20" s="187">
        <f t="shared" si="11"/>
        <v>591.99999999999932</v>
      </c>
      <c r="X20" s="184">
        <f t="shared" si="15"/>
        <v>26</v>
      </c>
      <c r="Y20" s="551"/>
      <c r="Z20" s="190">
        <v>5</v>
      </c>
      <c r="AA20" s="190">
        <v>2959.8103141671577</v>
      </c>
      <c r="AB20" s="187">
        <f t="shared" si="16"/>
        <v>591.96206283343156</v>
      </c>
      <c r="AC20" s="184">
        <f t="shared" si="17"/>
        <v>26</v>
      </c>
      <c r="AD20" s="551"/>
      <c r="AE20" s="190">
        <v>5</v>
      </c>
      <c r="AF20" s="190">
        <v>2962.8318584070807</v>
      </c>
      <c r="AG20" s="187">
        <f t="shared" si="18"/>
        <v>592.56637168141617</v>
      </c>
      <c r="AH20" s="184">
        <f t="shared" si="19"/>
        <v>26</v>
      </c>
      <c r="AI20" s="551"/>
      <c r="AJ20" s="190">
        <v>5</v>
      </c>
      <c r="AK20" s="190">
        <v>2963.4293369055558</v>
      </c>
      <c r="AL20" s="187">
        <f t="shared" si="20"/>
        <v>592.68586738111117</v>
      </c>
      <c r="AM20" s="184">
        <f t="shared" si="21"/>
        <v>26</v>
      </c>
      <c r="AN20" s="551"/>
      <c r="AO20" s="190">
        <v>5</v>
      </c>
      <c r="AP20" s="190">
        <v>2963.3126934984489</v>
      </c>
      <c r="AQ20" s="187">
        <f t="shared" si="22"/>
        <v>592.66253869968978</v>
      </c>
      <c r="AR20" s="184">
        <f t="shared" si="23"/>
        <v>26</v>
      </c>
      <c r="AS20" s="551"/>
      <c r="AT20" s="190">
        <v>5</v>
      </c>
      <c r="AU20" s="190">
        <v>2963.6363636363608</v>
      </c>
      <c r="AV20" s="187">
        <f t="shared" si="24"/>
        <v>592.72727272727218</v>
      </c>
      <c r="AW20" s="184">
        <f t="shared" si="25"/>
        <v>27</v>
      </c>
      <c r="AX20" s="551"/>
    </row>
    <row r="21" spans="2:50" ht="14.25" customHeight="1">
      <c r="B21" s="525"/>
      <c r="C21" s="182">
        <v>15</v>
      </c>
      <c r="D21" s="185" t="s">
        <v>416</v>
      </c>
      <c r="E21" s="186">
        <v>4</v>
      </c>
      <c r="F21" s="182">
        <v>3300</v>
      </c>
      <c r="G21" s="187">
        <f t="shared" si="12"/>
        <v>825</v>
      </c>
      <c r="H21" s="554"/>
      <c r="I21" s="188">
        <f t="shared" si="13"/>
        <v>4</v>
      </c>
      <c r="J21" s="188">
        <f t="shared" si="13"/>
        <v>2961.6347281407147</v>
      </c>
      <c r="K21" s="189">
        <f t="shared" si="13"/>
        <v>740.40868203517869</v>
      </c>
      <c r="L21" s="555"/>
      <c r="M21" s="188">
        <f>RANK(K21, K$7:$K$39)</f>
        <v>17</v>
      </c>
      <c r="N21" s="553"/>
      <c r="O21" s="533"/>
      <c r="P21" s="190">
        <v>4</v>
      </c>
      <c r="Q21" s="190">
        <v>2960.6469002695412</v>
      </c>
      <c r="R21" s="187">
        <f t="shared" si="10"/>
        <v>740.16172506738531</v>
      </c>
      <c r="S21" s="184">
        <f t="shared" si="14"/>
        <v>17</v>
      </c>
      <c r="T21" s="551"/>
      <c r="U21" s="190">
        <v>4</v>
      </c>
      <c r="V21" s="190">
        <v>2960.6853438295921</v>
      </c>
      <c r="W21" s="187">
        <f t="shared" si="11"/>
        <v>740.17133595739801</v>
      </c>
      <c r="X21" s="184">
        <f t="shared" si="15"/>
        <v>17</v>
      </c>
      <c r="Y21" s="551"/>
      <c r="Z21" s="190">
        <v>4</v>
      </c>
      <c r="AA21" s="190">
        <v>2960.7822954194544</v>
      </c>
      <c r="AB21" s="187">
        <f t="shared" si="16"/>
        <v>740.1955738548636</v>
      </c>
      <c r="AC21" s="184">
        <f t="shared" si="17"/>
        <v>17</v>
      </c>
      <c r="AD21" s="551"/>
      <c r="AE21" s="190">
        <v>4</v>
      </c>
      <c r="AF21" s="190">
        <v>2962.450066577896</v>
      </c>
      <c r="AG21" s="187">
        <f t="shared" si="18"/>
        <v>740.612516644474</v>
      </c>
      <c r="AH21" s="184">
        <f t="shared" si="19"/>
        <v>16</v>
      </c>
      <c r="AI21" s="551"/>
      <c r="AJ21" s="190">
        <v>4</v>
      </c>
      <c r="AK21" s="190">
        <v>2962.3081110506259</v>
      </c>
      <c r="AL21" s="187">
        <f t="shared" si="20"/>
        <v>740.57702776265648</v>
      </c>
      <c r="AM21" s="184">
        <f t="shared" si="21"/>
        <v>17</v>
      </c>
      <c r="AN21" s="551"/>
      <c r="AO21" s="190">
        <v>4</v>
      </c>
      <c r="AP21" s="190">
        <v>2962.299020513768</v>
      </c>
      <c r="AQ21" s="187">
        <f t="shared" si="22"/>
        <v>740.57475512844201</v>
      </c>
      <c r="AR21" s="184">
        <f t="shared" si="23"/>
        <v>17</v>
      </c>
      <c r="AS21" s="551"/>
      <c r="AT21" s="190">
        <v>4</v>
      </c>
      <c r="AU21" s="190">
        <v>2962.2713593241238</v>
      </c>
      <c r="AV21" s="187">
        <f t="shared" si="24"/>
        <v>740.56783983103094</v>
      </c>
      <c r="AW21" s="184">
        <f t="shared" si="25"/>
        <v>17</v>
      </c>
      <c r="AX21" s="551"/>
    </row>
    <row r="22" spans="2:50" ht="14.25" customHeight="1">
      <c r="B22" s="525"/>
      <c r="C22" s="182">
        <v>16</v>
      </c>
      <c r="D22" s="185" t="s">
        <v>415</v>
      </c>
      <c r="E22" s="186">
        <v>3</v>
      </c>
      <c r="F22" s="182">
        <v>3600</v>
      </c>
      <c r="G22" s="187">
        <f t="shared" si="12"/>
        <v>1200</v>
      </c>
      <c r="H22" s="554"/>
      <c r="I22" s="188">
        <f t="shared" si="13"/>
        <v>3</v>
      </c>
      <c r="J22" s="188">
        <f t="shared" si="13"/>
        <v>3145.717812662132</v>
      </c>
      <c r="K22" s="189">
        <f t="shared" si="13"/>
        <v>1048.5726042207104</v>
      </c>
      <c r="L22" s="555"/>
      <c r="M22" s="188">
        <f>RANK(K22, K$7:$K$39)</f>
        <v>2</v>
      </c>
      <c r="N22" s="553"/>
      <c r="O22" s="533"/>
      <c r="P22" s="190">
        <v>3</v>
      </c>
      <c r="Q22" s="190">
        <v>3141.0357683506836</v>
      </c>
      <c r="R22" s="187">
        <f t="shared" si="10"/>
        <v>1047.0119227835612</v>
      </c>
      <c r="S22" s="184">
        <f t="shared" si="14"/>
        <v>5</v>
      </c>
      <c r="T22" s="551"/>
      <c r="U22" s="190">
        <v>3</v>
      </c>
      <c r="V22" s="190">
        <v>3141.4594514717874</v>
      </c>
      <c r="W22" s="187">
        <f t="shared" si="11"/>
        <v>1047.1531504905959</v>
      </c>
      <c r="X22" s="184">
        <f t="shared" si="15"/>
        <v>5</v>
      </c>
      <c r="Y22" s="551"/>
      <c r="Z22" s="190">
        <v>3</v>
      </c>
      <c r="AA22" s="190">
        <v>3141.6975788249374</v>
      </c>
      <c r="AB22" s="187">
        <f t="shared" si="16"/>
        <v>1047.2325262749791</v>
      </c>
      <c r="AC22" s="184">
        <f t="shared" si="17"/>
        <v>5</v>
      </c>
      <c r="AD22" s="551"/>
      <c r="AE22" s="190">
        <v>3</v>
      </c>
      <c r="AF22" s="190">
        <v>3147.4406423558403</v>
      </c>
      <c r="AG22" s="187">
        <f t="shared" si="18"/>
        <v>1049.14688078528</v>
      </c>
      <c r="AH22" s="184">
        <f t="shared" si="19"/>
        <v>2</v>
      </c>
      <c r="AI22" s="551"/>
      <c r="AJ22" s="190">
        <v>3</v>
      </c>
      <c r="AK22" s="190">
        <v>3149.1798247910442</v>
      </c>
      <c r="AL22" s="187">
        <f t="shared" si="20"/>
        <v>1049.7266082636813</v>
      </c>
      <c r="AM22" s="184">
        <f t="shared" si="21"/>
        <v>2</v>
      </c>
      <c r="AN22" s="551"/>
      <c r="AO22" s="190">
        <v>3</v>
      </c>
      <c r="AP22" s="190">
        <v>3149.3933603934602</v>
      </c>
      <c r="AQ22" s="187">
        <f t="shared" si="22"/>
        <v>1049.79778679782</v>
      </c>
      <c r="AR22" s="184">
        <f t="shared" si="23"/>
        <v>2</v>
      </c>
      <c r="AS22" s="551"/>
      <c r="AT22" s="190">
        <v>3</v>
      </c>
      <c r="AU22" s="190">
        <v>3149.8180624471702</v>
      </c>
      <c r="AV22" s="187">
        <f t="shared" si="24"/>
        <v>1049.9393541490567</v>
      </c>
      <c r="AW22" s="184">
        <f t="shared" si="25"/>
        <v>2</v>
      </c>
      <c r="AX22" s="551"/>
    </row>
    <row r="23" spans="2:50" ht="14.25" customHeight="1">
      <c r="B23" s="525"/>
      <c r="C23" s="182">
        <v>17</v>
      </c>
      <c r="D23" s="185" t="s">
        <v>417</v>
      </c>
      <c r="E23" s="186">
        <v>4</v>
      </c>
      <c r="F23" s="182">
        <v>3300</v>
      </c>
      <c r="G23" s="187">
        <f t="shared" si="12"/>
        <v>825</v>
      </c>
      <c r="H23" s="554"/>
      <c r="I23" s="188">
        <f t="shared" si="13"/>
        <v>4</v>
      </c>
      <c r="J23" s="188">
        <f t="shared" si="13"/>
        <v>2964.8745759425396</v>
      </c>
      <c r="K23" s="189">
        <f t="shared" si="13"/>
        <v>741.21864398563491</v>
      </c>
      <c r="L23" s="555"/>
      <c r="M23" s="188">
        <f>RANK(K23, K$7:$K$39)</f>
        <v>14</v>
      </c>
      <c r="N23" s="553"/>
      <c r="O23" s="533"/>
      <c r="P23" s="190">
        <v>4</v>
      </c>
      <c r="Q23" s="190">
        <v>2964.4808743169383</v>
      </c>
      <c r="R23" s="187">
        <f t="shared" si="10"/>
        <v>741.12021857923457</v>
      </c>
      <c r="S23" s="184">
        <f t="shared" si="14"/>
        <v>14</v>
      </c>
      <c r="T23" s="551"/>
      <c r="U23" s="190">
        <v>4</v>
      </c>
      <c r="V23" s="190">
        <v>2964.6716273050788</v>
      </c>
      <c r="W23" s="187">
        <f t="shared" si="11"/>
        <v>741.1679068262697</v>
      </c>
      <c r="X23" s="184">
        <f t="shared" si="15"/>
        <v>14</v>
      </c>
      <c r="Y23" s="551"/>
      <c r="Z23" s="190">
        <v>4</v>
      </c>
      <c r="AA23" s="190">
        <v>2964.6250715512283</v>
      </c>
      <c r="AB23" s="187">
        <f t="shared" si="16"/>
        <v>741.15626788780708</v>
      </c>
      <c r="AC23" s="184">
        <f t="shared" si="17"/>
        <v>14</v>
      </c>
      <c r="AD23" s="551"/>
      <c r="AE23" s="190">
        <v>4</v>
      </c>
      <c r="AF23" s="190">
        <v>2964.8734177215183</v>
      </c>
      <c r="AG23" s="187">
        <f t="shared" si="18"/>
        <v>741.21835443037958</v>
      </c>
      <c r="AH23" s="184">
        <f t="shared" si="19"/>
        <v>14</v>
      </c>
      <c r="AI23" s="551"/>
      <c r="AJ23" s="190">
        <v>4</v>
      </c>
      <c r="AK23" s="190">
        <v>2964.8464730290461</v>
      </c>
      <c r="AL23" s="187">
        <f t="shared" si="20"/>
        <v>741.21161825726153</v>
      </c>
      <c r="AM23" s="184">
        <f t="shared" si="21"/>
        <v>14</v>
      </c>
      <c r="AN23" s="551"/>
      <c r="AO23" s="190">
        <v>4</v>
      </c>
      <c r="AP23" s="190">
        <v>2965.1601830663649</v>
      </c>
      <c r="AQ23" s="187">
        <f t="shared" si="22"/>
        <v>741.29004576659122</v>
      </c>
      <c r="AR23" s="184">
        <f t="shared" si="23"/>
        <v>14</v>
      </c>
      <c r="AS23" s="551"/>
      <c r="AT23" s="190">
        <v>4</v>
      </c>
      <c r="AU23" s="190">
        <v>2965.4643846076024</v>
      </c>
      <c r="AV23" s="187">
        <f t="shared" si="24"/>
        <v>741.36609615190059</v>
      </c>
      <c r="AW23" s="184">
        <f t="shared" si="25"/>
        <v>14</v>
      </c>
      <c r="AX23" s="551"/>
    </row>
    <row r="24" spans="2:50" ht="14.25" customHeight="1">
      <c r="B24" s="525"/>
      <c r="C24" s="182">
        <v>18</v>
      </c>
      <c r="D24" s="185" t="s">
        <v>349</v>
      </c>
      <c r="E24" s="186">
        <v>5</v>
      </c>
      <c r="F24" s="182">
        <v>3300</v>
      </c>
      <c r="G24" s="187">
        <f t="shared" si="12"/>
        <v>660</v>
      </c>
      <c r="H24" s="554"/>
      <c r="I24" s="188">
        <f t="shared" si="13"/>
        <v>5</v>
      </c>
      <c r="J24" s="188">
        <f t="shared" si="13"/>
        <v>2966.8362262437013</v>
      </c>
      <c r="K24" s="189">
        <f t="shared" si="13"/>
        <v>593.36724524874023</v>
      </c>
      <c r="L24" s="555"/>
      <c r="M24" s="188">
        <f>RANK(K24, K$7:$K$39)</f>
        <v>26</v>
      </c>
      <c r="N24" s="553"/>
      <c r="O24" s="533"/>
      <c r="P24" s="190">
        <v>5</v>
      </c>
      <c r="Q24" s="190">
        <v>2966.0583941605964</v>
      </c>
      <c r="R24" s="187">
        <f t="shared" si="10"/>
        <v>593.21167883211933</v>
      </c>
      <c r="S24" s="184">
        <f t="shared" si="14"/>
        <v>25</v>
      </c>
      <c r="T24" s="551"/>
      <c r="U24" s="190">
        <v>5</v>
      </c>
      <c r="V24" s="190">
        <v>2966.7513980681333</v>
      </c>
      <c r="W24" s="187">
        <f t="shared" si="11"/>
        <v>593.35027961362664</v>
      </c>
      <c r="X24" s="184">
        <f t="shared" si="15"/>
        <v>24</v>
      </c>
      <c r="Y24" s="551"/>
      <c r="Z24" s="190">
        <v>5</v>
      </c>
      <c r="AA24" s="190">
        <v>2966.0249150622858</v>
      </c>
      <c r="AB24" s="187">
        <f t="shared" si="16"/>
        <v>593.20498301245721</v>
      </c>
      <c r="AC24" s="184">
        <f t="shared" si="17"/>
        <v>25</v>
      </c>
      <c r="AD24" s="551"/>
      <c r="AE24" s="190">
        <v>5</v>
      </c>
      <c r="AF24" s="190">
        <v>2967.0329670329697</v>
      </c>
      <c r="AG24" s="187">
        <f t="shared" si="18"/>
        <v>593.40659340659397</v>
      </c>
      <c r="AH24" s="184">
        <f t="shared" si="19"/>
        <v>25</v>
      </c>
      <c r="AI24" s="551"/>
      <c r="AJ24" s="190">
        <v>5</v>
      </c>
      <c r="AK24" s="190">
        <v>2967.326732673273</v>
      </c>
      <c r="AL24" s="187">
        <f t="shared" si="20"/>
        <v>593.4653465346546</v>
      </c>
      <c r="AM24" s="184">
        <f t="shared" si="21"/>
        <v>25</v>
      </c>
      <c r="AN24" s="551"/>
      <c r="AO24" s="190">
        <v>5</v>
      </c>
      <c r="AP24" s="190">
        <v>2967.1378091872762</v>
      </c>
      <c r="AQ24" s="187">
        <f t="shared" si="22"/>
        <v>593.42756183745519</v>
      </c>
      <c r="AR24" s="184">
        <f t="shared" si="23"/>
        <v>24</v>
      </c>
      <c r="AS24" s="551"/>
      <c r="AT24" s="190">
        <v>5</v>
      </c>
      <c r="AU24" s="190">
        <v>2967.5213675213763</v>
      </c>
      <c r="AV24" s="187">
        <f t="shared" si="24"/>
        <v>593.50427350427526</v>
      </c>
      <c r="AW24" s="184">
        <f t="shared" si="25"/>
        <v>25</v>
      </c>
      <c r="AX24" s="551"/>
    </row>
    <row r="25" spans="2:50" ht="14.25" customHeight="1">
      <c r="B25" s="525"/>
      <c r="C25" s="182">
        <v>19</v>
      </c>
      <c r="D25" s="185" t="s">
        <v>410</v>
      </c>
      <c r="E25" s="186">
        <v>3</v>
      </c>
      <c r="F25" s="182">
        <v>3600</v>
      </c>
      <c r="G25" s="187">
        <f t="shared" si="12"/>
        <v>1200</v>
      </c>
      <c r="H25" s="554"/>
      <c r="I25" s="188">
        <f t="shared" si="13"/>
        <v>3</v>
      </c>
      <c r="J25" s="188">
        <f t="shared" si="13"/>
        <v>3145.4611046663422</v>
      </c>
      <c r="K25" s="189">
        <f t="shared" si="13"/>
        <v>1048.487034888781</v>
      </c>
      <c r="L25" s="555"/>
      <c r="M25" s="188">
        <f>RANK(K25, K$7:$K$39)</f>
        <v>3</v>
      </c>
      <c r="N25" s="553"/>
      <c r="O25" s="533"/>
      <c r="P25" s="190">
        <v>3</v>
      </c>
      <c r="Q25" s="190">
        <v>3142.3734019041704</v>
      </c>
      <c r="R25" s="187">
        <f t="shared" si="10"/>
        <v>1047.4578006347235</v>
      </c>
      <c r="S25" s="184">
        <f t="shared" si="14"/>
        <v>4</v>
      </c>
      <c r="T25" s="551"/>
      <c r="U25" s="190">
        <v>3</v>
      </c>
      <c r="V25" s="190">
        <v>3142.3662647695519</v>
      </c>
      <c r="W25" s="187">
        <f t="shared" si="11"/>
        <v>1047.4554215898506</v>
      </c>
      <c r="X25" s="184">
        <f t="shared" si="15"/>
        <v>4</v>
      </c>
      <c r="Y25" s="551"/>
      <c r="Z25" s="190">
        <v>3</v>
      </c>
      <c r="AA25" s="190">
        <v>3145.8715596330262</v>
      </c>
      <c r="AB25" s="187">
        <f t="shared" si="16"/>
        <v>1048.6238532110087</v>
      </c>
      <c r="AC25" s="184">
        <f t="shared" si="17"/>
        <v>2</v>
      </c>
      <c r="AD25" s="551"/>
      <c r="AE25" s="190">
        <v>3</v>
      </c>
      <c r="AF25" s="190">
        <v>3146.5809468147277</v>
      </c>
      <c r="AG25" s="187">
        <f t="shared" si="18"/>
        <v>1048.8603156049091</v>
      </c>
      <c r="AH25" s="184">
        <f t="shared" si="19"/>
        <v>4</v>
      </c>
      <c r="AI25" s="551"/>
      <c r="AJ25" s="190">
        <v>3</v>
      </c>
      <c r="AK25" s="190">
        <v>3146.8373476929137</v>
      </c>
      <c r="AL25" s="187">
        <f t="shared" si="20"/>
        <v>1048.9457825643046</v>
      </c>
      <c r="AM25" s="184">
        <f t="shared" si="21"/>
        <v>4</v>
      </c>
      <c r="AN25" s="551"/>
      <c r="AO25" s="190">
        <v>3</v>
      </c>
      <c r="AP25" s="190">
        <v>3147.0626670626716</v>
      </c>
      <c r="AQ25" s="187">
        <f t="shared" si="22"/>
        <v>1049.0208890208905</v>
      </c>
      <c r="AR25" s="184">
        <f t="shared" si="23"/>
        <v>4</v>
      </c>
      <c r="AS25" s="551"/>
      <c r="AT25" s="190">
        <v>3</v>
      </c>
      <c r="AU25" s="190">
        <v>3147.1355447873375</v>
      </c>
      <c r="AV25" s="187">
        <f t="shared" si="24"/>
        <v>1049.0451815957792</v>
      </c>
      <c r="AW25" s="184">
        <f t="shared" si="25"/>
        <v>4</v>
      </c>
      <c r="AX25" s="551"/>
    </row>
    <row r="26" spans="2:50" ht="14.25" customHeight="1">
      <c r="B26" s="525"/>
      <c r="C26" s="182">
        <v>20</v>
      </c>
      <c r="D26" s="185" t="s">
        <v>414</v>
      </c>
      <c r="E26" s="186">
        <v>3</v>
      </c>
      <c r="F26" s="182">
        <v>3600</v>
      </c>
      <c r="G26" s="187">
        <f t="shared" si="12"/>
        <v>1200</v>
      </c>
      <c r="H26" s="554"/>
      <c r="I26" s="188">
        <f t="shared" si="13"/>
        <v>3</v>
      </c>
      <c r="J26" s="188">
        <f t="shared" si="13"/>
        <v>3151.5025959857621</v>
      </c>
      <c r="K26" s="189">
        <f t="shared" si="13"/>
        <v>1050.5008653285875</v>
      </c>
      <c r="L26" s="555"/>
      <c r="M26" s="188">
        <f>RANK(K26, K$7:$K$39)</f>
        <v>1</v>
      </c>
      <c r="N26" s="553"/>
      <c r="O26" s="533"/>
      <c r="P26" s="190">
        <v>3</v>
      </c>
      <c r="Q26" s="190">
        <v>3148.2071713147502</v>
      </c>
      <c r="R26" s="187">
        <f t="shared" si="10"/>
        <v>1049.40239043825</v>
      </c>
      <c r="S26" s="184">
        <f t="shared" si="14"/>
        <v>1</v>
      </c>
      <c r="T26" s="551"/>
      <c r="U26" s="190">
        <v>3</v>
      </c>
      <c r="V26" s="190">
        <v>3149.3129770992441</v>
      </c>
      <c r="W26" s="187">
        <f t="shared" si="11"/>
        <v>1049.7709923664147</v>
      </c>
      <c r="X26" s="184">
        <f t="shared" si="15"/>
        <v>1</v>
      </c>
      <c r="Y26" s="551"/>
      <c r="Z26" s="190">
        <v>3</v>
      </c>
      <c r="AA26" s="190">
        <v>3149.9999999999941</v>
      </c>
      <c r="AB26" s="187">
        <f t="shared" si="16"/>
        <v>1049.999999999998</v>
      </c>
      <c r="AC26" s="184">
        <f t="shared" si="17"/>
        <v>1</v>
      </c>
      <c r="AD26" s="551"/>
      <c r="AE26" s="190">
        <v>3</v>
      </c>
      <c r="AF26" s="190">
        <v>3152.4680073126101</v>
      </c>
      <c r="AG26" s="187">
        <f t="shared" si="18"/>
        <v>1050.8226691042034</v>
      </c>
      <c r="AH26" s="184">
        <f t="shared" si="19"/>
        <v>1</v>
      </c>
      <c r="AI26" s="551"/>
      <c r="AJ26" s="190">
        <v>3</v>
      </c>
      <c r="AK26" s="190">
        <v>3153.2097004279708</v>
      </c>
      <c r="AL26" s="187">
        <f t="shared" si="20"/>
        <v>1051.0699001426569</v>
      </c>
      <c r="AM26" s="184">
        <f t="shared" si="21"/>
        <v>1</v>
      </c>
      <c r="AN26" s="551"/>
      <c r="AO26" s="190">
        <v>3</v>
      </c>
      <c r="AP26" s="190">
        <v>3153.1034482758746</v>
      </c>
      <c r="AQ26" s="187">
        <f t="shared" si="22"/>
        <v>1051.0344827586248</v>
      </c>
      <c r="AR26" s="184">
        <f t="shared" si="23"/>
        <v>1</v>
      </c>
      <c r="AS26" s="551"/>
      <c r="AT26" s="190">
        <v>3</v>
      </c>
      <c r="AU26" s="190">
        <v>3154.2168674698928</v>
      </c>
      <c r="AV26" s="187">
        <f t="shared" si="24"/>
        <v>1051.4056224899643</v>
      </c>
      <c r="AW26" s="184">
        <f t="shared" si="25"/>
        <v>1</v>
      </c>
      <c r="AX26" s="551"/>
    </row>
    <row r="27" spans="2:50" ht="14.25" customHeight="1">
      <c r="B27" s="525"/>
      <c r="C27" s="182">
        <v>21</v>
      </c>
      <c r="D27" s="185" t="s">
        <v>413</v>
      </c>
      <c r="E27" s="186">
        <v>4</v>
      </c>
      <c r="F27" s="182">
        <v>3300</v>
      </c>
      <c r="G27" s="187">
        <f t="shared" si="12"/>
        <v>825</v>
      </c>
      <c r="H27" s="554"/>
      <c r="I27" s="188">
        <f t="shared" si="13"/>
        <v>4</v>
      </c>
      <c r="J27" s="188">
        <f t="shared" si="13"/>
        <v>2932.7637704402555</v>
      </c>
      <c r="K27" s="189">
        <f t="shared" si="13"/>
        <v>733.19094261006387</v>
      </c>
      <c r="L27" s="555"/>
      <c r="M27" s="188">
        <f>RANK(K27, K$7:$K$39)</f>
        <v>21</v>
      </c>
      <c r="N27" s="553"/>
      <c r="O27" s="533"/>
      <c r="P27" s="190">
        <v>4</v>
      </c>
      <c r="Q27" s="190">
        <v>2931.4674735249541</v>
      </c>
      <c r="R27" s="187">
        <f t="shared" si="10"/>
        <v>732.86686838123853</v>
      </c>
      <c r="S27" s="184">
        <f t="shared" si="14"/>
        <v>20</v>
      </c>
      <c r="T27" s="551"/>
      <c r="U27" s="190">
        <v>4</v>
      </c>
      <c r="V27" s="190">
        <v>2931.958762886602</v>
      </c>
      <c r="W27" s="187">
        <f t="shared" si="11"/>
        <v>732.9896907216505</v>
      </c>
      <c r="X27" s="184">
        <f t="shared" si="15"/>
        <v>20</v>
      </c>
      <c r="Y27" s="551"/>
      <c r="Z27" s="190">
        <v>4</v>
      </c>
      <c r="AA27" s="190">
        <v>2932.0754716981119</v>
      </c>
      <c r="AB27" s="187">
        <f t="shared" si="16"/>
        <v>733.01886792452797</v>
      </c>
      <c r="AC27" s="184">
        <f t="shared" si="17"/>
        <v>21</v>
      </c>
      <c r="AD27" s="551"/>
      <c r="AE27" s="190">
        <v>4</v>
      </c>
      <c r="AF27" s="190">
        <v>2933.052631578938</v>
      </c>
      <c r="AG27" s="187">
        <f t="shared" si="18"/>
        <v>733.26315789473449</v>
      </c>
      <c r="AH27" s="184">
        <f t="shared" si="19"/>
        <v>21</v>
      </c>
      <c r="AI27" s="551"/>
      <c r="AJ27" s="190">
        <v>4</v>
      </c>
      <c r="AK27" s="190">
        <v>2932.8931077177076</v>
      </c>
      <c r="AL27" s="187">
        <f t="shared" si="20"/>
        <v>733.2232769294269</v>
      </c>
      <c r="AM27" s="184">
        <f t="shared" si="21"/>
        <v>21</v>
      </c>
      <c r="AN27" s="551"/>
      <c r="AO27" s="190">
        <v>4</v>
      </c>
      <c r="AP27" s="190">
        <v>2933.523945675483</v>
      </c>
      <c r="AQ27" s="187">
        <f t="shared" si="22"/>
        <v>733.38098641887075</v>
      </c>
      <c r="AR27" s="184">
        <f t="shared" si="23"/>
        <v>21</v>
      </c>
      <c r="AS27" s="551"/>
      <c r="AT27" s="190">
        <v>4</v>
      </c>
      <c r="AU27" s="190">
        <v>2934.3749999999918</v>
      </c>
      <c r="AV27" s="187">
        <f t="shared" si="24"/>
        <v>733.59374999999795</v>
      </c>
      <c r="AW27" s="184">
        <f t="shared" si="25"/>
        <v>20</v>
      </c>
      <c r="AX27" s="551"/>
    </row>
    <row r="28" spans="2:50" ht="14.25" customHeight="1">
      <c r="B28" s="525"/>
      <c r="C28" s="182">
        <v>22</v>
      </c>
      <c r="D28" s="185" t="s">
        <v>409</v>
      </c>
      <c r="E28" s="186">
        <v>4</v>
      </c>
      <c r="F28" s="182">
        <v>3300</v>
      </c>
      <c r="G28" s="187">
        <f>F28/E28</f>
        <v>825</v>
      </c>
      <c r="H28" s="554"/>
      <c r="I28" s="188">
        <f t="shared" si="13"/>
        <v>4</v>
      </c>
      <c r="J28" s="188">
        <f t="shared" si="13"/>
        <v>2934.9088899872909</v>
      </c>
      <c r="K28" s="189">
        <f t="shared" si="13"/>
        <v>733.72722249682272</v>
      </c>
      <c r="L28" s="555"/>
      <c r="M28" s="188">
        <f>RANK(K28, K$7:$K$39)</f>
        <v>18</v>
      </c>
      <c r="N28" s="553"/>
      <c r="O28" s="533"/>
      <c r="P28" s="190">
        <v>4</v>
      </c>
      <c r="Q28" s="190">
        <v>2934.7167694896284</v>
      </c>
      <c r="R28" s="187">
        <f t="shared" si="10"/>
        <v>733.6791923724071</v>
      </c>
      <c r="S28" s="184">
        <f t="shared" si="14"/>
        <v>18</v>
      </c>
      <c r="T28" s="551"/>
      <c r="U28" s="190">
        <v>4</v>
      </c>
      <c r="V28" s="190">
        <v>2934.2546890424528</v>
      </c>
      <c r="W28" s="187">
        <f t="shared" si="11"/>
        <v>733.5636722606132</v>
      </c>
      <c r="X28" s="184">
        <f t="shared" si="15"/>
        <v>18</v>
      </c>
      <c r="Y28" s="551"/>
      <c r="Z28" s="190">
        <v>4</v>
      </c>
      <c r="AA28" s="190">
        <v>2934.7680890537977</v>
      </c>
      <c r="AB28" s="187">
        <f t="shared" si="16"/>
        <v>733.69202226344942</v>
      </c>
      <c r="AC28" s="184">
        <f t="shared" si="17"/>
        <v>18</v>
      </c>
      <c r="AD28" s="551"/>
      <c r="AE28" s="190">
        <v>4</v>
      </c>
      <c r="AF28" s="190">
        <v>2935.0993377483414</v>
      </c>
      <c r="AG28" s="187">
        <f t="shared" si="18"/>
        <v>733.77483443708536</v>
      </c>
      <c r="AH28" s="184">
        <f t="shared" si="19"/>
        <v>18</v>
      </c>
      <c r="AI28" s="551"/>
      <c r="AJ28" s="190">
        <v>4</v>
      </c>
      <c r="AK28" s="190">
        <v>2935.7731015553572</v>
      </c>
      <c r="AL28" s="187">
        <f t="shared" si="20"/>
        <v>733.94327538883931</v>
      </c>
      <c r="AM28" s="184">
        <f t="shared" si="21"/>
        <v>18</v>
      </c>
      <c r="AN28" s="551"/>
      <c r="AO28" s="190">
        <v>4</v>
      </c>
      <c r="AP28" s="190">
        <v>2934.5692475463457</v>
      </c>
      <c r="AQ28" s="187">
        <f t="shared" si="22"/>
        <v>733.64231188658641</v>
      </c>
      <c r="AR28" s="184">
        <f t="shared" si="23"/>
        <v>19</v>
      </c>
      <c r="AS28" s="551"/>
      <c r="AT28" s="190">
        <v>4</v>
      </c>
      <c r="AU28" s="190">
        <v>2935.1809954751138</v>
      </c>
      <c r="AV28" s="187">
        <f t="shared" si="24"/>
        <v>733.79524886877846</v>
      </c>
      <c r="AW28" s="184">
        <f t="shared" si="25"/>
        <v>18</v>
      </c>
      <c r="AX28" s="551"/>
    </row>
    <row r="29" spans="2:50" ht="14.25" customHeight="1">
      <c r="B29" s="525"/>
      <c r="C29" s="182">
        <v>23</v>
      </c>
      <c r="D29" s="185" t="s">
        <v>412</v>
      </c>
      <c r="E29" s="186">
        <v>4</v>
      </c>
      <c r="F29" s="182">
        <v>3000</v>
      </c>
      <c r="G29" s="187">
        <f t="shared" ref="G29:G36" si="26">F29/E29</f>
        <v>750</v>
      </c>
      <c r="H29" s="554"/>
      <c r="I29" s="188">
        <f t="shared" si="13"/>
        <v>4</v>
      </c>
      <c r="J29" s="188">
        <f t="shared" si="13"/>
        <v>2695.0793928698135</v>
      </c>
      <c r="K29" s="189">
        <f t="shared" si="13"/>
        <v>673.76984821745339</v>
      </c>
      <c r="L29" s="555"/>
      <c r="M29" s="188">
        <f>RANK(K29, K$7:$K$39)</f>
        <v>22</v>
      </c>
      <c r="N29" s="553"/>
      <c r="O29" s="533"/>
      <c r="P29" s="190">
        <v>4</v>
      </c>
      <c r="Q29" s="190">
        <v>2695.2091254752936</v>
      </c>
      <c r="R29" s="187">
        <f t="shared" si="10"/>
        <v>673.8022813688234</v>
      </c>
      <c r="S29" s="184">
        <f t="shared" si="14"/>
        <v>22</v>
      </c>
      <c r="T29" s="551"/>
      <c r="U29" s="190">
        <v>4</v>
      </c>
      <c r="V29" s="190">
        <v>2694.5736434108544</v>
      </c>
      <c r="W29" s="187">
        <f t="shared" si="11"/>
        <v>673.6434108527136</v>
      </c>
      <c r="X29" s="184">
        <f t="shared" si="15"/>
        <v>22</v>
      </c>
      <c r="Y29" s="551"/>
      <c r="Z29" s="190">
        <v>4</v>
      </c>
      <c r="AA29" s="190">
        <v>2695.3499295443867</v>
      </c>
      <c r="AB29" s="187">
        <f t="shared" si="16"/>
        <v>673.83748238609667</v>
      </c>
      <c r="AC29" s="184">
        <f t="shared" si="17"/>
        <v>22</v>
      </c>
      <c r="AD29" s="551"/>
      <c r="AE29" s="190">
        <v>4</v>
      </c>
      <c r="AF29" s="190">
        <v>2694.9907235621581</v>
      </c>
      <c r="AG29" s="187">
        <f t="shared" si="18"/>
        <v>673.74768089053953</v>
      </c>
      <c r="AH29" s="184">
        <f t="shared" si="19"/>
        <v>22</v>
      </c>
      <c r="AI29" s="551"/>
      <c r="AJ29" s="190">
        <v>4</v>
      </c>
      <c r="AK29" s="190">
        <v>2695.2573976489675</v>
      </c>
      <c r="AL29" s="187">
        <f t="shared" si="20"/>
        <v>673.81434941224188</v>
      </c>
      <c r="AM29" s="184">
        <f t="shared" si="21"/>
        <v>22</v>
      </c>
      <c r="AN29" s="551"/>
      <c r="AO29" s="190">
        <v>4</v>
      </c>
      <c r="AP29" s="190">
        <v>2695.438088341778</v>
      </c>
      <c r="AQ29" s="187">
        <f t="shared" si="22"/>
        <v>673.8595220854445</v>
      </c>
      <c r="AR29" s="184">
        <f t="shared" si="23"/>
        <v>22</v>
      </c>
      <c r="AS29" s="551"/>
      <c r="AT29" s="190">
        <v>4</v>
      </c>
      <c r="AU29" s="190">
        <v>2694.7368421052547</v>
      </c>
      <c r="AV29" s="187">
        <f t="shared" si="24"/>
        <v>673.68421052631368</v>
      </c>
      <c r="AW29" s="184">
        <f t="shared" si="25"/>
        <v>22</v>
      </c>
      <c r="AX29" s="551"/>
    </row>
    <row r="30" spans="2:50" ht="14.25" customHeight="1">
      <c r="B30" s="525"/>
      <c r="C30" s="182">
        <v>24</v>
      </c>
      <c r="D30" s="185" t="s">
        <v>411</v>
      </c>
      <c r="E30" s="186">
        <v>4</v>
      </c>
      <c r="F30" s="182">
        <v>3300</v>
      </c>
      <c r="G30" s="187">
        <f t="shared" si="26"/>
        <v>825</v>
      </c>
      <c r="H30" s="554"/>
      <c r="I30" s="188">
        <f t="shared" si="13"/>
        <v>4</v>
      </c>
      <c r="J30" s="188">
        <f t="shared" si="13"/>
        <v>2965.9856921749124</v>
      </c>
      <c r="K30" s="189">
        <f t="shared" si="13"/>
        <v>741.4964230437281</v>
      </c>
      <c r="L30" s="555"/>
      <c r="M30" s="188">
        <f>RANK(K30, K$7:$K$39)</f>
        <v>13</v>
      </c>
      <c r="N30" s="553"/>
      <c r="O30" s="533"/>
      <c r="P30" s="190">
        <v>4</v>
      </c>
      <c r="Q30" s="190">
        <v>2964.4820295983063</v>
      </c>
      <c r="R30" s="187">
        <f t="shared" si="10"/>
        <v>741.12050739957658</v>
      </c>
      <c r="S30" s="184">
        <f t="shared" si="14"/>
        <v>13</v>
      </c>
      <c r="T30" s="551"/>
      <c r="U30" s="190">
        <v>4</v>
      </c>
      <c r="V30" s="190">
        <v>2965.7794676806134</v>
      </c>
      <c r="W30" s="187">
        <f t="shared" si="11"/>
        <v>741.44486692015334</v>
      </c>
      <c r="X30" s="184">
        <f t="shared" si="15"/>
        <v>13</v>
      </c>
      <c r="Y30" s="551"/>
      <c r="Z30" s="190">
        <v>4</v>
      </c>
      <c r="AA30" s="190">
        <v>2965.0393700787099</v>
      </c>
      <c r="AB30" s="187">
        <f t="shared" si="16"/>
        <v>741.25984251967748</v>
      </c>
      <c r="AC30" s="184">
        <f t="shared" si="17"/>
        <v>13</v>
      </c>
      <c r="AD30" s="551"/>
      <c r="AE30" s="190">
        <v>4</v>
      </c>
      <c r="AF30" s="190">
        <v>2966.0377358490405</v>
      </c>
      <c r="AG30" s="187">
        <f t="shared" si="18"/>
        <v>741.50943396226012</v>
      </c>
      <c r="AH30" s="184">
        <f t="shared" si="19"/>
        <v>13</v>
      </c>
      <c r="AI30" s="551"/>
      <c r="AJ30" s="190">
        <v>4</v>
      </c>
      <c r="AK30" s="190">
        <v>2967.3988439306436</v>
      </c>
      <c r="AL30" s="187">
        <f t="shared" si="20"/>
        <v>741.84971098266089</v>
      </c>
      <c r="AM30" s="184">
        <f t="shared" si="21"/>
        <v>12</v>
      </c>
      <c r="AN30" s="551"/>
      <c r="AO30" s="190">
        <v>4</v>
      </c>
      <c r="AP30" s="190">
        <v>2966.1721068249126</v>
      </c>
      <c r="AQ30" s="187">
        <f t="shared" si="22"/>
        <v>741.54302670622815</v>
      </c>
      <c r="AR30" s="184">
        <f t="shared" si="23"/>
        <v>13</v>
      </c>
      <c r="AS30" s="551"/>
      <c r="AT30" s="190">
        <v>4</v>
      </c>
      <c r="AU30" s="190">
        <v>2966.9902912621633</v>
      </c>
      <c r="AV30" s="187">
        <f t="shared" si="24"/>
        <v>741.74757281554082</v>
      </c>
      <c r="AW30" s="184">
        <f t="shared" si="25"/>
        <v>13</v>
      </c>
      <c r="AX30" s="551"/>
    </row>
    <row r="31" spans="2:50" ht="14.25" customHeight="1">
      <c r="B31" s="525"/>
      <c r="C31" s="182">
        <v>25</v>
      </c>
      <c r="D31" s="185" t="s">
        <v>473</v>
      </c>
      <c r="E31" s="186">
        <v>3</v>
      </c>
      <c r="F31" s="182">
        <v>3300</v>
      </c>
      <c r="G31" s="187">
        <f t="shared" si="26"/>
        <v>1100</v>
      </c>
      <c r="H31" s="554"/>
      <c r="I31" s="188">
        <f t="shared" si="13"/>
        <v>3</v>
      </c>
      <c r="J31" s="188">
        <f t="shared" si="13"/>
        <v>2967.6519330989481</v>
      </c>
      <c r="K31" s="189">
        <f t="shared" si="13"/>
        <v>989.21731103298282</v>
      </c>
      <c r="L31" s="555"/>
      <c r="M31" s="188">
        <f>RANK(K31, K$7:$K$39)</f>
        <v>7</v>
      </c>
      <c r="N31" s="553"/>
      <c r="O31" s="533"/>
      <c r="P31" s="190">
        <v>3</v>
      </c>
      <c r="Q31" s="190">
        <v>2965.1877133105859</v>
      </c>
      <c r="R31" s="187">
        <f t="shared" si="10"/>
        <v>988.395904436862</v>
      </c>
      <c r="S31" s="184">
        <f t="shared" si="14"/>
        <v>7</v>
      </c>
      <c r="T31" s="551"/>
      <c r="U31" s="190">
        <v>3</v>
      </c>
      <c r="V31" s="190">
        <v>2966.2650602409572</v>
      </c>
      <c r="W31" s="187">
        <f t="shared" si="11"/>
        <v>988.75502008031901</v>
      </c>
      <c r="X31" s="184">
        <f t="shared" si="15"/>
        <v>7</v>
      </c>
      <c r="Y31" s="551"/>
      <c r="Z31" s="190">
        <v>3</v>
      </c>
      <c r="AA31" s="190">
        <v>2966.9724770642133</v>
      </c>
      <c r="AB31" s="187">
        <f t="shared" si="16"/>
        <v>988.99082568807114</v>
      </c>
      <c r="AC31" s="184">
        <f t="shared" si="17"/>
        <v>7</v>
      </c>
      <c r="AD31" s="551"/>
      <c r="AE31" s="190">
        <v>3</v>
      </c>
      <c r="AF31" s="190">
        <v>2967.4922600619111</v>
      </c>
      <c r="AG31" s="187">
        <f t="shared" si="18"/>
        <v>989.16408668730367</v>
      </c>
      <c r="AH31" s="184">
        <f t="shared" si="19"/>
        <v>7</v>
      </c>
      <c r="AI31" s="551"/>
      <c r="AJ31" s="190">
        <v>3</v>
      </c>
      <c r="AK31" s="190">
        <v>2969.0721649484672</v>
      </c>
      <c r="AL31" s="187">
        <f t="shared" si="20"/>
        <v>989.69072164948909</v>
      </c>
      <c r="AM31" s="184">
        <f t="shared" si="21"/>
        <v>7</v>
      </c>
      <c r="AN31" s="551"/>
      <c r="AO31" s="190">
        <v>3</v>
      </c>
      <c r="AP31" s="190">
        <v>2969.1725256895497</v>
      </c>
      <c r="AQ31" s="187">
        <f t="shared" si="22"/>
        <v>989.72417522984995</v>
      </c>
      <c r="AR31" s="184">
        <f t="shared" si="23"/>
        <v>7</v>
      </c>
      <c r="AS31" s="551"/>
      <c r="AT31" s="190">
        <v>3</v>
      </c>
      <c r="AU31" s="190">
        <v>2969.4013303769548</v>
      </c>
      <c r="AV31" s="187">
        <f t="shared" si="24"/>
        <v>989.80044345898489</v>
      </c>
      <c r="AW31" s="184">
        <f t="shared" si="25"/>
        <v>7</v>
      </c>
      <c r="AX31" s="551"/>
    </row>
    <row r="32" spans="2:50" ht="14.25" customHeight="1">
      <c r="B32" s="525"/>
      <c r="C32" s="182">
        <v>26</v>
      </c>
      <c r="D32" s="185" t="s">
        <v>484</v>
      </c>
      <c r="E32" s="186">
        <v>4</v>
      </c>
      <c r="F32" s="182">
        <v>3000</v>
      </c>
      <c r="G32" s="187">
        <f t="shared" si="26"/>
        <v>750</v>
      </c>
      <c r="H32" s="554"/>
      <c r="I32" s="188">
        <f t="shared" si="13"/>
        <v>4</v>
      </c>
      <c r="J32" s="188">
        <f t="shared" si="13"/>
        <v>2674.0351726798567</v>
      </c>
      <c r="K32" s="189">
        <f t="shared" si="13"/>
        <v>668.50879316996418</v>
      </c>
      <c r="L32" s="555"/>
      <c r="M32" s="188">
        <f>RANK(K32, K$7:$K$39)</f>
        <v>23</v>
      </c>
      <c r="N32" s="553"/>
      <c r="O32" s="533"/>
      <c r="P32" s="190">
        <v>4</v>
      </c>
      <c r="Q32" s="190">
        <v>2673.8690074274145</v>
      </c>
      <c r="R32" s="187">
        <f t="shared" si="10"/>
        <v>668.46725185685364</v>
      </c>
      <c r="S32" s="184">
        <f t="shared" si="14"/>
        <v>23</v>
      </c>
      <c r="T32" s="551"/>
      <c r="U32" s="190">
        <v>4</v>
      </c>
      <c r="V32" s="190">
        <v>2673.7660318694207</v>
      </c>
      <c r="W32" s="187">
        <f t="shared" si="11"/>
        <v>668.44150796735516</v>
      </c>
      <c r="X32" s="184">
        <f t="shared" si="15"/>
        <v>23</v>
      </c>
      <c r="Y32" s="551"/>
      <c r="Z32" s="190">
        <v>4</v>
      </c>
      <c r="AA32" s="190">
        <v>2674.4206383909172</v>
      </c>
      <c r="AB32" s="187">
        <f t="shared" si="16"/>
        <v>668.60515959772931</v>
      </c>
      <c r="AC32" s="184">
        <f t="shared" si="17"/>
        <v>23</v>
      </c>
      <c r="AD32" s="551"/>
      <c r="AE32" s="190">
        <v>4</v>
      </c>
      <c r="AF32" s="190">
        <v>2673.9188586714349</v>
      </c>
      <c r="AG32" s="187">
        <f t="shared" si="18"/>
        <v>668.47971466785873</v>
      </c>
      <c r="AH32" s="184">
        <f t="shared" si="19"/>
        <v>23</v>
      </c>
      <c r="AI32" s="551"/>
      <c r="AJ32" s="190">
        <v>4</v>
      </c>
      <c r="AK32" s="190">
        <v>2674.3238236383913</v>
      </c>
      <c r="AL32" s="187">
        <f t="shared" si="20"/>
        <v>668.58095590959783</v>
      </c>
      <c r="AM32" s="184">
        <f t="shared" si="21"/>
        <v>23</v>
      </c>
      <c r="AN32" s="551"/>
      <c r="AO32" s="190">
        <v>4</v>
      </c>
      <c r="AP32" s="190">
        <v>2674.1851368970069</v>
      </c>
      <c r="AQ32" s="187">
        <f t="shared" si="22"/>
        <v>668.54628422425174</v>
      </c>
      <c r="AR32" s="184">
        <f t="shared" si="23"/>
        <v>23</v>
      </c>
      <c r="AS32" s="551"/>
      <c r="AT32" s="190">
        <v>4</v>
      </c>
      <c r="AU32" s="190">
        <v>2673.7627118644091</v>
      </c>
      <c r="AV32" s="187">
        <f t="shared" si="24"/>
        <v>668.44067796610227</v>
      </c>
      <c r="AW32" s="184">
        <f t="shared" si="25"/>
        <v>23</v>
      </c>
      <c r="AX32" s="551"/>
    </row>
    <row r="33" spans="1:50" ht="14.25" customHeight="1">
      <c r="B33" s="525"/>
      <c r="C33" s="182">
        <v>27</v>
      </c>
      <c r="D33" s="185" t="s">
        <v>509</v>
      </c>
      <c r="E33" s="186">
        <v>5</v>
      </c>
      <c r="F33" s="182">
        <v>3000</v>
      </c>
      <c r="G33" s="187">
        <f t="shared" si="26"/>
        <v>600</v>
      </c>
      <c r="H33" s="554"/>
      <c r="I33" s="188">
        <f t="shared" si="13"/>
        <v>5</v>
      </c>
      <c r="J33" s="188">
        <f t="shared" si="13"/>
        <v>2672.8639634656934</v>
      </c>
      <c r="K33" s="189">
        <f t="shared" si="13"/>
        <v>534.57279269313858</v>
      </c>
      <c r="L33" s="555"/>
      <c r="M33" s="188">
        <f>RANK(K33, K$7:$K$39)</f>
        <v>28</v>
      </c>
      <c r="N33" s="553"/>
      <c r="O33" s="533"/>
      <c r="P33" s="190">
        <v>5</v>
      </c>
      <c r="Q33" s="190">
        <v>2672.0229555236842</v>
      </c>
      <c r="R33" s="187">
        <f t="shared" si="10"/>
        <v>534.40459110473682</v>
      </c>
      <c r="S33" s="184">
        <f t="shared" si="14"/>
        <v>27</v>
      </c>
      <c r="T33" s="551"/>
      <c r="U33" s="190">
        <v>5</v>
      </c>
      <c r="V33" s="190">
        <v>2672.5704427832134</v>
      </c>
      <c r="W33" s="187">
        <f t="shared" si="11"/>
        <v>534.51408855664272</v>
      </c>
      <c r="X33" s="184">
        <f t="shared" si="15"/>
        <v>27</v>
      </c>
      <c r="Y33" s="551"/>
      <c r="Z33" s="190">
        <v>5</v>
      </c>
      <c r="AA33" s="190">
        <v>2672.6552179656537</v>
      </c>
      <c r="AB33" s="187">
        <f t="shared" si="16"/>
        <v>534.53104359313079</v>
      </c>
      <c r="AC33" s="184">
        <f t="shared" si="17"/>
        <v>27</v>
      </c>
      <c r="AD33" s="551"/>
      <c r="AE33" s="190">
        <v>5</v>
      </c>
      <c r="AF33" s="190">
        <v>2672.6519337016589</v>
      </c>
      <c r="AG33" s="187">
        <f t="shared" si="18"/>
        <v>534.53038674033178</v>
      </c>
      <c r="AH33" s="184">
        <f t="shared" si="19"/>
        <v>27</v>
      </c>
      <c r="AI33" s="551"/>
      <c r="AJ33" s="190">
        <v>5</v>
      </c>
      <c r="AK33" s="190">
        <v>2673.0192719486113</v>
      </c>
      <c r="AL33" s="187">
        <f t="shared" si="20"/>
        <v>534.6038543897223</v>
      </c>
      <c r="AM33" s="184">
        <f t="shared" si="21"/>
        <v>27</v>
      </c>
      <c r="AN33" s="551"/>
      <c r="AO33" s="190">
        <v>5</v>
      </c>
      <c r="AP33" s="190">
        <v>2673.6646539712101</v>
      </c>
      <c r="AQ33" s="187">
        <f t="shared" si="22"/>
        <v>534.73293079424207</v>
      </c>
      <c r="AR33" s="184">
        <f t="shared" si="23"/>
        <v>27</v>
      </c>
      <c r="AS33" s="551"/>
      <c r="AT33" s="190">
        <v>5</v>
      </c>
      <c r="AU33" s="190">
        <v>2673.4632683658224</v>
      </c>
      <c r="AV33" s="187">
        <f t="shared" si="24"/>
        <v>534.6926536731645</v>
      </c>
      <c r="AW33" s="184">
        <f t="shared" si="25"/>
        <v>28</v>
      </c>
      <c r="AX33" s="551"/>
    </row>
    <row r="34" spans="1:50" ht="14.25" customHeight="1">
      <c r="B34" s="525"/>
      <c r="C34" s="182">
        <v>28</v>
      </c>
      <c r="D34" s="185" t="s">
        <v>350</v>
      </c>
      <c r="E34" s="186">
        <v>3</v>
      </c>
      <c r="F34" s="182">
        <v>3000</v>
      </c>
      <c r="G34" s="187">
        <f t="shared" si="26"/>
        <v>1000</v>
      </c>
      <c r="H34" s="554"/>
      <c r="I34" s="188">
        <f t="shared" si="13"/>
        <v>3</v>
      </c>
      <c r="J34" s="188">
        <f t="shared" si="13"/>
        <v>2693.5179146935952</v>
      </c>
      <c r="K34" s="189">
        <f t="shared" si="13"/>
        <v>897.83930489786519</v>
      </c>
      <c r="L34" s="555"/>
      <c r="M34" s="188">
        <f>RANK(K34, K$7:$K$39)</f>
        <v>9</v>
      </c>
      <c r="N34" s="553"/>
      <c r="O34" s="533"/>
      <c r="P34" s="190">
        <v>3</v>
      </c>
      <c r="Q34" s="190">
        <v>2693.1651601440308</v>
      </c>
      <c r="R34" s="187">
        <f t="shared" si="10"/>
        <v>897.7217200480103</v>
      </c>
      <c r="S34" s="184">
        <f t="shared" si="14"/>
        <v>9</v>
      </c>
      <c r="T34" s="551"/>
      <c r="U34" s="190">
        <v>3</v>
      </c>
      <c r="V34" s="190">
        <v>2693.3113577807871</v>
      </c>
      <c r="W34" s="187">
        <f t="shared" si="11"/>
        <v>897.77045259359568</v>
      </c>
      <c r="X34" s="184">
        <f t="shared" si="15"/>
        <v>9</v>
      </c>
      <c r="Y34" s="551"/>
      <c r="Z34" s="190">
        <v>3</v>
      </c>
      <c r="AA34" s="190">
        <v>2693.3107094185721</v>
      </c>
      <c r="AB34" s="187">
        <f t="shared" si="16"/>
        <v>897.77023647285739</v>
      </c>
      <c r="AC34" s="184">
        <f t="shared" si="17"/>
        <v>9</v>
      </c>
      <c r="AD34" s="551"/>
      <c r="AE34" s="190">
        <v>3</v>
      </c>
      <c r="AF34" s="190">
        <v>2693.708649503737</v>
      </c>
      <c r="AG34" s="187">
        <f t="shared" si="18"/>
        <v>897.90288316791236</v>
      </c>
      <c r="AH34" s="184">
        <f t="shared" si="19"/>
        <v>9</v>
      </c>
      <c r="AI34" s="551"/>
      <c r="AJ34" s="190">
        <v>3</v>
      </c>
      <c r="AK34" s="190">
        <v>2693.5611549885762</v>
      </c>
      <c r="AL34" s="187">
        <f t="shared" si="20"/>
        <v>897.85371832952535</v>
      </c>
      <c r="AM34" s="184">
        <f t="shared" si="21"/>
        <v>9</v>
      </c>
      <c r="AN34" s="551"/>
      <c r="AO34" s="190">
        <v>3</v>
      </c>
      <c r="AP34" s="190">
        <v>2693.6994391024846</v>
      </c>
      <c r="AQ34" s="187">
        <f t="shared" si="22"/>
        <v>897.89981303416153</v>
      </c>
      <c r="AR34" s="184">
        <f t="shared" si="23"/>
        <v>9</v>
      </c>
      <c r="AS34" s="551"/>
      <c r="AT34" s="190">
        <v>3</v>
      </c>
      <c r="AU34" s="190">
        <v>2693.8689319169798</v>
      </c>
      <c r="AV34" s="187">
        <f t="shared" si="24"/>
        <v>897.95631063899327</v>
      </c>
      <c r="AW34" s="184">
        <f t="shared" si="25"/>
        <v>9</v>
      </c>
      <c r="AX34" s="551"/>
    </row>
    <row r="35" spans="1:50" ht="14.25" customHeight="1">
      <c r="B35" s="525"/>
      <c r="C35" s="182">
        <v>29</v>
      </c>
      <c r="D35" s="185" t="s">
        <v>479</v>
      </c>
      <c r="E35" s="186">
        <v>12</v>
      </c>
      <c r="F35" s="182">
        <v>3600</v>
      </c>
      <c r="G35" s="187">
        <f t="shared" si="26"/>
        <v>300</v>
      </c>
      <c r="H35" s="554"/>
      <c r="I35" s="188">
        <f t="shared" si="13"/>
        <v>12</v>
      </c>
      <c r="J35" s="188">
        <f t="shared" si="13"/>
        <v>3124.7330231823698</v>
      </c>
      <c r="K35" s="189">
        <f t="shared" si="13"/>
        <v>260.39441859853076</v>
      </c>
      <c r="L35" s="555"/>
      <c r="M35" s="188">
        <f>RANK(K35, K$7:$K$39)</f>
        <v>30</v>
      </c>
      <c r="N35" s="553"/>
      <c r="O35" s="533"/>
      <c r="P35" s="190">
        <v>12</v>
      </c>
      <c r="Q35" s="190">
        <v>3126.0559517279203</v>
      </c>
      <c r="R35" s="187">
        <f t="shared" si="10"/>
        <v>260.50466264399336</v>
      </c>
      <c r="S35" s="184">
        <f t="shared" si="14"/>
        <v>28</v>
      </c>
      <c r="T35" s="551"/>
      <c r="U35" s="190">
        <v>12</v>
      </c>
      <c r="V35" s="190">
        <v>3125.2747252747308</v>
      </c>
      <c r="W35" s="187">
        <f t="shared" si="11"/>
        <v>260.43956043956092</v>
      </c>
      <c r="X35" s="184">
        <f t="shared" si="15"/>
        <v>29</v>
      </c>
      <c r="Y35" s="551"/>
      <c r="Z35" s="190">
        <v>12</v>
      </c>
      <c r="AA35" s="190">
        <v>3124.576271186439</v>
      </c>
      <c r="AB35" s="187">
        <f t="shared" si="16"/>
        <v>260.38135593220323</v>
      </c>
      <c r="AC35" s="184">
        <f t="shared" si="17"/>
        <v>29</v>
      </c>
      <c r="AD35" s="551"/>
      <c r="AE35" s="190">
        <v>12</v>
      </c>
      <c r="AF35" s="190">
        <v>3123.7958303378864</v>
      </c>
      <c r="AG35" s="187">
        <f t="shared" si="18"/>
        <v>260.31631919482385</v>
      </c>
      <c r="AH35" s="184">
        <f t="shared" si="19"/>
        <v>29</v>
      </c>
      <c r="AI35" s="551"/>
      <c r="AJ35" s="190">
        <v>12</v>
      </c>
      <c r="AK35" s="190">
        <v>3124.3243243243219</v>
      </c>
      <c r="AL35" s="187">
        <f t="shared" si="20"/>
        <v>260.36036036036018</v>
      </c>
      <c r="AM35" s="184">
        <f t="shared" si="21"/>
        <v>29</v>
      </c>
      <c r="AN35" s="551"/>
      <c r="AO35" s="190">
        <v>12</v>
      </c>
      <c r="AP35" s="190">
        <v>3124.2718446601907</v>
      </c>
      <c r="AQ35" s="187">
        <f t="shared" si="22"/>
        <v>260.35598705501587</v>
      </c>
      <c r="AR35" s="184">
        <f t="shared" si="23"/>
        <v>29</v>
      </c>
      <c r="AS35" s="551"/>
      <c r="AT35" s="190">
        <v>12</v>
      </c>
      <c r="AU35" s="190">
        <v>3124.8322147650983</v>
      </c>
      <c r="AV35" s="187">
        <f t="shared" si="24"/>
        <v>260.40268456375821</v>
      </c>
      <c r="AW35" s="184">
        <f t="shared" si="25"/>
        <v>30</v>
      </c>
      <c r="AX35" s="551"/>
    </row>
    <row r="36" spans="1:50" ht="14.25" customHeight="1">
      <c r="B36" s="525"/>
      <c r="C36" s="182">
        <v>30</v>
      </c>
      <c r="D36" s="185" t="s">
        <v>610</v>
      </c>
      <c r="E36" s="186">
        <v>4</v>
      </c>
      <c r="F36" s="182">
        <v>3000</v>
      </c>
      <c r="G36" s="187">
        <f t="shared" si="26"/>
        <v>750</v>
      </c>
      <c r="H36" s="554"/>
      <c r="I36" s="188">
        <f t="shared" si="13"/>
        <v>4</v>
      </c>
      <c r="J36" s="188">
        <f t="shared" si="13"/>
        <v>2434.9631214824349</v>
      </c>
      <c r="K36" s="189">
        <f t="shared" si="13"/>
        <v>608.74078037060872</v>
      </c>
      <c r="L36" s="555"/>
      <c r="M36" s="188">
        <f>RANK(K36, K$7:$K$39)</f>
        <v>24</v>
      </c>
      <c r="N36" s="553"/>
      <c r="O36" s="533"/>
      <c r="P36" s="190"/>
      <c r="Q36" s="190"/>
      <c r="R36" s="187"/>
      <c r="S36" s="184"/>
      <c r="T36" s="551"/>
      <c r="U36" s="190"/>
      <c r="V36" s="190"/>
      <c r="W36" s="187"/>
      <c r="X36" s="184"/>
      <c r="Y36" s="551"/>
      <c r="Z36" s="190"/>
      <c r="AA36" s="190"/>
      <c r="AB36" s="187"/>
      <c r="AC36" s="184"/>
      <c r="AD36" s="551"/>
      <c r="AE36" s="190"/>
      <c r="AF36" s="190"/>
      <c r="AG36" s="187"/>
      <c r="AH36" s="184"/>
      <c r="AI36" s="551"/>
      <c r="AJ36" s="190"/>
      <c r="AK36" s="190"/>
      <c r="AL36" s="187"/>
      <c r="AM36" s="184"/>
      <c r="AN36" s="551"/>
      <c r="AO36" s="190"/>
      <c r="AP36" s="190"/>
      <c r="AQ36" s="187"/>
      <c r="AR36" s="184"/>
      <c r="AS36" s="551"/>
      <c r="AT36" s="190">
        <v>4</v>
      </c>
      <c r="AU36" s="190">
        <v>2434.9631214824349</v>
      </c>
      <c r="AV36" s="187">
        <f t="shared" si="24"/>
        <v>608.74078037060872</v>
      </c>
      <c r="AW36" s="184">
        <f t="shared" si="25"/>
        <v>24</v>
      </c>
      <c r="AX36" s="551"/>
    </row>
    <row r="37" spans="1:50" ht="14.25" customHeight="1">
      <c r="B37" s="525"/>
      <c r="C37" s="182">
        <v>31</v>
      </c>
      <c r="D37" s="185"/>
      <c r="E37" s="182"/>
      <c r="F37" s="182"/>
      <c r="G37" s="187"/>
      <c r="H37" s="554"/>
      <c r="I37" s="188"/>
      <c r="J37" s="188"/>
      <c r="K37" s="189"/>
      <c r="L37" s="555"/>
      <c r="M37" s="188"/>
      <c r="N37" s="553"/>
      <c r="O37" s="533"/>
      <c r="P37" s="190"/>
      <c r="Q37" s="190"/>
      <c r="R37" s="187"/>
      <c r="S37" s="184"/>
      <c r="T37" s="551"/>
      <c r="U37" s="190"/>
      <c r="V37" s="190"/>
      <c r="W37" s="187"/>
      <c r="X37" s="184"/>
      <c r="Y37" s="551"/>
      <c r="Z37" s="190"/>
      <c r="AA37" s="190"/>
      <c r="AB37" s="187"/>
      <c r="AC37" s="184"/>
      <c r="AD37" s="551"/>
      <c r="AE37" s="190"/>
      <c r="AF37" s="190"/>
      <c r="AG37" s="187"/>
      <c r="AH37" s="184"/>
      <c r="AI37" s="551"/>
      <c r="AJ37" s="190"/>
      <c r="AK37" s="190"/>
      <c r="AL37" s="187"/>
      <c r="AM37" s="184"/>
      <c r="AN37" s="551"/>
      <c r="AO37" s="190"/>
      <c r="AP37" s="190"/>
      <c r="AQ37" s="187"/>
      <c r="AR37" s="184"/>
      <c r="AS37" s="551"/>
      <c r="AT37" s="190"/>
      <c r="AU37" s="190"/>
      <c r="AV37" s="187"/>
      <c r="AW37" s="184"/>
      <c r="AX37" s="551"/>
    </row>
    <row r="38" spans="1:50" ht="14.25" customHeight="1">
      <c r="B38" s="525"/>
      <c r="C38" s="182">
        <v>32</v>
      </c>
      <c r="D38" s="185"/>
      <c r="E38" s="182"/>
      <c r="F38" s="182"/>
      <c r="G38" s="187"/>
      <c r="H38" s="554"/>
      <c r="I38" s="188"/>
      <c r="J38" s="188"/>
      <c r="K38" s="189"/>
      <c r="L38" s="555"/>
      <c r="M38" s="188"/>
      <c r="N38" s="553"/>
      <c r="O38" s="533"/>
      <c r="P38" s="190"/>
      <c r="Q38" s="190"/>
      <c r="R38" s="187"/>
      <c r="S38" s="184"/>
      <c r="T38" s="551"/>
      <c r="U38" s="190"/>
      <c r="V38" s="190"/>
      <c r="W38" s="187"/>
      <c r="X38" s="184"/>
      <c r="Y38" s="551"/>
      <c r="Z38" s="190"/>
      <c r="AA38" s="190"/>
      <c r="AB38" s="187"/>
      <c r="AC38" s="184"/>
      <c r="AD38" s="551"/>
      <c r="AE38" s="190"/>
      <c r="AF38" s="190"/>
      <c r="AG38" s="187"/>
      <c r="AH38" s="184"/>
      <c r="AI38" s="551"/>
      <c r="AJ38" s="190"/>
      <c r="AK38" s="190"/>
      <c r="AL38" s="187"/>
      <c r="AM38" s="184"/>
      <c r="AN38" s="551"/>
      <c r="AO38" s="190"/>
      <c r="AP38" s="190"/>
      <c r="AQ38" s="187"/>
      <c r="AR38" s="184"/>
      <c r="AS38" s="551"/>
      <c r="AT38" s="190"/>
      <c r="AU38" s="190"/>
      <c r="AV38" s="187"/>
      <c r="AW38" s="184"/>
      <c r="AX38" s="551"/>
    </row>
    <row r="39" spans="1:50" ht="14.25" customHeight="1">
      <c r="B39" s="525"/>
      <c r="C39" s="182">
        <v>33</v>
      </c>
      <c r="D39" s="185"/>
      <c r="E39" s="182"/>
      <c r="F39" s="182"/>
      <c r="G39" s="187"/>
      <c r="H39" s="554"/>
      <c r="I39" s="188"/>
      <c r="J39" s="188"/>
      <c r="K39" s="189"/>
      <c r="L39" s="555"/>
      <c r="M39" s="188"/>
      <c r="N39" s="553"/>
      <c r="O39" s="533"/>
      <c r="P39" s="190"/>
      <c r="Q39" s="190"/>
      <c r="R39" s="187"/>
      <c r="S39" s="184"/>
      <c r="T39" s="551"/>
      <c r="U39" s="190"/>
      <c r="V39" s="190"/>
      <c r="W39" s="187"/>
      <c r="X39" s="184"/>
      <c r="Y39" s="551"/>
      <c r="Z39" s="190"/>
      <c r="AA39" s="190"/>
      <c r="AB39" s="187"/>
      <c r="AC39" s="184"/>
      <c r="AD39" s="551"/>
      <c r="AE39" s="190"/>
      <c r="AF39" s="190"/>
      <c r="AG39" s="187"/>
      <c r="AH39" s="184"/>
      <c r="AI39" s="551"/>
      <c r="AJ39" s="190"/>
      <c r="AK39" s="190"/>
      <c r="AL39" s="187"/>
      <c r="AM39" s="184"/>
      <c r="AN39" s="551"/>
      <c r="AO39" s="190"/>
      <c r="AP39" s="190"/>
      <c r="AQ39" s="187"/>
      <c r="AR39" s="184"/>
      <c r="AS39" s="551"/>
      <c r="AT39" s="190"/>
      <c r="AU39" s="190"/>
      <c r="AV39" s="187"/>
      <c r="AW39" s="184"/>
      <c r="AX39" s="551"/>
    </row>
    <row r="40" spans="1:50" ht="14.25" customHeight="1">
      <c r="B40" s="552" t="s">
        <v>645</v>
      </c>
      <c r="C40" s="535"/>
      <c r="D40" s="535"/>
      <c r="E40" s="535"/>
      <c r="F40" s="535"/>
      <c r="G40" s="535"/>
      <c r="H40" s="535"/>
      <c r="I40" s="535"/>
      <c r="J40" s="535"/>
      <c r="K40" s="535"/>
      <c r="L40" s="535"/>
      <c r="M40" s="536"/>
      <c r="N40" s="539" t="s">
        <v>378</v>
      </c>
      <c r="O40" s="539" t="s">
        <v>105</v>
      </c>
      <c r="P40" s="541">
        <v>46084</v>
      </c>
      <c r="Q40" s="542"/>
      <c r="R40" s="542"/>
      <c r="S40" s="542"/>
      <c r="T40" s="542"/>
      <c r="U40" s="545">
        <v>46085</v>
      </c>
      <c r="V40" s="546"/>
      <c r="W40" s="546"/>
      <c r="X40" s="546"/>
      <c r="Y40" s="546"/>
      <c r="Z40" s="541">
        <v>46086</v>
      </c>
      <c r="AA40" s="542"/>
      <c r="AB40" s="542"/>
      <c r="AC40" s="542"/>
      <c r="AD40" s="542"/>
      <c r="AE40" s="545">
        <v>46087</v>
      </c>
      <c r="AF40" s="546"/>
      <c r="AG40" s="546"/>
      <c r="AH40" s="546"/>
      <c r="AI40" s="546"/>
      <c r="AJ40" s="547">
        <v>46088</v>
      </c>
      <c r="AK40" s="548"/>
      <c r="AL40" s="548"/>
      <c r="AM40" s="548"/>
      <c r="AN40" s="549"/>
      <c r="AO40" s="545">
        <v>46089</v>
      </c>
      <c r="AP40" s="546"/>
      <c r="AQ40" s="546"/>
      <c r="AR40" s="546"/>
      <c r="AS40" s="546"/>
      <c r="AT40" s="547">
        <v>46090</v>
      </c>
      <c r="AU40" s="548"/>
      <c r="AV40" s="548"/>
      <c r="AW40" s="548"/>
      <c r="AX40" s="549"/>
    </row>
    <row r="41" spans="1:50" ht="14.25" customHeight="1">
      <c r="B41" s="537"/>
      <c r="C41" s="537"/>
      <c r="D41" s="537"/>
      <c r="E41" s="537"/>
      <c r="F41" s="537"/>
      <c r="G41" s="537"/>
      <c r="H41" s="537"/>
      <c r="I41" s="537"/>
      <c r="J41" s="537"/>
      <c r="K41" s="537"/>
      <c r="L41" s="537"/>
      <c r="M41" s="538"/>
      <c r="N41" s="540"/>
      <c r="O41" s="540"/>
      <c r="P41" s="543">
        <v>46084</v>
      </c>
      <c r="Q41" s="543"/>
      <c r="R41" s="543"/>
      <c r="S41" s="543"/>
      <c r="T41" s="543"/>
      <c r="U41" s="550">
        <v>46085</v>
      </c>
      <c r="V41" s="550"/>
      <c r="W41" s="550"/>
      <c r="X41" s="550"/>
      <c r="Y41" s="550"/>
      <c r="Z41" s="543">
        <v>46086</v>
      </c>
      <c r="AA41" s="543"/>
      <c r="AB41" s="543"/>
      <c r="AC41" s="543"/>
      <c r="AD41" s="543"/>
      <c r="AE41" s="550">
        <v>46087</v>
      </c>
      <c r="AF41" s="550"/>
      <c r="AG41" s="550"/>
      <c r="AH41" s="550"/>
      <c r="AI41" s="550"/>
      <c r="AJ41" s="530">
        <v>46088</v>
      </c>
      <c r="AK41" s="531"/>
      <c r="AL41" s="531"/>
      <c r="AM41" s="531"/>
      <c r="AN41" s="532"/>
      <c r="AO41" s="550">
        <v>46089</v>
      </c>
      <c r="AP41" s="550"/>
      <c r="AQ41" s="550"/>
      <c r="AR41" s="550"/>
      <c r="AS41" s="550"/>
      <c r="AT41" s="530">
        <v>46090</v>
      </c>
      <c r="AU41" s="531"/>
      <c r="AV41" s="531"/>
      <c r="AW41" s="531"/>
      <c r="AX41" s="532"/>
    </row>
    <row r="42" spans="1:50" ht="14.25" customHeight="1">
      <c r="B42" s="525" t="s">
        <v>164</v>
      </c>
      <c r="C42" s="525" t="s">
        <v>159</v>
      </c>
      <c r="D42" s="525"/>
      <c r="E42" s="525" t="s">
        <v>160</v>
      </c>
      <c r="F42" s="525"/>
      <c r="G42" s="525"/>
      <c r="H42" s="525" t="s">
        <v>165</v>
      </c>
      <c r="I42" s="544" t="s">
        <v>379</v>
      </c>
      <c r="J42" s="544"/>
      <c r="K42" s="544"/>
      <c r="L42" s="544" t="s">
        <v>165</v>
      </c>
      <c r="M42" s="544" t="s">
        <v>167</v>
      </c>
      <c r="N42" s="553"/>
      <c r="O42" s="533" t="s">
        <v>166</v>
      </c>
      <c r="P42" s="533" t="s">
        <v>162</v>
      </c>
      <c r="Q42" s="533"/>
      <c r="R42" s="533"/>
      <c r="S42" s="533"/>
      <c r="T42" s="533" t="s">
        <v>165</v>
      </c>
      <c r="U42" s="533" t="s">
        <v>162</v>
      </c>
      <c r="V42" s="533"/>
      <c r="W42" s="533"/>
      <c r="X42" s="533"/>
      <c r="Y42" s="533" t="s">
        <v>165</v>
      </c>
      <c r="Z42" s="533" t="s">
        <v>162</v>
      </c>
      <c r="AA42" s="533"/>
      <c r="AB42" s="533"/>
      <c r="AC42" s="533"/>
      <c r="AD42" s="533" t="s">
        <v>165</v>
      </c>
      <c r="AE42" s="533" t="s">
        <v>162</v>
      </c>
      <c r="AF42" s="533"/>
      <c r="AG42" s="533"/>
      <c r="AH42" s="533"/>
      <c r="AI42" s="533" t="s">
        <v>165</v>
      </c>
      <c r="AJ42" s="533" t="s">
        <v>162</v>
      </c>
      <c r="AK42" s="533"/>
      <c r="AL42" s="533"/>
      <c r="AM42" s="533"/>
      <c r="AN42" s="533" t="s">
        <v>165</v>
      </c>
      <c r="AO42" s="533" t="s">
        <v>162</v>
      </c>
      <c r="AP42" s="533"/>
      <c r="AQ42" s="533"/>
      <c r="AR42" s="533"/>
      <c r="AS42" s="533" t="s">
        <v>165</v>
      </c>
      <c r="AT42" s="533" t="s">
        <v>162</v>
      </c>
      <c r="AU42" s="533"/>
      <c r="AV42" s="533"/>
      <c r="AW42" s="533"/>
      <c r="AX42" s="533" t="s">
        <v>165</v>
      </c>
    </row>
    <row r="43" spans="1:50" ht="14.25" customHeight="1">
      <c r="B43" s="525"/>
      <c r="C43" s="525"/>
      <c r="D43" s="525"/>
      <c r="E43" s="525" t="s">
        <v>380</v>
      </c>
      <c r="F43" s="525"/>
      <c r="G43" s="525"/>
      <c r="H43" s="525"/>
      <c r="I43" s="544" t="s">
        <v>380</v>
      </c>
      <c r="J43" s="544"/>
      <c r="K43" s="544"/>
      <c r="L43" s="544"/>
      <c r="M43" s="544"/>
      <c r="N43" s="553"/>
      <c r="O43" s="533"/>
      <c r="P43" s="533" t="s">
        <v>381</v>
      </c>
      <c r="Q43" s="533"/>
      <c r="R43" s="533"/>
      <c r="S43" s="533"/>
      <c r="T43" s="533"/>
      <c r="U43" s="533" t="s">
        <v>381</v>
      </c>
      <c r="V43" s="533"/>
      <c r="W43" s="533"/>
      <c r="X43" s="533"/>
      <c r="Y43" s="533"/>
      <c r="Z43" s="533" t="s">
        <v>381</v>
      </c>
      <c r="AA43" s="533"/>
      <c r="AB43" s="533"/>
      <c r="AC43" s="533"/>
      <c r="AD43" s="533"/>
      <c r="AE43" s="533" t="s">
        <v>381</v>
      </c>
      <c r="AF43" s="533"/>
      <c r="AG43" s="533"/>
      <c r="AH43" s="533"/>
      <c r="AI43" s="533"/>
      <c r="AJ43" s="533" t="s">
        <v>381</v>
      </c>
      <c r="AK43" s="533"/>
      <c r="AL43" s="533"/>
      <c r="AM43" s="533"/>
      <c r="AN43" s="533"/>
      <c r="AO43" s="533" t="s">
        <v>381</v>
      </c>
      <c r="AP43" s="533"/>
      <c r="AQ43" s="533"/>
      <c r="AR43" s="533"/>
      <c r="AS43" s="533"/>
      <c r="AT43" s="533" t="s">
        <v>381</v>
      </c>
      <c r="AU43" s="533"/>
      <c r="AV43" s="533"/>
      <c r="AW43" s="533"/>
      <c r="AX43" s="533"/>
    </row>
    <row r="44" spans="1:50" ht="14.25" customHeight="1">
      <c r="A44" s="179"/>
      <c r="B44" s="525"/>
      <c r="C44" s="525"/>
      <c r="D44" s="525"/>
      <c r="E44" s="182" t="s">
        <v>161</v>
      </c>
      <c r="F44" s="182" t="s">
        <v>382</v>
      </c>
      <c r="G44" s="182" t="s">
        <v>163</v>
      </c>
      <c r="H44" s="525"/>
      <c r="I44" s="183" t="s">
        <v>161</v>
      </c>
      <c r="J44" s="183" t="s">
        <v>382</v>
      </c>
      <c r="K44" s="183" t="s">
        <v>163</v>
      </c>
      <c r="L44" s="544"/>
      <c r="M44" s="544"/>
      <c r="N44" s="553"/>
      <c r="O44" s="533"/>
      <c r="P44" s="184" t="s">
        <v>161</v>
      </c>
      <c r="Q44" s="184" t="s">
        <v>382</v>
      </c>
      <c r="R44" s="184" t="s">
        <v>163</v>
      </c>
      <c r="S44" s="184" t="s">
        <v>167</v>
      </c>
      <c r="T44" s="533"/>
      <c r="U44" s="184" t="s">
        <v>161</v>
      </c>
      <c r="V44" s="184" t="s">
        <v>382</v>
      </c>
      <c r="W44" s="184" t="s">
        <v>163</v>
      </c>
      <c r="X44" s="184" t="s">
        <v>167</v>
      </c>
      <c r="Y44" s="533"/>
      <c r="Z44" s="184" t="s">
        <v>161</v>
      </c>
      <c r="AA44" s="184" t="s">
        <v>382</v>
      </c>
      <c r="AB44" s="184" t="s">
        <v>163</v>
      </c>
      <c r="AC44" s="184" t="s">
        <v>167</v>
      </c>
      <c r="AD44" s="533"/>
      <c r="AE44" s="184" t="s">
        <v>161</v>
      </c>
      <c r="AF44" s="184" t="s">
        <v>382</v>
      </c>
      <c r="AG44" s="184" t="s">
        <v>163</v>
      </c>
      <c r="AH44" s="184" t="s">
        <v>167</v>
      </c>
      <c r="AI44" s="533"/>
      <c r="AJ44" s="184" t="s">
        <v>161</v>
      </c>
      <c r="AK44" s="184" t="s">
        <v>382</v>
      </c>
      <c r="AL44" s="184" t="s">
        <v>163</v>
      </c>
      <c r="AM44" s="184" t="s">
        <v>167</v>
      </c>
      <c r="AN44" s="533"/>
      <c r="AO44" s="184" t="s">
        <v>161</v>
      </c>
      <c r="AP44" s="184" t="s">
        <v>382</v>
      </c>
      <c r="AQ44" s="184" t="s">
        <v>163</v>
      </c>
      <c r="AR44" s="184" t="s">
        <v>167</v>
      </c>
      <c r="AS44" s="533"/>
      <c r="AT44" s="184" t="s">
        <v>161</v>
      </c>
      <c r="AU44" s="184" t="s">
        <v>382</v>
      </c>
      <c r="AV44" s="184" t="s">
        <v>163</v>
      </c>
      <c r="AW44" s="184" t="s">
        <v>167</v>
      </c>
      <c r="AX44" s="533"/>
    </row>
    <row r="45" spans="1:50" ht="14.25" customHeight="1">
      <c r="B45" s="525" t="s">
        <v>383</v>
      </c>
      <c r="C45" s="182">
        <v>1</v>
      </c>
      <c r="D45" s="185" t="s">
        <v>408</v>
      </c>
      <c r="E45" s="186">
        <v>4</v>
      </c>
      <c r="F45" s="182">
        <v>3600</v>
      </c>
      <c r="G45" s="187">
        <f>F45/E45</f>
        <v>900</v>
      </c>
      <c r="H45" s="554">
        <f>AVERAGE(G45:G77)</f>
        <v>867.33333333333337</v>
      </c>
      <c r="I45" s="188">
        <f>AVERAGE(P45,U45,Z45,AE45,AJ45,AO45,AT45)</f>
        <v>4</v>
      </c>
      <c r="J45" s="188">
        <f>AVERAGE(Q45,V45,AA45,AF45,AK45,AP45,AU45)</f>
        <v>3167.3799451451227</v>
      </c>
      <c r="K45" s="189">
        <f>AVERAGE(R45,W45,AB45,AG45,AL45,AQ45,AV45)</f>
        <v>791.84498628628069</v>
      </c>
      <c r="L45" s="555">
        <f>IFERROR(AVERAGE(K45:K77),"-")</f>
        <v>770.49370002361638</v>
      </c>
      <c r="M45" s="188">
        <f>RANK(K45, K$45:$K$77)</f>
        <v>12</v>
      </c>
      <c r="N45" s="553"/>
      <c r="O45" s="533"/>
      <c r="P45" s="190">
        <v>4</v>
      </c>
      <c r="Q45" s="190">
        <v>3154.411764705882</v>
      </c>
      <c r="R45" s="187">
        <f t="shared" ref="R45:R74" si="27">IFERROR(Q45/P45,"")</f>
        <v>788.60294117647049</v>
      </c>
      <c r="S45" s="184">
        <f>RANK(R45, R$45:R$77)</f>
        <v>12</v>
      </c>
      <c r="T45" s="551">
        <f>AVERAGE(R45:R77)</f>
        <v>767.73672135309778</v>
      </c>
      <c r="U45" s="190">
        <v>4</v>
      </c>
      <c r="V45" s="190">
        <v>3168.9473684210543</v>
      </c>
      <c r="W45" s="187">
        <f t="shared" ref="W45:W74" si="28">IFERROR(V45/U45,"")</f>
        <v>792.23684210526358</v>
      </c>
      <c r="X45" s="184">
        <f>RANK(W45, W$45:W$77)</f>
        <v>12</v>
      </c>
      <c r="Y45" s="551">
        <f>AVERAGE(W45:W77)</f>
        <v>769.64674770885892</v>
      </c>
      <c r="Z45" s="190">
        <v>4</v>
      </c>
      <c r="AA45" s="190">
        <v>3169.5543869360677</v>
      </c>
      <c r="AB45" s="187">
        <f>IFERROR(AA45/Z45,"")</f>
        <v>792.38859673401691</v>
      </c>
      <c r="AC45" s="184">
        <f>RANK(AB45, AB$45:AB$77)</f>
        <v>12</v>
      </c>
      <c r="AD45" s="551">
        <f>AVERAGE(AB45:AB77)</f>
        <v>770.15029071027391</v>
      </c>
      <c r="AE45" s="190">
        <v>4</v>
      </c>
      <c r="AF45" s="190">
        <v>3169.1847419596079</v>
      </c>
      <c r="AG45" s="187">
        <f>IFERROR(AF45/AE45,"")</f>
        <v>792.29618548990197</v>
      </c>
      <c r="AH45" s="184">
        <f>RANK(AG45, AG$45:AG$77)</f>
        <v>12</v>
      </c>
      <c r="AI45" s="551">
        <f>AVERAGE(AG45:AG77)</f>
        <v>770.63082206233003</v>
      </c>
      <c r="AJ45" s="190">
        <v>4</v>
      </c>
      <c r="AK45" s="190">
        <v>3169.8476343223761</v>
      </c>
      <c r="AL45" s="187">
        <f>IFERROR(AK45/AJ45,"")</f>
        <v>792.46190858059401</v>
      </c>
      <c r="AM45" s="184">
        <f>RANK(AL45, AL$45:AL$77)</f>
        <v>12</v>
      </c>
      <c r="AN45" s="551">
        <f>AVERAGE(AL45:AL77)</f>
        <v>771.04795844792034</v>
      </c>
      <c r="AO45" s="190">
        <v>4</v>
      </c>
      <c r="AP45" s="190">
        <v>3169.7318967677293</v>
      </c>
      <c r="AQ45" s="187">
        <f>IFERROR(AP45/AO45,"")</f>
        <v>792.43297419193232</v>
      </c>
      <c r="AR45" s="184">
        <f>RANK(AQ45, AQ$45:AQ$77)</f>
        <v>12</v>
      </c>
      <c r="AS45" s="551">
        <f>AVERAGE(AQ45:AQ77)</f>
        <v>771.10849903916505</v>
      </c>
      <c r="AT45" s="190">
        <v>4</v>
      </c>
      <c r="AU45" s="190">
        <v>3169.9818229031412</v>
      </c>
      <c r="AV45" s="187">
        <f>IFERROR(AU45/AT45,"")</f>
        <v>792.49545572578529</v>
      </c>
      <c r="AW45" s="184">
        <f>RANK(AV45, AV$45:AV$77)</f>
        <v>12</v>
      </c>
      <c r="AX45" s="551">
        <f>AVERAGE(AV45:AV77)</f>
        <v>773.13486084366912</v>
      </c>
    </row>
    <row r="46" spans="1:50" ht="14.25" customHeight="1">
      <c r="B46" s="525"/>
      <c r="C46" s="182">
        <v>2</v>
      </c>
      <c r="D46" s="185" t="s">
        <v>406</v>
      </c>
      <c r="E46" s="186">
        <v>3</v>
      </c>
      <c r="F46" s="182">
        <v>3600</v>
      </c>
      <c r="G46" s="187">
        <f t="shared" ref="G46:G65" si="29">F46/E46</f>
        <v>1200</v>
      </c>
      <c r="H46" s="554"/>
      <c r="I46" s="188">
        <f t="shared" ref="I46:K74" si="30">AVERAGE(P46,U46,Z46,AE46,AJ46,AO46,AT46)</f>
        <v>3</v>
      </c>
      <c r="J46" s="188">
        <f t="shared" si="30"/>
        <v>3165.6881640293664</v>
      </c>
      <c r="K46" s="189">
        <f t="shared" si="30"/>
        <v>1055.2293880097889</v>
      </c>
      <c r="L46" s="555"/>
      <c r="M46" s="188">
        <f>RANK(K46, K$45:$K$77)</f>
        <v>5</v>
      </c>
      <c r="N46" s="553"/>
      <c r="O46" s="533"/>
      <c r="P46" s="190">
        <v>3</v>
      </c>
      <c r="Q46" s="190">
        <v>3149.5500000000011</v>
      </c>
      <c r="R46" s="187">
        <f t="shared" si="27"/>
        <v>1049.8500000000004</v>
      </c>
      <c r="S46" s="184">
        <f t="shared" ref="S46:S74" si="31">RANK(R46, R$45:R$77)</f>
        <v>6</v>
      </c>
      <c r="T46" s="551"/>
      <c r="U46" s="190">
        <v>3</v>
      </c>
      <c r="V46" s="190">
        <v>3167.4232309746335</v>
      </c>
      <c r="W46" s="187">
        <f t="shared" si="28"/>
        <v>1055.8077436582112</v>
      </c>
      <c r="X46" s="184">
        <f t="shared" ref="X46:X74" si="32">RANK(W46, W$45:W$77)</f>
        <v>5</v>
      </c>
      <c r="Y46" s="551"/>
      <c r="Z46" s="190">
        <v>3</v>
      </c>
      <c r="AA46" s="190">
        <v>3167.4676524953802</v>
      </c>
      <c r="AB46" s="187">
        <f t="shared" ref="AB46:AB74" si="33">IFERROR(AA46/Z46,"")</f>
        <v>1055.8225508317935</v>
      </c>
      <c r="AC46" s="184">
        <f t="shared" ref="AC46:AC74" si="34">RANK(AB46, AB$45:AB$77)</f>
        <v>3</v>
      </c>
      <c r="AD46" s="551"/>
      <c r="AE46" s="190">
        <v>3</v>
      </c>
      <c r="AF46" s="190">
        <v>3168.471767199846</v>
      </c>
      <c r="AG46" s="187">
        <f t="shared" ref="AG46:AG74" si="35">IFERROR(AF46/AE46,"")</f>
        <v>1056.157255733282</v>
      </c>
      <c r="AH46" s="184">
        <f t="shared" ref="AH46:AH74" si="36">RANK(AG46, AG$45:AG$77)</f>
        <v>2</v>
      </c>
      <c r="AI46" s="551"/>
      <c r="AJ46" s="190">
        <v>3</v>
      </c>
      <c r="AK46" s="190">
        <v>3168.9014539579966</v>
      </c>
      <c r="AL46" s="187">
        <f t="shared" ref="AL46:AL74" si="37">IFERROR(AK46/AJ46,"")</f>
        <v>1056.3004846526655</v>
      </c>
      <c r="AM46" s="184">
        <f t="shared" ref="AM46:AM74" si="38">RANK(AL46, AL$45:AL$77)</f>
        <v>4</v>
      </c>
      <c r="AN46" s="551"/>
      <c r="AO46" s="190">
        <v>3</v>
      </c>
      <c r="AP46" s="190">
        <v>3168.864917872027</v>
      </c>
      <c r="AQ46" s="187">
        <f t="shared" ref="AQ46:AQ74" si="39">IFERROR(AP46/AO46,"")</f>
        <v>1056.2883059573423</v>
      </c>
      <c r="AR46" s="184">
        <f t="shared" ref="AR46:AR74" si="40">RANK(AQ46, AQ$45:AQ$77)</f>
        <v>3</v>
      </c>
      <c r="AS46" s="551"/>
      <c r="AT46" s="190">
        <v>3</v>
      </c>
      <c r="AU46" s="190">
        <v>3169.1381257056819</v>
      </c>
      <c r="AV46" s="187">
        <f t="shared" ref="AV46:AV74" si="41">IFERROR(AU46/AT46,"")</f>
        <v>1056.3793752352274</v>
      </c>
      <c r="AW46" s="184">
        <f t="shared" ref="AW46:AW74" si="42">RANK(AV46, AV$45:AV$77)</f>
        <v>3</v>
      </c>
      <c r="AX46" s="551"/>
    </row>
    <row r="47" spans="1:50" ht="14.25" customHeight="1">
      <c r="B47" s="525"/>
      <c r="C47" s="182">
        <v>3</v>
      </c>
      <c r="D47" s="185" t="s">
        <v>407</v>
      </c>
      <c r="E47" s="186">
        <v>5</v>
      </c>
      <c r="F47" s="182">
        <v>3600</v>
      </c>
      <c r="G47" s="187">
        <f t="shared" si="29"/>
        <v>720</v>
      </c>
      <c r="H47" s="554"/>
      <c r="I47" s="188">
        <f t="shared" si="30"/>
        <v>5</v>
      </c>
      <c r="J47" s="188">
        <f t="shared" si="30"/>
        <v>3164.8636958769789</v>
      </c>
      <c r="K47" s="189">
        <f t="shared" si="30"/>
        <v>632.97273917539576</v>
      </c>
      <c r="L47" s="555"/>
      <c r="M47" s="188">
        <f>RANK(K47, K$45:$K$77)</f>
        <v>24</v>
      </c>
      <c r="N47" s="553"/>
      <c r="O47" s="533"/>
      <c r="P47" s="190">
        <v>5</v>
      </c>
      <c r="Q47" s="190">
        <v>3153.8267716535443</v>
      </c>
      <c r="R47" s="187">
        <f t="shared" si="27"/>
        <v>630.76535433070887</v>
      </c>
      <c r="S47" s="184">
        <f t="shared" si="31"/>
        <v>23</v>
      </c>
      <c r="T47" s="551"/>
      <c r="U47" s="190">
        <v>5</v>
      </c>
      <c r="V47" s="190">
        <v>3166.2650602409644</v>
      </c>
      <c r="W47" s="187">
        <f t="shared" si="28"/>
        <v>633.25301204819289</v>
      </c>
      <c r="X47" s="184">
        <f t="shared" si="32"/>
        <v>24</v>
      </c>
      <c r="Y47" s="551"/>
      <c r="Z47" s="190">
        <v>5</v>
      </c>
      <c r="AA47" s="190">
        <v>3166.5970772442579</v>
      </c>
      <c r="AB47" s="187">
        <f t="shared" si="33"/>
        <v>633.3194154488516</v>
      </c>
      <c r="AC47" s="184">
        <f t="shared" si="34"/>
        <v>24</v>
      </c>
      <c r="AD47" s="551"/>
      <c r="AE47" s="190">
        <v>5</v>
      </c>
      <c r="AF47" s="190">
        <v>3166.7879890809809</v>
      </c>
      <c r="AG47" s="187">
        <f t="shared" si="35"/>
        <v>633.35759781619618</v>
      </c>
      <c r="AH47" s="184">
        <f t="shared" si="36"/>
        <v>24</v>
      </c>
      <c r="AI47" s="551"/>
      <c r="AJ47" s="190">
        <v>5</v>
      </c>
      <c r="AK47" s="190">
        <v>3166.7547441748761</v>
      </c>
      <c r="AL47" s="187">
        <f t="shared" si="37"/>
        <v>633.35094883497527</v>
      </c>
      <c r="AM47" s="184">
        <f t="shared" si="38"/>
        <v>24</v>
      </c>
      <c r="AN47" s="551"/>
      <c r="AO47" s="190">
        <v>5</v>
      </c>
      <c r="AP47" s="190">
        <v>3166.746698679473</v>
      </c>
      <c r="AQ47" s="187">
        <f t="shared" si="39"/>
        <v>633.34933973589455</v>
      </c>
      <c r="AR47" s="184">
        <f t="shared" si="40"/>
        <v>24</v>
      </c>
      <c r="AS47" s="551"/>
      <c r="AT47" s="190">
        <v>5</v>
      </c>
      <c r="AU47" s="190">
        <v>3167.0675300647563</v>
      </c>
      <c r="AV47" s="187">
        <f t="shared" si="41"/>
        <v>633.4135060129513</v>
      </c>
      <c r="AW47" s="184">
        <f t="shared" si="42"/>
        <v>24</v>
      </c>
      <c r="AX47" s="551"/>
    </row>
    <row r="48" spans="1:50" ht="14.25" customHeight="1">
      <c r="B48" s="525"/>
      <c r="C48" s="182">
        <v>4</v>
      </c>
      <c r="D48" s="185" t="s">
        <v>232</v>
      </c>
      <c r="E48" s="186">
        <v>5</v>
      </c>
      <c r="F48" s="182">
        <v>3300</v>
      </c>
      <c r="G48" s="187">
        <f t="shared" si="29"/>
        <v>660</v>
      </c>
      <c r="H48" s="554"/>
      <c r="I48" s="188">
        <f t="shared" si="30"/>
        <v>5</v>
      </c>
      <c r="J48" s="188">
        <f t="shared" si="30"/>
        <v>2967.2772623811256</v>
      </c>
      <c r="K48" s="189">
        <f t="shared" si="30"/>
        <v>593.4554524762251</v>
      </c>
      <c r="L48" s="555"/>
      <c r="M48" s="188">
        <f>RANK(K48, K$45:$K$77)</f>
        <v>25</v>
      </c>
      <c r="N48" s="553"/>
      <c r="O48" s="533"/>
      <c r="P48" s="190">
        <v>5</v>
      </c>
      <c r="Q48" s="190">
        <v>2967.7932405566676</v>
      </c>
      <c r="R48" s="187">
        <f t="shared" si="27"/>
        <v>593.55864811133347</v>
      </c>
      <c r="S48" s="184">
        <f t="shared" si="31"/>
        <v>25</v>
      </c>
      <c r="T48" s="551"/>
      <c r="U48" s="190">
        <v>5</v>
      </c>
      <c r="V48" s="190">
        <v>2967.9742765273309</v>
      </c>
      <c r="W48" s="187">
        <f t="shared" si="28"/>
        <v>593.59485530546613</v>
      </c>
      <c r="X48" s="184">
        <f t="shared" si="32"/>
        <v>26</v>
      </c>
      <c r="Y48" s="551"/>
      <c r="Z48" s="190">
        <v>5</v>
      </c>
      <c r="AA48" s="190">
        <v>2966.8965517241418</v>
      </c>
      <c r="AB48" s="187">
        <f t="shared" si="33"/>
        <v>593.37931034482835</v>
      </c>
      <c r="AC48" s="184">
        <f t="shared" si="34"/>
        <v>26</v>
      </c>
      <c r="AD48" s="551"/>
      <c r="AE48" s="190">
        <v>5</v>
      </c>
      <c r="AF48" s="190">
        <v>2968.0672268907574</v>
      </c>
      <c r="AG48" s="187">
        <f t="shared" si="35"/>
        <v>593.61344537815148</v>
      </c>
      <c r="AH48" s="184">
        <f t="shared" si="36"/>
        <v>26</v>
      </c>
      <c r="AI48" s="551"/>
      <c r="AJ48" s="190">
        <v>5</v>
      </c>
      <c r="AK48" s="190">
        <v>2966.1971830985954</v>
      </c>
      <c r="AL48" s="187">
        <f t="shared" si="37"/>
        <v>593.23943661971907</v>
      </c>
      <c r="AM48" s="184">
        <f t="shared" si="38"/>
        <v>26</v>
      </c>
      <c r="AN48" s="551"/>
      <c r="AO48" s="190">
        <v>5</v>
      </c>
      <c r="AP48" s="190">
        <v>2967.1077504725922</v>
      </c>
      <c r="AQ48" s="187">
        <f t="shared" si="39"/>
        <v>593.42155009451847</v>
      </c>
      <c r="AR48" s="184">
        <f t="shared" si="40"/>
        <v>26</v>
      </c>
      <c r="AS48" s="551"/>
      <c r="AT48" s="190">
        <v>5</v>
      </c>
      <c r="AU48" s="190">
        <v>2966.9046073977952</v>
      </c>
      <c r="AV48" s="187">
        <f t="shared" si="41"/>
        <v>593.38092147955899</v>
      </c>
      <c r="AW48" s="184">
        <f t="shared" si="42"/>
        <v>25</v>
      </c>
      <c r="AX48" s="551"/>
    </row>
    <row r="49" spans="2:50" ht="14.25" customHeight="1">
      <c r="B49" s="525"/>
      <c r="C49" s="182">
        <v>5</v>
      </c>
      <c r="D49" s="185" t="s">
        <v>403</v>
      </c>
      <c r="E49" s="186">
        <v>3</v>
      </c>
      <c r="F49" s="182">
        <v>3600</v>
      </c>
      <c r="G49" s="187">
        <f t="shared" si="29"/>
        <v>1200</v>
      </c>
      <c r="H49" s="554"/>
      <c r="I49" s="188">
        <f t="shared" si="30"/>
        <v>3</v>
      </c>
      <c r="J49" s="188">
        <f t="shared" si="30"/>
        <v>3165.7280020541752</v>
      </c>
      <c r="K49" s="189">
        <f t="shared" si="30"/>
        <v>1055.2426673513914</v>
      </c>
      <c r="L49" s="555"/>
      <c r="M49" s="188">
        <f>RANK(K49, K$45:$K$77)</f>
        <v>4</v>
      </c>
      <c r="N49" s="553"/>
      <c r="O49" s="533"/>
      <c r="P49" s="190">
        <v>3</v>
      </c>
      <c r="Q49" s="190">
        <v>3153.3927347498297</v>
      </c>
      <c r="R49" s="187">
        <f t="shared" si="27"/>
        <v>1051.1309115832767</v>
      </c>
      <c r="S49" s="184">
        <f t="shared" si="31"/>
        <v>4</v>
      </c>
      <c r="T49" s="551"/>
      <c r="U49" s="190">
        <v>3</v>
      </c>
      <c r="V49" s="190">
        <v>3166.3099758370727</v>
      </c>
      <c r="W49" s="187">
        <f t="shared" si="28"/>
        <v>1055.4366586123576</v>
      </c>
      <c r="X49" s="184">
        <f t="shared" si="32"/>
        <v>6</v>
      </c>
      <c r="Y49" s="551"/>
      <c r="Z49" s="190">
        <v>3</v>
      </c>
      <c r="AA49" s="190">
        <v>3166.5198237885475</v>
      </c>
      <c r="AB49" s="187">
        <f t="shared" si="33"/>
        <v>1055.5066079295159</v>
      </c>
      <c r="AC49" s="184">
        <f t="shared" si="34"/>
        <v>6</v>
      </c>
      <c r="AD49" s="551"/>
      <c r="AE49" s="190">
        <v>3</v>
      </c>
      <c r="AF49" s="190">
        <v>3166.7001003008982</v>
      </c>
      <c r="AG49" s="187">
        <f t="shared" si="35"/>
        <v>1055.5667001002994</v>
      </c>
      <c r="AH49" s="184">
        <f t="shared" si="36"/>
        <v>6</v>
      </c>
      <c r="AI49" s="551"/>
      <c r="AJ49" s="190">
        <v>3</v>
      </c>
      <c r="AK49" s="190">
        <v>3169.295923769188</v>
      </c>
      <c r="AL49" s="187">
        <f t="shared" si="37"/>
        <v>1056.4319745897294</v>
      </c>
      <c r="AM49" s="184">
        <f t="shared" si="38"/>
        <v>2</v>
      </c>
      <c r="AN49" s="551"/>
      <c r="AO49" s="190">
        <v>3</v>
      </c>
      <c r="AP49" s="190">
        <v>3168.8190030110418</v>
      </c>
      <c r="AQ49" s="187">
        <f t="shared" si="39"/>
        <v>1056.2730010036805</v>
      </c>
      <c r="AR49" s="184">
        <f t="shared" si="40"/>
        <v>4</v>
      </c>
      <c r="AS49" s="551"/>
      <c r="AT49" s="190">
        <v>3</v>
      </c>
      <c r="AU49" s="190">
        <v>3169.0584529226467</v>
      </c>
      <c r="AV49" s="187">
        <f t="shared" si="41"/>
        <v>1056.3528176408822</v>
      </c>
      <c r="AW49" s="184">
        <f t="shared" si="42"/>
        <v>4</v>
      </c>
      <c r="AX49" s="551"/>
    </row>
    <row r="50" spans="2:50" ht="14.25" customHeight="1">
      <c r="B50" s="525"/>
      <c r="C50" s="182">
        <v>6</v>
      </c>
      <c r="D50" s="185" t="s">
        <v>344</v>
      </c>
      <c r="E50" s="186">
        <v>3</v>
      </c>
      <c r="F50" s="182">
        <v>3000</v>
      </c>
      <c r="G50" s="187">
        <f t="shared" si="29"/>
        <v>1000</v>
      </c>
      <c r="H50" s="554"/>
      <c r="I50" s="188">
        <f t="shared" si="30"/>
        <v>3</v>
      </c>
      <c r="J50" s="188">
        <f t="shared" si="30"/>
        <v>2693.7122070328778</v>
      </c>
      <c r="K50" s="189">
        <f t="shared" si="30"/>
        <v>897.90406901095923</v>
      </c>
      <c r="L50" s="555"/>
      <c r="M50" s="188">
        <f>RANK(K50, K$45:$K$77)</f>
        <v>10</v>
      </c>
      <c r="N50" s="553"/>
      <c r="O50" s="533"/>
      <c r="P50" s="190">
        <v>3</v>
      </c>
      <c r="Q50" s="190">
        <v>2693.5729094678632</v>
      </c>
      <c r="R50" s="187">
        <f t="shared" si="27"/>
        <v>897.85763648928776</v>
      </c>
      <c r="S50" s="184">
        <f t="shared" si="31"/>
        <v>10</v>
      </c>
      <c r="T50" s="551"/>
      <c r="U50" s="190">
        <v>3</v>
      </c>
      <c r="V50" s="190">
        <v>2693.5491329479783</v>
      </c>
      <c r="W50" s="187">
        <f t="shared" si="28"/>
        <v>897.84971098265942</v>
      </c>
      <c r="X50" s="184">
        <f t="shared" si="32"/>
        <v>10</v>
      </c>
      <c r="Y50" s="551"/>
      <c r="Z50" s="190">
        <v>3</v>
      </c>
      <c r="AA50" s="190">
        <v>2693.7375745526861</v>
      </c>
      <c r="AB50" s="187">
        <f t="shared" si="33"/>
        <v>897.91252485089535</v>
      </c>
      <c r="AC50" s="184">
        <f t="shared" si="34"/>
        <v>10</v>
      </c>
      <c r="AD50" s="551"/>
      <c r="AE50" s="190">
        <v>3</v>
      </c>
      <c r="AF50" s="190">
        <v>2693.4996717005884</v>
      </c>
      <c r="AG50" s="187">
        <f t="shared" si="35"/>
        <v>897.83322390019612</v>
      </c>
      <c r="AH50" s="184">
        <f t="shared" si="36"/>
        <v>11</v>
      </c>
      <c r="AI50" s="551"/>
      <c r="AJ50" s="190">
        <v>3</v>
      </c>
      <c r="AK50" s="190">
        <v>2693.6127069956033</v>
      </c>
      <c r="AL50" s="187">
        <f t="shared" si="37"/>
        <v>897.8709023318678</v>
      </c>
      <c r="AM50" s="184">
        <f t="shared" si="38"/>
        <v>10</v>
      </c>
      <c r="AN50" s="551"/>
      <c r="AO50" s="190">
        <v>3</v>
      </c>
      <c r="AP50" s="190">
        <v>2693.8667839085497</v>
      </c>
      <c r="AQ50" s="187">
        <f t="shared" si="39"/>
        <v>897.95559463618326</v>
      </c>
      <c r="AR50" s="184">
        <f t="shared" si="40"/>
        <v>10</v>
      </c>
      <c r="AS50" s="551"/>
      <c r="AT50" s="190">
        <v>3</v>
      </c>
      <c r="AU50" s="190">
        <v>2694.146669656875</v>
      </c>
      <c r="AV50" s="187">
        <f t="shared" si="41"/>
        <v>898.04888988562504</v>
      </c>
      <c r="AW50" s="184">
        <f t="shared" si="42"/>
        <v>10</v>
      </c>
      <c r="AX50" s="551"/>
    </row>
    <row r="51" spans="2:50" ht="14.25" customHeight="1">
      <c r="B51" s="525"/>
      <c r="C51" s="182">
        <v>7</v>
      </c>
      <c r="D51" s="185" t="s">
        <v>405</v>
      </c>
      <c r="E51" s="186">
        <v>3</v>
      </c>
      <c r="F51" s="182">
        <v>3600</v>
      </c>
      <c r="G51" s="187">
        <f t="shared" si="29"/>
        <v>1200</v>
      </c>
      <c r="H51" s="554"/>
      <c r="I51" s="188">
        <f t="shared" si="30"/>
        <v>3</v>
      </c>
      <c r="J51" s="188">
        <f t="shared" si="30"/>
        <v>3167.323229649618</v>
      </c>
      <c r="K51" s="189">
        <f t="shared" si="30"/>
        <v>1055.7744098832061</v>
      </c>
      <c r="L51" s="555"/>
      <c r="M51" s="188">
        <f>RANK(K51, K$45:$K$77)</f>
        <v>2</v>
      </c>
      <c r="N51" s="553"/>
      <c r="O51" s="533"/>
      <c r="P51" s="190">
        <v>3</v>
      </c>
      <c r="Q51" s="190">
        <v>3154.838709677419</v>
      </c>
      <c r="R51" s="187">
        <f t="shared" si="27"/>
        <v>1051.6129032258063</v>
      </c>
      <c r="S51" s="184">
        <f t="shared" si="31"/>
        <v>1</v>
      </c>
      <c r="T51" s="551"/>
      <c r="U51" s="190">
        <v>3</v>
      </c>
      <c r="V51" s="190">
        <v>3168.9473684210552</v>
      </c>
      <c r="W51" s="187">
        <f t="shared" si="28"/>
        <v>1056.3157894736851</v>
      </c>
      <c r="X51" s="184">
        <f t="shared" si="32"/>
        <v>1</v>
      </c>
      <c r="Y51" s="551"/>
      <c r="Z51" s="190">
        <v>3</v>
      </c>
      <c r="AA51" s="190">
        <v>3169.537366548047</v>
      </c>
      <c r="AB51" s="187">
        <f t="shared" si="33"/>
        <v>1056.5124555160157</v>
      </c>
      <c r="AC51" s="184">
        <f t="shared" si="34"/>
        <v>2</v>
      </c>
      <c r="AD51" s="551"/>
      <c r="AE51" s="190">
        <v>3</v>
      </c>
      <c r="AF51" s="190">
        <v>3168.4315684315638</v>
      </c>
      <c r="AG51" s="187">
        <f t="shared" si="35"/>
        <v>1056.1438561438547</v>
      </c>
      <c r="AH51" s="184">
        <f t="shared" si="36"/>
        <v>3</v>
      </c>
      <c r="AI51" s="551"/>
      <c r="AJ51" s="190">
        <v>3</v>
      </c>
      <c r="AK51" s="190">
        <v>3169.2307692307609</v>
      </c>
      <c r="AL51" s="187">
        <f t="shared" si="37"/>
        <v>1056.4102564102536</v>
      </c>
      <c r="AM51" s="184">
        <f t="shared" si="38"/>
        <v>3</v>
      </c>
      <c r="AN51" s="551"/>
      <c r="AO51" s="190">
        <v>3</v>
      </c>
      <c r="AP51" s="190">
        <v>3169.7674418604652</v>
      </c>
      <c r="AQ51" s="187">
        <f t="shared" si="39"/>
        <v>1056.5891472868218</v>
      </c>
      <c r="AR51" s="184">
        <f t="shared" si="40"/>
        <v>2</v>
      </c>
      <c r="AS51" s="551"/>
      <c r="AT51" s="190">
        <v>3</v>
      </c>
      <c r="AU51" s="190">
        <v>3170.5093833780165</v>
      </c>
      <c r="AV51" s="187">
        <f t="shared" si="41"/>
        <v>1056.8364611260056</v>
      </c>
      <c r="AW51" s="184">
        <f t="shared" si="42"/>
        <v>1</v>
      </c>
      <c r="AX51" s="551"/>
    </row>
    <row r="52" spans="2:50" ht="14.25" customHeight="1">
      <c r="B52" s="525"/>
      <c r="C52" s="182">
        <v>8</v>
      </c>
      <c r="D52" s="185" t="s">
        <v>404</v>
      </c>
      <c r="E52" s="186">
        <v>4</v>
      </c>
      <c r="F52" s="182">
        <v>3300</v>
      </c>
      <c r="G52" s="187">
        <f t="shared" si="29"/>
        <v>825</v>
      </c>
      <c r="H52" s="554"/>
      <c r="I52" s="188">
        <f t="shared" si="30"/>
        <v>4</v>
      </c>
      <c r="J52" s="188">
        <f t="shared" si="30"/>
        <v>2937.1289210073546</v>
      </c>
      <c r="K52" s="189">
        <f t="shared" si="30"/>
        <v>734.28223025183866</v>
      </c>
      <c r="L52" s="555"/>
      <c r="M52" s="188">
        <f>RANK(K52, K$45:$K$77)</f>
        <v>18</v>
      </c>
      <c r="N52" s="553"/>
      <c r="O52" s="533"/>
      <c r="P52" s="190">
        <v>4</v>
      </c>
      <c r="Q52" s="190">
        <v>2935.2769679300291</v>
      </c>
      <c r="R52" s="187">
        <f t="shared" si="27"/>
        <v>733.81924198250726</v>
      </c>
      <c r="S52" s="184">
        <f t="shared" si="31"/>
        <v>16</v>
      </c>
      <c r="T52" s="551"/>
      <c r="U52" s="190">
        <v>4</v>
      </c>
      <c r="V52" s="190">
        <v>2935.6223175965638</v>
      </c>
      <c r="W52" s="187">
        <f t="shared" si="28"/>
        <v>733.90557939914095</v>
      </c>
      <c r="X52" s="184">
        <f t="shared" si="32"/>
        <v>19</v>
      </c>
      <c r="Y52" s="551"/>
      <c r="Z52" s="190">
        <v>4</v>
      </c>
      <c r="AA52" s="190">
        <v>2936.6958311888829</v>
      </c>
      <c r="AB52" s="187">
        <f t="shared" si="33"/>
        <v>734.17395779722074</v>
      </c>
      <c r="AC52" s="184">
        <f t="shared" si="34"/>
        <v>19</v>
      </c>
      <c r="AD52" s="551"/>
      <c r="AE52" s="190">
        <v>4</v>
      </c>
      <c r="AF52" s="190">
        <v>2937.1257485029951</v>
      </c>
      <c r="AG52" s="187">
        <f t="shared" si="35"/>
        <v>734.28143712574877</v>
      </c>
      <c r="AH52" s="184">
        <f t="shared" si="36"/>
        <v>18</v>
      </c>
      <c r="AI52" s="551"/>
      <c r="AJ52" s="190">
        <v>4</v>
      </c>
      <c r="AK52" s="190">
        <v>2938.474159146841</v>
      </c>
      <c r="AL52" s="187">
        <f t="shared" si="37"/>
        <v>734.61853978671024</v>
      </c>
      <c r="AM52" s="184">
        <f t="shared" si="38"/>
        <v>18</v>
      </c>
      <c r="AN52" s="551"/>
      <c r="AO52" s="190">
        <v>4</v>
      </c>
      <c r="AP52" s="190">
        <v>2938.1852551984894</v>
      </c>
      <c r="AQ52" s="187">
        <f t="shared" si="39"/>
        <v>734.54631379962234</v>
      </c>
      <c r="AR52" s="184">
        <f t="shared" si="40"/>
        <v>18</v>
      </c>
      <c r="AS52" s="551"/>
      <c r="AT52" s="190">
        <v>4</v>
      </c>
      <c r="AU52" s="190">
        <v>2938.5221674876825</v>
      </c>
      <c r="AV52" s="187">
        <f t="shared" si="41"/>
        <v>734.63054187192063</v>
      </c>
      <c r="AW52" s="184">
        <f t="shared" si="42"/>
        <v>19</v>
      </c>
      <c r="AX52" s="551"/>
    </row>
    <row r="53" spans="2:50" ht="14.25" customHeight="1">
      <c r="B53" s="525"/>
      <c r="C53" s="182">
        <v>9</v>
      </c>
      <c r="D53" s="185" t="s">
        <v>402</v>
      </c>
      <c r="E53" s="186">
        <v>4</v>
      </c>
      <c r="F53" s="182">
        <v>3300</v>
      </c>
      <c r="G53" s="187">
        <f t="shared" si="29"/>
        <v>825</v>
      </c>
      <c r="H53" s="554"/>
      <c r="I53" s="188">
        <f t="shared" si="30"/>
        <v>4</v>
      </c>
      <c r="J53" s="188">
        <f t="shared" si="30"/>
        <v>2936.8790735798698</v>
      </c>
      <c r="K53" s="189">
        <f t="shared" si="30"/>
        <v>734.21976839496745</v>
      </c>
      <c r="L53" s="555"/>
      <c r="M53" s="188">
        <f>RANK(K53, K$45:$K$77)</f>
        <v>19</v>
      </c>
      <c r="N53" s="553"/>
      <c r="O53" s="533"/>
      <c r="P53" s="190">
        <v>4</v>
      </c>
      <c r="Q53" s="190">
        <v>2934.0214370782069</v>
      </c>
      <c r="R53" s="187">
        <f t="shared" si="27"/>
        <v>733.50535926955172</v>
      </c>
      <c r="S53" s="184">
        <f t="shared" si="31"/>
        <v>19</v>
      </c>
      <c r="T53" s="551"/>
      <c r="U53" s="190">
        <v>4</v>
      </c>
      <c r="V53" s="190">
        <v>2936.1600000000012</v>
      </c>
      <c r="W53" s="187">
        <f t="shared" si="28"/>
        <v>734.0400000000003</v>
      </c>
      <c r="X53" s="184">
        <f t="shared" si="32"/>
        <v>18</v>
      </c>
      <c r="Y53" s="551"/>
      <c r="Z53" s="190">
        <v>4</v>
      </c>
      <c r="AA53" s="190">
        <v>2936.7609254498707</v>
      </c>
      <c r="AB53" s="187">
        <f t="shared" si="33"/>
        <v>734.19023136246767</v>
      </c>
      <c r="AC53" s="184">
        <f t="shared" si="34"/>
        <v>18</v>
      </c>
      <c r="AD53" s="551"/>
      <c r="AE53" s="190">
        <v>4</v>
      </c>
      <c r="AF53" s="190">
        <v>2936.6245694603949</v>
      </c>
      <c r="AG53" s="187">
        <f t="shared" si="35"/>
        <v>734.15614236509873</v>
      </c>
      <c r="AH53" s="184">
        <f t="shared" si="36"/>
        <v>19</v>
      </c>
      <c r="AI53" s="551"/>
      <c r="AJ53" s="190">
        <v>4</v>
      </c>
      <c r="AK53" s="190">
        <v>2938.0863039399615</v>
      </c>
      <c r="AL53" s="187">
        <f t="shared" si="37"/>
        <v>734.52157598499036</v>
      </c>
      <c r="AM53" s="184">
        <f t="shared" si="38"/>
        <v>19</v>
      </c>
      <c r="AN53" s="551"/>
      <c r="AO53" s="190">
        <v>4</v>
      </c>
      <c r="AP53" s="190">
        <v>2937.9636937648002</v>
      </c>
      <c r="AQ53" s="187">
        <f t="shared" si="39"/>
        <v>734.49092344120004</v>
      </c>
      <c r="AR53" s="184">
        <f t="shared" si="40"/>
        <v>19</v>
      </c>
      <c r="AS53" s="551"/>
      <c r="AT53" s="190">
        <v>4</v>
      </c>
      <c r="AU53" s="190">
        <v>2938.5365853658559</v>
      </c>
      <c r="AV53" s="187">
        <f t="shared" si="41"/>
        <v>734.63414634146397</v>
      </c>
      <c r="AW53" s="184">
        <f t="shared" si="42"/>
        <v>18</v>
      </c>
      <c r="AX53" s="551"/>
    </row>
    <row r="54" spans="2:50" ht="14.25" customHeight="1">
      <c r="B54" s="525"/>
      <c r="C54" s="182">
        <v>10</v>
      </c>
      <c r="D54" s="185" t="s">
        <v>463</v>
      </c>
      <c r="E54" s="186">
        <v>4</v>
      </c>
      <c r="F54" s="182">
        <v>3300</v>
      </c>
      <c r="G54" s="187">
        <f t="shared" si="29"/>
        <v>825</v>
      </c>
      <c r="H54" s="554"/>
      <c r="I54" s="188">
        <f t="shared" si="30"/>
        <v>4</v>
      </c>
      <c r="J54" s="188">
        <f t="shared" si="30"/>
        <v>2967.5220352081988</v>
      </c>
      <c r="K54" s="189">
        <f t="shared" si="30"/>
        <v>741.88050880204969</v>
      </c>
      <c r="L54" s="555"/>
      <c r="M54" s="188">
        <f>RANK(K54, K$45:$K$77)</f>
        <v>14</v>
      </c>
      <c r="N54" s="553"/>
      <c r="O54" s="533"/>
      <c r="P54" s="190">
        <v>4</v>
      </c>
      <c r="Q54" s="190">
        <v>2968.4210526315769</v>
      </c>
      <c r="R54" s="187">
        <f t="shared" si="27"/>
        <v>742.10526315789423</v>
      </c>
      <c r="S54" s="184">
        <f t="shared" si="31"/>
        <v>14</v>
      </c>
      <c r="T54" s="551"/>
      <c r="U54" s="190">
        <v>4</v>
      </c>
      <c r="V54" s="190">
        <v>2968.5521536066417</v>
      </c>
      <c r="W54" s="187">
        <f t="shared" si="28"/>
        <v>742.13803840166042</v>
      </c>
      <c r="X54" s="184">
        <f t="shared" si="32"/>
        <v>14</v>
      </c>
      <c r="Y54" s="551"/>
      <c r="Z54" s="190">
        <v>4</v>
      </c>
      <c r="AA54" s="190">
        <v>2968.2451253481904</v>
      </c>
      <c r="AB54" s="187">
        <f t="shared" si="33"/>
        <v>742.0612813370476</v>
      </c>
      <c r="AC54" s="184">
        <f t="shared" si="34"/>
        <v>14</v>
      </c>
      <c r="AD54" s="551"/>
      <c r="AE54" s="190">
        <v>4</v>
      </c>
      <c r="AF54" s="190">
        <v>2967.1232876712238</v>
      </c>
      <c r="AG54" s="187">
        <f t="shared" si="35"/>
        <v>741.78082191780595</v>
      </c>
      <c r="AH54" s="184">
        <f t="shared" si="36"/>
        <v>14</v>
      </c>
      <c r="AI54" s="551"/>
      <c r="AJ54" s="190">
        <v>4</v>
      </c>
      <c r="AK54" s="190">
        <v>2966.0933660933688</v>
      </c>
      <c r="AL54" s="187">
        <f t="shared" si="37"/>
        <v>741.5233415233422</v>
      </c>
      <c r="AM54" s="184">
        <f t="shared" si="38"/>
        <v>14</v>
      </c>
      <c r="AN54" s="551"/>
      <c r="AO54" s="190">
        <v>4</v>
      </c>
      <c r="AP54" s="190">
        <v>2967.3946165566244</v>
      </c>
      <c r="AQ54" s="187">
        <f t="shared" si="39"/>
        <v>741.84865413915611</v>
      </c>
      <c r="AR54" s="184">
        <f t="shared" si="40"/>
        <v>14</v>
      </c>
      <c r="AS54" s="551"/>
      <c r="AT54" s="190">
        <v>4</v>
      </c>
      <c r="AU54" s="190">
        <v>2966.8246445497639</v>
      </c>
      <c r="AV54" s="187">
        <f t="shared" si="41"/>
        <v>741.70616113744097</v>
      </c>
      <c r="AW54" s="184">
        <f t="shared" si="42"/>
        <v>14</v>
      </c>
      <c r="AX54" s="551"/>
    </row>
    <row r="55" spans="2:50" ht="14.25" customHeight="1">
      <c r="B55" s="525"/>
      <c r="C55" s="182">
        <v>11</v>
      </c>
      <c r="D55" s="185" t="s">
        <v>231</v>
      </c>
      <c r="E55" s="186">
        <v>3</v>
      </c>
      <c r="F55" s="182">
        <v>3000</v>
      </c>
      <c r="G55" s="187">
        <f t="shared" si="29"/>
        <v>1000</v>
      </c>
      <c r="H55" s="554"/>
      <c r="I55" s="188">
        <f t="shared" si="30"/>
        <v>3</v>
      </c>
      <c r="J55" s="188">
        <f t="shared" si="30"/>
        <v>2693.4725064208128</v>
      </c>
      <c r="K55" s="189">
        <f t="shared" si="30"/>
        <v>897.82416880693745</v>
      </c>
      <c r="L55" s="555"/>
      <c r="M55" s="188">
        <f>RANK(K55, K$45:$K$77)</f>
        <v>11</v>
      </c>
      <c r="N55" s="553"/>
      <c r="O55" s="533"/>
      <c r="P55" s="190">
        <v>3</v>
      </c>
      <c r="Q55" s="190">
        <v>2693.4650014522222</v>
      </c>
      <c r="R55" s="187">
        <f t="shared" si="27"/>
        <v>897.82166715074072</v>
      </c>
      <c r="S55" s="184">
        <f t="shared" si="31"/>
        <v>11</v>
      </c>
      <c r="T55" s="551"/>
      <c r="U55" s="190">
        <v>3</v>
      </c>
      <c r="V55" s="190">
        <v>2693.1297709923665</v>
      </c>
      <c r="W55" s="187">
        <f t="shared" si="28"/>
        <v>897.70992366412213</v>
      </c>
      <c r="X55" s="184">
        <f t="shared" si="32"/>
        <v>11</v>
      </c>
      <c r="Y55" s="551"/>
      <c r="Z55" s="190">
        <v>3</v>
      </c>
      <c r="AA55" s="190">
        <v>2693.5168881062914</v>
      </c>
      <c r="AB55" s="187">
        <f t="shared" si="33"/>
        <v>897.83896270209709</v>
      </c>
      <c r="AC55" s="184">
        <f t="shared" si="34"/>
        <v>11</v>
      </c>
      <c r="AD55" s="551"/>
      <c r="AE55" s="190">
        <v>3</v>
      </c>
      <c r="AF55" s="190">
        <v>2693.5420743639925</v>
      </c>
      <c r="AG55" s="187">
        <f t="shared" si="35"/>
        <v>897.84735812133079</v>
      </c>
      <c r="AH55" s="184">
        <f t="shared" si="36"/>
        <v>10</v>
      </c>
      <c r="AI55" s="551"/>
      <c r="AJ55" s="190">
        <v>3</v>
      </c>
      <c r="AK55" s="190">
        <v>2693.4706295342835</v>
      </c>
      <c r="AL55" s="187">
        <f t="shared" si="37"/>
        <v>897.8235431780945</v>
      </c>
      <c r="AM55" s="184">
        <f t="shared" si="38"/>
        <v>11</v>
      </c>
      <c r="AN55" s="551"/>
      <c r="AO55" s="190">
        <v>3</v>
      </c>
      <c r="AP55" s="190">
        <v>2693.536121673003</v>
      </c>
      <c r="AQ55" s="187">
        <f t="shared" si="39"/>
        <v>897.84537389100103</v>
      </c>
      <c r="AR55" s="184">
        <f t="shared" si="40"/>
        <v>11</v>
      </c>
      <c r="AS55" s="551"/>
      <c r="AT55" s="190">
        <v>3</v>
      </c>
      <c r="AU55" s="190">
        <v>2693.6470588235288</v>
      </c>
      <c r="AV55" s="187">
        <f t="shared" si="41"/>
        <v>897.88235294117624</v>
      </c>
      <c r="AW55" s="184">
        <f t="shared" si="42"/>
        <v>11</v>
      </c>
      <c r="AX55" s="551"/>
    </row>
    <row r="56" spans="2:50" ht="14.25" customHeight="1">
      <c r="B56" s="525"/>
      <c r="C56" s="182">
        <v>12</v>
      </c>
      <c r="D56" s="185" t="s">
        <v>482</v>
      </c>
      <c r="E56" s="186">
        <v>12</v>
      </c>
      <c r="F56" s="182">
        <v>3600</v>
      </c>
      <c r="G56" s="187">
        <f t="shared" si="29"/>
        <v>300</v>
      </c>
      <c r="H56" s="554"/>
      <c r="I56" s="188">
        <f t="shared" si="30"/>
        <v>12</v>
      </c>
      <c r="J56" s="188">
        <f t="shared" si="30"/>
        <v>3125.3274077745223</v>
      </c>
      <c r="K56" s="189">
        <f t="shared" si="30"/>
        <v>260.44395064787687</v>
      </c>
      <c r="L56" s="555"/>
      <c r="M56" s="188">
        <f>RANK(K56, K$45:$K$77)</f>
        <v>30</v>
      </c>
      <c r="N56" s="553"/>
      <c r="O56" s="533"/>
      <c r="P56" s="190">
        <v>12</v>
      </c>
      <c r="Q56" s="190">
        <v>3125.1442704039587</v>
      </c>
      <c r="R56" s="187">
        <f t="shared" si="27"/>
        <v>260.42868920032987</v>
      </c>
      <c r="S56" s="184">
        <f t="shared" si="31"/>
        <v>30</v>
      </c>
      <c r="T56" s="551"/>
      <c r="U56" s="190">
        <v>12</v>
      </c>
      <c r="V56" s="190">
        <v>3125.1939567170266</v>
      </c>
      <c r="W56" s="187">
        <f t="shared" si="28"/>
        <v>260.4328297264189</v>
      </c>
      <c r="X56" s="184">
        <f t="shared" si="32"/>
        <v>30</v>
      </c>
      <c r="Y56" s="551"/>
      <c r="Z56" s="190">
        <v>12</v>
      </c>
      <c r="AA56" s="190">
        <v>3126.0237780713342</v>
      </c>
      <c r="AB56" s="187">
        <f t="shared" si="33"/>
        <v>260.50198150594451</v>
      </c>
      <c r="AC56" s="184">
        <f t="shared" si="34"/>
        <v>29</v>
      </c>
      <c r="AD56" s="551"/>
      <c r="AE56" s="190">
        <v>12</v>
      </c>
      <c r="AF56" s="190">
        <v>3126.096997690533</v>
      </c>
      <c r="AG56" s="187">
        <f t="shared" si="35"/>
        <v>260.50808314087777</v>
      </c>
      <c r="AH56" s="184">
        <f t="shared" si="36"/>
        <v>29</v>
      </c>
      <c r="AI56" s="551"/>
      <c r="AJ56" s="190">
        <v>12</v>
      </c>
      <c r="AK56" s="190">
        <v>3124.8513674197338</v>
      </c>
      <c r="AL56" s="187">
        <f t="shared" si="37"/>
        <v>260.40428061831113</v>
      </c>
      <c r="AM56" s="184">
        <f t="shared" si="38"/>
        <v>30</v>
      </c>
      <c r="AN56" s="551"/>
      <c r="AO56" s="190">
        <v>12</v>
      </c>
      <c r="AP56" s="190">
        <v>3124.9394673123443</v>
      </c>
      <c r="AQ56" s="187">
        <f t="shared" si="39"/>
        <v>260.41162227602871</v>
      </c>
      <c r="AR56" s="184">
        <f t="shared" si="40"/>
        <v>30</v>
      </c>
      <c r="AS56" s="551"/>
      <c r="AT56" s="190">
        <v>12</v>
      </c>
      <c r="AU56" s="190">
        <v>3125.0420168067235</v>
      </c>
      <c r="AV56" s="187">
        <f t="shared" si="41"/>
        <v>260.42016806722694</v>
      </c>
      <c r="AW56" s="184">
        <f t="shared" si="42"/>
        <v>30</v>
      </c>
      <c r="AX56" s="551"/>
    </row>
    <row r="57" spans="2:50" ht="14.25" customHeight="1">
      <c r="B57" s="525"/>
      <c r="C57" s="182">
        <v>13</v>
      </c>
      <c r="D57" s="185" t="s">
        <v>517</v>
      </c>
      <c r="E57" s="186">
        <v>3</v>
      </c>
      <c r="F57" s="182">
        <v>3300</v>
      </c>
      <c r="G57" s="187">
        <f t="shared" si="29"/>
        <v>1100</v>
      </c>
      <c r="H57" s="554"/>
      <c r="I57" s="188">
        <f t="shared" si="30"/>
        <v>3</v>
      </c>
      <c r="J57" s="188">
        <f t="shared" si="30"/>
        <v>2964.7676530973808</v>
      </c>
      <c r="K57" s="189">
        <f t="shared" si="30"/>
        <v>988.25588436579358</v>
      </c>
      <c r="L57" s="555"/>
      <c r="M57" s="188">
        <f>RANK(K57, K$45:$K$77)</f>
        <v>8</v>
      </c>
      <c r="N57" s="553"/>
      <c r="O57" s="533"/>
      <c r="P57" s="190">
        <v>3</v>
      </c>
      <c r="Q57" s="190">
        <v>2963.7829592503804</v>
      </c>
      <c r="R57" s="187">
        <f t="shared" si="27"/>
        <v>987.92765308346009</v>
      </c>
      <c r="S57" s="184">
        <f t="shared" si="31"/>
        <v>8</v>
      </c>
      <c r="T57" s="551"/>
      <c r="U57" s="190">
        <v>3</v>
      </c>
      <c r="V57" s="190">
        <v>2964.1370047011433</v>
      </c>
      <c r="W57" s="187">
        <f t="shared" si="28"/>
        <v>988.04566823371442</v>
      </c>
      <c r="X57" s="184">
        <f t="shared" si="32"/>
        <v>8</v>
      </c>
      <c r="Y57" s="551"/>
      <c r="Z57" s="190">
        <v>3</v>
      </c>
      <c r="AA57" s="190">
        <v>2964.3492903536198</v>
      </c>
      <c r="AB57" s="187">
        <f t="shared" si="33"/>
        <v>988.11643011787328</v>
      </c>
      <c r="AC57" s="184">
        <f t="shared" si="34"/>
        <v>8</v>
      </c>
      <c r="AD57" s="551"/>
      <c r="AE57" s="190">
        <v>3</v>
      </c>
      <c r="AF57" s="190">
        <v>2964.9661954517528</v>
      </c>
      <c r="AG57" s="187">
        <f t="shared" si="35"/>
        <v>988.32206515058431</v>
      </c>
      <c r="AH57" s="184">
        <f t="shared" si="36"/>
        <v>8</v>
      </c>
      <c r="AI57" s="551"/>
      <c r="AJ57" s="190">
        <v>3</v>
      </c>
      <c r="AK57" s="190">
        <v>2965.1118210862605</v>
      </c>
      <c r="AL57" s="187">
        <f t="shared" si="37"/>
        <v>988.37060702875351</v>
      </c>
      <c r="AM57" s="184">
        <f t="shared" si="38"/>
        <v>8</v>
      </c>
      <c r="AN57" s="551"/>
      <c r="AO57" s="190">
        <v>3</v>
      </c>
      <c r="AP57" s="190">
        <v>2965.3310839308333</v>
      </c>
      <c r="AQ57" s="187">
        <f t="shared" si="39"/>
        <v>988.44369464361114</v>
      </c>
      <c r="AR57" s="184">
        <f t="shared" si="40"/>
        <v>8</v>
      </c>
      <c r="AS57" s="551"/>
      <c r="AT57" s="190">
        <v>3</v>
      </c>
      <c r="AU57" s="190">
        <v>2965.6952169076758</v>
      </c>
      <c r="AV57" s="187">
        <f t="shared" si="41"/>
        <v>988.56507230255863</v>
      </c>
      <c r="AW57" s="184">
        <f t="shared" si="42"/>
        <v>8</v>
      </c>
      <c r="AX57" s="551"/>
    </row>
    <row r="58" spans="2:50" ht="14.25" customHeight="1">
      <c r="B58" s="525"/>
      <c r="C58" s="182">
        <v>14</v>
      </c>
      <c r="D58" s="185" t="s">
        <v>548</v>
      </c>
      <c r="E58" s="186">
        <v>5</v>
      </c>
      <c r="F58" s="182">
        <v>3300</v>
      </c>
      <c r="G58" s="187">
        <f t="shared" si="29"/>
        <v>660</v>
      </c>
      <c r="H58" s="554"/>
      <c r="I58" s="188">
        <f t="shared" si="30"/>
        <v>5</v>
      </c>
      <c r="J58" s="188">
        <f t="shared" si="30"/>
        <v>2964.5826230600937</v>
      </c>
      <c r="K58" s="189">
        <f t="shared" si="30"/>
        <v>592.91652461201863</v>
      </c>
      <c r="L58" s="555"/>
      <c r="M58" s="188">
        <f>RANK(K58, K$45:$K$77)</f>
        <v>27</v>
      </c>
      <c r="N58" s="553"/>
      <c r="O58" s="533"/>
      <c r="P58" s="190">
        <v>5</v>
      </c>
      <c r="Q58" s="190">
        <v>2963.5714285714243</v>
      </c>
      <c r="R58" s="187">
        <f t="shared" si="27"/>
        <v>592.71428571428487</v>
      </c>
      <c r="S58" s="184">
        <f t="shared" si="31"/>
        <v>27</v>
      </c>
      <c r="T58" s="551"/>
      <c r="U58" s="190">
        <v>5</v>
      </c>
      <c r="V58" s="190">
        <v>2964.6090534979467</v>
      </c>
      <c r="W58" s="187">
        <f t="shared" si="28"/>
        <v>592.92181069958929</v>
      </c>
      <c r="X58" s="184">
        <f t="shared" si="32"/>
        <v>27</v>
      </c>
      <c r="Y58" s="551"/>
      <c r="Z58" s="190">
        <v>5</v>
      </c>
      <c r="AA58" s="190">
        <v>2964.1509433962251</v>
      </c>
      <c r="AB58" s="187">
        <f t="shared" si="33"/>
        <v>592.830188679245</v>
      </c>
      <c r="AC58" s="184">
        <f t="shared" si="34"/>
        <v>27</v>
      </c>
      <c r="AD58" s="551"/>
      <c r="AE58" s="190">
        <v>5</v>
      </c>
      <c r="AF58" s="190">
        <v>2963.3357296908698</v>
      </c>
      <c r="AG58" s="187">
        <f t="shared" si="35"/>
        <v>592.66714593817392</v>
      </c>
      <c r="AH58" s="184">
        <f t="shared" si="36"/>
        <v>27</v>
      </c>
      <c r="AI58" s="551"/>
      <c r="AJ58" s="190">
        <v>5</v>
      </c>
      <c r="AK58" s="190">
        <v>2964.7058823529392</v>
      </c>
      <c r="AL58" s="187">
        <f t="shared" si="37"/>
        <v>592.94117647058783</v>
      </c>
      <c r="AM58" s="184">
        <f t="shared" si="38"/>
        <v>27</v>
      </c>
      <c r="AN58" s="551"/>
      <c r="AO58" s="190">
        <v>5</v>
      </c>
      <c r="AP58" s="190">
        <v>2965.4064272211772</v>
      </c>
      <c r="AQ58" s="187">
        <f t="shared" si="39"/>
        <v>593.08128544423539</v>
      </c>
      <c r="AR58" s="184">
        <f t="shared" si="40"/>
        <v>27</v>
      </c>
      <c r="AS58" s="551"/>
      <c r="AT58" s="190">
        <v>5</v>
      </c>
      <c r="AU58" s="190">
        <v>2966.2988966900725</v>
      </c>
      <c r="AV58" s="187">
        <f t="shared" si="41"/>
        <v>593.25977933801448</v>
      </c>
      <c r="AW58" s="184">
        <f t="shared" si="42"/>
        <v>26</v>
      </c>
      <c r="AX58" s="551"/>
    </row>
    <row r="59" spans="2:50" ht="14.25" customHeight="1">
      <c r="B59" s="525"/>
      <c r="C59" s="182">
        <v>15</v>
      </c>
      <c r="D59" s="185" t="s">
        <v>416</v>
      </c>
      <c r="E59" s="186">
        <v>5</v>
      </c>
      <c r="F59" s="182">
        <v>3600</v>
      </c>
      <c r="G59" s="187">
        <f t="shared" si="29"/>
        <v>720</v>
      </c>
      <c r="H59" s="554"/>
      <c r="I59" s="188">
        <f t="shared" si="30"/>
        <v>5</v>
      </c>
      <c r="J59" s="188">
        <f t="shared" si="30"/>
        <v>3166.4618560184085</v>
      </c>
      <c r="K59" s="189">
        <f t="shared" si="30"/>
        <v>633.29237120368168</v>
      </c>
      <c r="L59" s="555"/>
      <c r="M59" s="188">
        <f>RANK(K59, K$45:$K$77)</f>
        <v>23</v>
      </c>
      <c r="N59" s="553"/>
      <c r="O59" s="533"/>
      <c r="P59" s="190">
        <v>5</v>
      </c>
      <c r="Q59" s="190">
        <v>3153.9913895451309</v>
      </c>
      <c r="R59" s="187">
        <f t="shared" si="27"/>
        <v>630.79827790902618</v>
      </c>
      <c r="S59" s="184">
        <f t="shared" si="31"/>
        <v>22</v>
      </c>
      <c r="T59" s="551"/>
      <c r="U59" s="190">
        <v>5</v>
      </c>
      <c r="V59" s="190">
        <v>3167.356538726217</v>
      </c>
      <c r="W59" s="187">
        <f t="shared" si="28"/>
        <v>633.47130774524339</v>
      </c>
      <c r="X59" s="184">
        <f t="shared" si="32"/>
        <v>23</v>
      </c>
      <c r="Y59" s="551"/>
      <c r="Z59" s="190">
        <v>5</v>
      </c>
      <c r="AA59" s="190">
        <v>3168.5222897808217</v>
      </c>
      <c r="AB59" s="187">
        <f t="shared" si="33"/>
        <v>633.70445795616433</v>
      </c>
      <c r="AC59" s="184">
        <f t="shared" si="34"/>
        <v>23</v>
      </c>
      <c r="AD59" s="551"/>
      <c r="AE59" s="190">
        <v>5</v>
      </c>
      <c r="AF59" s="190">
        <v>3168.790488832889</v>
      </c>
      <c r="AG59" s="187">
        <f t="shared" si="35"/>
        <v>633.75809776657775</v>
      </c>
      <c r="AH59" s="184">
        <f t="shared" si="36"/>
        <v>23</v>
      </c>
      <c r="AI59" s="551"/>
      <c r="AJ59" s="190">
        <v>5</v>
      </c>
      <c r="AK59" s="190">
        <v>3168.6039048450366</v>
      </c>
      <c r="AL59" s="187">
        <f t="shared" si="37"/>
        <v>633.72078096900736</v>
      </c>
      <c r="AM59" s="184">
        <f t="shared" si="38"/>
        <v>23</v>
      </c>
      <c r="AN59" s="551"/>
      <c r="AO59" s="190">
        <v>5</v>
      </c>
      <c r="AP59" s="190">
        <v>3169.01408450704</v>
      </c>
      <c r="AQ59" s="187">
        <f t="shared" si="39"/>
        <v>633.80281690140805</v>
      </c>
      <c r="AR59" s="184">
        <f t="shared" si="40"/>
        <v>23</v>
      </c>
      <c r="AS59" s="551"/>
      <c r="AT59" s="190">
        <v>5</v>
      </c>
      <c r="AU59" s="190">
        <v>3168.9542958917277</v>
      </c>
      <c r="AV59" s="187">
        <f t="shared" si="41"/>
        <v>633.7908591783455</v>
      </c>
      <c r="AW59" s="184">
        <f t="shared" si="42"/>
        <v>23</v>
      </c>
      <c r="AX59" s="551"/>
    </row>
    <row r="60" spans="2:50" ht="14.25" customHeight="1">
      <c r="B60" s="525"/>
      <c r="C60" s="182">
        <v>16</v>
      </c>
      <c r="D60" s="185" t="s">
        <v>415</v>
      </c>
      <c r="E60" s="186">
        <v>3</v>
      </c>
      <c r="F60" s="182">
        <v>3600</v>
      </c>
      <c r="G60" s="187">
        <f t="shared" si="29"/>
        <v>1200</v>
      </c>
      <c r="H60" s="554"/>
      <c r="I60" s="188">
        <f t="shared" si="30"/>
        <v>3</v>
      </c>
      <c r="J60" s="188">
        <f t="shared" si="30"/>
        <v>3165.0733901321059</v>
      </c>
      <c r="K60" s="189">
        <f t="shared" si="30"/>
        <v>1055.0244633773684</v>
      </c>
      <c r="L60" s="555"/>
      <c r="M60" s="188">
        <f>RANK(K60, K$45:$K$77)</f>
        <v>6</v>
      </c>
      <c r="N60" s="553"/>
      <c r="O60" s="533"/>
      <c r="P60" s="190">
        <v>3</v>
      </c>
      <c r="Q60" s="190">
        <v>3150.2039725196391</v>
      </c>
      <c r="R60" s="187">
        <f t="shared" si="27"/>
        <v>1050.0679908398797</v>
      </c>
      <c r="S60" s="184">
        <f t="shared" si="31"/>
        <v>5</v>
      </c>
      <c r="T60" s="551"/>
      <c r="U60" s="190">
        <v>3</v>
      </c>
      <c r="V60" s="190">
        <v>3167.6636292701014</v>
      </c>
      <c r="W60" s="187">
        <f t="shared" si="28"/>
        <v>1055.8878764233671</v>
      </c>
      <c r="X60" s="184">
        <f t="shared" si="32"/>
        <v>3</v>
      </c>
      <c r="Y60" s="551"/>
      <c r="Z60" s="190">
        <v>3</v>
      </c>
      <c r="AA60" s="190">
        <v>3166.8867056452932</v>
      </c>
      <c r="AB60" s="187">
        <f t="shared" si="33"/>
        <v>1055.6289018817645</v>
      </c>
      <c r="AC60" s="184">
        <f t="shared" si="34"/>
        <v>5</v>
      </c>
      <c r="AD60" s="551"/>
      <c r="AE60" s="190">
        <v>3</v>
      </c>
      <c r="AF60" s="190">
        <v>3166.9797353193808</v>
      </c>
      <c r="AG60" s="187">
        <f t="shared" si="35"/>
        <v>1055.6599117731269</v>
      </c>
      <c r="AH60" s="184">
        <f t="shared" si="36"/>
        <v>5</v>
      </c>
      <c r="AI60" s="551"/>
      <c r="AJ60" s="190">
        <v>3</v>
      </c>
      <c r="AK60" s="190">
        <v>3167.2600007738229</v>
      </c>
      <c r="AL60" s="187">
        <f t="shared" si="37"/>
        <v>1055.7533335912742</v>
      </c>
      <c r="AM60" s="184">
        <f t="shared" si="38"/>
        <v>6</v>
      </c>
      <c r="AN60" s="551"/>
      <c r="AO60" s="190">
        <v>3</v>
      </c>
      <c r="AP60" s="190">
        <v>3167.8649910339213</v>
      </c>
      <c r="AQ60" s="187">
        <f t="shared" si="39"/>
        <v>1055.9549970113071</v>
      </c>
      <c r="AR60" s="184">
        <f t="shared" si="40"/>
        <v>6</v>
      </c>
      <c r="AS60" s="551"/>
      <c r="AT60" s="190">
        <v>3</v>
      </c>
      <c r="AU60" s="190">
        <v>3168.6546963625815</v>
      </c>
      <c r="AV60" s="187">
        <f t="shared" si="41"/>
        <v>1056.2182321208604</v>
      </c>
      <c r="AW60" s="184">
        <f t="shared" si="42"/>
        <v>5</v>
      </c>
      <c r="AX60" s="551"/>
    </row>
    <row r="61" spans="2:50" ht="14.25" customHeight="1">
      <c r="B61" s="525"/>
      <c r="C61" s="182">
        <v>17</v>
      </c>
      <c r="D61" s="185" t="s">
        <v>417</v>
      </c>
      <c r="E61" s="186">
        <v>4</v>
      </c>
      <c r="F61" s="182">
        <v>3600</v>
      </c>
      <c r="G61" s="187">
        <f t="shared" si="29"/>
        <v>900</v>
      </c>
      <c r="H61" s="554"/>
      <c r="I61" s="188">
        <f t="shared" si="30"/>
        <v>4</v>
      </c>
      <c r="J61" s="188">
        <f t="shared" si="30"/>
        <v>3166.4482428712658</v>
      </c>
      <c r="K61" s="189">
        <f t="shared" si="30"/>
        <v>791.61206071781646</v>
      </c>
      <c r="L61" s="555"/>
      <c r="M61" s="188">
        <f>RANK(K61, K$45:$K$77)</f>
        <v>13</v>
      </c>
      <c r="N61" s="553"/>
      <c r="O61" s="533"/>
      <c r="P61" s="190">
        <v>4</v>
      </c>
      <c r="Q61" s="190">
        <v>3154.1016659110774</v>
      </c>
      <c r="R61" s="187">
        <f t="shared" si="27"/>
        <v>788.52541647776934</v>
      </c>
      <c r="S61" s="184">
        <f t="shared" si="31"/>
        <v>13</v>
      </c>
      <c r="T61" s="551"/>
      <c r="U61" s="190">
        <v>4</v>
      </c>
      <c r="V61" s="190">
        <v>3167.4980930587412</v>
      </c>
      <c r="W61" s="187">
        <f t="shared" si="28"/>
        <v>791.87452326468531</v>
      </c>
      <c r="X61" s="184">
        <f t="shared" si="32"/>
        <v>13</v>
      </c>
      <c r="Y61" s="551"/>
      <c r="Z61" s="190">
        <v>4</v>
      </c>
      <c r="AA61" s="190">
        <v>3166.9892417629135</v>
      </c>
      <c r="AB61" s="187">
        <f t="shared" si="33"/>
        <v>791.74731044072837</v>
      </c>
      <c r="AC61" s="184">
        <f t="shared" si="34"/>
        <v>13</v>
      </c>
      <c r="AD61" s="551"/>
      <c r="AE61" s="190">
        <v>4</v>
      </c>
      <c r="AF61" s="190">
        <v>3168.472790115984</v>
      </c>
      <c r="AG61" s="187">
        <f t="shared" si="35"/>
        <v>792.11819752899601</v>
      </c>
      <c r="AH61" s="184">
        <f t="shared" si="36"/>
        <v>13</v>
      </c>
      <c r="AI61" s="551"/>
      <c r="AJ61" s="190">
        <v>4</v>
      </c>
      <c r="AK61" s="190">
        <v>3169.3076579015478</v>
      </c>
      <c r="AL61" s="187">
        <f t="shared" si="37"/>
        <v>792.32691447538696</v>
      </c>
      <c r="AM61" s="184">
        <f t="shared" si="38"/>
        <v>13</v>
      </c>
      <c r="AN61" s="551"/>
      <c r="AO61" s="190">
        <v>4</v>
      </c>
      <c r="AP61" s="190">
        <v>3169.3618027299799</v>
      </c>
      <c r="AQ61" s="187">
        <f t="shared" si="39"/>
        <v>792.34045068249497</v>
      </c>
      <c r="AR61" s="184">
        <f t="shared" si="40"/>
        <v>13</v>
      </c>
      <c r="AS61" s="551"/>
      <c r="AT61" s="190">
        <v>4</v>
      </c>
      <c r="AU61" s="190">
        <v>3169.4064486186144</v>
      </c>
      <c r="AV61" s="187">
        <f t="shared" si="41"/>
        <v>792.35161215465359</v>
      </c>
      <c r="AW61" s="184">
        <f t="shared" si="42"/>
        <v>13</v>
      </c>
      <c r="AX61" s="551"/>
    </row>
    <row r="62" spans="2:50" ht="14.25" customHeight="1">
      <c r="B62" s="525"/>
      <c r="C62" s="182">
        <v>18</v>
      </c>
      <c r="D62" s="185" t="s">
        <v>349</v>
      </c>
      <c r="E62" s="186">
        <v>5</v>
      </c>
      <c r="F62" s="182">
        <v>3300</v>
      </c>
      <c r="G62" s="187">
        <f t="shared" si="29"/>
        <v>660</v>
      </c>
      <c r="H62" s="554"/>
      <c r="I62" s="188">
        <f t="shared" si="30"/>
        <v>5</v>
      </c>
      <c r="J62" s="188">
        <f t="shared" si="30"/>
        <v>2964.8007328399135</v>
      </c>
      <c r="K62" s="189">
        <f t="shared" si="30"/>
        <v>592.96014656798263</v>
      </c>
      <c r="L62" s="555"/>
      <c r="M62" s="188">
        <f>RANK(K62, K$45:$K$77)</f>
        <v>26</v>
      </c>
      <c r="N62" s="553"/>
      <c r="O62" s="533"/>
      <c r="P62" s="190">
        <v>5</v>
      </c>
      <c r="Q62" s="190">
        <v>2967.7241379310417</v>
      </c>
      <c r="R62" s="187">
        <f t="shared" si="27"/>
        <v>593.54482758620838</v>
      </c>
      <c r="S62" s="184">
        <f t="shared" si="31"/>
        <v>26</v>
      </c>
      <c r="T62" s="551"/>
      <c r="U62" s="190">
        <v>5</v>
      </c>
      <c r="V62" s="190">
        <v>2968.4210526315746</v>
      </c>
      <c r="W62" s="187">
        <f t="shared" si="28"/>
        <v>593.68421052631493</v>
      </c>
      <c r="X62" s="184">
        <f t="shared" si="32"/>
        <v>25</v>
      </c>
      <c r="Y62" s="551"/>
      <c r="Z62" s="190">
        <v>5</v>
      </c>
      <c r="AA62" s="190">
        <v>2969.5336787564747</v>
      </c>
      <c r="AB62" s="187">
        <f t="shared" si="33"/>
        <v>593.90673575129495</v>
      </c>
      <c r="AC62" s="184">
        <f t="shared" si="34"/>
        <v>25</v>
      </c>
      <c r="AD62" s="551"/>
      <c r="AE62" s="190">
        <v>5</v>
      </c>
      <c r="AF62" s="190">
        <v>2969.4797687861351</v>
      </c>
      <c r="AG62" s="187">
        <f t="shared" si="35"/>
        <v>593.89595375722706</v>
      </c>
      <c r="AH62" s="184">
        <f t="shared" si="36"/>
        <v>25</v>
      </c>
      <c r="AI62" s="551"/>
      <c r="AJ62" s="190">
        <v>5</v>
      </c>
      <c r="AK62" s="190">
        <v>2969.7329376854609</v>
      </c>
      <c r="AL62" s="187">
        <f t="shared" si="37"/>
        <v>593.94658753709223</v>
      </c>
      <c r="AM62" s="184">
        <f t="shared" si="38"/>
        <v>25</v>
      </c>
      <c r="AN62" s="551"/>
      <c r="AO62" s="190">
        <v>5</v>
      </c>
      <c r="AP62" s="190">
        <v>2970.0397702165201</v>
      </c>
      <c r="AQ62" s="187">
        <f t="shared" si="39"/>
        <v>594.00795404330404</v>
      </c>
      <c r="AR62" s="184">
        <f t="shared" si="40"/>
        <v>25</v>
      </c>
      <c r="AS62" s="551"/>
      <c r="AT62" s="190">
        <v>5</v>
      </c>
      <c r="AU62" s="190">
        <v>2938.6737838721847</v>
      </c>
      <c r="AV62" s="187">
        <f t="shared" si="41"/>
        <v>587.73475677443696</v>
      </c>
      <c r="AW62" s="184">
        <f t="shared" si="42"/>
        <v>27</v>
      </c>
      <c r="AX62" s="551"/>
    </row>
    <row r="63" spans="2:50" ht="14.25" customHeight="1">
      <c r="B63" s="525"/>
      <c r="C63" s="182">
        <v>19</v>
      </c>
      <c r="D63" s="185" t="s">
        <v>410</v>
      </c>
      <c r="E63" s="186">
        <v>3</v>
      </c>
      <c r="F63" s="182">
        <v>3600</v>
      </c>
      <c r="G63" s="187">
        <f t="shared" si="29"/>
        <v>1200</v>
      </c>
      <c r="H63" s="554"/>
      <c r="I63" s="188">
        <f t="shared" si="30"/>
        <v>3</v>
      </c>
      <c r="J63" s="188">
        <f t="shared" si="30"/>
        <v>3166.0366728768618</v>
      </c>
      <c r="K63" s="189">
        <f t="shared" si="30"/>
        <v>1055.3455576256206</v>
      </c>
      <c r="L63" s="555"/>
      <c r="M63" s="188">
        <f>RANK(K63, K$45:$K$77)</f>
        <v>3</v>
      </c>
      <c r="N63" s="553"/>
      <c r="O63" s="533"/>
      <c r="P63" s="190">
        <v>3</v>
      </c>
      <c r="Q63" s="190">
        <v>3154.3872346115631</v>
      </c>
      <c r="R63" s="187">
        <f t="shared" si="27"/>
        <v>1051.4624115371878</v>
      </c>
      <c r="S63" s="184">
        <f t="shared" si="31"/>
        <v>2</v>
      </c>
      <c r="T63" s="551"/>
      <c r="U63" s="190">
        <v>3</v>
      </c>
      <c r="V63" s="190">
        <v>3167.4657873742644</v>
      </c>
      <c r="W63" s="187">
        <f t="shared" si="28"/>
        <v>1055.8219291247549</v>
      </c>
      <c r="X63" s="184">
        <f t="shared" si="32"/>
        <v>4</v>
      </c>
      <c r="Y63" s="551"/>
      <c r="Z63" s="190">
        <v>3</v>
      </c>
      <c r="AA63" s="190">
        <v>3167.3735725938018</v>
      </c>
      <c r="AB63" s="187">
        <f t="shared" si="33"/>
        <v>1055.7911908646006</v>
      </c>
      <c r="AC63" s="184">
        <f t="shared" si="34"/>
        <v>4</v>
      </c>
      <c r="AD63" s="551"/>
      <c r="AE63" s="190">
        <v>3</v>
      </c>
      <c r="AF63" s="190">
        <v>3167.6267281105975</v>
      </c>
      <c r="AG63" s="187">
        <f t="shared" si="35"/>
        <v>1055.8755760368658</v>
      </c>
      <c r="AH63" s="184">
        <f t="shared" si="36"/>
        <v>4</v>
      </c>
      <c r="AI63" s="551"/>
      <c r="AJ63" s="190">
        <v>3</v>
      </c>
      <c r="AK63" s="190">
        <v>3168.3065693430672</v>
      </c>
      <c r="AL63" s="187">
        <f t="shared" si="37"/>
        <v>1056.1021897810224</v>
      </c>
      <c r="AM63" s="184">
        <f t="shared" si="38"/>
        <v>5</v>
      </c>
      <c r="AN63" s="551"/>
      <c r="AO63" s="190">
        <v>3</v>
      </c>
      <c r="AP63" s="190">
        <v>3168.8045629146773</v>
      </c>
      <c r="AQ63" s="187">
        <f t="shared" si="39"/>
        <v>1056.2681876382258</v>
      </c>
      <c r="AR63" s="184">
        <f t="shared" si="40"/>
        <v>5</v>
      </c>
      <c r="AS63" s="551"/>
      <c r="AT63" s="190">
        <v>3</v>
      </c>
      <c r="AU63" s="190">
        <v>3168.292255190062</v>
      </c>
      <c r="AV63" s="187">
        <f t="shared" si="41"/>
        <v>1056.0974183966873</v>
      </c>
      <c r="AW63" s="184">
        <f t="shared" si="42"/>
        <v>7</v>
      </c>
      <c r="AX63" s="551"/>
    </row>
    <row r="64" spans="2:50" ht="14.25" customHeight="1">
      <c r="B64" s="525"/>
      <c r="C64" s="182">
        <v>20</v>
      </c>
      <c r="D64" s="185" t="s">
        <v>414</v>
      </c>
      <c r="E64" s="186">
        <v>3</v>
      </c>
      <c r="F64" s="182">
        <v>3600</v>
      </c>
      <c r="G64" s="187">
        <f t="shared" si="29"/>
        <v>1200</v>
      </c>
      <c r="H64" s="554"/>
      <c r="I64" s="188">
        <f t="shared" si="30"/>
        <v>3</v>
      </c>
      <c r="J64" s="188">
        <f t="shared" si="30"/>
        <v>3167.771001744572</v>
      </c>
      <c r="K64" s="189">
        <f t="shared" si="30"/>
        <v>1055.9236672481907</v>
      </c>
      <c r="L64" s="555"/>
      <c r="M64" s="188">
        <f>RANK(K64, K$45:$K$77)</f>
        <v>1</v>
      </c>
      <c r="N64" s="553"/>
      <c r="O64" s="533"/>
      <c r="P64" s="190">
        <v>3</v>
      </c>
      <c r="Q64" s="190">
        <v>3154.2213883677287</v>
      </c>
      <c r="R64" s="187">
        <f t="shared" si="27"/>
        <v>1051.4071294559096</v>
      </c>
      <c r="S64" s="184">
        <f t="shared" si="31"/>
        <v>3</v>
      </c>
      <c r="T64" s="551"/>
      <c r="U64" s="190">
        <v>3</v>
      </c>
      <c r="V64" s="190">
        <v>3167.9999999999882</v>
      </c>
      <c r="W64" s="187">
        <f t="shared" si="28"/>
        <v>1055.9999999999961</v>
      </c>
      <c r="X64" s="184">
        <f t="shared" si="32"/>
        <v>2</v>
      </c>
      <c r="Y64" s="551"/>
      <c r="Z64" s="190">
        <v>3</v>
      </c>
      <c r="AA64" s="190">
        <v>3169.7104677060147</v>
      </c>
      <c r="AB64" s="187">
        <f t="shared" si="33"/>
        <v>1056.5701559020049</v>
      </c>
      <c r="AC64" s="184">
        <f t="shared" si="34"/>
        <v>1</v>
      </c>
      <c r="AD64" s="551"/>
      <c r="AE64" s="190">
        <v>3</v>
      </c>
      <c r="AF64" s="190">
        <v>3170.420168067234</v>
      </c>
      <c r="AG64" s="187">
        <f t="shared" si="35"/>
        <v>1056.806722689078</v>
      </c>
      <c r="AH64" s="184">
        <f t="shared" si="36"/>
        <v>1</v>
      </c>
      <c r="AI64" s="551"/>
      <c r="AJ64" s="190">
        <v>3</v>
      </c>
      <c r="AK64" s="190">
        <v>3171.4878892733591</v>
      </c>
      <c r="AL64" s="187">
        <f t="shared" si="37"/>
        <v>1057.1626297577864</v>
      </c>
      <c r="AM64" s="184">
        <f t="shared" si="38"/>
        <v>1</v>
      </c>
      <c r="AN64" s="551"/>
      <c r="AO64" s="190">
        <v>3</v>
      </c>
      <c r="AP64" s="190">
        <v>3170.4421562689358</v>
      </c>
      <c r="AQ64" s="187">
        <f t="shared" si="39"/>
        <v>1056.8140520896452</v>
      </c>
      <c r="AR64" s="184">
        <f t="shared" si="40"/>
        <v>1</v>
      </c>
      <c r="AS64" s="551"/>
      <c r="AT64" s="190">
        <v>3</v>
      </c>
      <c r="AU64" s="190">
        <v>3170.1149425287449</v>
      </c>
      <c r="AV64" s="187">
        <f t="shared" si="41"/>
        <v>1056.7049808429149</v>
      </c>
      <c r="AW64" s="184">
        <f t="shared" si="42"/>
        <v>2</v>
      </c>
      <c r="AX64" s="551"/>
    </row>
    <row r="65" spans="2:50" ht="14.25" customHeight="1">
      <c r="B65" s="525"/>
      <c r="C65" s="182">
        <v>21</v>
      </c>
      <c r="D65" s="185" t="s">
        <v>413</v>
      </c>
      <c r="E65" s="186">
        <v>4</v>
      </c>
      <c r="F65" s="182">
        <v>3300</v>
      </c>
      <c r="G65" s="187">
        <f t="shared" si="29"/>
        <v>825</v>
      </c>
      <c r="H65" s="554"/>
      <c r="I65" s="188">
        <f t="shared" si="30"/>
        <v>4</v>
      </c>
      <c r="J65" s="188">
        <f t="shared" si="30"/>
        <v>2939.1064564859289</v>
      </c>
      <c r="K65" s="189">
        <f t="shared" si="30"/>
        <v>734.77661412148223</v>
      </c>
      <c r="L65" s="555"/>
      <c r="M65" s="188">
        <f>RANK(K65, K$45:$K$77)</f>
        <v>16</v>
      </c>
      <c r="N65" s="553"/>
      <c r="O65" s="533"/>
      <c r="P65" s="190">
        <v>4</v>
      </c>
      <c r="Q65" s="190">
        <v>2934.4645142743734</v>
      </c>
      <c r="R65" s="187">
        <f t="shared" si="27"/>
        <v>733.61612856859335</v>
      </c>
      <c r="S65" s="184">
        <f t="shared" si="31"/>
        <v>18</v>
      </c>
      <c r="T65" s="551"/>
      <c r="U65" s="190">
        <v>4</v>
      </c>
      <c r="V65" s="190">
        <v>2936.6346998351978</v>
      </c>
      <c r="W65" s="187">
        <f t="shared" si="28"/>
        <v>734.15867495879945</v>
      </c>
      <c r="X65" s="184">
        <f t="shared" si="32"/>
        <v>17</v>
      </c>
      <c r="Y65" s="551"/>
      <c r="Z65" s="190">
        <v>4</v>
      </c>
      <c r="AA65" s="190">
        <v>2940.1877514528287</v>
      </c>
      <c r="AB65" s="187">
        <f t="shared" si="33"/>
        <v>735.04693786320718</v>
      </c>
      <c r="AC65" s="184">
        <f t="shared" si="34"/>
        <v>16</v>
      </c>
      <c r="AD65" s="551"/>
      <c r="AE65" s="190">
        <v>4</v>
      </c>
      <c r="AF65" s="190">
        <v>2941.040462427748</v>
      </c>
      <c r="AG65" s="187">
        <f t="shared" si="35"/>
        <v>735.26011560693701</v>
      </c>
      <c r="AH65" s="184">
        <f t="shared" si="36"/>
        <v>16</v>
      </c>
      <c r="AI65" s="551"/>
      <c r="AJ65" s="190">
        <v>4</v>
      </c>
      <c r="AK65" s="190">
        <v>2941.5437951549193</v>
      </c>
      <c r="AL65" s="187">
        <f t="shared" si="37"/>
        <v>735.38594878872982</v>
      </c>
      <c r="AM65" s="184">
        <f t="shared" si="38"/>
        <v>16</v>
      </c>
      <c r="AN65" s="551"/>
      <c r="AO65" s="190">
        <v>4</v>
      </c>
      <c r="AP65" s="190">
        <v>2939.9543083753615</v>
      </c>
      <c r="AQ65" s="187">
        <f t="shared" si="39"/>
        <v>734.98857709384038</v>
      </c>
      <c r="AR65" s="184">
        <f t="shared" si="40"/>
        <v>17</v>
      </c>
      <c r="AS65" s="551"/>
      <c r="AT65" s="190">
        <v>4</v>
      </c>
      <c r="AU65" s="190">
        <v>2939.9196638810727</v>
      </c>
      <c r="AV65" s="187">
        <f t="shared" si="41"/>
        <v>734.97991597026817</v>
      </c>
      <c r="AW65" s="184">
        <f t="shared" si="42"/>
        <v>17</v>
      </c>
      <c r="AX65" s="551"/>
    </row>
    <row r="66" spans="2:50" ht="14.25" customHeight="1">
      <c r="B66" s="525"/>
      <c r="C66" s="182">
        <v>22</v>
      </c>
      <c r="D66" s="185" t="s">
        <v>409</v>
      </c>
      <c r="E66" s="186">
        <v>4</v>
      </c>
      <c r="F66" s="182">
        <v>3300</v>
      </c>
      <c r="G66" s="187">
        <f>F66/E66</f>
        <v>825</v>
      </c>
      <c r="H66" s="554"/>
      <c r="I66" s="188">
        <f t="shared" si="30"/>
        <v>4</v>
      </c>
      <c r="J66" s="188">
        <f t="shared" si="30"/>
        <v>2938.6636998882645</v>
      </c>
      <c r="K66" s="189">
        <f t="shared" si="30"/>
        <v>734.66592497206614</v>
      </c>
      <c r="L66" s="555"/>
      <c r="M66" s="188">
        <f>RANK(K66, K$45:$K$77)</f>
        <v>17</v>
      </c>
      <c r="N66" s="553"/>
      <c r="O66" s="533"/>
      <c r="P66" s="190">
        <v>4</v>
      </c>
      <c r="Q66" s="190">
        <v>2934.5315368396346</v>
      </c>
      <c r="R66" s="187">
        <f t="shared" si="27"/>
        <v>733.63288420990864</v>
      </c>
      <c r="S66" s="184">
        <f t="shared" si="31"/>
        <v>17</v>
      </c>
      <c r="T66" s="551"/>
      <c r="U66" s="190">
        <v>4</v>
      </c>
      <c r="V66" s="190">
        <v>2937.2186817983456</v>
      </c>
      <c r="W66" s="187">
        <f t="shared" si="28"/>
        <v>734.30467044958641</v>
      </c>
      <c r="X66" s="184">
        <f t="shared" si="32"/>
        <v>16</v>
      </c>
      <c r="Y66" s="551"/>
      <c r="Z66" s="190">
        <v>4</v>
      </c>
      <c r="AA66" s="190">
        <v>2939.4085740774217</v>
      </c>
      <c r="AB66" s="187">
        <f t="shared" si="33"/>
        <v>734.85214351935542</v>
      </c>
      <c r="AC66" s="184">
        <f t="shared" si="34"/>
        <v>17</v>
      </c>
      <c r="AD66" s="551"/>
      <c r="AE66" s="190">
        <v>4</v>
      </c>
      <c r="AF66" s="190">
        <v>2939.4085679905402</v>
      </c>
      <c r="AG66" s="187">
        <f t="shared" si="35"/>
        <v>734.85214199763504</v>
      </c>
      <c r="AH66" s="184">
        <f t="shared" si="36"/>
        <v>17</v>
      </c>
      <c r="AI66" s="551"/>
      <c r="AJ66" s="190">
        <v>4</v>
      </c>
      <c r="AK66" s="190">
        <v>2939.7606655210648</v>
      </c>
      <c r="AL66" s="187">
        <f t="shared" si="37"/>
        <v>734.94016638026619</v>
      </c>
      <c r="AM66" s="184">
        <f t="shared" si="38"/>
        <v>17</v>
      </c>
      <c r="AN66" s="551"/>
      <c r="AO66" s="190">
        <v>4</v>
      </c>
      <c r="AP66" s="190">
        <v>2940.3785118138021</v>
      </c>
      <c r="AQ66" s="187">
        <f t="shared" si="39"/>
        <v>735.09462795345053</v>
      </c>
      <c r="AR66" s="184">
        <f t="shared" si="40"/>
        <v>16</v>
      </c>
      <c r="AS66" s="551"/>
      <c r="AT66" s="190">
        <v>4</v>
      </c>
      <c r="AU66" s="190">
        <v>2939.9393611770438</v>
      </c>
      <c r="AV66" s="187">
        <f t="shared" si="41"/>
        <v>734.98484029426095</v>
      </c>
      <c r="AW66" s="184">
        <f t="shared" si="42"/>
        <v>16</v>
      </c>
      <c r="AX66" s="551"/>
    </row>
    <row r="67" spans="2:50" ht="14.25" customHeight="1">
      <c r="B67" s="525"/>
      <c r="C67" s="182">
        <v>23</v>
      </c>
      <c r="D67" s="185" t="s">
        <v>412</v>
      </c>
      <c r="E67" s="186">
        <v>4</v>
      </c>
      <c r="F67" s="182">
        <v>3000</v>
      </c>
      <c r="G67" s="187">
        <f t="shared" ref="G67:G74" si="43">F67/E67</f>
        <v>750</v>
      </c>
      <c r="H67" s="554"/>
      <c r="I67" s="188">
        <f t="shared" si="30"/>
        <v>4</v>
      </c>
      <c r="J67" s="188">
        <f t="shared" si="30"/>
        <v>2694.5260710441507</v>
      </c>
      <c r="K67" s="189">
        <f t="shared" si="30"/>
        <v>673.63151776103768</v>
      </c>
      <c r="L67" s="555"/>
      <c r="M67" s="188">
        <f>RANK(K67, K$45:$K$77)</f>
        <v>20</v>
      </c>
      <c r="N67" s="553"/>
      <c r="O67" s="533"/>
      <c r="P67" s="190">
        <v>4</v>
      </c>
      <c r="Q67" s="190">
        <v>2694.9343339587231</v>
      </c>
      <c r="R67" s="187">
        <f t="shared" si="27"/>
        <v>673.73358348968077</v>
      </c>
      <c r="S67" s="184">
        <f t="shared" si="31"/>
        <v>20</v>
      </c>
      <c r="T67" s="551"/>
      <c r="U67" s="190">
        <v>4</v>
      </c>
      <c r="V67" s="190">
        <v>2694.3837753510129</v>
      </c>
      <c r="W67" s="187">
        <f t="shared" si="28"/>
        <v>673.59594383775323</v>
      </c>
      <c r="X67" s="184">
        <f t="shared" si="32"/>
        <v>20</v>
      </c>
      <c r="Y67" s="551"/>
      <c r="Z67" s="190">
        <v>4</v>
      </c>
      <c r="AA67" s="190">
        <v>2694.0502423975245</v>
      </c>
      <c r="AB67" s="187">
        <f t="shared" si="33"/>
        <v>673.51256059938112</v>
      </c>
      <c r="AC67" s="184">
        <f t="shared" si="34"/>
        <v>20</v>
      </c>
      <c r="AD67" s="551"/>
      <c r="AE67" s="190">
        <v>4</v>
      </c>
      <c r="AF67" s="190">
        <v>2693.780848963479</v>
      </c>
      <c r="AG67" s="187">
        <f t="shared" si="35"/>
        <v>673.44521224086975</v>
      </c>
      <c r="AH67" s="184">
        <f t="shared" si="36"/>
        <v>20</v>
      </c>
      <c r="AI67" s="551"/>
      <c r="AJ67" s="190">
        <v>4</v>
      </c>
      <c r="AK67" s="190">
        <v>2694.496534855276</v>
      </c>
      <c r="AL67" s="187">
        <f t="shared" si="37"/>
        <v>673.62413371381899</v>
      </c>
      <c r="AM67" s="184">
        <f t="shared" si="38"/>
        <v>20</v>
      </c>
      <c r="AN67" s="551"/>
      <c r="AO67" s="190">
        <v>4</v>
      </c>
      <c r="AP67" s="190">
        <v>2694.6348733233967</v>
      </c>
      <c r="AQ67" s="187">
        <f t="shared" si="39"/>
        <v>673.65871833084918</v>
      </c>
      <c r="AR67" s="184">
        <f t="shared" si="40"/>
        <v>20</v>
      </c>
      <c r="AS67" s="551"/>
      <c r="AT67" s="190">
        <v>4</v>
      </c>
      <c r="AU67" s="190">
        <v>2695.4018884596426</v>
      </c>
      <c r="AV67" s="187">
        <f t="shared" si="41"/>
        <v>673.85047211491064</v>
      </c>
      <c r="AW67" s="184">
        <f t="shared" si="42"/>
        <v>20</v>
      </c>
      <c r="AX67" s="551"/>
    </row>
    <row r="68" spans="2:50" ht="14.25" customHeight="1">
      <c r="B68" s="525"/>
      <c r="C68" s="182">
        <v>24</v>
      </c>
      <c r="D68" s="185" t="s">
        <v>411</v>
      </c>
      <c r="E68" s="186">
        <v>4</v>
      </c>
      <c r="F68" s="182">
        <v>3300</v>
      </c>
      <c r="G68" s="187">
        <f t="shared" si="43"/>
        <v>825</v>
      </c>
      <c r="H68" s="554"/>
      <c r="I68" s="188">
        <f t="shared" si="30"/>
        <v>4</v>
      </c>
      <c r="J68" s="188">
        <f t="shared" si="30"/>
        <v>2965.130933255035</v>
      </c>
      <c r="K68" s="189">
        <f t="shared" si="30"/>
        <v>741.28273331375874</v>
      </c>
      <c r="L68" s="555"/>
      <c r="M68" s="188">
        <f>RANK(K68, K$45:$K$77)</f>
        <v>15</v>
      </c>
      <c r="N68" s="553"/>
      <c r="O68" s="533"/>
      <c r="P68" s="190">
        <v>4</v>
      </c>
      <c r="Q68" s="190">
        <v>2965.5306718598022</v>
      </c>
      <c r="R68" s="187">
        <f t="shared" si="27"/>
        <v>741.38266796495054</v>
      </c>
      <c r="S68" s="184">
        <f t="shared" si="31"/>
        <v>15</v>
      </c>
      <c r="T68" s="551"/>
      <c r="U68" s="190">
        <v>4</v>
      </c>
      <c r="V68" s="190">
        <v>2965.7841140529627</v>
      </c>
      <c r="W68" s="187">
        <f t="shared" si="28"/>
        <v>741.44602851324066</v>
      </c>
      <c r="X68" s="184">
        <f t="shared" si="32"/>
        <v>15</v>
      </c>
      <c r="Y68" s="551"/>
      <c r="Z68" s="190">
        <v>4</v>
      </c>
      <c r="AA68" s="190">
        <v>2967.1711292200343</v>
      </c>
      <c r="AB68" s="187">
        <f t="shared" si="33"/>
        <v>741.79278230500859</v>
      </c>
      <c r="AC68" s="184">
        <f t="shared" si="34"/>
        <v>15</v>
      </c>
      <c r="AD68" s="551"/>
      <c r="AE68" s="190">
        <v>4</v>
      </c>
      <c r="AF68" s="190">
        <v>2964.7058823529401</v>
      </c>
      <c r="AG68" s="187">
        <f t="shared" si="35"/>
        <v>741.17647058823502</v>
      </c>
      <c r="AH68" s="184">
        <f t="shared" si="36"/>
        <v>15</v>
      </c>
      <c r="AI68" s="551"/>
      <c r="AJ68" s="190">
        <v>4</v>
      </c>
      <c r="AK68" s="190">
        <v>2963.3187772925894</v>
      </c>
      <c r="AL68" s="187">
        <f t="shared" si="37"/>
        <v>740.82969432314735</v>
      </c>
      <c r="AM68" s="184">
        <f t="shared" si="38"/>
        <v>15</v>
      </c>
      <c r="AN68" s="551"/>
      <c r="AO68" s="190">
        <v>4</v>
      </c>
      <c r="AP68" s="190">
        <v>2964.9089165867872</v>
      </c>
      <c r="AQ68" s="187">
        <f t="shared" si="39"/>
        <v>741.2272291466968</v>
      </c>
      <c r="AR68" s="184">
        <f t="shared" si="40"/>
        <v>15</v>
      </c>
      <c r="AS68" s="551"/>
      <c r="AT68" s="190">
        <v>4</v>
      </c>
      <c r="AU68" s="190">
        <v>2964.4970414201316</v>
      </c>
      <c r="AV68" s="187">
        <f t="shared" si="41"/>
        <v>741.1242603550329</v>
      </c>
      <c r="AW68" s="184">
        <f t="shared" si="42"/>
        <v>15</v>
      </c>
      <c r="AX68" s="551"/>
    </row>
    <row r="69" spans="2:50" ht="14.25" customHeight="1">
      <c r="B69" s="525"/>
      <c r="C69" s="182">
        <v>25</v>
      </c>
      <c r="D69" s="185" t="s">
        <v>473</v>
      </c>
      <c r="E69" s="186">
        <v>3</v>
      </c>
      <c r="F69" s="182">
        <v>3300</v>
      </c>
      <c r="G69" s="187">
        <f t="shared" si="43"/>
        <v>1100</v>
      </c>
      <c r="H69" s="554"/>
      <c r="I69" s="188">
        <f t="shared" si="30"/>
        <v>3</v>
      </c>
      <c r="J69" s="188">
        <f t="shared" si="30"/>
        <v>2998.7894417008988</v>
      </c>
      <c r="K69" s="189">
        <f t="shared" si="30"/>
        <v>999.59648056696631</v>
      </c>
      <c r="L69" s="555"/>
      <c r="M69" s="188">
        <f>RANK(K69, K$45:$K$77)</f>
        <v>7</v>
      </c>
      <c r="N69" s="553"/>
      <c r="O69" s="533"/>
      <c r="P69" s="190">
        <v>3</v>
      </c>
      <c r="Q69" s="190">
        <v>2969.9504678040735</v>
      </c>
      <c r="R69" s="187">
        <f t="shared" si="27"/>
        <v>989.98348926802453</v>
      </c>
      <c r="S69" s="184">
        <f t="shared" si="31"/>
        <v>7</v>
      </c>
      <c r="T69" s="551"/>
      <c r="U69" s="190">
        <v>3</v>
      </c>
      <c r="V69" s="190">
        <v>2969.99999999999</v>
      </c>
      <c r="W69" s="187">
        <f t="shared" si="28"/>
        <v>989.9999999999967</v>
      </c>
      <c r="X69" s="184">
        <f t="shared" si="32"/>
        <v>7</v>
      </c>
      <c r="Y69" s="551"/>
      <c r="Z69" s="190">
        <v>3</v>
      </c>
      <c r="AA69" s="190">
        <v>2970.1699181875351</v>
      </c>
      <c r="AB69" s="187">
        <f t="shared" si="33"/>
        <v>990.05663939584508</v>
      </c>
      <c r="AC69" s="184">
        <f t="shared" si="34"/>
        <v>7</v>
      </c>
      <c r="AD69" s="551"/>
      <c r="AE69" s="190">
        <v>3</v>
      </c>
      <c r="AF69" s="190">
        <v>2970.9251101321543</v>
      </c>
      <c r="AG69" s="187">
        <f t="shared" si="35"/>
        <v>990.30837004405146</v>
      </c>
      <c r="AH69" s="184">
        <f t="shared" si="36"/>
        <v>7</v>
      </c>
      <c r="AI69" s="551"/>
      <c r="AJ69" s="190">
        <v>3</v>
      </c>
      <c r="AK69" s="190">
        <v>2970.7491082045226</v>
      </c>
      <c r="AL69" s="187">
        <f t="shared" si="37"/>
        <v>990.24970273484087</v>
      </c>
      <c r="AM69" s="184">
        <f t="shared" si="38"/>
        <v>7</v>
      </c>
      <c r="AN69" s="551"/>
      <c r="AO69" s="190">
        <v>3</v>
      </c>
      <c r="AP69" s="190">
        <v>2971.3375796178389</v>
      </c>
      <c r="AQ69" s="187">
        <f t="shared" si="39"/>
        <v>990.44585987261291</v>
      </c>
      <c r="AR69" s="184">
        <f t="shared" si="40"/>
        <v>7</v>
      </c>
      <c r="AS69" s="551"/>
      <c r="AT69" s="190">
        <v>3</v>
      </c>
      <c r="AU69" s="190">
        <v>3168.393907960176</v>
      </c>
      <c r="AV69" s="187">
        <f t="shared" si="41"/>
        <v>1056.1313026533919</v>
      </c>
      <c r="AW69" s="184">
        <f t="shared" si="42"/>
        <v>6</v>
      </c>
      <c r="AX69" s="551"/>
    </row>
    <row r="70" spans="2:50" ht="14.25" customHeight="1">
      <c r="B70" s="525"/>
      <c r="C70" s="182">
        <v>26</v>
      </c>
      <c r="D70" s="185" t="s">
        <v>484</v>
      </c>
      <c r="E70" s="186">
        <v>4</v>
      </c>
      <c r="F70" s="182">
        <v>3000</v>
      </c>
      <c r="G70" s="187">
        <f t="shared" si="43"/>
        <v>750</v>
      </c>
      <c r="H70" s="554"/>
      <c r="I70" s="188">
        <f t="shared" si="30"/>
        <v>4</v>
      </c>
      <c r="J70" s="188">
        <f t="shared" si="30"/>
        <v>2674.709942257522</v>
      </c>
      <c r="K70" s="189">
        <f t="shared" si="30"/>
        <v>668.6774855643805</v>
      </c>
      <c r="L70" s="555"/>
      <c r="M70" s="188">
        <f>RANK(K70, K$45:$K$77)</f>
        <v>21</v>
      </c>
      <c r="N70" s="553"/>
      <c r="O70" s="533"/>
      <c r="P70" s="190">
        <v>4</v>
      </c>
      <c r="Q70" s="190">
        <v>2674.0688685874939</v>
      </c>
      <c r="R70" s="187">
        <f t="shared" si="27"/>
        <v>668.51721714687346</v>
      </c>
      <c r="S70" s="184">
        <f t="shared" si="31"/>
        <v>21</v>
      </c>
      <c r="T70" s="551"/>
      <c r="U70" s="190">
        <v>4</v>
      </c>
      <c r="V70" s="190">
        <v>2673.9507959478951</v>
      </c>
      <c r="W70" s="187">
        <f t="shared" si="28"/>
        <v>668.48769898697378</v>
      </c>
      <c r="X70" s="184">
        <f t="shared" si="32"/>
        <v>21</v>
      </c>
      <c r="Y70" s="551"/>
      <c r="Z70" s="190">
        <v>4</v>
      </c>
      <c r="AA70" s="190">
        <v>2674.5387453874564</v>
      </c>
      <c r="AB70" s="187">
        <f t="shared" si="33"/>
        <v>668.6346863468641</v>
      </c>
      <c r="AC70" s="184">
        <f t="shared" si="34"/>
        <v>21</v>
      </c>
      <c r="AD70" s="551"/>
      <c r="AE70" s="190">
        <v>4</v>
      </c>
      <c r="AF70" s="190">
        <v>2674.977578475336</v>
      </c>
      <c r="AG70" s="187">
        <f t="shared" si="35"/>
        <v>668.74439461883401</v>
      </c>
      <c r="AH70" s="184">
        <f t="shared" si="36"/>
        <v>21</v>
      </c>
      <c r="AI70" s="551"/>
      <c r="AJ70" s="190">
        <v>4</v>
      </c>
      <c r="AK70" s="190">
        <v>2674.7918243754693</v>
      </c>
      <c r="AL70" s="187">
        <f t="shared" si="37"/>
        <v>668.69795609386733</v>
      </c>
      <c r="AM70" s="184">
        <f t="shared" si="38"/>
        <v>21</v>
      </c>
      <c r="AN70" s="551"/>
      <c r="AO70" s="190">
        <v>4</v>
      </c>
      <c r="AP70" s="190">
        <v>2675.1315789473665</v>
      </c>
      <c r="AQ70" s="187">
        <f t="shared" si="39"/>
        <v>668.78289473684163</v>
      </c>
      <c r="AR70" s="184">
        <f t="shared" si="40"/>
        <v>21</v>
      </c>
      <c r="AS70" s="551"/>
      <c r="AT70" s="190">
        <v>4</v>
      </c>
      <c r="AU70" s="190">
        <v>2675.5102040816337</v>
      </c>
      <c r="AV70" s="187">
        <f t="shared" si="41"/>
        <v>668.87755102040842</v>
      </c>
      <c r="AW70" s="184">
        <f t="shared" si="42"/>
        <v>21</v>
      </c>
      <c r="AX70" s="551"/>
    </row>
    <row r="71" spans="2:50" ht="14.25" customHeight="1">
      <c r="B71" s="525"/>
      <c r="C71" s="182">
        <v>27</v>
      </c>
      <c r="D71" s="185" t="s">
        <v>509</v>
      </c>
      <c r="E71" s="186">
        <v>5</v>
      </c>
      <c r="F71" s="182">
        <v>3000</v>
      </c>
      <c r="G71" s="187">
        <f t="shared" si="43"/>
        <v>600</v>
      </c>
      <c r="H71" s="554"/>
      <c r="I71" s="188">
        <f t="shared" si="30"/>
        <v>5</v>
      </c>
      <c r="J71" s="188">
        <f t="shared" si="30"/>
        <v>2675.4744607503339</v>
      </c>
      <c r="K71" s="189">
        <f t="shared" si="30"/>
        <v>535.09489215006681</v>
      </c>
      <c r="L71" s="555"/>
      <c r="M71" s="188">
        <f>RANK(K71, K$45:$K$77)</f>
        <v>28</v>
      </c>
      <c r="N71" s="553"/>
      <c r="O71" s="533"/>
      <c r="P71" s="190">
        <v>5</v>
      </c>
      <c r="Q71" s="190">
        <v>2674.0206185567017</v>
      </c>
      <c r="R71" s="187">
        <f t="shared" si="27"/>
        <v>534.80412371134037</v>
      </c>
      <c r="S71" s="184">
        <f t="shared" si="31"/>
        <v>28</v>
      </c>
      <c r="T71" s="551"/>
      <c r="U71" s="190">
        <v>5</v>
      </c>
      <c r="V71" s="190">
        <v>2673.8510301109372</v>
      </c>
      <c r="W71" s="187">
        <f t="shared" si="28"/>
        <v>534.77020602218749</v>
      </c>
      <c r="X71" s="184">
        <f t="shared" si="32"/>
        <v>28</v>
      </c>
      <c r="Y71" s="551"/>
      <c r="Z71" s="190">
        <v>5</v>
      </c>
      <c r="AA71" s="190">
        <v>2674.2202418841512</v>
      </c>
      <c r="AB71" s="187">
        <f t="shared" si="33"/>
        <v>534.84404837683019</v>
      </c>
      <c r="AC71" s="184">
        <f t="shared" si="34"/>
        <v>28</v>
      </c>
      <c r="AD71" s="551"/>
      <c r="AE71" s="190">
        <v>5</v>
      </c>
      <c r="AF71" s="190">
        <v>2675.543478260864</v>
      </c>
      <c r="AG71" s="187">
        <f t="shared" si="35"/>
        <v>535.10869565217286</v>
      </c>
      <c r="AH71" s="184">
        <f t="shared" si="36"/>
        <v>28</v>
      </c>
      <c r="AI71" s="551"/>
      <c r="AJ71" s="190">
        <v>5</v>
      </c>
      <c r="AK71" s="190">
        <v>2676.0139049826216</v>
      </c>
      <c r="AL71" s="187">
        <f t="shared" si="37"/>
        <v>535.20278099652433</v>
      </c>
      <c r="AM71" s="184">
        <f t="shared" si="38"/>
        <v>28</v>
      </c>
      <c r="AN71" s="551"/>
      <c r="AO71" s="190">
        <v>5</v>
      </c>
      <c r="AP71" s="190">
        <v>2676.9703172978566</v>
      </c>
      <c r="AQ71" s="187">
        <f t="shared" si="39"/>
        <v>535.39406345957127</v>
      </c>
      <c r="AR71" s="184">
        <f t="shared" si="40"/>
        <v>28</v>
      </c>
      <c r="AS71" s="551"/>
      <c r="AT71" s="190">
        <v>5</v>
      </c>
      <c r="AU71" s="190">
        <v>2677.7016341592043</v>
      </c>
      <c r="AV71" s="187">
        <f t="shared" si="41"/>
        <v>535.54032683184084</v>
      </c>
      <c r="AW71" s="184">
        <f t="shared" si="42"/>
        <v>28</v>
      </c>
      <c r="AX71" s="551"/>
    </row>
    <row r="72" spans="2:50" ht="14.25" customHeight="1">
      <c r="B72" s="525"/>
      <c r="C72" s="182">
        <v>28</v>
      </c>
      <c r="D72" s="185" t="s">
        <v>610</v>
      </c>
      <c r="E72" s="186">
        <v>4</v>
      </c>
      <c r="F72" s="182">
        <v>3000</v>
      </c>
      <c r="G72" s="187">
        <f t="shared" si="43"/>
        <v>750</v>
      </c>
      <c r="H72" s="554"/>
      <c r="I72" s="188">
        <f t="shared" si="30"/>
        <v>4</v>
      </c>
      <c r="J72" s="188">
        <f t="shared" si="30"/>
        <v>2608.5337926089319</v>
      </c>
      <c r="K72" s="189">
        <f t="shared" si="30"/>
        <v>652.13344815223297</v>
      </c>
      <c r="L72" s="555"/>
      <c r="M72" s="188">
        <f>RANK(K72, K$45:$K$77)</f>
        <v>22</v>
      </c>
      <c r="N72" s="553"/>
      <c r="O72" s="533"/>
      <c r="P72" s="190">
        <v>4</v>
      </c>
      <c r="Q72" s="190">
        <v>2482.1449518223685</v>
      </c>
      <c r="R72" s="187">
        <f t="shared" si="27"/>
        <v>620.53623795559213</v>
      </c>
      <c r="S72" s="184">
        <f t="shared" si="31"/>
        <v>24</v>
      </c>
      <c r="T72" s="551"/>
      <c r="U72" s="190">
        <v>4</v>
      </c>
      <c r="V72" s="190">
        <v>2535.090230716512</v>
      </c>
      <c r="W72" s="187">
        <f t="shared" si="28"/>
        <v>633.772557679128</v>
      </c>
      <c r="X72" s="184">
        <f t="shared" si="32"/>
        <v>22</v>
      </c>
      <c r="Y72" s="551"/>
      <c r="Z72" s="190">
        <v>4</v>
      </c>
      <c r="AA72" s="190">
        <v>2581.8524544873562</v>
      </c>
      <c r="AB72" s="187">
        <f t="shared" si="33"/>
        <v>645.46311362183906</v>
      </c>
      <c r="AC72" s="184">
        <f t="shared" si="34"/>
        <v>22</v>
      </c>
      <c r="AD72" s="551"/>
      <c r="AE72" s="190">
        <v>4</v>
      </c>
      <c r="AF72" s="190">
        <v>2635.8639962738666</v>
      </c>
      <c r="AG72" s="187">
        <f t="shared" si="35"/>
        <v>658.96599906846666</v>
      </c>
      <c r="AH72" s="184">
        <f t="shared" si="36"/>
        <v>22</v>
      </c>
      <c r="AI72" s="551"/>
      <c r="AJ72" s="190">
        <v>4</v>
      </c>
      <c r="AK72" s="190">
        <v>2674.6081504702229</v>
      </c>
      <c r="AL72" s="187">
        <f t="shared" si="37"/>
        <v>668.65203761755572</v>
      </c>
      <c r="AM72" s="184">
        <f t="shared" si="38"/>
        <v>22</v>
      </c>
      <c r="AN72" s="551"/>
      <c r="AO72" s="190">
        <v>4</v>
      </c>
      <c r="AP72" s="190">
        <v>2675.0886920211365</v>
      </c>
      <c r="AQ72" s="187">
        <f t="shared" si="39"/>
        <v>668.77217300528412</v>
      </c>
      <c r="AR72" s="184">
        <f t="shared" si="40"/>
        <v>22</v>
      </c>
      <c r="AS72" s="551"/>
      <c r="AT72" s="190">
        <v>4</v>
      </c>
      <c r="AU72" s="190">
        <v>2675.0880724710614</v>
      </c>
      <c r="AV72" s="187">
        <f t="shared" si="41"/>
        <v>668.77201811776536</v>
      </c>
      <c r="AW72" s="184">
        <f t="shared" si="42"/>
        <v>22</v>
      </c>
      <c r="AX72" s="551"/>
    </row>
    <row r="73" spans="2:50" ht="14.25" customHeight="1">
      <c r="B73" s="525"/>
      <c r="C73" s="182">
        <v>29</v>
      </c>
      <c r="D73" s="185" t="s">
        <v>350</v>
      </c>
      <c r="E73" s="186">
        <v>3</v>
      </c>
      <c r="F73" s="182">
        <v>3000</v>
      </c>
      <c r="G73" s="187">
        <f t="shared" si="43"/>
        <v>1000</v>
      </c>
      <c r="H73" s="554"/>
      <c r="I73" s="188">
        <f t="shared" si="30"/>
        <v>3</v>
      </c>
      <c r="J73" s="188">
        <f t="shared" si="30"/>
        <v>2694.2471971486425</v>
      </c>
      <c r="K73" s="189">
        <f t="shared" si="30"/>
        <v>898.08239904954746</v>
      </c>
      <c r="L73" s="555"/>
      <c r="M73" s="188">
        <f>RANK(K73, K$45:$K$77)</f>
        <v>9</v>
      </c>
      <c r="N73" s="553"/>
      <c r="O73" s="533"/>
      <c r="P73" s="190">
        <v>3</v>
      </c>
      <c r="Q73" s="190">
        <v>2693.8420956832979</v>
      </c>
      <c r="R73" s="187">
        <f t="shared" si="27"/>
        <v>897.947365227766</v>
      </c>
      <c r="S73" s="184">
        <f t="shared" si="31"/>
        <v>9</v>
      </c>
      <c r="T73" s="551"/>
      <c r="U73" s="190">
        <v>3</v>
      </c>
      <c r="V73" s="190">
        <v>2693.9692912281889</v>
      </c>
      <c r="W73" s="187">
        <f t="shared" si="28"/>
        <v>897.98976374272968</v>
      </c>
      <c r="X73" s="184">
        <f t="shared" si="32"/>
        <v>9</v>
      </c>
      <c r="Y73" s="551"/>
      <c r="Z73" s="190">
        <v>3</v>
      </c>
      <c r="AA73" s="190">
        <v>2693.9809181773066</v>
      </c>
      <c r="AB73" s="187">
        <f t="shared" si="33"/>
        <v>897.99363939243551</v>
      </c>
      <c r="AC73" s="184">
        <f t="shared" si="34"/>
        <v>9</v>
      </c>
      <c r="AD73" s="551"/>
      <c r="AE73" s="190">
        <v>3</v>
      </c>
      <c r="AF73" s="190">
        <v>2694.0066387402603</v>
      </c>
      <c r="AG73" s="187">
        <f t="shared" si="35"/>
        <v>898.00221291342007</v>
      </c>
      <c r="AH73" s="184">
        <f t="shared" si="36"/>
        <v>9</v>
      </c>
      <c r="AI73" s="551"/>
      <c r="AJ73" s="190">
        <v>3</v>
      </c>
      <c r="AK73" s="190">
        <v>2694.2320417534988</v>
      </c>
      <c r="AL73" s="187">
        <f t="shared" si="37"/>
        <v>898.07734725116632</v>
      </c>
      <c r="AM73" s="184">
        <f t="shared" si="38"/>
        <v>9</v>
      </c>
      <c r="AN73" s="551"/>
      <c r="AO73" s="190">
        <v>3</v>
      </c>
      <c r="AP73" s="190">
        <v>2694.7631591155614</v>
      </c>
      <c r="AQ73" s="187">
        <f t="shared" si="39"/>
        <v>898.2543863718538</v>
      </c>
      <c r="AR73" s="184">
        <f t="shared" si="40"/>
        <v>9</v>
      </c>
      <c r="AS73" s="551"/>
      <c r="AT73" s="190">
        <v>3</v>
      </c>
      <c r="AU73" s="190">
        <v>2694.9362353423849</v>
      </c>
      <c r="AV73" s="187">
        <f t="shared" si="41"/>
        <v>898.31207844746166</v>
      </c>
      <c r="AW73" s="184">
        <f t="shared" si="42"/>
        <v>9</v>
      </c>
      <c r="AX73" s="551"/>
    </row>
    <row r="74" spans="2:50" ht="14.25" customHeight="1">
      <c r="B74" s="525"/>
      <c r="C74" s="182">
        <v>30</v>
      </c>
      <c r="D74" s="185" t="s">
        <v>479</v>
      </c>
      <c r="E74" s="186">
        <v>12</v>
      </c>
      <c r="F74" s="182">
        <v>3600</v>
      </c>
      <c r="G74" s="187">
        <f t="shared" si="43"/>
        <v>300</v>
      </c>
      <c r="H74" s="554"/>
      <c r="I74" s="188">
        <f t="shared" si="30"/>
        <v>12</v>
      </c>
      <c r="J74" s="188">
        <f t="shared" si="30"/>
        <v>3125.5738828987805</v>
      </c>
      <c r="K74" s="189">
        <f t="shared" si="30"/>
        <v>260.4644902415651</v>
      </c>
      <c r="L74" s="555"/>
      <c r="M74" s="188">
        <f>RANK(K74, K$45:$K$77)</f>
        <v>29</v>
      </c>
      <c r="N74" s="553"/>
      <c r="O74" s="533"/>
      <c r="P74" s="190">
        <v>12</v>
      </c>
      <c r="Q74" s="190">
        <v>3125.2960172228213</v>
      </c>
      <c r="R74" s="187">
        <f t="shared" si="27"/>
        <v>260.44133476856842</v>
      </c>
      <c r="S74" s="184">
        <f t="shared" si="31"/>
        <v>29</v>
      </c>
      <c r="T74" s="551"/>
      <c r="U74" s="190">
        <v>12</v>
      </c>
      <c r="V74" s="190">
        <v>3125.3829321663111</v>
      </c>
      <c r="W74" s="187">
        <f t="shared" si="28"/>
        <v>260.44857768052594</v>
      </c>
      <c r="X74" s="184">
        <f t="shared" si="32"/>
        <v>29</v>
      </c>
      <c r="Y74" s="551"/>
      <c r="Z74" s="190">
        <v>12</v>
      </c>
      <c r="AA74" s="190">
        <v>3124.9070631970208</v>
      </c>
      <c r="AB74" s="187">
        <f t="shared" si="33"/>
        <v>260.40892193308508</v>
      </c>
      <c r="AC74" s="184">
        <f t="shared" si="34"/>
        <v>30</v>
      </c>
      <c r="AD74" s="551"/>
      <c r="AE74" s="190">
        <v>12</v>
      </c>
      <c r="AF74" s="190">
        <v>3124.9832551908976</v>
      </c>
      <c r="AG74" s="187">
        <f t="shared" si="35"/>
        <v>260.41527126590813</v>
      </c>
      <c r="AH74" s="184">
        <f t="shared" si="36"/>
        <v>30</v>
      </c>
      <c r="AI74" s="551"/>
      <c r="AJ74" s="190">
        <v>12</v>
      </c>
      <c r="AK74" s="190">
        <v>3125.9708737864166</v>
      </c>
      <c r="AL74" s="187">
        <f t="shared" si="37"/>
        <v>260.49757281553474</v>
      </c>
      <c r="AM74" s="184">
        <f t="shared" si="38"/>
        <v>29</v>
      </c>
      <c r="AN74" s="551"/>
      <c r="AO74" s="190">
        <v>12</v>
      </c>
      <c r="AP74" s="190">
        <v>3125.6424275560394</v>
      </c>
      <c r="AQ74" s="187">
        <f t="shared" si="39"/>
        <v>260.47020229633659</v>
      </c>
      <c r="AR74" s="184">
        <f t="shared" si="40"/>
        <v>29</v>
      </c>
      <c r="AS74" s="551"/>
      <c r="AT74" s="190">
        <v>12</v>
      </c>
      <c r="AU74" s="190">
        <v>3126.8346111719593</v>
      </c>
      <c r="AV74" s="187">
        <f t="shared" si="41"/>
        <v>260.56955093099663</v>
      </c>
      <c r="AW74" s="184">
        <f t="shared" si="42"/>
        <v>29</v>
      </c>
      <c r="AX74" s="551"/>
    </row>
    <row r="75" spans="2:50" ht="14.25" customHeight="1">
      <c r="B75" s="525"/>
      <c r="C75" s="182">
        <v>31</v>
      </c>
      <c r="D75" s="185"/>
      <c r="E75" s="182"/>
      <c r="F75" s="182"/>
      <c r="G75" s="187"/>
      <c r="H75" s="554"/>
      <c r="I75" s="188"/>
      <c r="J75" s="188"/>
      <c r="K75" s="189"/>
      <c r="L75" s="555"/>
      <c r="M75" s="188"/>
      <c r="N75" s="553"/>
      <c r="O75" s="533"/>
      <c r="P75" s="190"/>
      <c r="Q75" s="190"/>
      <c r="R75" s="187"/>
      <c r="S75" s="184"/>
      <c r="T75" s="551"/>
      <c r="U75" s="190"/>
      <c r="V75" s="190"/>
      <c r="W75" s="187"/>
      <c r="X75" s="184"/>
      <c r="Y75" s="551"/>
      <c r="Z75" s="190"/>
      <c r="AA75" s="190"/>
      <c r="AB75" s="187"/>
      <c r="AC75" s="184"/>
      <c r="AD75" s="551"/>
      <c r="AE75" s="190"/>
      <c r="AF75" s="190"/>
      <c r="AG75" s="187"/>
      <c r="AH75" s="184"/>
      <c r="AI75" s="551"/>
      <c r="AJ75" s="190"/>
      <c r="AK75" s="190"/>
      <c r="AL75" s="187"/>
      <c r="AM75" s="184"/>
      <c r="AN75" s="551"/>
      <c r="AO75" s="190"/>
      <c r="AP75" s="190"/>
      <c r="AQ75" s="187"/>
      <c r="AR75" s="184"/>
      <c r="AS75" s="551"/>
      <c r="AT75" s="190"/>
      <c r="AU75" s="190"/>
      <c r="AV75" s="187"/>
      <c r="AW75" s="184"/>
      <c r="AX75" s="551"/>
    </row>
    <row r="76" spans="2:50" ht="14.25" customHeight="1">
      <c r="B76" s="525"/>
      <c r="C76" s="182">
        <v>32</v>
      </c>
      <c r="D76" s="185"/>
      <c r="E76" s="182"/>
      <c r="F76" s="182"/>
      <c r="G76" s="187"/>
      <c r="H76" s="554"/>
      <c r="I76" s="188"/>
      <c r="J76" s="188"/>
      <c r="K76" s="189"/>
      <c r="L76" s="555"/>
      <c r="M76" s="188"/>
      <c r="N76" s="553"/>
      <c r="O76" s="533"/>
      <c r="P76" s="190"/>
      <c r="Q76" s="190"/>
      <c r="R76" s="187"/>
      <c r="S76" s="184"/>
      <c r="T76" s="551"/>
      <c r="U76" s="190"/>
      <c r="V76" s="190"/>
      <c r="W76" s="187"/>
      <c r="X76" s="184"/>
      <c r="Y76" s="551"/>
      <c r="Z76" s="190"/>
      <c r="AA76" s="190"/>
      <c r="AB76" s="187"/>
      <c r="AC76" s="184"/>
      <c r="AD76" s="551"/>
      <c r="AE76" s="190"/>
      <c r="AF76" s="190"/>
      <c r="AG76" s="187"/>
      <c r="AH76" s="184"/>
      <c r="AI76" s="551"/>
      <c r="AJ76" s="190"/>
      <c r="AK76" s="190"/>
      <c r="AL76" s="187"/>
      <c r="AM76" s="184"/>
      <c r="AN76" s="551"/>
      <c r="AO76" s="190"/>
      <c r="AP76" s="190"/>
      <c r="AQ76" s="187"/>
      <c r="AR76" s="184"/>
      <c r="AS76" s="551"/>
      <c r="AT76" s="190"/>
      <c r="AU76" s="190"/>
      <c r="AV76" s="187"/>
      <c r="AW76" s="184"/>
      <c r="AX76" s="551"/>
    </row>
    <row r="77" spans="2:50" ht="14.25" customHeight="1">
      <c r="B77" s="525"/>
      <c r="C77" s="182">
        <v>33</v>
      </c>
      <c r="D77" s="185"/>
      <c r="E77" s="182"/>
      <c r="F77" s="182"/>
      <c r="G77" s="187"/>
      <c r="H77" s="554"/>
      <c r="I77" s="188"/>
      <c r="J77" s="188"/>
      <c r="K77" s="189"/>
      <c r="L77" s="555"/>
      <c r="M77" s="188"/>
      <c r="N77" s="553"/>
      <c r="O77" s="533"/>
      <c r="P77" s="190"/>
      <c r="Q77" s="190"/>
      <c r="R77" s="187"/>
      <c r="S77" s="184"/>
      <c r="T77" s="551"/>
      <c r="U77" s="190"/>
      <c r="V77" s="190"/>
      <c r="W77" s="187"/>
      <c r="X77" s="184"/>
      <c r="Y77" s="551"/>
      <c r="Z77" s="190"/>
      <c r="AA77" s="190"/>
      <c r="AB77" s="187"/>
      <c r="AC77" s="184"/>
      <c r="AD77" s="551"/>
      <c r="AE77" s="190"/>
      <c r="AF77" s="190"/>
      <c r="AG77" s="187"/>
      <c r="AH77" s="184"/>
      <c r="AI77" s="551"/>
      <c r="AJ77" s="190"/>
      <c r="AK77" s="190"/>
      <c r="AL77" s="187"/>
      <c r="AM77" s="184"/>
      <c r="AN77" s="551"/>
      <c r="AO77" s="190"/>
      <c r="AP77" s="190"/>
      <c r="AQ77" s="187"/>
      <c r="AR77" s="184"/>
      <c r="AS77" s="551"/>
      <c r="AT77" s="190"/>
      <c r="AU77" s="190"/>
      <c r="AV77" s="187"/>
      <c r="AW77" s="184"/>
      <c r="AX77" s="551"/>
    </row>
    <row r="78" spans="2:50" ht="14.25" customHeight="1">
      <c r="B78" s="552" t="s">
        <v>646</v>
      </c>
      <c r="C78" s="535"/>
      <c r="D78" s="535"/>
      <c r="E78" s="535"/>
      <c r="F78" s="535"/>
      <c r="G78" s="535"/>
      <c r="H78" s="535"/>
      <c r="I78" s="535"/>
      <c r="J78" s="535"/>
      <c r="K78" s="535"/>
      <c r="L78" s="535"/>
      <c r="M78" s="536"/>
      <c r="N78" s="539" t="s">
        <v>378</v>
      </c>
      <c r="O78" s="539" t="s">
        <v>105</v>
      </c>
      <c r="P78" s="541">
        <f>AT40+1</f>
        <v>46091</v>
      </c>
      <c r="Q78" s="542"/>
      <c r="R78" s="542"/>
      <c r="S78" s="542"/>
      <c r="T78" s="542"/>
      <c r="U78" s="545">
        <f>P78+1</f>
        <v>46092</v>
      </c>
      <c r="V78" s="546"/>
      <c r="W78" s="546"/>
      <c r="X78" s="546"/>
      <c r="Y78" s="546"/>
      <c r="Z78" s="541">
        <f t="shared" ref="Z78" si="44">U78+1</f>
        <v>46093</v>
      </c>
      <c r="AA78" s="542"/>
      <c r="AB78" s="542"/>
      <c r="AC78" s="542"/>
      <c r="AD78" s="542"/>
      <c r="AE78" s="545">
        <f t="shared" ref="AE78" si="45">Z78+1</f>
        <v>46094</v>
      </c>
      <c r="AF78" s="546"/>
      <c r="AG78" s="546"/>
      <c r="AH78" s="546"/>
      <c r="AI78" s="546"/>
      <c r="AJ78" s="547">
        <f t="shared" ref="AJ78" si="46">AE78+1</f>
        <v>46095</v>
      </c>
      <c r="AK78" s="548"/>
      <c r="AL78" s="548"/>
      <c r="AM78" s="548"/>
      <c r="AN78" s="549"/>
      <c r="AO78" s="545">
        <f t="shared" ref="AO78" si="47">AJ78+1</f>
        <v>46096</v>
      </c>
      <c r="AP78" s="546"/>
      <c r="AQ78" s="546"/>
      <c r="AR78" s="546"/>
      <c r="AS78" s="546"/>
      <c r="AT78" s="547">
        <f t="shared" ref="AT78" si="48">AO78+1</f>
        <v>46097</v>
      </c>
      <c r="AU78" s="548"/>
      <c r="AV78" s="548"/>
      <c r="AW78" s="548"/>
      <c r="AX78" s="549"/>
    </row>
    <row r="79" spans="2:50" ht="14.25" customHeight="1">
      <c r="B79" s="537"/>
      <c r="C79" s="537"/>
      <c r="D79" s="537"/>
      <c r="E79" s="537"/>
      <c r="F79" s="537"/>
      <c r="G79" s="537"/>
      <c r="H79" s="537"/>
      <c r="I79" s="537"/>
      <c r="J79" s="537"/>
      <c r="K79" s="537"/>
      <c r="L79" s="537"/>
      <c r="M79" s="538"/>
      <c r="N79" s="540"/>
      <c r="O79" s="540"/>
      <c r="P79" s="543">
        <v>46084</v>
      </c>
      <c r="Q79" s="543"/>
      <c r="R79" s="543"/>
      <c r="S79" s="543"/>
      <c r="T79" s="543"/>
      <c r="U79" s="550">
        <f>U78</f>
        <v>46092</v>
      </c>
      <c r="V79" s="550"/>
      <c r="W79" s="550"/>
      <c r="X79" s="550"/>
      <c r="Y79" s="550"/>
      <c r="Z79" s="543">
        <f t="shared" ref="Z79" si="49">Z78</f>
        <v>46093</v>
      </c>
      <c r="AA79" s="543"/>
      <c r="AB79" s="543"/>
      <c r="AC79" s="543"/>
      <c r="AD79" s="543"/>
      <c r="AE79" s="550">
        <f t="shared" ref="AE79" si="50">AE78</f>
        <v>46094</v>
      </c>
      <c r="AF79" s="550"/>
      <c r="AG79" s="550"/>
      <c r="AH79" s="550"/>
      <c r="AI79" s="550"/>
      <c r="AJ79" s="530">
        <f t="shared" ref="AJ79" si="51">AJ78</f>
        <v>46095</v>
      </c>
      <c r="AK79" s="531"/>
      <c r="AL79" s="531"/>
      <c r="AM79" s="531"/>
      <c r="AN79" s="532"/>
      <c r="AO79" s="550">
        <f t="shared" ref="AO79" si="52">AO78</f>
        <v>46096</v>
      </c>
      <c r="AP79" s="550"/>
      <c r="AQ79" s="550"/>
      <c r="AR79" s="550"/>
      <c r="AS79" s="550"/>
      <c r="AT79" s="530">
        <f t="shared" ref="AT79" si="53">AT78</f>
        <v>46097</v>
      </c>
      <c r="AU79" s="531"/>
      <c r="AV79" s="531"/>
      <c r="AW79" s="531"/>
      <c r="AX79" s="532"/>
    </row>
    <row r="80" spans="2:50" ht="14.25" customHeight="1">
      <c r="B80" s="525" t="s">
        <v>164</v>
      </c>
      <c r="C80" s="525" t="s">
        <v>159</v>
      </c>
      <c r="D80" s="525"/>
      <c r="E80" s="525" t="s">
        <v>160</v>
      </c>
      <c r="F80" s="525"/>
      <c r="G80" s="525"/>
      <c r="H80" s="525" t="s">
        <v>165</v>
      </c>
      <c r="I80" s="544" t="s">
        <v>379</v>
      </c>
      <c r="J80" s="544"/>
      <c r="K80" s="544"/>
      <c r="L80" s="544" t="s">
        <v>165</v>
      </c>
      <c r="M80" s="544" t="s">
        <v>167</v>
      </c>
      <c r="N80" s="553"/>
      <c r="O80" s="533" t="s">
        <v>166</v>
      </c>
      <c r="P80" s="533" t="s">
        <v>162</v>
      </c>
      <c r="Q80" s="533"/>
      <c r="R80" s="533"/>
      <c r="S80" s="533"/>
      <c r="T80" s="533" t="s">
        <v>165</v>
      </c>
      <c r="U80" s="533" t="s">
        <v>162</v>
      </c>
      <c r="V80" s="533"/>
      <c r="W80" s="533"/>
      <c r="X80" s="533"/>
      <c r="Y80" s="533" t="s">
        <v>165</v>
      </c>
      <c r="Z80" s="533" t="s">
        <v>162</v>
      </c>
      <c r="AA80" s="533"/>
      <c r="AB80" s="533"/>
      <c r="AC80" s="533"/>
      <c r="AD80" s="533" t="s">
        <v>165</v>
      </c>
      <c r="AE80" s="533" t="s">
        <v>162</v>
      </c>
      <c r="AF80" s="533"/>
      <c r="AG80" s="533"/>
      <c r="AH80" s="533"/>
      <c r="AI80" s="533" t="s">
        <v>165</v>
      </c>
      <c r="AJ80" s="533" t="s">
        <v>162</v>
      </c>
      <c r="AK80" s="533"/>
      <c r="AL80" s="533"/>
      <c r="AM80" s="533"/>
      <c r="AN80" s="533" t="s">
        <v>165</v>
      </c>
      <c r="AO80" s="533" t="s">
        <v>162</v>
      </c>
      <c r="AP80" s="533"/>
      <c r="AQ80" s="533"/>
      <c r="AR80" s="533"/>
      <c r="AS80" s="533" t="s">
        <v>165</v>
      </c>
      <c r="AT80" s="533" t="s">
        <v>162</v>
      </c>
      <c r="AU80" s="533"/>
      <c r="AV80" s="533"/>
      <c r="AW80" s="533"/>
      <c r="AX80" s="533" t="s">
        <v>165</v>
      </c>
    </row>
    <row r="81" spans="1:50" ht="14.25" customHeight="1">
      <c r="B81" s="525"/>
      <c r="C81" s="525"/>
      <c r="D81" s="525"/>
      <c r="E81" s="525" t="s">
        <v>380</v>
      </c>
      <c r="F81" s="525"/>
      <c r="G81" s="525"/>
      <c r="H81" s="525"/>
      <c r="I81" s="544" t="s">
        <v>380</v>
      </c>
      <c r="J81" s="544"/>
      <c r="K81" s="544"/>
      <c r="L81" s="544"/>
      <c r="M81" s="544"/>
      <c r="N81" s="553"/>
      <c r="O81" s="533"/>
      <c r="P81" s="533" t="s">
        <v>381</v>
      </c>
      <c r="Q81" s="533"/>
      <c r="R81" s="533"/>
      <c r="S81" s="533"/>
      <c r="T81" s="533"/>
      <c r="U81" s="533" t="s">
        <v>381</v>
      </c>
      <c r="V81" s="533"/>
      <c r="W81" s="533"/>
      <c r="X81" s="533"/>
      <c r="Y81" s="533"/>
      <c r="Z81" s="533" t="s">
        <v>381</v>
      </c>
      <c r="AA81" s="533"/>
      <c r="AB81" s="533"/>
      <c r="AC81" s="533"/>
      <c r="AD81" s="533"/>
      <c r="AE81" s="533" t="s">
        <v>381</v>
      </c>
      <c r="AF81" s="533"/>
      <c r="AG81" s="533"/>
      <c r="AH81" s="533"/>
      <c r="AI81" s="533"/>
      <c r="AJ81" s="533" t="s">
        <v>381</v>
      </c>
      <c r="AK81" s="533"/>
      <c r="AL81" s="533"/>
      <c r="AM81" s="533"/>
      <c r="AN81" s="533"/>
      <c r="AO81" s="533" t="s">
        <v>381</v>
      </c>
      <c r="AP81" s="533"/>
      <c r="AQ81" s="533"/>
      <c r="AR81" s="533"/>
      <c r="AS81" s="533"/>
      <c r="AT81" s="533" t="s">
        <v>381</v>
      </c>
      <c r="AU81" s="533"/>
      <c r="AV81" s="533"/>
      <c r="AW81" s="533"/>
      <c r="AX81" s="533"/>
    </row>
    <row r="82" spans="1:50" ht="14.25" customHeight="1">
      <c r="A82" s="179"/>
      <c r="B82" s="525"/>
      <c r="C82" s="525"/>
      <c r="D82" s="525"/>
      <c r="E82" s="182" t="s">
        <v>161</v>
      </c>
      <c r="F82" s="182" t="s">
        <v>382</v>
      </c>
      <c r="G82" s="182" t="s">
        <v>163</v>
      </c>
      <c r="H82" s="525"/>
      <c r="I82" s="183" t="s">
        <v>161</v>
      </c>
      <c r="J82" s="183" t="s">
        <v>382</v>
      </c>
      <c r="K82" s="183" t="s">
        <v>163</v>
      </c>
      <c r="L82" s="544"/>
      <c r="M82" s="544"/>
      <c r="N82" s="553"/>
      <c r="O82" s="533"/>
      <c r="P82" s="184" t="s">
        <v>161</v>
      </c>
      <c r="Q82" s="184" t="s">
        <v>382</v>
      </c>
      <c r="R82" s="184" t="s">
        <v>163</v>
      </c>
      <c r="S82" s="184" t="s">
        <v>167</v>
      </c>
      <c r="T82" s="533"/>
      <c r="U82" s="184" t="s">
        <v>161</v>
      </c>
      <c r="V82" s="184" t="s">
        <v>382</v>
      </c>
      <c r="W82" s="184" t="s">
        <v>163</v>
      </c>
      <c r="X82" s="184" t="s">
        <v>167</v>
      </c>
      <c r="Y82" s="533"/>
      <c r="Z82" s="184" t="s">
        <v>161</v>
      </c>
      <c r="AA82" s="184" t="s">
        <v>382</v>
      </c>
      <c r="AB82" s="184" t="s">
        <v>163</v>
      </c>
      <c r="AC82" s="184" t="s">
        <v>167</v>
      </c>
      <c r="AD82" s="533"/>
      <c r="AE82" s="184" t="s">
        <v>161</v>
      </c>
      <c r="AF82" s="184" t="s">
        <v>382</v>
      </c>
      <c r="AG82" s="184" t="s">
        <v>163</v>
      </c>
      <c r="AH82" s="184" t="s">
        <v>167</v>
      </c>
      <c r="AI82" s="533"/>
      <c r="AJ82" s="184" t="s">
        <v>161</v>
      </c>
      <c r="AK82" s="184" t="s">
        <v>382</v>
      </c>
      <c r="AL82" s="184" t="s">
        <v>163</v>
      </c>
      <c r="AM82" s="184" t="s">
        <v>167</v>
      </c>
      <c r="AN82" s="533"/>
      <c r="AO82" s="184" t="s">
        <v>161</v>
      </c>
      <c r="AP82" s="184" t="s">
        <v>382</v>
      </c>
      <c r="AQ82" s="184" t="s">
        <v>163</v>
      </c>
      <c r="AR82" s="184" t="s">
        <v>167</v>
      </c>
      <c r="AS82" s="533"/>
      <c r="AT82" s="184" t="s">
        <v>161</v>
      </c>
      <c r="AU82" s="184" t="s">
        <v>382</v>
      </c>
      <c r="AV82" s="184" t="s">
        <v>163</v>
      </c>
      <c r="AW82" s="184" t="s">
        <v>167</v>
      </c>
      <c r="AX82" s="533"/>
    </row>
    <row r="83" spans="1:50" ht="14.25" customHeight="1">
      <c r="B83" s="525" t="s">
        <v>383</v>
      </c>
      <c r="C83" s="182">
        <v>1</v>
      </c>
      <c r="D83" s="185"/>
      <c r="E83" s="186"/>
      <c r="F83" s="182"/>
      <c r="G83" s="187"/>
      <c r="H83" s="554" t="e">
        <f>AVERAGE(G83:G115)</f>
        <v>#DIV/0!</v>
      </c>
      <c r="I83" s="188"/>
      <c r="J83" s="188"/>
      <c r="K83" s="189"/>
      <c r="L83" s="555" t="str">
        <f>IFERROR(AVERAGE(K83:K115),"-")</f>
        <v>-</v>
      </c>
      <c r="M83" s="188" t="e">
        <f>RANK(K83, K$45:$K$77)</f>
        <v>#N/A</v>
      </c>
      <c r="N83" s="553"/>
      <c r="O83" s="533"/>
      <c r="P83" s="190"/>
      <c r="Q83" s="190"/>
      <c r="R83" s="187"/>
      <c r="S83" s="184"/>
      <c r="T83" s="551"/>
      <c r="U83" s="190"/>
      <c r="V83" s="190"/>
      <c r="W83" s="187"/>
      <c r="X83" s="184"/>
      <c r="Y83" s="551"/>
      <c r="Z83" s="190"/>
      <c r="AA83" s="190"/>
      <c r="AB83" s="187"/>
      <c r="AC83" s="184"/>
      <c r="AD83" s="551"/>
      <c r="AE83" s="190"/>
      <c r="AF83" s="190"/>
      <c r="AG83" s="187"/>
      <c r="AH83" s="184"/>
      <c r="AI83" s="551"/>
      <c r="AJ83" s="190"/>
      <c r="AK83" s="190"/>
      <c r="AL83" s="187"/>
      <c r="AM83" s="184"/>
      <c r="AN83" s="551"/>
      <c r="AO83" s="190"/>
      <c r="AP83" s="190"/>
      <c r="AQ83" s="187"/>
      <c r="AR83" s="184"/>
      <c r="AS83" s="551"/>
      <c r="AT83" s="190"/>
      <c r="AU83" s="190"/>
      <c r="AV83" s="187"/>
      <c r="AW83" s="184"/>
      <c r="AX83" s="551"/>
    </row>
    <row r="84" spans="1:50" ht="14.25" customHeight="1">
      <c r="B84" s="525"/>
      <c r="C84" s="182">
        <v>2</v>
      </c>
      <c r="D84" s="185"/>
      <c r="E84" s="186"/>
      <c r="F84" s="182"/>
      <c r="G84" s="187"/>
      <c r="H84" s="554"/>
      <c r="I84" s="188"/>
      <c r="J84" s="188"/>
      <c r="K84" s="189"/>
      <c r="L84" s="555"/>
      <c r="M84" s="188" t="e">
        <f>RANK(K84, K$45:$K$77)</f>
        <v>#N/A</v>
      </c>
      <c r="N84" s="553"/>
      <c r="O84" s="533"/>
      <c r="P84" s="190"/>
      <c r="Q84" s="190"/>
      <c r="R84" s="187"/>
      <c r="S84" s="184"/>
      <c r="T84" s="551"/>
      <c r="U84" s="190"/>
      <c r="V84" s="190"/>
      <c r="W84" s="187"/>
      <c r="X84" s="184"/>
      <c r="Y84" s="551"/>
      <c r="Z84" s="190"/>
      <c r="AA84" s="190"/>
      <c r="AB84" s="187"/>
      <c r="AC84" s="184"/>
      <c r="AD84" s="551"/>
      <c r="AE84" s="190"/>
      <c r="AF84" s="190"/>
      <c r="AG84" s="187"/>
      <c r="AH84" s="184"/>
      <c r="AI84" s="551"/>
      <c r="AJ84" s="190"/>
      <c r="AK84" s="190"/>
      <c r="AL84" s="187"/>
      <c r="AM84" s="184"/>
      <c r="AN84" s="551"/>
      <c r="AO84" s="190"/>
      <c r="AP84" s="190"/>
      <c r="AQ84" s="187"/>
      <c r="AR84" s="184"/>
      <c r="AS84" s="551"/>
      <c r="AT84" s="190"/>
      <c r="AU84" s="190"/>
      <c r="AV84" s="187"/>
      <c r="AW84" s="184"/>
      <c r="AX84" s="551"/>
    </row>
    <row r="85" spans="1:50" ht="14.25" customHeight="1">
      <c r="B85" s="525"/>
      <c r="C85" s="182">
        <v>3</v>
      </c>
      <c r="D85" s="185"/>
      <c r="E85" s="186"/>
      <c r="F85" s="182"/>
      <c r="G85" s="187"/>
      <c r="H85" s="554"/>
      <c r="I85" s="188"/>
      <c r="J85" s="188"/>
      <c r="K85" s="189"/>
      <c r="L85" s="555"/>
      <c r="M85" s="188" t="e">
        <f>RANK(K85, K$45:$K$77)</f>
        <v>#N/A</v>
      </c>
      <c r="N85" s="553"/>
      <c r="O85" s="533"/>
      <c r="P85" s="190"/>
      <c r="Q85" s="190"/>
      <c r="R85" s="187"/>
      <c r="S85" s="184"/>
      <c r="T85" s="551"/>
      <c r="U85" s="190"/>
      <c r="V85" s="190"/>
      <c r="W85" s="187"/>
      <c r="X85" s="184"/>
      <c r="Y85" s="551"/>
      <c r="Z85" s="190"/>
      <c r="AA85" s="190"/>
      <c r="AB85" s="187"/>
      <c r="AC85" s="184"/>
      <c r="AD85" s="551"/>
      <c r="AE85" s="190"/>
      <c r="AF85" s="190"/>
      <c r="AG85" s="187"/>
      <c r="AH85" s="184"/>
      <c r="AI85" s="551"/>
      <c r="AJ85" s="190"/>
      <c r="AK85" s="190"/>
      <c r="AL85" s="187"/>
      <c r="AM85" s="184"/>
      <c r="AN85" s="551"/>
      <c r="AO85" s="190"/>
      <c r="AP85" s="190"/>
      <c r="AQ85" s="187"/>
      <c r="AR85" s="184"/>
      <c r="AS85" s="551"/>
      <c r="AT85" s="190"/>
      <c r="AU85" s="190"/>
      <c r="AV85" s="187"/>
      <c r="AW85" s="184"/>
      <c r="AX85" s="551"/>
    </row>
    <row r="86" spans="1:50" ht="14.25" customHeight="1">
      <c r="B86" s="525"/>
      <c r="C86" s="182">
        <v>4</v>
      </c>
      <c r="D86" s="185"/>
      <c r="E86" s="186"/>
      <c r="F86" s="182"/>
      <c r="G86" s="187"/>
      <c r="H86" s="554"/>
      <c r="I86" s="188"/>
      <c r="J86" s="188"/>
      <c r="K86" s="189"/>
      <c r="L86" s="555"/>
      <c r="M86" s="188" t="e">
        <f>RANK(K86, K$45:$K$77)</f>
        <v>#N/A</v>
      </c>
      <c r="N86" s="553"/>
      <c r="O86" s="533"/>
      <c r="P86" s="190"/>
      <c r="Q86" s="190"/>
      <c r="R86" s="187"/>
      <c r="S86" s="184"/>
      <c r="T86" s="551"/>
      <c r="U86" s="190"/>
      <c r="V86" s="190"/>
      <c r="W86" s="187"/>
      <c r="X86" s="184"/>
      <c r="Y86" s="551"/>
      <c r="Z86" s="190"/>
      <c r="AA86" s="190"/>
      <c r="AB86" s="187"/>
      <c r="AC86" s="184"/>
      <c r="AD86" s="551"/>
      <c r="AE86" s="190"/>
      <c r="AF86" s="190"/>
      <c r="AG86" s="187"/>
      <c r="AH86" s="184"/>
      <c r="AI86" s="551"/>
      <c r="AJ86" s="190"/>
      <c r="AK86" s="190"/>
      <c r="AL86" s="187"/>
      <c r="AM86" s="184"/>
      <c r="AN86" s="551"/>
      <c r="AO86" s="190"/>
      <c r="AP86" s="190"/>
      <c r="AQ86" s="187"/>
      <c r="AR86" s="184"/>
      <c r="AS86" s="551"/>
      <c r="AT86" s="190"/>
      <c r="AU86" s="190"/>
      <c r="AV86" s="187"/>
      <c r="AW86" s="184"/>
      <c r="AX86" s="551"/>
    </row>
    <row r="87" spans="1:50" ht="14.25" customHeight="1">
      <c r="B87" s="525"/>
      <c r="C87" s="182">
        <v>5</v>
      </c>
      <c r="D87" s="185"/>
      <c r="E87" s="186"/>
      <c r="F87" s="182"/>
      <c r="G87" s="187"/>
      <c r="H87" s="554"/>
      <c r="I87" s="188"/>
      <c r="J87" s="188"/>
      <c r="K87" s="189"/>
      <c r="L87" s="555"/>
      <c r="M87" s="188" t="e">
        <f>RANK(K87, K$45:$K$77)</f>
        <v>#N/A</v>
      </c>
      <c r="N87" s="553"/>
      <c r="O87" s="533"/>
      <c r="P87" s="190"/>
      <c r="Q87" s="190"/>
      <c r="R87" s="187"/>
      <c r="S87" s="184"/>
      <c r="T87" s="551"/>
      <c r="U87" s="190"/>
      <c r="V87" s="190"/>
      <c r="W87" s="187"/>
      <c r="X87" s="184"/>
      <c r="Y87" s="551"/>
      <c r="Z87" s="190"/>
      <c r="AA87" s="190"/>
      <c r="AB87" s="187"/>
      <c r="AC87" s="184"/>
      <c r="AD87" s="551"/>
      <c r="AE87" s="190"/>
      <c r="AF87" s="190"/>
      <c r="AG87" s="187"/>
      <c r="AH87" s="184"/>
      <c r="AI87" s="551"/>
      <c r="AJ87" s="190"/>
      <c r="AK87" s="190"/>
      <c r="AL87" s="187"/>
      <c r="AM87" s="184"/>
      <c r="AN87" s="551"/>
      <c r="AO87" s="190"/>
      <c r="AP87" s="190"/>
      <c r="AQ87" s="187"/>
      <c r="AR87" s="184"/>
      <c r="AS87" s="551"/>
      <c r="AT87" s="190"/>
      <c r="AU87" s="190"/>
      <c r="AV87" s="187"/>
      <c r="AW87" s="184"/>
      <c r="AX87" s="551"/>
    </row>
    <row r="88" spans="1:50" ht="14.25" customHeight="1">
      <c r="B88" s="525"/>
      <c r="C88" s="182">
        <v>6</v>
      </c>
      <c r="D88" s="185"/>
      <c r="E88" s="186"/>
      <c r="F88" s="182"/>
      <c r="G88" s="187"/>
      <c r="H88" s="554"/>
      <c r="I88" s="188"/>
      <c r="J88" s="188"/>
      <c r="K88" s="189"/>
      <c r="L88" s="555"/>
      <c r="M88" s="188" t="e">
        <f>RANK(K88, K$45:$K$77)</f>
        <v>#N/A</v>
      </c>
      <c r="N88" s="553"/>
      <c r="O88" s="533"/>
      <c r="P88" s="190"/>
      <c r="Q88" s="190"/>
      <c r="R88" s="187"/>
      <c r="S88" s="184"/>
      <c r="T88" s="551"/>
      <c r="U88" s="190"/>
      <c r="V88" s="190"/>
      <c r="W88" s="187"/>
      <c r="X88" s="184"/>
      <c r="Y88" s="551"/>
      <c r="Z88" s="190"/>
      <c r="AA88" s="190"/>
      <c r="AB88" s="187"/>
      <c r="AC88" s="184"/>
      <c r="AD88" s="551"/>
      <c r="AE88" s="190"/>
      <c r="AF88" s="190"/>
      <c r="AG88" s="187"/>
      <c r="AH88" s="184"/>
      <c r="AI88" s="551"/>
      <c r="AJ88" s="190"/>
      <c r="AK88" s="190"/>
      <c r="AL88" s="187"/>
      <c r="AM88" s="184"/>
      <c r="AN88" s="551"/>
      <c r="AO88" s="190"/>
      <c r="AP88" s="190"/>
      <c r="AQ88" s="187"/>
      <c r="AR88" s="184"/>
      <c r="AS88" s="551"/>
      <c r="AT88" s="190"/>
      <c r="AU88" s="190"/>
      <c r="AV88" s="187"/>
      <c r="AW88" s="184"/>
      <c r="AX88" s="551"/>
    </row>
    <row r="89" spans="1:50" ht="14.25" customHeight="1">
      <c r="B89" s="525"/>
      <c r="C89" s="182">
        <v>7</v>
      </c>
      <c r="D89" s="185"/>
      <c r="E89" s="186"/>
      <c r="F89" s="182"/>
      <c r="G89" s="187"/>
      <c r="H89" s="554"/>
      <c r="I89" s="188"/>
      <c r="J89" s="188"/>
      <c r="K89" s="189"/>
      <c r="L89" s="555"/>
      <c r="M89" s="188" t="e">
        <f>RANK(K89, K$45:$K$77)</f>
        <v>#N/A</v>
      </c>
      <c r="N89" s="553"/>
      <c r="O89" s="533"/>
      <c r="P89" s="190"/>
      <c r="Q89" s="190"/>
      <c r="R89" s="187"/>
      <c r="S89" s="184"/>
      <c r="T89" s="551"/>
      <c r="U89" s="190"/>
      <c r="V89" s="190"/>
      <c r="W89" s="187"/>
      <c r="X89" s="184"/>
      <c r="Y89" s="551"/>
      <c r="Z89" s="190"/>
      <c r="AA89" s="190"/>
      <c r="AB89" s="187"/>
      <c r="AC89" s="184"/>
      <c r="AD89" s="551"/>
      <c r="AE89" s="190"/>
      <c r="AF89" s="190"/>
      <c r="AG89" s="187"/>
      <c r="AH89" s="184"/>
      <c r="AI89" s="551"/>
      <c r="AJ89" s="190"/>
      <c r="AK89" s="190"/>
      <c r="AL89" s="187"/>
      <c r="AM89" s="184"/>
      <c r="AN89" s="551"/>
      <c r="AO89" s="190"/>
      <c r="AP89" s="190"/>
      <c r="AQ89" s="187"/>
      <c r="AR89" s="184"/>
      <c r="AS89" s="551"/>
      <c r="AT89" s="190"/>
      <c r="AU89" s="190"/>
      <c r="AV89" s="187"/>
      <c r="AW89" s="184"/>
      <c r="AX89" s="551"/>
    </row>
    <row r="90" spans="1:50" ht="14.25" customHeight="1">
      <c r="B90" s="525"/>
      <c r="C90" s="182">
        <v>8</v>
      </c>
      <c r="D90" s="185"/>
      <c r="E90" s="186"/>
      <c r="F90" s="182"/>
      <c r="G90" s="187"/>
      <c r="H90" s="554"/>
      <c r="I90" s="188"/>
      <c r="J90" s="188"/>
      <c r="K90" s="189"/>
      <c r="L90" s="555"/>
      <c r="M90" s="188" t="e">
        <f>RANK(K90, K$45:$K$77)</f>
        <v>#N/A</v>
      </c>
      <c r="N90" s="553"/>
      <c r="O90" s="533"/>
      <c r="P90" s="190"/>
      <c r="Q90" s="190"/>
      <c r="R90" s="187"/>
      <c r="S90" s="184"/>
      <c r="T90" s="551"/>
      <c r="U90" s="190"/>
      <c r="V90" s="190"/>
      <c r="W90" s="187"/>
      <c r="X90" s="184"/>
      <c r="Y90" s="551"/>
      <c r="Z90" s="190"/>
      <c r="AA90" s="190"/>
      <c r="AB90" s="187"/>
      <c r="AC90" s="184"/>
      <c r="AD90" s="551"/>
      <c r="AE90" s="190"/>
      <c r="AF90" s="190"/>
      <c r="AG90" s="187"/>
      <c r="AH90" s="184"/>
      <c r="AI90" s="551"/>
      <c r="AJ90" s="190"/>
      <c r="AK90" s="190"/>
      <c r="AL90" s="187"/>
      <c r="AM90" s="184"/>
      <c r="AN90" s="551"/>
      <c r="AO90" s="190"/>
      <c r="AP90" s="190"/>
      <c r="AQ90" s="187"/>
      <c r="AR90" s="184"/>
      <c r="AS90" s="551"/>
      <c r="AT90" s="190"/>
      <c r="AU90" s="190"/>
      <c r="AV90" s="187"/>
      <c r="AW90" s="184"/>
      <c r="AX90" s="551"/>
    </row>
    <row r="91" spans="1:50" ht="14.25" customHeight="1">
      <c r="B91" s="525"/>
      <c r="C91" s="182">
        <v>9</v>
      </c>
      <c r="D91" s="185"/>
      <c r="E91" s="186"/>
      <c r="F91" s="182"/>
      <c r="G91" s="187"/>
      <c r="H91" s="554"/>
      <c r="I91" s="188"/>
      <c r="J91" s="188"/>
      <c r="K91" s="189"/>
      <c r="L91" s="555"/>
      <c r="M91" s="188" t="e">
        <f>RANK(K91, K$45:$K$77)</f>
        <v>#N/A</v>
      </c>
      <c r="N91" s="553"/>
      <c r="O91" s="533"/>
      <c r="P91" s="190"/>
      <c r="Q91" s="190"/>
      <c r="R91" s="187"/>
      <c r="S91" s="184"/>
      <c r="T91" s="551"/>
      <c r="U91" s="190"/>
      <c r="V91" s="190"/>
      <c r="W91" s="187"/>
      <c r="X91" s="184"/>
      <c r="Y91" s="551"/>
      <c r="Z91" s="190"/>
      <c r="AA91" s="190"/>
      <c r="AB91" s="187"/>
      <c r="AC91" s="184"/>
      <c r="AD91" s="551"/>
      <c r="AE91" s="190"/>
      <c r="AF91" s="190"/>
      <c r="AG91" s="187"/>
      <c r="AH91" s="184"/>
      <c r="AI91" s="551"/>
      <c r="AJ91" s="190"/>
      <c r="AK91" s="190"/>
      <c r="AL91" s="187"/>
      <c r="AM91" s="184"/>
      <c r="AN91" s="551"/>
      <c r="AO91" s="190"/>
      <c r="AP91" s="190"/>
      <c r="AQ91" s="187"/>
      <c r="AR91" s="184"/>
      <c r="AS91" s="551"/>
      <c r="AT91" s="190"/>
      <c r="AU91" s="190"/>
      <c r="AV91" s="187"/>
      <c r="AW91" s="184"/>
      <c r="AX91" s="551"/>
    </row>
    <row r="92" spans="1:50" ht="14.25" customHeight="1">
      <c r="B92" s="525"/>
      <c r="C92" s="182">
        <v>10</v>
      </c>
      <c r="D92" s="185"/>
      <c r="E92" s="186"/>
      <c r="F92" s="182"/>
      <c r="G92" s="187"/>
      <c r="H92" s="554"/>
      <c r="I92" s="188"/>
      <c r="J92" s="188"/>
      <c r="K92" s="189"/>
      <c r="L92" s="555"/>
      <c r="M92" s="188" t="e">
        <f>RANK(K92, K$45:$K$77)</f>
        <v>#N/A</v>
      </c>
      <c r="N92" s="553"/>
      <c r="O92" s="533"/>
      <c r="P92" s="190"/>
      <c r="Q92" s="190"/>
      <c r="R92" s="187"/>
      <c r="S92" s="184"/>
      <c r="T92" s="551"/>
      <c r="U92" s="190"/>
      <c r="V92" s="190"/>
      <c r="W92" s="187"/>
      <c r="X92" s="184"/>
      <c r="Y92" s="551"/>
      <c r="Z92" s="190"/>
      <c r="AA92" s="190"/>
      <c r="AB92" s="187"/>
      <c r="AC92" s="184"/>
      <c r="AD92" s="551"/>
      <c r="AE92" s="190"/>
      <c r="AF92" s="190"/>
      <c r="AG92" s="187"/>
      <c r="AH92" s="184"/>
      <c r="AI92" s="551"/>
      <c r="AJ92" s="190"/>
      <c r="AK92" s="190"/>
      <c r="AL92" s="187"/>
      <c r="AM92" s="184"/>
      <c r="AN92" s="551"/>
      <c r="AO92" s="190"/>
      <c r="AP92" s="190"/>
      <c r="AQ92" s="187"/>
      <c r="AR92" s="184"/>
      <c r="AS92" s="551"/>
      <c r="AT92" s="190"/>
      <c r="AU92" s="190"/>
      <c r="AV92" s="187"/>
      <c r="AW92" s="184"/>
      <c r="AX92" s="551"/>
    </row>
    <row r="93" spans="1:50" ht="14.25" customHeight="1">
      <c r="B93" s="525"/>
      <c r="C93" s="182">
        <v>11</v>
      </c>
      <c r="D93" s="185"/>
      <c r="E93" s="186"/>
      <c r="F93" s="182"/>
      <c r="G93" s="187"/>
      <c r="H93" s="554"/>
      <c r="I93" s="188"/>
      <c r="J93" s="188"/>
      <c r="K93" s="189"/>
      <c r="L93" s="555"/>
      <c r="M93" s="188" t="e">
        <f>RANK(K93, K$45:$K$77)</f>
        <v>#N/A</v>
      </c>
      <c r="N93" s="553"/>
      <c r="O93" s="533"/>
      <c r="P93" s="190"/>
      <c r="Q93" s="190"/>
      <c r="R93" s="187"/>
      <c r="S93" s="184"/>
      <c r="T93" s="551"/>
      <c r="U93" s="190"/>
      <c r="V93" s="190"/>
      <c r="W93" s="187"/>
      <c r="X93" s="184"/>
      <c r="Y93" s="551"/>
      <c r="Z93" s="190"/>
      <c r="AA93" s="190"/>
      <c r="AB93" s="187"/>
      <c r="AC93" s="184"/>
      <c r="AD93" s="551"/>
      <c r="AE93" s="190"/>
      <c r="AF93" s="190"/>
      <c r="AG93" s="187"/>
      <c r="AH93" s="184"/>
      <c r="AI93" s="551"/>
      <c r="AJ93" s="190"/>
      <c r="AK93" s="190"/>
      <c r="AL93" s="187"/>
      <c r="AM93" s="184"/>
      <c r="AN93" s="551"/>
      <c r="AO93" s="190"/>
      <c r="AP93" s="190"/>
      <c r="AQ93" s="187"/>
      <c r="AR93" s="184"/>
      <c r="AS93" s="551"/>
      <c r="AT93" s="190"/>
      <c r="AU93" s="190"/>
      <c r="AV93" s="187"/>
      <c r="AW93" s="184"/>
      <c r="AX93" s="551"/>
    </row>
    <row r="94" spans="1:50" ht="14.25" customHeight="1">
      <c r="B94" s="525"/>
      <c r="C94" s="182">
        <v>12</v>
      </c>
      <c r="D94" s="185"/>
      <c r="E94" s="186"/>
      <c r="F94" s="182"/>
      <c r="G94" s="187"/>
      <c r="H94" s="554"/>
      <c r="I94" s="188"/>
      <c r="J94" s="188"/>
      <c r="K94" s="189"/>
      <c r="L94" s="555"/>
      <c r="M94" s="188" t="e">
        <f>RANK(K94, K$45:$K$77)</f>
        <v>#N/A</v>
      </c>
      <c r="N94" s="553"/>
      <c r="O94" s="533"/>
      <c r="P94" s="190"/>
      <c r="Q94" s="190"/>
      <c r="R94" s="187"/>
      <c r="S94" s="184"/>
      <c r="T94" s="551"/>
      <c r="U94" s="190"/>
      <c r="V94" s="190"/>
      <c r="W94" s="187"/>
      <c r="X94" s="184"/>
      <c r="Y94" s="551"/>
      <c r="Z94" s="190"/>
      <c r="AA94" s="190"/>
      <c r="AB94" s="187"/>
      <c r="AC94" s="184"/>
      <c r="AD94" s="551"/>
      <c r="AE94" s="190"/>
      <c r="AF94" s="190"/>
      <c r="AG94" s="187"/>
      <c r="AH94" s="184"/>
      <c r="AI94" s="551"/>
      <c r="AJ94" s="190"/>
      <c r="AK94" s="190"/>
      <c r="AL94" s="187"/>
      <c r="AM94" s="184"/>
      <c r="AN94" s="551"/>
      <c r="AO94" s="190"/>
      <c r="AP94" s="190"/>
      <c r="AQ94" s="187"/>
      <c r="AR94" s="184"/>
      <c r="AS94" s="551"/>
      <c r="AT94" s="190"/>
      <c r="AU94" s="190"/>
      <c r="AV94" s="187"/>
      <c r="AW94" s="184"/>
      <c r="AX94" s="551"/>
    </row>
    <row r="95" spans="1:50" ht="14.25" customHeight="1">
      <c r="B95" s="525"/>
      <c r="C95" s="182">
        <v>13</v>
      </c>
      <c r="D95" s="185"/>
      <c r="E95" s="186"/>
      <c r="F95" s="182"/>
      <c r="G95" s="187"/>
      <c r="H95" s="554"/>
      <c r="I95" s="188"/>
      <c r="J95" s="188"/>
      <c r="K95" s="189"/>
      <c r="L95" s="555"/>
      <c r="M95" s="188" t="e">
        <f>RANK(K95, K$45:$K$77)</f>
        <v>#N/A</v>
      </c>
      <c r="N95" s="553"/>
      <c r="O95" s="533"/>
      <c r="P95" s="190"/>
      <c r="Q95" s="190"/>
      <c r="R95" s="187"/>
      <c r="S95" s="184"/>
      <c r="T95" s="551"/>
      <c r="U95" s="190"/>
      <c r="V95" s="190"/>
      <c r="W95" s="187"/>
      <c r="X95" s="184"/>
      <c r="Y95" s="551"/>
      <c r="Z95" s="190"/>
      <c r="AA95" s="190"/>
      <c r="AB95" s="187"/>
      <c r="AC95" s="184"/>
      <c r="AD95" s="551"/>
      <c r="AE95" s="190"/>
      <c r="AF95" s="190"/>
      <c r="AG95" s="187"/>
      <c r="AH95" s="184"/>
      <c r="AI95" s="551"/>
      <c r="AJ95" s="190"/>
      <c r="AK95" s="190"/>
      <c r="AL95" s="187"/>
      <c r="AM95" s="184"/>
      <c r="AN95" s="551"/>
      <c r="AO95" s="190"/>
      <c r="AP95" s="190"/>
      <c r="AQ95" s="187"/>
      <c r="AR95" s="184"/>
      <c r="AS95" s="551"/>
      <c r="AT95" s="190"/>
      <c r="AU95" s="190"/>
      <c r="AV95" s="187"/>
      <c r="AW95" s="184"/>
      <c r="AX95" s="551"/>
    </row>
    <row r="96" spans="1:50" ht="14.25" customHeight="1">
      <c r="B96" s="525"/>
      <c r="C96" s="182">
        <v>14</v>
      </c>
      <c r="D96" s="185"/>
      <c r="E96" s="186"/>
      <c r="F96" s="182"/>
      <c r="G96" s="187"/>
      <c r="H96" s="554"/>
      <c r="I96" s="188"/>
      <c r="J96" s="188"/>
      <c r="K96" s="189"/>
      <c r="L96" s="555"/>
      <c r="M96" s="188" t="e">
        <f>RANK(K96, K$45:$K$77)</f>
        <v>#N/A</v>
      </c>
      <c r="N96" s="553"/>
      <c r="O96" s="533"/>
      <c r="P96" s="190"/>
      <c r="Q96" s="190"/>
      <c r="R96" s="187"/>
      <c r="S96" s="184"/>
      <c r="T96" s="551"/>
      <c r="U96" s="190"/>
      <c r="V96" s="190"/>
      <c r="W96" s="187"/>
      <c r="X96" s="184"/>
      <c r="Y96" s="551"/>
      <c r="Z96" s="190"/>
      <c r="AA96" s="190"/>
      <c r="AB96" s="187"/>
      <c r="AC96" s="184"/>
      <c r="AD96" s="551"/>
      <c r="AE96" s="190"/>
      <c r="AF96" s="190"/>
      <c r="AG96" s="187"/>
      <c r="AH96" s="184"/>
      <c r="AI96" s="551"/>
      <c r="AJ96" s="190"/>
      <c r="AK96" s="190"/>
      <c r="AL96" s="187"/>
      <c r="AM96" s="184"/>
      <c r="AN96" s="551"/>
      <c r="AO96" s="190"/>
      <c r="AP96" s="190"/>
      <c r="AQ96" s="187"/>
      <c r="AR96" s="184"/>
      <c r="AS96" s="551"/>
      <c r="AT96" s="190"/>
      <c r="AU96" s="190"/>
      <c r="AV96" s="187"/>
      <c r="AW96" s="184"/>
      <c r="AX96" s="551"/>
    </row>
    <row r="97" spans="2:50" ht="14.25" customHeight="1">
      <c r="B97" s="525"/>
      <c r="C97" s="182">
        <v>15</v>
      </c>
      <c r="D97" s="185"/>
      <c r="E97" s="186"/>
      <c r="F97" s="182"/>
      <c r="G97" s="187"/>
      <c r="H97" s="554"/>
      <c r="I97" s="188"/>
      <c r="J97" s="188"/>
      <c r="K97" s="189"/>
      <c r="L97" s="555"/>
      <c r="M97" s="188" t="e">
        <f>RANK(K97, K$45:$K$77)</f>
        <v>#N/A</v>
      </c>
      <c r="N97" s="553"/>
      <c r="O97" s="533"/>
      <c r="P97" s="190"/>
      <c r="Q97" s="190"/>
      <c r="R97" s="187"/>
      <c r="S97" s="184"/>
      <c r="T97" s="551"/>
      <c r="U97" s="190"/>
      <c r="V97" s="190"/>
      <c r="W97" s="187"/>
      <c r="X97" s="184"/>
      <c r="Y97" s="551"/>
      <c r="Z97" s="190"/>
      <c r="AA97" s="190"/>
      <c r="AB97" s="187"/>
      <c r="AC97" s="184"/>
      <c r="AD97" s="551"/>
      <c r="AE97" s="190"/>
      <c r="AF97" s="190"/>
      <c r="AG97" s="187"/>
      <c r="AH97" s="184"/>
      <c r="AI97" s="551"/>
      <c r="AJ97" s="190"/>
      <c r="AK97" s="190"/>
      <c r="AL97" s="187"/>
      <c r="AM97" s="184"/>
      <c r="AN97" s="551"/>
      <c r="AO97" s="190"/>
      <c r="AP97" s="190"/>
      <c r="AQ97" s="187"/>
      <c r="AR97" s="184"/>
      <c r="AS97" s="551"/>
      <c r="AT97" s="190"/>
      <c r="AU97" s="190"/>
      <c r="AV97" s="187"/>
      <c r="AW97" s="184"/>
      <c r="AX97" s="551"/>
    </row>
    <row r="98" spans="2:50" ht="14.25" customHeight="1">
      <c r="B98" s="525"/>
      <c r="C98" s="182">
        <v>16</v>
      </c>
      <c r="D98" s="185"/>
      <c r="E98" s="186"/>
      <c r="F98" s="182"/>
      <c r="G98" s="187"/>
      <c r="H98" s="554"/>
      <c r="I98" s="188"/>
      <c r="J98" s="188"/>
      <c r="K98" s="189"/>
      <c r="L98" s="555"/>
      <c r="M98" s="188" t="e">
        <f>RANK(K98, K$45:$K$77)</f>
        <v>#N/A</v>
      </c>
      <c r="N98" s="553"/>
      <c r="O98" s="533"/>
      <c r="P98" s="190"/>
      <c r="Q98" s="190"/>
      <c r="R98" s="187"/>
      <c r="S98" s="184"/>
      <c r="T98" s="551"/>
      <c r="U98" s="190"/>
      <c r="V98" s="190"/>
      <c r="W98" s="187"/>
      <c r="X98" s="184"/>
      <c r="Y98" s="551"/>
      <c r="Z98" s="190"/>
      <c r="AA98" s="190"/>
      <c r="AB98" s="187"/>
      <c r="AC98" s="184"/>
      <c r="AD98" s="551"/>
      <c r="AE98" s="190"/>
      <c r="AF98" s="190"/>
      <c r="AG98" s="187"/>
      <c r="AH98" s="184"/>
      <c r="AI98" s="551"/>
      <c r="AJ98" s="190"/>
      <c r="AK98" s="190"/>
      <c r="AL98" s="187"/>
      <c r="AM98" s="184"/>
      <c r="AN98" s="551"/>
      <c r="AO98" s="190"/>
      <c r="AP98" s="190"/>
      <c r="AQ98" s="187"/>
      <c r="AR98" s="184"/>
      <c r="AS98" s="551"/>
      <c r="AT98" s="190"/>
      <c r="AU98" s="190"/>
      <c r="AV98" s="187"/>
      <c r="AW98" s="184"/>
      <c r="AX98" s="551"/>
    </row>
    <row r="99" spans="2:50" ht="14.25" customHeight="1">
      <c r="B99" s="525"/>
      <c r="C99" s="182">
        <v>17</v>
      </c>
      <c r="D99" s="185"/>
      <c r="E99" s="186"/>
      <c r="F99" s="182"/>
      <c r="G99" s="187"/>
      <c r="H99" s="554"/>
      <c r="I99" s="188"/>
      <c r="J99" s="188"/>
      <c r="K99" s="189"/>
      <c r="L99" s="555"/>
      <c r="M99" s="188" t="e">
        <f>RANK(K99, K$45:$K$77)</f>
        <v>#N/A</v>
      </c>
      <c r="N99" s="553"/>
      <c r="O99" s="533"/>
      <c r="P99" s="190"/>
      <c r="Q99" s="190"/>
      <c r="R99" s="187"/>
      <c r="S99" s="184"/>
      <c r="T99" s="551"/>
      <c r="U99" s="190"/>
      <c r="V99" s="190"/>
      <c r="W99" s="187"/>
      <c r="X99" s="184"/>
      <c r="Y99" s="551"/>
      <c r="Z99" s="190"/>
      <c r="AA99" s="190"/>
      <c r="AB99" s="187"/>
      <c r="AC99" s="184"/>
      <c r="AD99" s="551"/>
      <c r="AE99" s="190"/>
      <c r="AF99" s="190"/>
      <c r="AG99" s="187"/>
      <c r="AH99" s="184"/>
      <c r="AI99" s="551"/>
      <c r="AJ99" s="190"/>
      <c r="AK99" s="190"/>
      <c r="AL99" s="187"/>
      <c r="AM99" s="184"/>
      <c r="AN99" s="551"/>
      <c r="AO99" s="190"/>
      <c r="AP99" s="190"/>
      <c r="AQ99" s="187"/>
      <c r="AR99" s="184"/>
      <c r="AS99" s="551"/>
      <c r="AT99" s="190"/>
      <c r="AU99" s="190"/>
      <c r="AV99" s="187"/>
      <c r="AW99" s="184"/>
      <c r="AX99" s="551"/>
    </row>
    <row r="100" spans="2:50" ht="14.25" customHeight="1">
      <c r="B100" s="525"/>
      <c r="C100" s="182">
        <v>18</v>
      </c>
      <c r="D100" s="185"/>
      <c r="E100" s="186"/>
      <c r="F100" s="182"/>
      <c r="G100" s="187"/>
      <c r="H100" s="554"/>
      <c r="I100" s="188"/>
      <c r="J100" s="188"/>
      <c r="K100" s="189"/>
      <c r="L100" s="555"/>
      <c r="M100" s="188" t="e">
        <f>RANK(K100, K$45:$K$77)</f>
        <v>#N/A</v>
      </c>
      <c r="N100" s="553"/>
      <c r="O100" s="533"/>
      <c r="P100" s="190"/>
      <c r="Q100" s="190"/>
      <c r="R100" s="187"/>
      <c r="S100" s="184"/>
      <c r="T100" s="551"/>
      <c r="U100" s="190"/>
      <c r="V100" s="190"/>
      <c r="W100" s="187"/>
      <c r="X100" s="184"/>
      <c r="Y100" s="551"/>
      <c r="Z100" s="190"/>
      <c r="AA100" s="190"/>
      <c r="AB100" s="187"/>
      <c r="AC100" s="184"/>
      <c r="AD100" s="551"/>
      <c r="AE100" s="190"/>
      <c r="AF100" s="190"/>
      <c r="AG100" s="187"/>
      <c r="AH100" s="184"/>
      <c r="AI100" s="551"/>
      <c r="AJ100" s="190"/>
      <c r="AK100" s="190"/>
      <c r="AL100" s="187"/>
      <c r="AM100" s="184"/>
      <c r="AN100" s="551"/>
      <c r="AO100" s="190"/>
      <c r="AP100" s="190"/>
      <c r="AQ100" s="187"/>
      <c r="AR100" s="184"/>
      <c r="AS100" s="551"/>
      <c r="AT100" s="190"/>
      <c r="AU100" s="190"/>
      <c r="AV100" s="187"/>
      <c r="AW100" s="184"/>
      <c r="AX100" s="551"/>
    </row>
    <row r="101" spans="2:50" ht="14.25" customHeight="1">
      <c r="B101" s="525"/>
      <c r="C101" s="182">
        <v>19</v>
      </c>
      <c r="D101" s="185"/>
      <c r="E101" s="186"/>
      <c r="F101" s="182"/>
      <c r="G101" s="187"/>
      <c r="H101" s="554"/>
      <c r="I101" s="188"/>
      <c r="J101" s="188"/>
      <c r="K101" s="189"/>
      <c r="L101" s="555"/>
      <c r="M101" s="188" t="e">
        <f>RANK(K101, K$45:$K$77)</f>
        <v>#N/A</v>
      </c>
      <c r="N101" s="553"/>
      <c r="O101" s="533"/>
      <c r="P101" s="190"/>
      <c r="Q101" s="190"/>
      <c r="R101" s="187"/>
      <c r="S101" s="184"/>
      <c r="T101" s="551"/>
      <c r="U101" s="190"/>
      <c r="V101" s="190"/>
      <c r="W101" s="187"/>
      <c r="X101" s="184"/>
      <c r="Y101" s="551"/>
      <c r="Z101" s="190"/>
      <c r="AA101" s="190"/>
      <c r="AB101" s="187"/>
      <c r="AC101" s="184"/>
      <c r="AD101" s="551"/>
      <c r="AE101" s="190"/>
      <c r="AF101" s="190"/>
      <c r="AG101" s="187"/>
      <c r="AH101" s="184"/>
      <c r="AI101" s="551"/>
      <c r="AJ101" s="190"/>
      <c r="AK101" s="190"/>
      <c r="AL101" s="187"/>
      <c r="AM101" s="184"/>
      <c r="AN101" s="551"/>
      <c r="AO101" s="190"/>
      <c r="AP101" s="190"/>
      <c r="AQ101" s="187"/>
      <c r="AR101" s="184"/>
      <c r="AS101" s="551"/>
      <c r="AT101" s="190"/>
      <c r="AU101" s="190"/>
      <c r="AV101" s="187"/>
      <c r="AW101" s="184"/>
      <c r="AX101" s="551"/>
    </row>
    <row r="102" spans="2:50" ht="14.25" customHeight="1">
      <c r="B102" s="525"/>
      <c r="C102" s="182">
        <v>20</v>
      </c>
      <c r="D102" s="185"/>
      <c r="E102" s="186"/>
      <c r="F102" s="182"/>
      <c r="G102" s="187"/>
      <c r="H102" s="554"/>
      <c r="I102" s="188"/>
      <c r="J102" s="188"/>
      <c r="K102" s="189"/>
      <c r="L102" s="555"/>
      <c r="M102" s="188" t="e">
        <f>RANK(K102, K$45:$K$77)</f>
        <v>#N/A</v>
      </c>
      <c r="N102" s="553"/>
      <c r="O102" s="533"/>
      <c r="P102" s="190"/>
      <c r="Q102" s="190"/>
      <c r="R102" s="187"/>
      <c r="S102" s="184"/>
      <c r="T102" s="551"/>
      <c r="U102" s="190"/>
      <c r="V102" s="190"/>
      <c r="W102" s="187"/>
      <c r="X102" s="184"/>
      <c r="Y102" s="551"/>
      <c r="Z102" s="190"/>
      <c r="AA102" s="190"/>
      <c r="AB102" s="187"/>
      <c r="AC102" s="184"/>
      <c r="AD102" s="551"/>
      <c r="AE102" s="190"/>
      <c r="AF102" s="190"/>
      <c r="AG102" s="187"/>
      <c r="AH102" s="184"/>
      <c r="AI102" s="551"/>
      <c r="AJ102" s="190"/>
      <c r="AK102" s="190"/>
      <c r="AL102" s="187"/>
      <c r="AM102" s="184"/>
      <c r="AN102" s="551"/>
      <c r="AO102" s="190"/>
      <c r="AP102" s="190"/>
      <c r="AQ102" s="187"/>
      <c r="AR102" s="184"/>
      <c r="AS102" s="551"/>
      <c r="AT102" s="190"/>
      <c r="AU102" s="190"/>
      <c r="AV102" s="187"/>
      <c r="AW102" s="184"/>
      <c r="AX102" s="551"/>
    </row>
    <row r="103" spans="2:50" ht="14.25" customHeight="1">
      <c r="B103" s="525"/>
      <c r="C103" s="182">
        <v>21</v>
      </c>
      <c r="D103" s="185"/>
      <c r="E103" s="186"/>
      <c r="F103" s="182"/>
      <c r="G103" s="187"/>
      <c r="H103" s="554"/>
      <c r="I103" s="188"/>
      <c r="J103" s="188"/>
      <c r="K103" s="189"/>
      <c r="L103" s="555"/>
      <c r="M103" s="188" t="e">
        <f>RANK(K103, K$45:$K$77)</f>
        <v>#N/A</v>
      </c>
      <c r="N103" s="553"/>
      <c r="O103" s="533"/>
      <c r="P103" s="190"/>
      <c r="Q103" s="190"/>
      <c r="R103" s="187"/>
      <c r="S103" s="184"/>
      <c r="T103" s="551"/>
      <c r="U103" s="190"/>
      <c r="V103" s="190"/>
      <c r="W103" s="187"/>
      <c r="X103" s="184"/>
      <c r="Y103" s="551"/>
      <c r="Z103" s="190"/>
      <c r="AA103" s="190"/>
      <c r="AB103" s="187"/>
      <c r="AC103" s="184"/>
      <c r="AD103" s="551"/>
      <c r="AE103" s="190"/>
      <c r="AF103" s="190"/>
      <c r="AG103" s="187"/>
      <c r="AH103" s="184"/>
      <c r="AI103" s="551"/>
      <c r="AJ103" s="190"/>
      <c r="AK103" s="190"/>
      <c r="AL103" s="187"/>
      <c r="AM103" s="184"/>
      <c r="AN103" s="551"/>
      <c r="AO103" s="190"/>
      <c r="AP103" s="190"/>
      <c r="AQ103" s="187"/>
      <c r="AR103" s="184"/>
      <c r="AS103" s="551"/>
      <c r="AT103" s="190"/>
      <c r="AU103" s="190"/>
      <c r="AV103" s="187"/>
      <c r="AW103" s="184"/>
      <c r="AX103" s="551"/>
    </row>
    <row r="104" spans="2:50" ht="14.25" customHeight="1">
      <c r="B104" s="525"/>
      <c r="C104" s="182">
        <v>22</v>
      </c>
      <c r="D104" s="185"/>
      <c r="E104" s="186"/>
      <c r="F104" s="182"/>
      <c r="G104" s="187"/>
      <c r="H104" s="554"/>
      <c r="I104" s="188"/>
      <c r="J104" s="188"/>
      <c r="K104" s="189"/>
      <c r="L104" s="555"/>
      <c r="M104" s="188" t="e">
        <f>RANK(K104, K$45:$K$77)</f>
        <v>#N/A</v>
      </c>
      <c r="N104" s="553"/>
      <c r="O104" s="533"/>
      <c r="P104" s="190"/>
      <c r="Q104" s="190"/>
      <c r="R104" s="187"/>
      <c r="S104" s="184"/>
      <c r="T104" s="551"/>
      <c r="U104" s="190"/>
      <c r="V104" s="190"/>
      <c r="W104" s="187"/>
      <c r="X104" s="184"/>
      <c r="Y104" s="551"/>
      <c r="Z104" s="190"/>
      <c r="AA104" s="190"/>
      <c r="AB104" s="187"/>
      <c r="AC104" s="184"/>
      <c r="AD104" s="551"/>
      <c r="AE104" s="190"/>
      <c r="AF104" s="190"/>
      <c r="AG104" s="187"/>
      <c r="AH104" s="184"/>
      <c r="AI104" s="551"/>
      <c r="AJ104" s="190"/>
      <c r="AK104" s="190"/>
      <c r="AL104" s="187"/>
      <c r="AM104" s="184"/>
      <c r="AN104" s="551"/>
      <c r="AO104" s="190"/>
      <c r="AP104" s="190"/>
      <c r="AQ104" s="187"/>
      <c r="AR104" s="184"/>
      <c r="AS104" s="551"/>
      <c r="AT104" s="190"/>
      <c r="AU104" s="190"/>
      <c r="AV104" s="187"/>
      <c r="AW104" s="184"/>
      <c r="AX104" s="551"/>
    </row>
    <row r="105" spans="2:50" ht="14.25" customHeight="1">
      <c r="B105" s="525"/>
      <c r="C105" s="182">
        <v>23</v>
      </c>
      <c r="D105" s="185"/>
      <c r="E105" s="186"/>
      <c r="F105" s="182"/>
      <c r="G105" s="187"/>
      <c r="H105" s="554"/>
      <c r="I105" s="188"/>
      <c r="J105" s="188"/>
      <c r="K105" s="189"/>
      <c r="L105" s="555"/>
      <c r="M105" s="188" t="e">
        <f>RANK(K105, K$45:$K$77)</f>
        <v>#N/A</v>
      </c>
      <c r="N105" s="553"/>
      <c r="O105" s="533"/>
      <c r="P105" s="190"/>
      <c r="Q105" s="190"/>
      <c r="R105" s="187"/>
      <c r="S105" s="184"/>
      <c r="T105" s="551"/>
      <c r="U105" s="190"/>
      <c r="V105" s="190"/>
      <c r="W105" s="187"/>
      <c r="X105" s="184"/>
      <c r="Y105" s="551"/>
      <c r="Z105" s="190"/>
      <c r="AA105" s="190"/>
      <c r="AB105" s="187"/>
      <c r="AC105" s="184"/>
      <c r="AD105" s="551"/>
      <c r="AE105" s="190"/>
      <c r="AF105" s="190"/>
      <c r="AG105" s="187"/>
      <c r="AH105" s="184"/>
      <c r="AI105" s="551"/>
      <c r="AJ105" s="190"/>
      <c r="AK105" s="190"/>
      <c r="AL105" s="187"/>
      <c r="AM105" s="184"/>
      <c r="AN105" s="551"/>
      <c r="AO105" s="190"/>
      <c r="AP105" s="190"/>
      <c r="AQ105" s="187"/>
      <c r="AR105" s="184"/>
      <c r="AS105" s="551"/>
      <c r="AT105" s="190"/>
      <c r="AU105" s="190"/>
      <c r="AV105" s="187"/>
      <c r="AW105" s="184"/>
      <c r="AX105" s="551"/>
    </row>
    <row r="106" spans="2:50" ht="14.25" customHeight="1">
      <c r="B106" s="525"/>
      <c r="C106" s="182">
        <v>24</v>
      </c>
      <c r="D106" s="185"/>
      <c r="E106" s="186"/>
      <c r="F106" s="182"/>
      <c r="G106" s="187"/>
      <c r="H106" s="554"/>
      <c r="I106" s="188"/>
      <c r="J106" s="188"/>
      <c r="K106" s="189"/>
      <c r="L106" s="555"/>
      <c r="M106" s="188" t="e">
        <f>RANK(K106, K$45:$K$77)</f>
        <v>#N/A</v>
      </c>
      <c r="N106" s="553"/>
      <c r="O106" s="533"/>
      <c r="P106" s="190"/>
      <c r="Q106" s="190"/>
      <c r="R106" s="187"/>
      <c r="S106" s="184"/>
      <c r="T106" s="551"/>
      <c r="U106" s="190"/>
      <c r="V106" s="190"/>
      <c r="W106" s="187"/>
      <c r="X106" s="184"/>
      <c r="Y106" s="551"/>
      <c r="Z106" s="190"/>
      <c r="AA106" s="190"/>
      <c r="AB106" s="187"/>
      <c r="AC106" s="184"/>
      <c r="AD106" s="551"/>
      <c r="AE106" s="190"/>
      <c r="AF106" s="190"/>
      <c r="AG106" s="187"/>
      <c r="AH106" s="184"/>
      <c r="AI106" s="551"/>
      <c r="AJ106" s="190"/>
      <c r="AK106" s="190"/>
      <c r="AL106" s="187"/>
      <c r="AM106" s="184"/>
      <c r="AN106" s="551"/>
      <c r="AO106" s="190"/>
      <c r="AP106" s="190"/>
      <c r="AQ106" s="187"/>
      <c r="AR106" s="184"/>
      <c r="AS106" s="551"/>
      <c r="AT106" s="190"/>
      <c r="AU106" s="190"/>
      <c r="AV106" s="187"/>
      <c r="AW106" s="184"/>
      <c r="AX106" s="551"/>
    </row>
    <row r="107" spans="2:50" ht="14.25" customHeight="1">
      <c r="B107" s="525"/>
      <c r="C107" s="182">
        <v>25</v>
      </c>
      <c r="D107" s="185"/>
      <c r="E107" s="186"/>
      <c r="F107" s="182"/>
      <c r="G107" s="187"/>
      <c r="H107" s="554"/>
      <c r="I107" s="188"/>
      <c r="J107" s="188"/>
      <c r="K107" s="189"/>
      <c r="L107" s="555"/>
      <c r="M107" s="188" t="e">
        <f>RANK(K107, K$45:$K$77)</f>
        <v>#N/A</v>
      </c>
      <c r="N107" s="553"/>
      <c r="O107" s="533"/>
      <c r="P107" s="190"/>
      <c r="Q107" s="190"/>
      <c r="R107" s="187"/>
      <c r="S107" s="184"/>
      <c r="T107" s="551"/>
      <c r="U107" s="190"/>
      <c r="V107" s="190"/>
      <c r="W107" s="187"/>
      <c r="X107" s="184"/>
      <c r="Y107" s="551"/>
      <c r="Z107" s="190"/>
      <c r="AA107" s="190"/>
      <c r="AB107" s="187"/>
      <c r="AC107" s="184"/>
      <c r="AD107" s="551"/>
      <c r="AE107" s="190"/>
      <c r="AF107" s="190"/>
      <c r="AG107" s="187"/>
      <c r="AH107" s="184"/>
      <c r="AI107" s="551"/>
      <c r="AJ107" s="190"/>
      <c r="AK107" s="190"/>
      <c r="AL107" s="187"/>
      <c r="AM107" s="184"/>
      <c r="AN107" s="551"/>
      <c r="AO107" s="190"/>
      <c r="AP107" s="190"/>
      <c r="AQ107" s="187"/>
      <c r="AR107" s="184"/>
      <c r="AS107" s="551"/>
      <c r="AT107" s="190"/>
      <c r="AU107" s="190"/>
      <c r="AV107" s="187"/>
      <c r="AW107" s="184"/>
      <c r="AX107" s="551"/>
    </row>
    <row r="108" spans="2:50" ht="14.25" customHeight="1">
      <c r="B108" s="525"/>
      <c r="C108" s="182">
        <v>26</v>
      </c>
      <c r="D108" s="185"/>
      <c r="E108" s="186"/>
      <c r="F108" s="182"/>
      <c r="G108" s="187"/>
      <c r="H108" s="554"/>
      <c r="I108" s="188"/>
      <c r="J108" s="188"/>
      <c r="K108" s="189"/>
      <c r="L108" s="555"/>
      <c r="M108" s="188" t="e">
        <f>RANK(K108, K$45:$K$77)</f>
        <v>#N/A</v>
      </c>
      <c r="N108" s="553"/>
      <c r="O108" s="533"/>
      <c r="P108" s="190"/>
      <c r="Q108" s="190"/>
      <c r="R108" s="187"/>
      <c r="S108" s="184"/>
      <c r="T108" s="551"/>
      <c r="U108" s="190"/>
      <c r="V108" s="190"/>
      <c r="W108" s="187"/>
      <c r="X108" s="184"/>
      <c r="Y108" s="551"/>
      <c r="Z108" s="190"/>
      <c r="AA108" s="190"/>
      <c r="AB108" s="187"/>
      <c r="AC108" s="184"/>
      <c r="AD108" s="551"/>
      <c r="AE108" s="190"/>
      <c r="AF108" s="190"/>
      <c r="AG108" s="187"/>
      <c r="AH108" s="184"/>
      <c r="AI108" s="551"/>
      <c r="AJ108" s="190"/>
      <c r="AK108" s="190"/>
      <c r="AL108" s="187"/>
      <c r="AM108" s="184"/>
      <c r="AN108" s="551"/>
      <c r="AO108" s="190"/>
      <c r="AP108" s="190"/>
      <c r="AQ108" s="187"/>
      <c r="AR108" s="184"/>
      <c r="AS108" s="551"/>
      <c r="AT108" s="190"/>
      <c r="AU108" s="190"/>
      <c r="AV108" s="187"/>
      <c r="AW108" s="184"/>
      <c r="AX108" s="551"/>
    </row>
    <row r="109" spans="2:50" ht="14.25" customHeight="1">
      <c r="B109" s="525"/>
      <c r="C109" s="182">
        <v>27</v>
      </c>
      <c r="D109" s="185"/>
      <c r="E109" s="186"/>
      <c r="F109" s="182"/>
      <c r="G109" s="187"/>
      <c r="H109" s="554"/>
      <c r="I109" s="188"/>
      <c r="J109" s="188"/>
      <c r="K109" s="189"/>
      <c r="L109" s="555"/>
      <c r="M109" s="188" t="e">
        <f>RANK(K109, K$45:$K$77)</f>
        <v>#N/A</v>
      </c>
      <c r="N109" s="553"/>
      <c r="O109" s="533"/>
      <c r="P109" s="190"/>
      <c r="Q109" s="190"/>
      <c r="R109" s="187"/>
      <c r="S109" s="184"/>
      <c r="T109" s="551"/>
      <c r="U109" s="190"/>
      <c r="V109" s="190"/>
      <c r="W109" s="187"/>
      <c r="X109" s="184"/>
      <c r="Y109" s="551"/>
      <c r="Z109" s="190"/>
      <c r="AA109" s="190"/>
      <c r="AB109" s="187"/>
      <c r="AC109" s="184"/>
      <c r="AD109" s="551"/>
      <c r="AE109" s="190"/>
      <c r="AF109" s="190"/>
      <c r="AG109" s="187"/>
      <c r="AH109" s="184"/>
      <c r="AI109" s="551"/>
      <c r="AJ109" s="190"/>
      <c r="AK109" s="190"/>
      <c r="AL109" s="187"/>
      <c r="AM109" s="184"/>
      <c r="AN109" s="551"/>
      <c r="AO109" s="190"/>
      <c r="AP109" s="190"/>
      <c r="AQ109" s="187"/>
      <c r="AR109" s="184"/>
      <c r="AS109" s="551"/>
      <c r="AT109" s="190"/>
      <c r="AU109" s="190"/>
      <c r="AV109" s="187"/>
      <c r="AW109" s="184"/>
      <c r="AX109" s="551"/>
    </row>
    <row r="110" spans="2:50" ht="14.25" customHeight="1">
      <c r="B110" s="525"/>
      <c r="C110" s="182">
        <v>28</v>
      </c>
      <c r="D110" s="185"/>
      <c r="E110" s="186"/>
      <c r="F110" s="182"/>
      <c r="G110" s="187"/>
      <c r="H110" s="554"/>
      <c r="I110" s="188"/>
      <c r="J110" s="188"/>
      <c r="K110" s="189"/>
      <c r="L110" s="555"/>
      <c r="M110" s="188" t="e">
        <f>RANK(K110, K$45:$K$77)</f>
        <v>#N/A</v>
      </c>
      <c r="N110" s="553"/>
      <c r="O110" s="533"/>
      <c r="P110" s="190"/>
      <c r="Q110" s="190"/>
      <c r="R110" s="187"/>
      <c r="S110" s="184"/>
      <c r="T110" s="551"/>
      <c r="U110" s="190"/>
      <c r="V110" s="190"/>
      <c r="W110" s="187"/>
      <c r="X110" s="184"/>
      <c r="Y110" s="551"/>
      <c r="Z110" s="190"/>
      <c r="AA110" s="190"/>
      <c r="AB110" s="187"/>
      <c r="AC110" s="184"/>
      <c r="AD110" s="551"/>
      <c r="AE110" s="190"/>
      <c r="AF110" s="190"/>
      <c r="AG110" s="187"/>
      <c r="AH110" s="184"/>
      <c r="AI110" s="551"/>
      <c r="AJ110" s="190"/>
      <c r="AK110" s="190"/>
      <c r="AL110" s="187"/>
      <c r="AM110" s="184"/>
      <c r="AN110" s="551"/>
      <c r="AO110" s="190"/>
      <c r="AP110" s="190"/>
      <c r="AQ110" s="187"/>
      <c r="AR110" s="184"/>
      <c r="AS110" s="551"/>
      <c r="AT110" s="190"/>
      <c r="AU110" s="190"/>
      <c r="AV110" s="187"/>
      <c r="AW110" s="184"/>
      <c r="AX110" s="551"/>
    </row>
    <row r="111" spans="2:50" ht="14.25" customHeight="1">
      <c r="B111" s="525"/>
      <c r="C111" s="182">
        <v>29</v>
      </c>
      <c r="D111" s="185"/>
      <c r="E111" s="186"/>
      <c r="F111" s="182"/>
      <c r="G111" s="187"/>
      <c r="H111" s="554"/>
      <c r="I111" s="188"/>
      <c r="J111" s="188"/>
      <c r="K111" s="189"/>
      <c r="L111" s="555"/>
      <c r="M111" s="188" t="e">
        <f>RANK(K111, K$45:$K$77)</f>
        <v>#N/A</v>
      </c>
      <c r="N111" s="553"/>
      <c r="O111" s="533"/>
      <c r="P111" s="190"/>
      <c r="Q111" s="190"/>
      <c r="R111" s="187"/>
      <c r="S111" s="184"/>
      <c r="T111" s="551"/>
      <c r="U111" s="190"/>
      <c r="V111" s="190"/>
      <c r="W111" s="187"/>
      <c r="X111" s="184"/>
      <c r="Y111" s="551"/>
      <c r="Z111" s="190"/>
      <c r="AA111" s="190"/>
      <c r="AB111" s="187"/>
      <c r="AC111" s="184"/>
      <c r="AD111" s="551"/>
      <c r="AE111" s="190"/>
      <c r="AF111" s="190"/>
      <c r="AG111" s="187"/>
      <c r="AH111" s="184"/>
      <c r="AI111" s="551"/>
      <c r="AJ111" s="190"/>
      <c r="AK111" s="190"/>
      <c r="AL111" s="187"/>
      <c r="AM111" s="184"/>
      <c r="AN111" s="551"/>
      <c r="AO111" s="190"/>
      <c r="AP111" s="190"/>
      <c r="AQ111" s="187"/>
      <c r="AR111" s="184"/>
      <c r="AS111" s="551"/>
      <c r="AT111" s="190"/>
      <c r="AU111" s="190"/>
      <c r="AV111" s="187"/>
      <c r="AW111" s="184"/>
      <c r="AX111" s="551"/>
    </row>
    <row r="112" spans="2:50" ht="14.25" customHeight="1">
      <c r="B112" s="525"/>
      <c r="C112" s="182">
        <v>30</v>
      </c>
      <c r="D112" s="185"/>
      <c r="E112" s="186"/>
      <c r="F112" s="182"/>
      <c r="G112" s="187"/>
      <c r="H112" s="554"/>
      <c r="I112" s="188"/>
      <c r="J112" s="188"/>
      <c r="K112" s="189"/>
      <c r="L112" s="555"/>
      <c r="M112" s="188" t="e">
        <f>RANK(K112, K$45:$K$77)</f>
        <v>#N/A</v>
      </c>
      <c r="N112" s="553"/>
      <c r="O112" s="533"/>
      <c r="P112" s="190"/>
      <c r="Q112" s="190"/>
      <c r="R112" s="187"/>
      <c r="S112" s="184"/>
      <c r="T112" s="551"/>
      <c r="U112" s="190"/>
      <c r="V112" s="190"/>
      <c r="W112" s="187"/>
      <c r="X112" s="184"/>
      <c r="Y112" s="551"/>
      <c r="Z112" s="190"/>
      <c r="AA112" s="190"/>
      <c r="AB112" s="187"/>
      <c r="AC112" s="184"/>
      <c r="AD112" s="551"/>
      <c r="AE112" s="190"/>
      <c r="AF112" s="190"/>
      <c r="AG112" s="187"/>
      <c r="AH112" s="184"/>
      <c r="AI112" s="551"/>
      <c r="AJ112" s="190"/>
      <c r="AK112" s="190"/>
      <c r="AL112" s="187"/>
      <c r="AM112" s="184"/>
      <c r="AN112" s="551"/>
      <c r="AO112" s="190"/>
      <c r="AP112" s="190"/>
      <c r="AQ112" s="187"/>
      <c r="AR112" s="184"/>
      <c r="AS112" s="551"/>
      <c r="AT112" s="190"/>
      <c r="AU112" s="190"/>
      <c r="AV112" s="187"/>
      <c r="AW112" s="184"/>
      <c r="AX112" s="551"/>
    </row>
    <row r="113" spans="2:50" ht="14.25" customHeight="1">
      <c r="B113" s="525"/>
      <c r="C113" s="182">
        <v>31</v>
      </c>
      <c r="D113" s="185"/>
      <c r="E113" s="182"/>
      <c r="F113" s="182"/>
      <c r="G113" s="187"/>
      <c r="H113" s="554"/>
      <c r="I113" s="188"/>
      <c r="J113" s="188"/>
      <c r="K113" s="189"/>
      <c r="L113" s="555"/>
      <c r="M113" s="188"/>
      <c r="N113" s="553"/>
      <c r="O113" s="533"/>
      <c r="P113" s="190"/>
      <c r="Q113" s="190"/>
      <c r="R113" s="187"/>
      <c r="S113" s="184"/>
      <c r="T113" s="551"/>
      <c r="U113" s="190"/>
      <c r="V113" s="190"/>
      <c r="W113" s="187"/>
      <c r="X113" s="184"/>
      <c r="Y113" s="551"/>
      <c r="Z113" s="190"/>
      <c r="AA113" s="190"/>
      <c r="AB113" s="187"/>
      <c r="AC113" s="184"/>
      <c r="AD113" s="551"/>
      <c r="AE113" s="190"/>
      <c r="AF113" s="190"/>
      <c r="AG113" s="187"/>
      <c r="AH113" s="184"/>
      <c r="AI113" s="551"/>
      <c r="AJ113" s="190"/>
      <c r="AK113" s="190"/>
      <c r="AL113" s="187"/>
      <c r="AM113" s="184"/>
      <c r="AN113" s="551"/>
      <c r="AO113" s="190"/>
      <c r="AP113" s="190"/>
      <c r="AQ113" s="187"/>
      <c r="AR113" s="184"/>
      <c r="AS113" s="551"/>
      <c r="AT113" s="190"/>
      <c r="AU113" s="190"/>
      <c r="AV113" s="187"/>
      <c r="AW113" s="184"/>
      <c r="AX113" s="551"/>
    </row>
    <row r="114" spans="2:50" ht="14.25" customHeight="1">
      <c r="B114" s="525"/>
      <c r="C114" s="182">
        <v>32</v>
      </c>
      <c r="D114" s="185"/>
      <c r="E114" s="182"/>
      <c r="F114" s="182"/>
      <c r="G114" s="187"/>
      <c r="H114" s="554"/>
      <c r="I114" s="188"/>
      <c r="J114" s="188"/>
      <c r="K114" s="189"/>
      <c r="L114" s="555"/>
      <c r="M114" s="188"/>
      <c r="N114" s="553"/>
      <c r="O114" s="533"/>
      <c r="P114" s="190"/>
      <c r="Q114" s="190"/>
      <c r="R114" s="187"/>
      <c r="S114" s="184"/>
      <c r="T114" s="551"/>
      <c r="U114" s="190"/>
      <c r="V114" s="190"/>
      <c r="W114" s="187"/>
      <c r="X114" s="184"/>
      <c r="Y114" s="551"/>
      <c r="Z114" s="190"/>
      <c r="AA114" s="190"/>
      <c r="AB114" s="187"/>
      <c r="AC114" s="184"/>
      <c r="AD114" s="551"/>
      <c r="AE114" s="190"/>
      <c r="AF114" s="190"/>
      <c r="AG114" s="187"/>
      <c r="AH114" s="184"/>
      <c r="AI114" s="551"/>
      <c r="AJ114" s="190"/>
      <c r="AK114" s="190"/>
      <c r="AL114" s="187"/>
      <c r="AM114" s="184"/>
      <c r="AN114" s="551"/>
      <c r="AO114" s="190"/>
      <c r="AP114" s="190"/>
      <c r="AQ114" s="187"/>
      <c r="AR114" s="184"/>
      <c r="AS114" s="551"/>
      <c r="AT114" s="190"/>
      <c r="AU114" s="190"/>
      <c r="AV114" s="187"/>
      <c r="AW114" s="184"/>
      <c r="AX114" s="551"/>
    </row>
    <row r="115" spans="2:50" ht="14.25" customHeight="1">
      <c r="B115" s="525"/>
      <c r="C115" s="182">
        <v>33</v>
      </c>
      <c r="D115" s="185"/>
      <c r="E115" s="182"/>
      <c r="F115" s="182"/>
      <c r="G115" s="187"/>
      <c r="H115" s="554"/>
      <c r="I115" s="188"/>
      <c r="J115" s="188"/>
      <c r="K115" s="189"/>
      <c r="L115" s="555"/>
      <c r="M115" s="188"/>
      <c r="N115" s="553"/>
      <c r="O115" s="533"/>
      <c r="P115" s="190"/>
      <c r="Q115" s="190"/>
      <c r="R115" s="187"/>
      <c r="S115" s="184"/>
      <c r="T115" s="551"/>
      <c r="U115" s="190"/>
      <c r="V115" s="190"/>
      <c r="W115" s="187"/>
      <c r="X115" s="184"/>
      <c r="Y115" s="551"/>
      <c r="Z115" s="190"/>
      <c r="AA115" s="190"/>
      <c r="AB115" s="187"/>
      <c r="AC115" s="184"/>
      <c r="AD115" s="551"/>
      <c r="AE115" s="190"/>
      <c r="AF115" s="190"/>
      <c r="AG115" s="187"/>
      <c r="AH115" s="184"/>
      <c r="AI115" s="551"/>
      <c r="AJ115" s="190"/>
      <c r="AK115" s="190"/>
      <c r="AL115" s="187"/>
      <c r="AM115" s="184"/>
      <c r="AN115" s="551"/>
      <c r="AO115" s="190"/>
      <c r="AP115" s="190"/>
      <c r="AQ115" s="187"/>
      <c r="AR115" s="184"/>
      <c r="AS115" s="551"/>
      <c r="AT115" s="190"/>
      <c r="AU115" s="190"/>
      <c r="AV115" s="187"/>
      <c r="AW115" s="184"/>
      <c r="AX115" s="551"/>
    </row>
  </sheetData>
  <mergeCells count="177">
    <mergeCell ref="AO5:AR5"/>
    <mergeCell ref="AT5:AW5"/>
    <mergeCell ref="B7:B39"/>
    <mergeCell ref="H7:H39"/>
    <mergeCell ref="L7:L39"/>
    <mergeCell ref="T7:T39"/>
    <mergeCell ref="Y7:Y39"/>
    <mergeCell ref="AD7:AD39"/>
    <mergeCell ref="AI7:AI39"/>
    <mergeCell ref="AN7:AN39"/>
    <mergeCell ref="AS7:AS39"/>
    <mergeCell ref="N4:N39"/>
    <mergeCell ref="O4:O39"/>
    <mergeCell ref="Z4:AC4"/>
    <mergeCell ref="AD4:AD6"/>
    <mergeCell ref="AE4:AH4"/>
    <mergeCell ref="AI4:AI6"/>
    <mergeCell ref="AJ4:AM4"/>
    <mergeCell ref="AN4:AN6"/>
    <mergeCell ref="AI83:AI115"/>
    <mergeCell ref="AN83:AN115"/>
    <mergeCell ref="AS83:AS115"/>
    <mergeCell ref="AJ80:AM80"/>
    <mergeCell ref="AN80:AN82"/>
    <mergeCell ref="AO80:AR80"/>
    <mergeCell ref="AS80:AS82"/>
    <mergeCell ref="AT80:AW80"/>
    <mergeCell ref="AX80:AX82"/>
    <mergeCell ref="AX83:AX115"/>
    <mergeCell ref="AJ81:AM81"/>
    <mergeCell ref="AO81:AR81"/>
    <mergeCell ref="AT81:AW81"/>
    <mergeCell ref="B83:B115"/>
    <mergeCell ref="H83:H115"/>
    <mergeCell ref="L83:L115"/>
    <mergeCell ref="T83:T115"/>
    <mergeCell ref="Y83:Y115"/>
    <mergeCell ref="AD83:AD115"/>
    <mergeCell ref="B80:B82"/>
    <mergeCell ref="C80:D82"/>
    <mergeCell ref="E80:G80"/>
    <mergeCell ref="H80:H82"/>
    <mergeCell ref="I80:K80"/>
    <mergeCell ref="L80:L82"/>
    <mergeCell ref="M80:M82"/>
    <mergeCell ref="N80:N115"/>
    <mergeCell ref="O80:O115"/>
    <mergeCell ref="E81:G81"/>
    <mergeCell ref="I81:K81"/>
    <mergeCell ref="P81:S81"/>
    <mergeCell ref="U81:X81"/>
    <mergeCell ref="Z81:AC81"/>
    <mergeCell ref="P80:S80"/>
    <mergeCell ref="T80:T82"/>
    <mergeCell ref="U80:X80"/>
    <mergeCell ref="Y80:Y82"/>
    <mergeCell ref="Z80:AC80"/>
    <mergeCell ref="AD80:AD82"/>
    <mergeCell ref="AE80:AH80"/>
    <mergeCell ref="AI80:AI82"/>
    <mergeCell ref="AE81:AH81"/>
    <mergeCell ref="B78:M79"/>
    <mergeCell ref="N78:N79"/>
    <mergeCell ref="O78:O79"/>
    <mergeCell ref="P78:T78"/>
    <mergeCell ref="U78:Y78"/>
    <mergeCell ref="Z78:AD78"/>
    <mergeCell ref="AE78:AI78"/>
    <mergeCell ref="P79:T79"/>
    <mergeCell ref="U79:Y79"/>
    <mergeCell ref="Z79:AD79"/>
    <mergeCell ref="AE79:AI79"/>
    <mergeCell ref="T42:T44"/>
    <mergeCell ref="U42:X42"/>
    <mergeCell ref="Y42:Y44"/>
    <mergeCell ref="Z42:AC42"/>
    <mergeCell ref="AD42:AD44"/>
    <mergeCell ref="AE42:AH42"/>
    <mergeCell ref="AI42:AI44"/>
    <mergeCell ref="P43:S43"/>
    <mergeCell ref="U43:X43"/>
    <mergeCell ref="B40:M41"/>
    <mergeCell ref="N40:N41"/>
    <mergeCell ref="O40:O41"/>
    <mergeCell ref="P40:T40"/>
    <mergeCell ref="U40:Y40"/>
    <mergeCell ref="Z40:AD40"/>
    <mergeCell ref="AE40:AI40"/>
    <mergeCell ref="B42:B44"/>
    <mergeCell ref="C42:D44"/>
    <mergeCell ref="E42:G42"/>
    <mergeCell ref="H42:H44"/>
    <mergeCell ref="I42:K42"/>
    <mergeCell ref="L42:L44"/>
    <mergeCell ref="M42:M44"/>
    <mergeCell ref="N42:N77"/>
    <mergeCell ref="O42:O77"/>
    <mergeCell ref="B45:B77"/>
    <mergeCell ref="H45:H77"/>
    <mergeCell ref="L45:L77"/>
    <mergeCell ref="E43:G43"/>
    <mergeCell ref="I43:K43"/>
    <mergeCell ref="T45:T77"/>
    <mergeCell ref="Y45:Y77"/>
    <mergeCell ref="AD45:AD77"/>
    <mergeCell ref="AO79:AS79"/>
    <mergeCell ref="AJ40:AN40"/>
    <mergeCell ref="AT79:AX79"/>
    <mergeCell ref="AT42:AW42"/>
    <mergeCell ref="P41:T41"/>
    <mergeCell ref="U41:Y41"/>
    <mergeCell ref="Z41:AD41"/>
    <mergeCell ref="AE41:AI41"/>
    <mergeCell ref="AJ41:AN41"/>
    <mergeCell ref="AS45:AS77"/>
    <mergeCell ref="AJ42:AM42"/>
    <mergeCell ref="AN42:AN44"/>
    <mergeCell ref="AO42:AR42"/>
    <mergeCell ref="AS42:AS44"/>
    <mergeCell ref="AJ79:AN79"/>
    <mergeCell ref="AI45:AI77"/>
    <mergeCell ref="AN45:AN77"/>
    <mergeCell ref="AX42:AX44"/>
    <mergeCell ref="AX45:AX77"/>
    <mergeCell ref="P42:S42"/>
    <mergeCell ref="Z43:AC43"/>
    <mergeCell ref="AE43:AH43"/>
    <mergeCell ref="AJ43:AM43"/>
    <mergeCell ref="AO43:AR43"/>
    <mergeCell ref="AO2:AS2"/>
    <mergeCell ref="AT2:AX2"/>
    <mergeCell ref="AO3:AS3"/>
    <mergeCell ref="AT3:AX3"/>
    <mergeCell ref="U2:Y2"/>
    <mergeCell ref="Z2:AD2"/>
    <mergeCell ref="AT43:AW43"/>
    <mergeCell ref="AT78:AX78"/>
    <mergeCell ref="AJ78:AN78"/>
    <mergeCell ref="AO78:AS78"/>
    <mergeCell ref="AT40:AX40"/>
    <mergeCell ref="AO41:AS41"/>
    <mergeCell ref="AT41:AX41"/>
    <mergeCell ref="AO40:AS40"/>
    <mergeCell ref="AT4:AW4"/>
    <mergeCell ref="AX4:AX6"/>
    <mergeCell ref="AX7:AX39"/>
    <mergeCell ref="AO4:AR4"/>
    <mergeCell ref="AS4:AS6"/>
    <mergeCell ref="AE2:AI2"/>
    <mergeCell ref="AJ2:AN2"/>
    <mergeCell ref="U3:Y3"/>
    <mergeCell ref="Z3:AD3"/>
    <mergeCell ref="AE3:AI3"/>
    <mergeCell ref="AJ3:AN3"/>
    <mergeCell ref="Y4:Y6"/>
    <mergeCell ref="B2:M3"/>
    <mergeCell ref="N2:N3"/>
    <mergeCell ref="O2:O3"/>
    <mergeCell ref="P2:T2"/>
    <mergeCell ref="P3:T3"/>
    <mergeCell ref="B4:B6"/>
    <mergeCell ref="C4:D6"/>
    <mergeCell ref="E4:G4"/>
    <mergeCell ref="H4:H6"/>
    <mergeCell ref="I4:K4"/>
    <mergeCell ref="L4:L6"/>
    <mergeCell ref="M4:M6"/>
    <mergeCell ref="P4:S4"/>
    <mergeCell ref="T4:T6"/>
    <mergeCell ref="U4:X4"/>
    <mergeCell ref="E5:G5"/>
    <mergeCell ref="I5:K5"/>
    <mergeCell ref="P5:S5"/>
    <mergeCell ref="U5:X5"/>
    <mergeCell ref="Z5:AC5"/>
    <mergeCell ref="AE5:AH5"/>
    <mergeCell ref="AJ5:AM5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21"/>
  <sheetViews>
    <sheetView zoomScaleNormal="100" workbookViewId="0">
      <pane xSplit="13" ySplit="1" topLeftCell="AI8" activePane="bottomRight" state="frozen"/>
      <selection activeCell="E31" sqref="E31"/>
      <selection pane="topRight" activeCell="E31" sqref="E31"/>
      <selection pane="bottomLeft" activeCell="E31" sqref="E31"/>
      <selection pane="bottomRight" activeCell="L27" sqref="L27:L41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9" bestFit="1" customWidth="1"/>
    <col min="4" max="4" width="26.453125" style="178" customWidth="1"/>
    <col min="5" max="5" width="7.7265625" style="179" customWidth="1"/>
    <col min="6" max="7" width="8.7265625" style="179" customWidth="1"/>
    <col min="8" max="8" width="10.7265625" style="179" customWidth="1"/>
    <col min="9" max="9" width="7.7265625" style="180" customWidth="1"/>
    <col min="10" max="11" width="8.7265625" style="180" customWidth="1"/>
    <col min="12" max="12" width="10.7265625" style="180" customWidth="1"/>
    <col min="13" max="13" width="5.7265625" style="180" customWidth="1"/>
    <col min="14" max="14" width="9.81640625" style="179" customWidth="1"/>
    <col min="15" max="15" width="7.1796875" style="179" customWidth="1"/>
    <col min="16" max="16" width="7.7265625" style="179" customWidth="1"/>
    <col min="17" max="18" width="8.7265625" style="179" customWidth="1"/>
    <col min="19" max="19" width="5.7265625" style="180" customWidth="1"/>
    <col min="20" max="20" width="10.7265625" style="179" customWidth="1"/>
    <col min="21" max="21" width="7.7265625" style="78" customWidth="1"/>
    <col min="22" max="23" width="8.7265625" style="78" customWidth="1"/>
    <col min="24" max="24" width="5.453125" style="180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80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80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80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81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81" customWidth="1"/>
    <col min="50" max="50" width="10.7265625" style="78" customWidth="1"/>
    <col min="51" max="16384" width="8.81640625" style="78"/>
  </cols>
  <sheetData>
    <row r="1" spans="1:50" ht="24.5">
      <c r="A1" s="74"/>
      <c r="B1" s="370" t="s">
        <v>651</v>
      </c>
      <c r="C1" s="177">
        <f>AVERAGE(L27,L47,L67,L87)</f>
        <v>307.16310533813407</v>
      </c>
    </row>
    <row r="2" spans="1:50" ht="14.25" customHeight="1" collapsed="1">
      <c r="B2" s="534" t="s">
        <v>559</v>
      </c>
      <c r="C2" s="535"/>
      <c r="D2" s="535"/>
      <c r="E2" s="535"/>
      <c r="F2" s="535"/>
      <c r="G2" s="535"/>
      <c r="H2" s="535"/>
      <c r="I2" s="535"/>
      <c r="J2" s="535"/>
      <c r="K2" s="535"/>
      <c r="L2" s="535"/>
      <c r="M2" s="536"/>
      <c r="N2" s="564" t="s">
        <v>378</v>
      </c>
      <c r="O2" s="564" t="s">
        <v>105</v>
      </c>
      <c r="P2" s="566">
        <v>46077</v>
      </c>
      <c r="Q2" s="567"/>
      <c r="R2" s="567"/>
      <c r="S2" s="567"/>
      <c r="T2" s="567"/>
      <c r="U2" s="568">
        <f>P2+1</f>
        <v>46078</v>
      </c>
      <c r="V2" s="569"/>
      <c r="W2" s="569"/>
      <c r="X2" s="569"/>
      <c r="Y2" s="569"/>
      <c r="Z2" s="566">
        <f t="shared" ref="Z2" si="0">U2+1</f>
        <v>46079</v>
      </c>
      <c r="AA2" s="567"/>
      <c r="AB2" s="567"/>
      <c r="AC2" s="567"/>
      <c r="AD2" s="567"/>
      <c r="AE2" s="568">
        <f t="shared" ref="AE2" si="1">Z2+1</f>
        <v>46080</v>
      </c>
      <c r="AF2" s="569"/>
      <c r="AG2" s="569"/>
      <c r="AH2" s="569"/>
      <c r="AI2" s="569"/>
      <c r="AJ2" s="556">
        <f t="shared" ref="AJ2" si="2">AE2+1</f>
        <v>46081</v>
      </c>
      <c r="AK2" s="557"/>
      <c r="AL2" s="557"/>
      <c r="AM2" s="557"/>
      <c r="AN2" s="558"/>
      <c r="AO2" s="568">
        <f t="shared" ref="AO2" si="3">AJ2+1</f>
        <v>46082</v>
      </c>
      <c r="AP2" s="569"/>
      <c r="AQ2" s="569"/>
      <c r="AR2" s="569"/>
      <c r="AS2" s="569"/>
      <c r="AT2" s="556">
        <f t="shared" ref="AT2" si="4">AO2+1</f>
        <v>46083</v>
      </c>
      <c r="AU2" s="557"/>
      <c r="AV2" s="557"/>
      <c r="AW2" s="557"/>
      <c r="AX2" s="558"/>
    </row>
    <row r="3" spans="1:50" ht="14.25" customHeight="1"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8"/>
      <c r="N3" s="565"/>
      <c r="O3" s="565"/>
      <c r="P3" s="559">
        <f>P2</f>
        <v>46077</v>
      </c>
      <c r="Q3" s="559"/>
      <c r="R3" s="559"/>
      <c r="S3" s="559"/>
      <c r="T3" s="559"/>
      <c r="U3" s="560">
        <f>U2</f>
        <v>46078</v>
      </c>
      <c r="V3" s="560"/>
      <c r="W3" s="560"/>
      <c r="X3" s="560"/>
      <c r="Y3" s="560"/>
      <c r="Z3" s="559">
        <f t="shared" ref="Z3" si="5">Z2</f>
        <v>46079</v>
      </c>
      <c r="AA3" s="559"/>
      <c r="AB3" s="559"/>
      <c r="AC3" s="559"/>
      <c r="AD3" s="559"/>
      <c r="AE3" s="560">
        <f t="shared" ref="AE3" si="6">AE2</f>
        <v>46080</v>
      </c>
      <c r="AF3" s="560"/>
      <c r="AG3" s="560"/>
      <c r="AH3" s="560"/>
      <c r="AI3" s="560"/>
      <c r="AJ3" s="561">
        <f t="shared" ref="AJ3" si="7">AJ2</f>
        <v>46081</v>
      </c>
      <c r="AK3" s="562"/>
      <c r="AL3" s="562"/>
      <c r="AM3" s="562"/>
      <c r="AN3" s="563"/>
      <c r="AO3" s="560">
        <f t="shared" ref="AO3" si="8">AO2</f>
        <v>46082</v>
      </c>
      <c r="AP3" s="560"/>
      <c r="AQ3" s="560"/>
      <c r="AR3" s="560"/>
      <c r="AS3" s="560"/>
      <c r="AT3" s="561">
        <f t="shared" ref="AT3" si="9">AT2</f>
        <v>46083</v>
      </c>
      <c r="AU3" s="562"/>
      <c r="AV3" s="562"/>
      <c r="AW3" s="562"/>
      <c r="AX3" s="563"/>
    </row>
    <row r="4" spans="1:50" ht="14.25" customHeight="1">
      <c r="B4" s="525" t="s">
        <v>164</v>
      </c>
      <c r="C4" s="525" t="s">
        <v>159</v>
      </c>
      <c r="D4" s="525"/>
      <c r="E4" s="525" t="s">
        <v>160</v>
      </c>
      <c r="F4" s="525"/>
      <c r="G4" s="525"/>
      <c r="H4" s="525" t="s">
        <v>165</v>
      </c>
      <c r="I4" s="544" t="s">
        <v>379</v>
      </c>
      <c r="J4" s="544"/>
      <c r="K4" s="544"/>
      <c r="L4" s="544" t="s">
        <v>165</v>
      </c>
      <c r="M4" s="544" t="s">
        <v>167</v>
      </c>
      <c r="N4" s="525"/>
      <c r="O4" s="525" t="s">
        <v>166</v>
      </c>
      <c r="P4" s="525" t="s">
        <v>162</v>
      </c>
      <c r="Q4" s="525"/>
      <c r="R4" s="525"/>
      <c r="S4" s="525"/>
      <c r="T4" s="525" t="s">
        <v>165</v>
      </c>
      <c r="U4" s="525" t="s">
        <v>162</v>
      </c>
      <c r="V4" s="525"/>
      <c r="W4" s="525"/>
      <c r="X4" s="525"/>
      <c r="Y4" s="525" t="s">
        <v>165</v>
      </c>
      <c r="Z4" s="525" t="s">
        <v>162</v>
      </c>
      <c r="AA4" s="525"/>
      <c r="AB4" s="525"/>
      <c r="AC4" s="525"/>
      <c r="AD4" s="525" t="s">
        <v>165</v>
      </c>
      <c r="AE4" s="525" t="s">
        <v>162</v>
      </c>
      <c r="AF4" s="525"/>
      <c r="AG4" s="525"/>
      <c r="AH4" s="525"/>
      <c r="AI4" s="525" t="s">
        <v>165</v>
      </c>
      <c r="AJ4" s="525" t="s">
        <v>162</v>
      </c>
      <c r="AK4" s="525"/>
      <c r="AL4" s="525"/>
      <c r="AM4" s="525"/>
      <c r="AN4" s="525" t="s">
        <v>165</v>
      </c>
      <c r="AO4" s="525" t="s">
        <v>162</v>
      </c>
      <c r="AP4" s="525"/>
      <c r="AQ4" s="525"/>
      <c r="AR4" s="525"/>
      <c r="AS4" s="525" t="s">
        <v>165</v>
      </c>
      <c r="AT4" s="525" t="s">
        <v>162</v>
      </c>
      <c r="AU4" s="525"/>
      <c r="AV4" s="525"/>
      <c r="AW4" s="525"/>
      <c r="AX4" s="525" t="s">
        <v>165</v>
      </c>
    </row>
    <row r="5" spans="1:50" ht="14.25" customHeight="1">
      <c r="B5" s="525"/>
      <c r="C5" s="525"/>
      <c r="D5" s="525"/>
      <c r="E5" s="525" t="s">
        <v>380</v>
      </c>
      <c r="F5" s="525"/>
      <c r="G5" s="525"/>
      <c r="H5" s="525"/>
      <c r="I5" s="544" t="s">
        <v>380</v>
      </c>
      <c r="J5" s="544"/>
      <c r="K5" s="544"/>
      <c r="L5" s="544"/>
      <c r="M5" s="544"/>
      <c r="N5" s="525"/>
      <c r="O5" s="525"/>
      <c r="P5" s="525" t="s">
        <v>381</v>
      </c>
      <c r="Q5" s="525"/>
      <c r="R5" s="525"/>
      <c r="S5" s="525"/>
      <c r="T5" s="525"/>
      <c r="U5" s="525" t="s">
        <v>381</v>
      </c>
      <c r="V5" s="525"/>
      <c r="W5" s="525"/>
      <c r="X5" s="525"/>
      <c r="Y5" s="525"/>
      <c r="Z5" s="525" t="s">
        <v>381</v>
      </c>
      <c r="AA5" s="525"/>
      <c r="AB5" s="525"/>
      <c r="AC5" s="525"/>
      <c r="AD5" s="525"/>
      <c r="AE5" s="525" t="s">
        <v>381</v>
      </c>
      <c r="AF5" s="525"/>
      <c r="AG5" s="525"/>
      <c r="AH5" s="525"/>
      <c r="AI5" s="525"/>
      <c r="AJ5" s="525" t="s">
        <v>381</v>
      </c>
      <c r="AK5" s="525"/>
      <c r="AL5" s="525"/>
      <c r="AM5" s="525"/>
      <c r="AN5" s="525"/>
      <c r="AO5" s="525" t="s">
        <v>381</v>
      </c>
      <c r="AP5" s="525"/>
      <c r="AQ5" s="525"/>
      <c r="AR5" s="525"/>
      <c r="AS5" s="525"/>
      <c r="AT5" s="525" t="s">
        <v>381</v>
      </c>
      <c r="AU5" s="525"/>
      <c r="AV5" s="525"/>
      <c r="AW5" s="525"/>
      <c r="AX5" s="525"/>
    </row>
    <row r="6" spans="1:50" ht="14.25" customHeight="1">
      <c r="B6" s="525"/>
      <c r="C6" s="525"/>
      <c r="D6" s="525"/>
      <c r="E6" s="182" t="s">
        <v>161</v>
      </c>
      <c r="F6" s="182" t="s">
        <v>382</v>
      </c>
      <c r="G6" s="182" t="s">
        <v>163</v>
      </c>
      <c r="H6" s="525"/>
      <c r="I6" s="183" t="s">
        <v>161</v>
      </c>
      <c r="J6" s="183" t="s">
        <v>382</v>
      </c>
      <c r="K6" s="183" t="s">
        <v>163</v>
      </c>
      <c r="L6" s="544"/>
      <c r="M6" s="544"/>
      <c r="N6" s="525"/>
      <c r="O6" s="525"/>
      <c r="P6" s="182" t="s">
        <v>161</v>
      </c>
      <c r="Q6" s="182" t="s">
        <v>382</v>
      </c>
      <c r="R6" s="182" t="s">
        <v>163</v>
      </c>
      <c r="S6" s="184" t="s">
        <v>167</v>
      </c>
      <c r="T6" s="525"/>
      <c r="U6" s="182" t="s">
        <v>161</v>
      </c>
      <c r="V6" s="182" t="s">
        <v>382</v>
      </c>
      <c r="W6" s="182" t="s">
        <v>163</v>
      </c>
      <c r="X6" s="184" t="s">
        <v>167</v>
      </c>
      <c r="Y6" s="525"/>
      <c r="Z6" s="182" t="s">
        <v>161</v>
      </c>
      <c r="AA6" s="182" t="s">
        <v>382</v>
      </c>
      <c r="AB6" s="182" t="s">
        <v>163</v>
      </c>
      <c r="AC6" s="184" t="s">
        <v>167</v>
      </c>
      <c r="AD6" s="525"/>
      <c r="AE6" s="182" t="s">
        <v>161</v>
      </c>
      <c r="AF6" s="182" t="s">
        <v>382</v>
      </c>
      <c r="AG6" s="182" t="s">
        <v>163</v>
      </c>
      <c r="AH6" s="184" t="s">
        <v>167</v>
      </c>
      <c r="AI6" s="525"/>
      <c r="AJ6" s="182" t="s">
        <v>161</v>
      </c>
      <c r="AK6" s="182" t="s">
        <v>382</v>
      </c>
      <c r="AL6" s="182" t="s">
        <v>163</v>
      </c>
      <c r="AM6" s="184" t="s">
        <v>167</v>
      </c>
      <c r="AN6" s="525"/>
      <c r="AO6" s="182" t="s">
        <v>161</v>
      </c>
      <c r="AP6" s="182" t="s">
        <v>382</v>
      </c>
      <c r="AQ6" s="182" t="s">
        <v>163</v>
      </c>
      <c r="AR6" s="184" t="s">
        <v>167</v>
      </c>
      <c r="AS6" s="525"/>
      <c r="AT6" s="182" t="s">
        <v>161</v>
      </c>
      <c r="AU6" s="182" t="s">
        <v>382</v>
      </c>
      <c r="AV6" s="182" t="s">
        <v>163</v>
      </c>
      <c r="AW6" s="184" t="s">
        <v>167</v>
      </c>
      <c r="AX6" s="525"/>
    </row>
    <row r="7" spans="1:50" ht="14.25" customHeight="1">
      <c r="B7" s="525" t="s">
        <v>384</v>
      </c>
      <c r="C7" s="182">
        <v>1</v>
      </c>
      <c r="D7" s="185" t="s">
        <v>352</v>
      </c>
      <c r="E7" s="182">
        <v>12</v>
      </c>
      <c r="F7" s="182">
        <v>3600</v>
      </c>
      <c r="G7" s="187">
        <f t="shared" ref="G7:G14" si="10">F7/E7</f>
        <v>300</v>
      </c>
      <c r="H7" s="554">
        <f>AVERAGE(G7:G21)</f>
        <v>340.15151515151513</v>
      </c>
      <c r="I7" s="188">
        <f>AVERAGE(P7,U7,Z7,AE7,AJ7,AO7,AT7)</f>
        <v>12</v>
      </c>
      <c r="J7" s="188">
        <f>AVERAGE(Q7,V7,AA7,AF7,AK7,AP7,AU7)</f>
        <v>3140.3171460477215</v>
      </c>
      <c r="K7" s="189">
        <f>AVERAGE(R7,W7,AB7,AG7,AL7,AQ7,AV7)</f>
        <v>261.69309550397674</v>
      </c>
      <c r="L7" s="555">
        <f>IFERROR(AVERAGE(K7:K21),"-")</f>
        <v>300.55927939537992</v>
      </c>
      <c r="M7" s="188">
        <f>RANK(K7, K$7:$K$21)</f>
        <v>6</v>
      </c>
      <c r="N7" s="525"/>
      <c r="O7" s="525"/>
      <c r="P7" s="190">
        <v>12</v>
      </c>
      <c r="Q7" s="190">
        <v>3140.9572524662062</v>
      </c>
      <c r="R7" s="187">
        <f>IFERROR(Q7/P7,"")</f>
        <v>261.74643770551717</v>
      </c>
      <c r="S7" s="184">
        <f>RANK(R7, R$7:R$21)</f>
        <v>5</v>
      </c>
      <c r="T7" s="554">
        <f>AVERAGE(R7:R21)</f>
        <v>300.56797311618504</v>
      </c>
      <c r="U7" s="190">
        <v>12</v>
      </c>
      <c r="V7" s="190">
        <v>3140.1223461676891</v>
      </c>
      <c r="W7" s="187">
        <f t="shared" ref="W7:W14" si="11">IFERROR(V7/U7,"")</f>
        <v>261.67686218064074</v>
      </c>
      <c r="X7" s="184">
        <f>RANK(W7, W$7:W$21)</f>
        <v>5</v>
      </c>
      <c r="Y7" s="554">
        <f>AVERAGE(W7:W21)</f>
        <v>300.51267827935942</v>
      </c>
      <c r="Z7" s="190">
        <v>12</v>
      </c>
      <c r="AA7" s="190">
        <v>3140.0530503978766</v>
      </c>
      <c r="AB7" s="187">
        <f t="shared" ref="AB7:AB14" si="12">IFERROR(AA7/Z7,"")</f>
        <v>261.67108753315637</v>
      </c>
      <c r="AC7" s="184">
        <f>RANK(AB7, AB$7:AB$21)</f>
        <v>6</v>
      </c>
      <c r="AD7" s="554">
        <f>AVERAGE(AB7:AB21)</f>
        <v>300.51454818968159</v>
      </c>
      <c r="AE7" s="190">
        <v>12</v>
      </c>
      <c r="AF7" s="190">
        <v>3139.8496240601526</v>
      </c>
      <c r="AG7" s="187">
        <f>IFERROR(AF7/AE7,"")</f>
        <v>261.65413533834607</v>
      </c>
      <c r="AH7" s="184">
        <f>RANK(AG7, AG$7:AG$21)</f>
        <v>8</v>
      </c>
      <c r="AI7" s="554">
        <f>AVERAGE(AG7:AG21)</f>
        <v>300.57597839118245</v>
      </c>
      <c r="AJ7" s="190">
        <v>12</v>
      </c>
      <c r="AK7" s="190">
        <v>3140.5378973105035</v>
      </c>
      <c r="AL7" s="187">
        <f t="shared" ref="AL7:AL14" si="13">IFERROR(AK7/AJ7,"")</f>
        <v>261.71149144254196</v>
      </c>
      <c r="AM7" s="184">
        <f>RANK(AL7, AL$7:AL$21)</f>
        <v>6</v>
      </c>
      <c r="AN7" s="554">
        <f>AVERAGE(AL7:AL21)</f>
        <v>300.57532705728045</v>
      </c>
      <c r="AO7" s="190">
        <v>12</v>
      </c>
      <c r="AP7" s="190">
        <v>3140.4521739130432</v>
      </c>
      <c r="AQ7" s="187">
        <f t="shared" ref="AQ7:AQ14" si="14">IFERROR(AP7/AO7,"")</f>
        <v>261.70434782608692</v>
      </c>
      <c r="AR7" s="184">
        <f>RANK(AQ7, AQ$7:AQ$21)</f>
        <v>7</v>
      </c>
      <c r="AS7" s="554">
        <f>AVERAGE(AQ7:AQ21)</f>
        <v>300.58262162037931</v>
      </c>
      <c r="AT7" s="190">
        <v>12</v>
      </c>
      <c r="AU7" s="190">
        <v>3140.247678018578</v>
      </c>
      <c r="AV7" s="187">
        <f t="shared" ref="AV7:AV14" si="15">IFERROR(AU7/AT7,"")</f>
        <v>261.68730650154816</v>
      </c>
      <c r="AW7" s="184">
        <f>RANK(AV7, AV$7:AV$21)</f>
        <v>6</v>
      </c>
      <c r="AX7" s="554">
        <f>AVERAGE(AV7:AV21)</f>
        <v>300.58582911359093</v>
      </c>
    </row>
    <row r="8" spans="1:50" ht="14.25" customHeight="1">
      <c r="B8" s="525"/>
      <c r="C8" s="182">
        <v>2</v>
      </c>
      <c r="D8" s="185" t="s">
        <v>353</v>
      </c>
      <c r="E8" s="182">
        <v>12</v>
      </c>
      <c r="F8" s="182">
        <v>3600</v>
      </c>
      <c r="G8" s="187">
        <f t="shared" si="10"/>
        <v>300</v>
      </c>
      <c r="H8" s="554"/>
      <c r="I8" s="188">
        <f t="shared" ref="I8:I14" si="16">AVERAGE(P8,U8,Z8,AE8,AJ8,AO8,AT8)</f>
        <v>12</v>
      </c>
      <c r="J8" s="188">
        <f t="shared" ref="J8:J14" si="17">AVERAGE(Q8,V8,AA8,AF8,AK8,AP8,AU8)</f>
        <v>3140.2425559193284</v>
      </c>
      <c r="K8" s="189">
        <f t="shared" ref="K8:K14" si="18">AVERAGE(R8,W8,AB8,AG8,AL8,AQ8,AV8)</f>
        <v>261.68687965994411</v>
      </c>
      <c r="L8" s="555"/>
      <c r="M8" s="188">
        <f>RANK(K8, K$7:$K$21)</f>
        <v>7</v>
      </c>
      <c r="N8" s="525"/>
      <c r="O8" s="525"/>
      <c r="P8" s="190">
        <v>12</v>
      </c>
      <c r="Q8" s="190">
        <v>3140.1253918495245</v>
      </c>
      <c r="R8" s="187">
        <f t="shared" ref="R8:R14" si="19">IFERROR(Q8/P8,"")</f>
        <v>261.67711598746035</v>
      </c>
      <c r="S8" s="184">
        <f t="shared" ref="S8:S14" si="20">RANK(R8, R$7:R$21)</f>
        <v>7</v>
      </c>
      <c r="T8" s="554"/>
      <c r="U8" s="190">
        <v>12</v>
      </c>
      <c r="V8" s="190">
        <v>3139.860139860135</v>
      </c>
      <c r="W8" s="187">
        <f t="shared" si="11"/>
        <v>261.65501165501126</v>
      </c>
      <c r="X8" s="184">
        <f t="shared" ref="X8:X14" si="21">RANK(W8, W$7:W$21)</f>
        <v>7</v>
      </c>
      <c r="Y8" s="554"/>
      <c r="Z8" s="190">
        <v>12</v>
      </c>
      <c r="AA8" s="190">
        <v>3139.6946564885498</v>
      </c>
      <c r="AB8" s="187">
        <f t="shared" si="12"/>
        <v>261.64122137404581</v>
      </c>
      <c r="AC8" s="184">
        <f t="shared" ref="AC8:AC14" si="22">RANK(AB8, AB$7:AB$21)</f>
        <v>8</v>
      </c>
      <c r="AD8" s="554"/>
      <c r="AE8" s="190">
        <v>12</v>
      </c>
      <c r="AF8" s="190">
        <v>3140.425531914897</v>
      </c>
      <c r="AG8" s="187">
        <f t="shared" ref="AG8:AG14" si="23">IFERROR(AF8/AE8,"")</f>
        <v>261.70212765957473</v>
      </c>
      <c r="AH8" s="184">
        <f t="shared" ref="AH8:AH14" si="24">RANK(AG8, AG$7:AG$21)</f>
        <v>7</v>
      </c>
      <c r="AI8" s="554"/>
      <c r="AJ8" s="190">
        <v>12</v>
      </c>
      <c r="AK8" s="190">
        <v>3140.347293156286</v>
      </c>
      <c r="AL8" s="187">
        <f t="shared" si="13"/>
        <v>261.69560776302382</v>
      </c>
      <c r="AM8" s="184">
        <f t="shared" ref="AM8:AM14" si="25">RANK(AL8, AL$7:AL$21)</f>
        <v>8</v>
      </c>
      <c r="AN8" s="554"/>
      <c r="AO8" s="190">
        <v>12</v>
      </c>
      <c r="AP8" s="190">
        <v>3140.9124906507077</v>
      </c>
      <c r="AQ8" s="187">
        <f t="shared" si="14"/>
        <v>261.74270755422566</v>
      </c>
      <c r="AR8" s="184">
        <f t="shared" ref="AR8:AR14" si="26">RANK(AQ8, AQ$7:AQ$21)</f>
        <v>5</v>
      </c>
      <c r="AS8" s="554"/>
      <c r="AT8" s="190">
        <v>12</v>
      </c>
      <c r="AU8" s="190">
        <v>3140.3323875152023</v>
      </c>
      <c r="AV8" s="187">
        <f t="shared" si="15"/>
        <v>261.69436562626686</v>
      </c>
      <c r="AW8" s="184">
        <f t="shared" ref="AW8:AW14" si="27">RANK(AV8, AV$7:AV$21)</f>
        <v>5</v>
      </c>
      <c r="AX8" s="554"/>
    </row>
    <row r="9" spans="1:50" ht="14.25" customHeight="1">
      <c r="B9" s="525"/>
      <c r="C9" s="182">
        <v>3</v>
      </c>
      <c r="D9" s="185" t="s">
        <v>351</v>
      </c>
      <c r="E9" s="182">
        <v>11</v>
      </c>
      <c r="F9" s="182">
        <v>3600</v>
      </c>
      <c r="G9" s="187">
        <f t="shared" si="10"/>
        <v>327.27272727272725</v>
      </c>
      <c r="H9" s="554"/>
      <c r="I9" s="188">
        <f t="shared" si="16"/>
        <v>11</v>
      </c>
      <c r="J9" s="188">
        <f t="shared" si="17"/>
        <v>3176.7163075012372</v>
      </c>
      <c r="K9" s="189">
        <f t="shared" si="18"/>
        <v>288.79239159102161</v>
      </c>
      <c r="L9" s="555"/>
      <c r="M9" s="188">
        <f>RANK(K9, K$7:$K$21)</f>
        <v>3</v>
      </c>
      <c r="N9" s="525"/>
      <c r="O9" s="525"/>
      <c r="P9" s="190">
        <v>11</v>
      </c>
      <c r="Q9" s="190">
        <v>3175.8765778401144</v>
      </c>
      <c r="R9" s="187">
        <f t="shared" si="19"/>
        <v>288.71605253091951</v>
      </c>
      <c r="S9" s="184">
        <f t="shared" si="20"/>
        <v>3</v>
      </c>
      <c r="T9" s="554"/>
      <c r="U9" s="190">
        <v>11</v>
      </c>
      <c r="V9" s="190">
        <v>3175.6588404408262</v>
      </c>
      <c r="W9" s="187">
        <f t="shared" si="11"/>
        <v>288.69625822189329</v>
      </c>
      <c r="X9" s="184">
        <f t="shared" si="21"/>
        <v>3</v>
      </c>
      <c r="Y9" s="554"/>
      <c r="Z9" s="190">
        <v>11</v>
      </c>
      <c r="AA9" s="190">
        <v>3175.6345177664989</v>
      </c>
      <c r="AB9" s="187">
        <f t="shared" si="12"/>
        <v>288.69404706968174</v>
      </c>
      <c r="AC9" s="184">
        <f t="shared" si="22"/>
        <v>3</v>
      </c>
      <c r="AD9" s="554"/>
      <c r="AE9" s="190">
        <v>11</v>
      </c>
      <c r="AF9" s="190">
        <v>3176.5932792584044</v>
      </c>
      <c r="AG9" s="187">
        <f t="shared" si="23"/>
        <v>288.7812072053095</v>
      </c>
      <c r="AH9" s="184">
        <f t="shared" si="24"/>
        <v>3</v>
      </c>
      <c r="AI9" s="554"/>
      <c r="AJ9" s="190">
        <v>11</v>
      </c>
      <c r="AK9" s="190">
        <v>3176.9889840881283</v>
      </c>
      <c r="AL9" s="187">
        <f t="shared" si="13"/>
        <v>288.81718037164802</v>
      </c>
      <c r="AM9" s="184">
        <f t="shared" si="25"/>
        <v>3</v>
      </c>
      <c r="AN9" s="554"/>
      <c r="AO9" s="190">
        <v>11</v>
      </c>
      <c r="AP9" s="190">
        <v>3177.6726584673634</v>
      </c>
      <c r="AQ9" s="187">
        <f t="shared" si="14"/>
        <v>288.87933258794214</v>
      </c>
      <c r="AR9" s="184">
        <f t="shared" si="26"/>
        <v>3</v>
      </c>
      <c r="AS9" s="554"/>
      <c r="AT9" s="190">
        <v>11</v>
      </c>
      <c r="AU9" s="190">
        <v>3178.5892946473273</v>
      </c>
      <c r="AV9" s="187">
        <f t="shared" si="15"/>
        <v>288.96266314975702</v>
      </c>
      <c r="AW9" s="184">
        <f t="shared" si="27"/>
        <v>3</v>
      </c>
      <c r="AX9" s="554"/>
    </row>
    <row r="10" spans="1:50" ht="14.25" customHeight="1">
      <c r="B10" s="525"/>
      <c r="C10" s="182">
        <v>4</v>
      </c>
      <c r="D10" s="185" t="s">
        <v>474</v>
      </c>
      <c r="E10" s="182">
        <v>6</v>
      </c>
      <c r="F10" s="182">
        <v>2600</v>
      </c>
      <c r="G10" s="187">
        <f t="shared" si="10"/>
        <v>433.33333333333331</v>
      </c>
      <c r="H10" s="554"/>
      <c r="I10" s="188">
        <f t="shared" si="16"/>
        <v>6</v>
      </c>
      <c r="J10" s="188">
        <f t="shared" si="17"/>
        <v>2340.7791755617664</v>
      </c>
      <c r="K10" s="189">
        <f t="shared" si="18"/>
        <v>390.12986259362782</v>
      </c>
      <c r="L10" s="555"/>
      <c r="M10" s="188">
        <f>RANK(K10, K$7:$K$21)</f>
        <v>1</v>
      </c>
      <c r="N10" s="525"/>
      <c r="O10" s="525"/>
      <c r="P10" s="190">
        <v>6</v>
      </c>
      <c r="Q10" s="190">
        <v>2342.0009666505553</v>
      </c>
      <c r="R10" s="187">
        <f t="shared" si="19"/>
        <v>390.33349444175923</v>
      </c>
      <c r="S10" s="184">
        <f t="shared" si="20"/>
        <v>1</v>
      </c>
      <c r="T10" s="554"/>
      <c r="U10" s="190">
        <v>6</v>
      </c>
      <c r="V10" s="190">
        <v>2340.7837445573273</v>
      </c>
      <c r="W10" s="187">
        <f t="shared" si="11"/>
        <v>390.1306240928879</v>
      </c>
      <c r="X10" s="184">
        <f t="shared" si="21"/>
        <v>1</v>
      </c>
      <c r="Y10" s="554"/>
      <c r="Z10" s="190">
        <v>6</v>
      </c>
      <c r="AA10" s="190">
        <v>2340.5438066465285</v>
      </c>
      <c r="AB10" s="187">
        <f t="shared" si="12"/>
        <v>390.09063444108807</v>
      </c>
      <c r="AC10" s="184">
        <f t="shared" si="22"/>
        <v>1</v>
      </c>
      <c r="AD10" s="554"/>
      <c r="AE10" s="190">
        <v>6</v>
      </c>
      <c r="AF10" s="190">
        <v>2340.5438066465285</v>
      </c>
      <c r="AG10" s="187">
        <f t="shared" si="23"/>
        <v>390.09063444108807</v>
      </c>
      <c r="AH10" s="184">
        <f t="shared" si="24"/>
        <v>2</v>
      </c>
      <c r="AI10" s="554"/>
      <c r="AJ10" s="190">
        <v>6</v>
      </c>
      <c r="AK10" s="190">
        <v>2340.2359108781097</v>
      </c>
      <c r="AL10" s="187">
        <f t="shared" si="13"/>
        <v>390.03931847968494</v>
      </c>
      <c r="AM10" s="184">
        <f t="shared" si="25"/>
        <v>2</v>
      </c>
      <c r="AN10" s="554"/>
      <c r="AO10" s="190">
        <v>6</v>
      </c>
      <c r="AP10" s="190">
        <v>2340.562248995986</v>
      </c>
      <c r="AQ10" s="187">
        <f t="shared" si="14"/>
        <v>390.09370816599767</v>
      </c>
      <c r="AR10" s="184">
        <f t="shared" si="26"/>
        <v>2</v>
      </c>
      <c r="AS10" s="554"/>
      <c r="AT10" s="190">
        <v>6</v>
      </c>
      <c r="AU10" s="190">
        <v>2340.7837445573332</v>
      </c>
      <c r="AV10" s="187">
        <f t="shared" si="15"/>
        <v>390.13062409288887</v>
      </c>
      <c r="AW10" s="184">
        <f t="shared" si="27"/>
        <v>1</v>
      </c>
      <c r="AX10" s="554"/>
    </row>
    <row r="11" spans="1:50" ht="14.25" customHeight="1">
      <c r="B11" s="525"/>
      <c r="C11" s="182">
        <v>5</v>
      </c>
      <c r="D11" s="185" t="s">
        <v>478</v>
      </c>
      <c r="E11" s="182">
        <v>6</v>
      </c>
      <c r="F11" s="182">
        <v>2600</v>
      </c>
      <c r="G11" s="187">
        <f t="shared" si="10"/>
        <v>433.33333333333331</v>
      </c>
      <c r="H11" s="554"/>
      <c r="I11" s="188">
        <f t="shared" si="16"/>
        <v>6</v>
      </c>
      <c r="J11" s="188">
        <f t="shared" si="17"/>
        <v>2340.4750418364006</v>
      </c>
      <c r="K11" s="189">
        <f t="shared" si="18"/>
        <v>390.07917363940015</v>
      </c>
      <c r="L11" s="555"/>
      <c r="M11" s="188">
        <f>RANK(K11, K$7:$K$21)</f>
        <v>2</v>
      </c>
      <c r="N11" s="525"/>
      <c r="O11" s="525"/>
      <c r="P11" s="190">
        <v>6</v>
      </c>
      <c r="Q11" s="190">
        <v>2340.3159742539538</v>
      </c>
      <c r="R11" s="187">
        <f t="shared" si="19"/>
        <v>390.05266237565894</v>
      </c>
      <c r="S11" s="184">
        <f t="shared" si="20"/>
        <v>2</v>
      </c>
      <c r="T11" s="554"/>
      <c r="U11" s="190">
        <v>6</v>
      </c>
      <c r="V11" s="190">
        <v>2340.2135231316734</v>
      </c>
      <c r="W11" s="187">
        <f t="shared" si="11"/>
        <v>390.03558718861223</v>
      </c>
      <c r="X11" s="184">
        <f t="shared" si="21"/>
        <v>2</v>
      </c>
      <c r="Y11" s="554"/>
      <c r="Z11" s="190">
        <v>6</v>
      </c>
      <c r="AA11" s="190">
        <v>2340.0000000000055</v>
      </c>
      <c r="AB11" s="187">
        <f t="shared" si="12"/>
        <v>390.00000000000091</v>
      </c>
      <c r="AC11" s="184">
        <f t="shared" si="22"/>
        <v>2</v>
      </c>
      <c r="AD11" s="554"/>
      <c r="AE11" s="190">
        <v>6</v>
      </c>
      <c r="AF11" s="190">
        <v>2341.0557184750724</v>
      </c>
      <c r="AG11" s="187">
        <f t="shared" si="23"/>
        <v>390.17595307917873</v>
      </c>
      <c r="AH11" s="184">
        <f t="shared" si="24"/>
        <v>1</v>
      </c>
      <c r="AI11" s="554"/>
      <c r="AJ11" s="190">
        <v>6</v>
      </c>
      <c r="AK11" s="190">
        <v>2340.8723747980612</v>
      </c>
      <c r="AL11" s="187">
        <f t="shared" si="13"/>
        <v>390.14539579967686</v>
      </c>
      <c r="AM11" s="184">
        <f t="shared" si="25"/>
        <v>1</v>
      </c>
      <c r="AN11" s="554"/>
      <c r="AO11" s="190">
        <v>6</v>
      </c>
      <c r="AP11" s="190">
        <v>2340.8677021960357</v>
      </c>
      <c r="AQ11" s="187">
        <f t="shared" si="14"/>
        <v>390.14461703267261</v>
      </c>
      <c r="AR11" s="184">
        <f t="shared" si="26"/>
        <v>1</v>
      </c>
      <c r="AS11" s="554"/>
      <c r="AT11" s="190">
        <v>6</v>
      </c>
      <c r="AU11" s="190">
        <v>2340.0000000000018</v>
      </c>
      <c r="AV11" s="187">
        <f t="shared" si="15"/>
        <v>390.00000000000028</v>
      </c>
      <c r="AW11" s="184">
        <f t="shared" si="27"/>
        <v>2</v>
      </c>
      <c r="AX11" s="554"/>
    </row>
    <row r="12" spans="1:50" ht="14.25" customHeight="1">
      <c r="B12" s="525"/>
      <c r="C12" s="182">
        <v>6</v>
      </c>
      <c r="D12" s="185" t="s">
        <v>355</v>
      </c>
      <c r="E12" s="182">
        <v>12</v>
      </c>
      <c r="F12" s="182">
        <v>3600</v>
      </c>
      <c r="G12" s="187">
        <f t="shared" si="10"/>
        <v>300</v>
      </c>
      <c r="H12" s="554"/>
      <c r="I12" s="188">
        <f t="shared" si="16"/>
        <v>12</v>
      </c>
      <c r="J12" s="188">
        <f t="shared" si="17"/>
        <v>3140.4784835398241</v>
      </c>
      <c r="K12" s="189">
        <f t="shared" si="18"/>
        <v>261.70654029498536</v>
      </c>
      <c r="L12" s="555"/>
      <c r="M12" s="188">
        <f>RANK(K12, K$7:$K$21)</f>
        <v>5</v>
      </c>
      <c r="N12" s="525"/>
      <c r="O12" s="525"/>
      <c r="P12" s="190">
        <v>12</v>
      </c>
      <c r="Q12" s="190">
        <v>3140.904079382587</v>
      </c>
      <c r="R12" s="187">
        <f t="shared" si="19"/>
        <v>261.74200661521559</v>
      </c>
      <c r="S12" s="184">
        <f t="shared" si="20"/>
        <v>6</v>
      </c>
      <c r="T12" s="554"/>
      <c r="U12" s="190">
        <v>12</v>
      </c>
      <c r="V12" s="190">
        <v>3140.094339622648</v>
      </c>
      <c r="W12" s="187">
        <f t="shared" si="11"/>
        <v>261.67452830188734</v>
      </c>
      <c r="X12" s="184">
        <f t="shared" si="21"/>
        <v>6</v>
      </c>
      <c r="Y12" s="554"/>
      <c r="Z12" s="190">
        <v>12</v>
      </c>
      <c r="AA12" s="190">
        <v>3140.6725011515327</v>
      </c>
      <c r="AB12" s="187">
        <f t="shared" si="12"/>
        <v>261.72270842929441</v>
      </c>
      <c r="AC12" s="184">
        <f t="shared" si="22"/>
        <v>5</v>
      </c>
      <c r="AD12" s="554"/>
      <c r="AE12" s="190">
        <v>12</v>
      </c>
      <c r="AF12" s="190">
        <v>3140.7548972766299</v>
      </c>
      <c r="AG12" s="187">
        <f t="shared" si="23"/>
        <v>261.72957477305249</v>
      </c>
      <c r="AH12" s="184">
        <f t="shared" si="24"/>
        <v>5</v>
      </c>
      <c r="AI12" s="554"/>
      <c r="AJ12" s="190">
        <v>12</v>
      </c>
      <c r="AK12" s="190">
        <v>3140.5353728489517</v>
      </c>
      <c r="AL12" s="187">
        <f t="shared" si="13"/>
        <v>261.711281070746</v>
      </c>
      <c r="AM12" s="184">
        <f t="shared" si="25"/>
        <v>7</v>
      </c>
      <c r="AN12" s="554"/>
      <c r="AO12" s="190">
        <v>12</v>
      </c>
      <c r="AP12" s="190">
        <v>3140.6032482598594</v>
      </c>
      <c r="AQ12" s="187">
        <f t="shared" si="14"/>
        <v>261.71693735498826</v>
      </c>
      <c r="AR12" s="184">
        <f t="shared" si="26"/>
        <v>6</v>
      </c>
      <c r="AS12" s="554"/>
      <c r="AT12" s="190">
        <v>12</v>
      </c>
      <c r="AU12" s="190">
        <v>3139.7849462365602</v>
      </c>
      <c r="AV12" s="187">
        <f t="shared" si="15"/>
        <v>261.64874551971337</v>
      </c>
      <c r="AW12" s="184">
        <f t="shared" si="27"/>
        <v>7</v>
      </c>
      <c r="AX12" s="554"/>
    </row>
    <row r="13" spans="1:50" ht="14.25" customHeight="1">
      <c r="B13" s="525"/>
      <c r="C13" s="182">
        <v>7</v>
      </c>
      <c r="D13" s="185" t="s">
        <v>356</v>
      </c>
      <c r="E13" s="182">
        <v>12</v>
      </c>
      <c r="F13" s="182">
        <v>3600</v>
      </c>
      <c r="G13" s="187">
        <f t="shared" si="10"/>
        <v>300</v>
      </c>
      <c r="H13" s="554"/>
      <c r="I13" s="188">
        <f t="shared" si="16"/>
        <v>12</v>
      </c>
      <c r="J13" s="188">
        <f t="shared" si="17"/>
        <v>3140.1752295223955</v>
      </c>
      <c r="K13" s="189">
        <f t="shared" si="18"/>
        <v>261.68126912686631</v>
      </c>
      <c r="L13" s="555"/>
      <c r="M13" s="188">
        <f>RANK(K13, K$7:$K$21)</f>
        <v>8</v>
      </c>
      <c r="N13" s="525"/>
      <c r="O13" s="525"/>
      <c r="P13" s="190">
        <v>12</v>
      </c>
      <c r="Q13" s="190">
        <v>3139.6195872116605</v>
      </c>
      <c r="R13" s="187">
        <f t="shared" si="19"/>
        <v>261.63496560097173</v>
      </c>
      <c r="S13" s="184">
        <f t="shared" si="20"/>
        <v>8</v>
      </c>
      <c r="T13" s="554"/>
      <c r="U13" s="190">
        <v>12</v>
      </c>
      <c r="V13" s="190">
        <v>3139.5171537484184</v>
      </c>
      <c r="W13" s="187">
        <f t="shared" si="11"/>
        <v>261.62642947903487</v>
      </c>
      <c r="X13" s="184">
        <f t="shared" si="21"/>
        <v>8</v>
      </c>
      <c r="Y13" s="554"/>
      <c r="Z13" s="190">
        <v>12</v>
      </c>
      <c r="AA13" s="190">
        <v>3139.8901647528714</v>
      </c>
      <c r="AB13" s="187">
        <f t="shared" si="12"/>
        <v>261.65751372940593</v>
      </c>
      <c r="AC13" s="184">
        <f t="shared" si="22"/>
        <v>7</v>
      </c>
      <c r="AD13" s="554"/>
      <c r="AE13" s="190">
        <v>12</v>
      </c>
      <c r="AF13" s="190">
        <v>3140.7485503426528</v>
      </c>
      <c r="AG13" s="187">
        <f t="shared" si="23"/>
        <v>261.72904586188776</v>
      </c>
      <c r="AH13" s="184">
        <f t="shared" si="24"/>
        <v>6</v>
      </c>
      <c r="AI13" s="554"/>
      <c r="AJ13" s="190">
        <v>12</v>
      </c>
      <c r="AK13" s="190">
        <v>3142.0968600319275</v>
      </c>
      <c r="AL13" s="187">
        <f t="shared" si="13"/>
        <v>261.84140500266062</v>
      </c>
      <c r="AM13" s="184">
        <f t="shared" si="25"/>
        <v>5</v>
      </c>
      <c r="AN13" s="554"/>
      <c r="AO13" s="190">
        <v>12</v>
      </c>
      <c r="AP13" s="190">
        <v>3139.6771452846124</v>
      </c>
      <c r="AQ13" s="187">
        <f t="shared" si="14"/>
        <v>261.63976210705101</v>
      </c>
      <c r="AR13" s="184">
        <f t="shared" si="26"/>
        <v>8</v>
      </c>
      <c r="AS13" s="554"/>
      <c r="AT13" s="190">
        <v>12</v>
      </c>
      <c r="AU13" s="190">
        <v>3139.677145284626</v>
      </c>
      <c r="AV13" s="187">
        <f t="shared" si="15"/>
        <v>261.63976210705215</v>
      </c>
      <c r="AW13" s="184">
        <f t="shared" si="27"/>
        <v>8</v>
      </c>
      <c r="AX13" s="554"/>
    </row>
    <row r="14" spans="1:50" ht="14.25" customHeight="1">
      <c r="B14" s="525"/>
      <c r="C14" s="182">
        <v>8</v>
      </c>
      <c r="D14" s="185" t="s">
        <v>354</v>
      </c>
      <c r="E14" s="182">
        <v>11</v>
      </c>
      <c r="F14" s="182">
        <v>3600</v>
      </c>
      <c r="G14" s="187">
        <f t="shared" si="10"/>
        <v>327.27272727272725</v>
      </c>
      <c r="H14" s="554"/>
      <c r="I14" s="188">
        <f t="shared" si="16"/>
        <v>11</v>
      </c>
      <c r="J14" s="188">
        <f t="shared" si="17"/>
        <v>3175.7552502853882</v>
      </c>
      <c r="K14" s="189">
        <f t="shared" si="18"/>
        <v>288.70502275321712</v>
      </c>
      <c r="L14" s="555"/>
      <c r="M14" s="188">
        <f>RANK(K14, K$7:$K$21)</f>
        <v>4</v>
      </c>
      <c r="N14" s="525"/>
      <c r="O14" s="525"/>
      <c r="P14" s="190">
        <v>11</v>
      </c>
      <c r="Q14" s="190">
        <v>3175.0515463917532</v>
      </c>
      <c r="R14" s="187">
        <f t="shared" si="19"/>
        <v>288.64104967197756</v>
      </c>
      <c r="S14" s="184">
        <f t="shared" si="20"/>
        <v>4</v>
      </c>
      <c r="T14" s="554"/>
      <c r="U14" s="190">
        <v>11</v>
      </c>
      <c r="V14" s="190">
        <v>3174.6673762639816</v>
      </c>
      <c r="W14" s="187">
        <f t="shared" si="11"/>
        <v>288.6061251149074</v>
      </c>
      <c r="X14" s="184">
        <f t="shared" si="21"/>
        <v>4</v>
      </c>
      <c r="Y14" s="554"/>
      <c r="Z14" s="190">
        <v>11</v>
      </c>
      <c r="AA14" s="190">
        <v>3175.0309023485779</v>
      </c>
      <c r="AB14" s="187">
        <f t="shared" si="12"/>
        <v>288.63917294077982</v>
      </c>
      <c r="AC14" s="184">
        <f t="shared" si="22"/>
        <v>4</v>
      </c>
      <c r="AD14" s="554"/>
      <c r="AE14" s="190">
        <v>11</v>
      </c>
      <c r="AF14" s="190">
        <v>3176.1966364812447</v>
      </c>
      <c r="AG14" s="187">
        <f t="shared" si="23"/>
        <v>288.74514877102223</v>
      </c>
      <c r="AH14" s="184">
        <f t="shared" si="24"/>
        <v>4</v>
      </c>
      <c r="AI14" s="554"/>
      <c r="AJ14" s="190">
        <v>11</v>
      </c>
      <c r="AK14" s="190">
        <v>3175.0503018108793</v>
      </c>
      <c r="AL14" s="187">
        <f t="shared" si="13"/>
        <v>288.64093652826176</v>
      </c>
      <c r="AM14" s="184">
        <f t="shared" si="25"/>
        <v>4</v>
      </c>
      <c r="AN14" s="554"/>
      <c r="AO14" s="190">
        <v>11</v>
      </c>
      <c r="AP14" s="190">
        <v>3176.13516367477</v>
      </c>
      <c r="AQ14" s="187">
        <f t="shared" si="14"/>
        <v>288.73956033407001</v>
      </c>
      <c r="AR14" s="184">
        <f t="shared" si="26"/>
        <v>4</v>
      </c>
      <c r="AS14" s="554"/>
      <c r="AT14" s="190">
        <v>11</v>
      </c>
      <c r="AU14" s="190">
        <v>3178.15482502651</v>
      </c>
      <c r="AV14" s="187">
        <f t="shared" si="15"/>
        <v>288.92316591150092</v>
      </c>
      <c r="AW14" s="184">
        <f t="shared" si="27"/>
        <v>4</v>
      </c>
      <c r="AX14" s="554"/>
    </row>
    <row r="15" spans="1:50" ht="14.25" customHeight="1">
      <c r="B15" s="525"/>
      <c r="C15" s="182">
        <v>9</v>
      </c>
      <c r="D15" s="185"/>
      <c r="E15" s="182"/>
      <c r="F15" s="182"/>
      <c r="G15" s="187"/>
      <c r="H15" s="554"/>
      <c r="I15" s="188"/>
      <c r="J15" s="188"/>
      <c r="K15" s="189"/>
      <c r="L15" s="555"/>
      <c r="M15" s="188"/>
      <c r="N15" s="525"/>
      <c r="O15" s="525"/>
      <c r="P15" s="190"/>
      <c r="Q15" s="190"/>
      <c r="R15" s="187"/>
      <c r="S15" s="184"/>
      <c r="T15" s="554"/>
      <c r="U15" s="190"/>
      <c r="V15" s="190"/>
      <c r="W15" s="187"/>
      <c r="X15" s="184"/>
      <c r="Y15" s="554"/>
      <c r="Z15" s="190"/>
      <c r="AA15" s="190"/>
      <c r="AB15" s="187"/>
      <c r="AC15" s="184"/>
      <c r="AD15" s="554"/>
      <c r="AE15" s="190"/>
      <c r="AF15" s="190"/>
      <c r="AG15" s="187"/>
      <c r="AH15" s="184"/>
      <c r="AI15" s="554"/>
      <c r="AJ15" s="190"/>
      <c r="AK15" s="190"/>
      <c r="AL15" s="187"/>
      <c r="AM15" s="184"/>
      <c r="AN15" s="554"/>
      <c r="AO15" s="190"/>
      <c r="AP15" s="190"/>
      <c r="AQ15" s="187"/>
      <c r="AR15" s="184"/>
      <c r="AS15" s="554"/>
      <c r="AT15" s="190"/>
      <c r="AU15" s="190"/>
      <c r="AV15" s="187"/>
      <c r="AW15" s="184"/>
      <c r="AX15" s="554"/>
    </row>
    <row r="16" spans="1:50" ht="14.25" customHeight="1">
      <c r="B16" s="525"/>
      <c r="C16" s="182">
        <v>10</v>
      </c>
      <c r="D16" s="185"/>
      <c r="E16" s="182"/>
      <c r="F16" s="182"/>
      <c r="G16" s="187"/>
      <c r="H16" s="554"/>
      <c r="I16" s="188"/>
      <c r="J16" s="188"/>
      <c r="K16" s="189"/>
      <c r="L16" s="555"/>
      <c r="M16" s="188"/>
      <c r="N16" s="525"/>
      <c r="O16" s="525"/>
      <c r="P16" s="190"/>
      <c r="Q16" s="190"/>
      <c r="R16" s="187"/>
      <c r="S16" s="184"/>
      <c r="T16" s="554"/>
      <c r="U16" s="190"/>
      <c r="V16" s="190"/>
      <c r="W16" s="187"/>
      <c r="X16" s="184"/>
      <c r="Y16" s="554"/>
      <c r="Z16" s="190"/>
      <c r="AA16" s="190"/>
      <c r="AB16" s="187"/>
      <c r="AC16" s="184"/>
      <c r="AD16" s="554"/>
      <c r="AE16" s="190"/>
      <c r="AF16" s="190"/>
      <c r="AG16" s="187"/>
      <c r="AH16" s="184"/>
      <c r="AI16" s="554"/>
      <c r="AJ16" s="190"/>
      <c r="AK16" s="190"/>
      <c r="AL16" s="187"/>
      <c r="AM16" s="184"/>
      <c r="AN16" s="554"/>
      <c r="AO16" s="190"/>
      <c r="AP16" s="190"/>
      <c r="AQ16" s="187"/>
      <c r="AR16" s="184"/>
      <c r="AS16" s="554"/>
      <c r="AT16" s="190"/>
      <c r="AU16" s="190"/>
      <c r="AV16" s="187"/>
      <c r="AW16" s="184"/>
      <c r="AX16" s="554"/>
    </row>
    <row r="17" spans="2:50" ht="14.25" customHeight="1">
      <c r="B17" s="525"/>
      <c r="C17" s="182">
        <v>11</v>
      </c>
      <c r="D17" s="185"/>
      <c r="E17" s="182"/>
      <c r="F17" s="182"/>
      <c r="G17" s="187"/>
      <c r="H17" s="554"/>
      <c r="I17" s="188"/>
      <c r="J17" s="188"/>
      <c r="K17" s="189"/>
      <c r="L17" s="555"/>
      <c r="M17" s="188"/>
      <c r="N17" s="525"/>
      <c r="O17" s="525"/>
      <c r="P17" s="190"/>
      <c r="Q17" s="190"/>
      <c r="R17" s="187"/>
      <c r="S17" s="184"/>
      <c r="T17" s="554"/>
      <c r="U17" s="190"/>
      <c r="V17" s="190"/>
      <c r="W17" s="187"/>
      <c r="X17" s="184"/>
      <c r="Y17" s="554"/>
      <c r="Z17" s="190"/>
      <c r="AA17" s="190"/>
      <c r="AB17" s="187"/>
      <c r="AC17" s="184"/>
      <c r="AD17" s="554"/>
      <c r="AE17" s="190"/>
      <c r="AF17" s="190"/>
      <c r="AG17" s="187"/>
      <c r="AH17" s="184"/>
      <c r="AI17" s="554"/>
      <c r="AJ17" s="190"/>
      <c r="AK17" s="190"/>
      <c r="AL17" s="187"/>
      <c r="AM17" s="184"/>
      <c r="AN17" s="554"/>
      <c r="AO17" s="190"/>
      <c r="AP17" s="190"/>
      <c r="AQ17" s="187"/>
      <c r="AR17" s="184"/>
      <c r="AS17" s="554"/>
      <c r="AT17" s="190"/>
      <c r="AU17" s="190"/>
      <c r="AV17" s="187"/>
      <c r="AW17" s="184"/>
      <c r="AX17" s="554"/>
    </row>
    <row r="18" spans="2:50" ht="14.25" customHeight="1">
      <c r="B18" s="525"/>
      <c r="C18" s="182">
        <v>12</v>
      </c>
      <c r="D18" s="185"/>
      <c r="E18" s="182"/>
      <c r="F18" s="182"/>
      <c r="G18" s="187"/>
      <c r="H18" s="554"/>
      <c r="I18" s="188"/>
      <c r="J18" s="188"/>
      <c r="K18" s="189"/>
      <c r="L18" s="555"/>
      <c r="M18" s="188"/>
      <c r="N18" s="525"/>
      <c r="O18" s="525"/>
      <c r="P18" s="190"/>
      <c r="Q18" s="190"/>
      <c r="R18" s="187"/>
      <c r="S18" s="184"/>
      <c r="T18" s="554"/>
      <c r="U18" s="190"/>
      <c r="V18" s="190"/>
      <c r="W18" s="187"/>
      <c r="X18" s="184"/>
      <c r="Y18" s="554"/>
      <c r="Z18" s="190"/>
      <c r="AA18" s="190"/>
      <c r="AB18" s="187"/>
      <c r="AC18" s="184"/>
      <c r="AD18" s="554"/>
      <c r="AE18" s="190"/>
      <c r="AF18" s="190"/>
      <c r="AG18" s="187"/>
      <c r="AH18" s="184"/>
      <c r="AI18" s="554"/>
      <c r="AJ18" s="190"/>
      <c r="AK18" s="190"/>
      <c r="AL18" s="187"/>
      <c r="AM18" s="184"/>
      <c r="AN18" s="554"/>
      <c r="AO18" s="190"/>
      <c r="AP18" s="190"/>
      <c r="AQ18" s="187"/>
      <c r="AR18" s="184"/>
      <c r="AS18" s="554"/>
      <c r="AT18" s="190"/>
      <c r="AU18" s="190"/>
      <c r="AV18" s="187"/>
      <c r="AW18" s="184"/>
      <c r="AX18" s="554"/>
    </row>
    <row r="19" spans="2:50" ht="14.25" customHeight="1">
      <c r="B19" s="525"/>
      <c r="C19" s="182">
        <v>13</v>
      </c>
      <c r="D19" s="185"/>
      <c r="E19" s="182"/>
      <c r="F19" s="182"/>
      <c r="G19" s="187"/>
      <c r="H19" s="554"/>
      <c r="I19" s="188"/>
      <c r="J19" s="188"/>
      <c r="K19" s="189"/>
      <c r="L19" s="555"/>
      <c r="M19" s="188"/>
      <c r="N19" s="525"/>
      <c r="O19" s="525"/>
      <c r="P19" s="190"/>
      <c r="Q19" s="190"/>
      <c r="R19" s="187"/>
      <c r="S19" s="184"/>
      <c r="T19" s="554"/>
      <c r="U19" s="190"/>
      <c r="V19" s="190"/>
      <c r="W19" s="187"/>
      <c r="X19" s="184"/>
      <c r="Y19" s="554"/>
      <c r="Z19" s="190"/>
      <c r="AA19" s="190"/>
      <c r="AB19" s="187"/>
      <c r="AC19" s="184"/>
      <c r="AD19" s="554"/>
      <c r="AE19" s="190"/>
      <c r="AF19" s="190"/>
      <c r="AG19" s="187"/>
      <c r="AH19" s="184"/>
      <c r="AI19" s="554"/>
      <c r="AJ19" s="190"/>
      <c r="AK19" s="190"/>
      <c r="AL19" s="187"/>
      <c r="AM19" s="184"/>
      <c r="AN19" s="554"/>
      <c r="AO19" s="190"/>
      <c r="AP19" s="190"/>
      <c r="AQ19" s="187"/>
      <c r="AR19" s="184"/>
      <c r="AS19" s="554"/>
      <c r="AT19" s="190"/>
      <c r="AU19" s="190"/>
      <c r="AV19" s="187"/>
      <c r="AW19" s="184"/>
      <c r="AX19" s="554"/>
    </row>
    <row r="20" spans="2:50" ht="14.25" customHeight="1">
      <c r="B20" s="525"/>
      <c r="C20" s="182">
        <v>14</v>
      </c>
      <c r="D20" s="185"/>
      <c r="E20" s="182"/>
      <c r="F20" s="182"/>
      <c r="G20" s="187"/>
      <c r="H20" s="554"/>
      <c r="I20" s="188"/>
      <c r="J20" s="188"/>
      <c r="K20" s="189"/>
      <c r="L20" s="555"/>
      <c r="M20" s="188"/>
      <c r="N20" s="525"/>
      <c r="O20" s="525"/>
      <c r="P20" s="190"/>
      <c r="Q20" s="190"/>
      <c r="R20" s="187"/>
      <c r="S20" s="184"/>
      <c r="T20" s="554"/>
      <c r="U20" s="190"/>
      <c r="V20" s="190"/>
      <c r="W20" s="187"/>
      <c r="X20" s="184"/>
      <c r="Y20" s="554"/>
      <c r="Z20" s="190"/>
      <c r="AA20" s="190"/>
      <c r="AB20" s="187"/>
      <c r="AC20" s="184"/>
      <c r="AD20" s="554"/>
      <c r="AE20" s="190"/>
      <c r="AF20" s="190"/>
      <c r="AG20" s="187"/>
      <c r="AH20" s="184"/>
      <c r="AI20" s="554"/>
      <c r="AJ20" s="190"/>
      <c r="AK20" s="190"/>
      <c r="AL20" s="187"/>
      <c r="AM20" s="184"/>
      <c r="AN20" s="554"/>
      <c r="AO20" s="190"/>
      <c r="AP20" s="190"/>
      <c r="AQ20" s="187"/>
      <c r="AR20" s="184"/>
      <c r="AS20" s="554"/>
      <c r="AT20" s="190"/>
      <c r="AU20" s="190"/>
      <c r="AV20" s="187"/>
      <c r="AW20" s="184"/>
      <c r="AX20" s="554"/>
    </row>
    <row r="21" spans="2:50" ht="14.25" customHeight="1">
      <c r="B21" s="525"/>
      <c r="C21" s="182">
        <v>15</v>
      </c>
      <c r="D21" s="185"/>
      <c r="E21" s="182"/>
      <c r="F21" s="182"/>
      <c r="G21" s="187"/>
      <c r="H21" s="554"/>
      <c r="I21" s="188"/>
      <c r="J21" s="188"/>
      <c r="K21" s="189"/>
      <c r="L21" s="555"/>
      <c r="M21" s="188"/>
      <c r="N21" s="525"/>
      <c r="O21" s="525"/>
      <c r="P21" s="190"/>
      <c r="Q21" s="190"/>
      <c r="R21" s="187"/>
      <c r="S21" s="184"/>
      <c r="T21" s="554"/>
      <c r="U21" s="190"/>
      <c r="V21" s="190"/>
      <c r="W21" s="187"/>
      <c r="X21" s="184"/>
      <c r="Y21" s="554"/>
      <c r="Z21" s="190"/>
      <c r="AA21" s="190"/>
      <c r="AB21" s="187"/>
      <c r="AC21" s="184"/>
      <c r="AD21" s="554"/>
      <c r="AE21" s="190"/>
      <c r="AF21" s="190"/>
      <c r="AG21" s="187"/>
      <c r="AH21" s="184"/>
      <c r="AI21" s="554"/>
      <c r="AJ21" s="190"/>
      <c r="AK21" s="190"/>
      <c r="AL21" s="187"/>
      <c r="AM21" s="184"/>
      <c r="AN21" s="554"/>
      <c r="AO21" s="190"/>
      <c r="AP21" s="190"/>
      <c r="AQ21" s="187"/>
      <c r="AR21" s="184"/>
      <c r="AS21" s="554"/>
      <c r="AT21" s="190"/>
      <c r="AU21" s="190"/>
      <c r="AV21" s="187"/>
      <c r="AW21" s="184"/>
      <c r="AX21" s="554"/>
    </row>
    <row r="22" spans="2:50" ht="14.25" customHeight="1">
      <c r="B22" s="552" t="s">
        <v>645</v>
      </c>
      <c r="C22" s="535"/>
      <c r="D22" s="535"/>
      <c r="E22" s="535"/>
      <c r="F22" s="535"/>
      <c r="G22" s="535"/>
      <c r="H22" s="535"/>
      <c r="I22" s="535"/>
      <c r="J22" s="535"/>
      <c r="K22" s="535"/>
      <c r="L22" s="535"/>
      <c r="M22" s="536"/>
      <c r="N22" s="564" t="s">
        <v>378</v>
      </c>
      <c r="O22" s="564" t="s">
        <v>105</v>
      </c>
      <c r="P22" s="566">
        <v>46084</v>
      </c>
      <c r="Q22" s="567"/>
      <c r="R22" s="567"/>
      <c r="S22" s="567"/>
      <c r="T22" s="567"/>
      <c r="U22" s="568">
        <v>46085</v>
      </c>
      <c r="V22" s="569"/>
      <c r="W22" s="569"/>
      <c r="X22" s="569"/>
      <c r="Y22" s="569"/>
      <c r="Z22" s="566">
        <v>46086</v>
      </c>
      <c r="AA22" s="567"/>
      <c r="AB22" s="567"/>
      <c r="AC22" s="567"/>
      <c r="AD22" s="567"/>
      <c r="AE22" s="568">
        <v>46087</v>
      </c>
      <c r="AF22" s="569"/>
      <c r="AG22" s="569"/>
      <c r="AH22" s="569"/>
      <c r="AI22" s="569"/>
      <c r="AJ22" s="556">
        <v>46088</v>
      </c>
      <c r="AK22" s="557"/>
      <c r="AL22" s="557"/>
      <c r="AM22" s="557"/>
      <c r="AN22" s="558"/>
      <c r="AO22" s="568">
        <v>46089</v>
      </c>
      <c r="AP22" s="569"/>
      <c r="AQ22" s="569"/>
      <c r="AR22" s="569"/>
      <c r="AS22" s="569"/>
      <c r="AT22" s="556">
        <v>46090</v>
      </c>
      <c r="AU22" s="557"/>
      <c r="AV22" s="557"/>
      <c r="AW22" s="557"/>
      <c r="AX22" s="558"/>
    </row>
    <row r="23" spans="2:50" ht="14.25" customHeight="1">
      <c r="B23" s="537"/>
      <c r="C23" s="537"/>
      <c r="D23" s="537"/>
      <c r="E23" s="537"/>
      <c r="F23" s="537"/>
      <c r="G23" s="537"/>
      <c r="H23" s="537"/>
      <c r="I23" s="537"/>
      <c r="J23" s="537"/>
      <c r="K23" s="537"/>
      <c r="L23" s="537"/>
      <c r="M23" s="538"/>
      <c r="N23" s="565"/>
      <c r="O23" s="565"/>
      <c r="P23" s="559">
        <v>46084</v>
      </c>
      <c r="Q23" s="559"/>
      <c r="R23" s="559"/>
      <c r="S23" s="559"/>
      <c r="T23" s="559"/>
      <c r="U23" s="560">
        <v>46085</v>
      </c>
      <c r="V23" s="560"/>
      <c r="W23" s="560"/>
      <c r="X23" s="560"/>
      <c r="Y23" s="560"/>
      <c r="Z23" s="559">
        <v>46086</v>
      </c>
      <c r="AA23" s="559"/>
      <c r="AB23" s="559"/>
      <c r="AC23" s="559"/>
      <c r="AD23" s="559"/>
      <c r="AE23" s="560">
        <v>46087</v>
      </c>
      <c r="AF23" s="560"/>
      <c r="AG23" s="560"/>
      <c r="AH23" s="560"/>
      <c r="AI23" s="560"/>
      <c r="AJ23" s="561">
        <v>46088</v>
      </c>
      <c r="AK23" s="562"/>
      <c r="AL23" s="562"/>
      <c r="AM23" s="562"/>
      <c r="AN23" s="563"/>
      <c r="AO23" s="560">
        <v>46089</v>
      </c>
      <c r="AP23" s="560"/>
      <c r="AQ23" s="560"/>
      <c r="AR23" s="560"/>
      <c r="AS23" s="560"/>
      <c r="AT23" s="561">
        <v>46090</v>
      </c>
      <c r="AU23" s="562"/>
      <c r="AV23" s="562"/>
      <c r="AW23" s="562"/>
      <c r="AX23" s="563"/>
    </row>
    <row r="24" spans="2:50" ht="14.25" customHeight="1">
      <c r="B24" s="525" t="s">
        <v>164</v>
      </c>
      <c r="C24" s="525" t="s">
        <v>159</v>
      </c>
      <c r="D24" s="525"/>
      <c r="E24" s="525" t="s">
        <v>160</v>
      </c>
      <c r="F24" s="525"/>
      <c r="G24" s="525"/>
      <c r="H24" s="525" t="s">
        <v>165</v>
      </c>
      <c r="I24" s="544" t="s">
        <v>379</v>
      </c>
      <c r="J24" s="544"/>
      <c r="K24" s="544"/>
      <c r="L24" s="544" t="s">
        <v>165</v>
      </c>
      <c r="M24" s="544" t="s">
        <v>167</v>
      </c>
      <c r="N24" s="525"/>
      <c r="O24" s="525" t="s">
        <v>166</v>
      </c>
      <c r="P24" s="525" t="s">
        <v>162</v>
      </c>
      <c r="Q24" s="525"/>
      <c r="R24" s="525"/>
      <c r="S24" s="525"/>
      <c r="T24" s="525" t="s">
        <v>165</v>
      </c>
      <c r="U24" s="525" t="s">
        <v>162</v>
      </c>
      <c r="V24" s="525"/>
      <c r="W24" s="525"/>
      <c r="X24" s="525"/>
      <c r="Y24" s="525" t="s">
        <v>165</v>
      </c>
      <c r="Z24" s="525" t="s">
        <v>162</v>
      </c>
      <c r="AA24" s="525"/>
      <c r="AB24" s="525"/>
      <c r="AC24" s="525"/>
      <c r="AD24" s="525" t="s">
        <v>165</v>
      </c>
      <c r="AE24" s="525" t="s">
        <v>162</v>
      </c>
      <c r="AF24" s="525"/>
      <c r="AG24" s="525"/>
      <c r="AH24" s="525"/>
      <c r="AI24" s="525" t="s">
        <v>165</v>
      </c>
      <c r="AJ24" s="525" t="s">
        <v>162</v>
      </c>
      <c r="AK24" s="525"/>
      <c r="AL24" s="525"/>
      <c r="AM24" s="525"/>
      <c r="AN24" s="525" t="s">
        <v>165</v>
      </c>
      <c r="AO24" s="525" t="s">
        <v>162</v>
      </c>
      <c r="AP24" s="525"/>
      <c r="AQ24" s="525"/>
      <c r="AR24" s="525"/>
      <c r="AS24" s="525" t="s">
        <v>165</v>
      </c>
      <c r="AT24" s="525" t="s">
        <v>162</v>
      </c>
      <c r="AU24" s="525"/>
      <c r="AV24" s="525"/>
      <c r="AW24" s="525"/>
      <c r="AX24" s="525" t="s">
        <v>165</v>
      </c>
    </row>
    <row r="25" spans="2:50" ht="14.25" customHeight="1">
      <c r="B25" s="525"/>
      <c r="C25" s="525"/>
      <c r="D25" s="525"/>
      <c r="E25" s="525" t="s">
        <v>380</v>
      </c>
      <c r="F25" s="525"/>
      <c r="G25" s="525"/>
      <c r="H25" s="525"/>
      <c r="I25" s="544" t="s">
        <v>380</v>
      </c>
      <c r="J25" s="544"/>
      <c r="K25" s="544"/>
      <c r="L25" s="544"/>
      <c r="M25" s="544"/>
      <c r="N25" s="525"/>
      <c r="O25" s="525"/>
      <c r="P25" s="525" t="s">
        <v>381</v>
      </c>
      <c r="Q25" s="525"/>
      <c r="R25" s="525"/>
      <c r="S25" s="525"/>
      <c r="T25" s="525"/>
      <c r="U25" s="525" t="s">
        <v>381</v>
      </c>
      <c r="V25" s="525"/>
      <c r="W25" s="525"/>
      <c r="X25" s="525"/>
      <c r="Y25" s="525"/>
      <c r="Z25" s="525" t="s">
        <v>381</v>
      </c>
      <c r="AA25" s="525"/>
      <c r="AB25" s="525"/>
      <c r="AC25" s="525"/>
      <c r="AD25" s="525"/>
      <c r="AE25" s="525" t="s">
        <v>381</v>
      </c>
      <c r="AF25" s="525"/>
      <c r="AG25" s="525"/>
      <c r="AH25" s="525"/>
      <c r="AI25" s="525"/>
      <c r="AJ25" s="525" t="s">
        <v>381</v>
      </c>
      <c r="AK25" s="525"/>
      <c r="AL25" s="525"/>
      <c r="AM25" s="525"/>
      <c r="AN25" s="525"/>
      <c r="AO25" s="525" t="s">
        <v>381</v>
      </c>
      <c r="AP25" s="525"/>
      <c r="AQ25" s="525"/>
      <c r="AR25" s="525"/>
      <c r="AS25" s="525"/>
      <c r="AT25" s="525" t="s">
        <v>381</v>
      </c>
      <c r="AU25" s="525"/>
      <c r="AV25" s="525"/>
      <c r="AW25" s="525"/>
      <c r="AX25" s="525"/>
    </row>
    <row r="26" spans="2:50" ht="14.25" customHeight="1">
      <c r="B26" s="525"/>
      <c r="C26" s="525"/>
      <c r="D26" s="525"/>
      <c r="E26" s="182" t="s">
        <v>161</v>
      </c>
      <c r="F26" s="182" t="s">
        <v>382</v>
      </c>
      <c r="G26" s="182" t="s">
        <v>163</v>
      </c>
      <c r="H26" s="525"/>
      <c r="I26" s="183" t="s">
        <v>161</v>
      </c>
      <c r="J26" s="183" t="s">
        <v>382</v>
      </c>
      <c r="K26" s="183" t="s">
        <v>163</v>
      </c>
      <c r="L26" s="544"/>
      <c r="M26" s="544"/>
      <c r="N26" s="525"/>
      <c r="O26" s="525"/>
      <c r="P26" s="182" t="s">
        <v>161</v>
      </c>
      <c r="Q26" s="182" t="s">
        <v>382</v>
      </c>
      <c r="R26" s="182" t="s">
        <v>163</v>
      </c>
      <c r="S26" s="184" t="s">
        <v>167</v>
      </c>
      <c r="T26" s="525"/>
      <c r="U26" s="182" t="s">
        <v>161</v>
      </c>
      <c r="V26" s="182" t="s">
        <v>382</v>
      </c>
      <c r="W26" s="182" t="s">
        <v>163</v>
      </c>
      <c r="X26" s="184" t="s">
        <v>167</v>
      </c>
      <c r="Y26" s="525"/>
      <c r="Z26" s="182" t="s">
        <v>161</v>
      </c>
      <c r="AA26" s="182" t="s">
        <v>382</v>
      </c>
      <c r="AB26" s="182" t="s">
        <v>163</v>
      </c>
      <c r="AC26" s="184" t="s">
        <v>167</v>
      </c>
      <c r="AD26" s="525"/>
      <c r="AE26" s="182" t="s">
        <v>161</v>
      </c>
      <c r="AF26" s="182" t="s">
        <v>382</v>
      </c>
      <c r="AG26" s="182" t="s">
        <v>163</v>
      </c>
      <c r="AH26" s="184" t="s">
        <v>167</v>
      </c>
      <c r="AI26" s="525"/>
      <c r="AJ26" s="182" t="s">
        <v>161</v>
      </c>
      <c r="AK26" s="182" t="s">
        <v>382</v>
      </c>
      <c r="AL26" s="182" t="s">
        <v>163</v>
      </c>
      <c r="AM26" s="184" t="s">
        <v>167</v>
      </c>
      <c r="AN26" s="525"/>
      <c r="AO26" s="182" t="s">
        <v>161</v>
      </c>
      <c r="AP26" s="182" t="s">
        <v>382</v>
      </c>
      <c r="AQ26" s="182" t="s">
        <v>163</v>
      </c>
      <c r="AR26" s="184" t="s">
        <v>167</v>
      </c>
      <c r="AS26" s="525"/>
      <c r="AT26" s="182" t="s">
        <v>161</v>
      </c>
      <c r="AU26" s="182" t="s">
        <v>382</v>
      </c>
      <c r="AV26" s="182" t="s">
        <v>163</v>
      </c>
      <c r="AW26" s="184" t="s">
        <v>167</v>
      </c>
      <c r="AX26" s="525"/>
    </row>
    <row r="27" spans="2:50" ht="14.25" customHeight="1">
      <c r="B27" s="525" t="s">
        <v>384</v>
      </c>
      <c r="C27" s="182">
        <v>1</v>
      </c>
      <c r="D27" s="185" t="s">
        <v>352</v>
      </c>
      <c r="E27" s="182">
        <v>12</v>
      </c>
      <c r="F27" s="182">
        <v>3600</v>
      </c>
      <c r="G27" s="187">
        <f t="shared" ref="G27:G35" si="28">F27/E27</f>
        <v>300</v>
      </c>
      <c r="H27" s="554">
        <f>AVERAGE(G27:G41)</f>
        <v>348.65319865319867</v>
      </c>
      <c r="I27" s="188">
        <f>AVERAGE(P27,U27,Z27,AE27,AJ27,AO27,AT27)</f>
        <v>12</v>
      </c>
      <c r="J27" s="188">
        <f>AVERAGE(Q27,V27,AA27,AF27,AK27,AP27,AU27)</f>
        <v>3140.7340611393556</v>
      </c>
      <c r="K27" s="189">
        <f>AVERAGE(R27,W27,AB27,AG27,AL27,AQ27,AV27)</f>
        <v>261.72783842827965</v>
      </c>
      <c r="L27" s="555">
        <f>IFERROR(AVERAGE(K27:K41),"-")</f>
        <v>307.16310533813407</v>
      </c>
      <c r="M27" s="188">
        <f>RANK(K27, K$27:$K$41)</f>
        <v>6</v>
      </c>
      <c r="N27" s="525"/>
      <c r="O27" s="525"/>
      <c r="P27" s="190">
        <v>12</v>
      </c>
      <c r="Q27" s="190">
        <v>3140.3659011288437</v>
      </c>
      <c r="R27" s="187">
        <f>IFERROR(Q27/P27,"")</f>
        <v>261.69715842740362</v>
      </c>
      <c r="S27" s="184">
        <f>RANK(R27, R$27:R$41)</f>
        <v>8</v>
      </c>
      <c r="T27" s="554">
        <f>AVERAGE(R27:R41)</f>
        <v>304.82307800290761</v>
      </c>
      <c r="U27" s="190">
        <v>12</v>
      </c>
      <c r="V27" s="190">
        <v>3139.8786147804303</v>
      </c>
      <c r="W27" s="187">
        <f t="shared" ref="W27:W35" si="29">IFERROR(V27/U27,"")</f>
        <v>261.65655123170251</v>
      </c>
      <c r="X27" s="184">
        <f>RANK(W27, W$27:W$41)</f>
        <v>9</v>
      </c>
      <c r="Y27" s="554">
        <f>AVERAGE(W27:W41)</f>
        <v>305.60738261791965</v>
      </c>
      <c r="Z27" s="190">
        <v>12</v>
      </c>
      <c r="AA27" s="190">
        <v>3140.3374233128875</v>
      </c>
      <c r="AB27" s="187">
        <f t="shared" ref="AB27:AB35" si="30">IFERROR(AA27/Z27,"")</f>
        <v>261.69478527607396</v>
      </c>
      <c r="AC27" s="184">
        <f>RANK(AB27, AB$27:AB$41)</f>
        <v>7</v>
      </c>
      <c r="AD27" s="554">
        <f>AVERAGE(AB27:AB41)</f>
        <v>306.49668878980833</v>
      </c>
      <c r="AE27" s="190">
        <v>12</v>
      </c>
      <c r="AF27" s="190">
        <v>3139.6468699839415</v>
      </c>
      <c r="AG27" s="187">
        <f>IFERROR(AF27/AE27,"")</f>
        <v>261.63723916532848</v>
      </c>
      <c r="AH27" s="184">
        <f>RANK(AG27, AG$27:AG$41)</f>
        <v>8</v>
      </c>
      <c r="AI27" s="554">
        <f>AVERAGE(AG27:AG41)</f>
        <v>307.18150823554669</v>
      </c>
      <c r="AJ27" s="190">
        <v>12</v>
      </c>
      <c r="AK27" s="190">
        <v>3140.7653910149606</v>
      </c>
      <c r="AL27" s="187">
        <f t="shared" ref="AL27:AL35" si="31">IFERROR(AK27/AJ27,"")</f>
        <v>261.73044925124674</v>
      </c>
      <c r="AM27" s="184">
        <f>RANK(AL27, AL$27:AL$41)</f>
        <v>6</v>
      </c>
      <c r="AN27" s="554">
        <f>AVERAGE(AL27:AL41)</f>
        <v>308.16428537711204</v>
      </c>
      <c r="AO27" s="190">
        <v>12</v>
      </c>
      <c r="AP27" s="190">
        <v>3140.7567567567489</v>
      </c>
      <c r="AQ27" s="187">
        <f t="shared" ref="AQ27:AQ35" si="32">IFERROR(AP27/AO27,"")</f>
        <v>261.72972972972906</v>
      </c>
      <c r="AR27" s="184">
        <f>RANK(AQ27, AQ$27:AQ$41)</f>
        <v>6</v>
      </c>
      <c r="AS27" s="554">
        <f>AVERAGE(AQ27:AQ41)</f>
        <v>308.83414039152581</v>
      </c>
      <c r="AT27" s="190">
        <v>12</v>
      </c>
      <c r="AU27" s="190">
        <v>3143.3874709976781</v>
      </c>
      <c r="AV27" s="187">
        <f t="shared" ref="AV27:AV35" si="33">IFERROR(AU27/AT27,"")</f>
        <v>261.94895591647315</v>
      </c>
      <c r="AW27" s="184">
        <f>RANK(AV27, AV$27:AV$41)</f>
        <v>6</v>
      </c>
      <c r="AX27" s="554">
        <f>AVERAGE(AV27:AV41)</f>
        <v>309.03465395211805</v>
      </c>
    </row>
    <row r="28" spans="2:50" ht="14.25" customHeight="1">
      <c r="B28" s="525"/>
      <c r="C28" s="182">
        <v>2</v>
      </c>
      <c r="D28" s="185" t="s">
        <v>353</v>
      </c>
      <c r="E28" s="182">
        <v>12</v>
      </c>
      <c r="F28" s="182">
        <v>3600</v>
      </c>
      <c r="G28" s="187">
        <f t="shared" si="28"/>
        <v>300</v>
      </c>
      <c r="H28" s="554"/>
      <c r="I28" s="188">
        <f t="shared" ref="I28:K35" si="34">AVERAGE(P28,U28,Z28,AE28,AJ28,AO28,AT28)</f>
        <v>12</v>
      </c>
      <c r="J28" s="188">
        <f t="shared" si="34"/>
        <v>3140.592584662857</v>
      </c>
      <c r="K28" s="189">
        <f t="shared" si="34"/>
        <v>261.71604872190477</v>
      </c>
      <c r="L28" s="555"/>
      <c r="M28" s="188">
        <f>RANK(K28, K$27:$K$41)</f>
        <v>7</v>
      </c>
      <c r="N28" s="525"/>
      <c r="O28" s="525"/>
      <c r="P28" s="190">
        <v>12</v>
      </c>
      <c r="Q28" s="190">
        <v>3140.6171809841508</v>
      </c>
      <c r="R28" s="187">
        <f t="shared" ref="R28:R35" si="35">IFERROR(Q28/P28,"")</f>
        <v>261.71809841534588</v>
      </c>
      <c r="S28" s="184">
        <f t="shared" ref="S28:S35" si="36">RANK(R28, R$27:R$41)</f>
        <v>6</v>
      </c>
      <c r="T28" s="554"/>
      <c r="U28" s="190">
        <v>12</v>
      </c>
      <c r="V28" s="190">
        <v>3140.6000759589797</v>
      </c>
      <c r="W28" s="187">
        <f t="shared" si="29"/>
        <v>261.71667299658162</v>
      </c>
      <c r="X28" s="184">
        <f t="shared" ref="X28:X35" si="37">RANK(W28, W$27:W$41)</f>
        <v>7</v>
      </c>
      <c r="Y28" s="554"/>
      <c r="Z28" s="190">
        <v>12</v>
      </c>
      <c r="AA28" s="190">
        <v>3140.6134969325112</v>
      </c>
      <c r="AB28" s="187">
        <f t="shared" si="30"/>
        <v>261.71779141104258</v>
      </c>
      <c r="AC28" s="184">
        <f t="shared" ref="AC28:AC35" si="38">RANK(AB28, AB$27:AB$41)</f>
        <v>6</v>
      </c>
      <c r="AD28" s="554"/>
      <c r="AE28" s="190">
        <v>12</v>
      </c>
      <c r="AF28" s="190">
        <v>3140.3366221706369</v>
      </c>
      <c r="AG28" s="187">
        <f t="shared" ref="AG28:AG35" si="39">IFERROR(AF28/AE28,"")</f>
        <v>261.69471851421974</v>
      </c>
      <c r="AH28" s="184">
        <f t="shared" ref="AH28:AH35" si="40">RANK(AG28, AG$27:AG$41)</f>
        <v>6</v>
      </c>
      <c r="AI28" s="554"/>
      <c r="AJ28" s="190">
        <v>12</v>
      </c>
      <c r="AK28" s="190">
        <v>3140.1537551744368</v>
      </c>
      <c r="AL28" s="187">
        <f t="shared" si="31"/>
        <v>261.67947959786972</v>
      </c>
      <c r="AM28" s="184">
        <f t="shared" ref="AM28:AM35" si="41">RANK(AL28, AL$27:AL$41)</f>
        <v>9</v>
      </c>
      <c r="AN28" s="554"/>
      <c r="AO28" s="190">
        <v>12</v>
      </c>
      <c r="AP28" s="190">
        <v>3140.6065380070831</v>
      </c>
      <c r="AQ28" s="187">
        <f t="shared" si="32"/>
        <v>261.71721150059028</v>
      </c>
      <c r="AR28" s="184">
        <f t="shared" ref="AR28:AR35" si="42">RANK(AQ28, AQ$27:AQ$41)</f>
        <v>7</v>
      </c>
      <c r="AS28" s="554"/>
      <c r="AT28" s="190">
        <v>12</v>
      </c>
      <c r="AU28" s="190">
        <v>3141.2204234122009</v>
      </c>
      <c r="AV28" s="187">
        <f t="shared" si="33"/>
        <v>261.76836861768339</v>
      </c>
      <c r="AW28" s="184">
        <f t="shared" ref="AW28:AW35" si="43">RANK(AV28, AV$27:AV$41)</f>
        <v>9</v>
      </c>
      <c r="AX28" s="554"/>
    </row>
    <row r="29" spans="2:50" ht="14.25" customHeight="1">
      <c r="B29" s="525"/>
      <c r="C29" s="182">
        <v>3</v>
      </c>
      <c r="D29" s="185" t="s">
        <v>351</v>
      </c>
      <c r="E29" s="182">
        <v>11</v>
      </c>
      <c r="F29" s="182">
        <v>3600</v>
      </c>
      <c r="G29" s="187">
        <f t="shared" si="28"/>
        <v>327.27272727272725</v>
      </c>
      <c r="H29" s="554"/>
      <c r="I29" s="188">
        <f t="shared" si="34"/>
        <v>11</v>
      </c>
      <c r="J29" s="188">
        <f t="shared" si="34"/>
        <v>3179.5741948856157</v>
      </c>
      <c r="K29" s="189">
        <f t="shared" si="34"/>
        <v>289.05219953505599</v>
      </c>
      <c r="L29" s="555"/>
      <c r="M29" s="188">
        <f>RANK(K29, K$27:$K$41)</f>
        <v>4</v>
      </c>
      <c r="N29" s="525"/>
      <c r="O29" s="525"/>
      <c r="P29" s="190">
        <v>11</v>
      </c>
      <c r="Q29" s="190">
        <v>3179.171094580237</v>
      </c>
      <c r="R29" s="187">
        <f t="shared" si="35"/>
        <v>289.01555405274883</v>
      </c>
      <c r="S29" s="184">
        <f t="shared" si="36"/>
        <v>4</v>
      </c>
      <c r="T29" s="554"/>
      <c r="U29" s="190">
        <v>11</v>
      </c>
      <c r="V29" s="190">
        <v>3178.742973939703</v>
      </c>
      <c r="W29" s="187">
        <f t="shared" si="29"/>
        <v>288.97663399451847</v>
      </c>
      <c r="X29" s="184">
        <f t="shared" si="37"/>
        <v>4</v>
      </c>
      <c r="Y29" s="554"/>
      <c r="Z29" s="190">
        <v>11</v>
      </c>
      <c r="AA29" s="190">
        <v>3179.3174767321639</v>
      </c>
      <c r="AB29" s="187">
        <f t="shared" si="30"/>
        <v>289.0288615211058</v>
      </c>
      <c r="AC29" s="184">
        <f t="shared" si="38"/>
        <v>4</v>
      </c>
      <c r="AD29" s="554"/>
      <c r="AE29" s="190">
        <v>11</v>
      </c>
      <c r="AF29" s="190">
        <v>3180.2120141342671</v>
      </c>
      <c r="AG29" s="187">
        <f t="shared" si="39"/>
        <v>289.11018310311516</v>
      </c>
      <c r="AH29" s="184">
        <f t="shared" si="40"/>
        <v>4</v>
      </c>
      <c r="AI29" s="554"/>
      <c r="AJ29" s="190">
        <v>11</v>
      </c>
      <c r="AK29" s="190">
        <v>3179.8192771084114</v>
      </c>
      <c r="AL29" s="187">
        <f t="shared" si="31"/>
        <v>289.07447973712829</v>
      </c>
      <c r="AM29" s="184">
        <f t="shared" si="41"/>
        <v>4</v>
      </c>
      <c r="AN29" s="554"/>
      <c r="AO29" s="190">
        <v>11</v>
      </c>
      <c r="AP29" s="190">
        <v>3179.8219584569742</v>
      </c>
      <c r="AQ29" s="187">
        <f t="shared" si="32"/>
        <v>289.07472349608855</v>
      </c>
      <c r="AR29" s="184">
        <f t="shared" si="42"/>
        <v>4</v>
      </c>
      <c r="AS29" s="554"/>
      <c r="AT29" s="190">
        <v>11</v>
      </c>
      <c r="AU29" s="190">
        <v>3179.9345692475536</v>
      </c>
      <c r="AV29" s="187">
        <f t="shared" si="33"/>
        <v>289.08496084068668</v>
      </c>
      <c r="AW29" s="184">
        <f t="shared" si="43"/>
        <v>4</v>
      </c>
      <c r="AX29" s="554"/>
    </row>
    <row r="30" spans="2:50" ht="14.25" customHeight="1">
      <c r="B30" s="525"/>
      <c r="C30" s="182">
        <v>4</v>
      </c>
      <c r="D30" s="185" t="s">
        <v>474</v>
      </c>
      <c r="E30" s="182">
        <v>6</v>
      </c>
      <c r="F30" s="182">
        <v>2600</v>
      </c>
      <c r="G30" s="187">
        <f t="shared" si="28"/>
        <v>433.33333333333331</v>
      </c>
      <c r="H30" s="554"/>
      <c r="I30" s="188">
        <f t="shared" si="34"/>
        <v>6</v>
      </c>
      <c r="J30" s="188">
        <f t="shared" si="34"/>
        <v>2340.5029751062966</v>
      </c>
      <c r="K30" s="189">
        <f t="shared" si="34"/>
        <v>390.08382918438281</v>
      </c>
      <c r="L30" s="555"/>
      <c r="M30" s="188">
        <f>RANK(K30, K$27:$K$41)</f>
        <v>1</v>
      </c>
      <c r="N30" s="525"/>
      <c r="O30" s="525"/>
      <c r="P30" s="190">
        <v>6</v>
      </c>
      <c r="Q30" s="190">
        <v>2340.3543307086584</v>
      </c>
      <c r="R30" s="187">
        <f t="shared" si="35"/>
        <v>390.05905511810971</v>
      </c>
      <c r="S30" s="184">
        <f t="shared" si="36"/>
        <v>1</v>
      </c>
      <c r="T30" s="554"/>
      <c r="U30" s="190">
        <v>6</v>
      </c>
      <c r="V30" s="190">
        <v>2340.6844106463882</v>
      </c>
      <c r="W30" s="187">
        <f t="shared" si="29"/>
        <v>390.11406844106472</v>
      </c>
      <c r="X30" s="184">
        <f t="shared" si="37"/>
        <v>1</v>
      </c>
      <c r="Y30" s="554"/>
      <c r="Z30" s="190">
        <v>6</v>
      </c>
      <c r="AA30" s="190">
        <v>2340.5351833498516</v>
      </c>
      <c r="AB30" s="187">
        <f t="shared" si="30"/>
        <v>390.08919722497529</v>
      </c>
      <c r="AC30" s="184">
        <f t="shared" si="38"/>
        <v>1</v>
      </c>
      <c r="AD30" s="554"/>
      <c r="AE30" s="190">
        <v>6</v>
      </c>
      <c r="AF30" s="190">
        <v>2339.8653702318602</v>
      </c>
      <c r="AG30" s="187">
        <f t="shared" si="39"/>
        <v>389.97756170531005</v>
      </c>
      <c r="AH30" s="184">
        <f t="shared" si="40"/>
        <v>1</v>
      </c>
      <c r="AI30" s="554"/>
      <c r="AJ30" s="190">
        <v>6</v>
      </c>
      <c r="AK30" s="190">
        <v>2340.968485780169</v>
      </c>
      <c r="AL30" s="187">
        <f t="shared" si="31"/>
        <v>390.16141429669483</v>
      </c>
      <c r="AM30" s="184">
        <f t="shared" si="41"/>
        <v>1</v>
      </c>
      <c r="AN30" s="554"/>
      <c r="AO30" s="190">
        <v>6</v>
      </c>
      <c r="AP30" s="190">
        <v>2340.263543191802</v>
      </c>
      <c r="AQ30" s="187">
        <f t="shared" si="32"/>
        <v>390.04392386530031</v>
      </c>
      <c r="AR30" s="184">
        <f t="shared" si="42"/>
        <v>1</v>
      </c>
      <c r="AS30" s="554"/>
      <c r="AT30" s="190">
        <v>6</v>
      </c>
      <c r="AU30" s="190">
        <v>2340.8495018353447</v>
      </c>
      <c r="AV30" s="187">
        <f t="shared" si="33"/>
        <v>390.14158363922411</v>
      </c>
      <c r="AW30" s="184">
        <f t="shared" si="43"/>
        <v>1</v>
      </c>
      <c r="AX30" s="554"/>
    </row>
    <row r="31" spans="2:50" ht="14.25" customHeight="1">
      <c r="B31" s="525"/>
      <c r="C31" s="182">
        <v>5</v>
      </c>
      <c r="D31" s="185" t="s">
        <v>478</v>
      </c>
      <c r="E31" s="182">
        <v>6</v>
      </c>
      <c r="F31" s="182">
        <v>2600</v>
      </c>
      <c r="G31" s="187">
        <f t="shared" si="28"/>
        <v>433.33333333333331</v>
      </c>
      <c r="H31" s="554"/>
      <c r="I31" s="188">
        <f t="shared" si="34"/>
        <v>6</v>
      </c>
      <c r="J31" s="188">
        <f t="shared" si="34"/>
        <v>2339.4672358219859</v>
      </c>
      <c r="K31" s="189">
        <f t="shared" si="34"/>
        <v>389.91120597033097</v>
      </c>
      <c r="L31" s="555"/>
      <c r="M31" s="188">
        <f>RANK(K31, K$27:$K$41)</f>
        <v>2</v>
      </c>
      <c r="N31" s="525"/>
      <c r="O31" s="525"/>
      <c r="P31" s="190">
        <v>6</v>
      </c>
      <c r="Q31" s="190">
        <v>2339.5465994962251</v>
      </c>
      <c r="R31" s="187">
        <f t="shared" si="35"/>
        <v>389.92443324937085</v>
      </c>
      <c r="S31" s="184">
        <f t="shared" si="36"/>
        <v>2</v>
      </c>
      <c r="T31" s="554"/>
      <c r="U31" s="190">
        <v>6</v>
      </c>
      <c r="V31" s="190">
        <v>2339.7923875432493</v>
      </c>
      <c r="W31" s="187">
        <f t="shared" si="29"/>
        <v>389.96539792387489</v>
      </c>
      <c r="X31" s="184">
        <f t="shared" si="37"/>
        <v>2</v>
      </c>
      <c r="Y31" s="554"/>
      <c r="Z31" s="190">
        <v>6</v>
      </c>
      <c r="AA31" s="190">
        <v>2339.6768402154403</v>
      </c>
      <c r="AB31" s="187">
        <f t="shared" si="30"/>
        <v>389.94614003590669</v>
      </c>
      <c r="AC31" s="184">
        <f t="shared" si="38"/>
        <v>2</v>
      </c>
      <c r="AD31" s="554"/>
      <c r="AE31" s="190">
        <v>6</v>
      </c>
      <c r="AF31" s="190">
        <v>2339.372822299651</v>
      </c>
      <c r="AG31" s="187">
        <f t="shared" si="39"/>
        <v>389.89547038327515</v>
      </c>
      <c r="AH31" s="184">
        <f t="shared" si="40"/>
        <v>2</v>
      </c>
      <c r="AI31" s="554"/>
      <c r="AJ31" s="190">
        <v>6</v>
      </c>
      <c r="AK31" s="190">
        <v>2339.6584440227634</v>
      </c>
      <c r="AL31" s="187">
        <f t="shared" si="31"/>
        <v>389.94307400379392</v>
      </c>
      <c r="AM31" s="184">
        <f t="shared" si="41"/>
        <v>2</v>
      </c>
      <c r="AN31" s="554"/>
      <c r="AO31" s="190">
        <v>6</v>
      </c>
      <c r="AP31" s="190">
        <v>2339.2405063291135</v>
      </c>
      <c r="AQ31" s="187">
        <f t="shared" si="32"/>
        <v>389.87341772151893</v>
      </c>
      <c r="AR31" s="184">
        <f t="shared" si="42"/>
        <v>2</v>
      </c>
      <c r="AS31" s="554"/>
      <c r="AT31" s="190">
        <v>6</v>
      </c>
      <c r="AU31" s="190">
        <v>2338.9830508474579</v>
      </c>
      <c r="AV31" s="187">
        <f t="shared" si="33"/>
        <v>389.83050847457633</v>
      </c>
      <c r="AW31" s="184">
        <f t="shared" si="43"/>
        <v>2</v>
      </c>
      <c r="AX31" s="554"/>
    </row>
    <row r="32" spans="2:50" ht="14.25" customHeight="1">
      <c r="B32" s="525"/>
      <c r="C32" s="182">
        <v>6</v>
      </c>
      <c r="D32" s="185" t="s">
        <v>647</v>
      </c>
      <c r="E32" s="182">
        <v>6</v>
      </c>
      <c r="F32" s="182">
        <v>2500</v>
      </c>
      <c r="G32" s="187">
        <f t="shared" si="28"/>
        <v>416.66666666666669</v>
      </c>
      <c r="H32" s="554"/>
      <c r="I32" s="188">
        <f t="shared" si="34"/>
        <v>6</v>
      </c>
      <c r="J32" s="188">
        <f t="shared" si="34"/>
        <v>2157.9351813714316</v>
      </c>
      <c r="K32" s="189">
        <f t="shared" si="34"/>
        <v>359.65586356190533</v>
      </c>
      <c r="L32" s="555"/>
      <c r="M32" s="188">
        <f>RANK(K32, K$27:$K$41)</f>
        <v>3</v>
      </c>
      <c r="N32" s="525"/>
      <c r="O32" s="525"/>
      <c r="P32" s="190">
        <v>6</v>
      </c>
      <c r="Q32" s="190">
        <v>2032.1739130434773</v>
      </c>
      <c r="R32" s="187">
        <f t="shared" si="35"/>
        <v>338.69565217391289</v>
      </c>
      <c r="S32" s="184">
        <f t="shared" si="36"/>
        <v>3</v>
      </c>
      <c r="T32" s="554"/>
      <c r="U32" s="190">
        <v>6</v>
      </c>
      <c r="V32" s="190">
        <v>2074.1028128031039</v>
      </c>
      <c r="W32" s="187">
        <f t="shared" si="29"/>
        <v>345.68380213385063</v>
      </c>
      <c r="X32" s="184">
        <f t="shared" si="37"/>
        <v>3</v>
      </c>
      <c r="Y32" s="554"/>
      <c r="Z32" s="190">
        <v>6</v>
      </c>
      <c r="AA32" s="190">
        <v>2122.608695652174</v>
      </c>
      <c r="AB32" s="187">
        <f t="shared" si="30"/>
        <v>353.768115942029</v>
      </c>
      <c r="AC32" s="184">
        <f t="shared" si="38"/>
        <v>3</v>
      </c>
      <c r="AD32" s="554"/>
      <c r="AE32" s="190">
        <v>6</v>
      </c>
      <c r="AF32" s="190">
        <v>2161.1123372323991</v>
      </c>
      <c r="AG32" s="187">
        <f t="shared" si="39"/>
        <v>360.1853895387332</v>
      </c>
      <c r="AH32" s="184">
        <f t="shared" si="40"/>
        <v>3</v>
      </c>
      <c r="AI32" s="554"/>
      <c r="AJ32" s="190">
        <v>6</v>
      </c>
      <c r="AK32" s="190">
        <v>2211.2000000000007</v>
      </c>
      <c r="AL32" s="187">
        <f t="shared" si="31"/>
        <v>368.53333333333347</v>
      </c>
      <c r="AM32" s="184">
        <f t="shared" si="41"/>
        <v>3</v>
      </c>
      <c r="AN32" s="554"/>
      <c r="AO32" s="190">
        <v>6</v>
      </c>
      <c r="AP32" s="190">
        <v>2248.8221950793945</v>
      </c>
      <c r="AQ32" s="187">
        <f t="shared" si="32"/>
        <v>374.80369917989907</v>
      </c>
      <c r="AR32" s="184">
        <f t="shared" si="42"/>
        <v>3</v>
      </c>
      <c r="AS32" s="554"/>
      <c r="AT32" s="190">
        <v>6</v>
      </c>
      <c r="AU32" s="190">
        <v>2255.5263157894719</v>
      </c>
      <c r="AV32" s="187">
        <f t="shared" si="33"/>
        <v>375.92105263157868</v>
      </c>
      <c r="AW32" s="184">
        <f t="shared" si="43"/>
        <v>3</v>
      </c>
      <c r="AX32" s="554"/>
    </row>
    <row r="33" spans="2:50" ht="14.25" customHeight="1">
      <c r="B33" s="525"/>
      <c r="C33" s="182">
        <v>7</v>
      </c>
      <c r="D33" s="185" t="s">
        <v>355</v>
      </c>
      <c r="E33" s="182">
        <v>12</v>
      </c>
      <c r="F33" s="182">
        <v>3600</v>
      </c>
      <c r="G33" s="187">
        <f t="shared" si="28"/>
        <v>300</v>
      </c>
      <c r="H33" s="554"/>
      <c r="I33" s="188">
        <f t="shared" si="34"/>
        <v>12</v>
      </c>
      <c r="J33" s="188">
        <f t="shared" si="34"/>
        <v>3140.4591580967085</v>
      </c>
      <c r="K33" s="189">
        <f t="shared" si="34"/>
        <v>261.70492984139236</v>
      </c>
      <c r="L33" s="555"/>
      <c r="M33" s="188">
        <f>RANK(K33, K$27:$K$41)</f>
        <v>8</v>
      </c>
      <c r="N33" s="525"/>
      <c r="O33" s="525"/>
      <c r="P33" s="190">
        <v>12</v>
      </c>
      <c r="Q33" s="190">
        <v>3140.4866374152471</v>
      </c>
      <c r="R33" s="187">
        <f t="shared" si="35"/>
        <v>261.70721978460392</v>
      </c>
      <c r="S33" s="184">
        <f t="shared" si="36"/>
        <v>7</v>
      </c>
      <c r="T33" s="554"/>
      <c r="U33" s="190">
        <v>12</v>
      </c>
      <c r="V33" s="190">
        <v>3140.9020217729326</v>
      </c>
      <c r="W33" s="187">
        <f t="shared" si="29"/>
        <v>261.74183514774438</v>
      </c>
      <c r="X33" s="184">
        <f t="shared" si="37"/>
        <v>6</v>
      </c>
      <c r="Y33" s="554"/>
      <c r="Z33" s="190">
        <v>12</v>
      </c>
      <c r="AA33" s="190">
        <v>3139.8834304745983</v>
      </c>
      <c r="AB33" s="187">
        <f t="shared" si="30"/>
        <v>261.65695253954988</v>
      </c>
      <c r="AC33" s="184">
        <f t="shared" si="38"/>
        <v>9</v>
      </c>
      <c r="AD33" s="554"/>
      <c r="AE33" s="190">
        <v>12</v>
      </c>
      <c r="AF33" s="190">
        <v>3139.7515527950241</v>
      </c>
      <c r="AG33" s="187">
        <f t="shared" si="39"/>
        <v>261.64596273291869</v>
      </c>
      <c r="AH33" s="184">
        <f t="shared" si="40"/>
        <v>7</v>
      </c>
      <c r="AI33" s="554"/>
      <c r="AJ33" s="190">
        <v>12</v>
      </c>
      <c r="AK33" s="190">
        <v>3140.5083829096843</v>
      </c>
      <c r="AL33" s="187">
        <f t="shared" si="31"/>
        <v>261.70903190914038</v>
      </c>
      <c r="AM33" s="184">
        <f t="shared" si="41"/>
        <v>7</v>
      </c>
      <c r="AN33" s="554"/>
      <c r="AO33" s="190">
        <v>12</v>
      </c>
      <c r="AP33" s="190">
        <v>3140.3286978508258</v>
      </c>
      <c r="AQ33" s="187">
        <f t="shared" si="32"/>
        <v>261.69405815423551</v>
      </c>
      <c r="AR33" s="184">
        <f t="shared" si="42"/>
        <v>8</v>
      </c>
      <c r="AS33" s="554"/>
      <c r="AT33" s="190">
        <v>12</v>
      </c>
      <c r="AU33" s="190">
        <v>3141.353383458646</v>
      </c>
      <c r="AV33" s="187">
        <f t="shared" si="33"/>
        <v>261.77944862155385</v>
      </c>
      <c r="AW33" s="184">
        <f t="shared" si="43"/>
        <v>8</v>
      </c>
      <c r="AX33" s="554"/>
    </row>
    <row r="34" spans="2:50" ht="14.25" customHeight="1">
      <c r="B34" s="525"/>
      <c r="C34" s="182">
        <v>8</v>
      </c>
      <c r="D34" s="185" t="s">
        <v>356</v>
      </c>
      <c r="E34" s="182">
        <v>12</v>
      </c>
      <c r="F34" s="182">
        <v>3600</v>
      </c>
      <c r="G34" s="187">
        <f t="shared" si="28"/>
        <v>300</v>
      </c>
      <c r="H34" s="554"/>
      <c r="I34" s="188">
        <f t="shared" si="34"/>
        <v>12</v>
      </c>
      <c r="J34" s="188">
        <f t="shared" si="34"/>
        <v>3140.3480793049034</v>
      </c>
      <c r="K34" s="189">
        <f t="shared" si="34"/>
        <v>261.69567327540864</v>
      </c>
      <c r="L34" s="555"/>
      <c r="M34" s="188">
        <f>RANK(K34, K$27:$K$41)</f>
        <v>9</v>
      </c>
      <c r="N34" s="525"/>
      <c r="O34" s="525"/>
      <c r="P34" s="190">
        <v>12</v>
      </c>
      <c r="Q34" s="190">
        <v>3140.0083787180661</v>
      </c>
      <c r="R34" s="187">
        <f t="shared" si="35"/>
        <v>261.66736489317219</v>
      </c>
      <c r="S34" s="184">
        <f t="shared" si="36"/>
        <v>9</v>
      </c>
      <c r="T34" s="554"/>
      <c r="U34" s="190">
        <v>12</v>
      </c>
      <c r="V34" s="190">
        <v>3140.4255319149038</v>
      </c>
      <c r="W34" s="187">
        <f t="shared" si="29"/>
        <v>261.7021276595753</v>
      </c>
      <c r="X34" s="184">
        <f t="shared" si="37"/>
        <v>8</v>
      </c>
      <c r="Y34" s="554"/>
      <c r="Z34" s="190">
        <v>12</v>
      </c>
      <c r="AA34" s="190">
        <v>3140.139860139861</v>
      </c>
      <c r="AB34" s="187">
        <f t="shared" si="30"/>
        <v>261.67832167832177</v>
      </c>
      <c r="AC34" s="184">
        <f t="shared" si="38"/>
        <v>8</v>
      </c>
      <c r="AD34" s="554"/>
      <c r="AE34" s="190">
        <v>12</v>
      </c>
      <c r="AF34" s="190">
        <v>3139.2978482446183</v>
      </c>
      <c r="AG34" s="187">
        <f t="shared" si="39"/>
        <v>261.60815402038486</v>
      </c>
      <c r="AH34" s="184">
        <f t="shared" si="40"/>
        <v>9</v>
      </c>
      <c r="AI34" s="554"/>
      <c r="AJ34" s="190">
        <v>12</v>
      </c>
      <c r="AK34" s="190">
        <v>3140.1611047180672</v>
      </c>
      <c r="AL34" s="187">
        <f t="shared" si="31"/>
        <v>261.68009205983896</v>
      </c>
      <c r="AM34" s="184">
        <f t="shared" si="41"/>
        <v>8</v>
      </c>
      <c r="AN34" s="554"/>
      <c r="AO34" s="190">
        <v>12</v>
      </c>
      <c r="AP34" s="190">
        <v>3139.8005439709927</v>
      </c>
      <c r="AQ34" s="187">
        <f t="shared" si="32"/>
        <v>261.65004533091604</v>
      </c>
      <c r="AR34" s="184">
        <f t="shared" si="42"/>
        <v>9</v>
      </c>
      <c r="AS34" s="554"/>
      <c r="AT34" s="190">
        <v>12</v>
      </c>
      <c r="AU34" s="190">
        <v>3142.603287427818</v>
      </c>
      <c r="AV34" s="187">
        <f t="shared" si="33"/>
        <v>261.88360728565152</v>
      </c>
      <c r="AW34" s="184">
        <f t="shared" si="43"/>
        <v>7</v>
      </c>
      <c r="AX34" s="554"/>
    </row>
    <row r="35" spans="2:50" ht="14.25" customHeight="1">
      <c r="B35" s="525"/>
      <c r="C35" s="182">
        <v>9</v>
      </c>
      <c r="D35" s="185" t="s">
        <v>354</v>
      </c>
      <c r="E35" s="182">
        <v>11</v>
      </c>
      <c r="F35" s="182">
        <v>3600</v>
      </c>
      <c r="G35" s="187">
        <f t="shared" si="28"/>
        <v>327.27272727272725</v>
      </c>
      <c r="H35" s="554"/>
      <c r="I35" s="188">
        <f t="shared" si="34"/>
        <v>11</v>
      </c>
      <c r="J35" s="188">
        <f t="shared" si="34"/>
        <v>3178.1239547700047</v>
      </c>
      <c r="K35" s="189">
        <f t="shared" si="34"/>
        <v>288.92035952454586</v>
      </c>
      <c r="L35" s="555"/>
      <c r="M35" s="188">
        <f>RANK(K35, K$27:$K$41)</f>
        <v>5</v>
      </c>
      <c r="N35" s="525"/>
      <c r="O35" s="525"/>
      <c r="P35" s="190">
        <v>11</v>
      </c>
      <c r="Q35" s="190">
        <v>3178.15482502651</v>
      </c>
      <c r="R35" s="187">
        <f t="shared" si="35"/>
        <v>288.92316591150092</v>
      </c>
      <c r="S35" s="184">
        <f t="shared" si="36"/>
        <v>5</v>
      </c>
      <c r="T35" s="554"/>
      <c r="U35" s="190">
        <v>11</v>
      </c>
      <c r="V35" s="190">
        <v>3178.0028943560087</v>
      </c>
      <c r="W35" s="187">
        <f t="shared" si="29"/>
        <v>288.90935403236443</v>
      </c>
      <c r="X35" s="184">
        <f t="shared" si="37"/>
        <v>5</v>
      </c>
      <c r="Y35" s="554"/>
      <c r="Z35" s="190">
        <v>11</v>
      </c>
      <c r="AA35" s="190">
        <v>3177.7903682719643</v>
      </c>
      <c r="AB35" s="187">
        <f t="shared" si="30"/>
        <v>288.8900334792695</v>
      </c>
      <c r="AC35" s="184">
        <f t="shared" si="38"/>
        <v>5</v>
      </c>
      <c r="AD35" s="554"/>
      <c r="AE35" s="190">
        <v>11</v>
      </c>
      <c r="AF35" s="190">
        <v>3177.6678445229813</v>
      </c>
      <c r="AG35" s="187">
        <f t="shared" si="39"/>
        <v>288.87889495663467</v>
      </c>
      <c r="AH35" s="184">
        <f t="shared" si="40"/>
        <v>5</v>
      </c>
      <c r="AI35" s="554"/>
      <c r="AJ35" s="190">
        <v>11</v>
      </c>
      <c r="AK35" s="190">
        <v>3178.6393562545809</v>
      </c>
      <c r="AL35" s="187">
        <f t="shared" si="31"/>
        <v>288.96721420496192</v>
      </c>
      <c r="AM35" s="184">
        <f t="shared" si="41"/>
        <v>5</v>
      </c>
      <c r="AN35" s="554"/>
      <c r="AO35" s="190">
        <v>11</v>
      </c>
      <c r="AP35" s="190">
        <v>3178.1250000000023</v>
      </c>
      <c r="AQ35" s="187">
        <f t="shared" si="32"/>
        <v>288.92045454545473</v>
      </c>
      <c r="AR35" s="184">
        <f t="shared" si="42"/>
        <v>5</v>
      </c>
      <c r="AS35" s="554"/>
      <c r="AT35" s="190">
        <v>11</v>
      </c>
      <c r="AU35" s="190">
        <v>3178.4873949579819</v>
      </c>
      <c r="AV35" s="187">
        <f t="shared" si="33"/>
        <v>288.95339954163472</v>
      </c>
      <c r="AW35" s="184">
        <f t="shared" si="43"/>
        <v>5</v>
      </c>
      <c r="AX35" s="554"/>
    </row>
    <row r="36" spans="2:50" ht="14.25" customHeight="1">
      <c r="B36" s="525"/>
      <c r="C36" s="182">
        <v>10</v>
      </c>
      <c r="D36" s="185"/>
      <c r="E36" s="182"/>
      <c r="F36" s="182"/>
      <c r="G36" s="187"/>
      <c r="H36" s="554"/>
      <c r="I36" s="188"/>
      <c r="J36" s="188"/>
      <c r="K36" s="189"/>
      <c r="L36" s="555"/>
      <c r="M36" s="188"/>
      <c r="N36" s="525"/>
      <c r="O36" s="525"/>
      <c r="P36" s="190"/>
      <c r="Q36" s="190"/>
      <c r="R36" s="187"/>
      <c r="S36" s="184"/>
      <c r="T36" s="554"/>
      <c r="U36" s="190"/>
      <c r="V36" s="190"/>
      <c r="W36" s="187"/>
      <c r="X36" s="184"/>
      <c r="Y36" s="554"/>
      <c r="Z36" s="190"/>
      <c r="AA36" s="190"/>
      <c r="AB36" s="187"/>
      <c r="AC36" s="184"/>
      <c r="AD36" s="554"/>
      <c r="AE36" s="190"/>
      <c r="AF36" s="190"/>
      <c r="AG36" s="187"/>
      <c r="AH36" s="184"/>
      <c r="AI36" s="554"/>
      <c r="AJ36" s="190"/>
      <c r="AK36" s="190"/>
      <c r="AL36" s="187"/>
      <c r="AM36" s="184"/>
      <c r="AN36" s="554"/>
      <c r="AO36" s="190"/>
      <c r="AP36" s="190"/>
      <c r="AQ36" s="187"/>
      <c r="AR36" s="184"/>
      <c r="AS36" s="554"/>
      <c r="AT36" s="190"/>
      <c r="AU36" s="190"/>
      <c r="AV36" s="187"/>
      <c r="AW36" s="184"/>
      <c r="AX36" s="554"/>
    </row>
    <row r="37" spans="2:50" ht="14.25" customHeight="1">
      <c r="B37" s="525"/>
      <c r="C37" s="182">
        <v>11</v>
      </c>
      <c r="D37" s="185"/>
      <c r="E37" s="182"/>
      <c r="F37" s="182"/>
      <c r="G37" s="187"/>
      <c r="H37" s="554"/>
      <c r="I37" s="188"/>
      <c r="J37" s="188"/>
      <c r="K37" s="189"/>
      <c r="L37" s="555"/>
      <c r="M37" s="188"/>
      <c r="N37" s="525"/>
      <c r="O37" s="525"/>
      <c r="P37" s="190"/>
      <c r="Q37" s="190"/>
      <c r="R37" s="187"/>
      <c r="S37" s="184"/>
      <c r="T37" s="554"/>
      <c r="U37" s="190"/>
      <c r="V37" s="190"/>
      <c r="W37" s="187"/>
      <c r="X37" s="184"/>
      <c r="Y37" s="554"/>
      <c r="Z37" s="190"/>
      <c r="AA37" s="190"/>
      <c r="AB37" s="187"/>
      <c r="AC37" s="184"/>
      <c r="AD37" s="554"/>
      <c r="AE37" s="190"/>
      <c r="AF37" s="190"/>
      <c r="AG37" s="187"/>
      <c r="AH37" s="184"/>
      <c r="AI37" s="554"/>
      <c r="AJ37" s="190"/>
      <c r="AK37" s="190"/>
      <c r="AL37" s="187"/>
      <c r="AM37" s="184"/>
      <c r="AN37" s="554"/>
      <c r="AO37" s="190"/>
      <c r="AP37" s="190"/>
      <c r="AQ37" s="187"/>
      <c r="AR37" s="184"/>
      <c r="AS37" s="554"/>
      <c r="AT37" s="190"/>
      <c r="AU37" s="190"/>
      <c r="AV37" s="187"/>
      <c r="AW37" s="184"/>
      <c r="AX37" s="554"/>
    </row>
    <row r="38" spans="2:50" ht="14.25" customHeight="1">
      <c r="B38" s="525"/>
      <c r="C38" s="182">
        <v>12</v>
      </c>
      <c r="D38" s="185"/>
      <c r="E38" s="182"/>
      <c r="F38" s="182"/>
      <c r="G38" s="187"/>
      <c r="H38" s="554"/>
      <c r="I38" s="188"/>
      <c r="J38" s="188"/>
      <c r="K38" s="189"/>
      <c r="L38" s="555"/>
      <c r="M38" s="188"/>
      <c r="N38" s="525"/>
      <c r="O38" s="525"/>
      <c r="P38" s="190"/>
      <c r="Q38" s="190"/>
      <c r="R38" s="187"/>
      <c r="S38" s="184"/>
      <c r="T38" s="554"/>
      <c r="U38" s="190"/>
      <c r="V38" s="190"/>
      <c r="W38" s="187"/>
      <c r="X38" s="184"/>
      <c r="Y38" s="554"/>
      <c r="Z38" s="190"/>
      <c r="AA38" s="190"/>
      <c r="AB38" s="187"/>
      <c r="AC38" s="184"/>
      <c r="AD38" s="554"/>
      <c r="AE38" s="190"/>
      <c r="AF38" s="190"/>
      <c r="AG38" s="187"/>
      <c r="AH38" s="184"/>
      <c r="AI38" s="554"/>
      <c r="AJ38" s="190"/>
      <c r="AK38" s="190"/>
      <c r="AL38" s="187"/>
      <c r="AM38" s="184"/>
      <c r="AN38" s="554"/>
      <c r="AO38" s="190"/>
      <c r="AP38" s="190"/>
      <c r="AQ38" s="187"/>
      <c r="AR38" s="184"/>
      <c r="AS38" s="554"/>
      <c r="AT38" s="190"/>
      <c r="AU38" s="190"/>
      <c r="AV38" s="187"/>
      <c r="AW38" s="184"/>
      <c r="AX38" s="554"/>
    </row>
    <row r="39" spans="2:50" ht="14.25" customHeight="1">
      <c r="B39" s="525"/>
      <c r="C39" s="182">
        <v>13</v>
      </c>
      <c r="D39" s="185"/>
      <c r="E39" s="182"/>
      <c r="F39" s="182"/>
      <c r="G39" s="187"/>
      <c r="H39" s="554"/>
      <c r="I39" s="188"/>
      <c r="J39" s="188"/>
      <c r="K39" s="189"/>
      <c r="L39" s="555"/>
      <c r="M39" s="188"/>
      <c r="N39" s="525"/>
      <c r="O39" s="525"/>
      <c r="P39" s="190"/>
      <c r="Q39" s="190"/>
      <c r="R39" s="187"/>
      <c r="S39" s="184"/>
      <c r="T39" s="554"/>
      <c r="U39" s="190"/>
      <c r="V39" s="190"/>
      <c r="W39" s="187"/>
      <c r="X39" s="184"/>
      <c r="Y39" s="554"/>
      <c r="Z39" s="190"/>
      <c r="AA39" s="190"/>
      <c r="AB39" s="187"/>
      <c r="AC39" s="184"/>
      <c r="AD39" s="554"/>
      <c r="AE39" s="190"/>
      <c r="AF39" s="190"/>
      <c r="AG39" s="187"/>
      <c r="AH39" s="184"/>
      <c r="AI39" s="554"/>
      <c r="AJ39" s="190"/>
      <c r="AK39" s="190"/>
      <c r="AL39" s="187"/>
      <c r="AM39" s="184"/>
      <c r="AN39" s="554"/>
      <c r="AO39" s="190"/>
      <c r="AP39" s="190"/>
      <c r="AQ39" s="187"/>
      <c r="AR39" s="184"/>
      <c r="AS39" s="554"/>
      <c r="AT39" s="190"/>
      <c r="AU39" s="190"/>
      <c r="AV39" s="187"/>
      <c r="AW39" s="184"/>
      <c r="AX39" s="554"/>
    </row>
    <row r="40" spans="2:50" ht="14.25" customHeight="1">
      <c r="B40" s="525"/>
      <c r="C40" s="182">
        <v>14</v>
      </c>
      <c r="D40" s="185"/>
      <c r="E40" s="182"/>
      <c r="F40" s="182"/>
      <c r="G40" s="187"/>
      <c r="H40" s="554"/>
      <c r="I40" s="188"/>
      <c r="J40" s="188"/>
      <c r="K40" s="189"/>
      <c r="L40" s="555"/>
      <c r="M40" s="188"/>
      <c r="N40" s="525"/>
      <c r="O40" s="525"/>
      <c r="P40" s="190"/>
      <c r="Q40" s="190"/>
      <c r="R40" s="187"/>
      <c r="S40" s="184"/>
      <c r="T40" s="554"/>
      <c r="U40" s="190"/>
      <c r="V40" s="190"/>
      <c r="W40" s="187"/>
      <c r="X40" s="184"/>
      <c r="Y40" s="554"/>
      <c r="Z40" s="190"/>
      <c r="AA40" s="190"/>
      <c r="AB40" s="187"/>
      <c r="AC40" s="184"/>
      <c r="AD40" s="554"/>
      <c r="AE40" s="190"/>
      <c r="AF40" s="190"/>
      <c r="AG40" s="187"/>
      <c r="AH40" s="184"/>
      <c r="AI40" s="554"/>
      <c r="AJ40" s="190"/>
      <c r="AK40" s="190"/>
      <c r="AL40" s="187"/>
      <c r="AM40" s="184"/>
      <c r="AN40" s="554"/>
      <c r="AO40" s="190"/>
      <c r="AP40" s="190"/>
      <c r="AQ40" s="187"/>
      <c r="AR40" s="184"/>
      <c r="AS40" s="554"/>
      <c r="AT40" s="190"/>
      <c r="AU40" s="190"/>
      <c r="AV40" s="187"/>
      <c r="AW40" s="184"/>
      <c r="AX40" s="554"/>
    </row>
    <row r="41" spans="2:50" ht="14.25" customHeight="1">
      <c r="B41" s="525"/>
      <c r="C41" s="182">
        <v>15</v>
      </c>
      <c r="D41" s="185"/>
      <c r="E41" s="182"/>
      <c r="F41" s="182"/>
      <c r="G41" s="187"/>
      <c r="H41" s="554"/>
      <c r="I41" s="188"/>
      <c r="J41" s="188"/>
      <c r="K41" s="189"/>
      <c r="L41" s="555"/>
      <c r="M41" s="188"/>
      <c r="N41" s="525"/>
      <c r="O41" s="525"/>
      <c r="P41" s="190"/>
      <c r="Q41" s="190"/>
      <c r="R41" s="187"/>
      <c r="S41" s="184"/>
      <c r="T41" s="554"/>
      <c r="U41" s="190"/>
      <c r="V41" s="190"/>
      <c r="W41" s="187"/>
      <c r="X41" s="184"/>
      <c r="Y41" s="554"/>
      <c r="Z41" s="190"/>
      <c r="AA41" s="190"/>
      <c r="AB41" s="187"/>
      <c r="AC41" s="184"/>
      <c r="AD41" s="554"/>
      <c r="AE41" s="190"/>
      <c r="AF41" s="190"/>
      <c r="AG41" s="187"/>
      <c r="AH41" s="184"/>
      <c r="AI41" s="554"/>
      <c r="AJ41" s="190"/>
      <c r="AK41" s="190"/>
      <c r="AL41" s="187"/>
      <c r="AM41" s="184"/>
      <c r="AN41" s="554"/>
      <c r="AO41" s="190"/>
      <c r="AP41" s="190"/>
      <c r="AQ41" s="187"/>
      <c r="AR41" s="184"/>
      <c r="AS41" s="554"/>
      <c r="AT41" s="190"/>
      <c r="AU41" s="190"/>
      <c r="AV41" s="187"/>
      <c r="AW41" s="184"/>
      <c r="AX41" s="554"/>
    </row>
    <row r="42" spans="2:50" ht="14.25" customHeight="1" collapsed="1">
      <c r="B42" s="552" t="s">
        <v>646</v>
      </c>
      <c r="C42" s="535"/>
      <c r="D42" s="535"/>
      <c r="E42" s="535"/>
      <c r="F42" s="535"/>
      <c r="G42" s="535"/>
      <c r="H42" s="535"/>
      <c r="I42" s="535"/>
      <c r="J42" s="535"/>
      <c r="K42" s="535"/>
      <c r="L42" s="535"/>
      <c r="M42" s="536"/>
      <c r="N42" s="564" t="s">
        <v>378</v>
      </c>
      <c r="O42" s="564" t="s">
        <v>105</v>
      </c>
      <c r="P42" s="566">
        <f>AT22+1</f>
        <v>46091</v>
      </c>
      <c r="Q42" s="567"/>
      <c r="R42" s="567"/>
      <c r="S42" s="567"/>
      <c r="T42" s="567"/>
      <c r="U42" s="568">
        <f>P42+1</f>
        <v>46092</v>
      </c>
      <c r="V42" s="569"/>
      <c r="W42" s="569"/>
      <c r="X42" s="569"/>
      <c r="Y42" s="569"/>
      <c r="Z42" s="566">
        <f t="shared" ref="Z42" si="44">U42+1</f>
        <v>46093</v>
      </c>
      <c r="AA42" s="567"/>
      <c r="AB42" s="567"/>
      <c r="AC42" s="567"/>
      <c r="AD42" s="567"/>
      <c r="AE42" s="568">
        <f t="shared" ref="AE42" si="45">Z42+1</f>
        <v>46094</v>
      </c>
      <c r="AF42" s="569"/>
      <c r="AG42" s="569"/>
      <c r="AH42" s="569"/>
      <c r="AI42" s="569"/>
      <c r="AJ42" s="556">
        <f t="shared" ref="AJ42" si="46">AE42+1</f>
        <v>46095</v>
      </c>
      <c r="AK42" s="557"/>
      <c r="AL42" s="557"/>
      <c r="AM42" s="557"/>
      <c r="AN42" s="558"/>
      <c r="AO42" s="568">
        <f t="shared" ref="AO42" si="47">AJ42+1</f>
        <v>46096</v>
      </c>
      <c r="AP42" s="569"/>
      <c r="AQ42" s="569"/>
      <c r="AR42" s="569"/>
      <c r="AS42" s="569"/>
      <c r="AT42" s="556">
        <f t="shared" ref="AT42" si="48">AO42+1</f>
        <v>46097</v>
      </c>
      <c r="AU42" s="557"/>
      <c r="AV42" s="557"/>
      <c r="AW42" s="557"/>
      <c r="AX42" s="558"/>
    </row>
    <row r="43" spans="2:50" ht="14.25" customHeight="1">
      <c r="B43" s="537"/>
      <c r="C43" s="537"/>
      <c r="D43" s="537"/>
      <c r="E43" s="537"/>
      <c r="F43" s="537"/>
      <c r="G43" s="537"/>
      <c r="H43" s="537"/>
      <c r="I43" s="537"/>
      <c r="J43" s="537"/>
      <c r="K43" s="537"/>
      <c r="L43" s="537"/>
      <c r="M43" s="538"/>
      <c r="N43" s="565"/>
      <c r="O43" s="565"/>
      <c r="P43" s="559">
        <f>P42</f>
        <v>46091</v>
      </c>
      <c r="Q43" s="559"/>
      <c r="R43" s="559"/>
      <c r="S43" s="559"/>
      <c r="T43" s="559"/>
      <c r="U43" s="560">
        <f>U42</f>
        <v>46092</v>
      </c>
      <c r="V43" s="560"/>
      <c r="W43" s="560"/>
      <c r="X43" s="560"/>
      <c r="Y43" s="560"/>
      <c r="Z43" s="559">
        <f t="shared" ref="Z43" si="49">Z42</f>
        <v>46093</v>
      </c>
      <c r="AA43" s="559"/>
      <c r="AB43" s="559"/>
      <c r="AC43" s="559"/>
      <c r="AD43" s="559"/>
      <c r="AE43" s="560">
        <f t="shared" ref="AE43" si="50">AE42</f>
        <v>46094</v>
      </c>
      <c r="AF43" s="560"/>
      <c r="AG43" s="560"/>
      <c r="AH43" s="560"/>
      <c r="AI43" s="560"/>
      <c r="AJ43" s="561">
        <f t="shared" ref="AJ43" si="51">AJ42</f>
        <v>46095</v>
      </c>
      <c r="AK43" s="562"/>
      <c r="AL43" s="562"/>
      <c r="AM43" s="562"/>
      <c r="AN43" s="563"/>
      <c r="AO43" s="560">
        <f t="shared" ref="AO43" si="52">AO42</f>
        <v>46096</v>
      </c>
      <c r="AP43" s="560"/>
      <c r="AQ43" s="560"/>
      <c r="AR43" s="560"/>
      <c r="AS43" s="560"/>
      <c r="AT43" s="561">
        <f t="shared" ref="AT43" si="53">AT42</f>
        <v>46097</v>
      </c>
      <c r="AU43" s="562"/>
      <c r="AV43" s="562"/>
      <c r="AW43" s="562"/>
      <c r="AX43" s="563"/>
    </row>
    <row r="44" spans="2:50" ht="14.25" customHeight="1">
      <c r="B44" s="525" t="s">
        <v>164</v>
      </c>
      <c r="C44" s="525" t="s">
        <v>159</v>
      </c>
      <c r="D44" s="525"/>
      <c r="E44" s="525" t="s">
        <v>160</v>
      </c>
      <c r="F44" s="525"/>
      <c r="G44" s="525"/>
      <c r="H44" s="525" t="s">
        <v>165</v>
      </c>
      <c r="I44" s="544" t="s">
        <v>379</v>
      </c>
      <c r="J44" s="544"/>
      <c r="K44" s="544"/>
      <c r="L44" s="544" t="s">
        <v>165</v>
      </c>
      <c r="M44" s="544" t="s">
        <v>167</v>
      </c>
      <c r="N44" s="525"/>
      <c r="O44" s="525" t="s">
        <v>166</v>
      </c>
      <c r="P44" s="525" t="s">
        <v>162</v>
      </c>
      <c r="Q44" s="525"/>
      <c r="R44" s="525"/>
      <c r="S44" s="525"/>
      <c r="T44" s="525" t="s">
        <v>165</v>
      </c>
      <c r="U44" s="525" t="s">
        <v>162</v>
      </c>
      <c r="V44" s="525"/>
      <c r="W44" s="525"/>
      <c r="X44" s="525"/>
      <c r="Y44" s="525" t="s">
        <v>165</v>
      </c>
      <c r="Z44" s="525" t="s">
        <v>162</v>
      </c>
      <c r="AA44" s="525"/>
      <c r="AB44" s="525"/>
      <c r="AC44" s="525"/>
      <c r="AD44" s="525" t="s">
        <v>165</v>
      </c>
      <c r="AE44" s="525" t="s">
        <v>162</v>
      </c>
      <c r="AF44" s="525"/>
      <c r="AG44" s="525"/>
      <c r="AH44" s="525"/>
      <c r="AI44" s="525" t="s">
        <v>165</v>
      </c>
      <c r="AJ44" s="525" t="s">
        <v>162</v>
      </c>
      <c r="AK44" s="525"/>
      <c r="AL44" s="525"/>
      <c r="AM44" s="525"/>
      <c r="AN44" s="525" t="s">
        <v>165</v>
      </c>
      <c r="AO44" s="525" t="s">
        <v>162</v>
      </c>
      <c r="AP44" s="525"/>
      <c r="AQ44" s="525"/>
      <c r="AR44" s="525"/>
      <c r="AS44" s="525" t="s">
        <v>165</v>
      </c>
      <c r="AT44" s="525" t="s">
        <v>162</v>
      </c>
      <c r="AU44" s="525"/>
      <c r="AV44" s="525"/>
      <c r="AW44" s="525"/>
      <c r="AX44" s="525" t="s">
        <v>165</v>
      </c>
    </row>
    <row r="45" spans="2:50" ht="14.25" customHeight="1">
      <c r="B45" s="525"/>
      <c r="C45" s="525"/>
      <c r="D45" s="525"/>
      <c r="E45" s="525" t="s">
        <v>380</v>
      </c>
      <c r="F45" s="525"/>
      <c r="G45" s="525"/>
      <c r="H45" s="525"/>
      <c r="I45" s="544" t="s">
        <v>380</v>
      </c>
      <c r="J45" s="544"/>
      <c r="K45" s="544"/>
      <c r="L45" s="544"/>
      <c r="M45" s="544"/>
      <c r="N45" s="525"/>
      <c r="O45" s="525"/>
      <c r="P45" s="525" t="s">
        <v>381</v>
      </c>
      <c r="Q45" s="525"/>
      <c r="R45" s="525"/>
      <c r="S45" s="525"/>
      <c r="T45" s="525"/>
      <c r="U45" s="525" t="s">
        <v>381</v>
      </c>
      <c r="V45" s="525"/>
      <c r="W45" s="525"/>
      <c r="X45" s="525"/>
      <c r="Y45" s="525"/>
      <c r="Z45" s="525" t="s">
        <v>381</v>
      </c>
      <c r="AA45" s="525"/>
      <c r="AB45" s="525"/>
      <c r="AC45" s="525"/>
      <c r="AD45" s="525"/>
      <c r="AE45" s="525" t="s">
        <v>381</v>
      </c>
      <c r="AF45" s="525"/>
      <c r="AG45" s="525"/>
      <c r="AH45" s="525"/>
      <c r="AI45" s="525"/>
      <c r="AJ45" s="525" t="s">
        <v>381</v>
      </c>
      <c r="AK45" s="525"/>
      <c r="AL45" s="525"/>
      <c r="AM45" s="525"/>
      <c r="AN45" s="525"/>
      <c r="AO45" s="525" t="s">
        <v>381</v>
      </c>
      <c r="AP45" s="525"/>
      <c r="AQ45" s="525"/>
      <c r="AR45" s="525"/>
      <c r="AS45" s="525"/>
      <c r="AT45" s="525" t="s">
        <v>381</v>
      </c>
      <c r="AU45" s="525"/>
      <c r="AV45" s="525"/>
      <c r="AW45" s="525"/>
      <c r="AX45" s="525"/>
    </row>
    <row r="46" spans="2:50" ht="14.25" customHeight="1">
      <c r="B46" s="525"/>
      <c r="C46" s="525"/>
      <c r="D46" s="525"/>
      <c r="E46" s="182" t="s">
        <v>161</v>
      </c>
      <c r="F46" s="182" t="s">
        <v>382</v>
      </c>
      <c r="G46" s="182" t="s">
        <v>163</v>
      </c>
      <c r="H46" s="525"/>
      <c r="I46" s="183" t="s">
        <v>161</v>
      </c>
      <c r="J46" s="183" t="s">
        <v>382</v>
      </c>
      <c r="K46" s="183" t="s">
        <v>163</v>
      </c>
      <c r="L46" s="544"/>
      <c r="M46" s="544"/>
      <c r="N46" s="525"/>
      <c r="O46" s="525"/>
      <c r="P46" s="182" t="s">
        <v>161</v>
      </c>
      <c r="Q46" s="182" t="s">
        <v>382</v>
      </c>
      <c r="R46" s="182" t="s">
        <v>163</v>
      </c>
      <c r="S46" s="184" t="s">
        <v>167</v>
      </c>
      <c r="T46" s="525"/>
      <c r="U46" s="182" t="s">
        <v>161</v>
      </c>
      <c r="V46" s="182" t="s">
        <v>382</v>
      </c>
      <c r="W46" s="182" t="s">
        <v>163</v>
      </c>
      <c r="X46" s="184" t="s">
        <v>167</v>
      </c>
      <c r="Y46" s="525"/>
      <c r="Z46" s="182" t="s">
        <v>161</v>
      </c>
      <c r="AA46" s="182" t="s">
        <v>382</v>
      </c>
      <c r="AB46" s="182" t="s">
        <v>163</v>
      </c>
      <c r="AC46" s="184" t="s">
        <v>167</v>
      </c>
      <c r="AD46" s="525"/>
      <c r="AE46" s="182" t="s">
        <v>161</v>
      </c>
      <c r="AF46" s="182" t="s">
        <v>382</v>
      </c>
      <c r="AG46" s="182" t="s">
        <v>163</v>
      </c>
      <c r="AH46" s="184" t="s">
        <v>167</v>
      </c>
      <c r="AI46" s="525"/>
      <c r="AJ46" s="182" t="s">
        <v>161</v>
      </c>
      <c r="AK46" s="182" t="s">
        <v>382</v>
      </c>
      <c r="AL46" s="182" t="s">
        <v>163</v>
      </c>
      <c r="AM46" s="184" t="s">
        <v>167</v>
      </c>
      <c r="AN46" s="525"/>
      <c r="AO46" s="182" t="s">
        <v>161</v>
      </c>
      <c r="AP46" s="182" t="s">
        <v>382</v>
      </c>
      <c r="AQ46" s="182" t="s">
        <v>163</v>
      </c>
      <c r="AR46" s="184" t="s">
        <v>167</v>
      </c>
      <c r="AS46" s="525"/>
      <c r="AT46" s="182" t="s">
        <v>161</v>
      </c>
      <c r="AU46" s="182" t="s">
        <v>382</v>
      </c>
      <c r="AV46" s="182" t="s">
        <v>163</v>
      </c>
      <c r="AW46" s="184" t="s">
        <v>167</v>
      </c>
      <c r="AX46" s="525"/>
    </row>
    <row r="47" spans="2:50" ht="14.25" customHeight="1">
      <c r="B47" s="525" t="s">
        <v>384</v>
      </c>
      <c r="C47" s="182">
        <v>1</v>
      </c>
      <c r="D47" s="185"/>
      <c r="E47" s="182"/>
      <c r="F47" s="182"/>
      <c r="G47" s="187"/>
      <c r="H47" s="554"/>
      <c r="I47" s="188"/>
      <c r="J47" s="188"/>
      <c r="K47" s="189"/>
      <c r="L47" s="555" t="str">
        <f>IFERROR(AVERAGE(K47:K61),"-")</f>
        <v>-</v>
      </c>
      <c r="M47" s="188" t="e">
        <f>RANK(K47, K$47:$K$61)</f>
        <v>#N/A</v>
      </c>
      <c r="N47" s="525"/>
      <c r="O47" s="525"/>
      <c r="P47" s="190"/>
      <c r="Q47" s="190"/>
      <c r="R47" s="187"/>
      <c r="S47" s="184"/>
      <c r="T47" s="554"/>
      <c r="U47" s="190"/>
      <c r="V47" s="190"/>
      <c r="W47" s="187"/>
      <c r="X47" s="184"/>
      <c r="Y47" s="554"/>
      <c r="Z47" s="190"/>
      <c r="AA47" s="190"/>
      <c r="AB47" s="187"/>
      <c r="AC47" s="184"/>
      <c r="AD47" s="554"/>
      <c r="AE47" s="190"/>
      <c r="AF47" s="190"/>
      <c r="AG47" s="187"/>
      <c r="AH47" s="184"/>
      <c r="AI47" s="554"/>
      <c r="AJ47" s="190"/>
      <c r="AK47" s="190"/>
      <c r="AL47" s="187"/>
      <c r="AM47" s="184"/>
      <c r="AN47" s="554"/>
      <c r="AO47" s="190"/>
      <c r="AP47" s="190"/>
      <c r="AQ47" s="187"/>
      <c r="AR47" s="184"/>
      <c r="AS47" s="554"/>
      <c r="AT47" s="190"/>
      <c r="AU47" s="190"/>
      <c r="AV47" s="187"/>
      <c r="AW47" s="184"/>
      <c r="AX47" s="554"/>
    </row>
    <row r="48" spans="2:50" ht="14.25" customHeight="1">
      <c r="B48" s="525"/>
      <c r="C48" s="182">
        <v>2</v>
      </c>
      <c r="D48" s="185"/>
      <c r="E48" s="182"/>
      <c r="F48" s="182"/>
      <c r="G48" s="187"/>
      <c r="H48" s="554"/>
      <c r="I48" s="188"/>
      <c r="J48" s="188"/>
      <c r="K48" s="189"/>
      <c r="L48" s="555"/>
      <c r="M48" s="188" t="e">
        <f>RANK(K48, K$47:$K$61)</f>
        <v>#N/A</v>
      </c>
      <c r="N48" s="525"/>
      <c r="O48" s="525"/>
      <c r="P48" s="190"/>
      <c r="Q48" s="190"/>
      <c r="R48" s="187"/>
      <c r="S48" s="184"/>
      <c r="T48" s="554"/>
      <c r="U48" s="190"/>
      <c r="V48" s="190"/>
      <c r="W48" s="187"/>
      <c r="X48" s="184"/>
      <c r="Y48" s="554"/>
      <c r="Z48" s="190"/>
      <c r="AA48" s="190"/>
      <c r="AB48" s="187"/>
      <c r="AC48" s="184"/>
      <c r="AD48" s="554"/>
      <c r="AE48" s="190"/>
      <c r="AF48" s="190"/>
      <c r="AG48" s="187"/>
      <c r="AH48" s="184"/>
      <c r="AI48" s="554"/>
      <c r="AJ48" s="190"/>
      <c r="AK48" s="190"/>
      <c r="AL48" s="187"/>
      <c r="AM48" s="184"/>
      <c r="AN48" s="554"/>
      <c r="AO48" s="190"/>
      <c r="AP48" s="190"/>
      <c r="AQ48" s="187"/>
      <c r="AR48" s="184"/>
      <c r="AS48" s="554"/>
      <c r="AT48" s="190"/>
      <c r="AU48" s="190"/>
      <c r="AV48" s="187"/>
      <c r="AW48" s="184"/>
      <c r="AX48" s="554"/>
    </row>
    <row r="49" spans="2:50" ht="14.25" customHeight="1">
      <c r="B49" s="525"/>
      <c r="C49" s="182">
        <v>3</v>
      </c>
      <c r="D49" s="185"/>
      <c r="E49" s="182"/>
      <c r="F49" s="182"/>
      <c r="G49" s="187"/>
      <c r="H49" s="554"/>
      <c r="I49" s="188"/>
      <c r="J49" s="188"/>
      <c r="K49" s="189"/>
      <c r="L49" s="555"/>
      <c r="M49" s="188" t="e">
        <f>RANK(K49, K$47:$K$61)</f>
        <v>#N/A</v>
      </c>
      <c r="N49" s="525"/>
      <c r="O49" s="525"/>
      <c r="P49" s="190"/>
      <c r="Q49" s="190"/>
      <c r="R49" s="187"/>
      <c r="S49" s="184"/>
      <c r="T49" s="554"/>
      <c r="U49" s="190"/>
      <c r="V49" s="190"/>
      <c r="W49" s="187"/>
      <c r="X49" s="184"/>
      <c r="Y49" s="554"/>
      <c r="Z49" s="190"/>
      <c r="AA49" s="190"/>
      <c r="AB49" s="187"/>
      <c r="AC49" s="184"/>
      <c r="AD49" s="554"/>
      <c r="AE49" s="190"/>
      <c r="AF49" s="190"/>
      <c r="AG49" s="187"/>
      <c r="AH49" s="184"/>
      <c r="AI49" s="554"/>
      <c r="AJ49" s="190"/>
      <c r="AK49" s="190"/>
      <c r="AL49" s="187"/>
      <c r="AM49" s="184"/>
      <c r="AN49" s="554"/>
      <c r="AO49" s="190"/>
      <c r="AP49" s="190"/>
      <c r="AQ49" s="187"/>
      <c r="AR49" s="184"/>
      <c r="AS49" s="554"/>
      <c r="AT49" s="190"/>
      <c r="AU49" s="190"/>
      <c r="AV49" s="187"/>
      <c r="AW49" s="184"/>
      <c r="AX49" s="554"/>
    </row>
    <row r="50" spans="2:50" ht="14.25" customHeight="1">
      <c r="B50" s="525"/>
      <c r="C50" s="182">
        <v>4</v>
      </c>
      <c r="D50" s="185"/>
      <c r="E50" s="182"/>
      <c r="F50" s="182"/>
      <c r="G50" s="187"/>
      <c r="H50" s="554"/>
      <c r="I50" s="188"/>
      <c r="J50" s="188"/>
      <c r="K50" s="189"/>
      <c r="L50" s="555"/>
      <c r="M50" s="188" t="e">
        <f>RANK(K50, K$47:$K$61)</f>
        <v>#N/A</v>
      </c>
      <c r="N50" s="525"/>
      <c r="O50" s="525"/>
      <c r="P50" s="190"/>
      <c r="Q50" s="190"/>
      <c r="R50" s="187"/>
      <c r="S50" s="184"/>
      <c r="T50" s="554"/>
      <c r="U50" s="190"/>
      <c r="V50" s="190"/>
      <c r="W50" s="187"/>
      <c r="X50" s="184"/>
      <c r="Y50" s="554"/>
      <c r="Z50" s="190"/>
      <c r="AA50" s="190"/>
      <c r="AB50" s="187"/>
      <c r="AC50" s="184"/>
      <c r="AD50" s="554"/>
      <c r="AE50" s="190"/>
      <c r="AF50" s="190"/>
      <c r="AG50" s="187"/>
      <c r="AH50" s="184"/>
      <c r="AI50" s="554"/>
      <c r="AJ50" s="190"/>
      <c r="AK50" s="190"/>
      <c r="AL50" s="187"/>
      <c r="AM50" s="184"/>
      <c r="AN50" s="554"/>
      <c r="AO50" s="190"/>
      <c r="AP50" s="190"/>
      <c r="AQ50" s="187"/>
      <c r="AR50" s="184"/>
      <c r="AS50" s="554"/>
      <c r="AT50" s="190"/>
      <c r="AU50" s="190"/>
      <c r="AV50" s="187"/>
      <c r="AW50" s="184"/>
      <c r="AX50" s="554"/>
    </row>
    <row r="51" spans="2:50" ht="14.25" customHeight="1">
      <c r="B51" s="525"/>
      <c r="C51" s="182">
        <v>5</v>
      </c>
      <c r="D51" s="185"/>
      <c r="E51" s="182"/>
      <c r="F51" s="182"/>
      <c r="G51" s="187"/>
      <c r="H51" s="554"/>
      <c r="I51" s="188"/>
      <c r="J51" s="188"/>
      <c r="K51" s="189"/>
      <c r="L51" s="555"/>
      <c r="M51" s="188" t="e">
        <f>RANK(K51, K$47:$K$61)</f>
        <v>#N/A</v>
      </c>
      <c r="N51" s="525"/>
      <c r="O51" s="525"/>
      <c r="P51" s="190"/>
      <c r="Q51" s="190"/>
      <c r="R51" s="187"/>
      <c r="S51" s="184"/>
      <c r="T51" s="554"/>
      <c r="U51" s="190"/>
      <c r="V51" s="190"/>
      <c r="W51" s="187"/>
      <c r="X51" s="184"/>
      <c r="Y51" s="554"/>
      <c r="Z51" s="190"/>
      <c r="AA51" s="190"/>
      <c r="AB51" s="187"/>
      <c r="AC51" s="184"/>
      <c r="AD51" s="554"/>
      <c r="AE51" s="190"/>
      <c r="AF51" s="190"/>
      <c r="AG51" s="187"/>
      <c r="AH51" s="184"/>
      <c r="AI51" s="554"/>
      <c r="AJ51" s="190"/>
      <c r="AK51" s="190"/>
      <c r="AL51" s="187"/>
      <c r="AM51" s="184"/>
      <c r="AN51" s="554"/>
      <c r="AO51" s="190"/>
      <c r="AP51" s="190"/>
      <c r="AQ51" s="187"/>
      <c r="AR51" s="184"/>
      <c r="AS51" s="554"/>
      <c r="AT51" s="190"/>
      <c r="AU51" s="190"/>
      <c r="AV51" s="187"/>
      <c r="AW51" s="184"/>
      <c r="AX51" s="554"/>
    </row>
    <row r="52" spans="2:50" ht="14.25" customHeight="1">
      <c r="B52" s="525"/>
      <c r="C52" s="182">
        <v>6</v>
      </c>
      <c r="D52" s="185"/>
      <c r="E52" s="182"/>
      <c r="F52" s="182"/>
      <c r="G52" s="187"/>
      <c r="H52" s="554"/>
      <c r="I52" s="188"/>
      <c r="J52" s="188"/>
      <c r="K52" s="189"/>
      <c r="L52" s="555"/>
      <c r="M52" s="188" t="e">
        <f>RANK(K52, K$47:$K$61)</f>
        <v>#N/A</v>
      </c>
      <c r="N52" s="525"/>
      <c r="O52" s="525"/>
      <c r="P52" s="190"/>
      <c r="Q52" s="190"/>
      <c r="R52" s="187"/>
      <c r="S52" s="184"/>
      <c r="T52" s="554"/>
      <c r="U52" s="190"/>
      <c r="V52" s="190"/>
      <c r="W52" s="187"/>
      <c r="X52" s="184"/>
      <c r="Y52" s="554"/>
      <c r="Z52" s="190"/>
      <c r="AA52" s="190"/>
      <c r="AB52" s="187"/>
      <c r="AC52" s="184"/>
      <c r="AD52" s="554"/>
      <c r="AE52" s="190"/>
      <c r="AF52" s="190"/>
      <c r="AG52" s="187"/>
      <c r="AH52" s="184"/>
      <c r="AI52" s="554"/>
      <c r="AJ52" s="190"/>
      <c r="AK52" s="190"/>
      <c r="AL52" s="187"/>
      <c r="AM52" s="184"/>
      <c r="AN52" s="554"/>
      <c r="AO52" s="190"/>
      <c r="AP52" s="190"/>
      <c r="AQ52" s="187"/>
      <c r="AR52" s="184"/>
      <c r="AS52" s="554"/>
      <c r="AT52" s="190"/>
      <c r="AU52" s="190"/>
      <c r="AV52" s="187"/>
      <c r="AW52" s="184"/>
      <c r="AX52" s="554"/>
    </row>
    <row r="53" spans="2:50" ht="14.25" customHeight="1">
      <c r="B53" s="525"/>
      <c r="C53" s="182">
        <v>7</v>
      </c>
      <c r="D53" s="185"/>
      <c r="E53" s="182"/>
      <c r="F53" s="182"/>
      <c r="G53" s="187"/>
      <c r="H53" s="554"/>
      <c r="I53" s="188"/>
      <c r="J53" s="188"/>
      <c r="K53" s="189"/>
      <c r="L53" s="555"/>
      <c r="M53" s="188" t="e">
        <f>RANK(K53, K$47:$K$61)</f>
        <v>#N/A</v>
      </c>
      <c r="N53" s="525"/>
      <c r="O53" s="525"/>
      <c r="P53" s="190"/>
      <c r="Q53" s="190"/>
      <c r="R53" s="187"/>
      <c r="S53" s="184"/>
      <c r="T53" s="554"/>
      <c r="U53" s="190"/>
      <c r="V53" s="190"/>
      <c r="W53" s="187"/>
      <c r="X53" s="184"/>
      <c r="Y53" s="554"/>
      <c r="Z53" s="190"/>
      <c r="AA53" s="190"/>
      <c r="AB53" s="187"/>
      <c r="AC53" s="184"/>
      <c r="AD53" s="554"/>
      <c r="AE53" s="190"/>
      <c r="AF53" s="190"/>
      <c r="AG53" s="187"/>
      <c r="AH53" s="184"/>
      <c r="AI53" s="554"/>
      <c r="AJ53" s="190"/>
      <c r="AK53" s="190"/>
      <c r="AL53" s="187"/>
      <c r="AM53" s="184"/>
      <c r="AN53" s="554"/>
      <c r="AO53" s="190"/>
      <c r="AP53" s="190"/>
      <c r="AQ53" s="187"/>
      <c r="AR53" s="184"/>
      <c r="AS53" s="554"/>
      <c r="AT53" s="190"/>
      <c r="AU53" s="190"/>
      <c r="AV53" s="187"/>
      <c r="AW53" s="184"/>
      <c r="AX53" s="554"/>
    </row>
    <row r="54" spans="2:50" ht="14.25" customHeight="1">
      <c r="B54" s="525"/>
      <c r="C54" s="182">
        <v>8</v>
      </c>
      <c r="D54" s="185"/>
      <c r="E54" s="182"/>
      <c r="F54" s="182"/>
      <c r="G54" s="187"/>
      <c r="H54" s="554"/>
      <c r="I54" s="188"/>
      <c r="J54" s="188"/>
      <c r="K54" s="189"/>
      <c r="L54" s="555"/>
      <c r="M54" s="188" t="e">
        <f>RANK(K54, K$47:$K$61)</f>
        <v>#N/A</v>
      </c>
      <c r="N54" s="525"/>
      <c r="O54" s="525"/>
      <c r="P54" s="190"/>
      <c r="Q54" s="190"/>
      <c r="R54" s="187"/>
      <c r="S54" s="184"/>
      <c r="T54" s="554"/>
      <c r="U54" s="190"/>
      <c r="V54" s="190"/>
      <c r="W54" s="187"/>
      <c r="X54" s="184"/>
      <c r="Y54" s="554"/>
      <c r="Z54" s="190"/>
      <c r="AA54" s="190"/>
      <c r="AB54" s="187"/>
      <c r="AC54" s="184"/>
      <c r="AD54" s="554"/>
      <c r="AE54" s="190"/>
      <c r="AF54" s="190"/>
      <c r="AG54" s="187"/>
      <c r="AH54" s="184"/>
      <c r="AI54" s="554"/>
      <c r="AJ54" s="190"/>
      <c r="AK54" s="190"/>
      <c r="AL54" s="187"/>
      <c r="AM54" s="184"/>
      <c r="AN54" s="554"/>
      <c r="AO54" s="190"/>
      <c r="AP54" s="190"/>
      <c r="AQ54" s="187"/>
      <c r="AR54" s="184"/>
      <c r="AS54" s="554"/>
      <c r="AT54" s="190"/>
      <c r="AU54" s="190"/>
      <c r="AV54" s="187"/>
      <c r="AW54" s="184"/>
      <c r="AX54" s="554"/>
    </row>
    <row r="55" spans="2:50" ht="14.25" customHeight="1">
      <c r="B55" s="525"/>
      <c r="C55" s="182">
        <v>9</v>
      </c>
      <c r="D55" s="185"/>
      <c r="E55" s="182"/>
      <c r="F55" s="182"/>
      <c r="G55" s="187"/>
      <c r="H55" s="554"/>
      <c r="I55" s="188"/>
      <c r="J55" s="188"/>
      <c r="K55" s="189"/>
      <c r="L55" s="555"/>
      <c r="M55" s="188" t="e">
        <f>RANK(K55, K$47:$K$61)</f>
        <v>#N/A</v>
      </c>
      <c r="N55" s="525"/>
      <c r="O55" s="525"/>
      <c r="P55" s="190"/>
      <c r="Q55" s="190"/>
      <c r="R55" s="187"/>
      <c r="S55" s="184"/>
      <c r="T55" s="554"/>
      <c r="U55" s="190"/>
      <c r="V55" s="190"/>
      <c r="W55" s="187"/>
      <c r="X55" s="184"/>
      <c r="Y55" s="554"/>
      <c r="Z55" s="190"/>
      <c r="AA55" s="190"/>
      <c r="AB55" s="187"/>
      <c r="AC55" s="184"/>
      <c r="AD55" s="554"/>
      <c r="AE55" s="190"/>
      <c r="AF55" s="190"/>
      <c r="AG55" s="187"/>
      <c r="AH55" s="184"/>
      <c r="AI55" s="554"/>
      <c r="AJ55" s="190"/>
      <c r="AK55" s="190"/>
      <c r="AL55" s="187"/>
      <c r="AM55" s="184"/>
      <c r="AN55" s="554"/>
      <c r="AO55" s="190"/>
      <c r="AP55" s="190"/>
      <c r="AQ55" s="187"/>
      <c r="AR55" s="184"/>
      <c r="AS55" s="554"/>
      <c r="AT55" s="190"/>
      <c r="AU55" s="190"/>
      <c r="AV55" s="187"/>
      <c r="AW55" s="184"/>
      <c r="AX55" s="554"/>
    </row>
    <row r="56" spans="2:50" ht="14.25" customHeight="1">
      <c r="B56" s="525"/>
      <c r="C56" s="182">
        <v>10</v>
      </c>
      <c r="D56" s="185"/>
      <c r="E56" s="182"/>
      <c r="F56" s="182"/>
      <c r="G56" s="187"/>
      <c r="H56" s="554"/>
      <c r="I56" s="188"/>
      <c r="J56" s="188"/>
      <c r="K56" s="189"/>
      <c r="L56" s="555"/>
      <c r="M56" s="188"/>
      <c r="N56" s="525"/>
      <c r="O56" s="525"/>
      <c r="P56" s="190"/>
      <c r="Q56" s="190"/>
      <c r="R56" s="187"/>
      <c r="S56" s="184"/>
      <c r="T56" s="554"/>
      <c r="U56" s="190"/>
      <c r="V56" s="190"/>
      <c r="W56" s="187"/>
      <c r="X56" s="184"/>
      <c r="Y56" s="554"/>
      <c r="Z56" s="190"/>
      <c r="AA56" s="190"/>
      <c r="AB56" s="187"/>
      <c r="AC56" s="184"/>
      <c r="AD56" s="554"/>
      <c r="AE56" s="190"/>
      <c r="AF56" s="190"/>
      <c r="AG56" s="187"/>
      <c r="AH56" s="184"/>
      <c r="AI56" s="554"/>
      <c r="AJ56" s="190"/>
      <c r="AK56" s="190"/>
      <c r="AL56" s="187"/>
      <c r="AM56" s="184"/>
      <c r="AN56" s="554"/>
      <c r="AO56" s="190"/>
      <c r="AP56" s="190"/>
      <c r="AQ56" s="187"/>
      <c r="AR56" s="184"/>
      <c r="AS56" s="554"/>
      <c r="AT56" s="190"/>
      <c r="AU56" s="190"/>
      <c r="AV56" s="187"/>
      <c r="AW56" s="184"/>
      <c r="AX56" s="554"/>
    </row>
    <row r="57" spans="2:50" ht="14.25" customHeight="1">
      <c r="B57" s="525"/>
      <c r="C57" s="182">
        <v>11</v>
      </c>
      <c r="D57" s="185"/>
      <c r="E57" s="182"/>
      <c r="F57" s="182"/>
      <c r="G57" s="187"/>
      <c r="H57" s="554"/>
      <c r="I57" s="188"/>
      <c r="J57" s="188"/>
      <c r="K57" s="189"/>
      <c r="L57" s="555"/>
      <c r="M57" s="188"/>
      <c r="N57" s="525"/>
      <c r="O57" s="525"/>
      <c r="P57" s="190"/>
      <c r="Q57" s="190"/>
      <c r="R57" s="187"/>
      <c r="S57" s="184"/>
      <c r="T57" s="554"/>
      <c r="U57" s="190"/>
      <c r="V57" s="190"/>
      <c r="W57" s="187"/>
      <c r="X57" s="184"/>
      <c r="Y57" s="554"/>
      <c r="Z57" s="190"/>
      <c r="AA57" s="190"/>
      <c r="AB57" s="187"/>
      <c r="AC57" s="184"/>
      <c r="AD57" s="554"/>
      <c r="AE57" s="190"/>
      <c r="AF57" s="190"/>
      <c r="AG57" s="187"/>
      <c r="AH57" s="184"/>
      <c r="AI57" s="554"/>
      <c r="AJ57" s="190"/>
      <c r="AK57" s="190"/>
      <c r="AL57" s="187"/>
      <c r="AM57" s="184"/>
      <c r="AN57" s="554"/>
      <c r="AO57" s="190"/>
      <c r="AP57" s="190"/>
      <c r="AQ57" s="187"/>
      <c r="AR57" s="184"/>
      <c r="AS57" s="554"/>
      <c r="AT57" s="190"/>
      <c r="AU57" s="190"/>
      <c r="AV57" s="187"/>
      <c r="AW57" s="184"/>
      <c r="AX57" s="554"/>
    </row>
    <row r="58" spans="2:50" ht="14.25" customHeight="1">
      <c r="B58" s="525"/>
      <c r="C58" s="182">
        <v>12</v>
      </c>
      <c r="D58" s="185"/>
      <c r="E58" s="182"/>
      <c r="F58" s="182"/>
      <c r="G58" s="187"/>
      <c r="H58" s="554"/>
      <c r="I58" s="188"/>
      <c r="J58" s="188"/>
      <c r="K58" s="189"/>
      <c r="L58" s="555"/>
      <c r="M58" s="188"/>
      <c r="N58" s="525"/>
      <c r="O58" s="525"/>
      <c r="P58" s="190"/>
      <c r="Q58" s="190"/>
      <c r="R58" s="187"/>
      <c r="S58" s="184"/>
      <c r="T58" s="554"/>
      <c r="U58" s="190"/>
      <c r="V58" s="190"/>
      <c r="W58" s="187"/>
      <c r="X58" s="184"/>
      <c r="Y58" s="554"/>
      <c r="Z58" s="190"/>
      <c r="AA58" s="190"/>
      <c r="AB58" s="187"/>
      <c r="AC58" s="184"/>
      <c r="AD58" s="554"/>
      <c r="AE58" s="190"/>
      <c r="AF58" s="190"/>
      <c r="AG58" s="187"/>
      <c r="AH58" s="184"/>
      <c r="AI58" s="554"/>
      <c r="AJ58" s="190"/>
      <c r="AK58" s="190"/>
      <c r="AL58" s="187"/>
      <c r="AM58" s="184"/>
      <c r="AN58" s="554"/>
      <c r="AO58" s="190"/>
      <c r="AP58" s="190"/>
      <c r="AQ58" s="187"/>
      <c r="AR58" s="184"/>
      <c r="AS58" s="554"/>
      <c r="AT58" s="190"/>
      <c r="AU58" s="190"/>
      <c r="AV58" s="187"/>
      <c r="AW58" s="184"/>
      <c r="AX58" s="554"/>
    </row>
    <row r="59" spans="2:50" ht="14.25" customHeight="1">
      <c r="B59" s="525"/>
      <c r="C59" s="182">
        <v>13</v>
      </c>
      <c r="D59" s="185"/>
      <c r="E59" s="182"/>
      <c r="F59" s="182"/>
      <c r="G59" s="187"/>
      <c r="H59" s="554"/>
      <c r="I59" s="188"/>
      <c r="J59" s="188"/>
      <c r="K59" s="189"/>
      <c r="L59" s="555"/>
      <c r="M59" s="188"/>
      <c r="N59" s="525"/>
      <c r="O59" s="525"/>
      <c r="P59" s="190"/>
      <c r="Q59" s="190"/>
      <c r="R59" s="187"/>
      <c r="S59" s="184"/>
      <c r="T59" s="554"/>
      <c r="U59" s="190"/>
      <c r="V59" s="190"/>
      <c r="W59" s="187"/>
      <c r="X59" s="184"/>
      <c r="Y59" s="554"/>
      <c r="Z59" s="190"/>
      <c r="AA59" s="190"/>
      <c r="AB59" s="187"/>
      <c r="AC59" s="184"/>
      <c r="AD59" s="554"/>
      <c r="AE59" s="190"/>
      <c r="AF59" s="190"/>
      <c r="AG59" s="187"/>
      <c r="AH59" s="184"/>
      <c r="AI59" s="554"/>
      <c r="AJ59" s="190"/>
      <c r="AK59" s="190"/>
      <c r="AL59" s="187"/>
      <c r="AM59" s="184"/>
      <c r="AN59" s="554"/>
      <c r="AO59" s="190"/>
      <c r="AP59" s="190"/>
      <c r="AQ59" s="187"/>
      <c r="AR59" s="184"/>
      <c r="AS59" s="554"/>
      <c r="AT59" s="190"/>
      <c r="AU59" s="190"/>
      <c r="AV59" s="187"/>
      <c r="AW59" s="184"/>
      <c r="AX59" s="554"/>
    </row>
    <row r="60" spans="2:50" ht="14.25" customHeight="1">
      <c r="B60" s="525"/>
      <c r="C60" s="182">
        <v>14</v>
      </c>
      <c r="D60" s="185"/>
      <c r="E60" s="182"/>
      <c r="F60" s="182"/>
      <c r="G60" s="187"/>
      <c r="H60" s="554"/>
      <c r="I60" s="188"/>
      <c r="J60" s="188"/>
      <c r="K60" s="189"/>
      <c r="L60" s="555"/>
      <c r="M60" s="188"/>
      <c r="N60" s="525"/>
      <c r="O60" s="525"/>
      <c r="P60" s="190"/>
      <c r="Q60" s="190"/>
      <c r="R60" s="187"/>
      <c r="S60" s="184"/>
      <c r="T60" s="554"/>
      <c r="U60" s="190"/>
      <c r="V60" s="190"/>
      <c r="W60" s="187"/>
      <c r="X60" s="184"/>
      <c r="Y60" s="554"/>
      <c r="Z60" s="190"/>
      <c r="AA60" s="190"/>
      <c r="AB60" s="187"/>
      <c r="AC60" s="184"/>
      <c r="AD60" s="554"/>
      <c r="AE60" s="190"/>
      <c r="AF60" s="190"/>
      <c r="AG60" s="187"/>
      <c r="AH60" s="184"/>
      <c r="AI60" s="554"/>
      <c r="AJ60" s="190"/>
      <c r="AK60" s="190"/>
      <c r="AL60" s="187"/>
      <c r="AM60" s="184"/>
      <c r="AN60" s="554"/>
      <c r="AO60" s="190"/>
      <c r="AP60" s="190"/>
      <c r="AQ60" s="187"/>
      <c r="AR60" s="184"/>
      <c r="AS60" s="554"/>
      <c r="AT60" s="190"/>
      <c r="AU60" s="190"/>
      <c r="AV60" s="187"/>
      <c r="AW60" s="184"/>
      <c r="AX60" s="554"/>
    </row>
    <row r="61" spans="2:50" ht="14.25" customHeight="1">
      <c r="B61" s="525"/>
      <c r="C61" s="182">
        <v>15</v>
      </c>
      <c r="D61" s="185"/>
      <c r="E61" s="182"/>
      <c r="F61" s="182"/>
      <c r="G61" s="187"/>
      <c r="H61" s="554"/>
      <c r="I61" s="188"/>
      <c r="J61" s="188"/>
      <c r="K61" s="189"/>
      <c r="L61" s="555"/>
      <c r="M61" s="188"/>
      <c r="N61" s="525"/>
      <c r="O61" s="525"/>
      <c r="P61" s="190"/>
      <c r="Q61" s="190"/>
      <c r="R61" s="187"/>
      <c r="S61" s="184"/>
      <c r="T61" s="554"/>
      <c r="U61" s="190"/>
      <c r="V61" s="190"/>
      <c r="W61" s="187"/>
      <c r="X61" s="184"/>
      <c r="Y61" s="554"/>
      <c r="Z61" s="190"/>
      <c r="AA61" s="190"/>
      <c r="AB61" s="187"/>
      <c r="AC61" s="184"/>
      <c r="AD61" s="554"/>
      <c r="AE61" s="190"/>
      <c r="AF61" s="190"/>
      <c r="AG61" s="187"/>
      <c r="AH61" s="184"/>
      <c r="AI61" s="554"/>
      <c r="AJ61" s="190"/>
      <c r="AK61" s="190"/>
      <c r="AL61" s="187"/>
      <c r="AM61" s="184"/>
      <c r="AN61" s="554"/>
      <c r="AO61" s="190"/>
      <c r="AP61" s="190"/>
      <c r="AQ61" s="187"/>
      <c r="AR61" s="184"/>
      <c r="AS61" s="554"/>
      <c r="AT61" s="190"/>
      <c r="AU61" s="190"/>
      <c r="AV61" s="187"/>
      <c r="AW61" s="184"/>
      <c r="AX61" s="554"/>
    </row>
    <row r="62" spans="2:50" ht="14.25" customHeight="1" collapsed="1">
      <c r="B62" s="534" t="s">
        <v>648</v>
      </c>
      <c r="C62" s="535"/>
      <c r="D62" s="535"/>
      <c r="E62" s="535"/>
      <c r="F62" s="535"/>
      <c r="G62" s="535"/>
      <c r="H62" s="535"/>
      <c r="I62" s="535"/>
      <c r="J62" s="535"/>
      <c r="K62" s="535"/>
      <c r="L62" s="535"/>
      <c r="M62" s="536"/>
      <c r="N62" s="564" t="s">
        <v>378</v>
      </c>
      <c r="O62" s="564" t="s">
        <v>105</v>
      </c>
      <c r="P62" s="566">
        <f>AT42+1</f>
        <v>46098</v>
      </c>
      <c r="Q62" s="567"/>
      <c r="R62" s="567"/>
      <c r="S62" s="567"/>
      <c r="T62" s="567"/>
      <c r="U62" s="568">
        <f>P62+1</f>
        <v>46099</v>
      </c>
      <c r="V62" s="569"/>
      <c r="W62" s="569"/>
      <c r="X62" s="569"/>
      <c r="Y62" s="569"/>
      <c r="Z62" s="566">
        <f t="shared" ref="Z62" si="54">U62+1</f>
        <v>46100</v>
      </c>
      <c r="AA62" s="567"/>
      <c r="AB62" s="567"/>
      <c r="AC62" s="567"/>
      <c r="AD62" s="567"/>
      <c r="AE62" s="568">
        <f t="shared" ref="AE62" si="55">Z62+1</f>
        <v>46101</v>
      </c>
      <c r="AF62" s="569"/>
      <c r="AG62" s="569"/>
      <c r="AH62" s="569"/>
      <c r="AI62" s="569"/>
      <c r="AJ62" s="556">
        <f t="shared" ref="AJ62" si="56">AE62+1</f>
        <v>46102</v>
      </c>
      <c r="AK62" s="557"/>
      <c r="AL62" s="557"/>
      <c r="AM62" s="557"/>
      <c r="AN62" s="558"/>
      <c r="AO62" s="568">
        <f t="shared" ref="AO62" si="57">AJ62+1</f>
        <v>46103</v>
      </c>
      <c r="AP62" s="569"/>
      <c r="AQ62" s="569"/>
      <c r="AR62" s="569"/>
      <c r="AS62" s="569"/>
      <c r="AT62" s="556">
        <f t="shared" ref="AT62" si="58">AO62+1</f>
        <v>46104</v>
      </c>
      <c r="AU62" s="557"/>
      <c r="AV62" s="557"/>
      <c r="AW62" s="557"/>
      <c r="AX62" s="558"/>
    </row>
    <row r="63" spans="2:50" ht="14.25" customHeight="1">
      <c r="B63" s="537"/>
      <c r="C63" s="537"/>
      <c r="D63" s="537"/>
      <c r="E63" s="537"/>
      <c r="F63" s="537"/>
      <c r="G63" s="537"/>
      <c r="H63" s="537"/>
      <c r="I63" s="537"/>
      <c r="J63" s="537"/>
      <c r="K63" s="537"/>
      <c r="L63" s="537"/>
      <c r="M63" s="538"/>
      <c r="N63" s="565"/>
      <c r="O63" s="565"/>
      <c r="P63" s="559">
        <f>P62</f>
        <v>46098</v>
      </c>
      <c r="Q63" s="559"/>
      <c r="R63" s="559"/>
      <c r="S63" s="559"/>
      <c r="T63" s="559"/>
      <c r="U63" s="560">
        <f>U62</f>
        <v>46099</v>
      </c>
      <c r="V63" s="560"/>
      <c r="W63" s="560"/>
      <c r="X63" s="560"/>
      <c r="Y63" s="560"/>
      <c r="Z63" s="559">
        <f t="shared" ref="Z63" si="59">Z62</f>
        <v>46100</v>
      </c>
      <c r="AA63" s="559"/>
      <c r="AB63" s="559"/>
      <c r="AC63" s="559"/>
      <c r="AD63" s="559"/>
      <c r="AE63" s="560">
        <f t="shared" ref="AE63" si="60">AE62</f>
        <v>46101</v>
      </c>
      <c r="AF63" s="560"/>
      <c r="AG63" s="560"/>
      <c r="AH63" s="560"/>
      <c r="AI63" s="560"/>
      <c r="AJ63" s="561">
        <f t="shared" ref="AJ63" si="61">AJ62</f>
        <v>46102</v>
      </c>
      <c r="AK63" s="562"/>
      <c r="AL63" s="562"/>
      <c r="AM63" s="562"/>
      <c r="AN63" s="563"/>
      <c r="AO63" s="560">
        <f t="shared" ref="AO63" si="62">AO62</f>
        <v>46103</v>
      </c>
      <c r="AP63" s="560"/>
      <c r="AQ63" s="560"/>
      <c r="AR63" s="560"/>
      <c r="AS63" s="560"/>
      <c r="AT63" s="561">
        <f t="shared" ref="AT63" si="63">AT62</f>
        <v>46104</v>
      </c>
      <c r="AU63" s="562"/>
      <c r="AV63" s="562"/>
      <c r="AW63" s="562"/>
      <c r="AX63" s="563"/>
    </row>
    <row r="64" spans="2:50" ht="14.25" customHeight="1">
      <c r="B64" s="525" t="s">
        <v>164</v>
      </c>
      <c r="C64" s="525" t="s">
        <v>159</v>
      </c>
      <c r="D64" s="525"/>
      <c r="E64" s="525" t="s">
        <v>160</v>
      </c>
      <c r="F64" s="525"/>
      <c r="G64" s="525"/>
      <c r="H64" s="525" t="s">
        <v>165</v>
      </c>
      <c r="I64" s="544" t="s">
        <v>379</v>
      </c>
      <c r="J64" s="544"/>
      <c r="K64" s="544"/>
      <c r="L64" s="544" t="s">
        <v>165</v>
      </c>
      <c r="M64" s="544" t="s">
        <v>167</v>
      </c>
      <c r="N64" s="525"/>
      <c r="O64" s="525" t="s">
        <v>166</v>
      </c>
      <c r="P64" s="525" t="s">
        <v>162</v>
      </c>
      <c r="Q64" s="525"/>
      <c r="R64" s="525"/>
      <c r="S64" s="525"/>
      <c r="T64" s="525" t="s">
        <v>165</v>
      </c>
      <c r="U64" s="525" t="s">
        <v>162</v>
      </c>
      <c r="V64" s="525"/>
      <c r="W64" s="525"/>
      <c r="X64" s="525"/>
      <c r="Y64" s="525" t="s">
        <v>165</v>
      </c>
      <c r="Z64" s="525" t="s">
        <v>162</v>
      </c>
      <c r="AA64" s="525"/>
      <c r="AB64" s="525"/>
      <c r="AC64" s="525"/>
      <c r="AD64" s="525" t="s">
        <v>165</v>
      </c>
      <c r="AE64" s="525" t="s">
        <v>162</v>
      </c>
      <c r="AF64" s="525"/>
      <c r="AG64" s="525"/>
      <c r="AH64" s="525"/>
      <c r="AI64" s="525" t="s">
        <v>165</v>
      </c>
      <c r="AJ64" s="525" t="s">
        <v>162</v>
      </c>
      <c r="AK64" s="525"/>
      <c r="AL64" s="525"/>
      <c r="AM64" s="525"/>
      <c r="AN64" s="525" t="s">
        <v>165</v>
      </c>
      <c r="AO64" s="525" t="s">
        <v>162</v>
      </c>
      <c r="AP64" s="525"/>
      <c r="AQ64" s="525"/>
      <c r="AR64" s="525"/>
      <c r="AS64" s="525" t="s">
        <v>165</v>
      </c>
      <c r="AT64" s="525" t="s">
        <v>162</v>
      </c>
      <c r="AU64" s="525"/>
      <c r="AV64" s="525"/>
      <c r="AW64" s="525"/>
      <c r="AX64" s="525" t="s">
        <v>165</v>
      </c>
    </row>
    <row r="65" spans="2:50" ht="14.25" customHeight="1">
      <c r="B65" s="525"/>
      <c r="C65" s="525"/>
      <c r="D65" s="525"/>
      <c r="E65" s="525" t="s">
        <v>380</v>
      </c>
      <c r="F65" s="525"/>
      <c r="G65" s="525"/>
      <c r="H65" s="525"/>
      <c r="I65" s="544" t="s">
        <v>380</v>
      </c>
      <c r="J65" s="544"/>
      <c r="K65" s="544"/>
      <c r="L65" s="544"/>
      <c r="M65" s="544"/>
      <c r="N65" s="525"/>
      <c r="O65" s="525"/>
      <c r="P65" s="525" t="s">
        <v>381</v>
      </c>
      <c r="Q65" s="525"/>
      <c r="R65" s="525"/>
      <c r="S65" s="525"/>
      <c r="T65" s="525"/>
      <c r="U65" s="525" t="s">
        <v>381</v>
      </c>
      <c r="V65" s="525"/>
      <c r="W65" s="525"/>
      <c r="X65" s="525"/>
      <c r="Y65" s="525"/>
      <c r="Z65" s="525" t="s">
        <v>381</v>
      </c>
      <c r="AA65" s="525"/>
      <c r="AB65" s="525"/>
      <c r="AC65" s="525"/>
      <c r="AD65" s="525"/>
      <c r="AE65" s="525" t="s">
        <v>381</v>
      </c>
      <c r="AF65" s="525"/>
      <c r="AG65" s="525"/>
      <c r="AH65" s="525"/>
      <c r="AI65" s="525"/>
      <c r="AJ65" s="525" t="s">
        <v>381</v>
      </c>
      <c r="AK65" s="525"/>
      <c r="AL65" s="525"/>
      <c r="AM65" s="525"/>
      <c r="AN65" s="525"/>
      <c r="AO65" s="525" t="s">
        <v>381</v>
      </c>
      <c r="AP65" s="525"/>
      <c r="AQ65" s="525"/>
      <c r="AR65" s="525"/>
      <c r="AS65" s="525"/>
      <c r="AT65" s="525" t="s">
        <v>381</v>
      </c>
      <c r="AU65" s="525"/>
      <c r="AV65" s="525"/>
      <c r="AW65" s="525"/>
      <c r="AX65" s="525"/>
    </row>
    <row r="66" spans="2:50" ht="14.25" customHeight="1">
      <c r="B66" s="525"/>
      <c r="C66" s="525"/>
      <c r="D66" s="525"/>
      <c r="E66" s="182" t="s">
        <v>161</v>
      </c>
      <c r="F66" s="182" t="s">
        <v>382</v>
      </c>
      <c r="G66" s="182" t="s">
        <v>163</v>
      </c>
      <c r="H66" s="525"/>
      <c r="I66" s="183" t="s">
        <v>161</v>
      </c>
      <c r="J66" s="183" t="s">
        <v>382</v>
      </c>
      <c r="K66" s="183" t="s">
        <v>163</v>
      </c>
      <c r="L66" s="544"/>
      <c r="M66" s="544"/>
      <c r="N66" s="525"/>
      <c r="O66" s="525"/>
      <c r="P66" s="182" t="s">
        <v>161</v>
      </c>
      <c r="Q66" s="182" t="s">
        <v>382</v>
      </c>
      <c r="R66" s="182" t="s">
        <v>163</v>
      </c>
      <c r="S66" s="184" t="s">
        <v>167</v>
      </c>
      <c r="T66" s="525"/>
      <c r="U66" s="182" t="s">
        <v>161</v>
      </c>
      <c r="V66" s="182" t="s">
        <v>382</v>
      </c>
      <c r="W66" s="182" t="s">
        <v>163</v>
      </c>
      <c r="X66" s="184" t="s">
        <v>167</v>
      </c>
      <c r="Y66" s="525"/>
      <c r="Z66" s="182" t="s">
        <v>161</v>
      </c>
      <c r="AA66" s="182" t="s">
        <v>382</v>
      </c>
      <c r="AB66" s="182" t="s">
        <v>163</v>
      </c>
      <c r="AC66" s="184" t="s">
        <v>167</v>
      </c>
      <c r="AD66" s="525"/>
      <c r="AE66" s="182" t="s">
        <v>161</v>
      </c>
      <c r="AF66" s="182" t="s">
        <v>382</v>
      </c>
      <c r="AG66" s="182" t="s">
        <v>163</v>
      </c>
      <c r="AH66" s="184" t="s">
        <v>167</v>
      </c>
      <c r="AI66" s="525"/>
      <c r="AJ66" s="182" t="s">
        <v>161</v>
      </c>
      <c r="AK66" s="182" t="s">
        <v>382</v>
      </c>
      <c r="AL66" s="182" t="s">
        <v>163</v>
      </c>
      <c r="AM66" s="184" t="s">
        <v>167</v>
      </c>
      <c r="AN66" s="525"/>
      <c r="AO66" s="182" t="s">
        <v>161</v>
      </c>
      <c r="AP66" s="182" t="s">
        <v>382</v>
      </c>
      <c r="AQ66" s="182" t="s">
        <v>163</v>
      </c>
      <c r="AR66" s="184" t="s">
        <v>167</v>
      </c>
      <c r="AS66" s="525"/>
      <c r="AT66" s="182" t="s">
        <v>161</v>
      </c>
      <c r="AU66" s="182" t="s">
        <v>382</v>
      </c>
      <c r="AV66" s="182" t="s">
        <v>163</v>
      </c>
      <c r="AW66" s="184" t="s">
        <v>167</v>
      </c>
      <c r="AX66" s="525"/>
    </row>
    <row r="67" spans="2:50" ht="14.25" customHeight="1">
      <c r="B67" s="525" t="s">
        <v>384</v>
      </c>
      <c r="C67" s="182">
        <v>1</v>
      </c>
      <c r="D67" s="185"/>
      <c r="E67" s="182"/>
      <c r="F67" s="182"/>
      <c r="G67" s="187"/>
      <c r="H67" s="554"/>
      <c r="I67" s="188"/>
      <c r="J67" s="188"/>
      <c r="K67" s="189"/>
      <c r="L67" s="555" t="str">
        <f>IFERROR(AVERAGE(K67:K81),"-")</f>
        <v>-</v>
      </c>
      <c r="M67" s="188" t="e">
        <f>RANK(K67, K$67:$K$81)</f>
        <v>#N/A</v>
      </c>
      <c r="N67" s="525"/>
      <c r="O67" s="525"/>
      <c r="P67" s="190"/>
      <c r="Q67" s="190"/>
      <c r="R67" s="187"/>
      <c r="S67" s="184"/>
      <c r="T67" s="554"/>
      <c r="U67" s="190"/>
      <c r="V67" s="190"/>
      <c r="W67" s="187"/>
      <c r="X67" s="184"/>
      <c r="Y67" s="554"/>
      <c r="Z67" s="190"/>
      <c r="AA67" s="190"/>
      <c r="AB67" s="187"/>
      <c r="AC67" s="184"/>
      <c r="AD67" s="554"/>
      <c r="AE67" s="190"/>
      <c r="AF67" s="190"/>
      <c r="AG67" s="187"/>
      <c r="AH67" s="184"/>
      <c r="AI67" s="554"/>
      <c r="AJ67" s="190"/>
      <c r="AK67" s="190"/>
      <c r="AL67" s="187"/>
      <c r="AM67" s="184"/>
      <c r="AN67" s="554"/>
      <c r="AO67" s="190"/>
      <c r="AP67" s="190"/>
      <c r="AQ67" s="187"/>
      <c r="AR67" s="184"/>
      <c r="AS67" s="554"/>
      <c r="AT67" s="190"/>
      <c r="AU67" s="190"/>
      <c r="AV67" s="187"/>
      <c r="AW67" s="184"/>
      <c r="AX67" s="554"/>
    </row>
    <row r="68" spans="2:50" ht="14.25" customHeight="1">
      <c r="B68" s="525"/>
      <c r="C68" s="182">
        <v>2</v>
      </c>
      <c r="D68" s="185"/>
      <c r="E68" s="182"/>
      <c r="F68" s="182"/>
      <c r="G68" s="187"/>
      <c r="H68" s="554"/>
      <c r="I68" s="188"/>
      <c r="J68" s="188"/>
      <c r="K68" s="189"/>
      <c r="L68" s="555"/>
      <c r="M68" s="188" t="e">
        <f>RANK(K68, K$67:$K$81)</f>
        <v>#N/A</v>
      </c>
      <c r="N68" s="525"/>
      <c r="O68" s="525"/>
      <c r="P68" s="190"/>
      <c r="Q68" s="190"/>
      <c r="R68" s="187"/>
      <c r="S68" s="184"/>
      <c r="T68" s="554"/>
      <c r="U68" s="190"/>
      <c r="V68" s="190"/>
      <c r="W68" s="187"/>
      <c r="X68" s="184"/>
      <c r="Y68" s="554"/>
      <c r="Z68" s="190"/>
      <c r="AA68" s="190"/>
      <c r="AB68" s="187"/>
      <c r="AC68" s="184"/>
      <c r="AD68" s="554"/>
      <c r="AE68" s="190"/>
      <c r="AF68" s="190"/>
      <c r="AG68" s="187"/>
      <c r="AH68" s="184"/>
      <c r="AI68" s="554"/>
      <c r="AJ68" s="190"/>
      <c r="AK68" s="190"/>
      <c r="AL68" s="187"/>
      <c r="AM68" s="184"/>
      <c r="AN68" s="554"/>
      <c r="AO68" s="190"/>
      <c r="AP68" s="190"/>
      <c r="AQ68" s="187"/>
      <c r="AR68" s="184"/>
      <c r="AS68" s="554"/>
      <c r="AT68" s="190"/>
      <c r="AU68" s="190"/>
      <c r="AV68" s="187"/>
      <c r="AW68" s="184"/>
      <c r="AX68" s="554"/>
    </row>
    <row r="69" spans="2:50" ht="14.25" customHeight="1">
      <c r="B69" s="525"/>
      <c r="C69" s="182">
        <v>3</v>
      </c>
      <c r="D69" s="185"/>
      <c r="E69" s="182"/>
      <c r="F69" s="182"/>
      <c r="G69" s="187"/>
      <c r="H69" s="554"/>
      <c r="I69" s="188"/>
      <c r="J69" s="188"/>
      <c r="K69" s="189"/>
      <c r="L69" s="555"/>
      <c r="M69" s="188" t="e">
        <f>RANK(K69, K$67:$K$81)</f>
        <v>#N/A</v>
      </c>
      <c r="N69" s="525"/>
      <c r="O69" s="525"/>
      <c r="P69" s="190"/>
      <c r="Q69" s="190"/>
      <c r="R69" s="187"/>
      <c r="S69" s="184"/>
      <c r="T69" s="554"/>
      <c r="U69" s="190"/>
      <c r="V69" s="190"/>
      <c r="W69" s="187"/>
      <c r="X69" s="184"/>
      <c r="Y69" s="554"/>
      <c r="Z69" s="190"/>
      <c r="AA69" s="190"/>
      <c r="AB69" s="187"/>
      <c r="AC69" s="184"/>
      <c r="AD69" s="554"/>
      <c r="AE69" s="190"/>
      <c r="AF69" s="190"/>
      <c r="AG69" s="187"/>
      <c r="AH69" s="184"/>
      <c r="AI69" s="554"/>
      <c r="AJ69" s="190"/>
      <c r="AK69" s="190"/>
      <c r="AL69" s="187"/>
      <c r="AM69" s="184"/>
      <c r="AN69" s="554"/>
      <c r="AO69" s="190"/>
      <c r="AP69" s="190"/>
      <c r="AQ69" s="187"/>
      <c r="AR69" s="184"/>
      <c r="AS69" s="554"/>
      <c r="AT69" s="190"/>
      <c r="AU69" s="190"/>
      <c r="AV69" s="187"/>
      <c r="AW69" s="184"/>
      <c r="AX69" s="554"/>
    </row>
    <row r="70" spans="2:50" ht="14.25" customHeight="1">
      <c r="B70" s="525"/>
      <c r="C70" s="182">
        <v>4</v>
      </c>
      <c r="D70" s="185"/>
      <c r="E70" s="182"/>
      <c r="F70" s="182"/>
      <c r="G70" s="187"/>
      <c r="H70" s="554"/>
      <c r="I70" s="188"/>
      <c r="J70" s="188"/>
      <c r="K70" s="189"/>
      <c r="L70" s="555"/>
      <c r="M70" s="188" t="e">
        <f>RANK(K70, K$67:$K$81)</f>
        <v>#N/A</v>
      </c>
      <c r="N70" s="525"/>
      <c r="O70" s="525"/>
      <c r="P70" s="190"/>
      <c r="Q70" s="190"/>
      <c r="R70" s="187"/>
      <c r="S70" s="184"/>
      <c r="T70" s="554"/>
      <c r="U70" s="190"/>
      <c r="V70" s="190"/>
      <c r="W70" s="187"/>
      <c r="X70" s="184"/>
      <c r="Y70" s="554"/>
      <c r="Z70" s="190"/>
      <c r="AA70" s="190"/>
      <c r="AB70" s="187"/>
      <c r="AC70" s="184"/>
      <c r="AD70" s="554"/>
      <c r="AE70" s="190"/>
      <c r="AF70" s="190"/>
      <c r="AG70" s="187"/>
      <c r="AH70" s="184"/>
      <c r="AI70" s="554"/>
      <c r="AJ70" s="190"/>
      <c r="AK70" s="190"/>
      <c r="AL70" s="187"/>
      <c r="AM70" s="184"/>
      <c r="AN70" s="554"/>
      <c r="AO70" s="190"/>
      <c r="AP70" s="190"/>
      <c r="AQ70" s="187"/>
      <c r="AR70" s="184"/>
      <c r="AS70" s="554"/>
      <c r="AT70" s="190"/>
      <c r="AU70" s="190"/>
      <c r="AV70" s="187"/>
      <c r="AW70" s="184"/>
      <c r="AX70" s="554"/>
    </row>
    <row r="71" spans="2:50" ht="14.25" customHeight="1">
      <c r="B71" s="525"/>
      <c r="C71" s="182">
        <v>5</v>
      </c>
      <c r="D71" s="185"/>
      <c r="E71" s="182"/>
      <c r="F71" s="182"/>
      <c r="G71" s="187"/>
      <c r="H71" s="554"/>
      <c r="I71" s="188"/>
      <c r="J71" s="188"/>
      <c r="K71" s="189"/>
      <c r="L71" s="555"/>
      <c r="M71" s="188" t="e">
        <f>RANK(K71, K$67:$K$81)</f>
        <v>#N/A</v>
      </c>
      <c r="N71" s="525"/>
      <c r="O71" s="525"/>
      <c r="P71" s="190"/>
      <c r="Q71" s="190"/>
      <c r="R71" s="187"/>
      <c r="S71" s="184"/>
      <c r="T71" s="554"/>
      <c r="U71" s="190"/>
      <c r="V71" s="190"/>
      <c r="W71" s="187"/>
      <c r="X71" s="184"/>
      <c r="Y71" s="554"/>
      <c r="Z71" s="190"/>
      <c r="AA71" s="190"/>
      <c r="AB71" s="187"/>
      <c r="AC71" s="184"/>
      <c r="AD71" s="554"/>
      <c r="AE71" s="190"/>
      <c r="AF71" s="190"/>
      <c r="AG71" s="187"/>
      <c r="AH71" s="184"/>
      <c r="AI71" s="554"/>
      <c r="AJ71" s="190"/>
      <c r="AK71" s="190"/>
      <c r="AL71" s="187"/>
      <c r="AM71" s="184"/>
      <c r="AN71" s="554"/>
      <c r="AO71" s="190"/>
      <c r="AP71" s="190"/>
      <c r="AQ71" s="187"/>
      <c r="AR71" s="184"/>
      <c r="AS71" s="554"/>
      <c r="AT71" s="190"/>
      <c r="AU71" s="190"/>
      <c r="AV71" s="187"/>
      <c r="AW71" s="184"/>
      <c r="AX71" s="554"/>
    </row>
    <row r="72" spans="2:50" ht="14.25" customHeight="1">
      <c r="B72" s="525"/>
      <c r="C72" s="182">
        <v>6</v>
      </c>
      <c r="D72" s="185"/>
      <c r="E72" s="182"/>
      <c r="F72" s="182"/>
      <c r="G72" s="187"/>
      <c r="H72" s="554"/>
      <c r="I72" s="188"/>
      <c r="J72" s="188"/>
      <c r="K72" s="189"/>
      <c r="L72" s="555"/>
      <c r="M72" s="188" t="e">
        <f>RANK(K72, K$67:$K$81)</f>
        <v>#N/A</v>
      </c>
      <c r="N72" s="525"/>
      <c r="O72" s="525"/>
      <c r="P72" s="190"/>
      <c r="Q72" s="190"/>
      <c r="R72" s="187"/>
      <c r="S72" s="184"/>
      <c r="T72" s="554"/>
      <c r="U72" s="190"/>
      <c r="V72" s="190"/>
      <c r="W72" s="187"/>
      <c r="X72" s="184"/>
      <c r="Y72" s="554"/>
      <c r="Z72" s="190"/>
      <c r="AA72" s="190"/>
      <c r="AB72" s="187"/>
      <c r="AC72" s="184"/>
      <c r="AD72" s="554"/>
      <c r="AE72" s="190"/>
      <c r="AF72" s="190"/>
      <c r="AG72" s="187"/>
      <c r="AH72" s="184"/>
      <c r="AI72" s="554"/>
      <c r="AJ72" s="190"/>
      <c r="AK72" s="190"/>
      <c r="AL72" s="187"/>
      <c r="AM72" s="184"/>
      <c r="AN72" s="554"/>
      <c r="AO72" s="190"/>
      <c r="AP72" s="190"/>
      <c r="AQ72" s="187"/>
      <c r="AR72" s="184"/>
      <c r="AS72" s="554"/>
      <c r="AT72" s="190"/>
      <c r="AU72" s="190"/>
      <c r="AV72" s="187"/>
      <c r="AW72" s="184"/>
      <c r="AX72" s="554"/>
    </row>
    <row r="73" spans="2:50" ht="14.25" customHeight="1">
      <c r="B73" s="525"/>
      <c r="C73" s="182">
        <v>7</v>
      </c>
      <c r="D73" s="185"/>
      <c r="E73" s="182"/>
      <c r="F73" s="182"/>
      <c r="G73" s="187"/>
      <c r="H73" s="554"/>
      <c r="I73" s="188"/>
      <c r="J73" s="188"/>
      <c r="K73" s="189"/>
      <c r="L73" s="555"/>
      <c r="M73" s="188" t="e">
        <f>RANK(K73, K$67:$K$81)</f>
        <v>#N/A</v>
      </c>
      <c r="N73" s="525"/>
      <c r="O73" s="525"/>
      <c r="P73" s="190"/>
      <c r="Q73" s="190"/>
      <c r="R73" s="187"/>
      <c r="S73" s="184"/>
      <c r="T73" s="554"/>
      <c r="U73" s="190"/>
      <c r="V73" s="190"/>
      <c r="W73" s="187"/>
      <c r="X73" s="184"/>
      <c r="Y73" s="554"/>
      <c r="Z73" s="190"/>
      <c r="AA73" s="190"/>
      <c r="AB73" s="187"/>
      <c r="AC73" s="184"/>
      <c r="AD73" s="554"/>
      <c r="AE73" s="190"/>
      <c r="AF73" s="190"/>
      <c r="AG73" s="187"/>
      <c r="AH73" s="184"/>
      <c r="AI73" s="554"/>
      <c r="AJ73" s="190"/>
      <c r="AK73" s="190"/>
      <c r="AL73" s="187"/>
      <c r="AM73" s="184"/>
      <c r="AN73" s="554"/>
      <c r="AO73" s="190"/>
      <c r="AP73" s="190"/>
      <c r="AQ73" s="187"/>
      <c r="AR73" s="184"/>
      <c r="AS73" s="554"/>
      <c r="AT73" s="190"/>
      <c r="AU73" s="190"/>
      <c r="AV73" s="187"/>
      <c r="AW73" s="184"/>
      <c r="AX73" s="554"/>
    </row>
    <row r="74" spans="2:50" ht="14.25" customHeight="1">
      <c r="B74" s="525"/>
      <c r="C74" s="182">
        <v>8</v>
      </c>
      <c r="D74" s="185"/>
      <c r="E74" s="182"/>
      <c r="F74" s="182"/>
      <c r="G74" s="187"/>
      <c r="H74" s="554"/>
      <c r="I74" s="188"/>
      <c r="J74" s="188"/>
      <c r="K74" s="189"/>
      <c r="L74" s="555"/>
      <c r="M74" s="188" t="e">
        <f>RANK(K74, K$67:$K$81)</f>
        <v>#N/A</v>
      </c>
      <c r="N74" s="525"/>
      <c r="O74" s="525"/>
      <c r="P74" s="190"/>
      <c r="Q74" s="190"/>
      <c r="R74" s="187"/>
      <c r="S74" s="184"/>
      <c r="T74" s="554"/>
      <c r="U74" s="190"/>
      <c r="V74" s="190"/>
      <c r="W74" s="187"/>
      <c r="X74" s="184"/>
      <c r="Y74" s="554"/>
      <c r="Z74" s="190"/>
      <c r="AA74" s="190"/>
      <c r="AB74" s="187"/>
      <c r="AC74" s="184"/>
      <c r="AD74" s="554"/>
      <c r="AE74" s="190"/>
      <c r="AF74" s="190"/>
      <c r="AG74" s="187"/>
      <c r="AH74" s="184"/>
      <c r="AI74" s="554"/>
      <c r="AJ74" s="190"/>
      <c r="AK74" s="190"/>
      <c r="AL74" s="187"/>
      <c r="AM74" s="184"/>
      <c r="AN74" s="554"/>
      <c r="AO74" s="190"/>
      <c r="AP74" s="190"/>
      <c r="AQ74" s="187"/>
      <c r="AR74" s="184"/>
      <c r="AS74" s="554"/>
      <c r="AT74" s="190"/>
      <c r="AU74" s="190"/>
      <c r="AV74" s="187"/>
      <c r="AW74" s="184"/>
      <c r="AX74" s="554"/>
    </row>
    <row r="75" spans="2:50" ht="14.25" customHeight="1">
      <c r="B75" s="525"/>
      <c r="C75" s="182">
        <v>9</v>
      </c>
      <c r="D75" s="185"/>
      <c r="E75" s="182"/>
      <c r="F75" s="182"/>
      <c r="G75" s="187"/>
      <c r="H75" s="554"/>
      <c r="I75" s="188"/>
      <c r="J75" s="188"/>
      <c r="K75" s="189"/>
      <c r="L75" s="555"/>
      <c r="M75" s="188"/>
      <c r="N75" s="525"/>
      <c r="O75" s="525"/>
      <c r="P75" s="190"/>
      <c r="Q75" s="190"/>
      <c r="R75" s="187"/>
      <c r="S75" s="184"/>
      <c r="T75" s="554"/>
      <c r="U75" s="190"/>
      <c r="V75" s="190"/>
      <c r="W75" s="187"/>
      <c r="X75" s="184"/>
      <c r="Y75" s="554"/>
      <c r="Z75" s="190"/>
      <c r="AA75" s="190"/>
      <c r="AB75" s="187"/>
      <c r="AC75" s="184"/>
      <c r="AD75" s="554"/>
      <c r="AE75" s="190"/>
      <c r="AF75" s="190"/>
      <c r="AG75" s="187"/>
      <c r="AH75" s="184"/>
      <c r="AI75" s="554"/>
      <c r="AJ75" s="190"/>
      <c r="AK75" s="190"/>
      <c r="AL75" s="187"/>
      <c r="AM75" s="184"/>
      <c r="AN75" s="554"/>
      <c r="AO75" s="190"/>
      <c r="AP75" s="190"/>
      <c r="AQ75" s="187"/>
      <c r="AR75" s="184"/>
      <c r="AS75" s="554"/>
      <c r="AT75" s="190"/>
      <c r="AU75" s="190"/>
      <c r="AV75" s="187"/>
      <c r="AW75" s="184"/>
      <c r="AX75" s="554"/>
    </row>
    <row r="76" spans="2:50" ht="14.25" customHeight="1">
      <c r="B76" s="525"/>
      <c r="C76" s="182">
        <v>10</v>
      </c>
      <c r="D76" s="185"/>
      <c r="E76" s="182"/>
      <c r="F76" s="182"/>
      <c r="G76" s="187"/>
      <c r="H76" s="554"/>
      <c r="I76" s="188"/>
      <c r="J76" s="188"/>
      <c r="K76" s="189"/>
      <c r="L76" s="555"/>
      <c r="M76" s="188"/>
      <c r="N76" s="525"/>
      <c r="O76" s="525"/>
      <c r="P76" s="190"/>
      <c r="Q76" s="190"/>
      <c r="R76" s="187"/>
      <c r="S76" s="184"/>
      <c r="T76" s="554"/>
      <c r="U76" s="190"/>
      <c r="V76" s="190"/>
      <c r="W76" s="187"/>
      <c r="X76" s="184"/>
      <c r="Y76" s="554"/>
      <c r="Z76" s="190"/>
      <c r="AA76" s="190"/>
      <c r="AB76" s="187"/>
      <c r="AC76" s="184"/>
      <c r="AD76" s="554"/>
      <c r="AE76" s="190"/>
      <c r="AF76" s="190"/>
      <c r="AG76" s="187"/>
      <c r="AH76" s="184"/>
      <c r="AI76" s="554"/>
      <c r="AJ76" s="190"/>
      <c r="AK76" s="190"/>
      <c r="AL76" s="187"/>
      <c r="AM76" s="184"/>
      <c r="AN76" s="554"/>
      <c r="AO76" s="190"/>
      <c r="AP76" s="190"/>
      <c r="AQ76" s="187"/>
      <c r="AR76" s="184"/>
      <c r="AS76" s="554"/>
      <c r="AT76" s="190"/>
      <c r="AU76" s="190"/>
      <c r="AV76" s="187"/>
      <c r="AW76" s="184"/>
      <c r="AX76" s="554"/>
    </row>
    <row r="77" spans="2:50" ht="14.25" customHeight="1">
      <c r="B77" s="525"/>
      <c r="C77" s="182">
        <v>11</v>
      </c>
      <c r="D77" s="185"/>
      <c r="E77" s="182"/>
      <c r="F77" s="182"/>
      <c r="G77" s="187"/>
      <c r="H77" s="554"/>
      <c r="I77" s="188"/>
      <c r="J77" s="188"/>
      <c r="K77" s="189"/>
      <c r="L77" s="555"/>
      <c r="M77" s="188"/>
      <c r="N77" s="525"/>
      <c r="O77" s="525"/>
      <c r="P77" s="190"/>
      <c r="Q77" s="190"/>
      <c r="R77" s="187"/>
      <c r="S77" s="184"/>
      <c r="T77" s="554"/>
      <c r="U77" s="190"/>
      <c r="V77" s="190"/>
      <c r="W77" s="187"/>
      <c r="X77" s="184"/>
      <c r="Y77" s="554"/>
      <c r="Z77" s="190"/>
      <c r="AA77" s="190"/>
      <c r="AB77" s="187"/>
      <c r="AC77" s="184"/>
      <c r="AD77" s="554"/>
      <c r="AE77" s="190"/>
      <c r="AF77" s="190"/>
      <c r="AG77" s="187"/>
      <c r="AH77" s="184"/>
      <c r="AI77" s="554"/>
      <c r="AJ77" s="190"/>
      <c r="AK77" s="190"/>
      <c r="AL77" s="187"/>
      <c r="AM77" s="184"/>
      <c r="AN77" s="554"/>
      <c r="AO77" s="190"/>
      <c r="AP77" s="190"/>
      <c r="AQ77" s="187"/>
      <c r="AR77" s="184"/>
      <c r="AS77" s="554"/>
      <c r="AT77" s="190"/>
      <c r="AU77" s="190"/>
      <c r="AV77" s="187"/>
      <c r="AW77" s="184"/>
      <c r="AX77" s="554"/>
    </row>
    <row r="78" spans="2:50" ht="14.25" customHeight="1">
      <c r="B78" s="525"/>
      <c r="C78" s="182">
        <v>12</v>
      </c>
      <c r="D78" s="185"/>
      <c r="E78" s="182"/>
      <c r="F78" s="182"/>
      <c r="G78" s="187"/>
      <c r="H78" s="554"/>
      <c r="I78" s="188"/>
      <c r="J78" s="188"/>
      <c r="K78" s="189"/>
      <c r="L78" s="555"/>
      <c r="M78" s="188"/>
      <c r="N78" s="525"/>
      <c r="O78" s="525"/>
      <c r="P78" s="190"/>
      <c r="Q78" s="190"/>
      <c r="R78" s="187"/>
      <c r="S78" s="184"/>
      <c r="T78" s="554"/>
      <c r="U78" s="190"/>
      <c r="V78" s="190"/>
      <c r="W78" s="187"/>
      <c r="X78" s="184"/>
      <c r="Y78" s="554"/>
      <c r="Z78" s="190"/>
      <c r="AA78" s="190"/>
      <c r="AB78" s="187"/>
      <c r="AC78" s="184"/>
      <c r="AD78" s="554"/>
      <c r="AE78" s="190"/>
      <c r="AF78" s="190"/>
      <c r="AG78" s="187"/>
      <c r="AH78" s="184"/>
      <c r="AI78" s="554"/>
      <c r="AJ78" s="190"/>
      <c r="AK78" s="190"/>
      <c r="AL78" s="187"/>
      <c r="AM78" s="184"/>
      <c r="AN78" s="554"/>
      <c r="AO78" s="190"/>
      <c r="AP78" s="190"/>
      <c r="AQ78" s="187"/>
      <c r="AR78" s="184"/>
      <c r="AS78" s="554"/>
      <c r="AT78" s="190"/>
      <c r="AU78" s="190"/>
      <c r="AV78" s="187"/>
      <c r="AW78" s="184"/>
      <c r="AX78" s="554"/>
    </row>
    <row r="79" spans="2:50" ht="14.25" customHeight="1">
      <c r="B79" s="525"/>
      <c r="C79" s="182">
        <v>13</v>
      </c>
      <c r="D79" s="185"/>
      <c r="E79" s="182"/>
      <c r="F79" s="182"/>
      <c r="G79" s="187"/>
      <c r="H79" s="554"/>
      <c r="I79" s="188"/>
      <c r="J79" s="188"/>
      <c r="K79" s="189"/>
      <c r="L79" s="555"/>
      <c r="M79" s="188"/>
      <c r="N79" s="525"/>
      <c r="O79" s="525"/>
      <c r="P79" s="190"/>
      <c r="Q79" s="190"/>
      <c r="R79" s="187"/>
      <c r="S79" s="184"/>
      <c r="T79" s="554"/>
      <c r="U79" s="190"/>
      <c r="V79" s="190"/>
      <c r="W79" s="187"/>
      <c r="X79" s="184"/>
      <c r="Y79" s="554"/>
      <c r="Z79" s="190"/>
      <c r="AA79" s="190"/>
      <c r="AB79" s="187"/>
      <c r="AC79" s="184"/>
      <c r="AD79" s="554"/>
      <c r="AE79" s="190"/>
      <c r="AF79" s="190"/>
      <c r="AG79" s="187"/>
      <c r="AH79" s="184"/>
      <c r="AI79" s="554"/>
      <c r="AJ79" s="190"/>
      <c r="AK79" s="190"/>
      <c r="AL79" s="187"/>
      <c r="AM79" s="184"/>
      <c r="AN79" s="554"/>
      <c r="AO79" s="190"/>
      <c r="AP79" s="190"/>
      <c r="AQ79" s="187"/>
      <c r="AR79" s="184"/>
      <c r="AS79" s="554"/>
      <c r="AT79" s="190"/>
      <c r="AU79" s="190"/>
      <c r="AV79" s="187"/>
      <c r="AW79" s="184"/>
      <c r="AX79" s="554"/>
    </row>
    <row r="80" spans="2:50" ht="14.25" customHeight="1">
      <c r="B80" s="525"/>
      <c r="C80" s="182">
        <v>14</v>
      </c>
      <c r="D80" s="185"/>
      <c r="E80" s="182"/>
      <c r="F80" s="182"/>
      <c r="G80" s="187"/>
      <c r="H80" s="554"/>
      <c r="I80" s="188"/>
      <c r="J80" s="188"/>
      <c r="K80" s="189"/>
      <c r="L80" s="555"/>
      <c r="M80" s="188"/>
      <c r="N80" s="525"/>
      <c r="O80" s="525"/>
      <c r="P80" s="190"/>
      <c r="Q80" s="190"/>
      <c r="R80" s="187"/>
      <c r="S80" s="184"/>
      <c r="T80" s="554"/>
      <c r="U80" s="190"/>
      <c r="V80" s="190"/>
      <c r="W80" s="187"/>
      <c r="X80" s="184"/>
      <c r="Y80" s="554"/>
      <c r="Z80" s="190"/>
      <c r="AA80" s="190"/>
      <c r="AB80" s="187"/>
      <c r="AC80" s="184"/>
      <c r="AD80" s="554"/>
      <c r="AE80" s="190"/>
      <c r="AF80" s="190"/>
      <c r="AG80" s="187"/>
      <c r="AH80" s="184"/>
      <c r="AI80" s="554"/>
      <c r="AJ80" s="190"/>
      <c r="AK80" s="190"/>
      <c r="AL80" s="187"/>
      <c r="AM80" s="184"/>
      <c r="AN80" s="554"/>
      <c r="AO80" s="190"/>
      <c r="AP80" s="190"/>
      <c r="AQ80" s="187"/>
      <c r="AR80" s="184"/>
      <c r="AS80" s="554"/>
      <c r="AT80" s="190"/>
      <c r="AU80" s="190"/>
      <c r="AV80" s="187"/>
      <c r="AW80" s="184"/>
      <c r="AX80" s="554"/>
    </row>
    <row r="81" spans="2:50" ht="14.25" customHeight="1">
      <c r="B81" s="525"/>
      <c r="C81" s="182">
        <v>15</v>
      </c>
      <c r="D81" s="185"/>
      <c r="E81" s="182"/>
      <c r="F81" s="182"/>
      <c r="G81" s="187"/>
      <c r="H81" s="554"/>
      <c r="I81" s="188"/>
      <c r="J81" s="188"/>
      <c r="K81" s="189"/>
      <c r="L81" s="555"/>
      <c r="M81" s="188"/>
      <c r="N81" s="525"/>
      <c r="O81" s="525"/>
      <c r="P81" s="190"/>
      <c r="Q81" s="190"/>
      <c r="R81" s="187"/>
      <c r="S81" s="184"/>
      <c r="T81" s="554"/>
      <c r="U81" s="190"/>
      <c r="V81" s="190"/>
      <c r="W81" s="187"/>
      <c r="X81" s="184"/>
      <c r="Y81" s="554"/>
      <c r="Z81" s="190"/>
      <c r="AA81" s="190"/>
      <c r="AB81" s="187"/>
      <c r="AC81" s="184"/>
      <c r="AD81" s="554"/>
      <c r="AE81" s="190"/>
      <c r="AF81" s="190"/>
      <c r="AG81" s="187"/>
      <c r="AH81" s="184"/>
      <c r="AI81" s="554"/>
      <c r="AJ81" s="190"/>
      <c r="AK81" s="190"/>
      <c r="AL81" s="187"/>
      <c r="AM81" s="184"/>
      <c r="AN81" s="554"/>
      <c r="AO81" s="190"/>
      <c r="AP81" s="190"/>
      <c r="AQ81" s="187"/>
      <c r="AR81" s="184"/>
      <c r="AS81" s="554"/>
      <c r="AT81" s="190"/>
      <c r="AU81" s="190"/>
      <c r="AV81" s="187"/>
      <c r="AW81" s="184"/>
      <c r="AX81" s="554"/>
    </row>
    <row r="82" spans="2:50" ht="14.25" customHeight="1" collapsed="1">
      <c r="B82" s="534" t="s">
        <v>649</v>
      </c>
      <c r="C82" s="535"/>
      <c r="D82" s="535"/>
      <c r="E82" s="535"/>
      <c r="F82" s="535"/>
      <c r="G82" s="535"/>
      <c r="H82" s="535"/>
      <c r="I82" s="535"/>
      <c r="J82" s="535"/>
      <c r="K82" s="535"/>
      <c r="L82" s="535"/>
      <c r="M82" s="536"/>
      <c r="N82" s="564" t="s">
        <v>378</v>
      </c>
      <c r="O82" s="564" t="s">
        <v>105</v>
      </c>
      <c r="P82" s="566">
        <f>AT62+1</f>
        <v>46105</v>
      </c>
      <c r="Q82" s="567"/>
      <c r="R82" s="567"/>
      <c r="S82" s="567"/>
      <c r="T82" s="567"/>
      <c r="U82" s="568">
        <f>P82+1</f>
        <v>46106</v>
      </c>
      <c r="V82" s="569"/>
      <c r="W82" s="569"/>
      <c r="X82" s="569"/>
      <c r="Y82" s="569"/>
      <c r="Z82" s="566">
        <f t="shared" ref="Z82" si="64">U82+1</f>
        <v>46107</v>
      </c>
      <c r="AA82" s="567"/>
      <c r="AB82" s="567"/>
      <c r="AC82" s="567"/>
      <c r="AD82" s="567"/>
      <c r="AE82" s="568">
        <f t="shared" ref="AE82" si="65">Z82+1</f>
        <v>46108</v>
      </c>
      <c r="AF82" s="569"/>
      <c r="AG82" s="569"/>
      <c r="AH82" s="569"/>
      <c r="AI82" s="569"/>
      <c r="AJ82" s="556">
        <f t="shared" ref="AJ82" si="66">AE82+1</f>
        <v>46109</v>
      </c>
      <c r="AK82" s="557"/>
      <c r="AL82" s="557"/>
      <c r="AM82" s="557"/>
      <c r="AN82" s="558"/>
      <c r="AO82" s="568">
        <f t="shared" ref="AO82" si="67">AJ82+1</f>
        <v>46110</v>
      </c>
      <c r="AP82" s="569"/>
      <c r="AQ82" s="569"/>
      <c r="AR82" s="569"/>
      <c r="AS82" s="569"/>
      <c r="AT82" s="556">
        <f t="shared" ref="AT82" si="68">AO82+1</f>
        <v>46111</v>
      </c>
      <c r="AU82" s="557"/>
      <c r="AV82" s="557"/>
      <c r="AW82" s="557"/>
      <c r="AX82" s="558"/>
    </row>
    <row r="83" spans="2:50" ht="14.25" customHeight="1">
      <c r="B83" s="537"/>
      <c r="C83" s="537"/>
      <c r="D83" s="537"/>
      <c r="E83" s="537"/>
      <c r="F83" s="537"/>
      <c r="G83" s="537"/>
      <c r="H83" s="537"/>
      <c r="I83" s="537"/>
      <c r="J83" s="537"/>
      <c r="K83" s="537"/>
      <c r="L83" s="537"/>
      <c r="M83" s="538"/>
      <c r="N83" s="565"/>
      <c r="O83" s="565"/>
      <c r="P83" s="559">
        <f>P82</f>
        <v>46105</v>
      </c>
      <c r="Q83" s="559"/>
      <c r="R83" s="559"/>
      <c r="S83" s="559"/>
      <c r="T83" s="559"/>
      <c r="U83" s="560">
        <f>U82</f>
        <v>46106</v>
      </c>
      <c r="V83" s="560"/>
      <c r="W83" s="560"/>
      <c r="X83" s="560"/>
      <c r="Y83" s="560"/>
      <c r="Z83" s="559">
        <f t="shared" ref="Z83" si="69">Z82</f>
        <v>46107</v>
      </c>
      <c r="AA83" s="559"/>
      <c r="AB83" s="559"/>
      <c r="AC83" s="559"/>
      <c r="AD83" s="559"/>
      <c r="AE83" s="560">
        <f t="shared" ref="AE83" si="70">AE82</f>
        <v>46108</v>
      </c>
      <c r="AF83" s="560"/>
      <c r="AG83" s="560"/>
      <c r="AH83" s="560"/>
      <c r="AI83" s="560"/>
      <c r="AJ83" s="561">
        <f t="shared" ref="AJ83" si="71">AJ82</f>
        <v>46109</v>
      </c>
      <c r="AK83" s="562"/>
      <c r="AL83" s="562"/>
      <c r="AM83" s="562"/>
      <c r="AN83" s="563"/>
      <c r="AO83" s="560">
        <f t="shared" ref="AO83" si="72">AO82</f>
        <v>46110</v>
      </c>
      <c r="AP83" s="560"/>
      <c r="AQ83" s="560"/>
      <c r="AR83" s="560"/>
      <c r="AS83" s="560"/>
      <c r="AT83" s="561">
        <f t="shared" ref="AT83" si="73">AT82</f>
        <v>46111</v>
      </c>
      <c r="AU83" s="562"/>
      <c r="AV83" s="562"/>
      <c r="AW83" s="562"/>
      <c r="AX83" s="563"/>
    </row>
    <row r="84" spans="2:50" ht="14.25" customHeight="1">
      <c r="B84" s="525" t="s">
        <v>164</v>
      </c>
      <c r="C84" s="525" t="s">
        <v>159</v>
      </c>
      <c r="D84" s="525"/>
      <c r="E84" s="525" t="s">
        <v>160</v>
      </c>
      <c r="F84" s="525"/>
      <c r="G84" s="525"/>
      <c r="H84" s="525" t="s">
        <v>165</v>
      </c>
      <c r="I84" s="544" t="s">
        <v>379</v>
      </c>
      <c r="J84" s="544"/>
      <c r="K84" s="544"/>
      <c r="L84" s="544" t="s">
        <v>165</v>
      </c>
      <c r="M84" s="544" t="s">
        <v>167</v>
      </c>
      <c r="N84" s="525"/>
      <c r="O84" s="525" t="s">
        <v>166</v>
      </c>
      <c r="P84" s="525" t="s">
        <v>162</v>
      </c>
      <c r="Q84" s="525"/>
      <c r="R84" s="525"/>
      <c r="S84" s="525"/>
      <c r="T84" s="525" t="s">
        <v>165</v>
      </c>
      <c r="U84" s="525" t="s">
        <v>162</v>
      </c>
      <c r="V84" s="525"/>
      <c r="W84" s="525"/>
      <c r="X84" s="525"/>
      <c r="Y84" s="525" t="s">
        <v>165</v>
      </c>
      <c r="Z84" s="525" t="s">
        <v>162</v>
      </c>
      <c r="AA84" s="525"/>
      <c r="AB84" s="525"/>
      <c r="AC84" s="525"/>
      <c r="AD84" s="525" t="s">
        <v>165</v>
      </c>
      <c r="AE84" s="525" t="s">
        <v>162</v>
      </c>
      <c r="AF84" s="525"/>
      <c r="AG84" s="525"/>
      <c r="AH84" s="525"/>
      <c r="AI84" s="525" t="s">
        <v>165</v>
      </c>
      <c r="AJ84" s="525" t="s">
        <v>162</v>
      </c>
      <c r="AK84" s="525"/>
      <c r="AL84" s="525"/>
      <c r="AM84" s="525"/>
      <c r="AN84" s="525" t="s">
        <v>165</v>
      </c>
      <c r="AO84" s="525" t="s">
        <v>162</v>
      </c>
      <c r="AP84" s="525"/>
      <c r="AQ84" s="525"/>
      <c r="AR84" s="525"/>
      <c r="AS84" s="525" t="s">
        <v>165</v>
      </c>
      <c r="AT84" s="525" t="s">
        <v>162</v>
      </c>
      <c r="AU84" s="525"/>
      <c r="AV84" s="525"/>
      <c r="AW84" s="525"/>
      <c r="AX84" s="525" t="s">
        <v>165</v>
      </c>
    </row>
    <row r="85" spans="2:50" ht="14.25" customHeight="1">
      <c r="B85" s="525"/>
      <c r="C85" s="525"/>
      <c r="D85" s="525"/>
      <c r="E85" s="525" t="s">
        <v>380</v>
      </c>
      <c r="F85" s="525"/>
      <c r="G85" s="525"/>
      <c r="H85" s="525"/>
      <c r="I85" s="544" t="s">
        <v>380</v>
      </c>
      <c r="J85" s="544"/>
      <c r="K85" s="544"/>
      <c r="L85" s="544"/>
      <c r="M85" s="544"/>
      <c r="N85" s="525"/>
      <c r="O85" s="525"/>
      <c r="P85" s="525" t="s">
        <v>381</v>
      </c>
      <c r="Q85" s="525"/>
      <c r="R85" s="525"/>
      <c r="S85" s="525"/>
      <c r="T85" s="525"/>
      <c r="U85" s="525" t="s">
        <v>381</v>
      </c>
      <c r="V85" s="525"/>
      <c r="W85" s="525"/>
      <c r="X85" s="525"/>
      <c r="Y85" s="525"/>
      <c r="Z85" s="525" t="s">
        <v>381</v>
      </c>
      <c r="AA85" s="525"/>
      <c r="AB85" s="525"/>
      <c r="AC85" s="525"/>
      <c r="AD85" s="525"/>
      <c r="AE85" s="525" t="s">
        <v>381</v>
      </c>
      <c r="AF85" s="525"/>
      <c r="AG85" s="525"/>
      <c r="AH85" s="525"/>
      <c r="AI85" s="525"/>
      <c r="AJ85" s="525" t="s">
        <v>381</v>
      </c>
      <c r="AK85" s="525"/>
      <c r="AL85" s="525"/>
      <c r="AM85" s="525"/>
      <c r="AN85" s="525"/>
      <c r="AO85" s="525" t="s">
        <v>381</v>
      </c>
      <c r="AP85" s="525"/>
      <c r="AQ85" s="525"/>
      <c r="AR85" s="525"/>
      <c r="AS85" s="525"/>
      <c r="AT85" s="525" t="s">
        <v>381</v>
      </c>
      <c r="AU85" s="525"/>
      <c r="AV85" s="525"/>
      <c r="AW85" s="525"/>
      <c r="AX85" s="525"/>
    </row>
    <row r="86" spans="2:50" ht="14.25" customHeight="1">
      <c r="B86" s="525"/>
      <c r="C86" s="525"/>
      <c r="D86" s="525"/>
      <c r="E86" s="182" t="s">
        <v>161</v>
      </c>
      <c r="F86" s="182" t="s">
        <v>382</v>
      </c>
      <c r="G86" s="182" t="s">
        <v>163</v>
      </c>
      <c r="H86" s="525"/>
      <c r="I86" s="183" t="s">
        <v>161</v>
      </c>
      <c r="J86" s="183" t="s">
        <v>382</v>
      </c>
      <c r="K86" s="183" t="s">
        <v>163</v>
      </c>
      <c r="L86" s="544"/>
      <c r="M86" s="544"/>
      <c r="N86" s="525"/>
      <c r="O86" s="525"/>
      <c r="P86" s="182" t="s">
        <v>161</v>
      </c>
      <c r="Q86" s="182" t="s">
        <v>382</v>
      </c>
      <c r="R86" s="182" t="s">
        <v>163</v>
      </c>
      <c r="S86" s="184" t="s">
        <v>167</v>
      </c>
      <c r="T86" s="525"/>
      <c r="U86" s="182" t="s">
        <v>161</v>
      </c>
      <c r="V86" s="182" t="s">
        <v>382</v>
      </c>
      <c r="W86" s="182" t="s">
        <v>163</v>
      </c>
      <c r="X86" s="184" t="s">
        <v>167</v>
      </c>
      <c r="Y86" s="525"/>
      <c r="Z86" s="182" t="s">
        <v>161</v>
      </c>
      <c r="AA86" s="182" t="s">
        <v>382</v>
      </c>
      <c r="AB86" s="182" t="s">
        <v>163</v>
      </c>
      <c r="AC86" s="184" t="s">
        <v>167</v>
      </c>
      <c r="AD86" s="525"/>
      <c r="AE86" s="182" t="s">
        <v>161</v>
      </c>
      <c r="AF86" s="182" t="s">
        <v>382</v>
      </c>
      <c r="AG86" s="182" t="s">
        <v>163</v>
      </c>
      <c r="AH86" s="184" t="s">
        <v>167</v>
      </c>
      <c r="AI86" s="525"/>
      <c r="AJ86" s="182" t="s">
        <v>161</v>
      </c>
      <c r="AK86" s="182" t="s">
        <v>382</v>
      </c>
      <c r="AL86" s="182" t="s">
        <v>163</v>
      </c>
      <c r="AM86" s="184" t="s">
        <v>167</v>
      </c>
      <c r="AN86" s="525"/>
      <c r="AO86" s="182" t="s">
        <v>161</v>
      </c>
      <c r="AP86" s="182" t="s">
        <v>382</v>
      </c>
      <c r="AQ86" s="182" t="s">
        <v>163</v>
      </c>
      <c r="AR86" s="184" t="s">
        <v>167</v>
      </c>
      <c r="AS86" s="525"/>
      <c r="AT86" s="182" t="s">
        <v>161</v>
      </c>
      <c r="AU86" s="182" t="s">
        <v>382</v>
      </c>
      <c r="AV86" s="182" t="s">
        <v>163</v>
      </c>
      <c r="AW86" s="184" t="s">
        <v>167</v>
      </c>
      <c r="AX86" s="525"/>
    </row>
    <row r="87" spans="2:50" ht="14.25" customHeight="1">
      <c r="B87" s="525" t="s">
        <v>384</v>
      </c>
      <c r="C87" s="182">
        <v>1</v>
      </c>
      <c r="D87" s="185"/>
      <c r="E87" s="182"/>
      <c r="F87" s="182"/>
      <c r="G87" s="187"/>
      <c r="H87" s="554"/>
      <c r="I87" s="188"/>
      <c r="J87" s="188"/>
      <c r="K87" s="189"/>
      <c r="L87" s="555" t="str">
        <f>IFERROR(AVERAGE(K87:K101),"-")</f>
        <v>-</v>
      </c>
      <c r="M87" s="188" t="e">
        <f>RANK(K87, K$87:$K$101)</f>
        <v>#N/A</v>
      </c>
      <c r="N87" s="525"/>
      <c r="O87" s="525"/>
      <c r="P87" s="190"/>
      <c r="Q87" s="190"/>
      <c r="R87" s="187"/>
      <c r="S87" s="184"/>
      <c r="T87" s="554"/>
      <c r="U87" s="190"/>
      <c r="V87" s="190"/>
      <c r="W87" s="187"/>
      <c r="X87" s="184"/>
      <c r="Y87" s="554"/>
      <c r="Z87" s="190"/>
      <c r="AA87" s="190"/>
      <c r="AB87" s="187"/>
      <c r="AC87" s="184"/>
      <c r="AD87" s="554"/>
      <c r="AE87" s="190"/>
      <c r="AF87" s="190"/>
      <c r="AG87" s="187"/>
      <c r="AH87" s="184"/>
      <c r="AI87" s="554"/>
      <c r="AJ87" s="190"/>
      <c r="AK87" s="190"/>
      <c r="AL87" s="187"/>
      <c r="AM87" s="184"/>
      <c r="AN87" s="554"/>
      <c r="AO87" s="190"/>
      <c r="AP87" s="190"/>
      <c r="AQ87" s="187"/>
      <c r="AR87" s="184"/>
      <c r="AS87" s="554"/>
      <c r="AT87" s="190"/>
      <c r="AU87" s="190"/>
      <c r="AV87" s="187"/>
      <c r="AW87" s="184"/>
      <c r="AX87" s="554"/>
    </row>
    <row r="88" spans="2:50" ht="14.25" customHeight="1">
      <c r="B88" s="525"/>
      <c r="C88" s="182">
        <v>2</v>
      </c>
      <c r="D88" s="185"/>
      <c r="E88" s="182"/>
      <c r="F88" s="182"/>
      <c r="G88" s="187"/>
      <c r="H88" s="554"/>
      <c r="I88" s="188"/>
      <c r="J88" s="188"/>
      <c r="K88" s="189"/>
      <c r="L88" s="555"/>
      <c r="M88" s="188" t="e">
        <f>RANK(K88, K$87:$K$101)</f>
        <v>#N/A</v>
      </c>
      <c r="N88" s="525"/>
      <c r="O88" s="525"/>
      <c r="P88" s="190"/>
      <c r="Q88" s="190"/>
      <c r="R88" s="187"/>
      <c r="S88" s="184"/>
      <c r="T88" s="554"/>
      <c r="U88" s="190"/>
      <c r="V88" s="190"/>
      <c r="W88" s="187"/>
      <c r="X88" s="184"/>
      <c r="Y88" s="554"/>
      <c r="Z88" s="190"/>
      <c r="AA88" s="190"/>
      <c r="AB88" s="187"/>
      <c r="AC88" s="184"/>
      <c r="AD88" s="554"/>
      <c r="AE88" s="190"/>
      <c r="AF88" s="190"/>
      <c r="AG88" s="187"/>
      <c r="AH88" s="184"/>
      <c r="AI88" s="554"/>
      <c r="AJ88" s="190"/>
      <c r="AK88" s="190"/>
      <c r="AL88" s="187"/>
      <c r="AM88" s="184"/>
      <c r="AN88" s="554"/>
      <c r="AO88" s="190"/>
      <c r="AP88" s="190"/>
      <c r="AQ88" s="187"/>
      <c r="AR88" s="184"/>
      <c r="AS88" s="554"/>
      <c r="AT88" s="190"/>
      <c r="AU88" s="190"/>
      <c r="AV88" s="187"/>
      <c r="AW88" s="184"/>
      <c r="AX88" s="554"/>
    </row>
    <row r="89" spans="2:50" ht="14.25" customHeight="1">
      <c r="B89" s="525"/>
      <c r="C89" s="182">
        <v>3</v>
      </c>
      <c r="D89" s="185"/>
      <c r="E89" s="182"/>
      <c r="F89" s="182"/>
      <c r="G89" s="187"/>
      <c r="H89" s="554"/>
      <c r="I89" s="188"/>
      <c r="J89" s="188"/>
      <c r="K89" s="189"/>
      <c r="L89" s="555"/>
      <c r="M89" s="188" t="e">
        <f>RANK(K89, K$87:$K$101)</f>
        <v>#N/A</v>
      </c>
      <c r="N89" s="525"/>
      <c r="O89" s="525"/>
      <c r="P89" s="190"/>
      <c r="Q89" s="190"/>
      <c r="R89" s="187"/>
      <c r="S89" s="184"/>
      <c r="T89" s="554"/>
      <c r="U89" s="190"/>
      <c r="V89" s="190"/>
      <c r="W89" s="187"/>
      <c r="X89" s="184"/>
      <c r="Y89" s="554"/>
      <c r="Z89" s="190"/>
      <c r="AA89" s="190"/>
      <c r="AB89" s="187"/>
      <c r="AC89" s="184"/>
      <c r="AD89" s="554"/>
      <c r="AE89" s="190"/>
      <c r="AF89" s="190"/>
      <c r="AG89" s="187"/>
      <c r="AH89" s="184"/>
      <c r="AI89" s="554"/>
      <c r="AJ89" s="190"/>
      <c r="AK89" s="190"/>
      <c r="AL89" s="187"/>
      <c r="AM89" s="184"/>
      <c r="AN89" s="554"/>
      <c r="AO89" s="190"/>
      <c r="AP89" s="190"/>
      <c r="AQ89" s="187"/>
      <c r="AR89" s="184"/>
      <c r="AS89" s="554"/>
      <c r="AT89" s="190"/>
      <c r="AU89" s="190"/>
      <c r="AV89" s="187"/>
      <c r="AW89" s="184"/>
      <c r="AX89" s="554"/>
    </row>
    <row r="90" spans="2:50" ht="14.25" customHeight="1">
      <c r="B90" s="525"/>
      <c r="C90" s="182">
        <v>4</v>
      </c>
      <c r="D90" s="185"/>
      <c r="E90" s="182"/>
      <c r="F90" s="182"/>
      <c r="G90" s="187"/>
      <c r="H90" s="554"/>
      <c r="I90" s="188"/>
      <c r="J90" s="188"/>
      <c r="K90" s="189"/>
      <c r="L90" s="555"/>
      <c r="M90" s="188" t="e">
        <f>RANK(K90, K$87:$K$101)</f>
        <v>#N/A</v>
      </c>
      <c r="N90" s="525"/>
      <c r="O90" s="525"/>
      <c r="P90" s="190"/>
      <c r="Q90" s="190"/>
      <c r="R90" s="187"/>
      <c r="S90" s="184"/>
      <c r="T90" s="554"/>
      <c r="U90" s="190"/>
      <c r="V90" s="190"/>
      <c r="W90" s="187"/>
      <c r="X90" s="184"/>
      <c r="Y90" s="554"/>
      <c r="Z90" s="190"/>
      <c r="AA90" s="190"/>
      <c r="AB90" s="187"/>
      <c r="AC90" s="184"/>
      <c r="AD90" s="554"/>
      <c r="AE90" s="190"/>
      <c r="AF90" s="190"/>
      <c r="AG90" s="187"/>
      <c r="AH90" s="184"/>
      <c r="AI90" s="554"/>
      <c r="AJ90" s="190"/>
      <c r="AK90" s="190"/>
      <c r="AL90" s="187"/>
      <c r="AM90" s="184"/>
      <c r="AN90" s="554"/>
      <c r="AO90" s="190"/>
      <c r="AP90" s="190"/>
      <c r="AQ90" s="187"/>
      <c r="AR90" s="184"/>
      <c r="AS90" s="554"/>
      <c r="AT90" s="190"/>
      <c r="AU90" s="190"/>
      <c r="AV90" s="187"/>
      <c r="AW90" s="184"/>
      <c r="AX90" s="554"/>
    </row>
    <row r="91" spans="2:50" ht="14.25" customHeight="1">
      <c r="B91" s="525"/>
      <c r="C91" s="182">
        <v>5</v>
      </c>
      <c r="D91" s="185"/>
      <c r="E91" s="182"/>
      <c r="F91" s="182"/>
      <c r="G91" s="187"/>
      <c r="H91" s="554"/>
      <c r="I91" s="188"/>
      <c r="J91" s="188"/>
      <c r="K91" s="189"/>
      <c r="L91" s="555"/>
      <c r="M91" s="188" t="e">
        <f>RANK(K91, K$87:$K$101)</f>
        <v>#N/A</v>
      </c>
      <c r="N91" s="525"/>
      <c r="O91" s="525"/>
      <c r="P91" s="190"/>
      <c r="Q91" s="190"/>
      <c r="R91" s="187"/>
      <c r="S91" s="184"/>
      <c r="T91" s="554"/>
      <c r="U91" s="190"/>
      <c r="V91" s="190"/>
      <c r="W91" s="187"/>
      <c r="X91" s="184"/>
      <c r="Y91" s="554"/>
      <c r="Z91" s="190"/>
      <c r="AA91" s="190"/>
      <c r="AB91" s="187"/>
      <c r="AC91" s="184"/>
      <c r="AD91" s="554"/>
      <c r="AE91" s="190"/>
      <c r="AF91" s="190"/>
      <c r="AG91" s="187"/>
      <c r="AH91" s="184"/>
      <c r="AI91" s="554"/>
      <c r="AJ91" s="190"/>
      <c r="AK91" s="190"/>
      <c r="AL91" s="187"/>
      <c r="AM91" s="184"/>
      <c r="AN91" s="554"/>
      <c r="AO91" s="190"/>
      <c r="AP91" s="190"/>
      <c r="AQ91" s="187"/>
      <c r="AR91" s="184"/>
      <c r="AS91" s="554"/>
      <c r="AT91" s="190"/>
      <c r="AU91" s="190"/>
      <c r="AV91" s="187"/>
      <c r="AW91" s="184"/>
      <c r="AX91" s="554"/>
    </row>
    <row r="92" spans="2:50" ht="14.25" customHeight="1">
      <c r="B92" s="525"/>
      <c r="C92" s="182">
        <v>6</v>
      </c>
      <c r="D92" s="185"/>
      <c r="E92" s="182"/>
      <c r="F92" s="182"/>
      <c r="G92" s="187"/>
      <c r="H92" s="554"/>
      <c r="I92" s="188"/>
      <c r="J92" s="188"/>
      <c r="K92" s="189"/>
      <c r="L92" s="555"/>
      <c r="M92" s="188" t="e">
        <f>RANK(K92, K$87:$K$101)</f>
        <v>#N/A</v>
      </c>
      <c r="N92" s="525"/>
      <c r="O92" s="525"/>
      <c r="P92" s="190"/>
      <c r="Q92" s="190"/>
      <c r="R92" s="187"/>
      <c r="S92" s="184"/>
      <c r="T92" s="554"/>
      <c r="U92" s="190"/>
      <c r="V92" s="190"/>
      <c r="W92" s="187"/>
      <c r="X92" s="184"/>
      <c r="Y92" s="554"/>
      <c r="Z92" s="190"/>
      <c r="AA92" s="190"/>
      <c r="AB92" s="187"/>
      <c r="AC92" s="184"/>
      <c r="AD92" s="554"/>
      <c r="AE92" s="190"/>
      <c r="AF92" s="190"/>
      <c r="AG92" s="187"/>
      <c r="AH92" s="184"/>
      <c r="AI92" s="554"/>
      <c r="AJ92" s="190"/>
      <c r="AK92" s="190"/>
      <c r="AL92" s="187"/>
      <c r="AM92" s="184"/>
      <c r="AN92" s="554"/>
      <c r="AO92" s="190"/>
      <c r="AP92" s="190"/>
      <c r="AQ92" s="187"/>
      <c r="AR92" s="184"/>
      <c r="AS92" s="554"/>
      <c r="AT92" s="190"/>
      <c r="AU92" s="190"/>
      <c r="AV92" s="187"/>
      <c r="AW92" s="184"/>
      <c r="AX92" s="554"/>
    </row>
    <row r="93" spans="2:50" ht="14.25" customHeight="1">
      <c r="B93" s="525"/>
      <c r="C93" s="182">
        <v>7</v>
      </c>
      <c r="D93" s="185"/>
      <c r="E93" s="182"/>
      <c r="F93" s="182"/>
      <c r="G93" s="187"/>
      <c r="H93" s="554"/>
      <c r="I93" s="188"/>
      <c r="J93" s="188"/>
      <c r="K93" s="189"/>
      <c r="L93" s="555"/>
      <c r="M93" s="188" t="e">
        <f>RANK(K93, K$87:$K$101)</f>
        <v>#N/A</v>
      </c>
      <c r="N93" s="525"/>
      <c r="O93" s="525"/>
      <c r="P93" s="190"/>
      <c r="Q93" s="190"/>
      <c r="R93" s="187"/>
      <c r="S93" s="184"/>
      <c r="T93" s="554"/>
      <c r="U93" s="190"/>
      <c r="V93" s="190"/>
      <c r="W93" s="187"/>
      <c r="X93" s="184"/>
      <c r="Y93" s="554"/>
      <c r="Z93" s="190"/>
      <c r="AA93" s="190"/>
      <c r="AB93" s="187"/>
      <c r="AC93" s="184"/>
      <c r="AD93" s="554"/>
      <c r="AE93" s="190"/>
      <c r="AF93" s="190"/>
      <c r="AG93" s="187"/>
      <c r="AH93" s="184"/>
      <c r="AI93" s="554"/>
      <c r="AJ93" s="190"/>
      <c r="AK93" s="190"/>
      <c r="AL93" s="187"/>
      <c r="AM93" s="184"/>
      <c r="AN93" s="554"/>
      <c r="AO93" s="190"/>
      <c r="AP93" s="190"/>
      <c r="AQ93" s="187"/>
      <c r="AR93" s="184"/>
      <c r="AS93" s="554"/>
      <c r="AT93" s="190"/>
      <c r="AU93" s="190"/>
      <c r="AV93" s="187"/>
      <c r="AW93" s="184"/>
      <c r="AX93" s="554"/>
    </row>
    <row r="94" spans="2:50" ht="14.25" customHeight="1">
      <c r="B94" s="525"/>
      <c r="C94" s="182">
        <v>8</v>
      </c>
      <c r="D94" s="185"/>
      <c r="E94" s="182"/>
      <c r="F94" s="182"/>
      <c r="G94" s="187"/>
      <c r="H94" s="554"/>
      <c r="I94" s="188"/>
      <c r="J94" s="188"/>
      <c r="K94" s="189"/>
      <c r="L94" s="555"/>
      <c r="M94" s="188" t="e">
        <f>RANK(K94, K$87:$K$101)</f>
        <v>#N/A</v>
      </c>
      <c r="N94" s="525"/>
      <c r="O94" s="525"/>
      <c r="P94" s="190"/>
      <c r="Q94" s="190"/>
      <c r="R94" s="187"/>
      <c r="S94" s="184"/>
      <c r="T94" s="554"/>
      <c r="U94" s="190"/>
      <c r="V94" s="190"/>
      <c r="W94" s="187"/>
      <c r="X94" s="184"/>
      <c r="Y94" s="554"/>
      <c r="Z94" s="190"/>
      <c r="AA94" s="190"/>
      <c r="AB94" s="187"/>
      <c r="AC94" s="184"/>
      <c r="AD94" s="554"/>
      <c r="AE94" s="190"/>
      <c r="AF94" s="190"/>
      <c r="AG94" s="187"/>
      <c r="AH94" s="184"/>
      <c r="AI94" s="554"/>
      <c r="AJ94" s="190"/>
      <c r="AK94" s="190"/>
      <c r="AL94" s="187"/>
      <c r="AM94" s="184"/>
      <c r="AN94" s="554"/>
      <c r="AO94" s="190"/>
      <c r="AP94" s="190"/>
      <c r="AQ94" s="187"/>
      <c r="AR94" s="184"/>
      <c r="AS94" s="554"/>
      <c r="AT94" s="190"/>
      <c r="AU94" s="190"/>
      <c r="AV94" s="187"/>
      <c r="AW94" s="184"/>
      <c r="AX94" s="554"/>
    </row>
    <row r="95" spans="2:50" ht="14.25" customHeight="1">
      <c r="B95" s="525"/>
      <c r="C95" s="182">
        <v>9</v>
      </c>
      <c r="D95" s="185"/>
      <c r="E95" s="182"/>
      <c r="F95" s="182"/>
      <c r="G95" s="187"/>
      <c r="H95" s="554"/>
      <c r="I95" s="188"/>
      <c r="J95" s="188"/>
      <c r="K95" s="189"/>
      <c r="L95" s="555"/>
      <c r="M95" s="188"/>
      <c r="N95" s="525"/>
      <c r="O95" s="525"/>
      <c r="P95" s="190"/>
      <c r="Q95" s="190"/>
      <c r="R95" s="187"/>
      <c r="S95" s="184"/>
      <c r="T95" s="554"/>
      <c r="U95" s="190"/>
      <c r="V95" s="190"/>
      <c r="W95" s="187"/>
      <c r="X95" s="184"/>
      <c r="Y95" s="554"/>
      <c r="Z95" s="190"/>
      <c r="AA95" s="190"/>
      <c r="AB95" s="187"/>
      <c r="AC95" s="184"/>
      <c r="AD95" s="554"/>
      <c r="AE95" s="190"/>
      <c r="AF95" s="190"/>
      <c r="AG95" s="187"/>
      <c r="AH95" s="184"/>
      <c r="AI95" s="554"/>
      <c r="AJ95" s="190"/>
      <c r="AK95" s="190"/>
      <c r="AL95" s="187"/>
      <c r="AM95" s="184"/>
      <c r="AN95" s="554"/>
      <c r="AO95" s="190"/>
      <c r="AP95" s="190"/>
      <c r="AQ95" s="187"/>
      <c r="AR95" s="184"/>
      <c r="AS95" s="554"/>
      <c r="AT95" s="190"/>
      <c r="AU95" s="190"/>
      <c r="AV95" s="187"/>
      <c r="AW95" s="184"/>
      <c r="AX95" s="554"/>
    </row>
    <row r="96" spans="2:50" ht="14.25" customHeight="1">
      <c r="B96" s="525"/>
      <c r="C96" s="182">
        <v>10</v>
      </c>
      <c r="D96" s="185"/>
      <c r="E96" s="182"/>
      <c r="F96" s="182"/>
      <c r="G96" s="187"/>
      <c r="H96" s="554"/>
      <c r="I96" s="188"/>
      <c r="J96" s="188"/>
      <c r="K96" s="189"/>
      <c r="L96" s="555"/>
      <c r="M96" s="188"/>
      <c r="N96" s="525"/>
      <c r="O96" s="525"/>
      <c r="P96" s="190"/>
      <c r="Q96" s="190"/>
      <c r="R96" s="187"/>
      <c r="S96" s="184"/>
      <c r="T96" s="554"/>
      <c r="U96" s="190"/>
      <c r="V96" s="190"/>
      <c r="W96" s="187"/>
      <c r="X96" s="184"/>
      <c r="Y96" s="554"/>
      <c r="Z96" s="190"/>
      <c r="AA96" s="190"/>
      <c r="AB96" s="187"/>
      <c r="AC96" s="184"/>
      <c r="AD96" s="554"/>
      <c r="AE96" s="190"/>
      <c r="AF96" s="190"/>
      <c r="AG96" s="187"/>
      <c r="AH96" s="184"/>
      <c r="AI96" s="554"/>
      <c r="AJ96" s="190"/>
      <c r="AK96" s="190"/>
      <c r="AL96" s="187"/>
      <c r="AM96" s="184"/>
      <c r="AN96" s="554"/>
      <c r="AO96" s="190"/>
      <c r="AP96" s="190"/>
      <c r="AQ96" s="187"/>
      <c r="AR96" s="184"/>
      <c r="AS96" s="554"/>
      <c r="AT96" s="190"/>
      <c r="AU96" s="190"/>
      <c r="AV96" s="187"/>
      <c r="AW96" s="184"/>
      <c r="AX96" s="554"/>
    </row>
    <row r="97" spans="2:50" ht="14.25" customHeight="1">
      <c r="B97" s="525"/>
      <c r="C97" s="182">
        <v>11</v>
      </c>
      <c r="D97" s="185"/>
      <c r="E97" s="182"/>
      <c r="F97" s="182"/>
      <c r="G97" s="187"/>
      <c r="H97" s="554"/>
      <c r="I97" s="188"/>
      <c r="J97" s="188"/>
      <c r="K97" s="189"/>
      <c r="L97" s="555"/>
      <c r="M97" s="188"/>
      <c r="N97" s="525"/>
      <c r="O97" s="525"/>
      <c r="P97" s="190"/>
      <c r="Q97" s="190"/>
      <c r="R97" s="187"/>
      <c r="S97" s="184"/>
      <c r="T97" s="554"/>
      <c r="U97" s="190"/>
      <c r="V97" s="190"/>
      <c r="W97" s="187"/>
      <c r="X97" s="184"/>
      <c r="Y97" s="554"/>
      <c r="Z97" s="190"/>
      <c r="AA97" s="190"/>
      <c r="AB97" s="187"/>
      <c r="AC97" s="184"/>
      <c r="AD97" s="554"/>
      <c r="AE97" s="190"/>
      <c r="AF97" s="190"/>
      <c r="AG97" s="187"/>
      <c r="AH97" s="184"/>
      <c r="AI97" s="554"/>
      <c r="AJ97" s="190"/>
      <c r="AK97" s="190"/>
      <c r="AL97" s="187"/>
      <c r="AM97" s="184"/>
      <c r="AN97" s="554"/>
      <c r="AO97" s="190"/>
      <c r="AP97" s="190"/>
      <c r="AQ97" s="187"/>
      <c r="AR97" s="184"/>
      <c r="AS97" s="554"/>
      <c r="AT97" s="190"/>
      <c r="AU97" s="190"/>
      <c r="AV97" s="187"/>
      <c r="AW97" s="184"/>
      <c r="AX97" s="554"/>
    </row>
    <row r="98" spans="2:50" ht="14.25" customHeight="1">
      <c r="B98" s="525"/>
      <c r="C98" s="182">
        <v>12</v>
      </c>
      <c r="D98" s="185"/>
      <c r="E98" s="182"/>
      <c r="F98" s="182"/>
      <c r="G98" s="187"/>
      <c r="H98" s="554"/>
      <c r="I98" s="188"/>
      <c r="J98" s="188"/>
      <c r="K98" s="189"/>
      <c r="L98" s="555"/>
      <c r="M98" s="188"/>
      <c r="N98" s="525"/>
      <c r="O98" s="525"/>
      <c r="P98" s="190"/>
      <c r="Q98" s="190"/>
      <c r="R98" s="187"/>
      <c r="S98" s="184"/>
      <c r="T98" s="554"/>
      <c r="U98" s="190"/>
      <c r="V98" s="190"/>
      <c r="W98" s="187"/>
      <c r="X98" s="184"/>
      <c r="Y98" s="554"/>
      <c r="Z98" s="190"/>
      <c r="AA98" s="190"/>
      <c r="AB98" s="187"/>
      <c r="AC98" s="184"/>
      <c r="AD98" s="554"/>
      <c r="AE98" s="190"/>
      <c r="AF98" s="190"/>
      <c r="AG98" s="187"/>
      <c r="AH98" s="184"/>
      <c r="AI98" s="554"/>
      <c r="AJ98" s="190"/>
      <c r="AK98" s="190"/>
      <c r="AL98" s="187"/>
      <c r="AM98" s="184"/>
      <c r="AN98" s="554"/>
      <c r="AO98" s="190"/>
      <c r="AP98" s="190"/>
      <c r="AQ98" s="187"/>
      <c r="AR98" s="184"/>
      <c r="AS98" s="554"/>
      <c r="AT98" s="190"/>
      <c r="AU98" s="190"/>
      <c r="AV98" s="187"/>
      <c r="AW98" s="184"/>
      <c r="AX98" s="554"/>
    </row>
    <row r="99" spans="2:50" ht="14.25" customHeight="1">
      <c r="B99" s="525"/>
      <c r="C99" s="182">
        <v>13</v>
      </c>
      <c r="D99" s="185"/>
      <c r="E99" s="182"/>
      <c r="F99" s="182"/>
      <c r="G99" s="187"/>
      <c r="H99" s="554"/>
      <c r="I99" s="188"/>
      <c r="J99" s="188"/>
      <c r="K99" s="189"/>
      <c r="L99" s="555"/>
      <c r="M99" s="188"/>
      <c r="N99" s="525"/>
      <c r="O99" s="525"/>
      <c r="P99" s="190"/>
      <c r="Q99" s="190"/>
      <c r="R99" s="187"/>
      <c r="S99" s="184"/>
      <c r="T99" s="554"/>
      <c r="U99" s="190"/>
      <c r="V99" s="190"/>
      <c r="W99" s="187"/>
      <c r="X99" s="184"/>
      <c r="Y99" s="554"/>
      <c r="Z99" s="190"/>
      <c r="AA99" s="190"/>
      <c r="AB99" s="187"/>
      <c r="AC99" s="184"/>
      <c r="AD99" s="554"/>
      <c r="AE99" s="190"/>
      <c r="AF99" s="190"/>
      <c r="AG99" s="187"/>
      <c r="AH99" s="184"/>
      <c r="AI99" s="554"/>
      <c r="AJ99" s="190"/>
      <c r="AK99" s="190"/>
      <c r="AL99" s="187"/>
      <c r="AM99" s="184"/>
      <c r="AN99" s="554"/>
      <c r="AO99" s="190"/>
      <c r="AP99" s="190"/>
      <c r="AQ99" s="187"/>
      <c r="AR99" s="184"/>
      <c r="AS99" s="554"/>
      <c r="AT99" s="190"/>
      <c r="AU99" s="190"/>
      <c r="AV99" s="187"/>
      <c r="AW99" s="184"/>
      <c r="AX99" s="554"/>
    </row>
    <row r="100" spans="2:50" ht="14.25" customHeight="1">
      <c r="B100" s="525"/>
      <c r="C100" s="182">
        <v>14</v>
      </c>
      <c r="D100" s="185"/>
      <c r="E100" s="182"/>
      <c r="F100" s="182"/>
      <c r="G100" s="187"/>
      <c r="H100" s="554"/>
      <c r="I100" s="188"/>
      <c r="J100" s="188"/>
      <c r="K100" s="189"/>
      <c r="L100" s="555"/>
      <c r="M100" s="188"/>
      <c r="N100" s="525"/>
      <c r="O100" s="525"/>
      <c r="P100" s="190"/>
      <c r="Q100" s="190"/>
      <c r="R100" s="187"/>
      <c r="S100" s="184"/>
      <c r="T100" s="554"/>
      <c r="U100" s="190"/>
      <c r="V100" s="190"/>
      <c r="W100" s="187"/>
      <c r="X100" s="184"/>
      <c r="Y100" s="554"/>
      <c r="Z100" s="190"/>
      <c r="AA100" s="190"/>
      <c r="AB100" s="187"/>
      <c r="AC100" s="184"/>
      <c r="AD100" s="554"/>
      <c r="AE100" s="190"/>
      <c r="AF100" s="190"/>
      <c r="AG100" s="187"/>
      <c r="AH100" s="184"/>
      <c r="AI100" s="554"/>
      <c r="AJ100" s="190"/>
      <c r="AK100" s="190"/>
      <c r="AL100" s="187"/>
      <c r="AM100" s="184"/>
      <c r="AN100" s="554"/>
      <c r="AO100" s="190"/>
      <c r="AP100" s="190"/>
      <c r="AQ100" s="187"/>
      <c r="AR100" s="184"/>
      <c r="AS100" s="554"/>
      <c r="AT100" s="190"/>
      <c r="AU100" s="190"/>
      <c r="AV100" s="187"/>
      <c r="AW100" s="184"/>
      <c r="AX100" s="554"/>
    </row>
    <row r="101" spans="2:50" ht="14.25" customHeight="1">
      <c r="B101" s="525"/>
      <c r="C101" s="182">
        <v>15</v>
      </c>
      <c r="D101" s="185"/>
      <c r="E101" s="182"/>
      <c r="F101" s="182"/>
      <c r="G101" s="187"/>
      <c r="H101" s="554"/>
      <c r="I101" s="188"/>
      <c r="J101" s="188"/>
      <c r="K101" s="189"/>
      <c r="L101" s="555"/>
      <c r="M101" s="188"/>
      <c r="N101" s="525"/>
      <c r="O101" s="525"/>
      <c r="P101" s="190"/>
      <c r="Q101" s="190"/>
      <c r="R101" s="187"/>
      <c r="S101" s="184"/>
      <c r="T101" s="554"/>
      <c r="U101" s="190"/>
      <c r="V101" s="190"/>
      <c r="W101" s="187"/>
      <c r="X101" s="184"/>
      <c r="Y101" s="554"/>
      <c r="Z101" s="190"/>
      <c r="AA101" s="190"/>
      <c r="AB101" s="187"/>
      <c r="AC101" s="184"/>
      <c r="AD101" s="554"/>
      <c r="AE101" s="190"/>
      <c r="AF101" s="190"/>
      <c r="AG101" s="187"/>
      <c r="AH101" s="184"/>
      <c r="AI101" s="554"/>
      <c r="AJ101" s="190"/>
      <c r="AK101" s="190"/>
      <c r="AL101" s="187"/>
      <c r="AM101" s="184"/>
      <c r="AN101" s="554"/>
      <c r="AO101" s="190"/>
      <c r="AP101" s="190"/>
      <c r="AQ101" s="187"/>
      <c r="AR101" s="184"/>
      <c r="AS101" s="554"/>
      <c r="AT101" s="190"/>
      <c r="AU101" s="190"/>
      <c r="AV101" s="187"/>
      <c r="AW101" s="184"/>
      <c r="AX101" s="554"/>
    </row>
    <row r="102" spans="2:50" ht="14.25" customHeight="1" collapsed="1">
      <c r="B102" s="534" t="s">
        <v>650</v>
      </c>
      <c r="C102" s="535"/>
      <c r="D102" s="535"/>
      <c r="E102" s="535"/>
      <c r="F102" s="535"/>
      <c r="G102" s="535"/>
      <c r="H102" s="535"/>
      <c r="I102" s="535"/>
      <c r="J102" s="535"/>
      <c r="K102" s="535"/>
      <c r="L102" s="535"/>
      <c r="M102" s="536"/>
      <c r="N102" s="564" t="s">
        <v>378</v>
      </c>
      <c r="O102" s="564" t="s">
        <v>105</v>
      </c>
      <c r="P102" s="566">
        <f>AT82+1</f>
        <v>46112</v>
      </c>
      <c r="Q102" s="567"/>
      <c r="R102" s="567"/>
      <c r="S102" s="567"/>
      <c r="T102" s="567"/>
      <c r="U102" s="568">
        <f>P102+1</f>
        <v>46113</v>
      </c>
      <c r="V102" s="569"/>
      <c r="W102" s="569"/>
      <c r="X102" s="569"/>
      <c r="Y102" s="569"/>
      <c r="Z102" s="566">
        <f t="shared" ref="Z102" si="74">U102+1</f>
        <v>46114</v>
      </c>
      <c r="AA102" s="567"/>
      <c r="AB102" s="567"/>
      <c r="AC102" s="567"/>
      <c r="AD102" s="567"/>
      <c r="AE102" s="568">
        <f t="shared" ref="AE102" si="75">Z102+1</f>
        <v>46115</v>
      </c>
      <c r="AF102" s="569"/>
      <c r="AG102" s="569"/>
      <c r="AH102" s="569"/>
      <c r="AI102" s="569"/>
      <c r="AJ102" s="556">
        <f t="shared" ref="AJ102" si="76">AE102+1</f>
        <v>46116</v>
      </c>
      <c r="AK102" s="557"/>
      <c r="AL102" s="557"/>
      <c r="AM102" s="557"/>
      <c r="AN102" s="558"/>
      <c r="AO102" s="568">
        <f t="shared" ref="AO102" si="77">AJ102+1</f>
        <v>46117</v>
      </c>
      <c r="AP102" s="569"/>
      <c r="AQ102" s="569"/>
      <c r="AR102" s="569"/>
      <c r="AS102" s="569"/>
      <c r="AT102" s="556">
        <f t="shared" ref="AT102" si="78">AO102+1</f>
        <v>46118</v>
      </c>
      <c r="AU102" s="557"/>
      <c r="AV102" s="557"/>
      <c r="AW102" s="557"/>
      <c r="AX102" s="558"/>
    </row>
    <row r="103" spans="2:50" ht="14.25" customHeight="1">
      <c r="B103" s="537"/>
      <c r="C103" s="537"/>
      <c r="D103" s="537"/>
      <c r="E103" s="537"/>
      <c r="F103" s="537"/>
      <c r="G103" s="537"/>
      <c r="H103" s="537"/>
      <c r="I103" s="537"/>
      <c r="J103" s="537"/>
      <c r="K103" s="537"/>
      <c r="L103" s="537"/>
      <c r="M103" s="538"/>
      <c r="N103" s="565"/>
      <c r="O103" s="565"/>
      <c r="P103" s="559">
        <f>P102</f>
        <v>46112</v>
      </c>
      <c r="Q103" s="559"/>
      <c r="R103" s="559"/>
      <c r="S103" s="559"/>
      <c r="T103" s="559"/>
      <c r="U103" s="560">
        <f>U102</f>
        <v>46113</v>
      </c>
      <c r="V103" s="560"/>
      <c r="W103" s="560"/>
      <c r="X103" s="560"/>
      <c r="Y103" s="560"/>
      <c r="Z103" s="559">
        <f t="shared" ref="Z103" si="79">Z102</f>
        <v>46114</v>
      </c>
      <c r="AA103" s="559"/>
      <c r="AB103" s="559"/>
      <c r="AC103" s="559"/>
      <c r="AD103" s="559"/>
      <c r="AE103" s="560">
        <f t="shared" ref="AE103" si="80">AE102</f>
        <v>46115</v>
      </c>
      <c r="AF103" s="560"/>
      <c r="AG103" s="560"/>
      <c r="AH103" s="560"/>
      <c r="AI103" s="560"/>
      <c r="AJ103" s="561">
        <f t="shared" ref="AJ103" si="81">AJ102</f>
        <v>46116</v>
      </c>
      <c r="AK103" s="562"/>
      <c r="AL103" s="562"/>
      <c r="AM103" s="562"/>
      <c r="AN103" s="563"/>
      <c r="AO103" s="560">
        <f t="shared" ref="AO103" si="82">AO102</f>
        <v>46117</v>
      </c>
      <c r="AP103" s="560"/>
      <c r="AQ103" s="560"/>
      <c r="AR103" s="560"/>
      <c r="AS103" s="560"/>
      <c r="AT103" s="561">
        <f t="shared" ref="AT103" si="83">AT102</f>
        <v>46118</v>
      </c>
      <c r="AU103" s="562"/>
      <c r="AV103" s="562"/>
      <c r="AW103" s="562"/>
      <c r="AX103" s="563"/>
    </row>
    <row r="104" spans="2:50" ht="14.25" customHeight="1">
      <c r="B104" s="525" t="s">
        <v>164</v>
      </c>
      <c r="C104" s="525" t="s">
        <v>159</v>
      </c>
      <c r="D104" s="525"/>
      <c r="E104" s="525" t="s">
        <v>160</v>
      </c>
      <c r="F104" s="525"/>
      <c r="G104" s="525"/>
      <c r="H104" s="525" t="s">
        <v>165</v>
      </c>
      <c r="I104" s="544" t="s">
        <v>379</v>
      </c>
      <c r="J104" s="544"/>
      <c r="K104" s="544"/>
      <c r="L104" s="544" t="s">
        <v>165</v>
      </c>
      <c r="M104" s="544" t="s">
        <v>167</v>
      </c>
      <c r="N104" s="525"/>
      <c r="O104" s="525" t="s">
        <v>166</v>
      </c>
      <c r="P104" s="525" t="s">
        <v>162</v>
      </c>
      <c r="Q104" s="525"/>
      <c r="R104" s="525"/>
      <c r="S104" s="525"/>
      <c r="T104" s="525" t="s">
        <v>165</v>
      </c>
      <c r="U104" s="525" t="s">
        <v>162</v>
      </c>
      <c r="V104" s="525"/>
      <c r="W104" s="525"/>
      <c r="X104" s="525"/>
      <c r="Y104" s="525" t="s">
        <v>165</v>
      </c>
      <c r="Z104" s="525" t="s">
        <v>162</v>
      </c>
      <c r="AA104" s="525"/>
      <c r="AB104" s="525"/>
      <c r="AC104" s="525"/>
      <c r="AD104" s="525" t="s">
        <v>165</v>
      </c>
      <c r="AE104" s="525" t="s">
        <v>162</v>
      </c>
      <c r="AF104" s="525"/>
      <c r="AG104" s="525"/>
      <c r="AH104" s="525"/>
      <c r="AI104" s="525" t="s">
        <v>165</v>
      </c>
      <c r="AJ104" s="525" t="s">
        <v>162</v>
      </c>
      <c r="AK104" s="525"/>
      <c r="AL104" s="525"/>
      <c r="AM104" s="525"/>
      <c r="AN104" s="525" t="s">
        <v>165</v>
      </c>
      <c r="AO104" s="525" t="s">
        <v>162</v>
      </c>
      <c r="AP104" s="525"/>
      <c r="AQ104" s="525"/>
      <c r="AR104" s="525"/>
      <c r="AS104" s="525" t="s">
        <v>165</v>
      </c>
      <c r="AT104" s="525" t="s">
        <v>162</v>
      </c>
      <c r="AU104" s="525"/>
      <c r="AV104" s="525"/>
      <c r="AW104" s="525"/>
      <c r="AX104" s="525" t="s">
        <v>165</v>
      </c>
    </row>
    <row r="105" spans="2:50" ht="14.25" customHeight="1">
      <c r="B105" s="525"/>
      <c r="C105" s="525"/>
      <c r="D105" s="525"/>
      <c r="E105" s="525" t="s">
        <v>380</v>
      </c>
      <c r="F105" s="525"/>
      <c r="G105" s="525"/>
      <c r="H105" s="525"/>
      <c r="I105" s="544" t="s">
        <v>380</v>
      </c>
      <c r="J105" s="544"/>
      <c r="K105" s="544"/>
      <c r="L105" s="544"/>
      <c r="M105" s="544"/>
      <c r="N105" s="525"/>
      <c r="O105" s="525"/>
      <c r="P105" s="525" t="s">
        <v>381</v>
      </c>
      <c r="Q105" s="525"/>
      <c r="R105" s="525"/>
      <c r="S105" s="525"/>
      <c r="T105" s="525"/>
      <c r="U105" s="525" t="s">
        <v>381</v>
      </c>
      <c r="V105" s="525"/>
      <c r="W105" s="525"/>
      <c r="X105" s="525"/>
      <c r="Y105" s="525"/>
      <c r="Z105" s="525" t="s">
        <v>381</v>
      </c>
      <c r="AA105" s="525"/>
      <c r="AB105" s="525"/>
      <c r="AC105" s="525"/>
      <c r="AD105" s="525"/>
      <c r="AE105" s="525" t="s">
        <v>381</v>
      </c>
      <c r="AF105" s="525"/>
      <c r="AG105" s="525"/>
      <c r="AH105" s="525"/>
      <c r="AI105" s="525"/>
      <c r="AJ105" s="525" t="s">
        <v>381</v>
      </c>
      <c r="AK105" s="525"/>
      <c r="AL105" s="525"/>
      <c r="AM105" s="525"/>
      <c r="AN105" s="525"/>
      <c r="AO105" s="525" t="s">
        <v>381</v>
      </c>
      <c r="AP105" s="525"/>
      <c r="AQ105" s="525"/>
      <c r="AR105" s="525"/>
      <c r="AS105" s="525"/>
      <c r="AT105" s="525" t="s">
        <v>381</v>
      </c>
      <c r="AU105" s="525"/>
      <c r="AV105" s="525"/>
      <c r="AW105" s="525"/>
      <c r="AX105" s="525"/>
    </row>
    <row r="106" spans="2:50" ht="14.25" customHeight="1">
      <c r="B106" s="525"/>
      <c r="C106" s="525"/>
      <c r="D106" s="525"/>
      <c r="E106" s="182" t="s">
        <v>161</v>
      </c>
      <c r="F106" s="182" t="s">
        <v>382</v>
      </c>
      <c r="G106" s="182" t="s">
        <v>163</v>
      </c>
      <c r="H106" s="525"/>
      <c r="I106" s="183" t="s">
        <v>161</v>
      </c>
      <c r="J106" s="183" t="s">
        <v>382</v>
      </c>
      <c r="K106" s="183" t="s">
        <v>163</v>
      </c>
      <c r="L106" s="544"/>
      <c r="M106" s="544"/>
      <c r="N106" s="525"/>
      <c r="O106" s="525"/>
      <c r="P106" s="182" t="s">
        <v>161</v>
      </c>
      <c r="Q106" s="182" t="s">
        <v>382</v>
      </c>
      <c r="R106" s="182" t="s">
        <v>163</v>
      </c>
      <c r="S106" s="184" t="s">
        <v>167</v>
      </c>
      <c r="T106" s="525"/>
      <c r="U106" s="182" t="s">
        <v>161</v>
      </c>
      <c r="V106" s="182" t="s">
        <v>382</v>
      </c>
      <c r="W106" s="182" t="s">
        <v>163</v>
      </c>
      <c r="X106" s="184" t="s">
        <v>167</v>
      </c>
      <c r="Y106" s="525"/>
      <c r="Z106" s="182" t="s">
        <v>161</v>
      </c>
      <c r="AA106" s="182" t="s">
        <v>382</v>
      </c>
      <c r="AB106" s="182" t="s">
        <v>163</v>
      </c>
      <c r="AC106" s="184" t="s">
        <v>167</v>
      </c>
      <c r="AD106" s="525"/>
      <c r="AE106" s="182" t="s">
        <v>161</v>
      </c>
      <c r="AF106" s="182" t="s">
        <v>382</v>
      </c>
      <c r="AG106" s="182" t="s">
        <v>163</v>
      </c>
      <c r="AH106" s="184" t="s">
        <v>167</v>
      </c>
      <c r="AI106" s="525"/>
      <c r="AJ106" s="182" t="s">
        <v>161</v>
      </c>
      <c r="AK106" s="182" t="s">
        <v>382</v>
      </c>
      <c r="AL106" s="182" t="s">
        <v>163</v>
      </c>
      <c r="AM106" s="184" t="s">
        <v>167</v>
      </c>
      <c r="AN106" s="525"/>
      <c r="AO106" s="182" t="s">
        <v>161</v>
      </c>
      <c r="AP106" s="182" t="s">
        <v>382</v>
      </c>
      <c r="AQ106" s="182" t="s">
        <v>163</v>
      </c>
      <c r="AR106" s="184" t="s">
        <v>167</v>
      </c>
      <c r="AS106" s="525"/>
      <c r="AT106" s="182" t="s">
        <v>161</v>
      </c>
      <c r="AU106" s="182" t="s">
        <v>382</v>
      </c>
      <c r="AV106" s="182" t="s">
        <v>163</v>
      </c>
      <c r="AW106" s="184" t="s">
        <v>167</v>
      </c>
      <c r="AX106" s="525"/>
    </row>
    <row r="107" spans="2:50" ht="14.25" customHeight="1">
      <c r="B107" s="525" t="s">
        <v>384</v>
      </c>
      <c r="C107" s="182">
        <v>1</v>
      </c>
      <c r="D107" s="185"/>
      <c r="E107" s="182"/>
      <c r="F107" s="182"/>
      <c r="G107" s="187"/>
      <c r="H107" s="554"/>
      <c r="I107" s="188"/>
      <c r="J107" s="188"/>
      <c r="K107" s="189"/>
      <c r="L107" s="555" t="str">
        <f>IFERROR(AVERAGE(K107:K121),"-")</f>
        <v>-</v>
      </c>
      <c r="M107" s="188" t="e">
        <f>RANK(K107, K$87:$K$101)</f>
        <v>#N/A</v>
      </c>
      <c r="N107" s="525"/>
      <c r="O107" s="525"/>
      <c r="P107" s="190"/>
      <c r="Q107" s="190"/>
      <c r="R107" s="187"/>
      <c r="S107" s="184"/>
      <c r="T107" s="554"/>
      <c r="U107" s="190"/>
      <c r="V107" s="190"/>
      <c r="W107" s="187"/>
      <c r="X107" s="184"/>
      <c r="Y107" s="554"/>
      <c r="Z107" s="190"/>
      <c r="AA107" s="190"/>
      <c r="AB107" s="187"/>
      <c r="AC107" s="184"/>
      <c r="AD107" s="554"/>
      <c r="AE107" s="190"/>
      <c r="AF107" s="190"/>
      <c r="AG107" s="187"/>
      <c r="AH107" s="184"/>
      <c r="AI107" s="554"/>
      <c r="AJ107" s="190"/>
      <c r="AK107" s="190"/>
      <c r="AL107" s="187"/>
      <c r="AM107" s="184"/>
      <c r="AN107" s="554"/>
      <c r="AO107" s="190"/>
      <c r="AP107" s="190"/>
      <c r="AQ107" s="187"/>
      <c r="AR107" s="184"/>
      <c r="AS107" s="554"/>
      <c r="AT107" s="190"/>
      <c r="AU107" s="190"/>
      <c r="AV107" s="187"/>
      <c r="AW107" s="184"/>
      <c r="AX107" s="554"/>
    </row>
    <row r="108" spans="2:50" ht="14.25" customHeight="1">
      <c r="B108" s="525"/>
      <c r="C108" s="182">
        <v>2</v>
      </c>
      <c r="D108" s="185"/>
      <c r="E108" s="182"/>
      <c r="F108" s="182"/>
      <c r="G108" s="187"/>
      <c r="H108" s="554"/>
      <c r="I108" s="188"/>
      <c r="J108" s="188"/>
      <c r="K108" s="189"/>
      <c r="L108" s="555"/>
      <c r="M108" s="188" t="e">
        <f>RANK(K108, K$87:$K$101)</f>
        <v>#N/A</v>
      </c>
      <c r="N108" s="525"/>
      <c r="O108" s="525"/>
      <c r="P108" s="190"/>
      <c r="Q108" s="190"/>
      <c r="R108" s="187"/>
      <c r="S108" s="184"/>
      <c r="T108" s="554"/>
      <c r="U108" s="190"/>
      <c r="V108" s="190"/>
      <c r="W108" s="187"/>
      <c r="X108" s="184"/>
      <c r="Y108" s="554"/>
      <c r="Z108" s="190"/>
      <c r="AA108" s="190"/>
      <c r="AB108" s="187"/>
      <c r="AC108" s="184"/>
      <c r="AD108" s="554"/>
      <c r="AE108" s="190"/>
      <c r="AF108" s="190"/>
      <c r="AG108" s="187"/>
      <c r="AH108" s="184"/>
      <c r="AI108" s="554"/>
      <c r="AJ108" s="190"/>
      <c r="AK108" s="190"/>
      <c r="AL108" s="187"/>
      <c r="AM108" s="184"/>
      <c r="AN108" s="554"/>
      <c r="AO108" s="190"/>
      <c r="AP108" s="190"/>
      <c r="AQ108" s="187"/>
      <c r="AR108" s="184"/>
      <c r="AS108" s="554"/>
      <c r="AT108" s="190"/>
      <c r="AU108" s="190"/>
      <c r="AV108" s="187"/>
      <c r="AW108" s="184"/>
      <c r="AX108" s="554"/>
    </row>
    <row r="109" spans="2:50" ht="14.25" customHeight="1">
      <c r="B109" s="525"/>
      <c r="C109" s="182">
        <v>3</v>
      </c>
      <c r="D109" s="185"/>
      <c r="E109" s="182"/>
      <c r="F109" s="182"/>
      <c r="G109" s="187"/>
      <c r="H109" s="554"/>
      <c r="I109" s="188"/>
      <c r="J109" s="188"/>
      <c r="K109" s="189"/>
      <c r="L109" s="555"/>
      <c r="M109" s="188" t="e">
        <f>RANK(K109, K$87:$K$101)</f>
        <v>#N/A</v>
      </c>
      <c r="N109" s="525"/>
      <c r="O109" s="525"/>
      <c r="P109" s="190"/>
      <c r="Q109" s="190"/>
      <c r="R109" s="187"/>
      <c r="S109" s="184"/>
      <c r="T109" s="554"/>
      <c r="U109" s="190"/>
      <c r="V109" s="190"/>
      <c r="W109" s="187"/>
      <c r="X109" s="184"/>
      <c r="Y109" s="554"/>
      <c r="Z109" s="190"/>
      <c r="AA109" s="190"/>
      <c r="AB109" s="187"/>
      <c r="AC109" s="184"/>
      <c r="AD109" s="554"/>
      <c r="AE109" s="190"/>
      <c r="AF109" s="190"/>
      <c r="AG109" s="187"/>
      <c r="AH109" s="184"/>
      <c r="AI109" s="554"/>
      <c r="AJ109" s="190"/>
      <c r="AK109" s="190"/>
      <c r="AL109" s="187"/>
      <c r="AM109" s="184"/>
      <c r="AN109" s="554"/>
      <c r="AO109" s="190"/>
      <c r="AP109" s="190"/>
      <c r="AQ109" s="187"/>
      <c r="AR109" s="184"/>
      <c r="AS109" s="554"/>
      <c r="AT109" s="190"/>
      <c r="AU109" s="190"/>
      <c r="AV109" s="187"/>
      <c r="AW109" s="184"/>
      <c r="AX109" s="554"/>
    </row>
    <row r="110" spans="2:50" ht="14.25" customHeight="1">
      <c r="B110" s="525"/>
      <c r="C110" s="182">
        <v>4</v>
      </c>
      <c r="D110" s="185"/>
      <c r="E110" s="182"/>
      <c r="F110" s="182"/>
      <c r="G110" s="187"/>
      <c r="H110" s="554"/>
      <c r="I110" s="188"/>
      <c r="J110" s="188"/>
      <c r="K110" s="189"/>
      <c r="L110" s="555"/>
      <c r="M110" s="188" t="e">
        <f>RANK(K110, K$87:$K$101)</f>
        <v>#N/A</v>
      </c>
      <c r="N110" s="525"/>
      <c r="O110" s="525"/>
      <c r="P110" s="190"/>
      <c r="Q110" s="190"/>
      <c r="R110" s="187"/>
      <c r="S110" s="184"/>
      <c r="T110" s="554"/>
      <c r="U110" s="190"/>
      <c r="V110" s="190"/>
      <c r="W110" s="187"/>
      <c r="X110" s="184"/>
      <c r="Y110" s="554"/>
      <c r="Z110" s="190"/>
      <c r="AA110" s="190"/>
      <c r="AB110" s="187"/>
      <c r="AC110" s="184"/>
      <c r="AD110" s="554"/>
      <c r="AE110" s="190"/>
      <c r="AF110" s="190"/>
      <c r="AG110" s="187"/>
      <c r="AH110" s="184"/>
      <c r="AI110" s="554"/>
      <c r="AJ110" s="190"/>
      <c r="AK110" s="190"/>
      <c r="AL110" s="187"/>
      <c r="AM110" s="184"/>
      <c r="AN110" s="554"/>
      <c r="AO110" s="190"/>
      <c r="AP110" s="190"/>
      <c r="AQ110" s="187"/>
      <c r="AR110" s="184"/>
      <c r="AS110" s="554"/>
      <c r="AT110" s="190"/>
      <c r="AU110" s="190"/>
      <c r="AV110" s="187"/>
      <c r="AW110" s="184"/>
      <c r="AX110" s="554"/>
    </row>
    <row r="111" spans="2:50" ht="14.25" customHeight="1">
      <c r="B111" s="525"/>
      <c r="C111" s="182">
        <v>5</v>
      </c>
      <c r="D111" s="185"/>
      <c r="E111" s="182"/>
      <c r="F111" s="182"/>
      <c r="G111" s="187"/>
      <c r="H111" s="554"/>
      <c r="I111" s="188"/>
      <c r="J111" s="188"/>
      <c r="K111" s="189"/>
      <c r="L111" s="555"/>
      <c r="M111" s="188" t="e">
        <f>RANK(K111, K$87:$K$101)</f>
        <v>#N/A</v>
      </c>
      <c r="N111" s="525"/>
      <c r="O111" s="525"/>
      <c r="P111" s="190"/>
      <c r="Q111" s="190"/>
      <c r="R111" s="187"/>
      <c r="S111" s="184"/>
      <c r="T111" s="554"/>
      <c r="U111" s="190"/>
      <c r="V111" s="190"/>
      <c r="W111" s="187"/>
      <c r="X111" s="184"/>
      <c r="Y111" s="554"/>
      <c r="Z111" s="190"/>
      <c r="AA111" s="190"/>
      <c r="AB111" s="187"/>
      <c r="AC111" s="184"/>
      <c r="AD111" s="554"/>
      <c r="AE111" s="190"/>
      <c r="AF111" s="190"/>
      <c r="AG111" s="187"/>
      <c r="AH111" s="184"/>
      <c r="AI111" s="554"/>
      <c r="AJ111" s="190"/>
      <c r="AK111" s="190"/>
      <c r="AL111" s="187"/>
      <c r="AM111" s="184"/>
      <c r="AN111" s="554"/>
      <c r="AO111" s="190"/>
      <c r="AP111" s="190"/>
      <c r="AQ111" s="187"/>
      <c r="AR111" s="184"/>
      <c r="AS111" s="554"/>
      <c r="AT111" s="190"/>
      <c r="AU111" s="190"/>
      <c r="AV111" s="187"/>
      <c r="AW111" s="184"/>
      <c r="AX111" s="554"/>
    </row>
    <row r="112" spans="2:50" ht="14.25" customHeight="1">
      <c r="B112" s="525"/>
      <c r="C112" s="182">
        <v>6</v>
      </c>
      <c r="D112" s="185"/>
      <c r="E112" s="182"/>
      <c r="F112" s="182"/>
      <c r="G112" s="187"/>
      <c r="H112" s="554"/>
      <c r="I112" s="188"/>
      <c r="J112" s="188"/>
      <c r="K112" s="189"/>
      <c r="L112" s="555"/>
      <c r="M112" s="188" t="e">
        <f>RANK(K112, K$87:$K$101)</f>
        <v>#N/A</v>
      </c>
      <c r="N112" s="525"/>
      <c r="O112" s="525"/>
      <c r="P112" s="190"/>
      <c r="Q112" s="190"/>
      <c r="R112" s="187"/>
      <c r="S112" s="184"/>
      <c r="T112" s="554"/>
      <c r="U112" s="190"/>
      <c r="V112" s="190"/>
      <c r="W112" s="187"/>
      <c r="X112" s="184"/>
      <c r="Y112" s="554"/>
      <c r="Z112" s="190"/>
      <c r="AA112" s="190"/>
      <c r="AB112" s="187"/>
      <c r="AC112" s="184"/>
      <c r="AD112" s="554"/>
      <c r="AE112" s="190"/>
      <c r="AF112" s="190"/>
      <c r="AG112" s="187"/>
      <c r="AH112" s="184"/>
      <c r="AI112" s="554"/>
      <c r="AJ112" s="190"/>
      <c r="AK112" s="190"/>
      <c r="AL112" s="187"/>
      <c r="AM112" s="184"/>
      <c r="AN112" s="554"/>
      <c r="AO112" s="190"/>
      <c r="AP112" s="190"/>
      <c r="AQ112" s="187"/>
      <c r="AR112" s="184"/>
      <c r="AS112" s="554"/>
      <c r="AT112" s="190"/>
      <c r="AU112" s="190"/>
      <c r="AV112" s="187"/>
      <c r="AW112" s="184"/>
      <c r="AX112" s="554"/>
    </row>
    <row r="113" spans="2:50" ht="14.25" customHeight="1">
      <c r="B113" s="525"/>
      <c r="C113" s="182">
        <v>7</v>
      </c>
      <c r="D113" s="185"/>
      <c r="E113" s="182"/>
      <c r="F113" s="182"/>
      <c r="G113" s="187"/>
      <c r="H113" s="554"/>
      <c r="I113" s="188"/>
      <c r="J113" s="188"/>
      <c r="K113" s="189"/>
      <c r="L113" s="555"/>
      <c r="M113" s="188" t="e">
        <f>RANK(K113, K$87:$K$101)</f>
        <v>#N/A</v>
      </c>
      <c r="N113" s="525"/>
      <c r="O113" s="525"/>
      <c r="P113" s="190"/>
      <c r="Q113" s="190"/>
      <c r="R113" s="187"/>
      <c r="S113" s="184"/>
      <c r="T113" s="554"/>
      <c r="U113" s="190"/>
      <c r="V113" s="190"/>
      <c r="W113" s="187"/>
      <c r="X113" s="184"/>
      <c r="Y113" s="554"/>
      <c r="Z113" s="190"/>
      <c r="AA113" s="190"/>
      <c r="AB113" s="187"/>
      <c r="AC113" s="184"/>
      <c r="AD113" s="554"/>
      <c r="AE113" s="190"/>
      <c r="AF113" s="190"/>
      <c r="AG113" s="187"/>
      <c r="AH113" s="184"/>
      <c r="AI113" s="554"/>
      <c r="AJ113" s="190"/>
      <c r="AK113" s="190"/>
      <c r="AL113" s="187"/>
      <c r="AM113" s="184"/>
      <c r="AN113" s="554"/>
      <c r="AO113" s="190"/>
      <c r="AP113" s="190"/>
      <c r="AQ113" s="187"/>
      <c r="AR113" s="184"/>
      <c r="AS113" s="554"/>
      <c r="AT113" s="190"/>
      <c r="AU113" s="190"/>
      <c r="AV113" s="187"/>
      <c r="AW113" s="184"/>
      <c r="AX113" s="554"/>
    </row>
    <row r="114" spans="2:50" ht="14.25" customHeight="1">
      <c r="B114" s="525"/>
      <c r="C114" s="182">
        <v>8</v>
      </c>
      <c r="D114" s="185"/>
      <c r="E114" s="182"/>
      <c r="F114" s="182"/>
      <c r="G114" s="187"/>
      <c r="H114" s="554"/>
      <c r="I114" s="188"/>
      <c r="J114" s="188"/>
      <c r="K114" s="189"/>
      <c r="L114" s="555"/>
      <c r="M114" s="188" t="e">
        <f>RANK(K114, K$87:$K$101)</f>
        <v>#N/A</v>
      </c>
      <c r="N114" s="525"/>
      <c r="O114" s="525"/>
      <c r="P114" s="190"/>
      <c r="Q114" s="190"/>
      <c r="R114" s="187"/>
      <c r="S114" s="184"/>
      <c r="T114" s="554"/>
      <c r="U114" s="190"/>
      <c r="V114" s="190"/>
      <c r="W114" s="187"/>
      <c r="X114" s="184"/>
      <c r="Y114" s="554"/>
      <c r="Z114" s="190"/>
      <c r="AA114" s="190"/>
      <c r="AB114" s="187"/>
      <c r="AC114" s="184"/>
      <c r="AD114" s="554"/>
      <c r="AE114" s="190"/>
      <c r="AF114" s="190"/>
      <c r="AG114" s="187"/>
      <c r="AH114" s="184"/>
      <c r="AI114" s="554"/>
      <c r="AJ114" s="190"/>
      <c r="AK114" s="190"/>
      <c r="AL114" s="187"/>
      <c r="AM114" s="184"/>
      <c r="AN114" s="554"/>
      <c r="AO114" s="190"/>
      <c r="AP114" s="190"/>
      <c r="AQ114" s="187"/>
      <c r="AR114" s="184"/>
      <c r="AS114" s="554"/>
      <c r="AT114" s="190"/>
      <c r="AU114" s="190"/>
      <c r="AV114" s="187"/>
      <c r="AW114" s="184"/>
      <c r="AX114" s="554"/>
    </row>
    <row r="115" spans="2:50" ht="14.25" customHeight="1">
      <c r="B115" s="525"/>
      <c r="C115" s="182">
        <v>9</v>
      </c>
      <c r="D115" s="185"/>
      <c r="E115" s="182"/>
      <c r="F115" s="182"/>
      <c r="G115" s="187"/>
      <c r="H115" s="554"/>
      <c r="I115" s="188"/>
      <c r="J115" s="188"/>
      <c r="K115" s="189"/>
      <c r="L115" s="555"/>
      <c r="M115" s="188"/>
      <c r="N115" s="525"/>
      <c r="O115" s="525"/>
      <c r="P115" s="190"/>
      <c r="Q115" s="190"/>
      <c r="R115" s="187"/>
      <c r="S115" s="184"/>
      <c r="T115" s="554"/>
      <c r="U115" s="190"/>
      <c r="V115" s="190"/>
      <c r="W115" s="187"/>
      <c r="X115" s="184"/>
      <c r="Y115" s="554"/>
      <c r="Z115" s="190"/>
      <c r="AA115" s="190"/>
      <c r="AB115" s="187"/>
      <c r="AC115" s="184"/>
      <c r="AD115" s="554"/>
      <c r="AE115" s="190"/>
      <c r="AF115" s="190"/>
      <c r="AG115" s="187"/>
      <c r="AH115" s="184"/>
      <c r="AI115" s="554"/>
      <c r="AJ115" s="190"/>
      <c r="AK115" s="190"/>
      <c r="AL115" s="187"/>
      <c r="AM115" s="184"/>
      <c r="AN115" s="554"/>
      <c r="AO115" s="190"/>
      <c r="AP115" s="190"/>
      <c r="AQ115" s="187"/>
      <c r="AR115" s="184"/>
      <c r="AS115" s="554"/>
      <c r="AT115" s="190"/>
      <c r="AU115" s="190"/>
      <c r="AV115" s="187"/>
      <c r="AW115" s="184"/>
      <c r="AX115" s="554"/>
    </row>
    <row r="116" spans="2:50" ht="14.25" customHeight="1">
      <c r="B116" s="525"/>
      <c r="C116" s="182">
        <v>10</v>
      </c>
      <c r="D116" s="185"/>
      <c r="E116" s="182"/>
      <c r="F116" s="182"/>
      <c r="G116" s="187"/>
      <c r="H116" s="554"/>
      <c r="I116" s="188"/>
      <c r="J116" s="188"/>
      <c r="K116" s="189"/>
      <c r="L116" s="555"/>
      <c r="M116" s="188"/>
      <c r="N116" s="525"/>
      <c r="O116" s="525"/>
      <c r="P116" s="190"/>
      <c r="Q116" s="190"/>
      <c r="R116" s="187"/>
      <c r="S116" s="184"/>
      <c r="T116" s="554"/>
      <c r="U116" s="190"/>
      <c r="V116" s="190"/>
      <c r="W116" s="187"/>
      <c r="X116" s="184"/>
      <c r="Y116" s="554"/>
      <c r="Z116" s="190"/>
      <c r="AA116" s="190"/>
      <c r="AB116" s="187"/>
      <c r="AC116" s="184"/>
      <c r="AD116" s="554"/>
      <c r="AE116" s="190"/>
      <c r="AF116" s="190"/>
      <c r="AG116" s="187"/>
      <c r="AH116" s="184"/>
      <c r="AI116" s="554"/>
      <c r="AJ116" s="190"/>
      <c r="AK116" s="190"/>
      <c r="AL116" s="187"/>
      <c r="AM116" s="184"/>
      <c r="AN116" s="554"/>
      <c r="AO116" s="190"/>
      <c r="AP116" s="190"/>
      <c r="AQ116" s="187"/>
      <c r="AR116" s="184"/>
      <c r="AS116" s="554"/>
      <c r="AT116" s="190"/>
      <c r="AU116" s="190"/>
      <c r="AV116" s="187"/>
      <c r="AW116" s="184"/>
      <c r="AX116" s="554"/>
    </row>
    <row r="117" spans="2:50" ht="14.25" customHeight="1">
      <c r="B117" s="525"/>
      <c r="C117" s="182">
        <v>11</v>
      </c>
      <c r="D117" s="185"/>
      <c r="E117" s="182"/>
      <c r="F117" s="182"/>
      <c r="G117" s="187"/>
      <c r="H117" s="554"/>
      <c r="I117" s="188"/>
      <c r="J117" s="188"/>
      <c r="K117" s="189"/>
      <c r="L117" s="555"/>
      <c r="M117" s="188"/>
      <c r="N117" s="525"/>
      <c r="O117" s="525"/>
      <c r="P117" s="190"/>
      <c r="Q117" s="190"/>
      <c r="R117" s="187"/>
      <c r="S117" s="184"/>
      <c r="T117" s="554"/>
      <c r="U117" s="190"/>
      <c r="V117" s="190"/>
      <c r="W117" s="187"/>
      <c r="X117" s="184"/>
      <c r="Y117" s="554"/>
      <c r="Z117" s="190"/>
      <c r="AA117" s="190"/>
      <c r="AB117" s="187"/>
      <c r="AC117" s="184"/>
      <c r="AD117" s="554"/>
      <c r="AE117" s="190"/>
      <c r="AF117" s="190"/>
      <c r="AG117" s="187"/>
      <c r="AH117" s="184"/>
      <c r="AI117" s="554"/>
      <c r="AJ117" s="190"/>
      <c r="AK117" s="190"/>
      <c r="AL117" s="187"/>
      <c r="AM117" s="184"/>
      <c r="AN117" s="554"/>
      <c r="AO117" s="190"/>
      <c r="AP117" s="190"/>
      <c r="AQ117" s="187"/>
      <c r="AR117" s="184"/>
      <c r="AS117" s="554"/>
      <c r="AT117" s="190"/>
      <c r="AU117" s="190"/>
      <c r="AV117" s="187"/>
      <c r="AW117" s="184"/>
      <c r="AX117" s="554"/>
    </row>
    <row r="118" spans="2:50" ht="14.25" customHeight="1">
      <c r="B118" s="525"/>
      <c r="C118" s="182">
        <v>12</v>
      </c>
      <c r="D118" s="185"/>
      <c r="E118" s="182"/>
      <c r="F118" s="182"/>
      <c r="G118" s="187"/>
      <c r="H118" s="554"/>
      <c r="I118" s="188"/>
      <c r="J118" s="188"/>
      <c r="K118" s="189"/>
      <c r="L118" s="555"/>
      <c r="M118" s="188"/>
      <c r="N118" s="525"/>
      <c r="O118" s="525"/>
      <c r="P118" s="190"/>
      <c r="Q118" s="190"/>
      <c r="R118" s="187"/>
      <c r="S118" s="184"/>
      <c r="T118" s="554"/>
      <c r="U118" s="190"/>
      <c r="V118" s="190"/>
      <c r="W118" s="187"/>
      <c r="X118" s="184"/>
      <c r="Y118" s="554"/>
      <c r="Z118" s="190"/>
      <c r="AA118" s="190"/>
      <c r="AB118" s="187"/>
      <c r="AC118" s="184"/>
      <c r="AD118" s="554"/>
      <c r="AE118" s="190"/>
      <c r="AF118" s="190"/>
      <c r="AG118" s="187"/>
      <c r="AH118" s="184"/>
      <c r="AI118" s="554"/>
      <c r="AJ118" s="190"/>
      <c r="AK118" s="190"/>
      <c r="AL118" s="187"/>
      <c r="AM118" s="184"/>
      <c r="AN118" s="554"/>
      <c r="AO118" s="190"/>
      <c r="AP118" s="190"/>
      <c r="AQ118" s="187"/>
      <c r="AR118" s="184"/>
      <c r="AS118" s="554"/>
      <c r="AT118" s="190"/>
      <c r="AU118" s="190"/>
      <c r="AV118" s="187"/>
      <c r="AW118" s="184"/>
      <c r="AX118" s="554"/>
    </row>
    <row r="119" spans="2:50" ht="14.25" customHeight="1">
      <c r="B119" s="525"/>
      <c r="C119" s="182">
        <v>13</v>
      </c>
      <c r="D119" s="185"/>
      <c r="E119" s="182"/>
      <c r="F119" s="182"/>
      <c r="G119" s="187"/>
      <c r="H119" s="554"/>
      <c r="I119" s="188"/>
      <c r="J119" s="188"/>
      <c r="K119" s="189"/>
      <c r="L119" s="555"/>
      <c r="M119" s="188"/>
      <c r="N119" s="525"/>
      <c r="O119" s="525"/>
      <c r="P119" s="190"/>
      <c r="Q119" s="190"/>
      <c r="R119" s="187"/>
      <c r="S119" s="184"/>
      <c r="T119" s="554"/>
      <c r="U119" s="190"/>
      <c r="V119" s="190"/>
      <c r="W119" s="187"/>
      <c r="X119" s="184"/>
      <c r="Y119" s="554"/>
      <c r="Z119" s="190"/>
      <c r="AA119" s="190"/>
      <c r="AB119" s="187"/>
      <c r="AC119" s="184"/>
      <c r="AD119" s="554"/>
      <c r="AE119" s="190"/>
      <c r="AF119" s="190"/>
      <c r="AG119" s="187"/>
      <c r="AH119" s="184"/>
      <c r="AI119" s="554"/>
      <c r="AJ119" s="190"/>
      <c r="AK119" s="190"/>
      <c r="AL119" s="187"/>
      <c r="AM119" s="184"/>
      <c r="AN119" s="554"/>
      <c r="AO119" s="190"/>
      <c r="AP119" s="190"/>
      <c r="AQ119" s="187"/>
      <c r="AR119" s="184"/>
      <c r="AS119" s="554"/>
      <c r="AT119" s="190"/>
      <c r="AU119" s="190"/>
      <c r="AV119" s="187"/>
      <c r="AW119" s="184"/>
      <c r="AX119" s="554"/>
    </row>
    <row r="120" spans="2:50" ht="14.25" customHeight="1">
      <c r="B120" s="525"/>
      <c r="C120" s="182">
        <v>14</v>
      </c>
      <c r="D120" s="185"/>
      <c r="E120" s="182"/>
      <c r="F120" s="182"/>
      <c r="G120" s="187"/>
      <c r="H120" s="554"/>
      <c r="I120" s="188"/>
      <c r="J120" s="188"/>
      <c r="K120" s="189"/>
      <c r="L120" s="555"/>
      <c r="M120" s="188"/>
      <c r="N120" s="525"/>
      <c r="O120" s="525"/>
      <c r="P120" s="190"/>
      <c r="Q120" s="190"/>
      <c r="R120" s="187"/>
      <c r="S120" s="184"/>
      <c r="T120" s="554"/>
      <c r="U120" s="190"/>
      <c r="V120" s="190"/>
      <c r="W120" s="187"/>
      <c r="X120" s="184"/>
      <c r="Y120" s="554"/>
      <c r="Z120" s="190"/>
      <c r="AA120" s="190"/>
      <c r="AB120" s="187"/>
      <c r="AC120" s="184"/>
      <c r="AD120" s="554"/>
      <c r="AE120" s="190"/>
      <c r="AF120" s="190"/>
      <c r="AG120" s="187"/>
      <c r="AH120" s="184"/>
      <c r="AI120" s="554"/>
      <c r="AJ120" s="190"/>
      <c r="AK120" s="190"/>
      <c r="AL120" s="187"/>
      <c r="AM120" s="184"/>
      <c r="AN120" s="554"/>
      <c r="AO120" s="190"/>
      <c r="AP120" s="190"/>
      <c r="AQ120" s="187"/>
      <c r="AR120" s="184"/>
      <c r="AS120" s="554"/>
      <c r="AT120" s="190"/>
      <c r="AU120" s="190"/>
      <c r="AV120" s="187"/>
      <c r="AW120" s="184"/>
      <c r="AX120" s="554"/>
    </row>
    <row r="121" spans="2:50" ht="14.25" customHeight="1">
      <c r="B121" s="525"/>
      <c r="C121" s="182">
        <v>15</v>
      </c>
      <c r="D121" s="185"/>
      <c r="E121" s="182"/>
      <c r="F121" s="182"/>
      <c r="G121" s="187"/>
      <c r="H121" s="554"/>
      <c r="I121" s="188"/>
      <c r="J121" s="188"/>
      <c r="K121" s="189"/>
      <c r="L121" s="555"/>
      <c r="M121" s="188"/>
      <c r="N121" s="525"/>
      <c r="O121" s="525"/>
      <c r="P121" s="190"/>
      <c r="Q121" s="190"/>
      <c r="R121" s="187"/>
      <c r="S121" s="184"/>
      <c r="T121" s="554"/>
      <c r="U121" s="190"/>
      <c r="V121" s="190"/>
      <c r="W121" s="187"/>
      <c r="X121" s="184"/>
      <c r="Y121" s="554"/>
      <c r="Z121" s="190"/>
      <c r="AA121" s="190"/>
      <c r="AB121" s="187"/>
      <c r="AC121" s="184"/>
      <c r="AD121" s="554"/>
      <c r="AE121" s="190"/>
      <c r="AF121" s="190"/>
      <c r="AG121" s="187"/>
      <c r="AH121" s="184"/>
      <c r="AI121" s="554"/>
      <c r="AJ121" s="190"/>
      <c r="AK121" s="190"/>
      <c r="AL121" s="187"/>
      <c r="AM121" s="184"/>
      <c r="AN121" s="554"/>
      <c r="AO121" s="190"/>
      <c r="AP121" s="190"/>
      <c r="AQ121" s="187"/>
      <c r="AR121" s="184"/>
      <c r="AS121" s="554"/>
      <c r="AT121" s="190"/>
      <c r="AU121" s="190"/>
      <c r="AV121" s="187"/>
      <c r="AW121" s="184"/>
      <c r="AX121" s="554"/>
    </row>
  </sheetData>
  <mergeCells count="354"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21"/>
  <sheetViews>
    <sheetView zoomScaleNormal="100" workbookViewId="0">
      <pane xSplit="13" ySplit="1" topLeftCell="AI91" activePane="bottomRight" state="frozen"/>
      <selection activeCell="L95" sqref="L95"/>
      <selection pane="topRight" activeCell="L95" sqref="L95"/>
      <selection pane="bottomLeft" activeCell="L95" sqref="L95"/>
      <selection pane="bottomRight" activeCell="A42" sqref="A42:XFD121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9" bestFit="1" customWidth="1"/>
    <col min="4" max="4" width="26.453125" style="178" customWidth="1"/>
    <col min="5" max="5" width="7.7265625" style="179" customWidth="1"/>
    <col min="6" max="7" width="8.7265625" style="179" customWidth="1"/>
    <col min="8" max="8" width="10.7265625" style="179" customWidth="1"/>
    <col min="9" max="9" width="7.7265625" style="180" customWidth="1"/>
    <col min="10" max="11" width="8.7265625" style="180" customWidth="1"/>
    <col min="12" max="12" width="10.7265625" style="180" customWidth="1"/>
    <col min="13" max="13" width="5.7265625" style="180" customWidth="1"/>
    <col min="14" max="14" width="9.81640625" style="179" customWidth="1"/>
    <col min="15" max="15" width="7.1796875" style="179" customWidth="1"/>
    <col min="16" max="16" width="7.7265625" style="179" customWidth="1"/>
    <col min="17" max="18" width="8.7265625" style="179" customWidth="1"/>
    <col min="19" max="19" width="5.7265625" style="180" customWidth="1"/>
    <col min="20" max="20" width="10.7265625" style="179" customWidth="1"/>
    <col min="21" max="21" width="7.7265625" style="78" customWidth="1"/>
    <col min="22" max="23" width="8.7265625" style="78" customWidth="1"/>
    <col min="24" max="24" width="5.453125" style="180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80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80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80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81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81" customWidth="1"/>
    <col min="50" max="50" width="10.7265625" style="78" customWidth="1"/>
    <col min="51" max="16384" width="8.81640625" style="78"/>
  </cols>
  <sheetData>
    <row r="1" spans="1:50" ht="24.5">
      <c r="A1" s="74"/>
      <c r="B1" s="370" t="s">
        <v>651</v>
      </c>
      <c r="C1" s="177">
        <f>AVERAGE(L27,L47,L67,L87)</f>
        <v>330.85324673676564</v>
      </c>
    </row>
    <row r="2" spans="1:50" ht="14.25" customHeight="1" collapsed="1">
      <c r="B2" s="534" t="s">
        <v>559</v>
      </c>
      <c r="C2" s="535"/>
      <c r="D2" s="535"/>
      <c r="E2" s="535"/>
      <c r="F2" s="535"/>
      <c r="G2" s="535"/>
      <c r="H2" s="535"/>
      <c r="I2" s="535"/>
      <c r="J2" s="535"/>
      <c r="K2" s="535"/>
      <c r="L2" s="535"/>
      <c r="M2" s="536"/>
      <c r="N2" s="564" t="s">
        <v>378</v>
      </c>
      <c r="O2" s="564" t="s">
        <v>105</v>
      </c>
      <c r="P2" s="566">
        <v>46077</v>
      </c>
      <c r="Q2" s="567"/>
      <c r="R2" s="567"/>
      <c r="S2" s="567"/>
      <c r="T2" s="567"/>
      <c r="U2" s="568">
        <f>P2+1</f>
        <v>46078</v>
      </c>
      <c r="V2" s="569"/>
      <c r="W2" s="569"/>
      <c r="X2" s="569"/>
      <c r="Y2" s="569"/>
      <c r="Z2" s="566">
        <f t="shared" ref="Z2" si="0">U2+1</f>
        <v>46079</v>
      </c>
      <c r="AA2" s="567"/>
      <c r="AB2" s="567"/>
      <c r="AC2" s="567"/>
      <c r="AD2" s="567"/>
      <c r="AE2" s="568">
        <f t="shared" ref="AE2" si="1">Z2+1</f>
        <v>46080</v>
      </c>
      <c r="AF2" s="569"/>
      <c r="AG2" s="569"/>
      <c r="AH2" s="569"/>
      <c r="AI2" s="569"/>
      <c r="AJ2" s="556">
        <f t="shared" ref="AJ2" si="2">AE2+1</f>
        <v>46081</v>
      </c>
      <c r="AK2" s="557"/>
      <c r="AL2" s="557"/>
      <c r="AM2" s="557"/>
      <c r="AN2" s="558"/>
      <c r="AO2" s="568">
        <f t="shared" ref="AO2" si="3">AJ2+1</f>
        <v>46082</v>
      </c>
      <c r="AP2" s="569"/>
      <c r="AQ2" s="569"/>
      <c r="AR2" s="569"/>
      <c r="AS2" s="569"/>
      <c r="AT2" s="556">
        <f t="shared" ref="AT2" si="4">AO2+1</f>
        <v>46083</v>
      </c>
      <c r="AU2" s="557"/>
      <c r="AV2" s="557"/>
      <c r="AW2" s="557"/>
      <c r="AX2" s="558"/>
    </row>
    <row r="3" spans="1:50" ht="14.25" customHeight="1"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8"/>
      <c r="N3" s="565"/>
      <c r="O3" s="565"/>
      <c r="P3" s="559">
        <f>P2</f>
        <v>46077</v>
      </c>
      <c r="Q3" s="559"/>
      <c r="R3" s="559"/>
      <c r="S3" s="559"/>
      <c r="T3" s="559"/>
      <c r="U3" s="560">
        <f>U2</f>
        <v>46078</v>
      </c>
      <c r="V3" s="560"/>
      <c r="W3" s="560"/>
      <c r="X3" s="560"/>
      <c r="Y3" s="560"/>
      <c r="Z3" s="559">
        <f t="shared" ref="Z3" si="5">Z2</f>
        <v>46079</v>
      </c>
      <c r="AA3" s="559"/>
      <c r="AB3" s="559"/>
      <c r="AC3" s="559"/>
      <c r="AD3" s="559"/>
      <c r="AE3" s="560">
        <f t="shared" ref="AE3" si="6">AE2</f>
        <v>46080</v>
      </c>
      <c r="AF3" s="560"/>
      <c r="AG3" s="560"/>
      <c r="AH3" s="560"/>
      <c r="AI3" s="560"/>
      <c r="AJ3" s="561">
        <f t="shared" ref="AJ3" si="7">AJ2</f>
        <v>46081</v>
      </c>
      <c r="AK3" s="562"/>
      <c r="AL3" s="562"/>
      <c r="AM3" s="562"/>
      <c r="AN3" s="563"/>
      <c r="AO3" s="560">
        <f t="shared" ref="AO3" si="8">AO2</f>
        <v>46082</v>
      </c>
      <c r="AP3" s="560"/>
      <c r="AQ3" s="560"/>
      <c r="AR3" s="560"/>
      <c r="AS3" s="560"/>
      <c r="AT3" s="561">
        <f t="shared" ref="AT3" si="9">AT2</f>
        <v>46083</v>
      </c>
      <c r="AU3" s="562"/>
      <c r="AV3" s="562"/>
      <c r="AW3" s="562"/>
      <c r="AX3" s="563"/>
    </row>
    <row r="4" spans="1:50" ht="14.25" customHeight="1">
      <c r="B4" s="525" t="s">
        <v>164</v>
      </c>
      <c r="C4" s="525" t="s">
        <v>159</v>
      </c>
      <c r="D4" s="525"/>
      <c r="E4" s="525" t="s">
        <v>160</v>
      </c>
      <c r="F4" s="525"/>
      <c r="G4" s="525"/>
      <c r="H4" s="525" t="s">
        <v>165</v>
      </c>
      <c r="I4" s="544" t="s">
        <v>379</v>
      </c>
      <c r="J4" s="544"/>
      <c r="K4" s="544"/>
      <c r="L4" s="544" t="s">
        <v>165</v>
      </c>
      <c r="M4" s="544" t="s">
        <v>167</v>
      </c>
      <c r="N4" s="525"/>
      <c r="O4" s="525" t="s">
        <v>166</v>
      </c>
      <c r="P4" s="525" t="s">
        <v>162</v>
      </c>
      <c r="Q4" s="525"/>
      <c r="R4" s="525"/>
      <c r="S4" s="525"/>
      <c r="T4" s="525" t="s">
        <v>165</v>
      </c>
      <c r="U4" s="525" t="s">
        <v>162</v>
      </c>
      <c r="V4" s="525"/>
      <c r="W4" s="525"/>
      <c r="X4" s="525"/>
      <c r="Y4" s="525" t="s">
        <v>165</v>
      </c>
      <c r="Z4" s="525" t="s">
        <v>162</v>
      </c>
      <c r="AA4" s="525"/>
      <c r="AB4" s="525"/>
      <c r="AC4" s="525"/>
      <c r="AD4" s="525" t="s">
        <v>165</v>
      </c>
      <c r="AE4" s="525" t="s">
        <v>162</v>
      </c>
      <c r="AF4" s="525"/>
      <c r="AG4" s="525"/>
      <c r="AH4" s="525"/>
      <c r="AI4" s="525" t="s">
        <v>165</v>
      </c>
      <c r="AJ4" s="525" t="s">
        <v>162</v>
      </c>
      <c r="AK4" s="525"/>
      <c r="AL4" s="525"/>
      <c r="AM4" s="525"/>
      <c r="AN4" s="525" t="s">
        <v>165</v>
      </c>
      <c r="AO4" s="525" t="s">
        <v>162</v>
      </c>
      <c r="AP4" s="525"/>
      <c r="AQ4" s="525"/>
      <c r="AR4" s="525"/>
      <c r="AS4" s="525" t="s">
        <v>165</v>
      </c>
      <c r="AT4" s="525" t="s">
        <v>162</v>
      </c>
      <c r="AU4" s="525"/>
      <c r="AV4" s="525"/>
      <c r="AW4" s="525"/>
      <c r="AX4" s="525" t="s">
        <v>165</v>
      </c>
    </row>
    <row r="5" spans="1:50" ht="14.25" customHeight="1">
      <c r="B5" s="525"/>
      <c r="C5" s="525"/>
      <c r="D5" s="525"/>
      <c r="E5" s="525" t="s">
        <v>380</v>
      </c>
      <c r="F5" s="525"/>
      <c r="G5" s="525"/>
      <c r="H5" s="525"/>
      <c r="I5" s="544" t="s">
        <v>380</v>
      </c>
      <c r="J5" s="544"/>
      <c r="K5" s="544"/>
      <c r="L5" s="544"/>
      <c r="M5" s="544"/>
      <c r="N5" s="525"/>
      <c r="O5" s="525"/>
      <c r="P5" s="525" t="s">
        <v>381</v>
      </c>
      <c r="Q5" s="525"/>
      <c r="R5" s="525"/>
      <c r="S5" s="525"/>
      <c r="T5" s="525"/>
      <c r="U5" s="525" t="s">
        <v>381</v>
      </c>
      <c r="V5" s="525"/>
      <c r="W5" s="525"/>
      <c r="X5" s="525"/>
      <c r="Y5" s="525"/>
      <c r="Z5" s="525" t="s">
        <v>381</v>
      </c>
      <c r="AA5" s="525"/>
      <c r="AB5" s="525"/>
      <c r="AC5" s="525"/>
      <c r="AD5" s="525"/>
      <c r="AE5" s="525" t="s">
        <v>381</v>
      </c>
      <c r="AF5" s="525"/>
      <c r="AG5" s="525"/>
      <c r="AH5" s="525"/>
      <c r="AI5" s="525"/>
      <c r="AJ5" s="525" t="s">
        <v>381</v>
      </c>
      <c r="AK5" s="525"/>
      <c r="AL5" s="525"/>
      <c r="AM5" s="525"/>
      <c r="AN5" s="525"/>
      <c r="AO5" s="525" t="s">
        <v>381</v>
      </c>
      <c r="AP5" s="525"/>
      <c r="AQ5" s="525"/>
      <c r="AR5" s="525"/>
      <c r="AS5" s="525"/>
      <c r="AT5" s="525" t="s">
        <v>381</v>
      </c>
      <c r="AU5" s="525"/>
      <c r="AV5" s="525"/>
      <c r="AW5" s="525"/>
      <c r="AX5" s="525"/>
    </row>
    <row r="6" spans="1:50" ht="14.25" customHeight="1">
      <c r="B6" s="525"/>
      <c r="C6" s="525"/>
      <c r="D6" s="525"/>
      <c r="E6" s="182" t="s">
        <v>161</v>
      </c>
      <c r="F6" s="182" t="s">
        <v>382</v>
      </c>
      <c r="G6" s="182" t="s">
        <v>163</v>
      </c>
      <c r="H6" s="525"/>
      <c r="I6" s="183" t="s">
        <v>161</v>
      </c>
      <c r="J6" s="183" t="s">
        <v>382</v>
      </c>
      <c r="K6" s="183" t="s">
        <v>163</v>
      </c>
      <c r="L6" s="544"/>
      <c r="M6" s="544"/>
      <c r="N6" s="525"/>
      <c r="O6" s="525"/>
      <c r="P6" s="182" t="s">
        <v>161</v>
      </c>
      <c r="Q6" s="182" t="s">
        <v>382</v>
      </c>
      <c r="R6" s="182" t="s">
        <v>163</v>
      </c>
      <c r="S6" s="184" t="s">
        <v>167</v>
      </c>
      <c r="T6" s="525"/>
      <c r="U6" s="182" t="s">
        <v>161</v>
      </c>
      <c r="V6" s="182" t="s">
        <v>382</v>
      </c>
      <c r="W6" s="182" t="s">
        <v>163</v>
      </c>
      <c r="X6" s="184" t="s">
        <v>167</v>
      </c>
      <c r="Y6" s="525"/>
      <c r="Z6" s="182" t="s">
        <v>161</v>
      </c>
      <c r="AA6" s="182" t="s">
        <v>382</v>
      </c>
      <c r="AB6" s="182" t="s">
        <v>163</v>
      </c>
      <c r="AC6" s="184" t="s">
        <v>167</v>
      </c>
      <c r="AD6" s="525"/>
      <c r="AE6" s="182" t="s">
        <v>161</v>
      </c>
      <c r="AF6" s="182" t="s">
        <v>382</v>
      </c>
      <c r="AG6" s="182" t="s">
        <v>163</v>
      </c>
      <c r="AH6" s="184" t="s">
        <v>167</v>
      </c>
      <c r="AI6" s="525"/>
      <c r="AJ6" s="182" t="s">
        <v>161</v>
      </c>
      <c r="AK6" s="182" t="s">
        <v>382</v>
      </c>
      <c r="AL6" s="182" t="s">
        <v>163</v>
      </c>
      <c r="AM6" s="184" t="s">
        <v>167</v>
      </c>
      <c r="AN6" s="525"/>
      <c r="AO6" s="182" t="s">
        <v>161</v>
      </c>
      <c r="AP6" s="182" t="s">
        <v>382</v>
      </c>
      <c r="AQ6" s="182" t="s">
        <v>163</v>
      </c>
      <c r="AR6" s="184" t="s">
        <v>167</v>
      </c>
      <c r="AS6" s="525"/>
      <c r="AT6" s="182" t="s">
        <v>161</v>
      </c>
      <c r="AU6" s="182" t="s">
        <v>382</v>
      </c>
      <c r="AV6" s="182" t="s">
        <v>163</v>
      </c>
      <c r="AW6" s="184" t="s">
        <v>167</v>
      </c>
      <c r="AX6" s="525"/>
    </row>
    <row r="7" spans="1:50" ht="14.25" customHeight="1">
      <c r="B7" s="570" t="s">
        <v>457</v>
      </c>
      <c r="C7" s="182">
        <v>1</v>
      </c>
      <c r="D7" s="185" t="s">
        <v>357</v>
      </c>
      <c r="E7" s="182">
        <v>21</v>
      </c>
      <c r="F7" s="182">
        <v>2790</v>
      </c>
      <c r="G7" s="187">
        <f t="shared" ref="G7:G8" si="10">F7/E7</f>
        <v>132.85714285714286</v>
      </c>
      <c r="H7" s="554">
        <f>AVERAGE(G7:G21)</f>
        <v>366.42857142857144</v>
      </c>
      <c r="I7" s="188">
        <f>AVERAGE(P7,U7,Z7,AE7,AJ7,AO7,AT7)</f>
        <v>21.571428571428573</v>
      </c>
      <c r="J7" s="188">
        <f>AVERAGE(Q7,V7,AA7,AF7,AK7,AP7,AU7)</f>
        <v>2565.6296690448612</v>
      </c>
      <c r="K7" s="189">
        <f>AVERAGE(R7,W7,AB7,AG7,AL7,AQ7,AV7)</f>
        <v>118.92391952790344</v>
      </c>
      <c r="L7" s="555">
        <f>IFERROR(AVERAGE(K7:K21),"-")</f>
        <v>317.46260310389169</v>
      </c>
      <c r="M7" s="188">
        <f>RANK(K7, K$7:$K$21)</f>
        <v>2</v>
      </c>
      <c r="N7" s="525"/>
      <c r="O7" s="525"/>
      <c r="P7" s="190">
        <v>21</v>
      </c>
      <c r="Q7" s="190">
        <v>2484.0307429547411</v>
      </c>
      <c r="R7" s="187">
        <f>IFERROR(Q7/P7,"")</f>
        <v>118.28717823594005</v>
      </c>
      <c r="S7" s="184">
        <f>RANK(R7, R$7:R$21)</f>
        <v>2</v>
      </c>
      <c r="T7" s="554">
        <f>AVERAGE(R7:R21)</f>
        <v>304.2810098367861</v>
      </c>
      <c r="U7" s="190">
        <v>21</v>
      </c>
      <c r="V7" s="190">
        <v>2484.4527696012829</v>
      </c>
      <c r="W7" s="187">
        <f t="shared" ref="W7:W8" si="11">IFERROR(V7/U7,"")</f>
        <v>118.30727474291822</v>
      </c>
      <c r="X7" s="184">
        <f>RANK(W7, W$7:W$21)</f>
        <v>2</v>
      </c>
      <c r="Y7" s="554">
        <f>AVERAGE(W7:W21)</f>
        <v>308.32234152793814</v>
      </c>
      <c r="Z7" s="190">
        <v>21</v>
      </c>
      <c r="AA7" s="190">
        <v>2483.9108910891136</v>
      </c>
      <c r="AB7" s="187">
        <f t="shared" ref="AB7:AB8" si="12">IFERROR(AA7/Z7,"")</f>
        <v>118.28147100424351</v>
      </c>
      <c r="AC7" s="184">
        <f>RANK(AB7, AB$7:AB$21)</f>
        <v>2</v>
      </c>
      <c r="AD7" s="554">
        <f>AVERAGE(AB7:AB21)</f>
        <v>312.29069113654936</v>
      </c>
      <c r="AE7" s="190">
        <v>22</v>
      </c>
      <c r="AF7" s="190">
        <v>2626.4323911382735</v>
      </c>
      <c r="AG7" s="187">
        <f>IFERROR(AF7/AE7,"")</f>
        <v>119.38329050628516</v>
      </c>
      <c r="AH7" s="184">
        <f>RANK(AG7, AG$7:AG$21)</f>
        <v>2</v>
      </c>
      <c r="AI7" s="554">
        <f>AVERAGE(AG7:AG21)</f>
        <v>317.37337413329965</v>
      </c>
      <c r="AJ7" s="190">
        <v>22</v>
      </c>
      <c r="AK7" s="190">
        <v>2626.8595041322242</v>
      </c>
      <c r="AL7" s="187">
        <f t="shared" ref="AL7:AL8" si="13">IFERROR(AK7/AJ7,"")</f>
        <v>119.40270473328292</v>
      </c>
      <c r="AM7" s="184">
        <f>RANK(AL7, AL$7:AL$21)</f>
        <v>2</v>
      </c>
      <c r="AN7" s="554">
        <f>AVERAGE(AL7:AL21)</f>
        <v>322.13445975158584</v>
      </c>
      <c r="AO7" s="190">
        <v>22</v>
      </c>
      <c r="AP7" s="190">
        <v>2626.7983074753156</v>
      </c>
      <c r="AQ7" s="187">
        <f t="shared" ref="AQ7:AQ8" si="14">IFERROR(AP7/AO7,"")</f>
        <v>119.3999230670598</v>
      </c>
      <c r="AR7" s="184">
        <f>RANK(AQ7, AQ$7:AQ$21)</f>
        <v>2</v>
      </c>
      <c r="AS7" s="554">
        <f>AVERAGE(AQ7:AQ21)</f>
        <v>327.38112095382013</v>
      </c>
      <c r="AT7" s="190">
        <v>22</v>
      </c>
      <c r="AU7" s="190">
        <v>2626.9230769230767</v>
      </c>
      <c r="AV7" s="187">
        <f t="shared" ref="AV7:AV8" si="15">IFERROR(AU7/AT7,"")</f>
        <v>119.4055944055944</v>
      </c>
      <c r="AW7" s="184">
        <f>RANK(AV7, AV$7:AV$21)</f>
        <v>2</v>
      </c>
      <c r="AX7" s="554">
        <f>AVERAGE(AV7:AV21)</f>
        <v>330.45522438726289</v>
      </c>
    </row>
    <row r="8" spans="1:50" ht="14.25" customHeight="1">
      <c r="B8" s="525"/>
      <c r="C8" s="182">
        <v>2</v>
      </c>
      <c r="D8" s="185" t="s">
        <v>611</v>
      </c>
      <c r="E8" s="182">
        <v>6</v>
      </c>
      <c r="F8" s="182">
        <v>3600</v>
      </c>
      <c r="G8" s="187">
        <f t="shared" si="10"/>
        <v>600</v>
      </c>
      <c r="H8" s="554"/>
      <c r="I8" s="188">
        <f t="shared" ref="I8" si="16">AVERAGE(P8,U8,Z8,AE8,AJ8,AO8,AT8)</f>
        <v>6</v>
      </c>
      <c r="J8" s="188">
        <f t="shared" ref="J8" si="17">AVERAGE(Q8,V8,AA8,AF8,AK8,AP8,AU8)</f>
        <v>3096.0077200792798</v>
      </c>
      <c r="K8" s="189">
        <f t="shared" ref="K8" si="18">AVERAGE(R8,W8,AB8,AG8,AL8,AQ8,AV8)</f>
        <v>516.00128667987997</v>
      </c>
      <c r="L8" s="555"/>
      <c r="M8" s="188">
        <f>RANK(K8, K$7:$K$21)</f>
        <v>1</v>
      </c>
      <c r="N8" s="525"/>
      <c r="O8" s="525"/>
      <c r="P8" s="190">
        <v>6</v>
      </c>
      <c r="Q8" s="190">
        <v>2941.6490486257926</v>
      </c>
      <c r="R8" s="187">
        <f t="shared" ref="R8" si="19">IFERROR(Q8/P8,"")</f>
        <v>490.27484143763212</v>
      </c>
      <c r="S8" s="184">
        <f>RANK(R8, R$7:R$21)</f>
        <v>1</v>
      </c>
      <c r="T8" s="554"/>
      <c r="U8" s="190">
        <v>6</v>
      </c>
      <c r="V8" s="190">
        <v>2990.0244498777483</v>
      </c>
      <c r="W8" s="187">
        <f t="shared" si="11"/>
        <v>498.33740831295808</v>
      </c>
      <c r="X8" s="184" t="e">
        <f>RANK(W8, W$87:W$101)</f>
        <v>#N/A</v>
      </c>
      <c r="Y8" s="554"/>
      <c r="Z8" s="190">
        <v>6</v>
      </c>
      <c r="AA8" s="190">
        <v>3037.7994676131311</v>
      </c>
      <c r="AB8" s="187">
        <f t="shared" si="12"/>
        <v>506.29991126885517</v>
      </c>
      <c r="AC8" s="184">
        <f>RANK(AB8, AB$7:AB$21)</f>
        <v>1</v>
      </c>
      <c r="AD8" s="554"/>
      <c r="AE8" s="190">
        <v>6</v>
      </c>
      <c r="AF8" s="190">
        <v>3092.1807465618845</v>
      </c>
      <c r="AG8" s="187">
        <f t="shared" ref="AG8" si="20">IFERROR(AF8/AE8,"")</f>
        <v>515.36345776031408</v>
      </c>
      <c r="AH8" s="184">
        <f>RANK(AG8, AG$7:AG$21)</f>
        <v>1</v>
      </c>
      <c r="AI8" s="554"/>
      <c r="AJ8" s="190">
        <v>6</v>
      </c>
      <c r="AK8" s="190">
        <v>3149.1972886193325</v>
      </c>
      <c r="AL8" s="187">
        <f t="shared" si="13"/>
        <v>524.86621476988876</v>
      </c>
      <c r="AM8" s="184">
        <f>RANK(AL8, AL$7:AL$21)</f>
        <v>1</v>
      </c>
      <c r="AN8" s="554"/>
      <c r="AO8" s="190">
        <v>6</v>
      </c>
      <c r="AP8" s="190">
        <v>3212.1739130434826</v>
      </c>
      <c r="AQ8" s="187">
        <f t="shared" si="14"/>
        <v>535.36231884058043</v>
      </c>
      <c r="AR8" s="184">
        <f>RANK(AQ8, AQ$7:AQ$21)</f>
        <v>1</v>
      </c>
      <c r="AS8" s="554"/>
      <c r="AT8" s="190">
        <v>6</v>
      </c>
      <c r="AU8" s="190">
        <v>3249.0291262135884</v>
      </c>
      <c r="AV8" s="187">
        <f t="shared" si="15"/>
        <v>541.50485436893143</v>
      </c>
      <c r="AW8" s="184">
        <f>RANK(AV8, AV$7:AV$21)</f>
        <v>1</v>
      </c>
      <c r="AX8" s="554"/>
    </row>
    <row r="9" spans="1:50" ht="14.25" customHeight="1">
      <c r="B9" s="525"/>
      <c r="C9" s="182">
        <v>3</v>
      </c>
      <c r="D9" s="185"/>
      <c r="E9" s="182"/>
      <c r="F9" s="182"/>
      <c r="G9" s="187"/>
      <c r="H9" s="554"/>
      <c r="I9" s="188"/>
      <c r="J9" s="188"/>
      <c r="K9" s="189"/>
      <c r="L9" s="555"/>
      <c r="M9" s="188"/>
      <c r="N9" s="525"/>
      <c r="O9" s="525"/>
      <c r="P9" s="190"/>
      <c r="Q9" s="190"/>
      <c r="R9" s="187"/>
      <c r="S9" s="184"/>
      <c r="T9" s="554"/>
      <c r="U9" s="190"/>
      <c r="V9" s="190"/>
      <c r="W9" s="187"/>
      <c r="X9" s="184"/>
      <c r="Y9" s="554"/>
      <c r="Z9" s="190"/>
      <c r="AA9" s="190"/>
      <c r="AB9" s="187"/>
      <c r="AC9" s="184"/>
      <c r="AD9" s="554"/>
      <c r="AE9" s="190"/>
      <c r="AF9" s="190"/>
      <c r="AG9" s="187"/>
      <c r="AH9" s="184"/>
      <c r="AI9" s="554"/>
      <c r="AJ9" s="190"/>
      <c r="AK9" s="190"/>
      <c r="AL9" s="187"/>
      <c r="AM9" s="184"/>
      <c r="AN9" s="554"/>
      <c r="AO9" s="190"/>
      <c r="AP9" s="190"/>
      <c r="AQ9" s="187"/>
      <c r="AR9" s="184"/>
      <c r="AS9" s="554"/>
      <c r="AT9" s="190"/>
      <c r="AU9" s="190"/>
      <c r="AV9" s="187"/>
      <c r="AW9" s="184"/>
      <c r="AX9" s="554"/>
    </row>
    <row r="10" spans="1:50" ht="14.25" customHeight="1">
      <c r="B10" s="525"/>
      <c r="C10" s="182">
        <v>4</v>
      </c>
      <c r="D10" s="185"/>
      <c r="E10" s="182"/>
      <c r="F10" s="182"/>
      <c r="G10" s="187"/>
      <c r="H10" s="554"/>
      <c r="I10" s="188"/>
      <c r="J10" s="188"/>
      <c r="K10" s="189"/>
      <c r="L10" s="555"/>
      <c r="M10" s="188"/>
      <c r="N10" s="525"/>
      <c r="O10" s="525"/>
      <c r="P10" s="190"/>
      <c r="Q10" s="190"/>
      <c r="R10" s="187"/>
      <c r="S10" s="184"/>
      <c r="T10" s="554"/>
      <c r="U10" s="190"/>
      <c r="V10" s="190"/>
      <c r="W10" s="187"/>
      <c r="X10" s="184"/>
      <c r="Y10" s="554"/>
      <c r="Z10" s="190"/>
      <c r="AA10" s="190"/>
      <c r="AB10" s="187"/>
      <c r="AC10" s="184"/>
      <c r="AD10" s="554"/>
      <c r="AE10" s="190"/>
      <c r="AF10" s="190"/>
      <c r="AG10" s="187"/>
      <c r="AH10" s="184"/>
      <c r="AI10" s="554"/>
      <c r="AJ10" s="190"/>
      <c r="AK10" s="190"/>
      <c r="AL10" s="187"/>
      <c r="AM10" s="184"/>
      <c r="AN10" s="554"/>
      <c r="AO10" s="190"/>
      <c r="AP10" s="190"/>
      <c r="AQ10" s="187"/>
      <c r="AR10" s="184"/>
      <c r="AS10" s="554"/>
      <c r="AT10" s="190"/>
      <c r="AU10" s="190"/>
      <c r="AV10" s="187"/>
      <c r="AW10" s="184"/>
      <c r="AX10" s="554"/>
    </row>
    <row r="11" spans="1:50" ht="14.25" customHeight="1">
      <c r="B11" s="525"/>
      <c r="C11" s="182">
        <v>5</v>
      </c>
      <c r="D11" s="185"/>
      <c r="E11" s="182"/>
      <c r="F11" s="182"/>
      <c r="G11" s="187"/>
      <c r="H11" s="554"/>
      <c r="I11" s="188"/>
      <c r="J11" s="188"/>
      <c r="K11" s="189"/>
      <c r="L11" s="555"/>
      <c r="M11" s="188"/>
      <c r="N11" s="525"/>
      <c r="O11" s="525"/>
      <c r="P11" s="190"/>
      <c r="Q11" s="190"/>
      <c r="R11" s="187"/>
      <c r="S11" s="184"/>
      <c r="T11" s="554"/>
      <c r="U11" s="190"/>
      <c r="V11" s="190"/>
      <c r="W11" s="187"/>
      <c r="X11" s="184"/>
      <c r="Y11" s="554"/>
      <c r="Z11" s="190"/>
      <c r="AA11" s="190"/>
      <c r="AB11" s="187"/>
      <c r="AC11" s="184"/>
      <c r="AD11" s="554"/>
      <c r="AE11" s="190"/>
      <c r="AF11" s="190"/>
      <c r="AG11" s="187"/>
      <c r="AH11" s="184"/>
      <c r="AI11" s="554"/>
      <c r="AJ11" s="190"/>
      <c r="AK11" s="190"/>
      <c r="AL11" s="187"/>
      <c r="AM11" s="184"/>
      <c r="AN11" s="554"/>
      <c r="AO11" s="190"/>
      <c r="AP11" s="190"/>
      <c r="AQ11" s="187"/>
      <c r="AR11" s="184"/>
      <c r="AS11" s="554"/>
      <c r="AT11" s="190"/>
      <c r="AU11" s="190"/>
      <c r="AV11" s="187"/>
      <c r="AW11" s="184"/>
      <c r="AX11" s="554"/>
    </row>
    <row r="12" spans="1:50" ht="14.25" customHeight="1">
      <c r="B12" s="525"/>
      <c r="C12" s="182">
        <v>6</v>
      </c>
      <c r="D12" s="185"/>
      <c r="E12" s="182"/>
      <c r="F12" s="182"/>
      <c r="G12" s="187"/>
      <c r="H12" s="554"/>
      <c r="I12" s="188"/>
      <c r="J12" s="188"/>
      <c r="K12" s="189"/>
      <c r="L12" s="555"/>
      <c r="M12" s="188"/>
      <c r="N12" s="525"/>
      <c r="O12" s="525"/>
      <c r="P12" s="190"/>
      <c r="Q12" s="190"/>
      <c r="R12" s="187"/>
      <c r="S12" s="184"/>
      <c r="T12" s="554"/>
      <c r="U12" s="190"/>
      <c r="V12" s="190"/>
      <c r="W12" s="187"/>
      <c r="X12" s="184"/>
      <c r="Y12" s="554"/>
      <c r="Z12" s="190"/>
      <c r="AA12" s="190"/>
      <c r="AB12" s="187"/>
      <c r="AC12" s="184"/>
      <c r="AD12" s="554"/>
      <c r="AE12" s="190"/>
      <c r="AF12" s="190"/>
      <c r="AG12" s="187"/>
      <c r="AH12" s="184"/>
      <c r="AI12" s="554"/>
      <c r="AJ12" s="190"/>
      <c r="AK12" s="190"/>
      <c r="AL12" s="187"/>
      <c r="AM12" s="184"/>
      <c r="AN12" s="554"/>
      <c r="AO12" s="190"/>
      <c r="AP12" s="190"/>
      <c r="AQ12" s="187"/>
      <c r="AR12" s="184"/>
      <c r="AS12" s="554"/>
      <c r="AT12" s="190"/>
      <c r="AU12" s="190"/>
      <c r="AV12" s="187"/>
      <c r="AW12" s="184"/>
      <c r="AX12" s="554"/>
    </row>
    <row r="13" spans="1:50" ht="14.25" customHeight="1">
      <c r="B13" s="525"/>
      <c r="C13" s="182">
        <v>7</v>
      </c>
      <c r="D13" s="185"/>
      <c r="E13" s="182"/>
      <c r="F13" s="182"/>
      <c r="G13" s="187"/>
      <c r="H13" s="554"/>
      <c r="I13" s="188"/>
      <c r="J13" s="188"/>
      <c r="K13" s="189"/>
      <c r="L13" s="555"/>
      <c r="M13" s="188"/>
      <c r="N13" s="525"/>
      <c r="O13" s="525"/>
      <c r="P13" s="190"/>
      <c r="Q13" s="190"/>
      <c r="R13" s="187"/>
      <c r="S13" s="184"/>
      <c r="T13" s="554"/>
      <c r="U13" s="190"/>
      <c r="V13" s="190"/>
      <c r="W13" s="187"/>
      <c r="X13" s="184"/>
      <c r="Y13" s="554"/>
      <c r="Z13" s="190"/>
      <c r="AA13" s="190"/>
      <c r="AB13" s="187"/>
      <c r="AC13" s="184"/>
      <c r="AD13" s="554"/>
      <c r="AE13" s="190"/>
      <c r="AF13" s="190"/>
      <c r="AG13" s="187"/>
      <c r="AH13" s="184"/>
      <c r="AI13" s="554"/>
      <c r="AJ13" s="190"/>
      <c r="AK13" s="190"/>
      <c r="AL13" s="187"/>
      <c r="AM13" s="184"/>
      <c r="AN13" s="554"/>
      <c r="AO13" s="190"/>
      <c r="AP13" s="190"/>
      <c r="AQ13" s="187"/>
      <c r="AR13" s="184"/>
      <c r="AS13" s="554"/>
      <c r="AT13" s="190"/>
      <c r="AU13" s="190"/>
      <c r="AV13" s="187"/>
      <c r="AW13" s="184"/>
      <c r="AX13" s="554"/>
    </row>
    <row r="14" spans="1:50" ht="14.25" customHeight="1">
      <c r="B14" s="525"/>
      <c r="C14" s="182">
        <v>8</v>
      </c>
      <c r="D14" s="185"/>
      <c r="E14" s="182"/>
      <c r="F14" s="182"/>
      <c r="G14" s="187"/>
      <c r="H14" s="554"/>
      <c r="I14" s="188"/>
      <c r="J14" s="188"/>
      <c r="K14" s="189"/>
      <c r="L14" s="555"/>
      <c r="M14" s="188"/>
      <c r="N14" s="525"/>
      <c r="O14" s="525"/>
      <c r="P14" s="190"/>
      <c r="Q14" s="190"/>
      <c r="R14" s="187"/>
      <c r="S14" s="184"/>
      <c r="T14" s="554"/>
      <c r="U14" s="190"/>
      <c r="V14" s="190"/>
      <c r="W14" s="187"/>
      <c r="X14" s="184"/>
      <c r="Y14" s="554"/>
      <c r="Z14" s="190"/>
      <c r="AA14" s="190"/>
      <c r="AB14" s="187"/>
      <c r="AC14" s="184"/>
      <c r="AD14" s="554"/>
      <c r="AE14" s="190"/>
      <c r="AF14" s="190"/>
      <c r="AG14" s="187"/>
      <c r="AH14" s="184"/>
      <c r="AI14" s="554"/>
      <c r="AJ14" s="190"/>
      <c r="AK14" s="190"/>
      <c r="AL14" s="187"/>
      <c r="AM14" s="184"/>
      <c r="AN14" s="554"/>
      <c r="AO14" s="190"/>
      <c r="AP14" s="190"/>
      <c r="AQ14" s="187"/>
      <c r="AR14" s="184"/>
      <c r="AS14" s="554"/>
      <c r="AT14" s="190"/>
      <c r="AU14" s="190"/>
      <c r="AV14" s="187"/>
      <c r="AW14" s="184"/>
      <c r="AX14" s="554"/>
    </row>
    <row r="15" spans="1:50" ht="14.25" customHeight="1">
      <c r="B15" s="525"/>
      <c r="C15" s="182">
        <v>9</v>
      </c>
      <c r="D15" s="185"/>
      <c r="E15" s="182"/>
      <c r="F15" s="182"/>
      <c r="G15" s="187"/>
      <c r="H15" s="554"/>
      <c r="I15" s="188"/>
      <c r="J15" s="188"/>
      <c r="K15" s="189"/>
      <c r="L15" s="555"/>
      <c r="M15" s="188"/>
      <c r="N15" s="525"/>
      <c r="O15" s="525"/>
      <c r="P15" s="190"/>
      <c r="Q15" s="190"/>
      <c r="R15" s="187"/>
      <c r="S15" s="184"/>
      <c r="T15" s="554"/>
      <c r="U15" s="190"/>
      <c r="V15" s="190"/>
      <c r="W15" s="187"/>
      <c r="X15" s="184"/>
      <c r="Y15" s="554"/>
      <c r="Z15" s="190"/>
      <c r="AA15" s="190"/>
      <c r="AB15" s="187"/>
      <c r="AC15" s="184"/>
      <c r="AD15" s="554"/>
      <c r="AE15" s="190"/>
      <c r="AF15" s="190"/>
      <c r="AG15" s="187"/>
      <c r="AH15" s="184"/>
      <c r="AI15" s="554"/>
      <c r="AJ15" s="190"/>
      <c r="AK15" s="190"/>
      <c r="AL15" s="187"/>
      <c r="AM15" s="184"/>
      <c r="AN15" s="554"/>
      <c r="AO15" s="190"/>
      <c r="AP15" s="190"/>
      <c r="AQ15" s="187"/>
      <c r="AR15" s="184"/>
      <c r="AS15" s="554"/>
      <c r="AT15" s="190"/>
      <c r="AU15" s="190"/>
      <c r="AV15" s="187"/>
      <c r="AW15" s="184"/>
      <c r="AX15" s="554"/>
    </row>
    <row r="16" spans="1:50" ht="14.25" customHeight="1">
      <c r="B16" s="525"/>
      <c r="C16" s="182">
        <v>10</v>
      </c>
      <c r="D16" s="185"/>
      <c r="E16" s="182"/>
      <c r="F16" s="182"/>
      <c r="G16" s="187"/>
      <c r="H16" s="554"/>
      <c r="I16" s="188"/>
      <c r="J16" s="188"/>
      <c r="K16" s="189"/>
      <c r="L16" s="555"/>
      <c r="M16" s="188"/>
      <c r="N16" s="525"/>
      <c r="O16" s="525"/>
      <c r="P16" s="190"/>
      <c r="Q16" s="190"/>
      <c r="R16" s="187"/>
      <c r="S16" s="184"/>
      <c r="T16" s="554"/>
      <c r="U16" s="190"/>
      <c r="V16" s="190"/>
      <c r="W16" s="187"/>
      <c r="X16" s="184"/>
      <c r="Y16" s="554"/>
      <c r="Z16" s="190"/>
      <c r="AA16" s="190"/>
      <c r="AB16" s="187"/>
      <c r="AC16" s="184"/>
      <c r="AD16" s="554"/>
      <c r="AE16" s="190"/>
      <c r="AF16" s="190"/>
      <c r="AG16" s="187"/>
      <c r="AH16" s="184"/>
      <c r="AI16" s="554"/>
      <c r="AJ16" s="190"/>
      <c r="AK16" s="190"/>
      <c r="AL16" s="187"/>
      <c r="AM16" s="184"/>
      <c r="AN16" s="554"/>
      <c r="AO16" s="190"/>
      <c r="AP16" s="190"/>
      <c r="AQ16" s="187"/>
      <c r="AR16" s="184"/>
      <c r="AS16" s="554"/>
      <c r="AT16" s="190"/>
      <c r="AU16" s="190"/>
      <c r="AV16" s="187"/>
      <c r="AW16" s="184"/>
      <c r="AX16" s="554"/>
    </row>
    <row r="17" spans="2:50" ht="14.25" customHeight="1">
      <c r="B17" s="525"/>
      <c r="C17" s="182">
        <v>11</v>
      </c>
      <c r="D17" s="185"/>
      <c r="E17" s="182"/>
      <c r="F17" s="182"/>
      <c r="G17" s="187"/>
      <c r="H17" s="554"/>
      <c r="I17" s="188"/>
      <c r="J17" s="188"/>
      <c r="K17" s="189"/>
      <c r="L17" s="555"/>
      <c r="M17" s="188"/>
      <c r="N17" s="525"/>
      <c r="O17" s="525"/>
      <c r="P17" s="190"/>
      <c r="Q17" s="190"/>
      <c r="R17" s="187"/>
      <c r="S17" s="184"/>
      <c r="T17" s="554"/>
      <c r="U17" s="190"/>
      <c r="V17" s="190"/>
      <c r="W17" s="187"/>
      <c r="X17" s="184"/>
      <c r="Y17" s="554"/>
      <c r="Z17" s="190"/>
      <c r="AA17" s="190"/>
      <c r="AB17" s="187"/>
      <c r="AC17" s="184"/>
      <c r="AD17" s="554"/>
      <c r="AE17" s="190"/>
      <c r="AF17" s="190"/>
      <c r="AG17" s="187"/>
      <c r="AH17" s="184"/>
      <c r="AI17" s="554"/>
      <c r="AJ17" s="190"/>
      <c r="AK17" s="190"/>
      <c r="AL17" s="187"/>
      <c r="AM17" s="184"/>
      <c r="AN17" s="554"/>
      <c r="AO17" s="190"/>
      <c r="AP17" s="190"/>
      <c r="AQ17" s="187"/>
      <c r="AR17" s="184"/>
      <c r="AS17" s="554"/>
      <c r="AT17" s="190"/>
      <c r="AU17" s="190"/>
      <c r="AV17" s="187"/>
      <c r="AW17" s="184"/>
      <c r="AX17" s="554"/>
    </row>
    <row r="18" spans="2:50" ht="14.25" customHeight="1">
      <c r="B18" s="525"/>
      <c r="C18" s="182">
        <v>12</v>
      </c>
      <c r="D18" s="185"/>
      <c r="E18" s="182"/>
      <c r="F18" s="182"/>
      <c r="G18" s="187"/>
      <c r="H18" s="554"/>
      <c r="I18" s="188"/>
      <c r="J18" s="188"/>
      <c r="K18" s="189"/>
      <c r="L18" s="555"/>
      <c r="M18" s="188"/>
      <c r="N18" s="525"/>
      <c r="O18" s="525"/>
      <c r="P18" s="190"/>
      <c r="Q18" s="190"/>
      <c r="R18" s="187"/>
      <c r="S18" s="184"/>
      <c r="T18" s="554"/>
      <c r="U18" s="190"/>
      <c r="V18" s="190"/>
      <c r="W18" s="187"/>
      <c r="X18" s="184"/>
      <c r="Y18" s="554"/>
      <c r="Z18" s="190"/>
      <c r="AA18" s="190"/>
      <c r="AB18" s="187"/>
      <c r="AC18" s="184"/>
      <c r="AD18" s="554"/>
      <c r="AE18" s="190"/>
      <c r="AF18" s="190"/>
      <c r="AG18" s="187"/>
      <c r="AH18" s="184"/>
      <c r="AI18" s="554"/>
      <c r="AJ18" s="190"/>
      <c r="AK18" s="190"/>
      <c r="AL18" s="187"/>
      <c r="AM18" s="184"/>
      <c r="AN18" s="554"/>
      <c r="AO18" s="190"/>
      <c r="AP18" s="190"/>
      <c r="AQ18" s="187"/>
      <c r="AR18" s="184"/>
      <c r="AS18" s="554"/>
      <c r="AT18" s="190"/>
      <c r="AU18" s="190"/>
      <c r="AV18" s="187"/>
      <c r="AW18" s="184"/>
      <c r="AX18" s="554"/>
    </row>
    <row r="19" spans="2:50" ht="14.25" customHeight="1">
      <c r="B19" s="525"/>
      <c r="C19" s="182">
        <v>13</v>
      </c>
      <c r="D19" s="185"/>
      <c r="E19" s="182"/>
      <c r="F19" s="182"/>
      <c r="G19" s="187"/>
      <c r="H19" s="554"/>
      <c r="I19" s="188"/>
      <c r="J19" s="188"/>
      <c r="K19" s="189"/>
      <c r="L19" s="555"/>
      <c r="M19" s="188"/>
      <c r="N19" s="525"/>
      <c r="O19" s="525"/>
      <c r="P19" s="190"/>
      <c r="Q19" s="190"/>
      <c r="R19" s="187"/>
      <c r="S19" s="184"/>
      <c r="T19" s="554"/>
      <c r="U19" s="190"/>
      <c r="V19" s="190"/>
      <c r="W19" s="187"/>
      <c r="X19" s="184"/>
      <c r="Y19" s="554"/>
      <c r="Z19" s="190"/>
      <c r="AA19" s="190"/>
      <c r="AB19" s="187"/>
      <c r="AC19" s="184"/>
      <c r="AD19" s="554"/>
      <c r="AE19" s="190"/>
      <c r="AF19" s="190"/>
      <c r="AG19" s="187"/>
      <c r="AH19" s="184"/>
      <c r="AI19" s="554"/>
      <c r="AJ19" s="190"/>
      <c r="AK19" s="190"/>
      <c r="AL19" s="187"/>
      <c r="AM19" s="184"/>
      <c r="AN19" s="554"/>
      <c r="AO19" s="190"/>
      <c r="AP19" s="190"/>
      <c r="AQ19" s="187"/>
      <c r="AR19" s="184"/>
      <c r="AS19" s="554"/>
      <c r="AT19" s="190"/>
      <c r="AU19" s="190"/>
      <c r="AV19" s="187"/>
      <c r="AW19" s="184"/>
      <c r="AX19" s="554"/>
    </row>
    <row r="20" spans="2:50" ht="14.25" customHeight="1">
      <c r="B20" s="525"/>
      <c r="C20" s="182">
        <v>14</v>
      </c>
      <c r="D20" s="185"/>
      <c r="E20" s="182"/>
      <c r="F20" s="182"/>
      <c r="G20" s="187"/>
      <c r="H20" s="554"/>
      <c r="I20" s="188"/>
      <c r="J20" s="188"/>
      <c r="K20" s="189"/>
      <c r="L20" s="555"/>
      <c r="M20" s="188"/>
      <c r="N20" s="525"/>
      <c r="O20" s="525"/>
      <c r="P20" s="190"/>
      <c r="Q20" s="190"/>
      <c r="R20" s="187"/>
      <c r="S20" s="184"/>
      <c r="T20" s="554"/>
      <c r="U20" s="190"/>
      <c r="V20" s="190"/>
      <c r="W20" s="187"/>
      <c r="X20" s="184"/>
      <c r="Y20" s="554"/>
      <c r="Z20" s="190"/>
      <c r="AA20" s="190"/>
      <c r="AB20" s="187"/>
      <c r="AC20" s="184"/>
      <c r="AD20" s="554"/>
      <c r="AE20" s="190"/>
      <c r="AF20" s="190"/>
      <c r="AG20" s="187"/>
      <c r="AH20" s="184"/>
      <c r="AI20" s="554"/>
      <c r="AJ20" s="190"/>
      <c r="AK20" s="190"/>
      <c r="AL20" s="187"/>
      <c r="AM20" s="184"/>
      <c r="AN20" s="554"/>
      <c r="AO20" s="190"/>
      <c r="AP20" s="190"/>
      <c r="AQ20" s="187"/>
      <c r="AR20" s="184"/>
      <c r="AS20" s="554"/>
      <c r="AT20" s="190"/>
      <c r="AU20" s="190"/>
      <c r="AV20" s="187"/>
      <c r="AW20" s="184"/>
      <c r="AX20" s="554"/>
    </row>
    <row r="21" spans="2:50" ht="14.25" customHeight="1">
      <c r="B21" s="525"/>
      <c r="C21" s="182">
        <v>15</v>
      </c>
      <c r="D21" s="185"/>
      <c r="E21" s="182"/>
      <c r="F21" s="182"/>
      <c r="G21" s="187"/>
      <c r="H21" s="554"/>
      <c r="I21" s="188"/>
      <c r="J21" s="188"/>
      <c r="K21" s="189"/>
      <c r="L21" s="555"/>
      <c r="M21" s="188"/>
      <c r="N21" s="525"/>
      <c r="O21" s="525"/>
      <c r="P21" s="190"/>
      <c r="Q21" s="190"/>
      <c r="R21" s="187"/>
      <c r="S21" s="184"/>
      <c r="T21" s="554"/>
      <c r="U21" s="190"/>
      <c r="V21" s="190"/>
      <c r="W21" s="187"/>
      <c r="X21" s="184"/>
      <c r="Y21" s="554"/>
      <c r="Z21" s="190"/>
      <c r="AA21" s="190"/>
      <c r="AB21" s="187"/>
      <c r="AC21" s="184"/>
      <c r="AD21" s="554"/>
      <c r="AE21" s="190"/>
      <c r="AF21" s="190"/>
      <c r="AG21" s="187"/>
      <c r="AH21" s="184"/>
      <c r="AI21" s="554"/>
      <c r="AJ21" s="190"/>
      <c r="AK21" s="190"/>
      <c r="AL21" s="187"/>
      <c r="AM21" s="184"/>
      <c r="AN21" s="554"/>
      <c r="AO21" s="190"/>
      <c r="AP21" s="190"/>
      <c r="AQ21" s="187"/>
      <c r="AR21" s="184"/>
      <c r="AS21" s="554"/>
      <c r="AT21" s="190"/>
      <c r="AU21" s="190"/>
      <c r="AV21" s="187"/>
      <c r="AW21" s="184"/>
      <c r="AX21" s="554"/>
    </row>
    <row r="22" spans="2:50" ht="14.25" customHeight="1">
      <c r="B22" s="552" t="s">
        <v>645</v>
      </c>
      <c r="C22" s="535"/>
      <c r="D22" s="535"/>
      <c r="E22" s="535"/>
      <c r="F22" s="535"/>
      <c r="G22" s="535"/>
      <c r="H22" s="535"/>
      <c r="I22" s="535"/>
      <c r="J22" s="535"/>
      <c r="K22" s="535"/>
      <c r="L22" s="535"/>
      <c r="M22" s="536"/>
      <c r="N22" s="564" t="s">
        <v>378</v>
      </c>
      <c r="O22" s="564" t="s">
        <v>105</v>
      </c>
      <c r="P22" s="566">
        <v>46084</v>
      </c>
      <c r="Q22" s="567"/>
      <c r="R22" s="567"/>
      <c r="S22" s="567"/>
      <c r="T22" s="567"/>
      <c r="U22" s="568">
        <v>46085</v>
      </c>
      <c r="V22" s="569"/>
      <c r="W22" s="569"/>
      <c r="X22" s="569"/>
      <c r="Y22" s="569"/>
      <c r="Z22" s="566">
        <v>46086</v>
      </c>
      <c r="AA22" s="567"/>
      <c r="AB22" s="567"/>
      <c r="AC22" s="567"/>
      <c r="AD22" s="567"/>
      <c r="AE22" s="568">
        <v>46087</v>
      </c>
      <c r="AF22" s="569"/>
      <c r="AG22" s="569"/>
      <c r="AH22" s="569"/>
      <c r="AI22" s="569"/>
      <c r="AJ22" s="556">
        <v>46088</v>
      </c>
      <c r="AK22" s="557"/>
      <c r="AL22" s="557"/>
      <c r="AM22" s="557"/>
      <c r="AN22" s="558"/>
      <c r="AO22" s="568">
        <v>46089</v>
      </c>
      <c r="AP22" s="569"/>
      <c r="AQ22" s="569"/>
      <c r="AR22" s="569"/>
      <c r="AS22" s="569"/>
      <c r="AT22" s="556">
        <v>46090</v>
      </c>
      <c r="AU22" s="557"/>
      <c r="AV22" s="557"/>
      <c r="AW22" s="557"/>
      <c r="AX22" s="558"/>
    </row>
    <row r="23" spans="2:50" ht="14.25" customHeight="1">
      <c r="B23" s="537"/>
      <c r="C23" s="537"/>
      <c r="D23" s="537"/>
      <c r="E23" s="537"/>
      <c r="F23" s="537"/>
      <c r="G23" s="537"/>
      <c r="H23" s="537"/>
      <c r="I23" s="537"/>
      <c r="J23" s="537"/>
      <c r="K23" s="537"/>
      <c r="L23" s="537"/>
      <c r="M23" s="538"/>
      <c r="N23" s="565"/>
      <c r="O23" s="565"/>
      <c r="P23" s="559">
        <v>46084</v>
      </c>
      <c r="Q23" s="559"/>
      <c r="R23" s="559"/>
      <c r="S23" s="559"/>
      <c r="T23" s="559"/>
      <c r="U23" s="560">
        <v>46085</v>
      </c>
      <c r="V23" s="560"/>
      <c r="W23" s="560"/>
      <c r="X23" s="560"/>
      <c r="Y23" s="560"/>
      <c r="Z23" s="559">
        <v>46086</v>
      </c>
      <c r="AA23" s="559"/>
      <c r="AB23" s="559"/>
      <c r="AC23" s="559"/>
      <c r="AD23" s="559"/>
      <c r="AE23" s="560">
        <v>46087</v>
      </c>
      <c r="AF23" s="560"/>
      <c r="AG23" s="560"/>
      <c r="AH23" s="560"/>
      <c r="AI23" s="560"/>
      <c r="AJ23" s="561">
        <v>46088</v>
      </c>
      <c r="AK23" s="562"/>
      <c r="AL23" s="562"/>
      <c r="AM23" s="562"/>
      <c r="AN23" s="563"/>
      <c r="AO23" s="560">
        <v>46089</v>
      </c>
      <c r="AP23" s="560"/>
      <c r="AQ23" s="560"/>
      <c r="AR23" s="560"/>
      <c r="AS23" s="560"/>
      <c r="AT23" s="561">
        <v>46090</v>
      </c>
      <c r="AU23" s="562"/>
      <c r="AV23" s="562"/>
      <c r="AW23" s="562"/>
      <c r="AX23" s="563"/>
    </row>
    <row r="24" spans="2:50" ht="14.25" customHeight="1">
      <c r="B24" s="525" t="s">
        <v>164</v>
      </c>
      <c r="C24" s="525" t="s">
        <v>159</v>
      </c>
      <c r="D24" s="525"/>
      <c r="E24" s="525" t="s">
        <v>160</v>
      </c>
      <c r="F24" s="525"/>
      <c r="G24" s="525"/>
      <c r="H24" s="525" t="s">
        <v>165</v>
      </c>
      <c r="I24" s="544" t="s">
        <v>379</v>
      </c>
      <c r="J24" s="544"/>
      <c r="K24" s="544"/>
      <c r="L24" s="544" t="s">
        <v>165</v>
      </c>
      <c r="M24" s="544" t="s">
        <v>167</v>
      </c>
      <c r="N24" s="525"/>
      <c r="O24" s="525" t="s">
        <v>166</v>
      </c>
      <c r="P24" s="525" t="s">
        <v>162</v>
      </c>
      <c r="Q24" s="525"/>
      <c r="R24" s="525"/>
      <c r="S24" s="525"/>
      <c r="T24" s="525" t="s">
        <v>165</v>
      </c>
      <c r="U24" s="525" t="s">
        <v>162</v>
      </c>
      <c r="V24" s="525"/>
      <c r="W24" s="525"/>
      <c r="X24" s="525"/>
      <c r="Y24" s="525" t="s">
        <v>165</v>
      </c>
      <c r="Z24" s="525" t="s">
        <v>162</v>
      </c>
      <c r="AA24" s="525"/>
      <c r="AB24" s="525"/>
      <c r="AC24" s="525"/>
      <c r="AD24" s="525" t="s">
        <v>165</v>
      </c>
      <c r="AE24" s="525" t="s">
        <v>162</v>
      </c>
      <c r="AF24" s="525"/>
      <c r="AG24" s="525"/>
      <c r="AH24" s="525"/>
      <c r="AI24" s="525" t="s">
        <v>165</v>
      </c>
      <c r="AJ24" s="525" t="s">
        <v>162</v>
      </c>
      <c r="AK24" s="525"/>
      <c r="AL24" s="525"/>
      <c r="AM24" s="525"/>
      <c r="AN24" s="525" t="s">
        <v>165</v>
      </c>
      <c r="AO24" s="525" t="s">
        <v>162</v>
      </c>
      <c r="AP24" s="525"/>
      <c r="AQ24" s="525"/>
      <c r="AR24" s="525"/>
      <c r="AS24" s="525" t="s">
        <v>165</v>
      </c>
      <c r="AT24" s="525" t="s">
        <v>162</v>
      </c>
      <c r="AU24" s="525"/>
      <c r="AV24" s="525"/>
      <c r="AW24" s="525"/>
      <c r="AX24" s="525" t="s">
        <v>165</v>
      </c>
    </row>
    <row r="25" spans="2:50" ht="14.25" customHeight="1">
      <c r="B25" s="525"/>
      <c r="C25" s="525"/>
      <c r="D25" s="525"/>
      <c r="E25" s="525" t="s">
        <v>380</v>
      </c>
      <c r="F25" s="525"/>
      <c r="G25" s="525"/>
      <c r="H25" s="525"/>
      <c r="I25" s="544" t="s">
        <v>380</v>
      </c>
      <c r="J25" s="544"/>
      <c r="K25" s="544"/>
      <c r="L25" s="544"/>
      <c r="M25" s="544"/>
      <c r="N25" s="525"/>
      <c r="O25" s="525"/>
      <c r="P25" s="525" t="s">
        <v>381</v>
      </c>
      <c r="Q25" s="525"/>
      <c r="R25" s="525"/>
      <c r="S25" s="525"/>
      <c r="T25" s="525"/>
      <c r="U25" s="525" t="s">
        <v>381</v>
      </c>
      <c r="V25" s="525"/>
      <c r="W25" s="525"/>
      <c r="X25" s="525"/>
      <c r="Y25" s="525"/>
      <c r="Z25" s="525" t="s">
        <v>381</v>
      </c>
      <c r="AA25" s="525"/>
      <c r="AB25" s="525"/>
      <c r="AC25" s="525"/>
      <c r="AD25" s="525"/>
      <c r="AE25" s="525" t="s">
        <v>381</v>
      </c>
      <c r="AF25" s="525"/>
      <c r="AG25" s="525"/>
      <c r="AH25" s="525"/>
      <c r="AI25" s="525"/>
      <c r="AJ25" s="525" t="s">
        <v>381</v>
      </c>
      <c r="AK25" s="525"/>
      <c r="AL25" s="525"/>
      <c r="AM25" s="525"/>
      <c r="AN25" s="525"/>
      <c r="AO25" s="525" t="s">
        <v>381</v>
      </c>
      <c r="AP25" s="525"/>
      <c r="AQ25" s="525"/>
      <c r="AR25" s="525"/>
      <c r="AS25" s="525"/>
      <c r="AT25" s="525" t="s">
        <v>381</v>
      </c>
      <c r="AU25" s="525"/>
      <c r="AV25" s="525"/>
      <c r="AW25" s="525"/>
      <c r="AX25" s="525"/>
    </row>
    <row r="26" spans="2:50" ht="14.25" customHeight="1">
      <c r="B26" s="525"/>
      <c r="C26" s="525"/>
      <c r="D26" s="525"/>
      <c r="E26" s="182" t="s">
        <v>161</v>
      </c>
      <c r="F26" s="182" t="s">
        <v>382</v>
      </c>
      <c r="G26" s="182" t="s">
        <v>163</v>
      </c>
      <c r="H26" s="525"/>
      <c r="I26" s="183" t="s">
        <v>161</v>
      </c>
      <c r="J26" s="183" t="s">
        <v>382</v>
      </c>
      <c r="K26" s="183" t="s">
        <v>163</v>
      </c>
      <c r="L26" s="544"/>
      <c r="M26" s="544"/>
      <c r="N26" s="525"/>
      <c r="O26" s="525"/>
      <c r="P26" s="182" t="s">
        <v>161</v>
      </c>
      <c r="Q26" s="182" t="s">
        <v>382</v>
      </c>
      <c r="R26" s="182" t="s">
        <v>163</v>
      </c>
      <c r="S26" s="184" t="s">
        <v>167</v>
      </c>
      <c r="T26" s="525"/>
      <c r="U26" s="182" t="s">
        <v>161</v>
      </c>
      <c r="V26" s="182" t="s">
        <v>382</v>
      </c>
      <c r="W26" s="182" t="s">
        <v>163</v>
      </c>
      <c r="X26" s="184" t="s">
        <v>167</v>
      </c>
      <c r="Y26" s="525"/>
      <c r="Z26" s="182" t="s">
        <v>161</v>
      </c>
      <c r="AA26" s="182" t="s">
        <v>382</v>
      </c>
      <c r="AB26" s="182" t="s">
        <v>163</v>
      </c>
      <c r="AC26" s="184" t="s">
        <v>167</v>
      </c>
      <c r="AD26" s="525"/>
      <c r="AE26" s="182" t="s">
        <v>161</v>
      </c>
      <c r="AF26" s="182" t="s">
        <v>382</v>
      </c>
      <c r="AG26" s="182" t="s">
        <v>163</v>
      </c>
      <c r="AH26" s="184" t="s">
        <v>167</v>
      </c>
      <c r="AI26" s="525"/>
      <c r="AJ26" s="182" t="s">
        <v>161</v>
      </c>
      <c r="AK26" s="182" t="s">
        <v>382</v>
      </c>
      <c r="AL26" s="182" t="s">
        <v>163</v>
      </c>
      <c r="AM26" s="184" t="s">
        <v>167</v>
      </c>
      <c r="AN26" s="525"/>
      <c r="AO26" s="182" t="s">
        <v>161</v>
      </c>
      <c r="AP26" s="182" t="s">
        <v>382</v>
      </c>
      <c r="AQ26" s="182" t="s">
        <v>163</v>
      </c>
      <c r="AR26" s="184" t="s">
        <v>167</v>
      </c>
      <c r="AS26" s="525"/>
      <c r="AT26" s="182" t="s">
        <v>161</v>
      </c>
      <c r="AU26" s="182" t="s">
        <v>382</v>
      </c>
      <c r="AV26" s="182" t="s">
        <v>163</v>
      </c>
      <c r="AW26" s="184" t="s">
        <v>167</v>
      </c>
      <c r="AX26" s="525"/>
    </row>
    <row r="27" spans="2:50" ht="14.25" customHeight="1">
      <c r="B27" s="570" t="s">
        <v>457</v>
      </c>
      <c r="C27" s="182">
        <v>1</v>
      </c>
      <c r="D27" s="185" t="s">
        <v>357</v>
      </c>
      <c r="E27" s="182">
        <v>21</v>
      </c>
      <c r="F27" s="182">
        <v>2790</v>
      </c>
      <c r="G27" s="187">
        <f t="shared" ref="G27:G28" si="21">F27/E27</f>
        <v>132.85714285714286</v>
      </c>
      <c r="H27" s="554">
        <f>AVERAGE(G27:G41)</f>
        <v>366.42857142857144</v>
      </c>
      <c r="I27" s="188">
        <f>AVERAGE(P27,U27,Z27,AE27,AJ27,AO27,AT27)</f>
        <v>22.142857142857142</v>
      </c>
      <c r="J27" s="188">
        <f>AVERAGE(Q27,V27,AA27,AF27,AK27,AP27,AU27)</f>
        <v>2655.1279573822417</v>
      </c>
      <c r="K27" s="189">
        <f>AVERAGE(R27,W27,AB27,AG27,AL27,AQ27,AV27)</f>
        <v>119.8627617492419</v>
      </c>
      <c r="L27" s="555">
        <f>IFERROR(AVERAGE(K27:K41),"-")</f>
        <v>330.85324673676564</v>
      </c>
      <c r="M27" s="188">
        <f>RANK(K27, K$27:$K$41)</f>
        <v>2</v>
      </c>
      <c r="N27" s="525"/>
      <c r="O27" s="525"/>
      <c r="P27" s="190">
        <v>22</v>
      </c>
      <c r="Q27" s="190">
        <v>2627.2300469483571</v>
      </c>
      <c r="R27" s="187">
        <f>IFERROR(Q27/P27,"")</f>
        <v>119.41954758856168</v>
      </c>
      <c r="S27" s="184">
        <f>RANK(R27, R$27:R$41)</f>
        <v>2</v>
      </c>
      <c r="T27" s="554">
        <f>AVERAGE(R27:R41)</f>
        <v>330.51722721043058</v>
      </c>
      <c r="U27" s="190">
        <v>22</v>
      </c>
      <c r="V27" s="190">
        <v>2626.9714285714258</v>
      </c>
      <c r="W27" s="187">
        <f t="shared" ref="W27:W28" si="22">IFERROR(V27/U27,"")</f>
        <v>119.40779220779208</v>
      </c>
      <c r="X27" s="184">
        <f>RANK(W27, W$27:W$41)</f>
        <v>2</v>
      </c>
      <c r="Y27" s="554">
        <f>AVERAGE(W27:W41)</f>
        <v>330.62550627338771</v>
      </c>
      <c r="Z27" s="190">
        <v>23</v>
      </c>
      <c r="AA27" s="190">
        <v>2787.8293135436033</v>
      </c>
      <c r="AB27" s="187">
        <f t="shared" ref="AB27:AB28" si="23">IFERROR(AA27/Z27,"")</f>
        <v>121.20997015406971</v>
      </c>
      <c r="AC27" s="184">
        <f>RANK(AB27, AB$27:AB$41)</f>
        <v>2</v>
      </c>
      <c r="AD27" s="554">
        <f>AVERAGE(AB27:AB41)</f>
        <v>331.50909466607538</v>
      </c>
      <c r="AE27" s="190">
        <v>23</v>
      </c>
      <c r="AF27" s="190">
        <v>2788.0794701986729</v>
      </c>
      <c r="AG27" s="187">
        <f>IFERROR(AF27/AE27,"")</f>
        <v>121.22084653037709</v>
      </c>
      <c r="AH27" s="184">
        <f>RANK(AG27, AG$27:AG$41)</f>
        <v>2</v>
      </c>
      <c r="AI27" s="554">
        <f>AVERAGE(AG27:AG41)</f>
        <v>331.56968739133811</v>
      </c>
      <c r="AJ27" s="190">
        <v>23</v>
      </c>
      <c r="AK27" s="190">
        <v>2787.378640776702</v>
      </c>
      <c r="AL27" s="187">
        <f t="shared" ref="AL27:AL28" si="24">IFERROR(AK27/AJ27,"")</f>
        <v>121.19037568594356</v>
      </c>
      <c r="AM27" s="184">
        <f>RANK(AL27, AL$27:AL$41)</f>
        <v>2</v>
      </c>
      <c r="AN27" s="554">
        <f>AVERAGE(AL27:AL41)</f>
        <v>331.57935073890013</v>
      </c>
      <c r="AO27" s="190">
        <v>21</v>
      </c>
      <c r="AP27" s="190">
        <v>2484.2264150943406</v>
      </c>
      <c r="AQ27" s="187">
        <f t="shared" ref="AQ27:AQ28" si="25">IFERROR(AP27/AO27,"")</f>
        <v>118.29649595687336</v>
      </c>
      <c r="AR27" s="184">
        <f>RANK(AQ27, AQ$27:AQ$41)</f>
        <v>2</v>
      </c>
      <c r="AS27" s="554">
        <f>AVERAGE(AQ27:AQ41)</f>
        <v>330.09587890112971</v>
      </c>
      <c r="AT27" s="190">
        <v>21</v>
      </c>
      <c r="AU27" s="190">
        <v>2484.1803865425895</v>
      </c>
      <c r="AV27" s="187">
        <f t="shared" ref="AV27:AV28" si="26">IFERROR(AU27/AT27,"")</f>
        <v>118.2943041210757</v>
      </c>
      <c r="AW27" s="184">
        <f>RANK(AV27, AV$27:AV$41)</f>
        <v>2</v>
      </c>
      <c r="AX27" s="554">
        <f>AVERAGE(AV27:AV41)</f>
        <v>330.07598197609764</v>
      </c>
    </row>
    <row r="28" spans="2:50" ht="14.25" customHeight="1">
      <c r="B28" s="525"/>
      <c r="C28" s="182">
        <v>2</v>
      </c>
      <c r="D28" s="185" t="s">
        <v>611</v>
      </c>
      <c r="E28" s="182">
        <v>6</v>
      </c>
      <c r="F28" s="182">
        <v>3600</v>
      </c>
      <c r="G28" s="187">
        <f t="shared" si="21"/>
        <v>600</v>
      </c>
      <c r="H28" s="554"/>
      <c r="I28" s="188">
        <f t="shared" ref="I28:K28" si="27">AVERAGE(P28,U28,Z28,AE28,AJ28,AO28,AT28)</f>
        <v>6</v>
      </c>
      <c r="J28" s="188">
        <f t="shared" si="27"/>
        <v>3251.0623903457367</v>
      </c>
      <c r="K28" s="189">
        <f t="shared" si="27"/>
        <v>541.84373172428934</v>
      </c>
      <c r="L28" s="555"/>
      <c r="M28" s="188">
        <f>RANK(K28, K$27:$K$41)</f>
        <v>1</v>
      </c>
      <c r="N28" s="525"/>
      <c r="O28" s="525"/>
      <c r="P28" s="190">
        <v>6</v>
      </c>
      <c r="Q28" s="190">
        <v>3249.6894409937968</v>
      </c>
      <c r="R28" s="187">
        <f t="shared" ref="R28" si="28">IFERROR(Q28/P28,"")</f>
        <v>541.61490683229943</v>
      </c>
      <c r="S28" s="184">
        <f>RANK(R28, R$27:R$41)</f>
        <v>1</v>
      </c>
      <c r="T28" s="554"/>
      <c r="U28" s="190">
        <v>6</v>
      </c>
      <c r="V28" s="190">
        <v>3251.0593220338997</v>
      </c>
      <c r="W28" s="187">
        <f t="shared" si="22"/>
        <v>541.84322033898331</v>
      </c>
      <c r="X28" s="184">
        <f>RANK(W28, W$27:W$41)</f>
        <v>1</v>
      </c>
      <c r="Y28" s="554"/>
      <c r="Z28" s="190">
        <v>6</v>
      </c>
      <c r="AA28" s="190">
        <v>3250.8493150684862</v>
      </c>
      <c r="AB28" s="187">
        <f t="shared" si="23"/>
        <v>541.808219178081</v>
      </c>
      <c r="AC28" s="184">
        <f>RANK(AB28, AB$27:AB$41)</f>
        <v>1</v>
      </c>
      <c r="AD28" s="554"/>
      <c r="AE28" s="190">
        <v>6</v>
      </c>
      <c r="AF28" s="190">
        <v>3251.5111695137948</v>
      </c>
      <c r="AG28" s="187">
        <f t="shared" ref="AG28" si="29">IFERROR(AF28/AE28,"")</f>
        <v>541.9185282522991</v>
      </c>
      <c r="AH28" s="184">
        <f>RANK(AG28, AG$27:AG$41)</f>
        <v>1</v>
      </c>
      <c r="AI28" s="554"/>
      <c r="AJ28" s="190">
        <v>6</v>
      </c>
      <c r="AK28" s="190">
        <v>3251.8099547511406</v>
      </c>
      <c r="AL28" s="187">
        <f t="shared" si="24"/>
        <v>541.96832579185673</v>
      </c>
      <c r="AM28" s="184">
        <f>RANK(AL28, AL$27:AL$41)</f>
        <v>1</v>
      </c>
      <c r="AN28" s="554"/>
      <c r="AO28" s="190">
        <v>6</v>
      </c>
      <c r="AP28" s="190">
        <v>3251.3715710723159</v>
      </c>
      <c r="AQ28" s="187">
        <f t="shared" si="25"/>
        <v>541.89526184538602</v>
      </c>
      <c r="AR28" s="184">
        <f>RANK(AQ28, AQ$27:AQ$41)</f>
        <v>1</v>
      </c>
      <c r="AS28" s="554"/>
      <c r="AT28" s="190">
        <v>6</v>
      </c>
      <c r="AU28" s="190">
        <v>3251.1459589867177</v>
      </c>
      <c r="AV28" s="187">
        <f t="shared" si="26"/>
        <v>541.85765983111958</v>
      </c>
      <c r="AW28" s="184">
        <f>RANK(AV28, AV$27:AV$41)</f>
        <v>1</v>
      </c>
      <c r="AX28" s="554"/>
    </row>
    <row r="29" spans="2:50" ht="14.25" customHeight="1">
      <c r="B29" s="525"/>
      <c r="C29" s="182">
        <v>3</v>
      </c>
      <c r="D29" s="185"/>
      <c r="E29" s="182"/>
      <c r="F29" s="182"/>
      <c r="G29" s="187"/>
      <c r="H29" s="554"/>
      <c r="I29" s="188"/>
      <c r="J29" s="188"/>
      <c r="K29" s="189"/>
      <c r="L29" s="555"/>
      <c r="M29" s="188"/>
      <c r="N29" s="525"/>
      <c r="O29" s="525"/>
      <c r="P29" s="190"/>
      <c r="Q29" s="190"/>
      <c r="R29" s="187"/>
      <c r="S29" s="184"/>
      <c r="T29" s="554"/>
      <c r="U29" s="190"/>
      <c r="V29" s="190"/>
      <c r="W29" s="187"/>
      <c r="X29" s="184"/>
      <c r="Y29" s="554"/>
      <c r="Z29" s="190"/>
      <c r="AA29" s="190"/>
      <c r="AB29" s="187"/>
      <c r="AC29" s="184"/>
      <c r="AD29" s="554"/>
      <c r="AE29" s="190"/>
      <c r="AF29" s="190"/>
      <c r="AG29" s="187"/>
      <c r="AH29" s="184"/>
      <c r="AI29" s="554"/>
      <c r="AJ29" s="190"/>
      <c r="AK29" s="190"/>
      <c r="AL29" s="187"/>
      <c r="AM29" s="184"/>
      <c r="AN29" s="554"/>
      <c r="AO29" s="190"/>
      <c r="AP29" s="190"/>
      <c r="AQ29" s="187"/>
      <c r="AR29" s="184"/>
      <c r="AS29" s="554"/>
      <c r="AT29" s="190"/>
      <c r="AU29" s="190"/>
      <c r="AV29" s="187"/>
      <c r="AW29" s="184"/>
      <c r="AX29" s="554"/>
    </row>
    <row r="30" spans="2:50" ht="14.25" customHeight="1">
      <c r="B30" s="525"/>
      <c r="C30" s="182">
        <v>4</v>
      </c>
      <c r="D30" s="185"/>
      <c r="E30" s="182"/>
      <c r="F30" s="182"/>
      <c r="G30" s="187"/>
      <c r="H30" s="554"/>
      <c r="I30" s="188"/>
      <c r="J30" s="188"/>
      <c r="K30" s="189"/>
      <c r="L30" s="555"/>
      <c r="M30" s="188"/>
      <c r="N30" s="525"/>
      <c r="O30" s="525"/>
      <c r="P30" s="190"/>
      <c r="Q30" s="190"/>
      <c r="R30" s="187"/>
      <c r="S30" s="184"/>
      <c r="T30" s="554"/>
      <c r="U30" s="190"/>
      <c r="V30" s="190"/>
      <c r="W30" s="187"/>
      <c r="X30" s="184"/>
      <c r="Y30" s="554"/>
      <c r="Z30" s="190"/>
      <c r="AA30" s="190"/>
      <c r="AB30" s="187"/>
      <c r="AC30" s="184"/>
      <c r="AD30" s="554"/>
      <c r="AE30" s="190"/>
      <c r="AF30" s="190"/>
      <c r="AG30" s="187"/>
      <c r="AH30" s="184"/>
      <c r="AI30" s="554"/>
      <c r="AJ30" s="190"/>
      <c r="AK30" s="190"/>
      <c r="AL30" s="187"/>
      <c r="AM30" s="184"/>
      <c r="AN30" s="554"/>
      <c r="AO30" s="190"/>
      <c r="AP30" s="190"/>
      <c r="AQ30" s="187"/>
      <c r="AR30" s="184"/>
      <c r="AS30" s="554"/>
      <c r="AT30" s="190"/>
      <c r="AU30" s="190"/>
      <c r="AV30" s="187"/>
      <c r="AW30" s="184"/>
      <c r="AX30" s="554"/>
    </row>
    <row r="31" spans="2:50" ht="14.25" customHeight="1">
      <c r="B31" s="525"/>
      <c r="C31" s="182">
        <v>5</v>
      </c>
      <c r="D31" s="185"/>
      <c r="E31" s="182"/>
      <c r="F31" s="182"/>
      <c r="G31" s="187"/>
      <c r="H31" s="554"/>
      <c r="I31" s="188"/>
      <c r="J31" s="188"/>
      <c r="K31" s="189"/>
      <c r="L31" s="555"/>
      <c r="M31" s="188"/>
      <c r="N31" s="525"/>
      <c r="O31" s="525"/>
      <c r="P31" s="190"/>
      <c r="Q31" s="190"/>
      <c r="R31" s="187"/>
      <c r="S31" s="184"/>
      <c r="T31" s="554"/>
      <c r="U31" s="190"/>
      <c r="V31" s="190"/>
      <c r="W31" s="187"/>
      <c r="X31" s="184"/>
      <c r="Y31" s="554"/>
      <c r="Z31" s="190"/>
      <c r="AA31" s="190"/>
      <c r="AB31" s="187"/>
      <c r="AC31" s="184"/>
      <c r="AD31" s="554"/>
      <c r="AE31" s="190"/>
      <c r="AF31" s="190"/>
      <c r="AG31" s="187"/>
      <c r="AH31" s="184"/>
      <c r="AI31" s="554"/>
      <c r="AJ31" s="190"/>
      <c r="AK31" s="190"/>
      <c r="AL31" s="187"/>
      <c r="AM31" s="184"/>
      <c r="AN31" s="554"/>
      <c r="AO31" s="190"/>
      <c r="AP31" s="190"/>
      <c r="AQ31" s="187"/>
      <c r="AR31" s="184"/>
      <c r="AS31" s="554"/>
      <c r="AT31" s="190"/>
      <c r="AU31" s="190"/>
      <c r="AV31" s="187"/>
      <c r="AW31" s="184"/>
      <c r="AX31" s="554"/>
    </row>
    <row r="32" spans="2:50" ht="14.25" customHeight="1">
      <c r="B32" s="525"/>
      <c r="C32" s="182">
        <v>6</v>
      </c>
      <c r="D32" s="185"/>
      <c r="E32" s="182"/>
      <c r="F32" s="182"/>
      <c r="G32" s="187"/>
      <c r="H32" s="554"/>
      <c r="I32" s="188"/>
      <c r="J32" s="188"/>
      <c r="K32" s="189"/>
      <c r="L32" s="555"/>
      <c r="M32" s="188"/>
      <c r="N32" s="525"/>
      <c r="O32" s="525"/>
      <c r="P32" s="190"/>
      <c r="Q32" s="190"/>
      <c r="R32" s="187"/>
      <c r="S32" s="184"/>
      <c r="T32" s="554"/>
      <c r="U32" s="190"/>
      <c r="V32" s="190"/>
      <c r="W32" s="187"/>
      <c r="X32" s="184"/>
      <c r="Y32" s="554"/>
      <c r="Z32" s="190"/>
      <c r="AA32" s="190"/>
      <c r="AB32" s="187"/>
      <c r="AC32" s="184"/>
      <c r="AD32" s="554"/>
      <c r="AE32" s="190"/>
      <c r="AF32" s="190"/>
      <c r="AG32" s="187"/>
      <c r="AH32" s="184"/>
      <c r="AI32" s="554"/>
      <c r="AJ32" s="190"/>
      <c r="AK32" s="190"/>
      <c r="AL32" s="187"/>
      <c r="AM32" s="184"/>
      <c r="AN32" s="554"/>
      <c r="AO32" s="190"/>
      <c r="AP32" s="190"/>
      <c r="AQ32" s="187"/>
      <c r="AR32" s="184"/>
      <c r="AS32" s="554"/>
      <c r="AT32" s="190"/>
      <c r="AU32" s="190"/>
      <c r="AV32" s="187"/>
      <c r="AW32" s="184"/>
      <c r="AX32" s="554"/>
    </row>
    <row r="33" spans="2:50" ht="14.25" customHeight="1">
      <c r="B33" s="525"/>
      <c r="C33" s="182">
        <v>7</v>
      </c>
      <c r="D33" s="185"/>
      <c r="E33" s="182"/>
      <c r="F33" s="182"/>
      <c r="G33" s="187"/>
      <c r="H33" s="554"/>
      <c r="I33" s="188"/>
      <c r="J33" s="188"/>
      <c r="K33" s="189"/>
      <c r="L33" s="555"/>
      <c r="M33" s="188"/>
      <c r="N33" s="525"/>
      <c r="O33" s="525"/>
      <c r="P33" s="190"/>
      <c r="Q33" s="190"/>
      <c r="R33" s="187"/>
      <c r="S33" s="184"/>
      <c r="T33" s="554"/>
      <c r="U33" s="190"/>
      <c r="V33" s="190"/>
      <c r="W33" s="187"/>
      <c r="X33" s="184"/>
      <c r="Y33" s="554"/>
      <c r="Z33" s="190"/>
      <c r="AA33" s="190"/>
      <c r="AB33" s="187"/>
      <c r="AC33" s="184"/>
      <c r="AD33" s="554"/>
      <c r="AE33" s="190"/>
      <c r="AF33" s="190"/>
      <c r="AG33" s="187"/>
      <c r="AH33" s="184"/>
      <c r="AI33" s="554"/>
      <c r="AJ33" s="190"/>
      <c r="AK33" s="190"/>
      <c r="AL33" s="187"/>
      <c r="AM33" s="184"/>
      <c r="AN33" s="554"/>
      <c r="AO33" s="190"/>
      <c r="AP33" s="190"/>
      <c r="AQ33" s="187"/>
      <c r="AR33" s="184"/>
      <c r="AS33" s="554"/>
      <c r="AT33" s="190"/>
      <c r="AU33" s="190"/>
      <c r="AV33" s="187"/>
      <c r="AW33" s="184"/>
      <c r="AX33" s="554"/>
    </row>
    <row r="34" spans="2:50" ht="14.25" customHeight="1">
      <c r="B34" s="525"/>
      <c r="C34" s="182">
        <v>8</v>
      </c>
      <c r="D34" s="185"/>
      <c r="E34" s="182"/>
      <c r="F34" s="182"/>
      <c r="G34" s="187"/>
      <c r="H34" s="554"/>
      <c r="I34" s="188"/>
      <c r="J34" s="188"/>
      <c r="K34" s="189"/>
      <c r="L34" s="555"/>
      <c r="M34" s="188"/>
      <c r="N34" s="525"/>
      <c r="O34" s="525"/>
      <c r="P34" s="190"/>
      <c r="Q34" s="190"/>
      <c r="R34" s="187"/>
      <c r="S34" s="184"/>
      <c r="T34" s="554"/>
      <c r="U34" s="190"/>
      <c r="V34" s="190"/>
      <c r="W34" s="187"/>
      <c r="X34" s="184"/>
      <c r="Y34" s="554"/>
      <c r="Z34" s="190"/>
      <c r="AA34" s="190"/>
      <c r="AB34" s="187"/>
      <c r="AC34" s="184"/>
      <c r="AD34" s="554"/>
      <c r="AE34" s="190"/>
      <c r="AF34" s="190"/>
      <c r="AG34" s="187"/>
      <c r="AH34" s="184"/>
      <c r="AI34" s="554"/>
      <c r="AJ34" s="190"/>
      <c r="AK34" s="190"/>
      <c r="AL34" s="187"/>
      <c r="AM34" s="184"/>
      <c r="AN34" s="554"/>
      <c r="AO34" s="190"/>
      <c r="AP34" s="190"/>
      <c r="AQ34" s="187"/>
      <c r="AR34" s="184"/>
      <c r="AS34" s="554"/>
      <c r="AT34" s="190"/>
      <c r="AU34" s="190"/>
      <c r="AV34" s="187"/>
      <c r="AW34" s="184"/>
      <c r="AX34" s="554"/>
    </row>
    <row r="35" spans="2:50" ht="14.25" customHeight="1">
      <c r="B35" s="525"/>
      <c r="C35" s="182">
        <v>9</v>
      </c>
      <c r="D35" s="185"/>
      <c r="E35" s="182"/>
      <c r="F35" s="182"/>
      <c r="G35" s="187"/>
      <c r="H35" s="554"/>
      <c r="I35" s="188"/>
      <c r="J35" s="188"/>
      <c r="K35" s="189"/>
      <c r="L35" s="555"/>
      <c r="M35" s="188"/>
      <c r="N35" s="525"/>
      <c r="O35" s="525"/>
      <c r="P35" s="190"/>
      <c r="Q35" s="190"/>
      <c r="R35" s="187"/>
      <c r="S35" s="184"/>
      <c r="T35" s="554"/>
      <c r="U35" s="190"/>
      <c r="V35" s="190"/>
      <c r="W35" s="187"/>
      <c r="X35" s="184"/>
      <c r="Y35" s="554"/>
      <c r="Z35" s="190"/>
      <c r="AA35" s="190"/>
      <c r="AB35" s="187"/>
      <c r="AC35" s="184"/>
      <c r="AD35" s="554"/>
      <c r="AE35" s="190"/>
      <c r="AF35" s="190"/>
      <c r="AG35" s="187"/>
      <c r="AH35" s="184"/>
      <c r="AI35" s="554"/>
      <c r="AJ35" s="190"/>
      <c r="AK35" s="190"/>
      <c r="AL35" s="187"/>
      <c r="AM35" s="184"/>
      <c r="AN35" s="554"/>
      <c r="AO35" s="190"/>
      <c r="AP35" s="190"/>
      <c r="AQ35" s="187"/>
      <c r="AR35" s="184"/>
      <c r="AS35" s="554"/>
      <c r="AT35" s="190"/>
      <c r="AU35" s="190"/>
      <c r="AV35" s="187"/>
      <c r="AW35" s="184"/>
      <c r="AX35" s="554"/>
    </row>
    <row r="36" spans="2:50" ht="14.25" customHeight="1">
      <c r="B36" s="525"/>
      <c r="C36" s="182">
        <v>10</v>
      </c>
      <c r="D36" s="185"/>
      <c r="E36" s="182"/>
      <c r="F36" s="182"/>
      <c r="G36" s="187"/>
      <c r="H36" s="554"/>
      <c r="I36" s="188"/>
      <c r="J36" s="188"/>
      <c r="K36" s="189"/>
      <c r="L36" s="555"/>
      <c r="M36" s="188"/>
      <c r="N36" s="525"/>
      <c r="O36" s="525"/>
      <c r="P36" s="190"/>
      <c r="Q36" s="190"/>
      <c r="R36" s="187"/>
      <c r="S36" s="184"/>
      <c r="T36" s="554"/>
      <c r="U36" s="190"/>
      <c r="V36" s="190"/>
      <c r="W36" s="187"/>
      <c r="X36" s="184"/>
      <c r="Y36" s="554"/>
      <c r="Z36" s="190"/>
      <c r="AA36" s="190"/>
      <c r="AB36" s="187"/>
      <c r="AC36" s="184"/>
      <c r="AD36" s="554"/>
      <c r="AE36" s="190"/>
      <c r="AF36" s="190"/>
      <c r="AG36" s="187"/>
      <c r="AH36" s="184"/>
      <c r="AI36" s="554"/>
      <c r="AJ36" s="190"/>
      <c r="AK36" s="190"/>
      <c r="AL36" s="187"/>
      <c r="AM36" s="184"/>
      <c r="AN36" s="554"/>
      <c r="AO36" s="190"/>
      <c r="AP36" s="190"/>
      <c r="AQ36" s="187"/>
      <c r="AR36" s="184"/>
      <c r="AS36" s="554"/>
      <c r="AT36" s="190"/>
      <c r="AU36" s="190"/>
      <c r="AV36" s="187"/>
      <c r="AW36" s="184"/>
      <c r="AX36" s="554"/>
    </row>
    <row r="37" spans="2:50" ht="14.25" customHeight="1">
      <c r="B37" s="525"/>
      <c r="C37" s="182">
        <v>11</v>
      </c>
      <c r="D37" s="185"/>
      <c r="E37" s="182"/>
      <c r="F37" s="182"/>
      <c r="G37" s="187"/>
      <c r="H37" s="554"/>
      <c r="I37" s="188"/>
      <c r="J37" s="188"/>
      <c r="K37" s="189"/>
      <c r="L37" s="555"/>
      <c r="M37" s="188"/>
      <c r="N37" s="525"/>
      <c r="O37" s="525"/>
      <c r="P37" s="190"/>
      <c r="Q37" s="190"/>
      <c r="R37" s="187"/>
      <c r="S37" s="184"/>
      <c r="T37" s="554"/>
      <c r="U37" s="190"/>
      <c r="V37" s="190"/>
      <c r="W37" s="187"/>
      <c r="X37" s="184"/>
      <c r="Y37" s="554"/>
      <c r="Z37" s="190"/>
      <c r="AA37" s="190"/>
      <c r="AB37" s="187"/>
      <c r="AC37" s="184"/>
      <c r="AD37" s="554"/>
      <c r="AE37" s="190"/>
      <c r="AF37" s="190"/>
      <c r="AG37" s="187"/>
      <c r="AH37" s="184"/>
      <c r="AI37" s="554"/>
      <c r="AJ37" s="190"/>
      <c r="AK37" s="190"/>
      <c r="AL37" s="187"/>
      <c r="AM37" s="184"/>
      <c r="AN37" s="554"/>
      <c r="AO37" s="190"/>
      <c r="AP37" s="190"/>
      <c r="AQ37" s="187"/>
      <c r="AR37" s="184"/>
      <c r="AS37" s="554"/>
      <c r="AT37" s="190"/>
      <c r="AU37" s="190"/>
      <c r="AV37" s="187"/>
      <c r="AW37" s="184"/>
      <c r="AX37" s="554"/>
    </row>
    <row r="38" spans="2:50" ht="14.25" customHeight="1">
      <c r="B38" s="525"/>
      <c r="C38" s="182">
        <v>12</v>
      </c>
      <c r="D38" s="185"/>
      <c r="E38" s="182"/>
      <c r="F38" s="182"/>
      <c r="G38" s="187"/>
      <c r="H38" s="554"/>
      <c r="I38" s="188"/>
      <c r="J38" s="188"/>
      <c r="K38" s="189"/>
      <c r="L38" s="555"/>
      <c r="M38" s="188"/>
      <c r="N38" s="525"/>
      <c r="O38" s="525"/>
      <c r="P38" s="190"/>
      <c r="Q38" s="190"/>
      <c r="R38" s="187"/>
      <c r="S38" s="184"/>
      <c r="T38" s="554"/>
      <c r="U38" s="190"/>
      <c r="V38" s="190"/>
      <c r="W38" s="187"/>
      <c r="X38" s="184"/>
      <c r="Y38" s="554"/>
      <c r="Z38" s="190"/>
      <c r="AA38" s="190"/>
      <c r="AB38" s="187"/>
      <c r="AC38" s="184"/>
      <c r="AD38" s="554"/>
      <c r="AE38" s="190"/>
      <c r="AF38" s="190"/>
      <c r="AG38" s="187"/>
      <c r="AH38" s="184"/>
      <c r="AI38" s="554"/>
      <c r="AJ38" s="190"/>
      <c r="AK38" s="190"/>
      <c r="AL38" s="187"/>
      <c r="AM38" s="184"/>
      <c r="AN38" s="554"/>
      <c r="AO38" s="190"/>
      <c r="AP38" s="190"/>
      <c r="AQ38" s="187"/>
      <c r="AR38" s="184"/>
      <c r="AS38" s="554"/>
      <c r="AT38" s="190"/>
      <c r="AU38" s="190"/>
      <c r="AV38" s="187"/>
      <c r="AW38" s="184"/>
      <c r="AX38" s="554"/>
    </row>
    <row r="39" spans="2:50" ht="14.25" customHeight="1">
      <c r="B39" s="525"/>
      <c r="C39" s="182">
        <v>13</v>
      </c>
      <c r="D39" s="185"/>
      <c r="E39" s="182"/>
      <c r="F39" s="182"/>
      <c r="G39" s="187"/>
      <c r="H39" s="554"/>
      <c r="I39" s="188"/>
      <c r="J39" s="188"/>
      <c r="K39" s="189"/>
      <c r="L39" s="555"/>
      <c r="M39" s="188"/>
      <c r="N39" s="525"/>
      <c r="O39" s="525"/>
      <c r="P39" s="190"/>
      <c r="Q39" s="190"/>
      <c r="R39" s="187"/>
      <c r="S39" s="184"/>
      <c r="T39" s="554"/>
      <c r="U39" s="190"/>
      <c r="V39" s="190"/>
      <c r="W39" s="187"/>
      <c r="X39" s="184"/>
      <c r="Y39" s="554"/>
      <c r="Z39" s="190"/>
      <c r="AA39" s="190"/>
      <c r="AB39" s="187"/>
      <c r="AC39" s="184"/>
      <c r="AD39" s="554"/>
      <c r="AE39" s="190"/>
      <c r="AF39" s="190"/>
      <c r="AG39" s="187"/>
      <c r="AH39" s="184"/>
      <c r="AI39" s="554"/>
      <c r="AJ39" s="190"/>
      <c r="AK39" s="190"/>
      <c r="AL39" s="187"/>
      <c r="AM39" s="184"/>
      <c r="AN39" s="554"/>
      <c r="AO39" s="190"/>
      <c r="AP39" s="190"/>
      <c r="AQ39" s="187"/>
      <c r="AR39" s="184"/>
      <c r="AS39" s="554"/>
      <c r="AT39" s="190"/>
      <c r="AU39" s="190"/>
      <c r="AV39" s="187"/>
      <c r="AW39" s="184"/>
      <c r="AX39" s="554"/>
    </row>
    <row r="40" spans="2:50" ht="14.25" customHeight="1">
      <c r="B40" s="525"/>
      <c r="C40" s="182">
        <v>14</v>
      </c>
      <c r="D40" s="185"/>
      <c r="E40" s="182"/>
      <c r="F40" s="182"/>
      <c r="G40" s="187"/>
      <c r="H40" s="554"/>
      <c r="I40" s="188"/>
      <c r="J40" s="188"/>
      <c r="K40" s="189"/>
      <c r="L40" s="555"/>
      <c r="M40" s="188"/>
      <c r="N40" s="525"/>
      <c r="O40" s="525"/>
      <c r="P40" s="190"/>
      <c r="Q40" s="190"/>
      <c r="R40" s="187"/>
      <c r="S40" s="184"/>
      <c r="T40" s="554"/>
      <c r="U40" s="190"/>
      <c r="V40" s="190"/>
      <c r="W40" s="187"/>
      <c r="X40" s="184"/>
      <c r="Y40" s="554"/>
      <c r="Z40" s="190"/>
      <c r="AA40" s="190"/>
      <c r="AB40" s="187"/>
      <c r="AC40" s="184"/>
      <c r="AD40" s="554"/>
      <c r="AE40" s="190"/>
      <c r="AF40" s="190"/>
      <c r="AG40" s="187"/>
      <c r="AH40" s="184"/>
      <c r="AI40" s="554"/>
      <c r="AJ40" s="190"/>
      <c r="AK40" s="190"/>
      <c r="AL40" s="187"/>
      <c r="AM40" s="184"/>
      <c r="AN40" s="554"/>
      <c r="AO40" s="190"/>
      <c r="AP40" s="190"/>
      <c r="AQ40" s="187"/>
      <c r="AR40" s="184"/>
      <c r="AS40" s="554"/>
      <c r="AT40" s="190"/>
      <c r="AU40" s="190"/>
      <c r="AV40" s="187"/>
      <c r="AW40" s="184"/>
      <c r="AX40" s="554"/>
    </row>
    <row r="41" spans="2:50" ht="14.25" customHeight="1">
      <c r="B41" s="525"/>
      <c r="C41" s="182">
        <v>15</v>
      </c>
      <c r="D41" s="185"/>
      <c r="E41" s="182"/>
      <c r="F41" s="182"/>
      <c r="G41" s="187"/>
      <c r="H41" s="554"/>
      <c r="I41" s="188"/>
      <c r="J41" s="188"/>
      <c r="K41" s="189"/>
      <c r="L41" s="555"/>
      <c r="M41" s="188"/>
      <c r="N41" s="525"/>
      <c r="O41" s="525"/>
      <c r="P41" s="190"/>
      <c r="Q41" s="190"/>
      <c r="R41" s="187"/>
      <c r="S41" s="184"/>
      <c r="T41" s="554"/>
      <c r="U41" s="190"/>
      <c r="V41" s="190"/>
      <c r="W41" s="187"/>
      <c r="X41" s="184"/>
      <c r="Y41" s="554"/>
      <c r="Z41" s="190"/>
      <c r="AA41" s="190"/>
      <c r="AB41" s="187"/>
      <c r="AC41" s="184"/>
      <c r="AD41" s="554"/>
      <c r="AE41" s="190"/>
      <c r="AF41" s="190"/>
      <c r="AG41" s="187"/>
      <c r="AH41" s="184"/>
      <c r="AI41" s="554"/>
      <c r="AJ41" s="190"/>
      <c r="AK41" s="190"/>
      <c r="AL41" s="187"/>
      <c r="AM41" s="184"/>
      <c r="AN41" s="554"/>
      <c r="AO41" s="190"/>
      <c r="AP41" s="190"/>
      <c r="AQ41" s="187"/>
      <c r="AR41" s="184"/>
      <c r="AS41" s="554"/>
      <c r="AT41" s="190"/>
      <c r="AU41" s="190"/>
      <c r="AV41" s="187"/>
      <c r="AW41" s="184"/>
      <c r="AX41" s="554"/>
    </row>
    <row r="42" spans="2:50" ht="14.25" customHeight="1" collapsed="1">
      <c r="B42" s="552" t="s">
        <v>646</v>
      </c>
      <c r="C42" s="535"/>
      <c r="D42" s="535"/>
      <c r="E42" s="535"/>
      <c r="F42" s="535"/>
      <c r="G42" s="535"/>
      <c r="H42" s="535"/>
      <c r="I42" s="535"/>
      <c r="J42" s="535"/>
      <c r="K42" s="535"/>
      <c r="L42" s="535"/>
      <c r="M42" s="536"/>
      <c r="N42" s="564" t="s">
        <v>378</v>
      </c>
      <c r="O42" s="564" t="s">
        <v>105</v>
      </c>
      <c r="P42" s="566">
        <f>AT22+1</f>
        <v>46091</v>
      </c>
      <c r="Q42" s="567"/>
      <c r="R42" s="567"/>
      <c r="S42" s="567"/>
      <c r="T42" s="567"/>
      <c r="U42" s="568">
        <f>P42+1</f>
        <v>46092</v>
      </c>
      <c r="V42" s="569"/>
      <c r="W42" s="569"/>
      <c r="X42" s="569"/>
      <c r="Y42" s="569"/>
      <c r="Z42" s="566">
        <f t="shared" ref="Z42" si="30">U42+1</f>
        <v>46093</v>
      </c>
      <c r="AA42" s="567"/>
      <c r="AB42" s="567"/>
      <c r="AC42" s="567"/>
      <c r="AD42" s="567"/>
      <c r="AE42" s="568">
        <f t="shared" ref="AE42" si="31">Z42+1</f>
        <v>46094</v>
      </c>
      <c r="AF42" s="569"/>
      <c r="AG42" s="569"/>
      <c r="AH42" s="569"/>
      <c r="AI42" s="569"/>
      <c r="AJ42" s="556">
        <f t="shared" ref="AJ42" si="32">AE42+1</f>
        <v>46095</v>
      </c>
      <c r="AK42" s="557"/>
      <c r="AL42" s="557"/>
      <c r="AM42" s="557"/>
      <c r="AN42" s="558"/>
      <c r="AO42" s="568">
        <f t="shared" ref="AO42" si="33">AJ42+1</f>
        <v>46096</v>
      </c>
      <c r="AP42" s="569"/>
      <c r="AQ42" s="569"/>
      <c r="AR42" s="569"/>
      <c r="AS42" s="569"/>
      <c r="AT42" s="556">
        <f t="shared" ref="AT42" si="34">AO42+1</f>
        <v>46097</v>
      </c>
      <c r="AU42" s="557"/>
      <c r="AV42" s="557"/>
      <c r="AW42" s="557"/>
      <c r="AX42" s="558"/>
    </row>
    <row r="43" spans="2:50" ht="14.25" customHeight="1">
      <c r="B43" s="537"/>
      <c r="C43" s="537"/>
      <c r="D43" s="537"/>
      <c r="E43" s="537"/>
      <c r="F43" s="537"/>
      <c r="G43" s="537"/>
      <c r="H43" s="537"/>
      <c r="I43" s="537"/>
      <c r="J43" s="537"/>
      <c r="K43" s="537"/>
      <c r="L43" s="537"/>
      <c r="M43" s="538"/>
      <c r="N43" s="565"/>
      <c r="O43" s="565"/>
      <c r="P43" s="559">
        <f>P42</f>
        <v>46091</v>
      </c>
      <c r="Q43" s="559"/>
      <c r="R43" s="559"/>
      <c r="S43" s="559"/>
      <c r="T43" s="559"/>
      <c r="U43" s="560">
        <f>U42</f>
        <v>46092</v>
      </c>
      <c r="V43" s="560"/>
      <c r="W43" s="560"/>
      <c r="X43" s="560"/>
      <c r="Y43" s="560"/>
      <c r="Z43" s="559">
        <f t="shared" ref="Z43" si="35">Z42</f>
        <v>46093</v>
      </c>
      <c r="AA43" s="559"/>
      <c r="AB43" s="559"/>
      <c r="AC43" s="559"/>
      <c r="AD43" s="559"/>
      <c r="AE43" s="560">
        <f t="shared" ref="AE43" si="36">AE42</f>
        <v>46094</v>
      </c>
      <c r="AF43" s="560"/>
      <c r="AG43" s="560"/>
      <c r="AH43" s="560"/>
      <c r="AI43" s="560"/>
      <c r="AJ43" s="561">
        <f t="shared" ref="AJ43" si="37">AJ42</f>
        <v>46095</v>
      </c>
      <c r="AK43" s="562"/>
      <c r="AL43" s="562"/>
      <c r="AM43" s="562"/>
      <c r="AN43" s="563"/>
      <c r="AO43" s="560">
        <f t="shared" ref="AO43" si="38">AO42</f>
        <v>46096</v>
      </c>
      <c r="AP43" s="560"/>
      <c r="AQ43" s="560"/>
      <c r="AR43" s="560"/>
      <c r="AS43" s="560"/>
      <c r="AT43" s="561">
        <f t="shared" ref="AT43" si="39">AT42</f>
        <v>46097</v>
      </c>
      <c r="AU43" s="562"/>
      <c r="AV43" s="562"/>
      <c r="AW43" s="562"/>
      <c r="AX43" s="563"/>
    </row>
    <row r="44" spans="2:50" ht="14.25" customHeight="1">
      <c r="B44" s="525" t="s">
        <v>164</v>
      </c>
      <c r="C44" s="525" t="s">
        <v>159</v>
      </c>
      <c r="D44" s="525"/>
      <c r="E44" s="525" t="s">
        <v>160</v>
      </c>
      <c r="F44" s="525"/>
      <c r="G44" s="525"/>
      <c r="H44" s="525" t="s">
        <v>165</v>
      </c>
      <c r="I44" s="544" t="s">
        <v>379</v>
      </c>
      <c r="J44" s="544"/>
      <c r="K44" s="544"/>
      <c r="L44" s="544" t="s">
        <v>165</v>
      </c>
      <c r="M44" s="544" t="s">
        <v>167</v>
      </c>
      <c r="N44" s="525"/>
      <c r="O44" s="525" t="s">
        <v>166</v>
      </c>
      <c r="P44" s="525" t="s">
        <v>162</v>
      </c>
      <c r="Q44" s="525"/>
      <c r="R44" s="525"/>
      <c r="S44" s="525"/>
      <c r="T44" s="525" t="s">
        <v>165</v>
      </c>
      <c r="U44" s="525" t="s">
        <v>162</v>
      </c>
      <c r="V44" s="525"/>
      <c r="W44" s="525"/>
      <c r="X44" s="525"/>
      <c r="Y44" s="525" t="s">
        <v>165</v>
      </c>
      <c r="Z44" s="525" t="s">
        <v>162</v>
      </c>
      <c r="AA44" s="525"/>
      <c r="AB44" s="525"/>
      <c r="AC44" s="525"/>
      <c r="AD44" s="525" t="s">
        <v>165</v>
      </c>
      <c r="AE44" s="525" t="s">
        <v>162</v>
      </c>
      <c r="AF44" s="525"/>
      <c r="AG44" s="525"/>
      <c r="AH44" s="525"/>
      <c r="AI44" s="525" t="s">
        <v>165</v>
      </c>
      <c r="AJ44" s="525" t="s">
        <v>162</v>
      </c>
      <c r="AK44" s="525"/>
      <c r="AL44" s="525"/>
      <c r="AM44" s="525"/>
      <c r="AN44" s="525" t="s">
        <v>165</v>
      </c>
      <c r="AO44" s="525" t="s">
        <v>162</v>
      </c>
      <c r="AP44" s="525"/>
      <c r="AQ44" s="525"/>
      <c r="AR44" s="525"/>
      <c r="AS44" s="525" t="s">
        <v>165</v>
      </c>
      <c r="AT44" s="525" t="s">
        <v>162</v>
      </c>
      <c r="AU44" s="525"/>
      <c r="AV44" s="525"/>
      <c r="AW44" s="525"/>
      <c r="AX44" s="525" t="s">
        <v>165</v>
      </c>
    </row>
    <row r="45" spans="2:50" ht="14.25" customHeight="1">
      <c r="B45" s="525"/>
      <c r="C45" s="525"/>
      <c r="D45" s="525"/>
      <c r="E45" s="525" t="s">
        <v>380</v>
      </c>
      <c r="F45" s="525"/>
      <c r="G45" s="525"/>
      <c r="H45" s="525"/>
      <c r="I45" s="544" t="s">
        <v>380</v>
      </c>
      <c r="J45" s="544"/>
      <c r="K45" s="544"/>
      <c r="L45" s="544"/>
      <c r="M45" s="544"/>
      <c r="N45" s="525"/>
      <c r="O45" s="525"/>
      <c r="P45" s="525" t="s">
        <v>381</v>
      </c>
      <c r="Q45" s="525"/>
      <c r="R45" s="525"/>
      <c r="S45" s="525"/>
      <c r="T45" s="525"/>
      <c r="U45" s="525" t="s">
        <v>381</v>
      </c>
      <c r="V45" s="525"/>
      <c r="W45" s="525"/>
      <c r="X45" s="525"/>
      <c r="Y45" s="525"/>
      <c r="Z45" s="525" t="s">
        <v>381</v>
      </c>
      <c r="AA45" s="525"/>
      <c r="AB45" s="525"/>
      <c r="AC45" s="525"/>
      <c r="AD45" s="525"/>
      <c r="AE45" s="525" t="s">
        <v>381</v>
      </c>
      <c r="AF45" s="525"/>
      <c r="AG45" s="525"/>
      <c r="AH45" s="525"/>
      <c r="AI45" s="525"/>
      <c r="AJ45" s="525" t="s">
        <v>381</v>
      </c>
      <c r="AK45" s="525"/>
      <c r="AL45" s="525"/>
      <c r="AM45" s="525"/>
      <c r="AN45" s="525"/>
      <c r="AO45" s="525" t="s">
        <v>381</v>
      </c>
      <c r="AP45" s="525"/>
      <c r="AQ45" s="525"/>
      <c r="AR45" s="525"/>
      <c r="AS45" s="525"/>
      <c r="AT45" s="525" t="s">
        <v>381</v>
      </c>
      <c r="AU45" s="525"/>
      <c r="AV45" s="525"/>
      <c r="AW45" s="525"/>
      <c r="AX45" s="525"/>
    </row>
    <row r="46" spans="2:50" ht="14.25" customHeight="1">
      <c r="B46" s="525"/>
      <c r="C46" s="525"/>
      <c r="D46" s="525"/>
      <c r="E46" s="182" t="s">
        <v>161</v>
      </c>
      <c r="F46" s="182" t="s">
        <v>382</v>
      </c>
      <c r="G46" s="182" t="s">
        <v>163</v>
      </c>
      <c r="H46" s="525"/>
      <c r="I46" s="183" t="s">
        <v>161</v>
      </c>
      <c r="J46" s="183" t="s">
        <v>382</v>
      </c>
      <c r="K46" s="183" t="s">
        <v>163</v>
      </c>
      <c r="L46" s="544"/>
      <c r="M46" s="544"/>
      <c r="N46" s="525"/>
      <c r="O46" s="525"/>
      <c r="P46" s="182" t="s">
        <v>161</v>
      </c>
      <c r="Q46" s="182" t="s">
        <v>382</v>
      </c>
      <c r="R46" s="182" t="s">
        <v>163</v>
      </c>
      <c r="S46" s="184" t="s">
        <v>167</v>
      </c>
      <c r="T46" s="525"/>
      <c r="U46" s="182" t="s">
        <v>161</v>
      </c>
      <c r="V46" s="182" t="s">
        <v>382</v>
      </c>
      <c r="W46" s="182" t="s">
        <v>163</v>
      </c>
      <c r="X46" s="184" t="s">
        <v>167</v>
      </c>
      <c r="Y46" s="525"/>
      <c r="Z46" s="182" t="s">
        <v>161</v>
      </c>
      <c r="AA46" s="182" t="s">
        <v>382</v>
      </c>
      <c r="AB46" s="182" t="s">
        <v>163</v>
      </c>
      <c r="AC46" s="184" t="s">
        <v>167</v>
      </c>
      <c r="AD46" s="525"/>
      <c r="AE46" s="182" t="s">
        <v>161</v>
      </c>
      <c r="AF46" s="182" t="s">
        <v>382</v>
      </c>
      <c r="AG46" s="182" t="s">
        <v>163</v>
      </c>
      <c r="AH46" s="184" t="s">
        <v>167</v>
      </c>
      <c r="AI46" s="525"/>
      <c r="AJ46" s="182" t="s">
        <v>161</v>
      </c>
      <c r="AK46" s="182" t="s">
        <v>382</v>
      </c>
      <c r="AL46" s="182" t="s">
        <v>163</v>
      </c>
      <c r="AM46" s="184" t="s">
        <v>167</v>
      </c>
      <c r="AN46" s="525"/>
      <c r="AO46" s="182" t="s">
        <v>161</v>
      </c>
      <c r="AP46" s="182" t="s">
        <v>382</v>
      </c>
      <c r="AQ46" s="182" t="s">
        <v>163</v>
      </c>
      <c r="AR46" s="184" t="s">
        <v>167</v>
      </c>
      <c r="AS46" s="525"/>
      <c r="AT46" s="182" t="s">
        <v>161</v>
      </c>
      <c r="AU46" s="182" t="s">
        <v>382</v>
      </c>
      <c r="AV46" s="182" t="s">
        <v>163</v>
      </c>
      <c r="AW46" s="184" t="s">
        <v>167</v>
      </c>
      <c r="AX46" s="525"/>
    </row>
    <row r="47" spans="2:50" ht="14.25" customHeight="1">
      <c r="B47" s="570" t="s">
        <v>457</v>
      </c>
      <c r="C47" s="182">
        <v>1</v>
      </c>
      <c r="D47" s="185"/>
      <c r="E47" s="182"/>
      <c r="F47" s="182"/>
      <c r="G47" s="187"/>
      <c r="H47" s="554"/>
      <c r="I47" s="188"/>
      <c r="J47" s="188"/>
      <c r="K47" s="189"/>
      <c r="L47" s="555" t="str">
        <f>IFERROR(AVERAGE(K47:K61),"-")</f>
        <v>-</v>
      </c>
      <c r="M47" s="188" t="e">
        <f>RANK(K47, K$47:$K$61)</f>
        <v>#N/A</v>
      </c>
      <c r="N47" s="525"/>
      <c r="O47" s="525"/>
      <c r="P47" s="190"/>
      <c r="Q47" s="190"/>
      <c r="R47" s="187"/>
      <c r="S47" s="184"/>
      <c r="T47" s="554"/>
      <c r="U47" s="190"/>
      <c r="V47" s="190"/>
      <c r="W47" s="187"/>
      <c r="X47" s="184"/>
      <c r="Y47" s="554"/>
      <c r="Z47" s="190"/>
      <c r="AA47" s="190"/>
      <c r="AB47" s="187"/>
      <c r="AC47" s="184"/>
      <c r="AD47" s="554"/>
      <c r="AE47" s="190"/>
      <c r="AF47" s="190"/>
      <c r="AG47" s="187"/>
      <c r="AH47" s="184"/>
      <c r="AI47" s="554"/>
      <c r="AJ47" s="190"/>
      <c r="AK47" s="190"/>
      <c r="AL47" s="187"/>
      <c r="AM47" s="184"/>
      <c r="AN47" s="554"/>
      <c r="AO47" s="190"/>
      <c r="AP47" s="190"/>
      <c r="AQ47" s="187"/>
      <c r="AR47" s="184"/>
      <c r="AS47" s="554"/>
      <c r="AT47" s="190"/>
      <c r="AU47" s="190"/>
      <c r="AV47" s="187"/>
      <c r="AW47" s="184"/>
      <c r="AX47" s="554"/>
    </row>
    <row r="48" spans="2:50" ht="14.25" customHeight="1">
      <c r="B48" s="525"/>
      <c r="C48" s="182">
        <v>2</v>
      </c>
      <c r="D48" s="185"/>
      <c r="E48" s="182"/>
      <c r="F48" s="182"/>
      <c r="G48" s="187"/>
      <c r="H48" s="554"/>
      <c r="I48" s="188"/>
      <c r="J48" s="188"/>
      <c r="K48" s="189"/>
      <c r="L48" s="555"/>
      <c r="M48" s="188"/>
      <c r="N48" s="525"/>
      <c r="O48" s="525"/>
      <c r="P48" s="190"/>
      <c r="Q48" s="190"/>
      <c r="R48" s="187"/>
      <c r="S48" s="184"/>
      <c r="T48" s="554"/>
      <c r="U48" s="190"/>
      <c r="V48" s="190"/>
      <c r="W48" s="187"/>
      <c r="X48" s="184"/>
      <c r="Y48" s="554"/>
      <c r="Z48" s="190"/>
      <c r="AA48" s="190"/>
      <c r="AB48" s="187"/>
      <c r="AC48" s="184"/>
      <c r="AD48" s="554"/>
      <c r="AE48" s="190"/>
      <c r="AF48" s="190"/>
      <c r="AG48" s="187"/>
      <c r="AH48" s="184"/>
      <c r="AI48" s="554"/>
      <c r="AJ48" s="190"/>
      <c r="AK48" s="190"/>
      <c r="AL48" s="187"/>
      <c r="AM48" s="184"/>
      <c r="AN48" s="554"/>
      <c r="AO48" s="190"/>
      <c r="AP48" s="190"/>
      <c r="AQ48" s="187"/>
      <c r="AR48" s="184"/>
      <c r="AS48" s="554"/>
      <c r="AT48" s="190"/>
      <c r="AU48" s="190"/>
      <c r="AV48" s="187"/>
      <c r="AW48" s="184"/>
      <c r="AX48" s="554"/>
    </row>
    <row r="49" spans="2:50" ht="14.25" customHeight="1">
      <c r="B49" s="525"/>
      <c r="C49" s="182">
        <v>3</v>
      </c>
      <c r="D49" s="185"/>
      <c r="E49" s="182"/>
      <c r="F49" s="182"/>
      <c r="G49" s="187"/>
      <c r="H49" s="554"/>
      <c r="I49" s="188"/>
      <c r="J49" s="188"/>
      <c r="K49" s="189"/>
      <c r="L49" s="555"/>
      <c r="M49" s="188"/>
      <c r="N49" s="525"/>
      <c r="O49" s="525"/>
      <c r="P49" s="190"/>
      <c r="Q49" s="190"/>
      <c r="R49" s="187"/>
      <c r="S49" s="184"/>
      <c r="T49" s="554"/>
      <c r="U49" s="190"/>
      <c r="V49" s="190"/>
      <c r="W49" s="187"/>
      <c r="X49" s="184"/>
      <c r="Y49" s="554"/>
      <c r="Z49" s="190"/>
      <c r="AA49" s="190"/>
      <c r="AB49" s="187"/>
      <c r="AC49" s="184"/>
      <c r="AD49" s="554"/>
      <c r="AE49" s="190"/>
      <c r="AF49" s="190"/>
      <c r="AG49" s="187"/>
      <c r="AH49" s="184"/>
      <c r="AI49" s="554"/>
      <c r="AJ49" s="190"/>
      <c r="AK49" s="190"/>
      <c r="AL49" s="187"/>
      <c r="AM49" s="184"/>
      <c r="AN49" s="554"/>
      <c r="AO49" s="190"/>
      <c r="AP49" s="190"/>
      <c r="AQ49" s="187"/>
      <c r="AR49" s="184"/>
      <c r="AS49" s="554"/>
      <c r="AT49" s="190"/>
      <c r="AU49" s="190"/>
      <c r="AV49" s="187"/>
      <c r="AW49" s="184"/>
      <c r="AX49" s="554"/>
    </row>
    <row r="50" spans="2:50" ht="14.25" customHeight="1">
      <c r="B50" s="525"/>
      <c r="C50" s="182">
        <v>4</v>
      </c>
      <c r="D50" s="185"/>
      <c r="E50" s="182"/>
      <c r="F50" s="182"/>
      <c r="G50" s="187"/>
      <c r="H50" s="554"/>
      <c r="I50" s="188"/>
      <c r="J50" s="188"/>
      <c r="K50" s="189"/>
      <c r="L50" s="555"/>
      <c r="M50" s="188"/>
      <c r="N50" s="525"/>
      <c r="O50" s="525"/>
      <c r="P50" s="190"/>
      <c r="Q50" s="190"/>
      <c r="R50" s="187"/>
      <c r="S50" s="184"/>
      <c r="T50" s="554"/>
      <c r="U50" s="190"/>
      <c r="V50" s="190"/>
      <c r="W50" s="187"/>
      <c r="X50" s="184"/>
      <c r="Y50" s="554"/>
      <c r="Z50" s="190"/>
      <c r="AA50" s="190"/>
      <c r="AB50" s="187"/>
      <c r="AC50" s="184"/>
      <c r="AD50" s="554"/>
      <c r="AE50" s="190"/>
      <c r="AF50" s="190"/>
      <c r="AG50" s="187"/>
      <c r="AH50" s="184"/>
      <c r="AI50" s="554"/>
      <c r="AJ50" s="190"/>
      <c r="AK50" s="190"/>
      <c r="AL50" s="187"/>
      <c r="AM50" s="184"/>
      <c r="AN50" s="554"/>
      <c r="AO50" s="190"/>
      <c r="AP50" s="190"/>
      <c r="AQ50" s="187"/>
      <c r="AR50" s="184"/>
      <c r="AS50" s="554"/>
      <c r="AT50" s="190"/>
      <c r="AU50" s="190"/>
      <c r="AV50" s="187"/>
      <c r="AW50" s="184"/>
      <c r="AX50" s="554"/>
    </row>
    <row r="51" spans="2:50" ht="14.25" customHeight="1">
      <c r="B51" s="525"/>
      <c r="C51" s="182">
        <v>5</v>
      </c>
      <c r="D51" s="185"/>
      <c r="E51" s="182"/>
      <c r="F51" s="182"/>
      <c r="G51" s="187"/>
      <c r="H51" s="554"/>
      <c r="I51" s="188"/>
      <c r="J51" s="188"/>
      <c r="K51" s="189"/>
      <c r="L51" s="555"/>
      <c r="M51" s="188"/>
      <c r="N51" s="525"/>
      <c r="O51" s="525"/>
      <c r="P51" s="190"/>
      <c r="Q51" s="190"/>
      <c r="R51" s="187"/>
      <c r="S51" s="184"/>
      <c r="T51" s="554"/>
      <c r="U51" s="190"/>
      <c r="V51" s="190"/>
      <c r="W51" s="187"/>
      <c r="X51" s="184"/>
      <c r="Y51" s="554"/>
      <c r="Z51" s="190"/>
      <c r="AA51" s="190"/>
      <c r="AB51" s="187"/>
      <c r="AC51" s="184"/>
      <c r="AD51" s="554"/>
      <c r="AE51" s="190"/>
      <c r="AF51" s="190"/>
      <c r="AG51" s="187"/>
      <c r="AH51" s="184"/>
      <c r="AI51" s="554"/>
      <c r="AJ51" s="190"/>
      <c r="AK51" s="190"/>
      <c r="AL51" s="187"/>
      <c r="AM51" s="184"/>
      <c r="AN51" s="554"/>
      <c r="AO51" s="190"/>
      <c r="AP51" s="190"/>
      <c r="AQ51" s="187"/>
      <c r="AR51" s="184"/>
      <c r="AS51" s="554"/>
      <c r="AT51" s="190"/>
      <c r="AU51" s="190"/>
      <c r="AV51" s="187"/>
      <c r="AW51" s="184"/>
      <c r="AX51" s="554"/>
    </row>
    <row r="52" spans="2:50" ht="14.25" customHeight="1">
      <c r="B52" s="525"/>
      <c r="C52" s="182">
        <v>6</v>
      </c>
      <c r="D52" s="185"/>
      <c r="E52" s="182"/>
      <c r="F52" s="182"/>
      <c r="G52" s="187"/>
      <c r="H52" s="554"/>
      <c r="I52" s="188"/>
      <c r="J52" s="188"/>
      <c r="K52" s="189"/>
      <c r="L52" s="555"/>
      <c r="M52" s="188"/>
      <c r="N52" s="525"/>
      <c r="O52" s="525"/>
      <c r="P52" s="190"/>
      <c r="Q52" s="190"/>
      <c r="R52" s="187"/>
      <c r="S52" s="184"/>
      <c r="T52" s="554"/>
      <c r="U52" s="190"/>
      <c r="V52" s="190"/>
      <c r="W52" s="187"/>
      <c r="X52" s="184"/>
      <c r="Y52" s="554"/>
      <c r="Z52" s="190"/>
      <c r="AA52" s="190"/>
      <c r="AB52" s="187"/>
      <c r="AC52" s="184"/>
      <c r="AD52" s="554"/>
      <c r="AE52" s="190"/>
      <c r="AF52" s="190"/>
      <c r="AG52" s="187"/>
      <c r="AH52" s="184"/>
      <c r="AI52" s="554"/>
      <c r="AJ52" s="190"/>
      <c r="AK52" s="190"/>
      <c r="AL52" s="187"/>
      <c r="AM52" s="184"/>
      <c r="AN52" s="554"/>
      <c r="AO52" s="190"/>
      <c r="AP52" s="190"/>
      <c r="AQ52" s="187"/>
      <c r="AR52" s="184"/>
      <c r="AS52" s="554"/>
      <c r="AT52" s="190"/>
      <c r="AU52" s="190"/>
      <c r="AV52" s="187"/>
      <c r="AW52" s="184"/>
      <c r="AX52" s="554"/>
    </row>
    <row r="53" spans="2:50" ht="14.25" customHeight="1">
      <c r="B53" s="525"/>
      <c r="C53" s="182">
        <v>7</v>
      </c>
      <c r="D53" s="185"/>
      <c r="E53" s="182"/>
      <c r="F53" s="182"/>
      <c r="G53" s="187"/>
      <c r="H53" s="554"/>
      <c r="I53" s="188"/>
      <c r="J53" s="188"/>
      <c r="K53" s="189"/>
      <c r="L53" s="555"/>
      <c r="M53" s="188"/>
      <c r="N53" s="525"/>
      <c r="O53" s="525"/>
      <c r="P53" s="190"/>
      <c r="Q53" s="190"/>
      <c r="R53" s="187"/>
      <c r="S53" s="184"/>
      <c r="T53" s="554"/>
      <c r="U53" s="190"/>
      <c r="V53" s="190"/>
      <c r="W53" s="187"/>
      <c r="X53" s="184"/>
      <c r="Y53" s="554"/>
      <c r="Z53" s="190"/>
      <c r="AA53" s="190"/>
      <c r="AB53" s="187"/>
      <c r="AC53" s="184"/>
      <c r="AD53" s="554"/>
      <c r="AE53" s="190"/>
      <c r="AF53" s="190"/>
      <c r="AG53" s="187"/>
      <c r="AH53" s="184"/>
      <c r="AI53" s="554"/>
      <c r="AJ53" s="190"/>
      <c r="AK53" s="190"/>
      <c r="AL53" s="187"/>
      <c r="AM53" s="184"/>
      <c r="AN53" s="554"/>
      <c r="AO53" s="190"/>
      <c r="AP53" s="190"/>
      <c r="AQ53" s="187"/>
      <c r="AR53" s="184"/>
      <c r="AS53" s="554"/>
      <c r="AT53" s="190"/>
      <c r="AU53" s="190"/>
      <c r="AV53" s="187"/>
      <c r="AW53" s="184"/>
      <c r="AX53" s="554"/>
    </row>
    <row r="54" spans="2:50" ht="14.25" customHeight="1">
      <c r="B54" s="525"/>
      <c r="C54" s="182">
        <v>8</v>
      </c>
      <c r="D54" s="185"/>
      <c r="E54" s="182"/>
      <c r="F54" s="182"/>
      <c r="G54" s="187"/>
      <c r="H54" s="554"/>
      <c r="I54" s="188"/>
      <c r="J54" s="188"/>
      <c r="K54" s="189"/>
      <c r="L54" s="555"/>
      <c r="M54" s="188"/>
      <c r="N54" s="525"/>
      <c r="O54" s="525"/>
      <c r="P54" s="190"/>
      <c r="Q54" s="190"/>
      <c r="R54" s="187"/>
      <c r="S54" s="184"/>
      <c r="T54" s="554"/>
      <c r="U54" s="190"/>
      <c r="V54" s="190"/>
      <c r="W54" s="187"/>
      <c r="X54" s="184"/>
      <c r="Y54" s="554"/>
      <c r="Z54" s="190"/>
      <c r="AA54" s="190"/>
      <c r="AB54" s="187"/>
      <c r="AC54" s="184"/>
      <c r="AD54" s="554"/>
      <c r="AE54" s="190"/>
      <c r="AF54" s="190"/>
      <c r="AG54" s="187"/>
      <c r="AH54" s="184"/>
      <c r="AI54" s="554"/>
      <c r="AJ54" s="190"/>
      <c r="AK54" s="190"/>
      <c r="AL54" s="187"/>
      <c r="AM54" s="184"/>
      <c r="AN54" s="554"/>
      <c r="AO54" s="190"/>
      <c r="AP54" s="190"/>
      <c r="AQ54" s="187"/>
      <c r="AR54" s="184"/>
      <c r="AS54" s="554"/>
      <c r="AT54" s="190"/>
      <c r="AU54" s="190"/>
      <c r="AV54" s="187"/>
      <c r="AW54" s="184"/>
      <c r="AX54" s="554"/>
    </row>
    <row r="55" spans="2:50" ht="14.25" customHeight="1">
      <c r="B55" s="525"/>
      <c r="C55" s="182">
        <v>9</v>
      </c>
      <c r="D55" s="185"/>
      <c r="E55" s="182"/>
      <c r="F55" s="182"/>
      <c r="G55" s="187"/>
      <c r="H55" s="554"/>
      <c r="I55" s="188"/>
      <c r="J55" s="188"/>
      <c r="K55" s="189"/>
      <c r="L55" s="555"/>
      <c r="M55" s="188"/>
      <c r="N55" s="525"/>
      <c r="O55" s="525"/>
      <c r="P55" s="190"/>
      <c r="Q55" s="190"/>
      <c r="R55" s="187"/>
      <c r="S55" s="184"/>
      <c r="T55" s="554"/>
      <c r="U55" s="190"/>
      <c r="V55" s="190"/>
      <c r="W55" s="187"/>
      <c r="X55" s="184"/>
      <c r="Y55" s="554"/>
      <c r="Z55" s="190"/>
      <c r="AA55" s="190"/>
      <c r="AB55" s="187"/>
      <c r="AC55" s="184"/>
      <c r="AD55" s="554"/>
      <c r="AE55" s="190"/>
      <c r="AF55" s="190"/>
      <c r="AG55" s="187"/>
      <c r="AH55" s="184"/>
      <c r="AI55" s="554"/>
      <c r="AJ55" s="190"/>
      <c r="AK55" s="190"/>
      <c r="AL55" s="187"/>
      <c r="AM55" s="184"/>
      <c r="AN55" s="554"/>
      <c r="AO55" s="190"/>
      <c r="AP55" s="190"/>
      <c r="AQ55" s="187"/>
      <c r="AR55" s="184"/>
      <c r="AS55" s="554"/>
      <c r="AT55" s="190"/>
      <c r="AU55" s="190"/>
      <c r="AV55" s="187"/>
      <c r="AW55" s="184"/>
      <c r="AX55" s="554"/>
    </row>
    <row r="56" spans="2:50" ht="14.25" customHeight="1">
      <c r="B56" s="525"/>
      <c r="C56" s="182">
        <v>10</v>
      </c>
      <c r="D56" s="185"/>
      <c r="E56" s="182"/>
      <c r="F56" s="182"/>
      <c r="G56" s="187"/>
      <c r="H56" s="554"/>
      <c r="I56" s="188"/>
      <c r="J56" s="188"/>
      <c r="K56" s="189"/>
      <c r="L56" s="555"/>
      <c r="M56" s="188"/>
      <c r="N56" s="525"/>
      <c r="O56" s="525"/>
      <c r="P56" s="190"/>
      <c r="Q56" s="190"/>
      <c r="R56" s="187"/>
      <c r="S56" s="184"/>
      <c r="T56" s="554"/>
      <c r="U56" s="190"/>
      <c r="V56" s="190"/>
      <c r="W56" s="187"/>
      <c r="X56" s="184"/>
      <c r="Y56" s="554"/>
      <c r="Z56" s="190"/>
      <c r="AA56" s="190"/>
      <c r="AB56" s="187"/>
      <c r="AC56" s="184"/>
      <c r="AD56" s="554"/>
      <c r="AE56" s="190"/>
      <c r="AF56" s="190"/>
      <c r="AG56" s="187"/>
      <c r="AH56" s="184"/>
      <c r="AI56" s="554"/>
      <c r="AJ56" s="190"/>
      <c r="AK56" s="190"/>
      <c r="AL56" s="187"/>
      <c r="AM56" s="184"/>
      <c r="AN56" s="554"/>
      <c r="AO56" s="190"/>
      <c r="AP56" s="190"/>
      <c r="AQ56" s="187"/>
      <c r="AR56" s="184"/>
      <c r="AS56" s="554"/>
      <c r="AT56" s="190"/>
      <c r="AU56" s="190"/>
      <c r="AV56" s="187"/>
      <c r="AW56" s="184"/>
      <c r="AX56" s="554"/>
    </row>
    <row r="57" spans="2:50" ht="14.25" customHeight="1">
      <c r="B57" s="525"/>
      <c r="C57" s="182">
        <v>11</v>
      </c>
      <c r="D57" s="185"/>
      <c r="E57" s="182"/>
      <c r="F57" s="182"/>
      <c r="G57" s="187"/>
      <c r="H57" s="554"/>
      <c r="I57" s="188"/>
      <c r="J57" s="188"/>
      <c r="K57" s="189"/>
      <c r="L57" s="555"/>
      <c r="M57" s="188"/>
      <c r="N57" s="525"/>
      <c r="O57" s="525"/>
      <c r="P57" s="190"/>
      <c r="Q57" s="190"/>
      <c r="R57" s="187"/>
      <c r="S57" s="184"/>
      <c r="T57" s="554"/>
      <c r="U57" s="190"/>
      <c r="V57" s="190"/>
      <c r="W57" s="187"/>
      <c r="X57" s="184"/>
      <c r="Y57" s="554"/>
      <c r="Z57" s="190"/>
      <c r="AA57" s="190"/>
      <c r="AB57" s="187"/>
      <c r="AC57" s="184"/>
      <c r="AD57" s="554"/>
      <c r="AE57" s="190"/>
      <c r="AF57" s="190"/>
      <c r="AG57" s="187"/>
      <c r="AH57" s="184"/>
      <c r="AI57" s="554"/>
      <c r="AJ57" s="190"/>
      <c r="AK57" s="190"/>
      <c r="AL57" s="187"/>
      <c r="AM57" s="184"/>
      <c r="AN57" s="554"/>
      <c r="AO57" s="190"/>
      <c r="AP57" s="190"/>
      <c r="AQ57" s="187"/>
      <c r="AR57" s="184"/>
      <c r="AS57" s="554"/>
      <c r="AT57" s="190"/>
      <c r="AU57" s="190"/>
      <c r="AV57" s="187"/>
      <c r="AW57" s="184"/>
      <c r="AX57" s="554"/>
    </row>
    <row r="58" spans="2:50" ht="14.25" customHeight="1">
      <c r="B58" s="525"/>
      <c r="C58" s="182">
        <v>12</v>
      </c>
      <c r="D58" s="185"/>
      <c r="E58" s="182"/>
      <c r="F58" s="182"/>
      <c r="G58" s="187"/>
      <c r="H58" s="554"/>
      <c r="I58" s="188"/>
      <c r="J58" s="188"/>
      <c r="K58" s="189"/>
      <c r="L58" s="555"/>
      <c r="M58" s="188"/>
      <c r="N58" s="525"/>
      <c r="O58" s="525"/>
      <c r="P58" s="190"/>
      <c r="Q58" s="190"/>
      <c r="R58" s="187"/>
      <c r="S58" s="184"/>
      <c r="T58" s="554"/>
      <c r="U58" s="190"/>
      <c r="V58" s="190"/>
      <c r="W58" s="187"/>
      <c r="X58" s="184"/>
      <c r="Y58" s="554"/>
      <c r="Z58" s="190"/>
      <c r="AA58" s="190"/>
      <c r="AB58" s="187"/>
      <c r="AC58" s="184"/>
      <c r="AD58" s="554"/>
      <c r="AE58" s="190"/>
      <c r="AF58" s="190"/>
      <c r="AG58" s="187"/>
      <c r="AH58" s="184"/>
      <c r="AI58" s="554"/>
      <c r="AJ58" s="190"/>
      <c r="AK58" s="190"/>
      <c r="AL58" s="187"/>
      <c r="AM58" s="184"/>
      <c r="AN58" s="554"/>
      <c r="AO58" s="190"/>
      <c r="AP58" s="190"/>
      <c r="AQ58" s="187"/>
      <c r="AR58" s="184"/>
      <c r="AS58" s="554"/>
      <c r="AT58" s="190"/>
      <c r="AU58" s="190"/>
      <c r="AV58" s="187"/>
      <c r="AW58" s="184"/>
      <c r="AX58" s="554"/>
    </row>
    <row r="59" spans="2:50" ht="14.25" customHeight="1">
      <c r="B59" s="525"/>
      <c r="C59" s="182">
        <v>13</v>
      </c>
      <c r="D59" s="185"/>
      <c r="E59" s="182"/>
      <c r="F59" s="182"/>
      <c r="G59" s="187"/>
      <c r="H59" s="554"/>
      <c r="I59" s="188"/>
      <c r="J59" s="188"/>
      <c r="K59" s="189"/>
      <c r="L59" s="555"/>
      <c r="M59" s="188"/>
      <c r="N59" s="525"/>
      <c r="O59" s="525"/>
      <c r="P59" s="190"/>
      <c r="Q59" s="190"/>
      <c r="R59" s="187"/>
      <c r="S59" s="184"/>
      <c r="T59" s="554"/>
      <c r="U59" s="190"/>
      <c r="V59" s="190"/>
      <c r="W59" s="187"/>
      <c r="X59" s="184"/>
      <c r="Y59" s="554"/>
      <c r="Z59" s="190"/>
      <c r="AA59" s="190"/>
      <c r="AB59" s="187"/>
      <c r="AC59" s="184"/>
      <c r="AD59" s="554"/>
      <c r="AE59" s="190"/>
      <c r="AF59" s="190"/>
      <c r="AG59" s="187"/>
      <c r="AH59" s="184"/>
      <c r="AI59" s="554"/>
      <c r="AJ59" s="190"/>
      <c r="AK59" s="190"/>
      <c r="AL59" s="187"/>
      <c r="AM59" s="184"/>
      <c r="AN59" s="554"/>
      <c r="AO59" s="190"/>
      <c r="AP59" s="190"/>
      <c r="AQ59" s="187"/>
      <c r="AR59" s="184"/>
      <c r="AS59" s="554"/>
      <c r="AT59" s="190"/>
      <c r="AU59" s="190"/>
      <c r="AV59" s="187"/>
      <c r="AW59" s="184"/>
      <c r="AX59" s="554"/>
    </row>
    <row r="60" spans="2:50" ht="14.25" customHeight="1">
      <c r="B60" s="525"/>
      <c r="C60" s="182">
        <v>14</v>
      </c>
      <c r="D60" s="185"/>
      <c r="E60" s="182"/>
      <c r="F60" s="182"/>
      <c r="G60" s="187"/>
      <c r="H60" s="554"/>
      <c r="I60" s="188"/>
      <c r="J60" s="188"/>
      <c r="K60" s="189"/>
      <c r="L60" s="555"/>
      <c r="M60" s="188"/>
      <c r="N60" s="525"/>
      <c r="O60" s="525"/>
      <c r="P60" s="190"/>
      <c r="Q60" s="190"/>
      <c r="R60" s="187"/>
      <c r="S60" s="184"/>
      <c r="T60" s="554"/>
      <c r="U60" s="190"/>
      <c r="V60" s="190"/>
      <c r="W60" s="187"/>
      <c r="X60" s="184"/>
      <c r="Y60" s="554"/>
      <c r="Z60" s="190"/>
      <c r="AA60" s="190"/>
      <c r="AB60" s="187"/>
      <c r="AC60" s="184"/>
      <c r="AD60" s="554"/>
      <c r="AE60" s="190"/>
      <c r="AF60" s="190"/>
      <c r="AG60" s="187"/>
      <c r="AH60" s="184"/>
      <c r="AI60" s="554"/>
      <c r="AJ60" s="190"/>
      <c r="AK60" s="190"/>
      <c r="AL60" s="187"/>
      <c r="AM60" s="184"/>
      <c r="AN60" s="554"/>
      <c r="AO60" s="190"/>
      <c r="AP60" s="190"/>
      <c r="AQ60" s="187"/>
      <c r="AR60" s="184"/>
      <c r="AS60" s="554"/>
      <c r="AT60" s="190"/>
      <c r="AU60" s="190"/>
      <c r="AV60" s="187"/>
      <c r="AW60" s="184"/>
      <c r="AX60" s="554"/>
    </row>
    <row r="61" spans="2:50" ht="14.25" customHeight="1">
      <c r="B61" s="525"/>
      <c r="C61" s="182">
        <v>15</v>
      </c>
      <c r="D61" s="185"/>
      <c r="E61" s="182"/>
      <c r="F61" s="182"/>
      <c r="G61" s="187"/>
      <c r="H61" s="554"/>
      <c r="I61" s="188"/>
      <c r="J61" s="188"/>
      <c r="K61" s="189"/>
      <c r="L61" s="555"/>
      <c r="M61" s="188"/>
      <c r="N61" s="525"/>
      <c r="O61" s="525"/>
      <c r="P61" s="190"/>
      <c r="Q61" s="190"/>
      <c r="R61" s="187"/>
      <c r="S61" s="184"/>
      <c r="T61" s="554"/>
      <c r="U61" s="190"/>
      <c r="V61" s="190"/>
      <c r="W61" s="187"/>
      <c r="X61" s="184"/>
      <c r="Y61" s="554"/>
      <c r="Z61" s="190"/>
      <c r="AA61" s="190"/>
      <c r="AB61" s="187"/>
      <c r="AC61" s="184"/>
      <c r="AD61" s="554"/>
      <c r="AE61" s="190"/>
      <c r="AF61" s="190"/>
      <c r="AG61" s="187"/>
      <c r="AH61" s="184"/>
      <c r="AI61" s="554"/>
      <c r="AJ61" s="190"/>
      <c r="AK61" s="190"/>
      <c r="AL61" s="187"/>
      <c r="AM61" s="184"/>
      <c r="AN61" s="554"/>
      <c r="AO61" s="190"/>
      <c r="AP61" s="190"/>
      <c r="AQ61" s="187"/>
      <c r="AR61" s="184"/>
      <c r="AS61" s="554"/>
      <c r="AT61" s="190"/>
      <c r="AU61" s="190"/>
      <c r="AV61" s="187"/>
      <c r="AW61" s="184"/>
      <c r="AX61" s="554"/>
    </row>
    <row r="62" spans="2:50" ht="14.25" customHeight="1" collapsed="1">
      <c r="B62" s="534" t="s">
        <v>648</v>
      </c>
      <c r="C62" s="535"/>
      <c r="D62" s="535"/>
      <c r="E62" s="535"/>
      <c r="F62" s="535"/>
      <c r="G62" s="535"/>
      <c r="H62" s="535"/>
      <c r="I62" s="535"/>
      <c r="J62" s="535"/>
      <c r="K62" s="535"/>
      <c r="L62" s="535"/>
      <c r="M62" s="536"/>
      <c r="N62" s="564" t="s">
        <v>378</v>
      </c>
      <c r="O62" s="564" t="s">
        <v>105</v>
      </c>
      <c r="P62" s="566">
        <f>AT42+1</f>
        <v>46098</v>
      </c>
      <c r="Q62" s="567"/>
      <c r="R62" s="567"/>
      <c r="S62" s="567"/>
      <c r="T62" s="567"/>
      <c r="U62" s="568">
        <f>P62+1</f>
        <v>46099</v>
      </c>
      <c r="V62" s="569"/>
      <c r="W62" s="569"/>
      <c r="X62" s="569"/>
      <c r="Y62" s="569"/>
      <c r="Z62" s="566">
        <f t="shared" ref="Z62" si="40">U62+1</f>
        <v>46100</v>
      </c>
      <c r="AA62" s="567"/>
      <c r="AB62" s="567"/>
      <c r="AC62" s="567"/>
      <c r="AD62" s="567"/>
      <c r="AE62" s="568">
        <f t="shared" ref="AE62" si="41">Z62+1</f>
        <v>46101</v>
      </c>
      <c r="AF62" s="569"/>
      <c r="AG62" s="569"/>
      <c r="AH62" s="569"/>
      <c r="AI62" s="569"/>
      <c r="AJ62" s="556">
        <f t="shared" ref="AJ62" si="42">AE62+1</f>
        <v>46102</v>
      </c>
      <c r="AK62" s="557"/>
      <c r="AL62" s="557"/>
      <c r="AM62" s="557"/>
      <c r="AN62" s="558"/>
      <c r="AO62" s="568">
        <f t="shared" ref="AO62" si="43">AJ62+1</f>
        <v>46103</v>
      </c>
      <c r="AP62" s="569"/>
      <c r="AQ62" s="569"/>
      <c r="AR62" s="569"/>
      <c r="AS62" s="569"/>
      <c r="AT62" s="556">
        <f t="shared" ref="AT62" si="44">AO62+1</f>
        <v>46104</v>
      </c>
      <c r="AU62" s="557"/>
      <c r="AV62" s="557"/>
      <c r="AW62" s="557"/>
      <c r="AX62" s="558"/>
    </row>
    <row r="63" spans="2:50" ht="14.25" customHeight="1">
      <c r="B63" s="537"/>
      <c r="C63" s="537"/>
      <c r="D63" s="537"/>
      <c r="E63" s="537"/>
      <c r="F63" s="537"/>
      <c r="G63" s="537"/>
      <c r="H63" s="537"/>
      <c r="I63" s="537"/>
      <c r="J63" s="537"/>
      <c r="K63" s="537"/>
      <c r="L63" s="537"/>
      <c r="M63" s="538"/>
      <c r="N63" s="565"/>
      <c r="O63" s="565"/>
      <c r="P63" s="559">
        <f>P62</f>
        <v>46098</v>
      </c>
      <c r="Q63" s="559"/>
      <c r="R63" s="559"/>
      <c r="S63" s="559"/>
      <c r="T63" s="559"/>
      <c r="U63" s="560">
        <f>U62</f>
        <v>46099</v>
      </c>
      <c r="V63" s="560"/>
      <c r="W63" s="560"/>
      <c r="X63" s="560"/>
      <c r="Y63" s="560"/>
      <c r="Z63" s="559">
        <f t="shared" ref="Z63" si="45">Z62</f>
        <v>46100</v>
      </c>
      <c r="AA63" s="559"/>
      <c r="AB63" s="559"/>
      <c r="AC63" s="559"/>
      <c r="AD63" s="559"/>
      <c r="AE63" s="560">
        <f t="shared" ref="AE63" si="46">AE62</f>
        <v>46101</v>
      </c>
      <c r="AF63" s="560"/>
      <c r="AG63" s="560"/>
      <c r="AH63" s="560"/>
      <c r="AI63" s="560"/>
      <c r="AJ63" s="561">
        <f t="shared" ref="AJ63" si="47">AJ62</f>
        <v>46102</v>
      </c>
      <c r="AK63" s="562"/>
      <c r="AL63" s="562"/>
      <c r="AM63" s="562"/>
      <c r="AN63" s="563"/>
      <c r="AO63" s="560">
        <f t="shared" ref="AO63" si="48">AO62</f>
        <v>46103</v>
      </c>
      <c r="AP63" s="560"/>
      <c r="AQ63" s="560"/>
      <c r="AR63" s="560"/>
      <c r="AS63" s="560"/>
      <c r="AT63" s="561">
        <f t="shared" ref="AT63" si="49">AT62</f>
        <v>46104</v>
      </c>
      <c r="AU63" s="562"/>
      <c r="AV63" s="562"/>
      <c r="AW63" s="562"/>
      <c r="AX63" s="563"/>
    </row>
    <row r="64" spans="2:50" ht="14.25" customHeight="1">
      <c r="B64" s="525" t="s">
        <v>164</v>
      </c>
      <c r="C64" s="525" t="s">
        <v>159</v>
      </c>
      <c r="D64" s="525"/>
      <c r="E64" s="525" t="s">
        <v>160</v>
      </c>
      <c r="F64" s="525"/>
      <c r="G64" s="525"/>
      <c r="H64" s="525" t="s">
        <v>165</v>
      </c>
      <c r="I64" s="544" t="s">
        <v>379</v>
      </c>
      <c r="J64" s="544"/>
      <c r="K64" s="544"/>
      <c r="L64" s="544" t="s">
        <v>165</v>
      </c>
      <c r="M64" s="544" t="s">
        <v>167</v>
      </c>
      <c r="N64" s="525"/>
      <c r="O64" s="525" t="s">
        <v>166</v>
      </c>
      <c r="P64" s="525" t="s">
        <v>162</v>
      </c>
      <c r="Q64" s="525"/>
      <c r="R64" s="525"/>
      <c r="S64" s="525"/>
      <c r="T64" s="525" t="s">
        <v>165</v>
      </c>
      <c r="U64" s="525" t="s">
        <v>162</v>
      </c>
      <c r="V64" s="525"/>
      <c r="W64" s="525"/>
      <c r="X64" s="525"/>
      <c r="Y64" s="525" t="s">
        <v>165</v>
      </c>
      <c r="Z64" s="525" t="s">
        <v>162</v>
      </c>
      <c r="AA64" s="525"/>
      <c r="AB64" s="525"/>
      <c r="AC64" s="525"/>
      <c r="AD64" s="525" t="s">
        <v>165</v>
      </c>
      <c r="AE64" s="525" t="s">
        <v>162</v>
      </c>
      <c r="AF64" s="525"/>
      <c r="AG64" s="525"/>
      <c r="AH64" s="525"/>
      <c r="AI64" s="525" t="s">
        <v>165</v>
      </c>
      <c r="AJ64" s="525" t="s">
        <v>162</v>
      </c>
      <c r="AK64" s="525"/>
      <c r="AL64" s="525"/>
      <c r="AM64" s="525"/>
      <c r="AN64" s="525" t="s">
        <v>165</v>
      </c>
      <c r="AO64" s="525" t="s">
        <v>162</v>
      </c>
      <c r="AP64" s="525"/>
      <c r="AQ64" s="525"/>
      <c r="AR64" s="525"/>
      <c r="AS64" s="525" t="s">
        <v>165</v>
      </c>
      <c r="AT64" s="525" t="s">
        <v>162</v>
      </c>
      <c r="AU64" s="525"/>
      <c r="AV64" s="525"/>
      <c r="AW64" s="525"/>
      <c r="AX64" s="525" t="s">
        <v>165</v>
      </c>
    </row>
    <row r="65" spans="2:50" ht="14.25" customHeight="1">
      <c r="B65" s="525"/>
      <c r="C65" s="525"/>
      <c r="D65" s="525"/>
      <c r="E65" s="525" t="s">
        <v>380</v>
      </c>
      <c r="F65" s="525"/>
      <c r="G65" s="525"/>
      <c r="H65" s="525"/>
      <c r="I65" s="544" t="s">
        <v>380</v>
      </c>
      <c r="J65" s="544"/>
      <c r="K65" s="544"/>
      <c r="L65" s="544"/>
      <c r="M65" s="544"/>
      <c r="N65" s="525"/>
      <c r="O65" s="525"/>
      <c r="P65" s="525" t="s">
        <v>381</v>
      </c>
      <c r="Q65" s="525"/>
      <c r="R65" s="525"/>
      <c r="S65" s="525"/>
      <c r="T65" s="525"/>
      <c r="U65" s="525" t="s">
        <v>381</v>
      </c>
      <c r="V65" s="525"/>
      <c r="W65" s="525"/>
      <c r="X65" s="525"/>
      <c r="Y65" s="525"/>
      <c r="Z65" s="525" t="s">
        <v>381</v>
      </c>
      <c r="AA65" s="525"/>
      <c r="AB65" s="525"/>
      <c r="AC65" s="525"/>
      <c r="AD65" s="525"/>
      <c r="AE65" s="525" t="s">
        <v>381</v>
      </c>
      <c r="AF65" s="525"/>
      <c r="AG65" s="525"/>
      <c r="AH65" s="525"/>
      <c r="AI65" s="525"/>
      <c r="AJ65" s="525" t="s">
        <v>381</v>
      </c>
      <c r="AK65" s="525"/>
      <c r="AL65" s="525"/>
      <c r="AM65" s="525"/>
      <c r="AN65" s="525"/>
      <c r="AO65" s="525" t="s">
        <v>381</v>
      </c>
      <c r="AP65" s="525"/>
      <c r="AQ65" s="525"/>
      <c r="AR65" s="525"/>
      <c r="AS65" s="525"/>
      <c r="AT65" s="525" t="s">
        <v>381</v>
      </c>
      <c r="AU65" s="525"/>
      <c r="AV65" s="525"/>
      <c r="AW65" s="525"/>
      <c r="AX65" s="525"/>
    </row>
    <row r="66" spans="2:50" ht="14.25" customHeight="1">
      <c r="B66" s="525"/>
      <c r="C66" s="525"/>
      <c r="D66" s="525"/>
      <c r="E66" s="182" t="s">
        <v>161</v>
      </c>
      <c r="F66" s="182" t="s">
        <v>382</v>
      </c>
      <c r="G66" s="182" t="s">
        <v>163</v>
      </c>
      <c r="H66" s="525"/>
      <c r="I66" s="183" t="s">
        <v>161</v>
      </c>
      <c r="J66" s="183" t="s">
        <v>382</v>
      </c>
      <c r="K66" s="183" t="s">
        <v>163</v>
      </c>
      <c r="L66" s="544"/>
      <c r="M66" s="544"/>
      <c r="N66" s="525"/>
      <c r="O66" s="525"/>
      <c r="P66" s="182" t="s">
        <v>161</v>
      </c>
      <c r="Q66" s="182" t="s">
        <v>382</v>
      </c>
      <c r="R66" s="182" t="s">
        <v>163</v>
      </c>
      <c r="S66" s="184" t="s">
        <v>167</v>
      </c>
      <c r="T66" s="525"/>
      <c r="U66" s="182" t="s">
        <v>161</v>
      </c>
      <c r="V66" s="182" t="s">
        <v>382</v>
      </c>
      <c r="W66" s="182" t="s">
        <v>163</v>
      </c>
      <c r="X66" s="184" t="s">
        <v>167</v>
      </c>
      <c r="Y66" s="525"/>
      <c r="Z66" s="182" t="s">
        <v>161</v>
      </c>
      <c r="AA66" s="182" t="s">
        <v>382</v>
      </c>
      <c r="AB66" s="182" t="s">
        <v>163</v>
      </c>
      <c r="AC66" s="184" t="s">
        <v>167</v>
      </c>
      <c r="AD66" s="525"/>
      <c r="AE66" s="182" t="s">
        <v>161</v>
      </c>
      <c r="AF66" s="182" t="s">
        <v>382</v>
      </c>
      <c r="AG66" s="182" t="s">
        <v>163</v>
      </c>
      <c r="AH66" s="184" t="s">
        <v>167</v>
      </c>
      <c r="AI66" s="525"/>
      <c r="AJ66" s="182" t="s">
        <v>161</v>
      </c>
      <c r="AK66" s="182" t="s">
        <v>382</v>
      </c>
      <c r="AL66" s="182" t="s">
        <v>163</v>
      </c>
      <c r="AM66" s="184" t="s">
        <v>167</v>
      </c>
      <c r="AN66" s="525"/>
      <c r="AO66" s="182" t="s">
        <v>161</v>
      </c>
      <c r="AP66" s="182" t="s">
        <v>382</v>
      </c>
      <c r="AQ66" s="182" t="s">
        <v>163</v>
      </c>
      <c r="AR66" s="184" t="s">
        <v>167</v>
      </c>
      <c r="AS66" s="525"/>
      <c r="AT66" s="182" t="s">
        <v>161</v>
      </c>
      <c r="AU66" s="182" t="s">
        <v>382</v>
      </c>
      <c r="AV66" s="182" t="s">
        <v>163</v>
      </c>
      <c r="AW66" s="184" t="s">
        <v>167</v>
      </c>
      <c r="AX66" s="525"/>
    </row>
    <row r="67" spans="2:50" ht="14.25" customHeight="1">
      <c r="B67" s="570" t="s">
        <v>457</v>
      </c>
      <c r="C67" s="182">
        <v>1</v>
      </c>
      <c r="D67" s="185"/>
      <c r="E67" s="182"/>
      <c r="F67" s="182"/>
      <c r="G67" s="187"/>
      <c r="H67" s="554"/>
      <c r="I67" s="188"/>
      <c r="J67" s="188"/>
      <c r="K67" s="189"/>
      <c r="L67" s="555" t="str">
        <f>IFERROR(AVERAGE(K67:K81),"-")</f>
        <v>-</v>
      </c>
      <c r="M67" s="188" t="e">
        <f>RANK(K67, K$67:$K$81)</f>
        <v>#N/A</v>
      </c>
      <c r="N67" s="525"/>
      <c r="O67" s="525"/>
      <c r="P67" s="190"/>
      <c r="Q67" s="190"/>
      <c r="R67" s="187"/>
      <c r="S67" s="184"/>
      <c r="T67" s="554"/>
      <c r="U67" s="190"/>
      <c r="V67" s="190"/>
      <c r="W67" s="187"/>
      <c r="X67" s="184"/>
      <c r="Y67" s="554"/>
      <c r="Z67" s="190"/>
      <c r="AA67" s="190"/>
      <c r="AB67" s="187"/>
      <c r="AC67" s="184"/>
      <c r="AD67" s="554"/>
      <c r="AE67" s="190"/>
      <c r="AF67" s="190"/>
      <c r="AG67" s="187"/>
      <c r="AH67" s="184"/>
      <c r="AI67" s="554"/>
      <c r="AJ67" s="190"/>
      <c r="AK67" s="190"/>
      <c r="AL67" s="187"/>
      <c r="AM67" s="184"/>
      <c r="AN67" s="554"/>
      <c r="AO67" s="190"/>
      <c r="AP67" s="190"/>
      <c r="AQ67" s="187"/>
      <c r="AR67" s="184"/>
      <c r="AS67" s="571"/>
      <c r="AT67" s="190"/>
      <c r="AU67" s="190"/>
      <c r="AV67" s="187"/>
      <c r="AW67" s="184"/>
      <c r="AX67" s="554"/>
    </row>
    <row r="68" spans="2:50" ht="14.25" customHeight="1">
      <c r="B68" s="525"/>
      <c r="C68" s="182">
        <v>2</v>
      </c>
      <c r="D68" s="185"/>
      <c r="E68" s="182"/>
      <c r="F68" s="182"/>
      <c r="G68" s="187"/>
      <c r="H68" s="554"/>
      <c r="I68" s="188"/>
      <c r="J68" s="188"/>
      <c r="K68" s="189"/>
      <c r="L68" s="555"/>
      <c r="M68" s="188"/>
      <c r="N68" s="525"/>
      <c r="O68" s="525"/>
      <c r="P68" s="190"/>
      <c r="Q68" s="190"/>
      <c r="R68" s="187"/>
      <c r="S68" s="184"/>
      <c r="T68" s="554"/>
      <c r="U68" s="190"/>
      <c r="V68" s="190"/>
      <c r="W68" s="187"/>
      <c r="X68" s="184"/>
      <c r="Y68" s="554"/>
      <c r="Z68" s="190"/>
      <c r="AA68" s="190"/>
      <c r="AB68" s="187"/>
      <c r="AC68" s="184"/>
      <c r="AD68" s="554"/>
      <c r="AE68" s="190"/>
      <c r="AF68" s="190"/>
      <c r="AG68" s="187"/>
      <c r="AH68" s="184"/>
      <c r="AI68" s="554"/>
      <c r="AJ68" s="190"/>
      <c r="AK68" s="190"/>
      <c r="AL68" s="187"/>
      <c r="AM68" s="184"/>
      <c r="AN68" s="554"/>
      <c r="AO68" s="190"/>
      <c r="AP68" s="190"/>
      <c r="AQ68" s="187"/>
      <c r="AR68" s="184"/>
      <c r="AS68" s="572"/>
      <c r="AT68" s="190"/>
      <c r="AU68" s="190"/>
      <c r="AV68" s="187"/>
      <c r="AW68" s="184"/>
      <c r="AX68" s="554"/>
    </row>
    <row r="69" spans="2:50" ht="14.25" customHeight="1">
      <c r="B69" s="525"/>
      <c r="C69" s="182">
        <v>3</v>
      </c>
      <c r="D69" s="185"/>
      <c r="E69" s="182"/>
      <c r="F69" s="182"/>
      <c r="G69" s="187"/>
      <c r="H69" s="554"/>
      <c r="I69" s="188"/>
      <c r="J69" s="188"/>
      <c r="K69" s="189"/>
      <c r="L69" s="555"/>
      <c r="M69" s="188"/>
      <c r="N69" s="525"/>
      <c r="O69" s="525"/>
      <c r="P69" s="190"/>
      <c r="Q69" s="190"/>
      <c r="R69" s="187"/>
      <c r="S69" s="184"/>
      <c r="T69" s="554"/>
      <c r="U69" s="190"/>
      <c r="V69" s="190"/>
      <c r="W69" s="187"/>
      <c r="X69" s="184"/>
      <c r="Y69" s="554"/>
      <c r="Z69" s="190"/>
      <c r="AA69" s="190"/>
      <c r="AB69" s="187"/>
      <c r="AC69" s="184"/>
      <c r="AD69" s="554"/>
      <c r="AE69" s="190"/>
      <c r="AF69" s="190"/>
      <c r="AG69" s="187"/>
      <c r="AH69" s="184"/>
      <c r="AI69" s="554"/>
      <c r="AJ69" s="190"/>
      <c r="AK69" s="190"/>
      <c r="AL69" s="187"/>
      <c r="AM69" s="184"/>
      <c r="AN69" s="554"/>
      <c r="AO69" s="190"/>
      <c r="AP69" s="190"/>
      <c r="AQ69" s="187"/>
      <c r="AR69" s="184"/>
      <c r="AS69" s="572"/>
      <c r="AT69" s="190"/>
      <c r="AU69" s="190"/>
      <c r="AV69" s="187"/>
      <c r="AW69" s="184"/>
      <c r="AX69" s="554"/>
    </row>
    <row r="70" spans="2:50" ht="14.25" customHeight="1">
      <c r="B70" s="525"/>
      <c r="C70" s="182">
        <v>4</v>
      </c>
      <c r="D70" s="185"/>
      <c r="E70" s="182"/>
      <c r="F70" s="182"/>
      <c r="G70" s="187"/>
      <c r="H70" s="554"/>
      <c r="I70" s="188"/>
      <c r="J70" s="188"/>
      <c r="K70" s="189"/>
      <c r="L70" s="555"/>
      <c r="M70" s="188"/>
      <c r="N70" s="525"/>
      <c r="O70" s="525"/>
      <c r="P70" s="190"/>
      <c r="Q70" s="190"/>
      <c r="R70" s="187"/>
      <c r="S70" s="184"/>
      <c r="T70" s="554"/>
      <c r="U70" s="190"/>
      <c r="V70" s="190"/>
      <c r="W70" s="187"/>
      <c r="X70" s="184"/>
      <c r="Y70" s="554"/>
      <c r="Z70" s="190"/>
      <c r="AA70" s="190"/>
      <c r="AB70" s="187"/>
      <c r="AC70" s="184"/>
      <c r="AD70" s="554"/>
      <c r="AE70" s="190"/>
      <c r="AF70" s="190"/>
      <c r="AG70" s="187"/>
      <c r="AH70" s="184"/>
      <c r="AI70" s="554"/>
      <c r="AJ70" s="190"/>
      <c r="AK70" s="190"/>
      <c r="AL70" s="187"/>
      <c r="AM70" s="184"/>
      <c r="AN70" s="554"/>
      <c r="AO70" s="190"/>
      <c r="AP70" s="190"/>
      <c r="AQ70" s="187"/>
      <c r="AR70" s="184"/>
      <c r="AS70" s="572"/>
      <c r="AT70" s="190"/>
      <c r="AU70" s="190"/>
      <c r="AV70" s="187"/>
      <c r="AW70" s="184"/>
      <c r="AX70" s="554"/>
    </row>
    <row r="71" spans="2:50" ht="14.25" customHeight="1">
      <c r="B71" s="525"/>
      <c r="C71" s="182">
        <v>5</v>
      </c>
      <c r="D71" s="185"/>
      <c r="E71" s="182"/>
      <c r="F71" s="182"/>
      <c r="G71" s="187"/>
      <c r="H71" s="554"/>
      <c r="I71" s="188"/>
      <c r="J71" s="188"/>
      <c r="K71" s="189"/>
      <c r="L71" s="555"/>
      <c r="M71" s="188"/>
      <c r="N71" s="525"/>
      <c r="O71" s="525"/>
      <c r="P71" s="190"/>
      <c r="Q71" s="190"/>
      <c r="R71" s="187"/>
      <c r="S71" s="184"/>
      <c r="T71" s="554"/>
      <c r="U71" s="190"/>
      <c r="V71" s="190"/>
      <c r="W71" s="187"/>
      <c r="X71" s="184"/>
      <c r="Y71" s="554"/>
      <c r="Z71" s="190"/>
      <c r="AA71" s="190"/>
      <c r="AB71" s="187"/>
      <c r="AC71" s="184"/>
      <c r="AD71" s="554"/>
      <c r="AE71" s="190"/>
      <c r="AF71" s="190"/>
      <c r="AG71" s="187"/>
      <c r="AH71" s="184"/>
      <c r="AI71" s="554"/>
      <c r="AJ71" s="190"/>
      <c r="AK71" s="190"/>
      <c r="AL71" s="187"/>
      <c r="AM71" s="184"/>
      <c r="AN71" s="554"/>
      <c r="AO71" s="190"/>
      <c r="AP71" s="190"/>
      <c r="AQ71" s="187"/>
      <c r="AR71" s="184"/>
      <c r="AS71" s="572"/>
      <c r="AT71" s="190"/>
      <c r="AU71" s="190"/>
      <c r="AV71" s="187"/>
      <c r="AW71" s="184"/>
      <c r="AX71" s="554"/>
    </row>
    <row r="72" spans="2:50" ht="14.25" customHeight="1">
      <c r="B72" s="525"/>
      <c r="C72" s="182">
        <v>6</v>
      </c>
      <c r="D72" s="185"/>
      <c r="E72" s="182"/>
      <c r="F72" s="182"/>
      <c r="G72" s="187"/>
      <c r="H72" s="554"/>
      <c r="I72" s="188"/>
      <c r="J72" s="188"/>
      <c r="K72" s="189"/>
      <c r="L72" s="555"/>
      <c r="M72" s="188"/>
      <c r="N72" s="525"/>
      <c r="O72" s="525"/>
      <c r="P72" s="190"/>
      <c r="Q72" s="190"/>
      <c r="R72" s="187"/>
      <c r="S72" s="184"/>
      <c r="T72" s="554"/>
      <c r="U72" s="190"/>
      <c r="V72" s="190"/>
      <c r="W72" s="187"/>
      <c r="X72" s="184"/>
      <c r="Y72" s="554"/>
      <c r="Z72" s="190"/>
      <c r="AA72" s="190"/>
      <c r="AB72" s="187"/>
      <c r="AC72" s="184"/>
      <c r="AD72" s="554"/>
      <c r="AE72" s="190"/>
      <c r="AF72" s="190"/>
      <c r="AG72" s="187"/>
      <c r="AH72" s="184"/>
      <c r="AI72" s="554"/>
      <c r="AJ72" s="190"/>
      <c r="AK72" s="190"/>
      <c r="AL72" s="187"/>
      <c r="AM72" s="184"/>
      <c r="AN72" s="554"/>
      <c r="AO72" s="190"/>
      <c r="AP72" s="190"/>
      <c r="AQ72" s="187"/>
      <c r="AR72" s="184"/>
      <c r="AS72" s="572"/>
      <c r="AT72" s="190"/>
      <c r="AU72" s="190"/>
      <c r="AV72" s="187"/>
      <c r="AW72" s="184"/>
      <c r="AX72" s="554"/>
    </row>
    <row r="73" spans="2:50" ht="14.25" customHeight="1">
      <c r="B73" s="525"/>
      <c r="C73" s="182">
        <v>7</v>
      </c>
      <c r="D73" s="185"/>
      <c r="E73" s="182"/>
      <c r="F73" s="182"/>
      <c r="G73" s="187"/>
      <c r="H73" s="554"/>
      <c r="I73" s="188"/>
      <c r="J73" s="188"/>
      <c r="K73" s="189"/>
      <c r="L73" s="555"/>
      <c r="M73" s="188"/>
      <c r="N73" s="525"/>
      <c r="O73" s="525"/>
      <c r="P73" s="190"/>
      <c r="Q73" s="190"/>
      <c r="R73" s="187"/>
      <c r="S73" s="184"/>
      <c r="T73" s="554"/>
      <c r="U73" s="190"/>
      <c r="V73" s="190"/>
      <c r="W73" s="187"/>
      <c r="X73" s="184"/>
      <c r="Y73" s="554"/>
      <c r="Z73" s="190"/>
      <c r="AA73" s="190"/>
      <c r="AB73" s="187"/>
      <c r="AC73" s="184"/>
      <c r="AD73" s="554"/>
      <c r="AE73" s="190"/>
      <c r="AF73" s="190"/>
      <c r="AG73" s="187"/>
      <c r="AH73" s="184"/>
      <c r="AI73" s="554"/>
      <c r="AJ73" s="190"/>
      <c r="AK73" s="190"/>
      <c r="AL73" s="187"/>
      <c r="AM73" s="184"/>
      <c r="AN73" s="554"/>
      <c r="AO73" s="190"/>
      <c r="AP73" s="190"/>
      <c r="AQ73" s="187"/>
      <c r="AR73" s="184"/>
      <c r="AS73" s="572"/>
      <c r="AT73" s="190"/>
      <c r="AU73" s="190"/>
      <c r="AV73" s="187"/>
      <c r="AW73" s="184"/>
      <c r="AX73" s="554"/>
    </row>
    <row r="74" spans="2:50" ht="14.25" customHeight="1">
      <c r="B74" s="525"/>
      <c r="C74" s="182">
        <v>8</v>
      </c>
      <c r="D74" s="185"/>
      <c r="E74" s="182"/>
      <c r="F74" s="182"/>
      <c r="G74" s="187"/>
      <c r="H74" s="554"/>
      <c r="I74" s="188"/>
      <c r="J74" s="188"/>
      <c r="K74" s="189"/>
      <c r="L74" s="555"/>
      <c r="M74" s="188"/>
      <c r="N74" s="525"/>
      <c r="O74" s="525"/>
      <c r="P74" s="190"/>
      <c r="Q74" s="190"/>
      <c r="R74" s="187"/>
      <c r="S74" s="184"/>
      <c r="T74" s="554"/>
      <c r="U74" s="190"/>
      <c r="V74" s="190"/>
      <c r="W74" s="187"/>
      <c r="X74" s="184"/>
      <c r="Y74" s="554"/>
      <c r="Z74" s="190"/>
      <c r="AA74" s="190"/>
      <c r="AB74" s="187"/>
      <c r="AC74" s="184"/>
      <c r="AD74" s="554"/>
      <c r="AE74" s="190"/>
      <c r="AF74" s="190"/>
      <c r="AG74" s="187"/>
      <c r="AH74" s="184"/>
      <c r="AI74" s="554"/>
      <c r="AJ74" s="190"/>
      <c r="AK74" s="190"/>
      <c r="AL74" s="187"/>
      <c r="AM74" s="184"/>
      <c r="AN74" s="554"/>
      <c r="AO74" s="190"/>
      <c r="AP74" s="190"/>
      <c r="AQ74" s="187"/>
      <c r="AR74" s="184"/>
      <c r="AS74" s="572"/>
      <c r="AT74" s="190"/>
      <c r="AU74" s="190"/>
      <c r="AV74" s="187"/>
      <c r="AW74" s="184"/>
      <c r="AX74" s="554"/>
    </row>
    <row r="75" spans="2:50" ht="14.25" customHeight="1">
      <c r="B75" s="525"/>
      <c r="C75" s="182">
        <v>9</v>
      </c>
      <c r="D75" s="185"/>
      <c r="E75" s="182"/>
      <c r="F75" s="182"/>
      <c r="G75" s="187"/>
      <c r="H75" s="554"/>
      <c r="I75" s="188"/>
      <c r="J75" s="188"/>
      <c r="K75" s="189"/>
      <c r="L75" s="555"/>
      <c r="M75" s="188"/>
      <c r="N75" s="525"/>
      <c r="O75" s="525"/>
      <c r="P75" s="190"/>
      <c r="Q75" s="190"/>
      <c r="R75" s="187"/>
      <c r="S75" s="184"/>
      <c r="T75" s="554"/>
      <c r="U75" s="190"/>
      <c r="V75" s="190"/>
      <c r="W75" s="187"/>
      <c r="X75" s="184"/>
      <c r="Y75" s="554"/>
      <c r="Z75" s="190"/>
      <c r="AA75" s="190"/>
      <c r="AB75" s="187"/>
      <c r="AC75" s="184"/>
      <c r="AD75" s="554"/>
      <c r="AE75" s="190"/>
      <c r="AF75" s="190"/>
      <c r="AG75" s="187"/>
      <c r="AH75" s="184"/>
      <c r="AI75" s="554"/>
      <c r="AJ75" s="190"/>
      <c r="AK75" s="190"/>
      <c r="AL75" s="187"/>
      <c r="AM75" s="184"/>
      <c r="AN75" s="554"/>
      <c r="AO75" s="190"/>
      <c r="AP75" s="190"/>
      <c r="AQ75" s="187"/>
      <c r="AR75" s="184"/>
      <c r="AS75" s="572"/>
      <c r="AT75" s="190"/>
      <c r="AU75" s="190"/>
      <c r="AV75" s="187"/>
      <c r="AW75" s="184"/>
      <c r="AX75" s="554"/>
    </row>
    <row r="76" spans="2:50" ht="14.25" customHeight="1">
      <c r="B76" s="525"/>
      <c r="C76" s="182">
        <v>10</v>
      </c>
      <c r="D76" s="185"/>
      <c r="E76" s="182"/>
      <c r="F76" s="182"/>
      <c r="G76" s="187"/>
      <c r="H76" s="554"/>
      <c r="I76" s="188"/>
      <c r="J76" s="188"/>
      <c r="K76" s="189"/>
      <c r="L76" s="555"/>
      <c r="M76" s="188"/>
      <c r="N76" s="525"/>
      <c r="O76" s="525"/>
      <c r="P76" s="190"/>
      <c r="Q76" s="190"/>
      <c r="R76" s="187"/>
      <c r="S76" s="184"/>
      <c r="T76" s="554"/>
      <c r="U76" s="190"/>
      <c r="V76" s="190"/>
      <c r="W76" s="187"/>
      <c r="X76" s="184"/>
      <c r="Y76" s="554"/>
      <c r="Z76" s="190"/>
      <c r="AA76" s="190"/>
      <c r="AB76" s="187"/>
      <c r="AC76" s="184"/>
      <c r="AD76" s="554"/>
      <c r="AE76" s="190"/>
      <c r="AF76" s="190"/>
      <c r="AG76" s="187"/>
      <c r="AH76" s="184"/>
      <c r="AI76" s="554"/>
      <c r="AJ76" s="190"/>
      <c r="AK76" s="190"/>
      <c r="AL76" s="187"/>
      <c r="AM76" s="184"/>
      <c r="AN76" s="554"/>
      <c r="AO76" s="190"/>
      <c r="AP76" s="190"/>
      <c r="AQ76" s="187"/>
      <c r="AR76" s="184"/>
      <c r="AS76" s="572"/>
      <c r="AT76" s="190"/>
      <c r="AU76" s="190"/>
      <c r="AV76" s="187"/>
      <c r="AW76" s="184"/>
      <c r="AX76" s="554"/>
    </row>
    <row r="77" spans="2:50" ht="14.25" customHeight="1">
      <c r="B77" s="525"/>
      <c r="C77" s="182">
        <v>11</v>
      </c>
      <c r="D77" s="185"/>
      <c r="E77" s="182"/>
      <c r="F77" s="182"/>
      <c r="G77" s="187"/>
      <c r="H77" s="554"/>
      <c r="I77" s="188"/>
      <c r="J77" s="188"/>
      <c r="K77" s="189"/>
      <c r="L77" s="555"/>
      <c r="M77" s="188"/>
      <c r="N77" s="525"/>
      <c r="O77" s="525"/>
      <c r="P77" s="190"/>
      <c r="Q77" s="190"/>
      <c r="R77" s="187"/>
      <c r="S77" s="184"/>
      <c r="T77" s="554"/>
      <c r="U77" s="190"/>
      <c r="V77" s="190"/>
      <c r="W77" s="187"/>
      <c r="X77" s="184"/>
      <c r="Y77" s="554"/>
      <c r="Z77" s="190"/>
      <c r="AA77" s="190"/>
      <c r="AB77" s="187"/>
      <c r="AC77" s="184"/>
      <c r="AD77" s="554"/>
      <c r="AE77" s="190"/>
      <c r="AF77" s="190"/>
      <c r="AG77" s="187"/>
      <c r="AH77" s="184"/>
      <c r="AI77" s="554"/>
      <c r="AJ77" s="190"/>
      <c r="AK77" s="190"/>
      <c r="AL77" s="187"/>
      <c r="AM77" s="184"/>
      <c r="AN77" s="554"/>
      <c r="AO77" s="190"/>
      <c r="AP77" s="190"/>
      <c r="AQ77" s="187"/>
      <c r="AR77" s="184"/>
      <c r="AS77" s="572"/>
      <c r="AT77" s="190"/>
      <c r="AU77" s="190"/>
      <c r="AV77" s="187"/>
      <c r="AW77" s="184"/>
      <c r="AX77" s="554"/>
    </row>
    <row r="78" spans="2:50" ht="14.25" customHeight="1">
      <c r="B78" s="525"/>
      <c r="C78" s="182">
        <v>12</v>
      </c>
      <c r="D78" s="185"/>
      <c r="E78" s="182"/>
      <c r="F78" s="182"/>
      <c r="G78" s="187"/>
      <c r="H78" s="554"/>
      <c r="I78" s="188"/>
      <c r="J78" s="188"/>
      <c r="K78" s="189"/>
      <c r="L78" s="555"/>
      <c r="M78" s="188"/>
      <c r="N78" s="525"/>
      <c r="O78" s="525"/>
      <c r="P78" s="190"/>
      <c r="Q78" s="190"/>
      <c r="R78" s="187"/>
      <c r="S78" s="184"/>
      <c r="T78" s="554"/>
      <c r="U78" s="190"/>
      <c r="V78" s="190"/>
      <c r="W78" s="187"/>
      <c r="X78" s="184"/>
      <c r="Y78" s="554"/>
      <c r="Z78" s="190"/>
      <c r="AA78" s="190"/>
      <c r="AB78" s="187"/>
      <c r="AC78" s="184"/>
      <c r="AD78" s="554"/>
      <c r="AE78" s="190"/>
      <c r="AF78" s="190"/>
      <c r="AG78" s="187"/>
      <c r="AH78" s="184"/>
      <c r="AI78" s="554"/>
      <c r="AJ78" s="190"/>
      <c r="AK78" s="190"/>
      <c r="AL78" s="187"/>
      <c r="AM78" s="184"/>
      <c r="AN78" s="554"/>
      <c r="AO78" s="190"/>
      <c r="AP78" s="190"/>
      <c r="AQ78" s="187"/>
      <c r="AR78" s="184"/>
      <c r="AS78" s="572"/>
      <c r="AT78" s="190"/>
      <c r="AU78" s="190"/>
      <c r="AV78" s="187"/>
      <c r="AW78" s="184"/>
      <c r="AX78" s="554"/>
    </row>
    <row r="79" spans="2:50" ht="14.25" customHeight="1">
      <c r="B79" s="525"/>
      <c r="C79" s="182">
        <v>13</v>
      </c>
      <c r="D79" s="185"/>
      <c r="E79" s="182"/>
      <c r="F79" s="182"/>
      <c r="G79" s="187"/>
      <c r="H79" s="554"/>
      <c r="I79" s="188"/>
      <c r="J79" s="188"/>
      <c r="K79" s="189"/>
      <c r="L79" s="555"/>
      <c r="M79" s="188"/>
      <c r="N79" s="525"/>
      <c r="O79" s="525"/>
      <c r="P79" s="190"/>
      <c r="Q79" s="190"/>
      <c r="R79" s="187"/>
      <c r="S79" s="184"/>
      <c r="T79" s="554"/>
      <c r="U79" s="190"/>
      <c r="V79" s="190"/>
      <c r="W79" s="187"/>
      <c r="X79" s="184"/>
      <c r="Y79" s="554"/>
      <c r="Z79" s="190"/>
      <c r="AA79" s="190"/>
      <c r="AB79" s="187"/>
      <c r="AC79" s="184"/>
      <c r="AD79" s="554"/>
      <c r="AE79" s="190"/>
      <c r="AF79" s="190"/>
      <c r="AG79" s="187"/>
      <c r="AH79" s="184"/>
      <c r="AI79" s="554"/>
      <c r="AJ79" s="190"/>
      <c r="AK79" s="190"/>
      <c r="AL79" s="187"/>
      <c r="AM79" s="184"/>
      <c r="AN79" s="554"/>
      <c r="AO79" s="190"/>
      <c r="AP79" s="190"/>
      <c r="AQ79" s="187"/>
      <c r="AR79" s="184"/>
      <c r="AS79" s="572"/>
      <c r="AT79" s="190"/>
      <c r="AU79" s="190"/>
      <c r="AV79" s="187"/>
      <c r="AW79" s="184"/>
      <c r="AX79" s="554"/>
    </row>
    <row r="80" spans="2:50" ht="14.25" customHeight="1">
      <c r="B80" s="525"/>
      <c r="C80" s="182">
        <v>14</v>
      </c>
      <c r="D80" s="185"/>
      <c r="E80" s="182"/>
      <c r="F80" s="182"/>
      <c r="G80" s="187"/>
      <c r="H80" s="554"/>
      <c r="I80" s="188"/>
      <c r="J80" s="188"/>
      <c r="K80" s="189"/>
      <c r="L80" s="555"/>
      <c r="M80" s="188"/>
      <c r="N80" s="525"/>
      <c r="O80" s="525"/>
      <c r="P80" s="190"/>
      <c r="Q80" s="190"/>
      <c r="R80" s="187"/>
      <c r="S80" s="184"/>
      <c r="T80" s="554"/>
      <c r="U80" s="190"/>
      <c r="V80" s="190"/>
      <c r="W80" s="187"/>
      <c r="X80" s="184"/>
      <c r="Y80" s="554"/>
      <c r="Z80" s="190"/>
      <c r="AA80" s="190"/>
      <c r="AB80" s="187"/>
      <c r="AC80" s="184"/>
      <c r="AD80" s="554"/>
      <c r="AE80" s="190"/>
      <c r="AF80" s="190"/>
      <c r="AG80" s="187"/>
      <c r="AH80" s="184"/>
      <c r="AI80" s="554"/>
      <c r="AJ80" s="190"/>
      <c r="AK80" s="190"/>
      <c r="AL80" s="187"/>
      <c r="AM80" s="184"/>
      <c r="AN80" s="554"/>
      <c r="AO80" s="190"/>
      <c r="AP80" s="190"/>
      <c r="AQ80" s="187"/>
      <c r="AR80" s="184"/>
      <c r="AS80" s="572"/>
      <c r="AT80" s="190"/>
      <c r="AU80" s="190"/>
      <c r="AV80" s="187"/>
      <c r="AW80" s="184"/>
      <c r="AX80" s="554"/>
    </row>
    <row r="81" spans="2:50" ht="14.25" customHeight="1">
      <c r="B81" s="525"/>
      <c r="C81" s="182">
        <v>15</v>
      </c>
      <c r="D81" s="185"/>
      <c r="E81" s="182"/>
      <c r="F81" s="182"/>
      <c r="G81" s="187"/>
      <c r="H81" s="554"/>
      <c r="I81" s="188"/>
      <c r="J81" s="188"/>
      <c r="K81" s="189"/>
      <c r="L81" s="555"/>
      <c r="M81" s="188"/>
      <c r="N81" s="525"/>
      <c r="O81" s="525"/>
      <c r="P81" s="190"/>
      <c r="Q81" s="190"/>
      <c r="R81" s="187"/>
      <c r="S81" s="184"/>
      <c r="T81" s="554"/>
      <c r="U81" s="190"/>
      <c r="V81" s="190"/>
      <c r="W81" s="187"/>
      <c r="X81" s="184"/>
      <c r="Y81" s="554"/>
      <c r="Z81" s="190"/>
      <c r="AA81" s="190"/>
      <c r="AB81" s="187"/>
      <c r="AC81" s="184"/>
      <c r="AD81" s="554"/>
      <c r="AE81" s="190"/>
      <c r="AF81" s="190"/>
      <c r="AG81" s="187"/>
      <c r="AH81" s="184"/>
      <c r="AI81" s="554"/>
      <c r="AJ81" s="190"/>
      <c r="AK81" s="190"/>
      <c r="AL81" s="187"/>
      <c r="AM81" s="184"/>
      <c r="AN81" s="554"/>
      <c r="AO81" s="190"/>
      <c r="AP81" s="190"/>
      <c r="AQ81" s="187"/>
      <c r="AR81" s="184"/>
      <c r="AS81" s="573"/>
      <c r="AT81" s="190"/>
      <c r="AU81" s="190"/>
      <c r="AV81" s="187"/>
      <c r="AW81" s="184"/>
      <c r="AX81" s="554"/>
    </row>
    <row r="82" spans="2:50" ht="14.25" customHeight="1" collapsed="1">
      <c r="B82" s="534" t="s">
        <v>649</v>
      </c>
      <c r="C82" s="535"/>
      <c r="D82" s="535"/>
      <c r="E82" s="535"/>
      <c r="F82" s="535"/>
      <c r="G82" s="535"/>
      <c r="H82" s="535"/>
      <c r="I82" s="535"/>
      <c r="J82" s="535"/>
      <c r="K82" s="535"/>
      <c r="L82" s="535"/>
      <c r="M82" s="536"/>
      <c r="N82" s="564" t="s">
        <v>378</v>
      </c>
      <c r="O82" s="564" t="s">
        <v>105</v>
      </c>
      <c r="P82" s="566">
        <f>AT62+1</f>
        <v>46105</v>
      </c>
      <c r="Q82" s="567"/>
      <c r="R82" s="567"/>
      <c r="S82" s="567"/>
      <c r="T82" s="567"/>
      <c r="U82" s="568">
        <f>P82+1</f>
        <v>46106</v>
      </c>
      <c r="V82" s="569"/>
      <c r="W82" s="569"/>
      <c r="X82" s="569"/>
      <c r="Y82" s="569"/>
      <c r="Z82" s="566">
        <f t="shared" ref="Z82" si="50">U82+1</f>
        <v>46107</v>
      </c>
      <c r="AA82" s="567"/>
      <c r="AB82" s="567"/>
      <c r="AC82" s="567"/>
      <c r="AD82" s="567"/>
      <c r="AE82" s="568">
        <f t="shared" ref="AE82" si="51">Z82+1</f>
        <v>46108</v>
      </c>
      <c r="AF82" s="569"/>
      <c r="AG82" s="569"/>
      <c r="AH82" s="569"/>
      <c r="AI82" s="569"/>
      <c r="AJ82" s="556">
        <f t="shared" ref="AJ82" si="52">AE82+1</f>
        <v>46109</v>
      </c>
      <c r="AK82" s="557"/>
      <c r="AL82" s="557"/>
      <c r="AM82" s="557"/>
      <c r="AN82" s="558"/>
      <c r="AO82" s="568">
        <f t="shared" ref="AO82" si="53">AJ82+1</f>
        <v>46110</v>
      </c>
      <c r="AP82" s="569"/>
      <c r="AQ82" s="569"/>
      <c r="AR82" s="569"/>
      <c r="AS82" s="569"/>
      <c r="AT82" s="556">
        <f t="shared" ref="AT82" si="54">AO82+1</f>
        <v>46111</v>
      </c>
      <c r="AU82" s="557"/>
      <c r="AV82" s="557"/>
      <c r="AW82" s="557"/>
      <c r="AX82" s="558"/>
    </row>
    <row r="83" spans="2:50" ht="14.25" customHeight="1">
      <c r="B83" s="537"/>
      <c r="C83" s="537"/>
      <c r="D83" s="537"/>
      <c r="E83" s="537"/>
      <c r="F83" s="537"/>
      <c r="G83" s="537"/>
      <c r="H83" s="537"/>
      <c r="I83" s="537"/>
      <c r="J83" s="537"/>
      <c r="K83" s="537"/>
      <c r="L83" s="537"/>
      <c r="M83" s="538"/>
      <c r="N83" s="565"/>
      <c r="O83" s="565"/>
      <c r="P83" s="559">
        <f>P82</f>
        <v>46105</v>
      </c>
      <c r="Q83" s="559"/>
      <c r="R83" s="559"/>
      <c r="S83" s="559"/>
      <c r="T83" s="559"/>
      <c r="U83" s="560">
        <f>U82</f>
        <v>46106</v>
      </c>
      <c r="V83" s="560"/>
      <c r="W83" s="560"/>
      <c r="X83" s="560"/>
      <c r="Y83" s="560"/>
      <c r="Z83" s="559">
        <f t="shared" ref="Z83" si="55">Z82</f>
        <v>46107</v>
      </c>
      <c r="AA83" s="559"/>
      <c r="AB83" s="559"/>
      <c r="AC83" s="559"/>
      <c r="AD83" s="559"/>
      <c r="AE83" s="560">
        <f t="shared" ref="AE83" si="56">AE82</f>
        <v>46108</v>
      </c>
      <c r="AF83" s="560"/>
      <c r="AG83" s="560"/>
      <c r="AH83" s="560"/>
      <c r="AI83" s="560"/>
      <c r="AJ83" s="561">
        <f t="shared" ref="AJ83" si="57">AJ82</f>
        <v>46109</v>
      </c>
      <c r="AK83" s="562"/>
      <c r="AL83" s="562"/>
      <c r="AM83" s="562"/>
      <c r="AN83" s="563"/>
      <c r="AO83" s="560">
        <f t="shared" ref="AO83" si="58">AO82</f>
        <v>46110</v>
      </c>
      <c r="AP83" s="560"/>
      <c r="AQ83" s="560"/>
      <c r="AR83" s="560"/>
      <c r="AS83" s="560"/>
      <c r="AT83" s="561">
        <f t="shared" ref="AT83" si="59">AT82</f>
        <v>46111</v>
      </c>
      <c r="AU83" s="562"/>
      <c r="AV83" s="562"/>
      <c r="AW83" s="562"/>
      <c r="AX83" s="563"/>
    </row>
    <row r="84" spans="2:50" ht="14.25" customHeight="1">
      <c r="B84" s="525" t="s">
        <v>164</v>
      </c>
      <c r="C84" s="525" t="s">
        <v>159</v>
      </c>
      <c r="D84" s="525"/>
      <c r="E84" s="525" t="s">
        <v>160</v>
      </c>
      <c r="F84" s="525"/>
      <c r="G84" s="525"/>
      <c r="H84" s="525" t="s">
        <v>165</v>
      </c>
      <c r="I84" s="544" t="s">
        <v>379</v>
      </c>
      <c r="J84" s="544"/>
      <c r="K84" s="544"/>
      <c r="L84" s="544" t="s">
        <v>165</v>
      </c>
      <c r="M84" s="544" t="s">
        <v>167</v>
      </c>
      <c r="N84" s="525"/>
      <c r="O84" s="525" t="s">
        <v>166</v>
      </c>
      <c r="P84" s="525" t="s">
        <v>162</v>
      </c>
      <c r="Q84" s="525"/>
      <c r="R84" s="525"/>
      <c r="S84" s="525"/>
      <c r="T84" s="525" t="s">
        <v>165</v>
      </c>
      <c r="U84" s="525" t="s">
        <v>162</v>
      </c>
      <c r="V84" s="525"/>
      <c r="W84" s="525"/>
      <c r="X84" s="525"/>
      <c r="Y84" s="525" t="s">
        <v>165</v>
      </c>
      <c r="Z84" s="525" t="s">
        <v>162</v>
      </c>
      <c r="AA84" s="525"/>
      <c r="AB84" s="525"/>
      <c r="AC84" s="525"/>
      <c r="AD84" s="525" t="s">
        <v>165</v>
      </c>
      <c r="AE84" s="525" t="s">
        <v>162</v>
      </c>
      <c r="AF84" s="525"/>
      <c r="AG84" s="525"/>
      <c r="AH84" s="525"/>
      <c r="AI84" s="525" t="s">
        <v>165</v>
      </c>
      <c r="AJ84" s="525" t="s">
        <v>162</v>
      </c>
      <c r="AK84" s="525"/>
      <c r="AL84" s="525"/>
      <c r="AM84" s="525"/>
      <c r="AN84" s="525" t="s">
        <v>165</v>
      </c>
      <c r="AO84" s="525" t="s">
        <v>162</v>
      </c>
      <c r="AP84" s="525"/>
      <c r="AQ84" s="525"/>
      <c r="AR84" s="525"/>
      <c r="AS84" s="525" t="s">
        <v>165</v>
      </c>
      <c r="AT84" s="525" t="s">
        <v>162</v>
      </c>
      <c r="AU84" s="525"/>
      <c r="AV84" s="525"/>
      <c r="AW84" s="525"/>
      <c r="AX84" s="525" t="s">
        <v>165</v>
      </c>
    </row>
    <row r="85" spans="2:50" ht="14.25" customHeight="1">
      <c r="B85" s="525"/>
      <c r="C85" s="525"/>
      <c r="D85" s="525"/>
      <c r="E85" s="525" t="s">
        <v>380</v>
      </c>
      <c r="F85" s="525"/>
      <c r="G85" s="525"/>
      <c r="H85" s="525"/>
      <c r="I85" s="544" t="s">
        <v>380</v>
      </c>
      <c r="J85" s="544"/>
      <c r="K85" s="544"/>
      <c r="L85" s="544"/>
      <c r="M85" s="544"/>
      <c r="N85" s="525"/>
      <c r="O85" s="525"/>
      <c r="P85" s="525" t="s">
        <v>381</v>
      </c>
      <c r="Q85" s="525"/>
      <c r="R85" s="525"/>
      <c r="S85" s="525"/>
      <c r="T85" s="525"/>
      <c r="U85" s="525" t="s">
        <v>381</v>
      </c>
      <c r="V85" s="525"/>
      <c r="W85" s="525"/>
      <c r="X85" s="525"/>
      <c r="Y85" s="525"/>
      <c r="Z85" s="525" t="s">
        <v>381</v>
      </c>
      <c r="AA85" s="525"/>
      <c r="AB85" s="525"/>
      <c r="AC85" s="525"/>
      <c r="AD85" s="525"/>
      <c r="AE85" s="525" t="s">
        <v>381</v>
      </c>
      <c r="AF85" s="525"/>
      <c r="AG85" s="525"/>
      <c r="AH85" s="525"/>
      <c r="AI85" s="525"/>
      <c r="AJ85" s="525" t="s">
        <v>381</v>
      </c>
      <c r="AK85" s="525"/>
      <c r="AL85" s="525"/>
      <c r="AM85" s="525"/>
      <c r="AN85" s="525"/>
      <c r="AO85" s="525" t="s">
        <v>381</v>
      </c>
      <c r="AP85" s="525"/>
      <c r="AQ85" s="525"/>
      <c r="AR85" s="525"/>
      <c r="AS85" s="525"/>
      <c r="AT85" s="525" t="s">
        <v>381</v>
      </c>
      <c r="AU85" s="525"/>
      <c r="AV85" s="525"/>
      <c r="AW85" s="525"/>
      <c r="AX85" s="525"/>
    </row>
    <row r="86" spans="2:50" ht="14.25" customHeight="1">
      <c r="B86" s="525"/>
      <c r="C86" s="525"/>
      <c r="D86" s="525"/>
      <c r="E86" s="182" t="s">
        <v>161</v>
      </c>
      <c r="F86" s="182" t="s">
        <v>382</v>
      </c>
      <c r="G86" s="182" t="s">
        <v>163</v>
      </c>
      <c r="H86" s="525"/>
      <c r="I86" s="183" t="s">
        <v>161</v>
      </c>
      <c r="J86" s="183" t="s">
        <v>382</v>
      </c>
      <c r="K86" s="183" t="s">
        <v>163</v>
      </c>
      <c r="L86" s="544"/>
      <c r="M86" s="544"/>
      <c r="N86" s="525"/>
      <c r="O86" s="525"/>
      <c r="P86" s="182" t="s">
        <v>161</v>
      </c>
      <c r="Q86" s="182" t="s">
        <v>382</v>
      </c>
      <c r="R86" s="182" t="s">
        <v>163</v>
      </c>
      <c r="S86" s="184" t="s">
        <v>167</v>
      </c>
      <c r="T86" s="525"/>
      <c r="U86" s="182" t="s">
        <v>161</v>
      </c>
      <c r="V86" s="182" t="s">
        <v>382</v>
      </c>
      <c r="W86" s="182" t="s">
        <v>163</v>
      </c>
      <c r="X86" s="184" t="s">
        <v>167</v>
      </c>
      <c r="Y86" s="525"/>
      <c r="Z86" s="182" t="s">
        <v>161</v>
      </c>
      <c r="AA86" s="182" t="s">
        <v>382</v>
      </c>
      <c r="AB86" s="182" t="s">
        <v>163</v>
      </c>
      <c r="AC86" s="184" t="s">
        <v>167</v>
      </c>
      <c r="AD86" s="525"/>
      <c r="AE86" s="182" t="s">
        <v>161</v>
      </c>
      <c r="AF86" s="182" t="s">
        <v>382</v>
      </c>
      <c r="AG86" s="182" t="s">
        <v>163</v>
      </c>
      <c r="AH86" s="184" t="s">
        <v>167</v>
      </c>
      <c r="AI86" s="525"/>
      <c r="AJ86" s="182" t="s">
        <v>161</v>
      </c>
      <c r="AK86" s="182" t="s">
        <v>382</v>
      </c>
      <c r="AL86" s="182" t="s">
        <v>163</v>
      </c>
      <c r="AM86" s="184" t="s">
        <v>167</v>
      </c>
      <c r="AN86" s="525"/>
      <c r="AO86" s="182" t="s">
        <v>161</v>
      </c>
      <c r="AP86" s="182" t="s">
        <v>382</v>
      </c>
      <c r="AQ86" s="182" t="s">
        <v>163</v>
      </c>
      <c r="AR86" s="184" t="s">
        <v>167</v>
      </c>
      <c r="AS86" s="525"/>
      <c r="AT86" s="182" t="s">
        <v>161</v>
      </c>
      <c r="AU86" s="182" t="s">
        <v>382</v>
      </c>
      <c r="AV86" s="182" t="s">
        <v>163</v>
      </c>
      <c r="AW86" s="184" t="s">
        <v>167</v>
      </c>
      <c r="AX86" s="525"/>
    </row>
    <row r="87" spans="2:50" ht="14.25" customHeight="1">
      <c r="B87" s="570" t="s">
        <v>457</v>
      </c>
      <c r="C87" s="182">
        <v>1</v>
      </c>
      <c r="D87" s="185"/>
      <c r="E87" s="182"/>
      <c r="F87" s="182"/>
      <c r="G87" s="187"/>
      <c r="H87" s="554"/>
      <c r="I87" s="188"/>
      <c r="J87" s="188"/>
      <c r="K87" s="189"/>
      <c r="L87" s="555" t="str">
        <f>IFERROR(AVERAGE(K87:K101),"-")</f>
        <v>-</v>
      </c>
      <c r="M87" s="188" t="e">
        <f>RANK(K87, K$87:$K$101)</f>
        <v>#N/A</v>
      </c>
      <c r="N87" s="525"/>
      <c r="O87" s="525"/>
      <c r="P87" s="190"/>
      <c r="Q87" s="190"/>
      <c r="R87" s="187"/>
      <c r="S87" s="184"/>
      <c r="T87" s="554"/>
      <c r="U87" s="190"/>
      <c r="V87" s="190"/>
      <c r="W87" s="187"/>
      <c r="X87" s="184"/>
      <c r="Y87" s="554"/>
      <c r="Z87" s="190"/>
      <c r="AA87" s="190"/>
      <c r="AB87" s="187"/>
      <c r="AC87" s="184"/>
      <c r="AD87" s="554"/>
      <c r="AE87" s="190"/>
      <c r="AF87" s="190"/>
      <c r="AG87" s="187"/>
      <c r="AH87" s="184"/>
      <c r="AI87" s="554"/>
      <c r="AJ87" s="190"/>
      <c r="AK87" s="190"/>
      <c r="AL87" s="187"/>
      <c r="AM87" s="184"/>
      <c r="AN87" s="554"/>
      <c r="AO87" s="190"/>
      <c r="AP87" s="190"/>
      <c r="AQ87" s="187"/>
      <c r="AR87" s="184"/>
      <c r="AS87" s="554"/>
      <c r="AT87" s="190"/>
      <c r="AU87" s="190"/>
      <c r="AV87" s="187"/>
      <c r="AW87" s="184"/>
      <c r="AX87" s="554"/>
    </row>
    <row r="88" spans="2:50" ht="14.25" customHeight="1">
      <c r="B88" s="525"/>
      <c r="C88" s="182">
        <v>2</v>
      </c>
      <c r="D88" s="185"/>
      <c r="E88" s="182"/>
      <c r="F88" s="182"/>
      <c r="G88" s="187"/>
      <c r="H88" s="554"/>
      <c r="I88" s="188"/>
      <c r="J88" s="188"/>
      <c r="K88" s="189"/>
      <c r="L88" s="555"/>
      <c r="M88" s="188" t="e">
        <f>RANK(K88, K$87:$K$101)</f>
        <v>#N/A</v>
      </c>
      <c r="N88" s="525"/>
      <c r="O88" s="525"/>
      <c r="P88" s="190"/>
      <c r="Q88" s="190"/>
      <c r="R88" s="187"/>
      <c r="S88" s="184"/>
      <c r="T88" s="554"/>
      <c r="U88" s="190"/>
      <c r="V88" s="190"/>
      <c r="W88" s="187"/>
      <c r="X88" s="184"/>
      <c r="Y88" s="554"/>
      <c r="Z88" s="190"/>
      <c r="AA88" s="190"/>
      <c r="AB88" s="187"/>
      <c r="AC88" s="184"/>
      <c r="AD88" s="554"/>
      <c r="AE88" s="190"/>
      <c r="AF88" s="190"/>
      <c r="AG88" s="187"/>
      <c r="AH88" s="184"/>
      <c r="AI88" s="554"/>
      <c r="AJ88" s="190"/>
      <c r="AK88" s="190"/>
      <c r="AL88" s="187"/>
      <c r="AM88" s="184"/>
      <c r="AN88" s="554"/>
      <c r="AO88" s="190"/>
      <c r="AP88" s="190"/>
      <c r="AQ88" s="187"/>
      <c r="AR88" s="184"/>
      <c r="AS88" s="554"/>
      <c r="AT88" s="190"/>
      <c r="AU88" s="190"/>
      <c r="AV88" s="187"/>
      <c r="AW88" s="184"/>
      <c r="AX88" s="554"/>
    </row>
    <row r="89" spans="2:50" ht="14.25" customHeight="1">
      <c r="B89" s="525"/>
      <c r="C89" s="182">
        <v>3</v>
      </c>
      <c r="D89" s="185"/>
      <c r="E89" s="182"/>
      <c r="F89" s="182"/>
      <c r="G89" s="187"/>
      <c r="H89" s="554"/>
      <c r="I89" s="188"/>
      <c r="J89" s="188"/>
      <c r="K89" s="189"/>
      <c r="L89" s="555"/>
      <c r="M89" s="188"/>
      <c r="N89" s="525"/>
      <c r="O89" s="525"/>
      <c r="P89" s="190"/>
      <c r="Q89" s="190"/>
      <c r="R89" s="187"/>
      <c r="S89" s="184"/>
      <c r="T89" s="554"/>
      <c r="U89" s="190"/>
      <c r="V89" s="190"/>
      <c r="W89" s="187"/>
      <c r="X89" s="184"/>
      <c r="Y89" s="554"/>
      <c r="Z89" s="190"/>
      <c r="AA89" s="190"/>
      <c r="AB89" s="187"/>
      <c r="AC89" s="184"/>
      <c r="AD89" s="554"/>
      <c r="AE89" s="190"/>
      <c r="AF89" s="190"/>
      <c r="AG89" s="187"/>
      <c r="AH89" s="184"/>
      <c r="AI89" s="554"/>
      <c r="AJ89" s="190"/>
      <c r="AK89" s="190"/>
      <c r="AL89" s="187"/>
      <c r="AM89" s="184"/>
      <c r="AN89" s="554"/>
      <c r="AO89" s="190"/>
      <c r="AP89" s="190"/>
      <c r="AQ89" s="187"/>
      <c r="AR89" s="184"/>
      <c r="AS89" s="554"/>
      <c r="AT89" s="190"/>
      <c r="AU89" s="190"/>
      <c r="AV89" s="187"/>
      <c r="AW89" s="184"/>
      <c r="AX89" s="554"/>
    </row>
    <row r="90" spans="2:50" ht="14.25" customHeight="1">
      <c r="B90" s="525"/>
      <c r="C90" s="182">
        <v>4</v>
      </c>
      <c r="D90" s="185"/>
      <c r="E90" s="182"/>
      <c r="F90" s="182"/>
      <c r="G90" s="187"/>
      <c r="H90" s="554"/>
      <c r="I90" s="188"/>
      <c r="J90" s="188"/>
      <c r="K90" s="189"/>
      <c r="L90" s="555"/>
      <c r="M90" s="188"/>
      <c r="N90" s="525"/>
      <c r="O90" s="525"/>
      <c r="P90" s="190"/>
      <c r="Q90" s="190"/>
      <c r="R90" s="187"/>
      <c r="S90" s="184"/>
      <c r="T90" s="554"/>
      <c r="U90" s="190"/>
      <c r="V90" s="190"/>
      <c r="W90" s="187"/>
      <c r="X90" s="184"/>
      <c r="Y90" s="554"/>
      <c r="Z90" s="190"/>
      <c r="AA90" s="190"/>
      <c r="AB90" s="187"/>
      <c r="AC90" s="184"/>
      <c r="AD90" s="554"/>
      <c r="AE90" s="190"/>
      <c r="AF90" s="190"/>
      <c r="AG90" s="187"/>
      <c r="AH90" s="184"/>
      <c r="AI90" s="554"/>
      <c r="AJ90" s="190"/>
      <c r="AK90" s="190"/>
      <c r="AL90" s="187"/>
      <c r="AM90" s="184"/>
      <c r="AN90" s="554"/>
      <c r="AO90" s="190"/>
      <c r="AP90" s="190"/>
      <c r="AQ90" s="187"/>
      <c r="AR90" s="184"/>
      <c r="AS90" s="554"/>
      <c r="AT90" s="190"/>
      <c r="AU90" s="190"/>
      <c r="AV90" s="187"/>
      <c r="AW90" s="184"/>
      <c r="AX90" s="554"/>
    </row>
    <row r="91" spans="2:50" ht="14.25" customHeight="1">
      <c r="B91" s="525"/>
      <c r="C91" s="182">
        <v>5</v>
      </c>
      <c r="D91" s="185"/>
      <c r="E91" s="182"/>
      <c r="F91" s="182"/>
      <c r="G91" s="187"/>
      <c r="H91" s="554"/>
      <c r="I91" s="188"/>
      <c r="J91" s="188"/>
      <c r="K91" s="189"/>
      <c r="L91" s="555"/>
      <c r="M91" s="188"/>
      <c r="N91" s="525"/>
      <c r="O91" s="525"/>
      <c r="P91" s="190"/>
      <c r="Q91" s="190"/>
      <c r="R91" s="187"/>
      <c r="S91" s="184"/>
      <c r="T91" s="554"/>
      <c r="U91" s="190"/>
      <c r="V91" s="190"/>
      <c r="W91" s="187"/>
      <c r="X91" s="184"/>
      <c r="Y91" s="554"/>
      <c r="Z91" s="190"/>
      <c r="AA91" s="190"/>
      <c r="AB91" s="187"/>
      <c r="AC91" s="184"/>
      <c r="AD91" s="554"/>
      <c r="AE91" s="190"/>
      <c r="AF91" s="190"/>
      <c r="AG91" s="187"/>
      <c r="AH91" s="184"/>
      <c r="AI91" s="554"/>
      <c r="AJ91" s="190"/>
      <c r="AK91" s="190"/>
      <c r="AL91" s="187"/>
      <c r="AM91" s="184"/>
      <c r="AN91" s="554"/>
      <c r="AO91" s="190"/>
      <c r="AP91" s="190"/>
      <c r="AQ91" s="187"/>
      <c r="AR91" s="184"/>
      <c r="AS91" s="554"/>
      <c r="AT91" s="190"/>
      <c r="AU91" s="190"/>
      <c r="AV91" s="187"/>
      <c r="AW91" s="184"/>
      <c r="AX91" s="554"/>
    </row>
    <row r="92" spans="2:50" ht="14.25" customHeight="1">
      <c r="B92" s="525"/>
      <c r="C92" s="182">
        <v>6</v>
      </c>
      <c r="D92" s="185"/>
      <c r="E92" s="182"/>
      <c r="F92" s="182"/>
      <c r="G92" s="187"/>
      <c r="H92" s="554"/>
      <c r="I92" s="188"/>
      <c r="J92" s="188"/>
      <c r="K92" s="189"/>
      <c r="L92" s="555"/>
      <c r="M92" s="188"/>
      <c r="N92" s="525"/>
      <c r="O92" s="525"/>
      <c r="P92" s="190"/>
      <c r="Q92" s="190"/>
      <c r="R92" s="187"/>
      <c r="S92" s="184"/>
      <c r="T92" s="554"/>
      <c r="U92" s="190"/>
      <c r="V92" s="190"/>
      <c r="W92" s="187"/>
      <c r="X92" s="184"/>
      <c r="Y92" s="554"/>
      <c r="Z92" s="190"/>
      <c r="AA92" s="190"/>
      <c r="AB92" s="187"/>
      <c r="AC92" s="184"/>
      <c r="AD92" s="554"/>
      <c r="AE92" s="190"/>
      <c r="AF92" s="190"/>
      <c r="AG92" s="187"/>
      <c r="AH92" s="184"/>
      <c r="AI92" s="554"/>
      <c r="AJ92" s="190"/>
      <c r="AK92" s="190"/>
      <c r="AL92" s="187"/>
      <c r="AM92" s="184"/>
      <c r="AN92" s="554"/>
      <c r="AO92" s="190"/>
      <c r="AP92" s="190"/>
      <c r="AQ92" s="187"/>
      <c r="AR92" s="184"/>
      <c r="AS92" s="554"/>
      <c r="AT92" s="190"/>
      <c r="AU92" s="190"/>
      <c r="AV92" s="187"/>
      <c r="AW92" s="184"/>
      <c r="AX92" s="554"/>
    </row>
    <row r="93" spans="2:50" ht="14.25" customHeight="1">
      <c r="B93" s="525"/>
      <c r="C93" s="182">
        <v>7</v>
      </c>
      <c r="D93" s="185"/>
      <c r="E93" s="182"/>
      <c r="F93" s="182"/>
      <c r="G93" s="187"/>
      <c r="H93" s="554"/>
      <c r="I93" s="188"/>
      <c r="J93" s="188"/>
      <c r="K93" s="189"/>
      <c r="L93" s="555"/>
      <c r="M93" s="188"/>
      <c r="N93" s="525"/>
      <c r="O93" s="525"/>
      <c r="P93" s="190"/>
      <c r="Q93" s="190"/>
      <c r="R93" s="187"/>
      <c r="S93" s="184"/>
      <c r="T93" s="554"/>
      <c r="U93" s="190"/>
      <c r="V93" s="190"/>
      <c r="W93" s="187"/>
      <c r="X93" s="184"/>
      <c r="Y93" s="554"/>
      <c r="Z93" s="190"/>
      <c r="AA93" s="190"/>
      <c r="AB93" s="187"/>
      <c r="AC93" s="184"/>
      <c r="AD93" s="554"/>
      <c r="AE93" s="190"/>
      <c r="AF93" s="190"/>
      <c r="AG93" s="187"/>
      <c r="AH93" s="184"/>
      <c r="AI93" s="554"/>
      <c r="AJ93" s="190"/>
      <c r="AK93" s="190"/>
      <c r="AL93" s="187"/>
      <c r="AM93" s="184"/>
      <c r="AN93" s="554"/>
      <c r="AO93" s="190"/>
      <c r="AP93" s="190"/>
      <c r="AQ93" s="187"/>
      <c r="AR93" s="184"/>
      <c r="AS93" s="554"/>
      <c r="AT93" s="190"/>
      <c r="AU93" s="190"/>
      <c r="AV93" s="187"/>
      <c r="AW93" s="184"/>
      <c r="AX93" s="554"/>
    </row>
    <row r="94" spans="2:50" ht="14.25" customHeight="1">
      <c r="B94" s="525"/>
      <c r="C94" s="182">
        <v>8</v>
      </c>
      <c r="D94" s="185"/>
      <c r="E94" s="182"/>
      <c r="F94" s="182"/>
      <c r="G94" s="187"/>
      <c r="H94" s="554"/>
      <c r="I94" s="188"/>
      <c r="J94" s="188"/>
      <c r="K94" s="189"/>
      <c r="L94" s="555"/>
      <c r="M94" s="188"/>
      <c r="N94" s="525"/>
      <c r="O94" s="525"/>
      <c r="P94" s="190"/>
      <c r="Q94" s="190"/>
      <c r="R94" s="187"/>
      <c r="S94" s="184"/>
      <c r="T94" s="554"/>
      <c r="U94" s="190"/>
      <c r="V94" s="190"/>
      <c r="W94" s="187"/>
      <c r="X94" s="184"/>
      <c r="Y94" s="554"/>
      <c r="Z94" s="190"/>
      <c r="AA94" s="190"/>
      <c r="AB94" s="187"/>
      <c r="AC94" s="184"/>
      <c r="AD94" s="554"/>
      <c r="AE94" s="190"/>
      <c r="AF94" s="190"/>
      <c r="AG94" s="187"/>
      <c r="AH94" s="184"/>
      <c r="AI94" s="554"/>
      <c r="AJ94" s="190"/>
      <c r="AK94" s="190"/>
      <c r="AL94" s="187"/>
      <c r="AM94" s="184"/>
      <c r="AN94" s="554"/>
      <c r="AO94" s="190"/>
      <c r="AP94" s="190"/>
      <c r="AQ94" s="187"/>
      <c r="AR94" s="184"/>
      <c r="AS94" s="554"/>
      <c r="AT94" s="190"/>
      <c r="AU94" s="190"/>
      <c r="AV94" s="187"/>
      <c r="AW94" s="184"/>
      <c r="AX94" s="554"/>
    </row>
    <row r="95" spans="2:50" ht="14.25" customHeight="1">
      <c r="B95" s="525"/>
      <c r="C95" s="182">
        <v>9</v>
      </c>
      <c r="D95" s="185"/>
      <c r="E95" s="182"/>
      <c r="F95" s="182"/>
      <c r="G95" s="187"/>
      <c r="H95" s="554"/>
      <c r="I95" s="188"/>
      <c r="J95" s="188"/>
      <c r="K95" s="189"/>
      <c r="L95" s="555"/>
      <c r="M95" s="188"/>
      <c r="N95" s="525"/>
      <c r="O95" s="525"/>
      <c r="P95" s="190"/>
      <c r="Q95" s="190"/>
      <c r="R95" s="187"/>
      <c r="S95" s="184"/>
      <c r="T95" s="554"/>
      <c r="U95" s="190"/>
      <c r="V95" s="190"/>
      <c r="W95" s="187"/>
      <c r="X95" s="184"/>
      <c r="Y95" s="554"/>
      <c r="Z95" s="190"/>
      <c r="AA95" s="190"/>
      <c r="AB95" s="187"/>
      <c r="AC95" s="184"/>
      <c r="AD95" s="554"/>
      <c r="AE95" s="190"/>
      <c r="AF95" s="190"/>
      <c r="AG95" s="187"/>
      <c r="AH95" s="184"/>
      <c r="AI95" s="554"/>
      <c r="AJ95" s="190"/>
      <c r="AK95" s="190"/>
      <c r="AL95" s="187"/>
      <c r="AM95" s="184"/>
      <c r="AN95" s="554"/>
      <c r="AO95" s="190"/>
      <c r="AP95" s="190"/>
      <c r="AQ95" s="187"/>
      <c r="AR95" s="184"/>
      <c r="AS95" s="554"/>
      <c r="AT95" s="190"/>
      <c r="AU95" s="190"/>
      <c r="AV95" s="187"/>
      <c r="AW95" s="184"/>
      <c r="AX95" s="554"/>
    </row>
    <row r="96" spans="2:50" ht="14.25" customHeight="1">
      <c r="B96" s="525"/>
      <c r="C96" s="182">
        <v>10</v>
      </c>
      <c r="D96" s="185"/>
      <c r="E96" s="182"/>
      <c r="F96" s="182"/>
      <c r="G96" s="187"/>
      <c r="H96" s="554"/>
      <c r="I96" s="188"/>
      <c r="J96" s="188"/>
      <c r="K96" s="189"/>
      <c r="L96" s="555"/>
      <c r="M96" s="188"/>
      <c r="N96" s="525"/>
      <c r="O96" s="525"/>
      <c r="P96" s="190"/>
      <c r="Q96" s="190"/>
      <c r="R96" s="187"/>
      <c r="S96" s="184"/>
      <c r="T96" s="554"/>
      <c r="U96" s="190"/>
      <c r="V96" s="190"/>
      <c r="W96" s="187"/>
      <c r="X96" s="184"/>
      <c r="Y96" s="554"/>
      <c r="Z96" s="190"/>
      <c r="AA96" s="190"/>
      <c r="AB96" s="187"/>
      <c r="AC96" s="184"/>
      <c r="AD96" s="554"/>
      <c r="AE96" s="190"/>
      <c r="AF96" s="190"/>
      <c r="AG96" s="187"/>
      <c r="AH96" s="184"/>
      <c r="AI96" s="554"/>
      <c r="AJ96" s="190"/>
      <c r="AK96" s="190"/>
      <c r="AL96" s="187"/>
      <c r="AM96" s="184"/>
      <c r="AN96" s="554"/>
      <c r="AO96" s="190"/>
      <c r="AP96" s="190"/>
      <c r="AQ96" s="187"/>
      <c r="AR96" s="184"/>
      <c r="AS96" s="554"/>
      <c r="AT96" s="190"/>
      <c r="AU96" s="190"/>
      <c r="AV96" s="187"/>
      <c r="AW96" s="184"/>
      <c r="AX96" s="554"/>
    </row>
    <row r="97" spans="2:50" ht="14.25" customHeight="1">
      <c r="B97" s="525"/>
      <c r="C97" s="182">
        <v>11</v>
      </c>
      <c r="D97" s="185"/>
      <c r="E97" s="182"/>
      <c r="F97" s="182"/>
      <c r="G97" s="187"/>
      <c r="H97" s="554"/>
      <c r="I97" s="188"/>
      <c r="J97" s="188"/>
      <c r="K97" s="189"/>
      <c r="L97" s="555"/>
      <c r="M97" s="188"/>
      <c r="N97" s="525"/>
      <c r="O97" s="525"/>
      <c r="P97" s="190"/>
      <c r="Q97" s="190"/>
      <c r="R97" s="187"/>
      <c r="S97" s="184"/>
      <c r="T97" s="554"/>
      <c r="U97" s="190"/>
      <c r="V97" s="190"/>
      <c r="W97" s="187"/>
      <c r="X97" s="184"/>
      <c r="Y97" s="554"/>
      <c r="Z97" s="190"/>
      <c r="AA97" s="190"/>
      <c r="AB97" s="187"/>
      <c r="AC97" s="184"/>
      <c r="AD97" s="554"/>
      <c r="AE97" s="190"/>
      <c r="AF97" s="190"/>
      <c r="AG97" s="187"/>
      <c r="AH97" s="184"/>
      <c r="AI97" s="554"/>
      <c r="AJ97" s="190"/>
      <c r="AK97" s="190"/>
      <c r="AL97" s="187"/>
      <c r="AM97" s="184"/>
      <c r="AN97" s="554"/>
      <c r="AO97" s="190"/>
      <c r="AP97" s="190"/>
      <c r="AQ97" s="187"/>
      <c r="AR97" s="184"/>
      <c r="AS97" s="554"/>
      <c r="AT97" s="190"/>
      <c r="AU97" s="190"/>
      <c r="AV97" s="187"/>
      <c r="AW97" s="184"/>
      <c r="AX97" s="554"/>
    </row>
    <row r="98" spans="2:50" ht="14.25" customHeight="1">
      <c r="B98" s="525"/>
      <c r="C98" s="182">
        <v>12</v>
      </c>
      <c r="D98" s="185"/>
      <c r="E98" s="182"/>
      <c r="F98" s="182"/>
      <c r="G98" s="187"/>
      <c r="H98" s="554"/>
      <c r="I98" s="188"/>
      <c r="J98" s="188"/>
      <c r="K98" s="189"/>
      <c r="L98" s="555"/>
      <c r="M98" s="188"/>
      <c r="N98" s="525"/>
      <c r="O98" s="525"/>
      <c r="P98" s="190"/>
      <c r="Q98" s="190"/>
      <c r="R98" s="187"/>
      <c r="S98" s="184"/>
      <c r="T98" s="554"/>
      <c r="U98" s="190"/>
      <c r="V98" s="190"/>
      <c r="W98" s="187"/>
      <c r="X98" s="184"/>
      <c r="Y98" s="554"/>
      <c r="Z98" s="190"/>
      <c r="AA98" s="190"/>
      <c r="AB98" s="187"/>
      <c r="AC98" s="184"/>
      <c r="AD98" s="554"/>
      <c r="AE98" s="190"/>
      <c r="AF98" s="190"/>
      <c r="AG98" s="187"/>
      <c r="AH98" s="184"/>
      <c r="AI98" s="554"/>
      <c r="AJ98" s="190"/>
      <c r="AK98" s="190"/>
      <c r="AL98" s="187"/>
      <c r="AM98" s="184"/>
      <c r="AN98" s="554"/>
      <c r="AO98" s="190"/>
      <c r="AP98" s="190"/>
      <c r="AQ98" s="187"/>
      <c r="AR98" s="184"/>
      <c r="AS98" s="554"/>
      <c r="AT98" s="190"/>
      <c r="AU98" s="190"/>
      <c r="AV98" s="187"/>
      <c r="AW98" s="184"/>
      <c r="AX98" s="554"/>
    </row>
    <row r="99" spans="2:50" ht="14.25" customHeight="1">
      <c r="B99" s="525"/>
      <c r="C99" s="182">
        <v>13</v>
      </c>
      <c r="D99" s="185"/>
      <c r="E99" s="182"/>
      <c r="F99" s="182"/>
      <c r="G99" s="187"/>
      <c r="H99" s="554"/>
      <c r="I99" s="188"/>
      <c r="J99" s="188"/>
      <c r="K99" s="189"/>
      <c r="L99" s="555"/>
      <c r="M99" s="188"/>
      <c r="N99" s="525"/>
      <c r="O99" s="525"/>
      <c r="P99" s="190"/>
      <c r="Q99" s="190"/>
      <c r="R99" s="187"/>
      <c r="S99" s="184"/>
      <c r="T99" s="554"/>
      <c r="U99" s="190"/>
      <c r="V99" s="190"/>
      <c r="W99" s="187"/>
      <c r="X99" s="184"/>
      <c r="Y99" s="554"/>
      <c r="Z99" s="190"/>
      <c r="AA99" s="190"/>
      <c r="AB99" s="187"/>
      <c r="AC99" s="184"/>
      <c r="AD99" s="554"/>
      <c r="AE99" s="190"/>
      <c r="AF99" s="190"/>
      <c r="AG99" s="187"/>
      <c r="AH99" s="184"/>
      <c r="AI99" s="554"/>
      <c r="AJ99" s="190"/>
      <c r="AK99" s="190"/>
      <c r="AL99" s="187"/>
      <c r="AM99" s="184"/>
      <c r="AN99" s="554"/>
      <c r="AO99" s="190"/>
      <c r="AP99" s="190"/>
      <c r="AQ99" s="187"/>
      <c r="AR99" s="184"/>
      <c r="AS99" s="554"/>
      <c r="AT99" s="190"/>
      <c r="AU99" s="190"/>
      <c r="AV99" s="187"/>
      <c r="AW99" s="184"/>
      <c r="AX99" s="554"/>
    </row>
    <row r="100" spans="2:50" ht="14.25" customHeight="1">
      <c r="B100" s="525"/>
      <c r="C100" s="182">
        <v>14</v>
      </c>
      <c r="D100" s="185"/>
      <c r="E100" s="182"/>
      <c r="F100" s="182"/>
      <c r="G100" s="187"/>
      <c r="H100" s="554"/>
      <c r="I100" s="188"/>
      <c r="J100" s="188"/>
      <c r="K100" s="189"/>
      <c r="L100" s="555"/>
      <c r="M100" s="188"/>
      <c r="N100" s="525"/>
      <c r="O100" s="525"/>
      <c r="P100" s="190"/>
      <c r="Q100" s="190"/>
      <c r="R100" s="187"/>
      <c r="S100" s="184"/>
      <c r="T100" s="554"/>
      <c r="U100" s="190"/>
      <c r="V100" s="190"/>
      <c r="W100" s="187"/>
      <c r="X100" s="184"/>
      <c r="Y100" s="554"/>
      <c r="Z100" s="190"/>
      <c r="AA100" s="190"/>
      <c r="AB100" s="187"/>
      <c r="AC100" s="184"/>
      <c r="AD100" s="554"/>
      <c r="AE100" s="190"/>
      <c r="AF100" s="190"/>
      <c r="AG100" s="187"/>
      <c r="AH100" s="184"/>
      <c r="AI100" s="554"/>
      <c r="AJ100" s="190"/>
      <c r="AK100" s="190"/>
      <c r="AL100" s="187"/>
      <c r="AM100" s="184"/>
      <c r="AN100" s="554"/>
      <c r="AO100" s="190"/>
      <c r="AP100" s="190"/>
      <c r="AQ100" s="187"/>
      <c r="AR100" s="184"/>
      <c r="AS100" s="554"/>
      <c r="AT100" s="190"/>
      <c r="AU100" s="190"/>
      <c r="AV100" s="187"/>
      <c r="AW100" s="184"/>
      <c r="AX100" s="554"/>
    </row>
    <row r="101" spans="2:50" ht="14.25" customHeight="1">
      <c r="B101" s="525"/>
      <c r="C101" s="182">
        <v>15</v>
      </c>
      <c r="D101" s="185"/>
      <c r="E101" s="182"/>
      <c r="F101" s="182"/>
      <c r="G101" s="187"/>
      <c r="H101" s="554"/>
      <c r="I101" s="188"/>
      <c r="J101" s="188"/>
      <c r="K101" s="189"/>
      <c r="L101" s="555"/>
      <c r="M101" s="188"/>
      <c r="N101" s="525"/>
      <c r="O101" s="525"/>
      <c r="P101" s="190"/>
      <c r="Q101" s="190"/>
      <c r="R101" s="187"/>
      <c r="S101" s="184"/>
      <c r="T101" s="554"/>
      <c r="U101" s="190"/>
      <c r="V101" s="190"/>
      <c r="W101" s="187"/>
      <c r="X101" s="184"/>
      <c r="Y101" s="554"/>
      <c r="Z101" s="190"/>
      <c r="AA101" s="190"/>
      <c r="AB101" s="187"/>
      <c r="AC101" s="184"/>
      <c r="AD101" s="554"/>
      <c r="AE101" s="190"/>
      <c r="AF101" s="190"/>
      <c r="AG101" s="187"/>
      <c r="AH101" s="184"/>
      <c r="AI101" s="554"/>
      <c r="AJ101" s="190"/>
      <c r="AK101" s="190"/>
      <c r="AL101" s="187"/>
      <c r="AM101" s="184"/>
      <c r="AN101" s="554"/>
      <c r="AO101" s="190"/>
      <c r="AP101" s="190"/>
      <c r="AQ101" s="187"/>
      <c r="AR101" s="184"/>
      <c r="AS101" s="554"/>
      <c r="AT101" s="190"/>
      <c r="AU101" s="190"/>
      <c r="AV101" s="187"/>
      <c r="AW101" s="184"/>
      <c r="AX101" s="554"/>
    </row>
    <row r="102" spans="2:50" ht="14.25" customHeight="1" collapsed="1">
      <c r="B102" s="534" t="s">
        <v>650</v>
      </c>
      <c r="C102" s="535"/>
      <c r="D102" s="535"/>
      <c r="E102" s="535"/>
      <c r="F102" s="535"/>
      <c r="G102" s="535"/>
      <c r="H102" s="535"/>
      <c r="I102" s="535"/>
      <c r="J102" s="535"/>
      <c r="K102" s="535"/>
      <c r="L102" s="535"/>
      <c r="M102" s="536"/>
      <c r="N102" s="564" t="s">
        <v>378</v>
      </c>
      <c r="O102" s="564" t="s">
        <v>105</v>
      </c>
      <c r="P102" s="566">
        <f>AT82+1</f>
        <v>46112</v>
      </c>
      <c r="Q102" s="567"/>
      <c r="R102" s="567"/>
      <c r="S102" s="567"/>
      <c r="T102" s="567"/>
      <c r="U102" s="568">
        <f>P102+1</f>
        <v>46113</v>
      </c>
      <c r="V102" s="569"/>
      <c r="W102" s="569"/>
      <c r="X102" s="569"/>
      <c r="Y102" s="569"/>
      <c r="Z102" s="566">
        <f t="shared" ref="Z102" si="60">U102+1</f>
        <v>46114</v>
      </c>
      <c r="AA102" s="567"/>
      <c r="AB102" s="567"/>
      <c r="AC102" s="567"/>
      <c r="AD102" s="567"/>
      <c r="AE102" s="568">
        <f t="shared" ref="AE102" si="61">Z102+1</f>
        <v>46115</v>
      </c>
      <c r="AF102" s="569"/>
      <c r="AG102" s="569"/>
      <c r="AH102" s="569"/>
      <c r="AI102" s="569"/>
      <c r="AJ102" s="556">
        <f t="shared" ref="AJ102" si="62">AE102+1</f>
        <v>46116</v>
      </c>
      <c r="AK102" s="557"/>
      <c r="AL102" s="557"/>
      <c r="AM102" s="557"/>
      <c r="AN102" s="558"/>
      <c r="AO102" s="568">
        <f t="shared" ref="AO102" si="63">AJ102+1</f>
        <v>46117</v>
      </c>
      <c r="AP102" s="569"/>
      <c r="AQ102" s="569"/>
      <c r="AR102" s="569"/>
      <c r="AS102" s="569"/>
      <c r="AT102" s="556">
        <f t="shared" ref="AT102" si="64">AO102+1</f>
        <v>46118</v>
      </c>
      <c r="AU102" s="557"/>
      <c r="AV102" s="557"/>
      <c r="AW102" s="557"/>
      <c r="AX102" s="558"/>
    </row>
    <row r="103" spans="2:50" ht="14.25" customHeight="1">
      <c r="B103" s="537"/>
      <c r="C103" s="537"/>
      <c r="D103" s="537"/>
      <c r="E103" s="537"/>
      <c r="F103" s="537"/>
      <c r="G103" s="537"/>
      <c r="H103" s="537"/>
      <c r="I103" s="537"/>
      <c r="J103" s="537"/>
      <c r="K103" s="537"/>
      <c r="L103" s="537"/>
      <c r="M103" s="538"/>
      <c r="N103" s="565"/>
      <c r="O103" s="565"/>
      <c r="P103" s="559">
        <f>P102</f>
        <v>46112</v>
      </c>
      <c r="Q103" s="559"/>
      <c r="R103" s="559"/>
      <c r="S103" s="559"/>
      <c r="T103" s="559"/>
      <c r="U103" s="560">
        <f>U102</f>
        <v>46113</v>
      </c>
      <c r="V103" s="560"/>
      <c r="W103" s="560"/>
      <c r="X103" s="560"/>
      <c r="Y103" s="560"/>
      <c r="Z103" s="559">
        <f t="shared" ref="Z103" si="65">Z102</f>
        <v>46114</v>
      </c>
      <c r="AA103" s="559"/>
      <c r="AB103" s="559"/>
      <c r="AC103" s="559"/>
      <c r="AD103" s="559"/>
      <c r="AE103" s="560">
        <f t="shared" ref="AE103" si="66">AE102</f>
        <v>46115</v>
      </c>
      <c r="AF103" s="560"/>
      <c r="AG103" s="560"/>
      <c r="AH103" s="560"/>
      <c r="AI103" s="560"/>
      <c r="AJ103" s="561">
        <f t="shared" ref="AJ103" si="67">AJ102</f>
        <v>46116</v>
      </c>
      <c r="AK103" s="562"/>
      <c r="AL103" s="562"/>
      <c r="AM103" s="562"/>
      <c r="AN103" s="563"/>
      <c r="AO103" s="560">
        <f t="shared" ref="AO103" si="68">AO102</f>
        <v>46117</v>
      </c>
      <c r="AP103" s="560"/>
      <c r="AQ103" s="560"/>
      <c r="AR103" s="560"/>
      <c r="AS103" s="560"/>
      <c r="AT103" s="561">
        <f t="shared" ref="AT103" si="69">AT102</f>
        <v>46118</v>
      </c>
      <c r="AU103" s="562"/>
      <c r="AV103" s="562"/>
      <c r="AW103" s="562"/>
      <c r="AX103" s="563"/>
    </row>
    <row r="104" spans="2:50" ht="14.25" customHeight="1">
      <c r="B104" s="525" t="s">
        <v>164</v>
      </c>
      <c r="C104" s="525" t="s">
        <v>159</v>
      </c>
      <c r="D104" s="525"/>
      <c r="E104" s="525" t="s">
        <v>160</v>
      </c>
      <c r="F104" s="525"/>
      <c r="G104" s="525"/>
      <c r="H104" s="525" t="s">
        <v>165</v>
      </c>
      <c r="I104" s="544" t="s">
        <v>379</v>
      </c>
      <c r="J104" s="544"/>
      <c r="K104" s="544"/>
      <c r="L104" s="544" t="s">
        <v>165</v>
      </c>
      <c r="M104" s="544" t="s">
        <v>167</v>
      </c>
      <c r="N104" s="525"/>
      <c r="O104" s="525" t="s">
        <v>166</v>
      </c>
      <c r="P104" s="525" t="s">
        <v>162</v>
      </c>
      <c r="Q104" s="525"/>
      <c r="R104" s="525"/>
      <c r="S104" s="525"/>
      <c r="T104" s="525" t="s">
        <v>165</v>
      </c>
      <c r="U104" s="525" t="s">
        <v>162</v>
      </c>
      <c r="V104" s="525"/>
      <c r="W104" s="525"/>
      <c r="X104" s="525"/>
      <c r="Y104" s="525" t="s">
        <v>165</v>
      </c>
      <c r="Z104" s="525" t="s">
        <v>162</v>
      </c>
      <c r="AA104" s="525"/>
      <c r="AB104" s="525"/>
      <c r="AC104" s="525"/>
      <c r="AD104" s="525" t="s">
        <v>165</v>
      </c>
      <c r="AE104" s="525" t="s">
        <v>162</v>
      </c>
      <c r="AF104" s="525"/>
      <c r="AG104" s="525"/>
      <c r="AH104" s="525"/>
      <c r="AI104" s="525" t="s">
        <v>165</v>
      </c>
      <c r="AJ104" s="525" t="s">
        <v>162</v>
      </c>
      <c r="AK104" s="525"/>
      <c r="AL104" s="525"/>
      <c r="AM104" s="525"/>
      <c r="AN104" s="525" t="s">
        <v>165</v>
      </c>
      <c r="AO104" s="525" t="s">
        <v>162</v>
      </c>
      <c r="AP104" s="525"/>
      <c r="AQ104" s="525"/>
      <c r="AR104" s="525"/>
      <c r="AS104" s="525" t="s">
        <v>165</v>
      </c>
      <c r="AT104" s="525" t="s">
        <v>162</v>
      </c>
      <c r="AU104" s="525"/>
      <c r="AV104" s="525"/>
      <c r="AW104" s="525"/>
      <c r="AX104" s="525" t="s">
        <v>165</v>
      </c>
    </row>
    <row r="105" spans="2:50" ht="14.25" customHeight="1">
      <c r="B105" s="525"/>
      <c r="C105" s="525"/>
      <c r="D105" s="525"/>
      <c r="E105" s="525" t="s">
        <v>380</v>
      </c>
      <c r="F105" s="525"/>
      <c r="G105" s="525"/>
      <c r="H105" s="525"/>
      <c r="I105" s="544" t="s">
        <v>380</v>
      </c>
      <c r="J105" s="544"/>
      <c r="K105" s="544"/>
      <c r="L105" s="544"/>
      <c r="M105" s="544"/>
      <c r="N105" s="525"/>
      <c r="O105" s="525"/>
      <c r="P105" s="525" t="s">
        <v>381</v>
      </c>
      <c r="Q105" s="525"/>
      <c r="R105" s="525"/>
      <c r="S105" s="525"/>
      <c r="T105" s="525"/>
      <c r="U105" s="525" t="s">
        <v>381</v>
      </c>
      <c r="V105" s="525"/>
      <c r="W105" s="525"/>
      <c r="X105" s="525"/>
      <c r="Y105" s="525"/>
      <c r="Z105" s="525" t="s">
        <v>381</v>
      </c>
      <c r="AA105" s="525"/>
      <c r="AB105" s="525"/>
      <c r="AC105" s="525"/>
      <c r="AD105" s="525"/>
      <c r="AE105" s="525" t="s">
        <v>381</v>
      </c>
      <c r="AF105" s="525"/>
      <c r="AG105" s="525"/>
      <c r="AH105" s="525"/>
      <c r="AI105" s="525"/>
      <c r="AJ105" s="525" t="s">
        <v>381</v>
      </c>
      <c r="AK105" s="525"/>
      <c r="AL105" s="525"/>
      <c r="AM105" s="525"/>
      <c r="AN105" s="525"/>
      <c r="AO105" s="525" t="s">
        <v>381</v>
      </c>
      <c r="AP105" s="525"/>
      <c r="AQ105" s="525"/>
      <c r="AR105" s="525"/>
      <c r="AS105" s="525"/>
      <c r="AT105" s="525" t="s">
        <v>381</v>
      </c>
      <c r="AU105" s="525"/>
      <c r="AV105" s="525"/>
      <c r="AW105" s="525"/>
      <c r="AX105" s="525"/>
    </row>
    <row r="106" spans="2:50" ht="14.25" customHeight="1">
      <c r="B106" s="525"/>
      <c r="C106" s="525"/>
      <c r="D106" s="525"/>
      <c r="E106" s="182" t="s">
        <v>161</v>
      </c>
      <c r="F106" s="182" t="s">
        <v>382</v>
      </c>
      <c r="G106" s="182" t="s">
        <v>163</v>
      </c>
      <c r="H106" s="525"/>
      <c r="I106" s="183" t="s">
        <v>161</v>
      </c>
      <c r="J106" s="183" t="s">
        <v>382</v>
      </c>
      <c r="K106" s="183" t="s">
        <v>163</v>
      </c>
      <c r="L106" s="544"/>
      <c r="M106" s="544"/>
      <c r="N106" s="525"/>
      <c r="O106" s="525"/>
      <c r="P106" s="182" t="s">
        <v>161</v>
      </c>
      <c r="Q106" s="182" t="s">
        <v>382</v>
      </c>
      <c r="R106" s="182" t="s">
        <v>163</v>
      </c>
      <c r="S106" s="184" t="s">
        <v>167</v>
      </c>
      <c r="T106" s="525"/>
      <c r="U106" s="182" t="s">
        <v>161</v>
      </c>
      <c r="V106" s="182" t="s">
        <v>382</v>
      </c>
      <c r="W106" s="182" t="s">
        <v>163</v>
      </c>
      <c r="X106" s="184" t="s">
        <v>167</v>
      </c>
      <c r="Y106" s="525"/>
      <c r="Z106" s="182" t="s">
        <v>161</v>
      </c>
      <c r="AA106" s="182" t="s">
        <v>382</v>
      </c>
      <c r="AB106" s="182" t="s">
        <v>163</v>
      </c>
      <c r="AC106" s="184" t="s">
        <v>167</v>
      </c>
      <c r="AD106" s="525"/>
      <c r="AE106" s="182" t="s">
        <v>161</v>
      </c>
      <c r="AF106" s="182" t="s">
        <v>382</v>
      </c>
      <c r="AG106" s="182" t="s">
        <v>163</v>
      </c>
      <c r="AH106" s="184" t="s">
        <v>167</v>
      </c>
      <c r="AI106" s="525"/>
      <c r="AJ106" s="182" t="s">
        <v>161</v>
      </c>
      <c r="AK106" s="182" t="s">
        <v>382</v>
      </c>
      <c r="AL106" s="182" t="s">
        <v>163</v>
      </c>
      <c r="AM106" s="184" t="s">
        <v>167</v>
      </c>
      <c r="AN106" s="525"/>
      <c r="AO106" s="182" t="s">
        <v>161</v>
      </c>
      <c r="AP106" s="182" t="s">
        <v>382</v>
      </c>
      <c r="AQ106" s="182" t="s">
        <v>163</v>
      </c>
      <c r="AR106" s="184" t="s">
        <v>167</v>
      </c>
      <c r="AS106" s="525"/>
      <c r="AT106" s="182" t="s">
        <v>161</v>
      </c>
      <c r="AU106" s="182" t="s">
        <v>382</v>
      </c>
      <c r="AV106" s="182" t="s">
        <v>163</v>
      </c>
      <c r="AW106" s="184" t="s">
        <v>167</v>
      </c>
      <c r="AX106" s="525"/>
    </row>
    <row r="107" spans="2:50" ht="14.25" customHeight="1">
      <c r="B107" s="570" t="s">
        <v>457</v>
      </c>
      <c r="C107" s="182">
        <v>1</v>
      </c>
      <c r="D107" s="185"/>
      <c r="E107" s="182"/>
      <c r="F107" s="182"/>
      <c r="G107" s="187"/>
      <c r="H107" s="554"/>
      <c r="I107" s="188"/>
      <c r="J107" s="188"/>
      <c r="K107" s="189"/>
      <c r="L107" s="555" t="str">
        <f>IFERROR(AVERAGE(K107:K121),"-")</f>
        <v>-</v>
      </c>
      <c r="M107" s="188" t="e">
        <f>RANK(K107, K$87:$K$101)</f>
        <v>#N/A</v>
      </c>
      <c r="N107" s="525"/>
      <c r="O107" s="525"/>
      <c r="P107" s="190"/>
      <c r="Q107" s="190"/>
      <c r="R107" s="187"/>
      <c r="S107" s="184"/>
      <c r="T107" s="554"/>
      <c r="U107" s="190"/>
      <c r="V107" s="190"/>
      <c r="W107" s="187"/>
      <c r="X107" s="184"/>
      <c r="Y107" s="554"/>
      <c r="Z107" s="190"/>
      <c r="AA107" s="190"/>
      <c r="AB107" s="187"/>
      <c r="AC107" s="184"/>
      <c r="AD107" s="554"/>
      <c r="AE107" s="190"/>
      <c r="AF107" s="190"/>
      <c r="AG107" s="187"/>
      <c r="AH107" s="184"/>
      <c r="AI107" s="554"/>
      <c r="AJ107" s="190"/>
      <c r="AK107" s="190"/>
      <c r="AL107" s="187"/>
      <c r="AM107" s="184"/>
      <c r="AN107" s="554"/>
      <c r="AO107" s="190"/>
      <c r="AP107" s="190"/>
      <c r="AQ107" s="187"/>
      <c r="AR107" s="184"/>
      <c r="AS107" s="554"/>
      <c r="AT107" s="190"/>
      <c r="AU107" s="190"/>
      <c r="AV107" s="187"/>
      <c r="AW107" s="184"/>
      <c r="AX107" s="554"/>
    </row>
    <row r="108" spans="2:50" ht="14.25" customHeight="1">
      <c r="B108" s="525"/>
      <c r="C108" s="182">
        <v>2</v>
      </c>
      <c r="D108" s="185"/>
      <c r="E108" s="182"/>
      <c r="F108" s="182"/>
      <c r="G108" s="187"/>
      <c r="H108" s="554"/>
      <c r="I108" s="188"/>
      <c r="J108" s="188"/>
      <c r="K108" s="189"/>
      <c r="L108" s="555"/>
      <c r="M108" s="188" t="e">
        <f>RANK(K108, K$87:$K$101)</f>
        <v>#N/A</v>
      </c>
      <c r="N108" s="525"/>
      <c r="O108" s="525"/>
      <c r="P108" s="190"/>
      <c r="Q108" s="190"/>
      <c r="R108" s="187"/>
      <c r="S108" s="184"/>
      <c r="T108" s="554"/>
      <c r="U108" s="190"/>
      <c r="V108" s="190"/>
      <c r="W108" s="187"/>
      <c r="X108" s="184"/>
      <c r="Y108" s="554"/>
      <c r="Z108" s="190"/>
      <c r="AA108" s="190"/>
      <c r="AB108" s="187"/>
      <c r="AC108" s="184"/>
      <c r="AD108" s="554"/>
      <c r="AE108" s="190"/>
      <c r="AF108" s="190"/>
      <c r="AG108" s="187"/>
      <c r="AH108" s="184"/>
      <c r="AI108" s="554"/>
      <c r="AJ108" s="190"/>
      <c r="AK108" s="190"/>
      <c r="AL108" s="187"/>
      <c r="AM108" s="184"/>
      <c r="AN108" s="554"/>
      <c r="AO108" s="190"/>
      <c r="AP108" s="190"/>
      <c r="AQ108" s="187"/>
      <c r="AR108" s="184"/>
      <c r="AS108" s="554"/>
      <c r="AT108" s="190"/>
      <c r="AU108" s="190"/>
      <c r="AV108" s="187"/>
      <c r="AW108" s="184"/>
      <c r="AX108" s="554"/>
    </row>
    <row r="109" spans="2:50" ht="14.25" customHeight="1">
      <c r="B109" s="525"/>
      <c r="C109" s="182">
        <v>3</v>
      </c>
      <c r="D109" s="185"/>
      <c r="E109" s="182"/>
      <c r="F109" s="182"/>
      <c r="G109" s="187"/>
      <c r="H109" s="554"/>
      <c r="I109" s="188"/>
      <c r="J109" s="188"/>
      <c r="K109" s="189"/>
      <c r="L109" s="555"/>
      <c r="M109" s="188"/>
      <c r="N109" s="525"/>
      <c r="O109" s="525"/>
      <c r="P109" s="190"/>
      <c r="Q109" s="190"/>
      <c r="R109" s="187"/>
      <c r="S109" s="184"/>
      <c r="T109" s="554"/>
      <c r="U109" s="190"/>
      <c r="V109" s="190"/>
      <c r="W109" s="187"/>
      <c r="X109" s="184"/>
      <c r="Y109" s="554"/>
      <c r="Z109" s="190"/>
      <c r="AA109" s="190"/>
      <c r="AB109" s="187"/>
      <c r="AC109" s="184"/>
      <c r="AD109" s="554"/>
      <c r="AE109" s="190"/>
      <c r="AF109" s="190"/>
      <c r="AG109" s="187"/>
      <c r="AH109" s="184"/>
      <c r="AI109" s="554"/>
      <c r="AJ109" s="190"/>
      <c r="AK109" s="190"/>
      <c r="AL109" s="187"/>
      <c r="AM109" s="184"/>
      <c r="AN109" s="554"/>
      <c r="AO109" s="190"/>
      <c r="AP109" s="190"/>
      <c r="AQ109" s="187"/>
      <c r="AR109" s="184"/>
      <c r="AS109" s="554"/>
      <c r="AT109" s="190"/>
      <c r="AU109" s="190"/>
      <c r="AV109" s="187"/>
      <c r="AW109" s="184"/>
      <c r="AX109" s="554"/>
    </row>
    <row r="110" spans="2:50" ht="14.25" customHeight="1">
      <c r="B110" s="525"/>
      <c r="C110" s="182">
        <v>4</v>
      </c>
      <c r="D110" s="185"/>
      <c r="E110" s="182"/>
      <c r="F110" s="182"/>
      <c r="G110" s="187"/>
      <c r="H110" s="554"/>
      <c r="I110" s="188"/>
      <c r="J110" s="188"/>
      <c r="K110" s="189"/>
      <c r="L110" s="555"/>
      <c r="M110" s="188"/>
      <c r="N110" s="525"/>
      <c r="O110" s="525"/>
      <c r="P110" s="190"/>
      <c r="Q110" s="190"/>
      <c r="R110" s="187"/>
      <c r="S110" s="184"/>
      <c r="T110" s="554"/>
      <c r="U110" s="190"/>
      <c r="V110" s="190"/>
      <c r="W110" s="187"/>
      <c r="X110" s="184"/>
      <c r="Y110" s="554"/>
      <c r="Z110" s="190"/>
      <c r="AA110" s="190"/>
      <c r="AB110" s="187"/>
      <c r="AC110" s="184"/>
      <c r="AD110" s="554"/>
      <c r="AE110" s="190"/>
      <c r="AF110" s="190"/>
      <c r="AG110" s="187"/>
      <c r="AH110" s="184"/>
      <c r="AI110" s="554"/>
      <c r="AJ110" s="190"/>
      <c r="AK110" s="190"/>
      <c r="AL110" s="187"/>
      <c r="AM110" s="184"/>
      <c r="AN110" s="554"/>
      <c r="AO110" s="190"/>
      <c r="AP110" s="190"/>
      <c r="AQ110" s="187"/>
      <c r="AR110" s="184"/>
      <c r="AS110" s="554"/>
      <c r="AT110" s="190"/>
      <c r="AU110" s="190"/>
      <c r="AV110" s="187"/>
      <c r="AW110" s="184"/>
      <c r="AX110" s="554"/>
    </row>
    <row r="111" spans="2:50" ht="14.25" customHeight="1">
      <c r="B111" s="525"/>
      <c r="C111" s="182">
        <v>5</v>
      </c>
      <c r="D111" s="185"/>
      <c r="E111" s="182"/>
      <c r="F111" s="182"/>
      <c r="G111" s="187"/>
      <c r="H111" s="554"/>
      <c r="I111" s="188"/>
      <c r="J111" s="188"/>
      <c r="K111" s="189"/>
      <c r="L111" s="555"/>
      <c r="M111" s="188"/>
      <c r="N111" s="525"/>
      <c r="O111" s="525"/>
      <c r="P111" s="190"/>
      <c r="Q111" s="190"/>
      <c r="R111" s="187"/>
      <c r="S111" s="184"/>
      <c r="T111" s="554"/>
      <c r="U111" s="190"/>
      <c r="V111" s="190"/>
      <c r="W111" s="187"/>
      <c r="X111" s="184"/>
      <c r="Y111" s="554"/>
      <c r="Z111" s="190"/>
      <c r="AA111" s="190"/>
      <c r="AB111" s="187"/>
      <c r="AC111" s="184"/>
      <c r="AD111" s="554"/>
      <c r="AE111" s="190"/>
      <c r="AF111" s="190"/>
      <c r="AG111" s="187"/>
      <c r="AH111" s="184"/>
      <c r="AI111" s="554"/>
      <c r="AJ111" s="190"/>
      <c r="AK111" s="190"/>
      <c r="AL111" s="187"/>
      <c r="AM111" s="184"/>
      <c r="AN111" s="554"/>
      <c r="AO111" s="190"/>
      <c r="AP111" s="190"/>
      <c r="AQ111" s="187"/>
      <c r="AR111" s="184"/>
      <c r="AS111" s="554"/>
      <c r="AT111" s="190"/>
      <c r="AU111" s="190"/>
      <c r="AV111" s="187"/>
      <c r="AW111" s="184"/>
      <c r="AX111" s="554"/>
    </row>
    <row r="112" spans="2:50" ht="14.25" customHeight="1">
      <c r="B112" s="525"/>
      <c r="C112" s="182">
        <v>6</v>
      </c>
      <c r="D112" s="185"/>
      <c r="E112" s="182"/>
      <c r="F112" s="182"/>
      <c r="G112" s="187"/>
      <c r="H112" s="554"/>
      <c r="I112" s="188"/>
      <c r="J112" s="188"/>
      <c r="K112" s="189"/>
      <c r="L112" s="555"/>
      <c r="M112" s="188"/>
      <c r="N112" s="525"/>
      <c r="O112" s="525"/>
      <c r="P112" s="190"/>
      <c r="Q112" s="190"/>
      <c r="R112" s="187"/>
      <c r="S112" s="184"/>
      <c r="T112" s="554"/>
      <c r="U112" s="190"/>
      <c r="V112" s="190"/>
      <c r="W112" s="187"/>
      <c r="X112" s="184"/>
      <c r="Y112" s="554"/>
      <c r="Z112" s="190"/>
      <c r="AA112" s="190"/>
      <c r="AB112" s="187"/>
      <c r="AC112" s="184"/>
      <c r="AD112" s="554"/>
      <c r="AE112" s="190"/>
      <c r="AF112" s="190"/>
      <c r="AG112" s="187"/>
      <c r="AH112" s="184"/>
      <c r="AI112" s="554"/>
      <c r="AJ112" s="190"/>
      <c r="AK112" s="190"/>
      <c r="AL112" s="187"/>
      <c r="AM112" s="184"/>
      <c r="AN112" s="554"/>
      <c r="AO112" s="190"/>
      <c r="AP112" s="190"/>
      <c r="AQ112" s="187"/>
      <c r="AR112" s="184"/>
      <c r="AS112" s="554"/>
      <c r="AT112" s="190"/>
      <c r="AU112" s="190"/>
      <c r="AV112" s="187"/>
      <c r="AW112" s="184"/>
      <c r="AX112" s="554"/>
    </row>
    <row r="113" spans="2:50" ht="14.25" customHeight="1">
      <c r="B113" s="525"/>
      <c r="C113" s="182">
        <v>7</v>
      </c>
      <c r="D113" s="185"/>
      <c r="E113" s="182"/>
      <c r="F113" s="182"/>
      <c r="G113" s="187"/>
      <c r="H113" s="554"/>
      <c r="I113" s="188"/>
      <c r="J113" s="188"/>
      <c r="K113" s="189"/>
      <c r="L113" s="555"/>
      <c r="M113" s="188"/>
      <c r="N113" s="525"/>
      <c r="O113" s="525"/>
      <c r="P113" s="190"/>
      <c r="Q113" s="190"/>
      <c r="R113" s="187"/>
      <c r="S113" s="184"/>
      <c r="T113" s="554"/>
      <c r="U113" s="190"/>
      <c r="V113" s="190"/>
      <c r="W113" s="187"/>
      <c r="X113" s="184"/>
      <c r="Y113" s="554"/>
      <c r="Z113" s="190"/>
      <c r="AA113" s="190"/>
      <c r="AB113" s="187"/>
      <c r="AC113" s="184"/>
      <c r="AD113" s="554"/>
      <c r="AE113" s="190"/>
      <c r="AF113" s="190"/>
      <c r="AG113" s="187"/>
      <c r="AH113" s="184"/>
      <c r="AI113" s="554"/>
      <c r="AJ113" s="190"/>
      <c r="AK113" s="190"/>
      <c r="AL113" s="187"/>
      <c r="AM113" s="184"/>
      <c r="AN113" s="554"/>
      <c r="AO113" s="190"/>
      <c r="AP113" s="190"/>
      <c r="AQ113" s="187"/>
      <c r="AR113" s="184"/>
      <c r="AS113" s="554"/>
      <c r="AT113" s="190"/>
      <c r="AU113" s="190"/>
      <c r="AV113" s="187"/>
      <c r="AW113" s="184"/>
      <c r="AX113" s="554"/>
    </row>
    <row r="114" spans="2:50" ht="14.25" customHeight="1">
      <c r="B114" s="525"/>
      <c r="C114" s="182">
        <v>8</v>
      </c>
      <c r="D114" s="185"/>
      <c r="E114" s="182"/>
      <c r="F114" s="182"/>
      <c r="G114" s="187"/>
      <c r="H114" s="554"/>
      <c r="I114" s="188"/>
      <c r="J114" s="188"/>
      <c r="K114" s="189"/>
      <c r="L114" s="555"/>
      <c r="M114" s="188"/>
      <c r="N114" s="525"/>
      <c r="O114" s="525"/>
      <c r="P114" s="190"/>
      <c r="Q114" s="190"/>
      <c r="R114" s="187"/>
      <c r="S114" s="184"/>
      <c r="T114" s="554"/>
      <c r="U114" s="190"/>
      <c r="V114" s="190"/>
      <c r="W114" s="187"/>
      <c r="X114" s="184"/>
      <c r="Y114" s="554"/>
      <c r="Z114" s="190"/>
      <c r="AA114" s="190"/>
      <c r="AB114" s="187"/>
      <c r="AC114" s="184"/>
      <c r="AD114" s="554"/>
      <c r="AE114" s="190"/>
      <c r="AF114" s="190"/>
      <c r="AG114" s="187"/>
      <c r="AH114" s="184"/>
      <c r="AI114" s="554"/>
      <c r="AJ114" s="190"/>
      <c r="AK114" s="190"/>
      <c r="AL114" s="187"/>
      <c r="AM114" s="184"/>
      <c r="AN114" s="554"/>
      <c r="AO114" s="190"/>
      <c r="AP114" s="190"/>
      <c r="AQ114" s="187"/>
      <c r="AR114" s="184"/>
      <c r="AS114" s="554"/>
      <c r="AT114" s="190"/>
      <c r="AU114" s="190"/>
      <c r="AV114" s="187"/>
      <c r="AW114" s="184"/>
      <c r="AX114" s="554"/>
    </row>
    <row r="115" spans="2:50" ht="14.25" customHeight="1">
      <c r="B115" s="525"/>
      <c r="C115" s="182">
        <v>9</v>
      </c>
      <c r="D115" s="185"/>
      <c r="E115" s="182"/>
      <c r="F115" s="182"/>
      <c r="G115" s="187"/>
      <c r="H115" s="554"/>
      <c r="I115" s="188"/>
      <c r="J115" s="188"/>
      <c r="K115" s="189"/>
      <c r="L115" s="555"/>
      <c r="M115" s="188"/>
      <c r="N115" s="525"/>
      <c r="O115" s="525"/>
      <c r="P115" s="190"/>
      <c r="Q115" s="190"/>
      <c r="R115" s="187"/>
      <c r="S115" s="184"/>
      <c r="T115" s="554"/>
      <c r="U115" s="190"/>
      <c r="V115" s="190"/>
      <c r="W115" s="187"/>
      <c r="X115" s="184"/>
      <c r="Y115" s="554"/>
      <c r="Z115" s="190"/>
      <c r="AA115" s="190"/>
      <c r="AB115" s="187"/>
      <c r="AC115" s="184"/>
      <c r="AD115" s="554"/>
      <c r="AE115" s="190"/>
      <c r="AF115" s="190"/>
      <c r="AG115" s="187"/>
      <c r="AH115" s="184"/>
      <c r="AI115" s="554"/>
      <c r="AJ115" s="190"/>
      <c r="AK115" s="190"/>
      <c r="AL115" s="187"/>
      <c r="AM115" s="184"/>
      <c r="AN115" s="554"/>
      <c r="AO115" s="190"/>
      <c r="AP115" s="190"/>
      <c r="AQ115" s="187"/>
      <c r="AR115" s="184"/>
      <c r="AS115" s="554"/>
      <c r="AT115" s="190"/>
      <c r="AU115" s="190"/>
      <c r="AV115" s="187"/>
      <c r="AW115" s="184"/>
      <c r="AX115" s="554"/>
    </row>
    <row r="116" spans="2:50" ht="14.25" customHeight="1">
      <c r="B116" s="525"/>
      <c r="C116" s="182">
        <v>10</v>
      </c>
      <c r="D116" s="185"/>
      <c r="E116" s="182"/>
      <c r="F116" s="182"/>
      <c r="G116" s="187"/>
      <c r="H116" s="554"/>
      <c r="I116" s="188"/>
      <c r="J116" s="188"/>
      <c r="K116" s="189"/>
      <c r="L116" s="555"/>
      <c r="M116" s="188"/>
      <c r="N116" s="525"/>
      <c r="O116" s="525"/>
      <c r="P116" s="190"/>
      <c r="Q116" s="190"/>
      <c r="R116" s="187"/>
      <c r="S116" s="184"/>
      <c r="T116" s="554"/>
      <c r="U116" s="190"/>
      <c r="V116" s="190"/>
      <c r="W116" s="187"/>
      <c r="X116" s="184"/>
      <c r="Y116" s="554"/>
      <c r="Z116" s="190"/>
      <c r="AA116" s="190"/>
      <c r="AB116" s="187"/>
      <c r="AC116" s="184"/>
      <c r="AD116" s="554"/>
      <c r="AE116" s="190"/>
      <c r="AF116" s="190"/>
      <c r="AG116" s="187"/>
      <c r="AH116" s="184"/>
      <c r="AI116" s="554"/>
      <c r="AJ116" s="190"/>
      <c r="AK116" s="190"/>
      <c r="AL116" s="187"/>
      <c r="AM116" s="184"/>
      <c r="AN116" s="554"/>
      <c r="AO116" s="190"/>
      <c r="AP116" s="190"/>
      <c r="AQ116" s="187"/>
      <c r="AR116" s="184"/>
      <c r="AS116" s="554"/>
      <c r="AT116" s="190"/>
      <c r="AU116" s="190"/>
      <c r="AV116" s="187"/>
      <c r="AW116" s="184"/>
      <c r="AX116" s="554"/>
    </row>
    <row r="117" spans="2:50" ht="14.25" customHeight="1">
      <c r="B117" s="525"/>
      <c r="C117" s="182">
        <v>11</v>
      </c>
      <c r="D117" s="185"/>
      <c r="E117" s="182"/>
      <c r="F117" s="182"/>
      <c r="G117" s="187"/>
      <c r="H117" s="554"/>
      <c r="I117" s="188"/>
      <c r="J117" s="188"/>
      <c r="K117" s="189"/>
      <c r="L117" s="555"/>
      <c r="M117" s="188"/>
      <c r="N117" s="525"/>
      <c r="O117" s="525"/>
      <c r="P117" s="190"/>
      <c r="Q117" s="190"/>
      <c r="R117" s="187"/>
      <c r="S117" s="184"/>
      <c r="T117" s="554"/>
      <c r="U117" s="190"/>
      <c r="V117" s="190"/>
      <c r="W117" s="187"/>
      <c r="X117" s="184"/>
      <c r="Y117" s="554"/>
      <c r="Z117" s="190"/>
      <c r="AA117" s="190"/>
      <c r="AB117" s="187"/>
      <c r="AC117" s="184"/>
      <c r="AD117" s="554"/>
      <c r="AE117" s="190"/>
      <c r="AF117" s="190"/>
      <c r="AG117" s="187"/>
      <c r="AH117" s="184"/>
      <c r="AI117" s="554"/>
      <c r="AJ117" s="190"/>
      <c r="AK117" s="190"/>
      <c r="AL117" s="187"/>
      <c r="AM117" s="184"/>
      <c r="AN117" s="554"/>
      <c r="AO117" s="190"/>
      <c r="AP117" s="190"/>
      <c r="AQ117" s="187"/>
      <c r="AR117" s="184"/>
      <c r="AS117" s="554"/>
      <c r="AT117" s="190"/>
      <c r="AU117" s="190"/>
      <c r="AV117" s="187"/>
      <c r="AW117" s="184"/>
      <c r="AX117" s="554"/>
    </row>
    <row r="118" spans="2:50" ht="14.25" customHeight="1">
      <c r="B118" s="525"/>
      <c r="C118" s="182">
        <v>12</v>
      </c>
      <c r="D118" s="185"/>
      <c r="E118" s="182"/>
      <c r="F118" s="182"/>
      <c r="G118" s="187"/>
      <c r="H118" s="554"/>
      <c r="I118" s="188"/>
      <c r="J118" s="188"/>
      <c r="K118" s="189"/>
      <c r="L118" s="555"/>
      <c r="M118" s="188"/>
      <c r="N118" s="525"/>
      <c r="O118" s="525"/>
      <c r="P118" s="190"/>
      <c r="Q118" s="190"/>
      <c r="R118" s="187"/>
      <c r="S118" s="184"/>
      <c r="T118" s="554"/>
      <c r="U118" s="190"/>
      <c r="V118" s="190"/>
      <c r="W118" s="187"/>
      <c r="X118" s="184"/>
      <c r="Y118" s="554"/>
      <c r="Z118" s="190"/>
      <c r="AA118" s="190"/>
      <c r="AB118" s="187"/>
      <c r="AC118" s="184"/>
      <c r="AD118" s="554"/>
      <c r="AE118" s="190"/>
      <c r="AF118" s="190"/>
      <c r="AG118" s="187"/>
      <c r="AH118" s="184"/>
      <c r="AI118" s="554"/>
      <c r="AJ118" s="190"/>
      <c r="AK118" s="190"/>
      <c r="AL118" s="187"/>
      <c r="AM118" s="184"/>
      <c r="AN118" s="554"/>
      <c r="AO118" s="190"/>
      <c r="AP118" s="190"/>
      <c r="AQ118" s="187"/>
      <c r="AR118" s="184"/>
      <c r="AS118" s="554"/>
      <c r="AT118" s="190"/>
      <c r="AU118" s="190"/>
      <c r="AV118" s="187"/>
      <c r="AW118" s="184"/>
      <c r="AX118" s="554"/>
    </row>
    <row r="119" spans="2:50" ht="14.25" customHeight="1">
      <c r="B119" s="525"/>
      <c r="C119" s="182">
        <v>13</v>
      </c>
      <c r="D119" s="185"/>
      <c r="E119" s="182"/>
      <c r="F119" s="182"/>
      <c r="G119" s="187"/>
      <c r="H119" s="554"/>
      <c r="I119" s="188"/>
      <c r="J119" s="188"/>
      <c r="K119" s="189"/>
      <c r="L119" s="555"/>
      <c r="M119" s="188"/>
      <c r="N119" s="525"/>
      <c r="O119" s="525"/>
      <c r="P119" s="190"/>
      <c r="Q119" s="190"/>
      <c r="R119" s="187"/>
      <c r="S119" s="184"/>
      <c r="T119" s="554"/>
      <c r="U119" s="190"/>
      <c r="V119" s="190"/>
      <c r="W119" s="187"/>
      <c r="X119" s="184"/>
      <c r="Y119" s="554"/>
      <c r="Z119" s="190"/>
      <c r="AA119" s="190"/>
      <c r="AB119" s="187"/>
      <c r="AC119" s="184"/>
      <c r="AD119" s="554"/>
      <c r="AE119" s="190"/>
      <c r="AF119" s="190"/>
      <c r="AG119" s="187"/>
      <c r="AH119" s="184"/>
      <c r="AI119" s="554"/>
      <c r="AJ119" s="190"/>
      <c r="AK119" s="190"/>
      <c r="AL119" s="187"/>
      <c r="AM119" s="184"/>
      <c r="AN119" s="554"/>
      <c r="AO119" s="190"/>
      <c r="AP119" s="190"/>
      <c r="AQ119" s="187"/>
      <c r="AR119" s="184"/>
      <c r="AS119" s="554"/>
      <c r="AT119" s="190"/>
      <c r="AU119" s="190"/>
      <c r="AV119" s="187"/>
      <c r="AW119" s="184"/>
      <c r="AX119" s="554"/>
    </row>
    <row r="120" spans="2:50" ht="14.25" customHeight="1">
      <c r="B120" s="525"/>
      <c r="C120" s="182">
        <v>14</v>
      </c>
      <c r="D120" s="185"/>
      <c r="E120" s="182"/>
      <c r="F120" s="182"/>
      <c r="G120" s="187"/>
      <c r="H120" s="554"/>
      <c r="I120" s="188"/>
      <c r="J120" s="188"/>
      <c r="K120" s="189"/>
      <c r="L120" s="555"/>
      <c r="M120" s="188"/>
      <c r="N120" s="525"/>
      <c r="O120" s="525"/>
      <c r="P120" s="190"/>
      <c r="Q120" s="190"/>
      <c r="R120" s="187"/>
      <c r="S120" s="184"/>
      <c r="T120" s="554"/>
      <c r="U120" s="190"/>
      <c r="V120" s="190"/>
      <c r="W120" s="187"/>
      <c r="X120" s="184"/>
      <c r="Y120" s="554"/>
      <c r="Z120" s="190"/>
      <c r="AA120" s="190"/>
      <c r="AB120" s="187"/>
      <c r="AC120" s="184"/>
      <c r="AD120" s="554"/>
      <c r="AE120" s="190"/>
      <c r="AF120" s="190"/>
      <c r="AG120" s="187"/>
      <c r="AH120" s="184"/>
      <c r="AI120" s="554"/>
      <c r="AJ120" s="190"/>
      <c r="AK120" s="190"/>
      <c r="AL120" s="187"/>
      <c r="AM120" s="184"/>
      <c r="AN120" s="554"/>
      <c r="AO120" s="190"/>
      <c r="AP120" s="190"/>
      <c r="AQ120" s="187"/>
      <c r="AR120" s="184"/>
      <c r="AS120" s="554"/>
      <c r="AT120" s="190"/>
      <c r="AU120" s="190"/>
      <c r="AV120" s="187"/>
      <c r="AW120" s="184"/>
      <c r="AX120" s="554"/>
    </row>
    <row r="121" spans="2:50" ht="14.25" customHeight="1">
      <c r="B121" s="525"/>
      <c r="C121" s="182">
        <v>15</v>
      </c>
      <c r="D121" s="185"/>
      <c r="E121" s="182"/>
      <c r="F121" s="182"/>
      <c r="G121" s="187"/>
      <c r="H121" s="554"/>
      <c r="I121" s="188"/>
      <c r="J121" s="188"/>
      <c r="K121" s="189"/>
      <c r="L121" s="555"/>
      <c r="M121" s="188"/>
      <c r="N121" s="525"/>
      <c r="O121" s="525"/>
      <c r="P121" s="190"/>
      <c r="Q121" s="190"/>
      <c r="R121" s="187"/>
      <c r="S121" s="184"/>
      <c r="T121" s="554"/>
      <c r="U121" s="190"/>
      <c r="V121" s="190"/>
      <c r="W121" s="187"/>
      <c r="X121" s="184"/>
      <c r="Y121" s="554"/>
      <c r="Z121" s="190"/>
      <c r="AA121" s="190"/>
      <c r="AB121" s="187"/>
      <c r="AC121" s="184"/>
      <c r="AD121" s="554"/>
      <c r="AE121" s="190"/>
      <c r="AF121" s="190"/>
      <c r="AG121" s="187"/>
      <c r="AH121" s="184"/>
      <c r="AI121" s="554"/>
      <c r="AJ121" s="190"/>
      <c r="AK121" s="190"/>
      <c r="AL121" s="187"/>
      <c r="AM121" s="184"/>
      <c r="AN121" s="554"/>
      <c r="AO121" s="190"/>
      <c r="AP121" s="190"/>
      <c r="AQ121" s="187"/>
      <c r="AR121" s="184"/>
      <c r="AS121" s="554"/>
      <c r="AT121" s="190"/>
      <c r="AU121" s="190"/>
      <c r="AV121" s="187"/>
      <c r="AW121" s="184"/>
      <c r="AX121" s="554"/>
    </row>
  </sheetData>
  <mergeCells count="354"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J84:AM84"/>
    <mergeCell ref="AN84:AN86"/>
    <mergeCell ref="AO84:AR84"/>
    <mergeCell ref="AS84:AS86"/>
    <mergeCell ref="AT84:AW84"/>
    <mergeCell ref="AX84:AX86"/>
    <mergeCell ref="AI87:AI101"/>
    <mergeCell ref="AN87:AN101"/>
    <mergeCell ref="AS87:AS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X87:AX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N67:AN81"/>
    <mergeCell ref="AS67:AS81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T64:T66"/>
    <mergeCell ref="U64:X64"/>
    <mergeCell ref="Y64:Y66"/>
    <mergeCell ref="Z64:AC64"/>
    <mergeCell ref="AD64:AD66"/>
    <mergeCell ref="AE64:AH64"/>
    <mergeCell ref="AI64:AI66"/>
    <mergeCell ref="B67:B81"/>
    <mergeCell ref="H67:H81"/>
    <mergeCell ref="L67:L81"/>
    <mergeCell ref="T67:T81"/>
    <mergeCell ref="Y67:Y81"/>
    <mergeCell ref="AD67:AD81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AI67:AI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21"/>
  <sheetViews>
    <sheetView zoomScaleNormal="100" workbookViewId="0">
      <pane xSplit="13" ySplit="1" topLeftCell="N104" activePane="bottomRight" state="frozen"/>
      <selection activeCell="L95" sqref="L95"/>
      <selection pane="topRight" activeCell="L95" sqref="L95"/>
      <selection pane="bottomLeft" activeCell="L95" sqref="L95"/>
      <selection pane="bottomRight" activeCell="A42" sqref="A42:XFD121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9" bestFit="1" customWidth="1"/>
    <col min="4" max="4" width="26.453125" style="178" customWidth="1"/>
    <col min="5" max="5" width="7.7265625" style="179" customWidth="1"/>
    <col min="6" max="7" width="8.7265625" style="179" customWidth="1"/>
    <col min="8" max="8" width="10.7265625" style="179" customWidth="1"/>
    <col min="9" max="9" width="7.7265625" style="180" customWidth="1"/>
    <col min="10" max="11" width="8.7265625" style="180" customWidth="1"/>
    <col min="12" max="12" width="10.7265625" style="180" customWidth="1"/>
    <col min="13" max="13" width="5.7265625" style="180" customWidth="1"/>
    <col min="14" max="14" width="9.81640625" style="179" customWidth="1"/>
    <col min="15" max="15" width="7.1796875" style="179" customWidth="1"/>
    <col min="16" max="16" width="7.7265625" style="179" customWidth="1"/>
    <col min="17" max="18" width="8.7265625" style="179" customWidth="1"/>
    <col min="19" max="19" width="5.7265625" style="180" customWidth="1"/>
    <col min="20" max="20" width="10.7265625" style="179" customWidth="1"/>
    <col min="21" max="21" width="7.7265625" style="78" customWidth="1"/>
    <col min="22" max="23" width="8.7265625" style="78" customWidth="1"/>
    <col min="24" max="24" width="5.453125" style="180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80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80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80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81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81" customWidth="1"/>
    <col min="50" max="50" width="10.7265625" style="78" customWidth="1"/>
    <col min="51" max="16384" width="8.81640625" style="78"/>
  </cols>
  <sheetData>
    <row r="1" spans="1:50" ht="24.5">
      <c r="A1" s="74"/>
      <c r="B1" s="370" t="s">
        <v>651</v>
      </c>
      <c r="C1" s="177">
        <f>AVERAGE(L27,L47,L67,L87)</f>
        <v>493.70226196451773</v>
      </c>
    </row>
    <row r="2" spans="1:50" ht="14.25" customHeight="1" collapsed="1">
      <c r="B2" s="534" t="s">
        <v>559</v>
      </c>
      <c r="C2" s="535"/>
      <c r="D2" s="535"/>
      <c r="E2" s="535"/>
      <c r="F2" s="535"/>
      <c r="G2" s="535"/>
      <c r="H2" s="535"/>
      <c r="I2" s="535"/>
      <c r="J2" s="535"/>
      <c r="K2" s="535"/>
      <c r="L2" s="535"/>
      <c r="M2" s="536"/>
      <c r="N2" s="564" t="s">
        <v>378</v>
      </c>
      <c r="O2" s="564" t="s">
        <v>105</v>
      </c>
      <c r="P2" s="566">
        <v>46077</v>
      </c>
      <c r="Q2" s="567"/>
      <c r="R2" s="567"/>
      <c r="S2" s="567"/>
      <c r="T2" s="567"/>
      <c r="U2" s="568">
        <f>P2+1</f>
        <v>46078</v>
      </c>
      <c r="V2" s="569"/>
      <c r="W2" s="569"/>
      <c r="X2" s="569"/>
      <c r="Y2" s="569"/>
      <c r="Z2" s="566">
        <f t="shared" ref="Z2" si="0">U2+1</f>
        <v>46079</v>
      </c>
      <c r="AA2" s="567"/>
      <c r="AB2" s="567"/>
      <c r="AC2" s="567"/>
      <c r="AD2" s="567"/>
      <c r="AE2" s="568">
        <f t="shared" ref="AE2" si="1">Z2+1</f>
        <v>46080</v>
      </c>
      <c r="AF2" s="569"/>
      <c r="AG2" s="569"/>
      <c r="AH2" s="569"/>
      <c r="AI2" s="569"/>
      <c r="AJ2" s="556">
        <f t="shared" ref="AJ2" si="2">AE2+1</f>
        <v>46081</v>
      </c>
      <c r="AK2" s="557"/>
      <c r="AL2" s="557"/>
      <c r="AM2" s="557"/>
      <c r="AN2" s="558"/>
      <c r="AO2" s="568">
        <f t="shared" ref="AO2" si="3">AJ2+1</f>
        <v>46082</v>
      </c>
      <c r="AP2" s="569"/>
      <c r="AQ2" s="569"/>
      <c r="AR2" s="569"/>
      <c r="AS2" s="569"/>
      <c r="AT2" s="556">
        <f t="shared" ref="AT2" si="4">AO2+1</f>
        <v>46083</v>
      </c>
      <c r="AU2" s="557"/>
      <c r="AV2" s="557"/>
      <c r="AW2" s="557"/>
      <c r="AX2" s="558"/>
    </row>
    <row r="3" spans="1:50" ht="14.25" customHeight="1"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8"/>
      <c r="N3" s="565"/>
      <c r="O3" s="565"/>
      <c r="P3" s="559">
        <f>P2</f>
        <v>46077</v>
      </c>
      <c r="Q3" s="559"/>
      <c r="R3" s="559"/>
      <c r="S3" s="559"/>
      <c r="T3" s="559"/>
      <c r="U3" s="560">
        <f>U2</f>
        <v>46078</v>
      </c>
      <c r="V3" s="560"/>
      <c r="W3" s="560"/>
      <c r="X3" s="560"/>
      <c r="Y3" s="560"/>
      <c r="Z3" s="559">
        <f t="shared" ref="Z3" si="5">Z2</f>
        <v>46079</v>
      </c>
      <c r="AA3" s="559"/>
      <c r="AB3" s="559"/>
      <c r="AC3" s="559"/>
      <c r="AD3" s="559"/>
      <c r="AE3" s="560">
        <f t="shared" ref="AE3" si="6">AE2</f>
        <v>46080</v>
      </c>
      <c r="AF3" s="560"/>
      <c r="AG3" s="560"/>
      <c r="AH3" s="560"/>
      <c r="AI3" s="560"/>
      <c r="AJ3" s="561">
        <f t="shared" ref="AJ3" si="7">AJ2</f>
        <v>46081</v>
      </c>
      <c r="AK3" s="562"/>
      <c r="AL3" s="562"/>
      <c r="AM3" s="562"/>
      <c r="AN3" s="563"/>
      <c r="AO3" s="560">
        <f t="shared" ref="AO3" si="8">AO2</f>
        <v>46082</v>
      </c>
      <c r="AP3" s="560"/>
      <c r="AQ3" s="560"/>
      <c r="AR3" s="560"/>
      <c r="AS3" s="560"/>
      <c r="AT3" s="561">
        <f t="shared" ref="AT3" si="9">AT2</f>
        <v>46083</v>
      </c>
      <c r="AU3" s="562"/>
      <c r="AV3" s="562"/>
      <c r="AW3" s="562"/>
      <c r="AX3" s="563"/>
    </row>
    <row r="4" spans="1:50" ht="14.25" customHeight="1">
      <c r="B4" s="525" t="s">
        <v>164</v>
      </c>
      <c r="C4" s="525" t="s">
        <v>159</v>
      </c>
      <c r="D4" s="525"/>
      <c r="E4" s="525" t="s">
        <v>160</v>
      </c>
      <c r="F4" s="525"/>
      <c r="G4" s="525"/>
      <c r="H4" s="525" t="s">
        <v>165</v>
      </c>
      <c r="I4" s="544" t="s">
        <v>379</v>
      </c>
      <c r="J4" s="544"/>
      <c r="K4" s="544"/>
      <c r="L4" s="544" t="s">
        <v>165</v>
      </c>
      <c r="M4" s="544" t="s">
        <v>167</v>
      </c>
      <c r="N4" s="525"/>
      <c r="O4" s="525" t="s">
        <v>166</v>
      </c>
      <c r="P4" s="525" t="s">
        <v>162</v>
      </c>
      <c r="Q4" s="525"/>
      <c r="R4" s="525"/>
      <c r="S4" s="525"/>
      <c r="T4" s="525" t="s">
        <v>165</v>
      </c>
      <c r="U4" s="525" t="s">
        <v>162</v>
      </c>
      <c r="V4" s="525"/>
      <c r="W4" s="525"/>
      <c r="X4" s="525"/>
      <c r="Y4" s="525" t="s">
        <v>165</v>
      </c>
      <c r="Z4" s="525" t="s">
        <v>162</v>
      </c>
      <c r="AA4" s="525"/>
      <c r="AB4" s="525"/>
      <c r="AC4" s="525"/>
      <c r="AD4" s="525" t="s">
        <v>165</v>
      </c>
      <c r="AE4" s="525" t="s">
        <v>162</v>
      </c>
      <c r="AF4" s="525"/>
      <c r="AG4" s="525"/>
      <c r="AH4" s="525"/>
      <c r="AI4" s="525" t="s">
        <v>165</v>
      </c>
      <c r="AJ4" s="525" t="s">
        <v>162</v>
      </c>
      <c r="AK4" s="525"/>
      <c r="AL4" s="525"/>
      <c r="AM4" s="525"/>
      <c r="AN4" s="525" t="s">
        <v>165</v>
      </c>
      <c r="AO4" s="525" t="s">
        <v>162</v>
      </c>
      <c r="AP4" s="525"/>
      <c r="AQ4" s="525"/>
      <c r="AR4" s="525"/>
      <c r="AS4" s="525" t="s">
        <v>165</v>
      </c>
      <c r="AT4" s="525" t="s">
        <v>162</v>
      </c>
      <c r="AU4" s="525"/>
      <c r="AV4" s="525"/>
      <c r="AW4" s="525"/>
      <c r="AX4" s="525" t="s">
        <v>165</v>
      </c>
    </row>
    <row r="5" spans="1:50" ht="14.25" customHeight="1">
      <c r="B5" s="525"/>
      <c r="C5" s="525"/>
      <c r="D5" s="525"/>
      <c r="E5" s="525" t="s">
        <v>380</v>
      </c>
      <c r="F5" s="525"/>
      <c r="G5" s="525"/>
      <c r="H5" s="525"/>
      <c r="I5" s="544" t="s">
        <v>380</v>
      </c>
      <c r="J5" s="544"/>
      <c r="K5" s="544"/>
      <c r="L5" s="544"/>
      <c r="M5" s="544"/>
      <c r="N5" s="525"/>
      <c r="O5" s="525"/>
      <c r="P5" s="525" t="s">
        <v>381</v>
      </c>
      <c r="Q5" s="525"/>
      <c r="R5" s="525"/>
      <c r="S5" s="525"/>
      <c r="T5" s="525"/>
      <c r="U5" s="525" t="s">
        <v>381</v>
      </c>
      <c r="V5" s="525"/>
      <c r="W5" s="525"/>
      <c r="X5" s="525"/>
      <c r="Y5" s="525"/>
      <c r="Z5" s="525" t="s">
        <v>381</v>
      </c>
      <c r="AA5" s="525"/>
      <c r="AB5" s="525"/>
      <c r="AC5" s="525"/>
      <c r="AD5" s="525"/>
      <c r="AE5" s="525" t="s">
        <v>381</v>
      </c>
      <c r="AF5" s="525"/>
      <c r="AG5" s="525"/>
      <c r="AH5" s="525"/>
      <c r="AI5" s="525"/>
      <c r="AJ5" s="525" t="s">
        <v>381</v>
      </c>
      <c r="AK5" s="525"/>
      <c r="AL5" s="525"/>
      <c r="AM5" s="525"/>
      <c r="AN5" s="525"/>
      <c r="AO5" s="525" t="s">
        <v>381</v>
      </c>
      <c r="AP5" s="525"/>
      <c r="AQ5" s="525"/>
      <c r="AR5" s="525"/>
      <c r="AS5" s="525"/>
      <c r="AT5" s="525" t="s">
        <v>381</v>
      </c>
      <c r="AU5" s="525"/>
      <c r="AV5" s="525"/>
      <c r="AW5" s="525"/>
      <c r="AX5" s="525"/>
    </row>
    <row r="6" spans="1:50" ht="14.25" customHeight="1">
      <c r="B6" s="525"/>
      <c r="C6" s="525"/>
      <c r="D6" s="525"/>
      <c r="E6" s="182" t="s">
        <v>161</v>
      </c>
      <c r="F6" s="182" t="s">
        <v>382</v>
      </c>
      <c r="G6" s="182" t="s">
        <v>163</v>
      </c>
      <c r="H6" s="525"/>
      <c r="I6" s="183" t="s">
        <v>161</v>
      </c>
      <c r="J6" s="183" t="s">
        <v>382</v>
      </c>
      <c r="K6" s="183" t="s">
        <v>163</v>
      </c>
      <c r="L6" s="544"/>
      <c r="M6" s="544"/>
      <c r="N6" s="525"/>
      <c r="O6" s="525"/>
      <c r="P6" s="182" t="s">
        <v>161</v>
      </c>
      <c r="Q6" s="182" t="s">
        <v>382</v>
      </c>
      <c r="R6" s="182" t="s">
        <v>163</v>
      </c>
      <c r="S6" s="184" t="s">
        <v>167</v>
      </c>
      <c r="T6" s="525"/>
      <c r="U6" s="182" t="s">
        <v>161</v>
      </c>
      <c r="V6" s="182" t="s">
        <v>382</v>
      </c>
      <c r="W6" s="182" t="s">
        <v>163</v>
      </c>
      <c r="X6" s="184" t="s">
        <v>167</v>
      </c>
      <c r="Y6" s="525"/>
      <c r="Z6" s="182" t="s">
        <v>161</v>
      </c>
      <c r="AA6" s="182" t="s">
        <v>382</v>
      </c>
      <c r="AB6" s="182" t="s">
        <v>163</v>
      </c>
      <c r="AC6" s="184" t="s">
        <v>167</v>
      </c>
      <c r="AD6" s="525"/>
      <c r="AE6" s="182" t="s">
        <v>161</v>
      </c>
      <c r="AF6" s="182" t="s">
        <v>382</v>
      </c>
      <c r="AG6" s="182" t="s">
        <v>163</v>
      </c>
      <c r="AH6" s="184" t="s">
        <v>167</v>
      </c>
      <c r="AI6" s="525"/>
      <c r="AJ6" s="182" t="s">
        <v>161</v>
      </c>
      <c r="AK6" s="182" t="s">
        <v>382</v>
      </c>
      <c r="AL6" s="182" t="s">
        <v>163</v>
      </c>
      <c r="AM6" s="184" t="s">
        <v>167</v>
      </c>
      <c r="AN6" s="525"/>
      <c r="AO6" s="182" t="s">
        <v>161</v>
      </c>
      <c r="AP6" s="182" t="s">
        <v>382</v>
      </c>
      <c r="AQ6" s="182" t="s">
        <v>163</v>
      </c>
      <c r="AR6" s="184" t="s">
        <v>167</v>
      </c>
      <c r="AS6" s="525"/>
      <c r="AT6" s="182" t="s">
        <v>161</v>
      </c>
      <c r="AU6" s="182" t="s">
        <v>382</v>
      </c>
      <c r="AV6" s="182" t="s">
        <v>163</v>
      </c>
      <c r="AW6" s="184" t="s">
        <v>167</v>
      </c>
      <c r="AX6" s="525"/>
    </row>
    <row r="7" spans="1:50" ht="14.25" customHeight="1">
      <c r="B7" s="525" t="s">
        <v>385</v>
      </c>
      <c r="C7" s="182">
        <v>1</v>
      </c>
      <c r="D7" s="185" t="s">
        <v>538</v>
      </c>
      <c r="E7" s="182">
        <v>6</v>
      </c>
      <c r="F7" s="182">
        <v>3273</v>
      </c>
      <c r="G7" s="187">
        <f t="shared" ref="G7:G8" si="10">F7/E7</f>
        <v>545.5</v>
      </c>
      <c r="H7" s="554">
        <f>AVERAGE(G7:G21)</f>
        <v>545.5</v>
      </c>
      <c r="I7" s="188">
        <f>AVERAGE(P7,U7,Z7,AE7,AJ7,AO7,AT7)</f>
        <v>6</v>
      </c>
      <c r="J7" s="188">
        <f>AVERAGE(Q7,V7,AA7,AF7,AK7,AP7,AU7)</f>
        <v>2961.6510978447559</v>
      </c>
      <c r="K7" s="189">
        <f>AVERAGE(R7,W7,AB7,AG7,AL7,AQ7,AV7)</f>
        <v>493.60851630745941</v>
      </c>
      <c r="L7" s="555">
        <f>IFERROR(AVERAGE(K7:K21),"-")</f>
        <v>481.20056773217823</v>
      </c>
      <c r="M7" s="188" t="e">
        <f>RANK(K7, K$87:$K$101)</f>
        <v>#N/A</v>
      </c>
      <c r="N7" s="525"/>
      <c r="O7" s="525"/>
      <c r="P7" s="190">
        <v>6</v>
      </c>
      <c r="Q7" s="190">
        <v>2962.1878715814551</v>
      </c>
      <c r="R7" s="187">
        <f>IFERROR(Q7/P7,"")</f>
        <v>493.69797859690919</v>
      </c>
      <c r="S7" s="184" t="e">
        <f>RANK(R7, R$87:R$101)</f>
        <v>#N/A</v>
      </c>
      <c r="T7" s="554">
        <f>AVERAGE(R7:R21)</f>
        <v>469.98040201317662</v>
      </c>
      <c r="U7" s="190">
        <v>6</v>
      </c>
      <c r="V7" s="190">
        <v>2960.3305785123448</v>
      </c>
      <c r="W7" s="187">
        <f t="shared" ref="W7:W8" si="11">IFERROR(V7/U7,"")</f>
        <v>493.38842975205745</v>
      </c>
      <c r="X7" s="184" t="e">
        <f>RANK(W7, W$87:W$101)</f>
        <v>#N/A</v>
      </c>
      <c r="Y7" s="554">
        <f>AVERAGE(W7:W21)</f>
        <v>472.91793228561676</v>
      </c>
      <c r="Z7" s="190">
        <v>6</v>
      </c>
      <c r="AA7" s="190">
        <v>2961.9047619047496</v>
      </c>
      <c r="AB7" s="187">
        <f t="shared" ref="AB7:AB8" si="12">IFERROR(AA7/Z7,"")</f>
        <v>493.65079365079163</v>
      </c>
      <c r="AC7" s="184" t="e">
        <f>RANK(AB7, AB$87:AB$101)</f>
        <v>#N/A</v>
      </c>
      <c r="AD7" s="554">
        <f>AVERAGE(AB7:AB21)</f>
        <v>476.61745731688927</v>
      </c>
      <c r="AE7" s="190">
        <v>6</v>
      </c>
      <c r="AF7" s="190">
        <v>2961.1829944547144</v>
      </c>
      <c r="AG7" s="187">
        <f>IFERROR(AF7/AE7,"")</f>
        <v>493.53049907578571</v>
      </c>
      <c r="AH7" s="184" t="e">
        <f>RANK(AG7, AG$87:AG$101)</f>
        <v>#N/A</v>
      </c>
      <c r="AI7" s="554">
        <f>AVERAGE(AG7:AG21)</f>
        <v>480.70755723020045</v>
      </c>
      <c r="AJ7" s="190">
        <v>6</v>
      </c>
      <c r="AK7" s="190">
        <v>2962.4557260920906</v>
      </c>
      <c r="AL7" s="187">
        <f t="shared" ref="AL7:AL8" si="13">IFERROR(AK7/AJ7,"")</f>
        <v>493.74262101534845</v>
      </c>
      <c r="AM7" s="184" t="e">
        <f>RANK(AL7, AL$87:AL$101)</f>
        <v>#N/A</v>
      </c>
      <c r="AN7" s="554">
        <f>AVERAGE(AL7:AL21)</f>
        <v>484.88455554078689</v>
      </c>
      <c r="AO7" s="190">
        <v>6</v>
      </c>
      <c r="AP7" s="190">
        <v>2962.679425837322</v>
      </c>
      <c r="AQ7" s="187">
        <f t="shared" ref="AQ7:AQ8" si="14">IFERROR(AP7/AO7,"")</f>
        <v>493.77990430622032</v>
      </c>
      <c r="AR7" s="184" t="e">
        <f>RANK(AQ7, AQ$87:AQ$101)</f>
        <v>#N/A</v>
      </c>
      <c r="AS7" s="554">
        <f>AVERAGE(AQ7:AQ21)</f>
        <v>489.63505019232593</v>
      </c>
      <c r="AT7" s="190">
        <v>6</v>
      </c>
      <c r="AU7" s="190">
        <v>2960.816326530618</v>
      </c>
      <c r="AV7" s="187">
        <f t="shared" ref="AV7:AV8" si="15">IFERROR(AU7/AT7,"")</f>
        <v>493.46938775510301</v>
      </c>
      <c r="AW7" s="184" t="e">
        <f>RANK(AV7, AV$87:AV$101)</f>
        <v>#N/A</v>
      </c>
      <c r="AX7" s="554">
        <f>AVERAGE(AV7:AV21)</f>
        <v>493.66101954625151</v>
      </c>
    </row>
    <row r="8" spans="1:50" ht="14.25" customHeight="1">
      <c r="B8" s="525"/>
      <c r="C8" s="182">
        <v>2</v>
      </c>
      <c r="D8" s="185" t="s">
        <v>612</v>
      </c>
      <c r="E8" s="182">
        <v>6</v>
      </c>
      <c r="F8" s="182">
        <v>3273</v>
      </c>
      <c r="G8" s="187">
        <f t="shared" si="10"/>
        <v>545.5</v>
      </c>
      <c r="H8" s="554"/>
      <c r="I8" s="188">
        <f t="shared" ref="I8" si="16">AVERAGE(P8,U8,Z8,AE8,AJ8,AO8,AT8)</f>
        <v>6</v>
      </c>
      <c r="J8" s="188">
        <f t="shared" ref="J8" si="17">AVERAGE(Q8,V8,AA8,AF8,AK8,AP8,AU8)</f>
        <v>2812.7557149413815</v>
      </c>
      <c r="K8" s="189">
        <f t="shared" ref="K8" si="18">AVERAGE(R8,W8,AB8,AG8,AL8,AQ8,AV8)</f>
        <v>468.79261915689705</v>
      </c>
      <c r="L8" s="555"/>
      <c r="M8" s="188" t="e">
        <f>RANK(K8, K$87:$K$101)</f>
        <v>#N/A</v>
      </c>
      <c r="N8" s="525"/>
      <c r="O8" s="525"/>
      <c r="P8" s="190">
        <v>6</v>
      </c>
      <c r="Q8" s="190">
        <v>2677.5769525766641</v>
      </c>
      <c r="R8" s="187">
        <f t="shared" ref="R8" si="19">IFERROR(Q8/P8,"")</f>
        <v>446.26282542944404</v>
      </c>
      <c r="S8" s="184" t="e">
        <f>RANK(R8, R$87:R$101)</f>
        <v>#N/A</v>
      </c>
      <c r="T8" s="554"/>
      <c r="U8" s="190">
        <v>6</v>
      </c>
      <c r="V8" s="190">
        <v>2714.6846089150563</v>
      </c>
      <c r="W8" s="187">
        <f t="shared" si="11"/>
        <v>452.44743481917607</v>
      </c>
      <c r="X8" s="184" t="e">
        <f>RANK(W8, W$87:W$101)</f>
        <v>#N/A</v>
      </c>
      <c r="Y8" s="554"/>
      <c r="Z8" s="190">
        <v>6</v>
      </c>
      <c r="AA8" s="190">
        <v>2757.5047258979212</v>
      </c>
      <c r="AB8" s="187">
        <f t="shared" si="12"/>
        <v>459.58412098298686</v>
      </c>
      <c r="AC8" s="184" t="e">
        <f>RANK(AB8, AB$87:AB$101)</f>
        <v>#N/A</v>
      </c>
      <c r="AD8" s="554"/>
      <c r="AE8" s="190">
        <v>6</v>
      </c>
      <c r="AF8" s="190">
        <v>2807.3076923076915</v>
      </c>
      <c r="AG8" s="187">
        <f t="shared" ref="AG8" si="20">IFERROR(AF8/AE8,"")</f>
        <v>467.88461538461524</v>
      </c>
      <c r="AH8" s="184" t="e">
        <f>RANK(AG8, AG$87:AG$101)</f>
        <v>#N/A</v>
      </c>
      <c r="AI8" s="554"/>
      <c r="AJ8" s="190">
        <v>6</v>
      </c>
      <c r="AK8" s="190">
        <v>2856.1589403973521</v>
      </c>
      <c r="AL8" s="187">
        <f t="shared" si="13"/>
        <v>476.02649006622534</v>
      </c>
      <c r="AM8" s="184" t="e">
        <f>RANK(AL8, AL$87:AL$101)</f>
        <v>#N/A</v>
      </c>
      <c r="AN8" s="554"/>
      <c r="AO8" s="190">
        <v>6</v>
      </c>
      <c r="AP8" s="190">
        <v>2912.9411764705892</v>
      </c>
      <c r="AQ8" s="187">
        <f t="shared" si="14"/>
        <v>485.49019607843155</v>
      </c>
      <c r="AR8" s="184" t="e">
        <f>RANK(AQ8, AQ$87:AQ$101)</f>
        <v>#N/A</v>
      </c>
      <c r="AS8" s="554"/>
      <c r="AT8" s="190">
        <v>6</v>
      </c>
      <c r="AU8" s="190">
        <v>2963.1159080244001</v>
      </c>
      <c r="AV8" s="187">
        <f t="shared" si="15"/>
        <v>493.8526513374</v>
      </c>
      <c r="AW8" s="184" t="e">
        <f>RANK(AV8, AV$87:AV$101)</f>
        <v>#N/A</v>
      </c>
      <c r="AX8" s="554"/>
    </row>
    <row r="9" spans="1:50" ht="14.25" customHeight="1">
      <c r="B9" s="525"/>
      <c r="C9" s="182">
        <v>3</v>
      </c>
      <c r="D9" s="185"/>
      <c r="E9" s="182"/>
      <c r="F9" s="182"/>
      <c r="G9" s="187"/>
      <c r="H9" s="554"/>
      <c r="I9" s="188"/>
      <c r="J9" s="188"/>
      <c r="K9" s="189"/>
      <c r="L9" s="555"/>
      <c r="M9" s="188"/>
      <c r="N9" s="525"/>
      <c r="O9" s="525"/>
      <c r="P9" s="190"/>
      <c r="Q9" s="190"/>
      <c r="R9" s="187"/>
      <c r="S9" s="184"/>
      <c r="T9" s="554"/>
      <c r="U9" s="190"/>
      <c r="V9" s="190"/>
      <c r="W9" s="187"/>
      <c r="X9" s="184"/>
      <c r="Y9" s="554"/>
      <c r="Z9" s="190"/>
      <c r="AA9" s="190"/>
      <c r="AB9" s="187"/>
      <c r="AC9" s="184"/>
      <c r="AD9" s="554"/>
      <c r="AE9" s="190"/>
      <c r="AF9" s="190"/>
      <c r="AG9" s="187"/>
      <c r="AH9" s="184"/>
      <c r="AI9" s="554"/>
      <c r="AJ9" s="190"/>
      <c r="AK9" s="190"/>
      <c r="AL9" s="187"/>
      <c r="AM9" s="184"/>
      <c r="AN9" s="554"/>
      <c r="AO9" s="190"/>
      <c r="AP9" s="190"/>
      <c r="AQ9" s="187"/>
      <c r="AR9" s="184"/>
      <c r="AS9" s="554"/>
      <c r="AT9" s="190"/>
      <c r="AU9" s="190"/>
      <c r="AV9" s="187"/>
      <c r="AW9" s="184"/>
      <c r="AX9" s="554"/>
    </row>
    <row r="10" spans="1:50" ht="14.25" customHeight="1">
      <c r="B10" s="525"/>
      <c r="C10" s="182">
        <v>4</v>
      </c>
      <c r="D10" s="185"/>
      <c r="E10" s="182"/>
      <c r="F10" s="182"/>
      <c r="G10" s="187"/>
      <c r="H10" s="554"/>
      <c r="I10" s="188"/>
      <c r="J10" s="188"/>
      <c r="K10" s="189"/>
      <c r="L10" s="555"/>
      <c r="M10" s="188"/>
      <c r="N10" s="525"/>
      <c r="O10" s="525"/>
      <c r="P10" s="190"/>
      <c r="Q10" s="190"/>
      <c r="R10" s="187"/>
      <c r="S10" s="184"/>
      <c r="T10" s="554"/>
      <c r="U10" s="190"/>
      <c r="V10" s="190"/>
      <c r="W10" s="187"/>
      <c r="X10" s="184"/>
      <c r="Y10" s="554"/>
      <c r="Z10" s="190"/>
      <c r="AA10" s="190"/>
      <c r="AB10" s="187"/>
      <c r="AC10" s="184"/>
      <c r="AD10" s="554"/>
      <c r="AE10" s="190"/>
      <c r="AF10" s="190"/>
      <c r="AG10" s="187"/>
      <c r="AH10" s="184"/>
      <c r="AI10" s="554"/>
      <c r="AJ10" s="190"/>
      <c r="AK10" s="190"/>
      <c r="AL10" s="187"/>
      <c r="AM10" s="184"/>
      <c r="AN10" s="554"/>
      <c r="AO10" s="190"/>
      <c r="AP10" s="190"/>
      <c r="AQ10" s="187"/>
      <c r="AR10" s="184"/>
      <c r="AS10" s="554"/>
      <c r="AT10" s="190"/>
      <c r="AU10" s="190"/>
      <c r="AV10" s="187"/>
      <c r="AW10" s="184"/>
      <c r="AX10" s="554"/>
    </row>
    <row r="11" spans="1:50" ht="14.25" customHeight="1">
      <c r="B11" s="525"/>
      <c r="C11" s="182">
        <v>5</v>
      </c>
      <c r="D11" s="185"/>
      <c r="E11" s="182"/>
      <c r="F11" s="182"/>
      <c r="G11" s="187"/>
      <c r="H11" s="554"/>
      <c r="I11" s="188"/>
      <c r="J11" s="188"/>
      <c r="K11" s="189"/>
      <c r="L11" s="555"/>
      <c r="M11" s="188"/>
      <c r="N11" s="525"/>
      <c r="O11" s="525"/>
      <c r="P11" s="190"/>
      <c r="Q11" s="190"/>
      <c r="R11" s="187"/>
      <c r="S11" s="184"/>
      <c r="T11" s="554"/>
      <c r="U11" s="190"/>
      <c r="V11" s="190"/>
      <c r="W11" s="187"/>
      <c r="X11" s="184"/>
      <c r="Y11" s="554"/>
      <c r="Z11" s="190"/>
      <c r="AA11" s="190"/>
      <c r="AB11" s="187"/>
      <c r="AC11" s="184"/>
      <c r="AD11" s="554"/>
      <c r="AE11" s="190"/>
      <c r="AF11" s="190"/>
      <c r="AG11" s="187"/>
      <c r="AH11" s="184"/>
      <c r="AI11" s="554"/>
      <c r="AJ11" s="190"/>
      <c r="AK11" s="190"/>
      <c r="AL11" s="187"/>
      <c r="AM11" s="184"/>
      <c r="AN11" s="554"/>
      <c r="AO11" s="190"/>
      <c r="AP11" s="190"/>
      <c r="AQ11" s="187"/>
      <c r="AR11" s="184"/>
      <c r="AS11" s="554"/>
      <c r="AT11" s="190"/>
      <c r="AU11" s="190"/>
      <c r="AV11" s="187"/>
      <c r="AW11" s="184"/>
      <c r="AX11" s="554"/>
    </row>
    <row r="12" spans="1:50" ht="14.25" customHeight="1">
      <c r="B12" s="525"/>
      <c r="C12" s="182">
        <v>6</v>
      </c>
      <c r="D12" s="185"/>
      <c r="E12" s="182"/>
      <c r="F12" s="182"/>
      <c r="G12" s="187"/>
      <c r="H12" s="554"/>
      <c r="I12" s="188"/>
      <c r="J12" s="188"/>
      <c r="K12" s="189"/>
      <c r="L12" s="555"/>
      <c r="M12" s="188"/>
      <c r="N12" s="525"/>
      <c r="O12" s="525"/>
      <c r="P12" s="190"/>
      <c r="Q12" s="190"/>
      <c r="R12" s="187"/>
      <c r="S12" s="184"/>
      <c r="T12" s="554"/>
      <c r="U12" s="190"/>
      <c r="V12" s="190"/>
      <c r="W12" s="187"/>
      <c r="X12" s="184"/>
      <c r="Y12" s="554"/>
      <c r="Z12" s="190"/>
      <c r="AA12" s="190"/>
      <c r="AB12" s="187"/>
      <c r="AC12" s="184"/>
      <c r="AD12" s="554"/>
      <c r="AE12" s="190"/>
      <c r="AF12" s="190"/>
      <c r="AG12" s="187"/>
      <c r="AH12" s="184"/>
      <c r="AI12" s="554"/>
      <c r="AJ12" s="190"/>
      <c r="AK12" s="190"/>
      <c r="AL12" s="187"/>
      <c r="AM12" s="184"/>
      <c r="AN12" s="554"/>
      <c r="AO12" s="190"/>
      <c r="AP12" s="190"/>
      <c r="AQ12" s="187"/>
      <c r="AR12" s="184"/>
      <c r="AS12" s="554"/>
      <c r="AT12" s="190"/>
      <c r="AU12" s="190"/>
      <c r="AV12" s="187"/>
      <c r="AW12" s="184"/>
      <c r="AX12" s="554"/>
    </row>
    <row r="13" spans="1:50" ht="14.25" customHeight="1">
      <c r="B13" s="525"/>
      <c r="C13" s="182">
        <v>7</v>
      </c>
      <c r="D13" s="185"/>
      <c r="E13" s="182"/>
      <c r="F13" s="182"/>
      <c r="G13" s="187"/>
      <c r="H13" s="554"/>
      <c r="I13" s="188"/>
      <c r="J13" s="188"/>
      <c r="K13" s="189"/>
      <c r="L13" s="555"/>
      <c r="M13" s="188"/>
      <c r="N13" s="525"/>
      <c r="O13" s="525"/>
      <c r="P13" s="190"/>
      <c r="Q13" s="190"/>
      <c r="R13" s="187"/>
      <c r="S13" s="184"/>
      <c r="T13" s="554"/>
      <c r="U13" s="190"/>
      <c r="V13" s="190"/>
      <c r="W13" s="187"/>
      <c r="X13" s="184"/>
      <c r="Y13" s="554"/>
      <c r="Z13" s="190"/>
      <c r="AA13" s="190"/>
      <c r="AB13" s="187"/>
      <c r="AC13" s="184"/>
      <c r="AD13" s="554"/>
      <c r="AE13" s="190"/>
      <c r="AF13" s="190"/>
      <c r="AG13" s="187"/>
      <c r="AH13" s="184"/>
      <c r="AI13" s="554"/>
      <c r="AJ13" s="190"/>
      <c r="AK13" s="190"/>
      <c r="AL13" s="187"/>
      <c r="AM13" s="184"/>
      <c r="AN13" s="554"/>
      <c r="AO13" s="190"/>
      <c r="AP13" s="190"/>
      <c r="AQ13" s="187"/>
      <c r="AR13" s="184"/>
      <c r="AS13" s="554"/>
      <c r="AT13" s="190"/>
      <c r="AU13" s="190"/>
      <c r="AV13" s="187"/>
      <c r="AW13" s="184"/>
      <c r="AX13" s="554"/>
    </row>
    <row r="14" spans="1:50" ht="14.25" customHeight="1">
      <c r="B14" s="525"/>
      <c r="C14" s="182">
        <v>8</v>
      </c>
      <c r="D14" s="185"/>
      <c r="E14" s="182"/>
      <c r="F14" s="182"/>
      <c r="G14" s="187"/>
      <c r="H14" s="554"/>
      <c r="I14" s="188"/>
      <c r="J14" s="188"/>
      <c r="K14" s="189"/>
      <c r="L14" s="555"/>
      <c r="M14" s="188"/>
      <c r="N14" s="525"/>
      <c r="O14" s="525"/>
      <c r="P14" s="190"/>
      <c r="Q14" s="190"/>
      <c r="R14" s="187"/>
      <c r="S14" s="184"/>
      <c r="T14" s="554"/>
      <c r="U14" s="190"/>
      <c r="V14" s="190"/>
      <c r="W14" s="187"/>
      <c r="X14" s="184"/>
      <c r="Y14" s="554"/>
      <c r="Z14" s="190"/>
      <c r="AA14" s="190"/>
      <c r="AB14" s="187"/>
      <c r="AC14" s="184"/>
      <c r="AD14" s="554"/>
      <c r="AE14" s="190"/>
      <c r="AF14" s="190"/>
      <c r="AG14" s="187"/>
      <c r="AH14" s="184"/>
      <c r="AI14" s="554"/>
      <c r="AJ14" s="190"/>
      <c r="AK14" s="190"/>
      <c r="AL14" s="187"/>
      <c r="AM14" s="184"/>
      <c r="AN14" s="554"/>
      <c r="AO14" s="190"/>
      <c r="AP14" s="190"/>
      <c r="AQ14" s="187"/>
      <c r="AR14" s="184"/>
      <c r="AS14" s="554"/>
      <c r="AT14" s="190"/>
      <c r="AU14" s="190"/>
      <c r="AV14" s="187"/>
      <c r="AW14" s="184"/>
      <c r="AX14" s="554"/>
    </row>
    <row r="15" spans="1:50" ht="14.25" customHeight="1">
      <c r="B15" s="525"/>
      <c r="C15" s="182">
        <v>9</v>
      </c>
      <c r="D15" s="185"/>
      <c r="E15" s="182"/>
      <c r="F15" s="182"/>
      <c r="G15" s="187"/>
      <c r="H15" s="554"/>
      <c r="I15" s="188"/>
      <c r="J15" s="188"/>
      <c r="K15" s="189"/>
      <c r="L15" s="555"/>
      <c r="M15" s="188"/>
      <c r="N15" s="525"/>
      <c r="O15" s="525"/>
      <c r="P15" s="190"/>
      <c r="Q15" s="190"/>
      <c r="R15" s="187"/>
      <c r="S15" s="184"/>
      <c r="T15" s="554"/>
      <c r="U15" s="190"/>
      <c r="V15" s="190"/>
      <c r="W15" s="187"/>
      <c r="X15" s="184"/>
      <c r="Y15" s="554"/>
      <c r="Z15" s="190"/>
      <c r="AA15" s="190"/>
      <c r="AB15" s="187"/>
      <c r="AC15" s="184"/>
      <c r="AD15" s="554"/>
      <c r="AE15" s="190"/>
      <c r="AF15" s="190"/>
      <c r="AG15" s="187"/>
      <c r="AH15" s="184"/>
      <c r="AI15" s="554"/>
      <c r="AJ15" s="190"/>
      <c r="AK15" s="190"/>
      <c r="AL15" s="187"/>
      <c r="AM15" s="184"/>
      <c r="AN15" s="554"/>
      <c r="AO15" s="190"/>
      <c r="AP15" s="190"/>
      <c r="AQ15" s="187"/>
      <c r="AR15" s="184"/>
      <c r="AS15" s="554"/>
      <c r="AT15" s="190"/>
      <c r="AU15" s="190"/>
      <c r="AV15" s="187"/>
      <c r="AW15" s="184"/>
      <c r="AX15" s="554"/>
    </row>
    <row r="16" spans="1:50" ht="14.25" customHeight="1">
      <c r="B16" s="525"/>
      <c r="C16" s="182">
        <v>10</v>
      </c>
      <c r="D16" s="185"/>
      <c r="E16" s="182"/>
      <c r="F16" s="182"/>
      <c r="G16" s="187"/>
      <c r="H16" s="554"/>
      <c r="I16" s="188"/>
      <c r="J16" s="188"/>
      <c r="K16" s="189"/>
      <c r="L16" s="555"/>
      <c r="M16" s="188"/>
      <c r="N16" s="525"/>
      <c r="O16" s="525"/>
      <c r="P16" s="190"/>
      <c r="Q16" s="190"/>
      <c r="R16" s="187"/>
      <c r="S16" s="184"/>
      <c r="T16" s="554"/>
      <c r="U16" s="190"/>
      <c r="V16" s="190"/>
      <c r="W16" s="187"/>
      <c r="X16" s="184"/>
      <c r="Y16" s="554"/>
      <c r="Z16" s="190"/>
      <c r="AA16" s="190"/>
      <c r="AB16" s="187"/>
      <c r="AC16" s="184"/>
      <c r="AD16" s="554"/>
      <c r="AE16" s="190"/>
      <c r="AF16" s="190"/>
      <c r="AG16" s="187"/>
      <c r="AH16" s="184"/>
      <c r="AI16" s="554"/>
      <c r="AJ16" s="190"/>
      <c r="AK16" s="190"/>
      <c r="AL16" s="187"/>
      <c r="AM16" s="184"/>
      <c r="AN16" s="554"/>
      <c r="AO16" s="190"/>
      <c r="AP16" s="190"/>
      <c r="AQ16" s="187"/>
      <c r="AR16" s="184"/>
      <c r="AS16" s="554"/>
      <c r="AT16" s="190"/>
      <c r="AU16" s="190"/>
      <c r="AV16" s="187"/>
      <c r="AW16" s="184"/>
      <c r="AX16" s="554"/>
    </row>
    <row r="17" spans="2:50" ht="14.25" customHeight="1">
      <c r="B17" s="525"/>
      <c r="C17" s="182">
        <v>11</v>
      </c>
      <c r="D17" s="185"/>
      <c r="E17" s="182"/>
      <c r="F17" s="182"/>
      <c r="G17" s="187"/>
      <c r="H17" s="554"/>
      <c r="I17" s="188"/>
      <c r="J17" s="188"/>
      <c r="K17" s="189"/>
      <c r="L17" s="555"/>
      <c r="M17" s="188"/>
      <c r="N17" s="525"/>
      <c r="O17" s="525"/>
      <c r="P17" s="190"/>
      <c r="Q17" s="190"/>
      <c r="R17" s="187"/>
      <c r="S17" s="184"/>
      <c r="T17" s="554"/>
      <c r="U17" s="190"/>
      <c r="V17" s="190"/>
      <c r="W17" s="187"/>
      <c r="X17" s="184"/>
      <c r="Y17" s="554"/>
      <c r="Z17" s="190"/>
      <c r="AA17" s="190"/>
      <c r="AB17" s="187"/>
      <c r="AC17" s="184"/>
      <c r="AD17" s="554"/>
      <c r="AE17" s="190"/>
      <c r="AF17" s="190"/>
      <c r="AG17" s="187"/>
      <c r="AH17" s="184"/>
      <c r="AI17" s="554"/>
      <c r="AJ17" s="190"/>
      <c r="AK17" s="190"/>
      <c r="AL17" s="187"/>
      <c r="AM17" s="184"/>
      <c r="AN17" s="554"/>
      <c r="AO17" s="190"/>
      <c r="AP17" s="190"/>
      <c r="AQ17" s="187"/>
      <c r="AR17" s="184"/>
      <c r="AS17" s="554"/>
      <c r="AT17" s="190"/>
      <c r="AU17" s="190"/>
      <c r="AV17" s="187"/>
      <c r="AW17" s="184"/>
      <c r="AX17" s="554"/>
    </row>
    <row r="18" spans="2:50" ht="14.25" customHeight="1">
      <c r="B18" s="525"/>
      <c r="C18" s="182">
        <v>12</v>
      </c>
      <c r="D18" s="185"/>
      <c r="E18" s="182"/>
      <c r="F18" s="182"/>
      <c r="G18" s="187"/>
      <c r="H18" s="554"/>
      <c r="I18" s="188"/>
      <c r="J18" s="188"/>
      <c r="K18" s="189"/>
      <c r="L18" s="555"/>
      <c r="M18" s="188"/>
      <c r="N18" s="525"/>
      <c r="O18" s="525"/>
      <c r="P18" s="190"/>
      <c r="Q18" s="190"/>
      <c r="R18" s="187"/>
      <c r="S18" s="184"/>
      <c r="T18" s="554"/>
      <c r="U18" s="190"/>
      <c r="V18" s="190"/>
      <c r="W18" s="187"/>
      <c r="X18" s="184"/>
      <c r="Y18" s="554"/>
      <c r="Z18" s="190"/>
      <c r="AA18" s="190"/>
      <c r="AB18" s="187"/>
      <c r="AC18" s="184"/>
      <c r="AD18" s="554"/>
      <c r="AE18" s="190"/>
      <c r="AF18" s="190"/>
      <c r="AG18" s="187"/>
      <c r="AH18" s="184"/>
      <c r="AI18" s="554"/>
      <c r="AJ18" s="190"/>
      <c r="AK18" s="190"/>
      <c r="AL18" s="187"/>
      <c r="AM18" s="184"/>
      <c r="AN18" s="554"/>
      <c r="AO18" s="190"/>
      <c r="AP18" s="190"/>
      <c r="AQ18" s="187"/>
      <c r="AR18" s="184"/>
      <c r="AS18" s="554"/>
      <c r="AT18" s="190"/>
      <c r="AU18" s="190"/>
      <c r="AV18" s="187"/>
      <c r="AW18" s="184"/>
      <c r="AX18" s="554"/>
    </row>
    <row r="19" spans="2:50" ht="14.25" customHeight="1">
      <c r="B19" s="525"/>
      <c r="C19" s="182">
        <v>13</v>
      </c>
      <c r="D19" s="185"/>
      <c r="E19" s="182"/>
      <c r="F19" s="182"/>
      <c r="G19" s="187"/>
      <c r="H19" s="554"/>
      <c r="I19" s="188"/>
      <c r="J19" s="188"/>
      <c r="K19" s="189"/>
      <c r="L19" s="555"/>
      <c r="M19" s="188"/>
      <c r="N19" s="525"/>
      <c r="O19" s="525"/>
      <c r="P19" s="190"/>
      <c r="Q19" s="190"/>
      <c r="R19" s="187"/>
      <c r="S19" s="184"/>
      <c r="T19" s="554"/>
      <c r="U19" s="190"/>
      <c r="V19" s="190"/>
      <c r="W19" s="187"/>
      <c r="X19" s="184"/>
      <c r="Y19" s="554"/>
      <c r="Z19" s="190"/>
      <c r="AA19" s="190"/>
      <c r="AB19" s="187"/>
      <c r="AC19" s="184"/>
      <c r="AD19" s="554"/>
      <c r="AE19" s="190"/>
      <c r="AF19" s="190"/>
      <c r="AG19" s="187"/>
      <c r="AH19" s="184"/>
      <c r="AI19" s="554"/>
      <c r="AJ19" s="190"/>
      <c r="AK19" s="190"/>
      <c r="AL19" s="187"/>
      <c r="AM19" s="184"/>
      <c r="AN19" s="554"/>
      <c r="AO19" s="190"/>
      <c r="AP19" s="190"/>
      <c r="AQ19" s="187"/>
      <c r="AR19" s="184"/>
      <c r="AS19" s="554"/>
      <c r="AT19" s="190"/>
      <c r="AU19" s="190"/>
      <c r="AV19" s="187"/>
      <c r="AW19" s="184"/>
      <c r="AX19" s="554"/>
    </row>
    <row r="20" spans="2:50" ht="14.25" customHeight="1">
      <c r="B20" s="525"/>
      <c r="C20" s="182">
        <v>14</v>
      </c>
      <c r="D20" s="185"/>
      <c r="E20" s="182"/>
      <c r="F20" s="182"/>
      <c r="G20" s="187"/>
      <c r="H20" s="554"/>
      <c r="I20" s="188"/>
      <c r="J20" s="188"/>
      <c r="K20" s="189"/>
      <c r="L20" s="555"/>
      <c r="M20" s="188"/>
      <c r="N20" s="525"/>
      <c r="O20" s="525"/>
      <c r="P20" s="190"/>
      <c r="Q20" s="190"/>
      <c r="R20" s="187"/>
      <c r="S20" s="184"/>
      <c r="T20" s="554"/>
      <c r="U20" s="190"/>
      <c r="V20" s="190"/>
      <c r="W20" s="187"/>
      <c r="X20" s="184"/>
      <c r="Y20" s="554"/>
      <c r="Z20" s="190"/>
      <c r="AA20" s="190"/>
      <c r="AB20" s="187"/>
      <c r="AC20" s="184"/>
      <c r="AD20" s="554"/>
      <c r="AE20" s="190"/>
      <c r="AF20" s="190"/>
      <c r="AG20" s="187"/>
      <c r="AH20" s="184"/>
      <c r="AI20" s="554"/>
      <c r="AJ20" s="190"/>
      <c r="AK20" s="190"/>
      <c r="AL20" s="187"/>
      <c r="AM20" s="184"/>
      <c r="AN20" s="554"/>
      <c r="AO20" s="190"/>
      <c r="AP20" s="190"/>
      <c r="AQ20" s="187"/>
      <c r="AR20" s="184"/>
      <c r="AS20" s="554"/>
      <c r="AT20" s="190"/>
      <c r="AU20" s="190"/>
      <c r="AV20" s="187"/>
      <c r="AW20" s="184"/>
      <c r="AX20" s="554"/>
    </row>
    <row r="21" spans="2:50" ht="14.25" customHeight="1">
      <c r="B21" s="525"/>
      <c r="C21" s="182">
        <v>15</v>
      </c>
      <c r="D21" s="185"/>
      <c r="E21" s="182"/>
      <c r="F21" s="182"/>
      <c r="G21" s="187"/>
      <c r="H21" s="554"/>
      <c r="I21" s="188"/>
      <c r="J21" s="188"/>
      <c r="K21" s="189"/>
      <c r="L21" s="555"/>
      <c r="M21" s="188"/>
      <c r="N21" s="525"/>
      <c r="O21" s="525"/>
      <c r="P21" s="190"/>
      <c r="Q21" s="190"/>
      <c r="R21" s="187"/>
      <c r="S21" s="184"/>
      <c r="T21" s="554"/>
      <c r="U21" s="190"/>
      <c r="V21" s="190"/>
      <c r="W21" s="187"/>
      <c r="X21" s="184"/>
      <c r="Y21" s="554"/>
      <c r="Z21" s="190"/>
      <c r="AA21" s="190"/>
      <c r="AB21" s="187"/>
      <c r="AC21" s="184"/>
      <c r="AD21" s="554"/>
      <c r="AE21" s="190"/>
      <c r="AF21" s="190"/>
      <c r="AG21" s="187"/>
      <c r="AH21" s="184"/>
      <c r="AI21" s="554"/>
      <c r="AJ21" s="190"/>
      <c r="AK21" s="190"/>
      <c r="AL21" s="187"/>
      <c r="AM21" s="184"/>
      <c r="AN21" s="554"/>
      <c r="AO21" s="190"/>
      <c r="AP21" s="190"/>
      <c r="AQ21" s="187"/>
      <c r="AR21" s="184"/>
      <c r="AS21" s="554"/>
      <c r="AT21" s="190"/>
      <c r="AU21" s="190"/>
      <c r="AV21" s="187"/>
      <c r="AW21" s="184"/>
      <c r="AX21" s="554"/>
    </row>
    <row r="22" spans="2:50" ht="14.25" customHeight="1" collapsed="1">
      <c r="B22" s="552" t="s">
        <v>645</v>
      </c>
      <c r="C22" s="535"/>
      <c r="D22" s="535"/>
      <c r="E22" s="535"/>
      <c r="F22" s="535"/>
      <c r="G22" s="535"/>
      <c r="H22" s="535"/>
      <c r="I22" s="535"/>
      <c r="J22" s="535"/>
      <c r="K22" s="535"/>
      <c r="L22" s="535"/>
      <c r="M22" s="536"/>
      <c r="N22" s="564" t="s">
        <v>378</v>
      </c>
      <c r="O22" s="564" t="s">
        <v>105</v>
      </c>
      <c r="P22" s="566">
        <v>46084</v>
      </c>
      <c r="Q22" s="567"/>
      <c r="R22" s="567"/>
      <c r="S22" s="567"/>
      <c r="T22" s="567"/>
      <c r="U22" s="568">
        <v>46085</v>
      </c>
      <c r="V22" s="569"/>
      <c r="W22" s="569"/>
      <c r="X22" s="569"/>
      <c r="Y22" s="569"/>
      <c r="Z22" s="566">
        <v>46086</v>
      </c>
      <c r="AA22" s="567"/>
      <c r="AB22" s="567"/>
      <c r="AC22" s="567"/>
      <c r="AD22" s="567"/>
      <c r="AE22" s="568">
        <v>46087</v>
      </c>
      <c r="AF22" s="569"/>
      <c r="AG22" s="569"/>
      <c r="AH22" s="569"/>
      <c r="AI22" s="569"/>
      <c r="AJ22" s="556">
        <v>46088</v>
      </c>
      <c r="AK22" s="557"/>
      <c r="AL22" s="557"/>
      <c r="AM22" s="557"/>
      <c r="AN22" s="558"/>
      <c r="AO22" s="568">
        <v>46089</v>
      </c>
      <c r="AP22" s="569"/>
      <c r="AQ22" s="569"/>
      <c r="AR22" s="569"/>
      <c r="AS22" s="569"/>
      <c r="AT22" s="556">
        <v>46090</v>
      </c>
      <c r="AU22" s="557"/>
      <c r="AV22" s="557"/>
      <c r="AW22" s="557"/>
      <c r="AX22" s="558"/>
    </row>
    <row r="23" spans="2:50" ht="14.25" customHeight="1">
      <c r="B23" s="537"/>
      <c r="C23" s="537"/>
      <c r="D23" s="537"/>
      <c r="E23" s="537"/>
      <c r="F23" s="537"/>
      <c r="G23" s="537"/>
      <c r="H23" s="537"/>
      <c r="I23" s="537"/>
      <c r="J23" s="537"/>
      <c r="K23" s="537"/>
      <c r="L23" s="537"/>
      <c r="M23" s="538"/>
      <c r="N23" s="565"/>
      <c r="O23" s="565"/>
      <c r="P23" s="559">
        <v>46084</v>
      </c>
      <c r="Q23" s="559"/>
      <c r="R23" s="559"/>
      <c r="S23" s="559"/>
      <c r="T23" s="559"/>
      <c r="U23" s="560">
        <v>46085</v>
      </c>
      <c r="V23" s="560"/>
      <c r="W23" s="560"/>
      <c r="X23" s="560"/>
      <c r="Y23" s="560"/>
      <c r="Z23" s="559">
        <v>46086</v>
      </c>
      <c r="AA23" s="559"/>
      <c r="AB23" s="559"/>
      <c r="AC23" s="559"/>
      <c r="AD23" s="559"/>
      <c r="AE23" s="560">
        <v>46087</v>
      </c>
      <c r="AF23" s="560"/>
      <c r="AG23" s="560"/>
      <c r="AH23" s="560"/>
      <c r="AI23" s="560"/>
      <c r="AJ23" s="561">
        <v>46088</v>
      </c>
      <c r="AK23" s="562"/>
      <c r="AL23" s="562"/>
      <c r="AM23" s="562"/>
      <c r="AN23" s="563"/>
      <c r="AO23" s="560">
        <v>46089</v>
      </c>
      <c r="AP23" s="560"/>
      <c r="AQ23" s="560"/>
      <c r="AR23" s="560"/>
      <c r="AS23" s="560"/>
      <c r="AT23" s="561">
        <v>46090</v>
      </c>
      <c r="AU23" s="562"/>
      <c r="AV23" s="562"/>
      <c r="AW23" s="562"/>
      <c r="AX23" s="563"/>
    </row>
    <row r="24" spans="2:50" ht="14.25" customHeight="1">
      <c r="B24" s="525" t="s">
        <v>164</v>
      </c>
      <c r="C24" s="525" t="s">
        <v>159</v>
      </c>
      <c r="D24" s="525"/>
      <c r="E24" s="525" t="s">
        <v>160</v>
      </c>
      <c r="F24" s="525"/>
      <c r="G24" s="525"/>
      <c r="H24" s="525" t="s">
        <v>165</v>
      </c>
      <c r="I24" s="544" t="s">
        <v>379</v>
      </c>
      <c r="J24" s="544"/>
      <c r="K24" s="544"/>
      <c r="L24" s="544" t="s">
        <v>165</v>
      </c>
      <c r="M24" s="544" t="s">
        <v>167</v>
      </c>
      <c r="N24" s="525"/>
      <c r="O24" s="525" t="s">
        <v>166</v>
      </c>
      <c r="P24" s="525" t="s">
        <v>162</v>
      </c>
      <c r="Q24" s="525"/>
      <c r="R24" s="525"/>
      <c r="S24" s="525"/>
      <c r="T24" s="525" t="s">
        <v>165</v>
      </c>
      <c r="U24" s="525" t="s">
        <v>162</v>
      </c>
      <c r="V24" s="525"/>
      <c r="W24" s="525"/>
      <c r="X24" s="525"/>
      <c r="Y24" s="525" t="s">
        <v>165</v>
      </c>
      <c r="Z24" s="525" t="s">
        <v>162</v>
      </c>
      <c r="AA24" s="525"/>
      <c r="AB24" s="525"/>
      <c r="AC24" s="525"/>
      <c r="AD24" s="525" t="s">
        <v>165</v>
      </c>
      <c r="AE24" s="525" t="s">
        <v>162</v>
      </c>
      <c r="AF24" s="525"/>
      <c r="AG24" s="525"/>
      <c r="AH24" s="525"/>
      <c r="AI24" s="525" t="s">
        <v>165</v>
      </c>
      <c r="AJ24" s="525" t="s">
        <v>162</v>
      </c>
      <c r="AK24" s="525"/>
      <c r="AL24" s="525"/>
      <c r="AM24" s="525"/>
      <c r="AN24" s="525" t="s">
        <v>165</v>
      </c>
      <c r="AO24" s="525" t="s">
        <v>162</v>
      </c>
      <c r="AP24" s="525"/>
      <c r="AQ24" s="525"/>
      <c r="AR24" s="525"/>
      <c r="AS24" s="525" t="s">
        <v>165</v>
      </c>
      <c r="AT24" s="525" t="s">
        <v>162</v>
      </c>
      <c r="AU24" s="525"/>
      <c r="AV24" s="525"/>
      <c r="AW24" s="525"/>
      <c r="AX24" s="525" t="s">
        <v>165</v>
      </c>
    </row>
    <row r="25" spans="2:50" ht="14.25" customHeight="1">
      <c r="B25" s="525"/>
      <c r="C25" s="525"/>
      <c r="D25" s="525"/>
      <c r="E25" s="525" t="s">
        <v>380</v>
      </c>
      <c r="F25" s="525"/>
      <c r="G25" s="525"/>
      <c r="H25" s="525"/>
      <c r="I25" s="544" t="s">
        <v>380</v>
      </c>
      <c r="J25" s="544"/>
      <c r="K25" s="544"/>
      <c r="L25" s="544"/>
      <c r="M25" s="544"/>
      <c r="N25" s="525"/>
      <c r="O25" s="525"/>
      <c r="P25" s="525" t="s">
        <v>381</v>
      </c>
      <c r="Q25" s="525"/>
      <c r="R25" s="525"/>
      <c r="S25" s="525"/>
      <c r="T25" s="525"/>
      <c r="U25" s="525" t="s">
        <v>381</v>
      </c>
      <c r="V25" s="525"/>
      <c r="W25" s="525"/>
      <c r="X25" s="525"/>
      <c r="Y25" s="525"/>
      <c r="Z25" s="525" t="s">
        <v>381</v>
      </c>
      <c r="AA25" s="525"/>
      <c r="AB25" s="525"/>
      <c r="AC25" s="525"/>
      <c r="AD25" s="525"/>
      <c r="AE25" s="525" t="s">
        <v>381</v>
      </c>
      <c r="AF25" s="525"/>
      <c r="AG25" s="525"/>
      <c r="AH25" s="525"/>
      <c r="AI25" s="525"/>
      <c r="AJ25" s="525" t="s">
        <v>381</v>
      </c>
      <c r="AK25" s="525"/>
      <c r="AL25" s="525"/>
      <c r="AM25" s="525"/>
      <c r="AN25" s="525"/>
      <c r="AO25" s="525" t="s">
        <v>381</v>
      </c>
      <c r="AP25" s="525"/>
      <c r="AQ25" s="525"/>
      <c r="AR25" s="525"/>
      <c r="AS25" s="525"/>
      <c r="AT25" s="525" t="s">
        <v>381</v>
      </c>
      <c r="AU25" s="525"/>
      <c r="AV25" s="525"/>
      <c r="AW25" s="525"/>
      <c r="AX25" s="525"/>
    </row>
    <row r="26" spans="2:50" ht="14.25" customHeight="1">
      <c r="B26" s="525"/>
      <c r="C26" s="525"/>
      <c r="D26" s="525"/>
      <c r="E26" s="182" t="s">
        <v>161</v>
      </c>
      <c r="F26" s="182" t="s">
        <v>382</v>
      </c>
      <c r="G26" s="182" t="s">
        <v>163</v>
      </c>
      <c r="H26" s="525"/>
      <c r="I26" s="183" t="s">
        <v>161</v>
      </c>
      <c r="J26" s="183" t="s">
        <v>382</v>
      </c>
      <c r="K26" s="183" t="s">
        <v>163</v>
      </c>
      <c r="L26" s="544"/>
      <c r="M26" s="544"/>
      <c r="N26" s="525"/>
      <c r="O26" s="525"/>
      <c r="P26" s="182" t="s">
        <v>161</v>
      </c>
      <c r="Q26" s="182" t="s">
        <v>382</v>
      </c>
      <c r="R26" s="182" t="s">
        <v>163</v>
      </c>
      <c r="S26" s="184" t="s">
        <v>167</v>
      </c>
      <c r="T26" s="525"/>
      <c r="U26" s="182" t="s">
        <v>161</v>
      </c>
      <c r="V26" s="182" t="s">
        <v>382</v>
      </c>
      <c r="W26" s="182" t="s">
        <v>163</v>
      </c>
      <c r="X26" s="184" t="s">
        <v>167</v>
      </c>
      <c r="Y26" s="525"/>
      <c r="Z26" s="182" t="s">
        <v>161</v>
      </c>
      <c r="AA26" s="182" t="s">
        <v>382</v>
      </c>
      <c r="AB26" s="182" t="s">
        <v>163</v>
      </c>
      <c r="AC26" s="184" t="s">
        <v>167</v>
      </c>
      <c r="AD26" s="525"/>
      <c r="AE26" s="182" t="s">
        <v>161</v>
      </c>
      <c r="AF26" s="182" t="s">
        <v>382</v>
      </c>
      <c r="AG26" s="182" t="s">
        <v>163</v>
      </c>
      <c r="AH26" s="184" t="s">
        <v>167</v>
      </c>
      <c r="AI26" s="525"/>
      <c r="AJ26" s="182" t="s">
        <v>161</v>
      </c>
      <c r="AK26" s="182" t="s">
        <v>382</v>
      </c>
      <c r="AL26" s="182" t="s">
        <v>163</v>
      </c>
      <c r="AM26" s="184" t="s">
        <v>167</v>
      </c>
      <c r="AN26" s="525"/>
      <c r="AO26" s="182" t="s">
        <v>161</v>
      </c>
      <c r="AP26" s="182" t="s">
        <v>382</v>
      </c>
      <c r="AQ26" s="182" t="s">
        <v>163</v>
      </c>
      <c r="AR26" s="184" t="s">
        <v>167</v>
      </c>
      <c r="AS26" s="525"/>
      <c r="AT26" s="182" t="s">
        <v>161</v>
      </c>
      <c r="AU26" s="182" t="s">
        <v>382</v>
      </c>
      <c r="AV26" s="182" t="s">
        <v>163</v>
      </c>
      <c r="AW26" s="184" t="s">
        <v>167</v>
      </c>
      <c r="AX26" s="525"/>
    </row>
    <row r="27" spans="2:50" ht="14.25" customHeight="1">
      <c r="B27" s="525" t="s">
        <v>385</v>
      </c>
      <c r="C27" s="182">
        <v>1</v>
      </c>
      <c r="D27" s="185" t="s">
        <v>538</v>
      </c>
      <c r="E27" s="182">
        <v>6</v>
      </c>
      <c r="F27" s="182">
        <v>3273</v>
      </c>
      <c r="G27" s="187">
        <f t="shared" ref="G27:G28" si="21">F27/E27</f>
        <v>545.5</v>
      </c>
      <c r="H27" s="554">
        <f>AVERAGE(G27:G41)</f>
        <v>545.5</v>
      </c>
      <c r="I27" s="188">
        <f>AVERAGE(P27,U27,Z27,AE27,AJ27,AO27,AT27)</f>
        <v>6</v>
      </c>
      <c r="J27" s="188">
        <f>AVERAGE(Q27,V27,AA27,AF27,AK27,AP27,AU27)</f>
        <v>2961.9147244211053</v>
      </c>
      <c r="K27" s="189">
        <f>AVERAGE(R27,W27,AB27,AG27,AL27,AQ27,AV27)</f>
        <v>493.65245407018432</v>
      </c>
      <c r="L27" s="555">
        <f>IFERROR(AVERAGE(K27:K41),"-")</f>
        <v>493.70226196451773</v>
      </c>
      <c r="M27" s="188">
        <f>RANK(K27, K$27:$K$41)</f>
        <v>2</v>
      </c>
      <c r="N27" s="525"/>
      <c r="O27" s="525"/>
      <c r="P27" s="190">
        <v>6</v>
      </c>
      <c r="Q27" s="190">
        <v>2962.0253164556962</v>
      </c>
      <c r="R27" s="187">
        <f>IFERROR(Q27/P27,"")</f>
        <v>493.67088607594934</v>
      </c>
      <c r="S27" s="184">
        <f>RANK(R27, R$27:R$41)</f>
        <v>2</v>
      </c>
      <c r="T27" s="554">
        <f>AVERAGE(R27:R41)</f>
        <v>493.79252183361837</v>
      </c>
      <c r="U27" s="190">
        <v>6</v>
      </c>
      <c r="V27" s="190">
        <v>2963.5983263598355</v>
      </c>
      <c r="W27" s="187">
        <f t="shared" ref="W27:W28" si="22">IFERROR(V27/U27,"")</f>
        <v>493.93305439330589</v>
      </c>
      <c r="X27" s="184">
        <f>RANK(W27, W$27:W$41)</f>
        <v>1</v>
      </c>
      <c r="Y27" s="554">
        <f>AVERAGE(W27:W41)</f>
        <v>493.90903909705554</v>
      </c>
      <c r="Z27" s="190">
        <v>6</v>
      </c>
      <c r="AA27" s="190">
        <v>2962.1262458471692</v>
      </c>
      <c r="AB27" s="187">
        <f t="shared" ref="AB27:AB28" si="23">IFERROR(AA27/Z27,"")</f>
        <v>493.68770764119489</v>
      </c>
      <c r="AC27" s="184">
        <f>RANK(AB27, AB$27:AB$41)</f>
        <v>2</v>
      </c>
      <c r="AD27" s="554">
        <f>AVERAGE(AB27:AB41)</f>
        <v>493.79188311951611</v>
      </c>
      <c r="AE27" s="190">
        <v>6</v>
      </c>
      <c r="AF27" s="190">
        <v>2962.4427480916102</v>
      </c>
      <c r="AG27" s="187">
        <f>IFERROR(AF27/AE27,"")</f>
        <v>493.74045801526836</v>
      </c>
      <c r="AH27" s="184">
        <f>RANK(AG27, AG$27:AG$41)</f>
        <v>2</v>
      </c>
      <c r="AI27" s="554">
        <f>AVERAGE(AG27:AG41)</f>
        <v>493.78871807324083</v>
      </c>
      <c r="AJ27" s="190">
        <v>6</v>
      </c>
      <c r="AK27" s="190">
        <v>2962.3115577889575</v>
      </c>
      <c r="AL27" s="187">
        <f t="shared" ref="AL27:AL28" si="24">IFERROR(AK27/AJ27,"")</f>
        <v>493.71859296482626</v>
      </c>
      <c r="AM27" s="184">
        <f>RANK(AL27, AL$27:AL$41)</f>
        <v>2</v>
      </c>
      <c r="AN27" s="554">
        <f>AVERAGE(AL27:AL41)</f>
        <v>493.79070442465149</v>
      </c>
      <c r="AO27" s="190">
        <v>6</v>
      </c>
      <c r="AP27" s="190">
        <v>2959.9999999999714</v>
      </c>
      <c r="AQ27" s="187">
        <f t="shared" ref="AQ27:AQ28" si="25">IFERROR(AP27/AO27,"")</f>
        <v>493.33333333332854</v>
      </c>
      <c r="AR27" s="184">
        <f>RANK(AQ27, AQ$27:AQ$41)</f>
        <v>2</v>
      </c>
      <c r="AS27" s="554">
        <f>AVERAGE(AQ27:AQ41)</f>
        <v>493.33333333333104</v>
      </c>
      <c r="AT27" s="190">
        <v>6</v>
      </c>
      <c r="AU27" s="190">
        <v>2960.8988764044998</v>
      </c>
      <c r="AV27" s="187">
        <f t="shared" ref="AV27:AV28" si="26">IFERROR(AU27/AT27,"")</f>
        <v>493.48314606741661</v>
      </c>
      <c r="AW27" s="184">
        <f>RANK(AV27, AV$27:AV$41)</f>
        <v>2</v>
      </c>
      <c r="AX27" s="554">
        <f>AVERAGE(AV27:AV41)</f>
        <v>493.50963387021062</v>
      </c>
    </row>
    <row r="28" spans="2:50" ht="14.25" customHeight="1">
      <c r="B28" s="525"/>
      <c r="C28" s="182">
        <v>2</v>
      </c>
      <c r="D28" s="185" t="s">
        <v>612</v>
      </c>
      <c r="E28" s="182">
        <v>6</v>
      </c>
      <c r="F28" s="182">
        <v>3273</v>
      </c>
      <c r="G28" s="187">
        <f t="shared" si="21"/>
        <v>545.5</v>
      </c>
      <c r="H28" s="554"/>
      <c r="I28" s="188">
        <f t="shared" ref="I28:K28" si="27">AVERAGE(P28,U28,Z28,AE28,AJ28,AO28,AT28)</f>
        <v>6</v>
      </c>
      <c r="J28" s="188">
        <f t="shared" si="27"/>
        <v>2962.5124191531067</v>
      </c>
      <c r="K28" s="189">
        <f t="shared" si="27"/>
        <v>493.75206985885114</v>
      </c>
      <c r="L28" s="555"/>
      <c r="M28" s="188">
        <f>RANK(K28, K$27:$K$41)</f>
        <v>1</v>
      </c>
      <c r="N28" s="525"/>
      <c r="O28" s="525"/>
      <c r="P28" s="190">
        <v>6</v>
      </c>
      <c r="Q28" s="190">
        <v>2963.4849455477242</v>
      </c>
      <c r="R28" s="187">
        <f t="shared" ref="R28" si="28">IFERROR(Q28/P28,"")</f>
        <v>493.91415759128739</v>
      </c>
      <c r="S28" s="184">
        <f>RANK(R28, R$27:R$41)</f>
        <v>1</v>
      </c>
      <c r="T28" s="554"/>
      <c r="U28" s="190">
        <v>6</v>
      </c>
      <c r="V28" s="190">
        <v>2963.3101428048312</v>
      </c>
      <c r="W28" s="187">
        <f t="shared" si="22"/>
        <v>493.88502380080519</v>
      </c>
      <c r="X28" s="184">
        <f>RANK(W28, W$27:W$41)</f>
        <v>2</v>
      </c>
      <c r="Y28" s="554"/>
      <c r="Z28" s="190">
        <v>6</v>
      </c>
      <c r="AA28" s="190">
        <v>2963.3763515870241</v>
      </c>
      <c r="AB28" s="187">
        <f t="shared" si="23"/>
        <v>493.89605859783734</v>
      </c>
      <c r="AC28" s="184">
        <f>RANK(AB28, AB$27:AB$41)</f>
        <v>1</v>
      </c>
      <c r="AD28" s="554"/>
      <c r="AE28" s="190">
        <v>6</v>
      </c>
      <c r="AF28" s="190">
        <v>2963.0218687872793</v>
      </c>
      <c r="AG28" s="187">
        <f t="shared" ref="AG28" si="29">IFERROR(AF28/AE28,"")</f>
        <v>493.83697813121324</v>
      </c>
      <c r="AH28" s="184">
        <f>RANK(AG28, AG$27:AG$41)</f>
        <v>1</v>
      </c>
      <c r="AI28" s="554"/>
      <c r="AJ28" s="190">
        <v>6</v>
      </c>
      <c r="AK28" s="190">
        <v>2963.1768953068599</v>
      </c>
      <c r="AL28" s="187">
        <f t="shared" si="24"/>
        <v>493.86281588447667</v>
      </c>
      <c r="AM28" s="184">
        <f>RANK(AL28, AL$27:AL$41)</f>
        <v>1</v>
      </c>
      <c r="AN28" s="554"/>
      <c r="AO28" s="190">
        <v>6</v>
      </c>
      <c r="AP28" s="190">
        <v>2960.0000000000014</v>
      </c>
      <c r="AQ28" s="187">
        <f t="shared" si="25"/>
        <v>493.33333333333354</v>
      </c>
      <c r="AR28" s="184">
        <f>RANK(AQ28, AQ$27:AQ$41)</f>
        <v>1</v>
      </c>
      <c r="AS28" s="554"/>
      <c r="AT28" s="190">
        <v>6</v>
      </c>
      <c r="AU28" s="190">
        <v>2961.2167300380279</v>
      </c>
      <c r="AV28" s="187">
        <f t="shared" si="26"/>
        <v>493.53612167300463</v>
      </c>
      <c r="AW28" s="184">
        <f>RANK(AV28, AV$27:AV$41)</f>
        <v>1</v>
      </c>
      <c r="AX28" s="554"/>
    </row>
    <row r="29" spans="2:50" ht="14.25" customHeight="1">
      <c r="B29" s="525"/>
      <c r="C29" s="182">
        <v>3</v>
      </c>
      <c r="D29" s="185"/>
      <c r="E29" s="182"/>
      <c r="F29" s="182"/>
      <c r="G29" s="187"/>
      <c r="H29" s="554"/>
      <c r="I29" s="188"/>
      <c r="J29" s="188"/>
      <c r="K29" s="189"/>
      <c r="L29" s="555"/>
      <c r="M29" s="188"/>
      <c r="N29" s="525"/>
      <c r="O29" s="525"/>
      <c r="P29" s="190"/>
      <c r="Q29" s="190"/>
      <c r="R29" s="187"/>
      <c r="S29" s="184"/>
      <c r="T29" s="554"/>
      <c r="U29" s="190"/>
      <c r="V29" s="190"/>
      <c r="W29" s="187"/>
      <c r="X29" s="184"/>
      <c r="Y29" s="554"/>
      <c r="Z29" s="190"/>
      <c r="AA29" s="190"/>
      <c r="AB29" s="187"/>
      <c r="AC29" s="184"/>
      <c r="AD29" s="554"/>
      <c r="AE29" s="190"/>
      <c r="AF29" s="190"/>
      <c r="AG29" s="187"/>
      <c r="AH29" s="184"/>
      <c r="AI29" s="554"/>
      <c r="AJ29" s="190"/>
      <c r="AK29" s="190"/>
      <c r="AL29" s="187"/>
      <c r="AM29" s="184"/>
      <c r="AN29" s="554"/>
      <c r="AO29" s="190"/>
      <c r="AP29" s="190"/>
      <c r="AQ29" s="187"/>
      <c r="AR29" s="184"/>
      <c r="AS29" s="554"/>
      <c r="AT29" s="190"/>
      <c r="AU29" s="190"/>
      <c r="AV29" s="187"/>
      <c r="AW29" s="184"/>
      <c r="AX29" s="554"/>
    </row>
    <row r="30" spans="2:50" ht="14.25" customHeight="1">
      <c r="B30" s="525"/>
      <c r="C30" s="182">
        <v>4</v>
      </c>
      <c r="D30" s="185"/>
      <c r="E30" s="182"/>
      <c r="F30" s="182"/>
      <c r="G30" s="187"/>
      <c r="H30" s="554"/>
      <c r="I30" s="188"/>
      <c r="J30" s="188"/>
      <c r="K30" s="189"/>
      <c r="L30" s="555"/>
      <c r="M30" s="188"/>
      <c r="N30" s="525"/>
      <c r="O30" s="525"/>
      <c r="P30" s="190"/>
      <c r="Q30" s="190"/>
      <c r="R30" s="187"/>
      <c r="S30" s="184"/>
      <c r="T30" s="554"/>
      <c r="U30" s="190"/>
      <c r="V30" s="190"/>
      <c r="W30" s="187"/>
      <c r="X30" s="184"/>
      <c r="Y30" s="554"/>
      <c r="Z30" s="190"/>
      <c r="AA30" s="190"/>
      <c r="AB30" s="187"/>
      <c r="AC30" s="184"/>
      <c r="AD30" s="554"/>
      <c r="AE30" s="190"/>
      <c r="AF30" s="190"/>
      <c r="AG30" s="187"/>
      <c r="AH30" s="184"/>
      <c r="AI30" s="554"/>
      <c r="AJ30" s="190"/>
      <c r="AK30" s="190"/>
      <c r="AL30" s="187"/>
      <c r="AM30" s="184"/>
      <c r="AN30" s="554"/>
      <c r="AO30" s="190"/>
      <c r="AP30" s="190"/>
      <c r="AQ30" s="187"/>
      <c r="AR30" s="184"/>
      <c r="AS30" s="554"/>
      <c r="AT30" s="190"/>
      <c r="AU30" s="190"/>
      <c r="AV30" s="187"/>
      <c r="AW30" s="184"/>
      <c r="AX30" s="554"/>
    </row>
    <row r="31" spans="2:50" ht="14.25" customHeight="1">
      <c r="B31" s="525"/>
      <c r="C31" s="182">
        <v>5</v>
      </c>
      <c r="D31" s="185"/>
      <c r="E31" s="182"/>
      <c r="F31" s="182"/>
      <c r="G31" s="187"/>
      <c r="H31" s="554"/>
      <c r="I31" s="188"/>
      <c r="J31" s="188"/>
      <c r="K31" s="189"/>
      <c r="L31" s="555"/>
      <c r="M31" s="188"/>
      <c r="N31" s="525"/>
      <c r="O31" s="525"/>
      <c r="P31" s="190"/>
      <c r="Q31" s="190"/>
      <c r="R31" s="187"/>
      <c r="S31" s="184"/>
      <c r="T31" s="554"/>
      <c r="U31" s="190"/>
      <c r="V31" s="190"/>
      <c r="W31" s="187"/>
      <c r="X31" s="184"/>
      <c r="Y31" s="554"/>
      <c r="Z31" s="190"/>
      <c r="AA31" s="190"/>
      <c r="AB31" s="187"/>
      <c r="AC31" s="184"/>
      <c r="AD31" s="554"/>
      <c r="AE31" s="190"/>
      <c r="AF31" s="190"/>
      <c r="AG31" s="187"/>
      <c r="AH31" s="184"/>
      <c r="AI31" s="554"/>
      <c r="AJ31" s="190"/>
      <c r="AK31" s="190"/>
      <c r="AL31" s="187"/>
      <c r="AM31" s="184"/>
      <c r="AN31" s="554"/>
      <c r="AO31" s="190"/>
      <c r="AP31" s="190"/>
      <c r="AQ31" s="187"/>
      <c r="AR31" s="184"/>
      <c r="AS31" s="554"/>
      <c r="AT31" s="190"/>
      <c r="AU31" s="190"/>
      <c r="AV31" s="187"/>
      <c r="AW31" s="184"/>
      <c r="AX31" s="554"/>
    </row>
    <row r="32" spans="2:50" ht="14.25" customHeight="1">
      <c r="B32" s="525"/>
      <c r="C32" s="182">
        <v>6</v>
      </c>
      <c r="D32" s="185"/>
      <c r="E32" s="182"/>
      <c r="F32" s="182"/>
      <c r="G32" s="187"/>
      <c r="H32" s="554"/>
      <c r="I32" s="188"/>
      <c r="J32" s="188"/>
      <c r="K32" s="189"/>
      <c r="L32" s="555"/>
      <c r="M32" s="188"/>
      <c r="N32" s="525"/>
      <c r="O32" s="525"/>
      <c r="P32" s="190"/>
      <c r="Q32" s="190"/>
      <c r="R32" s="187"/>
      <c r="S32" s="184"/>
      <c r="T32" s="554"/>
      <c r="U32" s="190"/>
      <c r="V32" s="190"/>
      <c r="W32" s="187"/>
      <c r="X32" s="184"/>
      <c r="Y32" s="554"/>
      <c r="Z32" s="190"/>
      <c r="AA32" s="190"/>
      <c r="AB32" s="187"/>
      <c r="AC32" s="184"/>
      <c r="AD32" s="554"/>
      <c r="AE32" s="190"/>
      <c r="AF32" s="190"/>
      <c r="AG32" s="187"/>
      <c r="AH32" s="184"/>
      <c r="AI32" s="554"/>
      <c r="AJ32" s="190"/>
      <c r="AK32" s="190"/>
      <c r="AL32" s="187"/>
      <c r="AM32" s="184"/>
      <c r="AN32" s="554"/>
      <c r="AO32" s="190"/>
      <c r="AP32" s="190"/>
      <c r="AQ32" s="187"/>
      <c r="AR32" s="184"/>
      <c r="AS32" s="554"/>
      <c r="AT32" s="190"/>
      <c r="AU32" s="190"/>
      <c r="AV32" s="187"/>
      <c r="AW32" s="184"/>
      <c r="AX32" s="554"/>
    </row>
    <row r="33" spans="2:50" ht="14.25" customHeight="1">
      <c r="B33" s="525"/>
      <c r="C33" s="182">
        <v>7</v>
      </c>
      <c r="D33" s="185"/>
      <c r="E33" s="182"/>
      <c r="F33" s="182"/>
      <c r="G33" s="187"/>
      <c r="H33" s="554"/>
      <c r="I33" s="188"/>
      <c r="J33" s="188"/>
      <c r="K33" s="189"/>
      <c r="L33" s="555"/>
      <c r="M33" s="188"/>
      <c r="N33" s="525"/>
      <c r="O33" s="525"/>
      <c r="P33" s="190"/>
      <c r="Q33" s="190"/>
      <c r="R33" s="187"/>
      <c r="S33" s="184"/>
      <c r="T33" s="554"/>
      <c r="U33" s="190"/>
      <c r="V33" s="190"/>
      <c r="W33" s="187"/>
      <c r="X33" s="184"/>
      <c r="Y33" s="554"/>
      <c r="Z33" s="190"/>
      <c r="AA33" s="190"/>
      <c r="AB33" s="187"/>
      <c r="AC33" s="184"/>
      <c r="AD33" s="554"/>
      <c r="AE33" s="190"/>
      <c r="AF33" s="190"/>
      <c r="AG33" s="187"/>
      <c r="AH33" s="184"/>
      <c r="AI33" s="554"/>
      <c r="AJ33" s="190"/>
      <c r="AK33" s="190"/>
      <c r="AL33" s="187"/>
      <c r="AM33" s="184"/>
      <c r="AN33" s="554"/>
      <c r="AO33" s="190"/>
      <c r="AP33" s="190"/>
      <c r="AQ33" s="187"/>
      <c r="AR33" s="184"/>
      <c r="AS33" s="554"/>
      <c r="AT33" s="190"/>
      <c r="AU33" s="190"/>
      <c r="AV33" s="187"/>
      <c r="AW33" s="184"/>
      <c r="AX33" s="554"/>
    </row>
    <row r="34" spans="2:50" ht="14.25" customHeight="1">
      <c r="B34" s="525"/>
      <c r="C34" s="182">
        <v>8</v>
      </c>
      <c r="D34" s="185"/>
      <c r="E34" s="182"/>
      <c r="F34" s="182"/>
      <c r="G34" s="187"/>
      <c r="H34" s="554"/>
      <c r="I34" s="188"/>
      <c r="J34" s="188"/>
      <c r="K34" s="189"/>
      <c r="L34" s="555"/>
      <c r="M34" s="188"/>
      <c r="N34" s="525"/>
      <c r="O34" s="525"/>
      <c r="P34" s="190"/>
      <c r="Q34" s="190"/>
      <c r="R34" s="187"/>
      <c r="S34" s="184"/>
      <c r="T34" s="554"/>
      <c r="U34" s="190"/>
      <c r="V34" s="190"/>
      <c r="W34" s="187"/>
      <c r="X34" s="184"/>
      <c r="Y34" s="554"/>
      <c r="Z34" s="190"/>
      <c r="AA34" s="190"/>
      <c r="AB34" s="187"/>
      <c r="AC34" s="184"/>
      <c r="AD34" s="554"/>
      <c r="AE34" s="190"/>
      <c r="AF34" s="190"/>
      <c r="AG34" s="187"/>
      <c r="AH34" s="184"/>
      <c r="AI34" s="554"/>
      <c r="AJ34" s="190"/>
      <c r="AK34" s="190"/>
      <c r="AL34" s="187"/>
      <c r="AM34" s="184"/>
      <c r="AN34" s="554"/>
      <c r="AO34" s="190"/>
      <c r="AP34" s="190"/>
      <c r="AQ34" s="187"/>
      <c r="AR34" s="184"/>
      <c r="AS34" s="554"/>
      <c r="AT34" s="190"/>
      <c r="AU34" s="190"/>
      <c r="AV34" s="187"/>
      <c r="AW34" s="184"/>
      <c r="AX34" s="554"/>
    </row>
    <row r="35" spans="2:50" ht="14.25" customHeight="1">
      <c r="B35" s="525"/>
      <c r="C35" s="182">
        <v>9</v>
      </c>
      <c r="D35" s="185"/>
      <c r="E35" s="182"/>
      <c r="F35" s="182"/>
      <c r="G35" s="187"/>
      <c r="H35" s="554"/>
      <c r="I35" s="188"/>
      <c r="J35" s="188"/>
      <c r="K35" s="189"/>
      <c r="L35" s="555"/>
      <c r="M35" s="188"/>
      <c r="N35" s="525"/>
      <c r="O35" s="525"/>
      <c r="P35" s="190"/>
      <c r="Q35" s="190"/>
      <c r="R35" s="187"/>
      <c r="S35" s="184"/>
      <c r="T35" s="554"/>
      <c r="U35" s="190"/>
      <c r="V35" s="190"/>
      <c r="W35" s="187"/>
      <c r="X35" s="184"/>
      <c r="Y35" s="554"/>
      <c r="Z35" s="190"/>
      <c r="AA35" s="190"/>
      <c r="AB35" s="187"/>
      <c r="AC35" s="184"/>
      <c r="AD35" s="554"/>
      <c r="AE35" s="190"/>
      <c r="AF35" s="190"/>
      <c r="AG35" s="187"/>
      <c r="AH35" s="184"/>
      <c r="AI35" s="554"/>
      <c r="AJ35" s="190"/>
      <c r="AK35" s="190"/>
      <c r="AL35" s="187"/>
      <c r="AM35" s="184"/>
      <c r="AN35" s="554"/>
      <c r="AO35" s="190"/>
      <c r="AP35" s="190"/>
      <c r="AQ35" s="187"/>
      <c r="AR35" s="184"/>
      <c r="AS35" s="554"/>
      <c r="AT35" s="190"/>
      <c r="AU35" s="190"/>
      <c r="AV35" s="187"/>
      <c r="AW35" s="184"/>
      <c r="AX35" s="554"/>
    </row>
    <row r="36" spans="2:50" ht="14.25" customHeight="1">
      <c r="B36" s="525"/>
      <c r="C36" s="182">
        <v>10</v>
      </c>
      <c r="D36" s="185"/>
      <c r="E36" s="182"/>
      <c r="F36" s="182"/>
      <c r="G36" s="187"/>
      <c r="H36" s="554"/>
      <c r="I36" s="188"/>
      <c r="J36" s="188"/>
      <c r="K36" s="189"/>
      <c r="L36" s="555"/>
      <c r="M36" s="188"/>
      <c r="N36" s="525"/>
      <c r="O36" s="525"/>
      <c r="P36" s="190"/>
      <c r="Q36" s="190"/>
      <c r="R36" s="187"/>
      <c r="S36" s="184"/>
      <c r="T36" s="554"/>
      <c r="U36" s="190"/>
      <c r="V36" s="190"/>
      <c r="W36" s="187"/>
      <c r="X36" s="184"/>
      <c r="Y36" s="554"/>
      <c r="Z36" s="190"/>
      <c r="AA36" s="190"/>
      <c r="AB36" s="187"/>
      <c r="AC36" s="184"/>
      <c r="AD36" s="554"/>
      <c r="AE36" s="190"/>
      <c r="AF36" s="190"/>
      <c r="AG36" s="187"/>
      <c r="AH36" s="184"/>
      <c r="AI36" s="554"/>
      <c r="AJ36" s="190"/>
      <c r="AK36" s="190"/>
      <c r="AL36" s="187"/>
      <c r="AM36" s="184"/>
      <c r="AN36" s="554"/>
      <c r="AO36" s="190"/>
      <c r="AP36" s="190"/>
      <c r="AQ36" s="187"/>
      <c r="AR36" s="184"/>
      <c r="AS36" s="554"/>
      <c r="AT36" s="190"/>
      <c r="AU36" s="190"/>
      <c r="AV36" s="187"/>
      <c r="AW36" s="184"/>
      <c r="AX36" s="554"/>
    </row>
    <row r="37" spans="2:50" ht="14.25" customHeight="1">
      <c r="B37" s="525"/>
      <c r="C37" s="182">
        <v>11</v>
      </c>
      <c r="D37" s="185"/>
      <c r="E37" s="182"/>
      <c r="F37" s="182"/>
      <c r="G37" s="187"/>
      <c r="H37" s="554"/>
      <c r="I37" s="188"/>
      <c r="J37" s="188"/>
      <c r="K37" s="189"/>
      <c r="L37" s="555"/>
      <c r="M37" s="188"/>
      <c r="N37" s="525"/>
      <c r="O37" s="525"/>
      <c r="P37" s="190"/>
      <c r="Q37" s="190"/>
      <c r="R37" s="187"/>
      <c r="S37" s="184"/>
      <c r="T37" s="554"/>
      <c r="U37" s="190"/>
      <c r="V37" s="190"/>
      <c r="W37" s="187"/>
      <c r="X37" s="184"/>
      <c r="Y37" s="554"/>
      <c r="Z37" s="190"/>
      <c r="AA37" s="190"/>
      <c r="AB37" s="187"/>
      <c r="AC37" s="184"/>
      <c r="AD37" s="554"/>
      <c r="AE37" s="190"/>
      <c r="AF37" s="190"/>
      <c r="AG37" s="187"/>
      <c r="AH37" s="184"/>
      <c r="AI37" s="554"/>
      <c r="AJ37" s="190"/>
      <c r="AK37" s="190"/>
      <c r="AL37" s="187"/>
      <c r="AM37" s="184"/>
      <c r="AN37" s="554"/>
      <c r="AO37" s="190"/>
      <c r="AP37" s="190"/>
      <c r="AQ37" s="187"/>
      <c r="AR37" s="184"/>
      <c r="AS37" s="554"/>
      <c r="AT37" s="190"/>
      <c r="AU37" s="190"/>
      <c r="AV37" s="187"/>
      <c r="AW37" s="184"/>
      <c r="AX37" s="554"/>
    </row>
    <row r="38" spans="2:50" ht="14.25" customHeight="1">
      <c r="B38" s="525"/>
      <c r="C38" s="182">
        <v>12</v>
      </c>
      <c r="D38" s="185"/>
      <c r="E38" s="182"/>
      <c r="F38" s="182"/>
      <c r="G38" s="187"/>
      <c r="H38" s="554"/>
      <c r="I38" s="188"/>
      <c r="J38" s="188"/>
      <c r="K38" s="189"/>
      <c r="L38" s="555"/>
      <c r="M38" s="188"/>
      <c r="N38" s="525"/>
      <c r="O38" s="525"/>
      <c r="P38" s="190"/>
      <c r="Q38" s="190"/>
      <c r="R38" s="187"/>
      <c r="S38" s="184"/>
      <c r="T38" s="554"/>
      <c r="U38" s="190"/>
      <c r="V38" s="190"/>
      <c r="W38" s="187"/>
      <c r="X38" s="184"/>
      <c r="Y38" s="554"/>
      <c r="Z38" s="190"/>
      <c r="AA38" s="190"/>
      <c r="AB38" s="187"/>
      <c r="AC38" s="184"/>
      <c r="AD38" s="554"/>
      <c r="AE38" s="190"/>
      <c r="AF38" s="190"/>
      <c r="AG38" s="187"/>
      <c r="AH38" s="184"/>
      <c r="AI38" s="554"/>
      <c r="AJ38" s="190"/>
      <c r="AK38" s="190"/>
      <c r="AL38" s="187"/>
      <c r="AM38" s="184"/>
      <c r="AN38" s="554"/>
      <c r="AO38" s="190"/>
      <c r="AP38" s="190"/>
      <c r="AQ38" s="187"/>
      <c r="AR38" s="184"/>
      <c r="AS38" s="554"/>
      <c r="AT38" s="190"/>
      <c r="AU38" s="190"/>
      <c r="AV38" s="187"/>
      <c r="AW38" s="184"/>
      <c r="AX38" s="554"/>
    </row>
    <row r="39" spans="2:50" ht="14.25" customHeight="1">
      <c r="B39" s="525"/>
      <c r="C39" s="182">
        <v>13</v>
      </c>
      <c r="D39" s="185"/>
      <c r="E39" s="182"/>
      <c r="F39" s="182"/>
      <c r="G39" s="187"/>
      <c r="H39" s="554"/>
      <c r="I39" s="188"/>
      <c r="J39" s="188"/>
      <c r="K39" s="189"/>
      <c r="L39" s="555"/>
      <c r="M39" s="188"/>
      <c r="N39" s="525"/>
      <c r="O39" s="525"/>
      <c r="P39" s="190"/>
      <c r="Q39" s="190"/>
      <c r="R39" s="187"/>
      <c r="S39" s="184"/>
      <c r="T39" s="554"/>
      <c r="U39" s="190"/>
      <c r="V39" s="190"/>
      <c r="W39" s="187"/>
      <c r="X39" s="184"/>
      <c r="Y39" s="554"/>
      <c r="Z39" s="190"/>
      <c r="AA39" s="190"/>
      <c r="AB39" s="187"/>
      <c r="AC39" s="184"/>
      <c r="AD39" s="554"/>
      <c r="AE39" s="190"/>
      <c r="AF39" s="190"/>
      <c r="AG39" s="187"/>
      <c r="AH39" s="184"/>
      <c r="AI39" s="554"/>
      <c r="AJ39" s="190"/>
      <c r="AK39" s="190"/>
      <c r="AL39" s="187"/>
      <c r="AM39" s="184"/>
      <c r="AN39" s="554"/>
      <c r="AO39" s="190"/>
      <c r="AP39" s="190"/>
      <c r="AQ39" s="187"/>
      <c r="AR39" s="184"/>
      <c r="AS39" s="554"/>
      <c r="AT39" s="190"/>
      <c r="AU39" s="190"/>
      <c r="AV39" s="187"/>
      <c r="AW39" s="184"/>
      <c r="AX39" s="554"/>
    </row>
    <row r="40" spans="2:50" ht="14.25" customHeight="1">
      <c r="B40" s="525"/>
      <c r="C40" s="182">
        <v>14</v>
      </c>
      <c r="D40" s="185"/>
      <c r="E40" s="182"/>
      <c r="F40" s="182"/>
      <c r="G40" s="187"/>
      <c r="H40" s="554"/>
      <c r="I40" s="188"/>
      <c r="J40" s="188"/>
      <c r="K40" s="189"/>
      <c r="L40" s="555"/>
      <c r="M40" s="188"/>
      <c r="N40" s="525"/>
      <c r="O40" s="525"/>
      <c r="P40" s="190"/>
      <c r="Q40" s="190"/>
      <c r="R40" s="187"/>
      <c r="S40" s="184"/>
      <c r="T40" s="554"/>
      <c r="U40" s="190"/>
      <c r="V40" s="190"/>
      <c r="W40" s="187"/>
      <c r="X40" s="184"/>
      <c r="Y40" s="554"/>
      <c r="Z40" s="190"/>
      <c r="AA40" s="190"/>
      <c r="AB40" s="187"/>
      <c r="AC40" s="184"/>
      <c r="AD40" s="554"/>
      <c r="AE40" s="190"/>
      <c r="AF40" s="190"/>
      <c r="AG40" s="187"/>
      <c r="AH40" s="184"/>
      <c r="AI40" s="554"/>
      <c r="AJ40" s="190"/>
      <c r="AK40" s="190"/>
      <c r="AL40" s="187"/>
      <c r="AM40" s="184"/>
      <c r="AN40" s="554"/>
      <c r="AO40" s="190"/>
      <c r="AP40" s="190"/>
      <c r="AQ40" s="187"/>
      <c r="AR40" s="184"/>
      <c r="AS40" s="554"/>
      <c r="AT40" s="190"/>
      <c r="AU40" s="190"/>
      <c r="AV40" s="187"/>
      <c r="AW40" s="184"/>
      <c r="AX40" s="554"/>
    </row>
    <row r="41" spans="2:50" ht="14.25" customHeight="1">
      <c r="B41" s="525"/>
      <c r="C41" s="182">
        <v>15</v>
      </c>
      <c r="D41" s="185"/>
      <c r="E41" s="182"/>
      <c r="F41" s="182"/>
      <c r="G41" s="187"/>
      <c r="H41" s="554"/>
      <c r="I41" s="188"/>
      <c r="J41" s="188"/>
      <c r="K41" s="189"/>
      <c r="L41" s="555"/>
      <c r="M41" s="188"/>
      <c r="N41" s="525"/>
      <c r="O41" s="525"/>
      <c r="P41" s="190"/>
      <c r="Q41" s="190"/>
      <c r="R41" s="187"/>
      <c r="S41" s="184"/>
      <c r="T41" s="554"/>
      <c r="U41" s="190"/>
      <c r="V41" s="190"/>
      <c r="W41" s="187"/>
      <c r="X41" s="184"/>
      <c r="Y41" s="554"/>
      <c r="Z41" s="190"/>
      <c r="AA41" s="190"/>
      <c r="AB41" s="187"/>
      <c r="AC41" s="184"/>
      <c r="AD41" s="554"/>
      <c r="AE41" s="190"/>
      <c r="AF41" s="190"/>
      <c r="AG41" s="187"/>
      <c r="AH41" s="184"/>
      <c r="AI41" s="554"/>
      <c r="AJ41" s="190"/>
      <c r="AK41" s="190"/>
      <c r="AL41" s="187"/>
      <c r="AM41" s="184"/>
      <c r="AN41" s="554"/>
      <c r="AO41" s="190"/>
      <c r="AP41" s="190"/>
      <c r="AQ41" s="187"/>
      <c r="AR41" s="184"/>
      <c r="AS41" s="554"/>
      <c r="AT41" s="190"/>
      <c r="AU41" s="190"/>
      <c r="AV41" s="187"/>
      <c r="AW41" s="184"/>
      <c r="AX41" s="554"/>
    </row>
    <row r="42" spans="2:50" ht="14.25" customHeight="1" collapsed="1">
      <c r="B42" s="552" t="s">
        <v>646</v>
      </c>
      <c r="C42" s="535"/>
      <c r="D42" s="535"/>
      <c r="E42" s="535"/>
      <c r="F42" s="535"/>
      <c r="G42" s="535"/>
      <c r="H42" s="535"/>
      <c r="I42" s="535"/>
      <c r="J42" s="535"/>
      <c r="K42" s="535"/>
      <c r="L42" s="535"/>
      <c r="M42" s="536"/>
      <c r="N42" s="564" t="s">
        <v>378</v>
      </c>
      <c r="O42" s="564" t="s">
        <v>105</v>
      </c>
      <c r="P42" s="566">
        <f>AT22+1</f>
        <v>46091</v>
      </c>
      <c r="Q42" s="567"/>
      <c r="R42" s="567"/>
      <c r="S42" s="567"/>
      <c r="T42" s="567"/>
      <c r="U42" s="568">
        <f>P42+1</f>
        <v>46092</v>
      </c>
      <c r="V42" s="569"/>
      <c r="W42" s="569"/>
      <c r="X42" s="569"/>
      <c r="Y42" s="569"/>
      <c r="Z42" s="566">
        <f t="shared" ref="Z42" si="30">U42+1</f>
        <v>46093</v>
      </c>
      <c r="AA42" s="567"/>
      <c r="AB42" s="567"/>
      <c r="AC42" s="567"/>
      <c r="AD42" s="567"/>
      <c r="AE42" s="568">
        <f t="shared" ref="AE42" si="31">Z42+1</f>
        <v>46094</v>
      </c>
      <c r="AF42" s="569"/>
      <c r="AG42" s="569"/>
      <c r="AH42" s="569"/>
      <c r="AI42" s="569"/>
      <c r="AJ42" s="556">
        <f t="shared" ref="AJ42" si="32">AE42+1</f>
        <v>46095</v>
      </c>
      <c r="AK42" s="557"/>
      <c r="AL42" s="557"/>
      <c r="AM42" s="557"/>
      <c r="AN42" s="558"/>
      <c r="AO42" s="568">
        <f t="shared" ref="AO42" si="33">AJ42+1</f>
        <v>46096</v>
      </c>
      <c r="AP42" s="569"/>
      <c r="AQ42" s="569"/>
      <c r="AR42" s="569"/>
      <c r="AS42" s="569"/>
      <c r="AT42" s="556">
        <f t="shared" ref="AT42" si="34">AO42+1</f>
        <v>46097</v>
      </c>
      <c r="AU42" s="557"/>
      <c r="AV42" s="557"/>
      <c r="AW42" s="557"/>
      <c r="AX42" s="558"/>
    </row>
    <row r="43" spans="2:50" ht="14.25" customHeight="1">
      <c r="B43" s="537"/>
      <c r="C43" s="537"/>
      <c r="D43" s="537"/>
      <c r="E43" s="537"/>
      <c r="F43" s="537"/>
      <c r="G43" s="537"/>
      <c r="H43" s="537"/>
      <c r="I43" s="537"/>
      <c r="J43" s="537"/>
      <c r="K43" s="537"/>
      <c r="L43" s="537"/>
      <c r="M43" s="538"/>
      <c r="N43" s="565"/>
      <c r="O43" s="565"/>
      <c r="P43" s="559">
        <f>P42</f>
        <v>46091</v>
      </c>
      <c r="Q43" s="559"/>
      <c r="R43" s="559"/>
      <c r="S43" s="559"/>
      <c r="T43" s="559"/>
      <c r="U43" s="560">
        <f>U42</f>
        <v>46092</v>
      </c>
      <c r="V43" s="560"/>
      <c r="W43" s="560"/>
      <c r="X43" s="560"/>
      <c r="Y43" s="560"/>
      <c r="Z43" s="559">
        <f t="shared" ref="Z43" si="35">Z42</f>
        <v>46093</v>
      </c>
      <c r="AA43" s="559"/>
      <c r="AB43" s="559"/>
      <c r="AC43" s="559"/>
      <c r="AD43" s="559"/>
      <c r="AE43" s="560">
        <f t="shared" ref="AE43" si="36">AE42</f>
        <v>46094</v>
      </c>
      <c r="AF43" s="560"/>
      <c r="AG43" s="560"/>
      <c r="AH43" s="560"/>
      <c r="AI43" s="560"/>
      <c r="AJ43" s="561">
        <f t="shared" ref="AJ43" si="37">AJ42</f>
        <v>46095</v>
      </c>
      <c r="AK43" s="562"/>
      <c r="AL43" s="562"/>
      <c r="AM43" s="562"/>
      <c r="AN43" s="563"/>
      <c r="AO43" s="560">
        <f t="shared" ref="AO43" si="38">AO42</f>
        <v>46096</v>
      </c>
      <c r="AP43" s="560"/>
      <c r="AQ43" s="560"/>
      <c r="AR43" s="560"/>
      <c r="AS43" s="560"/>
      <c r="AT43" s="561">
        <f t="shared" ref="AT43" si="39">AT42</f>
        <v>46097</v>
      </c>
      <c r="AU43" s="562"/>
      <c r="AV43" s="562"/>
      <c r="AW43" s="562"/>
      <c r="AX43" s="563"/>
    </row>
    <row r="44" spans="2:50" ht="14.25" customHeight="1">
      <c r="B44" s="525" t="s">
        <v>164</v>
      </c>
      <c r="C44" s="525" t="s">
        <v>159</v>
      </c>
      <c r="D44" s="525"/>
      <c r="E44" s="525" t="s">
        <v>160</v>
      </c>
      <c r="F44" s="525"/>
      <c r="G44" s="525"/>
      <c r="H44" s="525" t="s">
        <v>165</v>
      </c>
      <c r="I44" s="544" t="s">
        <v>379</v>
      </c>
      <c r="J44" s="544"/>
      <c r="K44" s="544"/>
      <c r="L44" s="544" t="s">
        <v>165</v>
      </c>
      <c r="M44" s="544" t="s">
        <v>167</v>
      </c>
      <c r="N44" s="525"/>
      <c r="O44" s="525" t="s">
        <v>166</v>
      </c>
      <c r="P44" s="525" t="s">
        <v>162</v>
      </c>
      <c r="Q44" s="525"/>
      <c r="R44" s="525"/>
      <c r="S44" s="525"/>
      <c r="T44" s="525" t="s">
        <v>165</v>
      </c>
      <c r="U44" s="525" t="s">
        <v>162</v>
      </c>
      <c r="V44" s="525"/>
      <c r="W44" s="525"/>
      <c r="X44" s="525"/>
      <c r="Y44" s="525" t="s">
        <v>165</v>
      </c>
      <c r="Z44" s="525" t="s">
        <v>162</v>
      </c>
      <c r="AA44" s="525"/>
      <c r="AB44" s="525"/>
      <c r="AC44" s="525"/>
      <c r="AD44" s="525" t="s">
        <v>165</v>
      </c>
      <c r="AE44" s="525" t="s">
        <v>162</v>
      </c>
      <c r="AF44" s="525"/>
      <c r="AG44" s="525"/>
      <c r="AH44" s="525"/>
      <c r="AI44" s="525" t="s">
        <v>165</v>
      </c>
      <c r="AJ44" s="525" t="s">
        <v>162</v>
      </c>
      <c r="AK44" s="525"/>
      <c r="AL44" s="525"/>
      <c r="AM44" s="525"/>
      <c r="AN44" s="525" t="s">
        <v>165</v>
      </c>
      <c r="AO44" s="525" t="s">
        <v>162</v>
      </c>
      <c r="AP44" s="525"/>
      <c r="AQ44" s="525"/>
      <c r="AR44" s="525"/>
      <c r="AS44" s="525" t="s">
        <v>165</v>
      </c>
      <c r="AT44" s="525" t="s">
        <v>162</v>
      </c>
      <c r="AU44" s="525"/>
      <c r="AV44" s="525"/>
      <c r="AW44" s="525"/>
      <c r="AX44" s="525" t="s">
        <v>165</v>
      </c>
    </row>
    <row r="45" spans="2:50" ht="14.25" customHeight="1">
      <c r="B45" s="525"/>
      <c r="C45" s="525"/>
      <c r="D45" s="525"/>
      <c r="E45" s="525" t="s">
        <v>380</v>
      </c>
      <c r="F45" s="525"/>
      <c r="G45" s="525"/>
      <c r="H45" s="525"/>
      <c r="I45" s="544" t="s">
        <v>380</v>
      </c>
      <c r="J45" s="544"/>
      <c r="K45" s="544"/>
      <c r="L45" s="544"/>
      <c r="M45" s="544"/>
      <c r="N45" s="525"/>
      <c r="O45" s="525"/>
      <c r="P45" s="525" t="s">
        <v>381</v>
      </c>
      <c r="Q45" s="525"/>
      <c r="R45" s="525"/>
      <c r="S45" s="525"/>
      <c r="T45" s="525"/>
      <c r="U45" s="525" t="s">
        <v>381</v>
      </c>
      <c r="V45" s="525"/>
      <c r="W45" s="525"/>
      <c r="X45" s="525"/>
      <c r="Y45" s="525"/>
      <c r="Z45" s="525" t="s">
        <v>381</v>
      </c>
      <c r="AA45" s="525"/>
      <c r="AB45" s="525"/>
      <c r="AC45" s="525"/>
      <c r="AD45" s="525"/>
      <c r="AE45" s="525" t="s">
        <v>381</v>
      </c>
      <c r="AF45" s="525"/>
      <c r="AG45" s="525"/>
      <c r="AH45" s="525"/>
      <c r="AI45" s="525"/>
      <c r="AJ45" s="525" t="s">
        <v>381</v>
      </c>
      <c r="AK45" s="525"/>
      <c r="AL45" s="525"/>
      <c r="AM45" s="525"/>
      <c r="AN45" s="525"/>
      <c r="AO45" s="525" t="s">
        <v>381</v>
      </c>
      <c r="AP45" s="525"/>
      <c r="AQ45" s="525"/>
      <c r="AR45" s="525"/>
      <c r="AS45" s="525"/>
      <c r="AT45" s="525" t="s">
        <v>381</v>
      </c>
      <c r="AU45" s="525"/>
      <c r="AV45" s="525"/>
      <c r="AW45" s="525"/>
      <c r="AX45" s="525"/>
    </row>
    <row r="46" spans="2:50" ht="14.25" customHeight="1">
      <c r="B46" s="525"/>
      <c r="C46" s="525"/>
      <c r="D46" s="525"/>
      <c r="E46" s="182" t="s">
        <v>161</v>
      </c>
      <c r="F46" s="182" t="s">
        <v>382</v>
      </c>
      <c r="G46" s="182" t="s">
        <v>163</v>
      </c>
      <c r="H46" s="525"/>
      <c r="I46" s="183" t="s">
        <v>161</v>
      </c>
      <c r="J46" s="183" t="s">
        <v>382</v>
      </c>
      <c r="K46" s="183" t="s">
        <v>163</v>
      </c>
      <c r="L46" s="544"/>
      <c r="M46" s="544"/>
      <c r="N46" s="525"/>
      <c r="O46" s="525"/>
      <c r="P46" s="182" t="s">
        <v>161</v>
      </c>
      <c r="Q46" s="182" t="s">
        <v>382</v>
      </c>
      <c r="R46" s="182" t="s">
        <v>163</v>
      </c>
      <c r="S46" s="184" t="s">
        <v>167</v>
      </c>
      <c r="T46" s="525"/>
      <c r="U46" s="182" t="s">
        <v>161</v>
      </c>
      <c r="V46" s="182" t="s">
        <v>382</v>
      </c>
      <c r="W46" s="182" t="s">
        <v>163</v>
      </c>
      <c r="X46" s="184" t="s">
        <v>167</v>
      </c>
      <c r="Y46" s="525"/>
      <c r="Z46" s="182" t="s">
        <v>161</v>
      </c>
      <c r="AA46" s="182" t="s">
        <v>382</v>
      </c>
      <c r="AB46" s="182" t="s">
        <v>163</v>
      </c>
      <c r="AC46" s="184" t="s">
        <v>167</v>
      </c>
      <c r="AD46" s="525"/>
      <c r="AE46" s="182" t="s">
        <v>161</v>
      </c>
      <c r="AF46" s="182" t="s">
        <v>382</v>
      </c>
      <c r="AG46" s="182" t="s">
        <v>163</v>
      </c>
      <c r="AH46" s="184" t="s">
        <v>167</v>
      </c>
      <c r="AI46" s="525"/>
      <c r="AJ46" s="182" t="s">
        <v>161</v>
      </c>
      <c r="AK46" s="182" t="s">
        <v>382</v>
      </c>
      <c r="AL46" s="182" t="s">
        <v>163</v>
      </c>
      <c r="AM46" s="184" t="s">
        <v>167</v>
      </c>
      <c r="AN46" s="525"/>
      <c r="AO46" s="182" t="s">
        <v>161</v>
      </c>
      <c r="AP46" s="182" t="s">
        <v>382</v>
      </c>
      <c r="AQ46" s="182" t="s">
        <v>163</v>
      </c>
      <c r="AR46" s="184" t="s">
        <v>167</v>
      </c>
      <c r="AS46" s="525"/>
      <c r="AT46" s="182" t="s">
        <v>161</v>
      </c>
      <c r="AU46" s="182" t="s">
        <v>382</v>
      </c>
      <c r="AV46" s="182" t="s">
        <v>163</v>
      </c>
      <c r="AW46" s="184" t="s">
        <v>167</v>
      </c>
      <c r="AX46" s="525"/>
    </row>
    <row r="47" spans="2:50" ht="14.25" customHeight="1">
      <c r="B47" s="525" t="s">
        <v>385</v>
      </c>
      <c r="C47" s="182">
        <v>1</v>
      </c>
      <c r="D47" s="185"/>
      <c r="E47" s="182"/>
      <c r="F47" s="182"/>
      <c r="G47" s="187"/>
      <c r="H47" s="554"/>
      <c r="I47" s="188"/>
      <c r="J47" s="188"/>
      <c r="K47" s="189"/>
      <c r="L47" s="555" t="str">
        <f>IFERROR(AVERAGE(K47:K61),"-")</f>
        <v>-</v>
      </c>
      <c r="M47" s="188" t="e">
        <f>RANK(K47, K$47:$K$61)</f>
        <v>#N/A</v>
      </c>
      <c r="N47" s="525"/>
      <c r="O47" s="525"/>
      <c r="P47" s="190"/>
      <c r="Q47" s="190"/>
      <c r="R47" s="187"/>
      <c r="S47" s="184"/>
      <c r="T47" s="554"/>
      <c r="U47" s="190"/>
      <c r="V47" s="190"/>
      <c r="W47" s="187"/>
      <c r="X47" s="184"/>
      <c r="Y47" s="554"/>
      <c r="Z47" s="190"/>
      <c r="AA47" s="190"/>
      <c r="AB47" s="187"/>
      <c r="AC47" s="184"/>
      <c r="AD47" s="554"/>
      <c r="AE47" s="190"/>
      <c r="AF47" s="190"/>
      <c r="AG47" s="187"/>
      <c r="AH47" s="184"/>
      <c r="AI47" s="554"/>
      <c r="AJ47" s="190"/>
      <c r="AK47" s="190"/>
      <c r="AL47" s="187"/>
      <c r="AM47" s="184"/>
      <c r="AN47" s="554"/>
      <c r="AO47" s="190"/>
      <c r="AP47" s="190"/>
      <c r="AQ47" s="187"/>
      <c r="AR47" s="184"/>
      <c r="AS47" s="554"/>
      <c r="AT47" s="190"/>
      <c r="AU47" s="190"/>
      <c r="AV47" s="187"/>
      <c r="AW47" s="184"/>
      <c r="AX47" s="554"/>
    </row>
    <row r="48" spans="2:50" ht="14.25" customHeight="1">
      <c r="B48" s="525"/>
      <c r="C48" s="182">
        <v>2</v>
      </c>
      <c r="D48" s="185"/>
      <c r="E48" s="182"/>
      <c r="F48" s="182"/>
      <c r="G48" s="187"/>
      <c r="H48" s="554"/>
      <c r="I48" s="188"/>
      <c r="J48" s="188"/>
      <c r="K48" s="189"/>
      <c r="L48" s="555"/>
      <c r="M48" s="188"/>
      <c r="N48" s="525"/>
      <c r="O48" s="525"/>
      <c r="P48" s="190"/>
      <c r="Q48" s="190"/>
      <c r="R48" s="187"/>
      <c r="S48" s="184"/>
      <c r="T48" s="554"/>
      <c r="U48" s="190"/>
      <c r="V48" s="190"/>
      <c r="W48" s="187"/>
      <c r="X48" s="184"/>
      <c r="Y48" s="554"/>
      <c r="Z48" s="190"/>
      <c r="AA48" s="190"/>
      <c r="AB48" s="187"/>
      <c r="AC48" s="184"/>
      <c r="AD48" s="554"/>
      <c r="AE48" s="190"/>
      <c r="AF48" s="190"/>
      <c r="AG48" s="187"/>
      <c r="AH48" s="184"/>
      <c r="AI48" s="554"/>
      <c r="AJ48" s="190"/>
      <c r="AK48" s="190"/>
      <c r="AL48" s="187"/>
      <c r="AM48" s="184"/>
      <c r="AN48" s="554"/>
      <c r="AO48" s="190"/>
      <c r="AP48" s="190"/>
      <c r="AQ48" s="187"/>
      <c r="AR48" s="184"/>
      <c r="AS48" s="554"/>
      <c r="AT48" s="190"/>
      <c r="AU48" s="190"/>
      <c r="AV48" s="187"/>
      <c r="AW48" s="184"/>
      <c r="AX48" s="554"/>
    </row>
    <row r="49" spans="2:50" ht="14.25" customHeight="1">
      <c r="B49" s="525"/>
      <c r="C49" s="182">
        <v>3</v>
      </c>
      <c r="D49" s="185"/>
      <c r="E49" s="182"/>
      <c r="F49" s="182"/>
      <c r="G49" s="187"/>
      <c r="H49" s="554"/>
      <c r="I49" s="188"/>
      <c r="J49" s="188"/>
      <c r="K49" s="189"/>
      <c r="L49" s="555"/>
      <c r="M49" s="188"/>
      <c r="N49" s="525"/>
      <c r="O49" s="525"/>
      <c r="P49" s="190"/>
      <c r="Q49" s="190"/>
      <c r="R49" s="187"/>
      <c r="S49" s="184"/>
      <c r="T49" s="554"/>
      <c r="U49" s="190"/>
      <c r="V49" s="190"/>
      <c r="W49" s="187"/>
      <c r="X49" s="184"/>
      <c r="Y49" s="554"/>
      <c r="Z49" s="190"/>
      <c r="AA49" s="190"/>
      <c r="AB49" s="187"/>
      <c r="AC49" s="184"/>
      <c r="AD49" s="554"/>
      <c r="AE49" s="190"/>
      <c r="AF49" s="190"/>
      <c r="AG49" s="187"/>
      <c r="AH49" s="184"/>
      <c r="AI49" s="554"/>
      <c r="AJ49" s="190"/>
      <c r="AK49" s="190"/>
      <c r="AL49" s="187"/>
      <c r="AM49" s="184"/>
      <c r="AN49" s="554"/>
      <c r="AO49" s="190"/>
      <c r="AP49" s="190"/>
      <c r="AQ49" s="187"/>
      <c r="AR49" s="184"/>
      <c r="AS49" s="554"/>
      <c r="AT49" s="190"/>
      <c r="AU49" s="190"/>
      <c r="AV49" s="187"/>
      <c r="AW49" s="184"/>
      <c r="AX49" s="554"/>
    </row>
    <row r="50" spans="2:50" ht="14.25" customHeight="1">
      <c r="B50" s="525"/>
      <c r="C50" s="182">
        <v>4</v>
      </c>
      <c r="D50" s="185"/>
      <c r="E50" s="182"/>
      <c r="F50" s="182"/>
      <c r="G50" s="187"/>
      <c r="H50" s="554"/>
      <c r="I50" s="188"/>
      <c r="J50" s="188"/>
      <c r="K50" s="189"/>
      <c r="L50" s="555"/>
      <c r="M50" s="188"/>
      <c r="N50" s="525"/>
      <c r="O50" s="525"/>
      <c r="P50" s="190"/>
      <c r="Q50" s="190"/>
      <c r="R50" s="187"/>
      <c r="S50" s="184"/>
      <c r="T50" s="554"/>
      <c r="U50" s="190"/>
      <c r="V50" s="190"/>
      <c r="W50" s="187"/>
      <c r="X50" s="184"/>
      <c r="Y50" s="554"/>
      <c r="Z50" s="190"/>
      <c r="AA50" s="190"/>
      <c r="AB50" s="187"/>
      <c r="AC50" s="184"/>
      <c r="AD50" s="554"/>
      <c r="AE50" s="190"/>
      <c r="AF50" s="190"/>
      <c r="AG50" s="187"/>
      <c r="AH50" s="184"/>
      <c r="AI50" s="554"/>
      <c r="AJ50" s="190"/>
      <c r="AK50" s="190"/>
      <c r="AL50" s="187"/>
      <c r="AM50" s="184"/>
      <c r="AN50" s="554"/>
      <c r="AO50" s="190"/>
      <c r="AP50" s="190"/>
      <c r="AQ50" s="187"/>
      <c r="AR50" s="184"/>
      <c r="AS50" s="554"/>
      <c r="AT50" s="190"/>
      <c r="AU50" s="190"/>
      <c r="AV50" s="187"/>
      <c r="AW50" s="184"/>
      <c r="AX50" s="554"/>
    </row>
    <row r="51" spans="2:50" ht="14.25" customHeight="1">
      <c r="B51" s="525"/>
      <c r="C51" s="182">
        <v>5</v>
      </c>
      <c r="D51" s="185"/>
      <c r="E51" s="182"/>
      <c r="F51" s="182"/>
      <c r="G51" s="187"/>
      <c r="H51" s="554"/>
      <c r="I51" s="188"/>
      <c r="J51" s="188"/>
      <c r="K51" s="189"/>
      <c r="L51" s="555"/>
      <c r="M51" s="188"/>
      <c r="N51" s="525"/>
      <c r="O51" s="525"/>
      <c r="P51" s="190"/>
      <c r="Q51" s="190"/>
      <c r="R51" s="187"/>
      <c r="S51" s="184"/>
      <c r="T51" s="554"/>
      <c r="U51" s="190"/>
      <c r="V51" s="190"/>
      <c r="W51" s="187"/>
      <c r="X51" s="184"/>
      <c r="Y51" s="554"/>
      <c r="Z51" s="190"/>
      <c r="AA51" s="190"/>
      <c r="AB51" s="187"/>
      <c r="AC51" s="184"/>
      <c r="AD51" s="554"/>
      <c r="AE51" s="190"/>
      <c r="AF51" s="190"/>
      <c r="AG51" s="187"/>
      <c r="AH51" s="184"/>
      <c r="AI51" s="554"/>
      <c r="AJ51" s="190"/>
      <c r="AK51" s="190"/>
      <c r="AL51" s="187"/>
      <c r="AM51" s="184"/>
      <c r="AN51" s="554"/>
      <c r="AO51" s="190"/>
      <c r="AP51" s="190"/>
      <c r="AQ51" s="187"/>
      <c r="AR51" s="184"/>
      <c r="AS51" s="554"/>
      <c r="AT51" s="190"/>
      <c r="AU51" s="190"/>
      <c r="AV51" s="187"/>
      <c r="AW51" s="184"/>
      <c r="AX51" s="554"/>
    </row>
    <row r="52" spans="2:50" ht="14.25" customHeight="1">
      <c r="B52" s="525"/>
      <c r="C52" s="182">
        <v>6</v>
      </c>
      <c r="D52" s="185"/>
      <c r="E52" s="182"/>
      <c r="F52" s="182"/>
      <c r="G52" s="187"/>
      <c r="H52" s="554"/>
      <c r="I52" s="188"/>
      <c r="J52" s="188"/>
      <c r="K52" s="189"/>
      <c r="L52" s="555"/>
      <c r="M52" s="188"/>
      <c r="N52" s="525"/>
      <c r="O52" s="525"/>
      <c r="P52" s="190"/>
      <c r="Q52" s="190"/>
      <c r="R52" s="187"/>
      <c r="S52" s="184"/>
      <c r="T52" s="554"/>
      <c r="U52" s="190"/>
      <c r="V52" s="190"/>
      <c r="W52" s="187"/>
      <c r="X52" s="184"/>
      <c r="Y52" s="554"/>
      <c r="Z52" s="190"/>
      <c r="AA52" s="190"/>
      <c r="AB52" s="187"/>
      <c r="AC52" s="184"/>
      <c r="AD52" s="554"/>
      <c r="AE52" s="190"/>
      <c r="AF52" s="190"/>
      <c r="AG52" s="187"/>
      <c r="AH52" s="184"/>
      <c r="AI52" s="554"/>
      <c r="AJ52" s="190"/>
      <c r="AK52" s="190"/>
      <c r="AL52" s="187"/>
      <c r="AM52" s="184"/>
      <c r="AN52" s="554"/>
      <c r="AO52" s="190"/>
      <c r="AP52" s="190"/>
      <c r="AQ52" s="187"/>
      <c r="AR52" s="184"/>
      <c r="AS52" s="554"/>
      <c r="AT52" s="190"/>
      <c r="AU52" s="190"/>
      <c r="AV52" s="187"/>
      <c r="AW52" s="184"/>
      <c r="AX52" s="554"/>
    </row>
    <row r="53" spans="2:50" ht="14.25" customHeight="1">
      <c r="B53" s="525"/>
      <c r="C53" s="182">
        <v>7</v>
      </c>
      <c r="D53" s="185"/>
      <c r="E53" s="182"/>
      <c r="F53" s="182"/>
      <c r="G53" s="187"/>
      <c r="H53" s="554"/>
      <c r="I53" s="188"/>
      <c r="J53" s="188"/>
      <c r="K53" s="189"/>
      <c r="L53" s="555"/>
      <c r="M53" s="188"/>
      <c r="N53" s="525"/>
      <c r="O53" s="525"/>
      <c r="P53" s="190"/>
      <c r="Q53" s="190"/>
      <c r="R53" s="187"/>
      <c r="S53" s="184"/>
      <c r="T53" s="554"/>
      <c r="U53" s="190"/>
      <c r="V53" s="190"/>
      <c r="W53" s="187"/>
      <c r="X53" s="184"/>
      <c r="Y53" s="554"/>
      <c r="Z53" s="190"/>
      <c r="AA53" s="190"/>
      <c r="AB53" s="187"/>
      <c r="AC53" s="184"/>
      <c r="AD53" s="554"/>
      <c r="AE53" s="190"/>
      <c r="AF53" s="190"/>
      <c r="AG53" s="187"/>
      <c r="AH53" s="184"/>
      <c r="AI53" s="554"/>
      <c r="AJ53" s="190"/>
      <c r="AK53" s="190"/>
      <c r="AL53" s="187"/>
      <c r="AM53" s="184"/>
      <c r="AN53" s="554"/>
      <c r="AO53" s="190"/>
      <c r="AP53" s="190"/>
      <c r="AQ53" s="187"/>
      <c r="AR53" s="184"/>
      <c r="AS53" s="554"/>
      <c r="AT53" s="190"/>
      <c r="AU53" s="190"/>
      <c r="AV53" s="187"/>
      <c r="AW53" s="184"/>
      <c r="AX53" s="554"/>
    </row>
    <row r="54" spans="2:50" ht="14.25" customHeight="1">
      <c r="B54" s="525"/>
      <c r="C54" s="182">
        <v>8</v>
      </c>
      <c r="D54" s="185"/>
      <c r="E54" s="182"/>
      <c r="F54" s="182"/>
      <c r="G54" s="187"/>
      <c r="H54" s="554"/>
      <c r="I54" s="188"/>
      <c r="J54" s="188"/>
      <c r="K54" s="189"/>
      <c r="L54" s="555"/>
      <c r="M54" s="188"/>
      <c r="N54" s="525"/>
      <c r="O54" s="525"/>
      <c r="P54" s="190"/>
      <c r="Q54" s="190"/>
      <c r="R54" s="187"/>
      <c r="S54" s="184"/>
      <c r="T54" s="554"/>
      <c r="U54" s="190"/>
      <c r="V54" s="190"/>
      <c r="W54" s="187"/>
      <c r="X54" s="184"/>
      <c r="Y54" s="554"/>
      <c r="Z54" s="190"/>
      <c r="AA54" s="190"/>
      <c r="AB54" s="187"/>
      <c r="AC54" s="184"/>
      <c r="AD54" s="554"/>
      <c r="AE54" s="190"/>
      <c r="AF54" s="190"/>
      <c r="AG54" s="187"/>
      <c r="AH54" s="184"/>
      <c r="AI54" s="554"/>
      <c r="AJ54" s="190"/>
      <c r="AK54" s="190"/>
      <c r="AL54" s="187"/>
      <c r="AM54" s="184"/>
      <c r="AN54" s="554"/>
      <c r="AO54" s="190"/>
      <c r="AP54" s="190"/>
      <c r="AQ54" s="187"/>
      <c r="AR54" s="184"/>
      <c r="AS54" s="554"/>
      <c r="AT54" s="190"/>
      <c r="AU54" s="190"/>
      <c r="AV54" s="187"/>
      <c r="AW54" s="184"/>
      <c r="AX54" s="554"/>
    </row>
    <row r="55" spans="2:50" ht="14.25" customHeight="1">
      <c r="B55" s="525"/>
      <c r="C55" s="182">
        <v>9</v>
      </c>
      <c r="D55" s="185"/>
      <c r="E55" s="182"/>
      <c r="F55" s="182"/>
      <c r="G55" s="187"/>
      <c r="H55" s="554"/>
      <c r="I55" s="188"/>
      <c r="J55" s="188"/>
      <c r="K55" s="189"/>
      <c r="L55" s="555"/>
      <c r="M55" s="188"/>
      <c r="N55" s="525"/>
      <c r="O55" s="525"/>
      <c r="P55" s="190"/>
      <c r="Q55" s="190"/>
      <c r="R55" s="187"/>
      <c r="S55" s="184"/>
      <c r="T55" s="554"/>
      <c r="U55" s="190"/>
      <c r="V55" s="190"/>
      <c r="W55" s="187"/>
      <c r="X55" s="184"/>
      <c r="Y55" s="554"/>
      <c r="Z55" s="190"/>
      <c r="AA55" s="190"/>
      <c r="AB55" s="187"/>
      <c r="AC55" s="184"/>
      <c r="AD55" s="554"/>
      <c r="AE55" s="190"/>
      <c r="AF55" s="190"/>
      <c r="AG55" s="187"/>
      <c r="AH55" s="184"/>
      <c r="AI55" s="554"/>
      <c r="AJ55" s="190"/>
      <c r="AK55" s="190"/>
      <c r="AL55" s="187"/>
      <c r="AM55" s="184"/>
      <c r="AN55" s="554"/>
      <c r="AO55" s="190"/>
      <c r="AP55" s="190"/>
      <c r="AQ55" s="187"/>
      <c r="AR55" s="184"/>
      <c r="AS55" s="554"/>
      <c r="AT55" s="190"/>
      <c r="AU55" s="190"/>
      <c r="AV55" s="187"/>
      <c r="AW55" s="184"/>
      <c r="AX55" s="554"/>
    </row>
    <row r="56" spans="2:50" ht="14.25" customHeight="1">
      <c r="B56" s="525"/>
      <c r="C56" s="182">
        <v>10</v>
      </c>
      <c r="D56" s="185"/>
      <c r="E56" s="182"/>
      <c r="F56" s="182"/>
      <c r="G56" s="187"/>
      <c r="H56" s="554"/>
      <c r="I56" s="188"/>
      <c r="J56" s="188"/>
      <c r="K56" s="189"/>
      <c r="L56" s="555"/>
      <c r="M56" s="188"/>
      <c r="N56" s="525"/>
      <c r="O56" s="525"/>
      <c r="P56" s="190"/>
      <c r="Q56" s="190"/>
      <c r="R56" s="187"/>
      <c r="S56" s="184"/>
      <c r="T56" s="554"/>
      <c r="U56" s="190"/>
      <c r="V56" s="190"/>
      <c r="W56" s="187"/>
      <c r="X56" s="184"/>
      <c r="Y56" s="554"/>
      <c r="Z56" s="190"/>
      <c r="AA56" s="190"/>
      <c r="AB56" s="187"/>
      <c r="AC56" s="184"/>
      <c r="AD56" s="554"/>
      <c r="AE56" s="190"/>
      <c r="AF56" s="190"/>
      <c r="AG56" s="187"/>
      <c r="AH56" s="184"/>
      <c r="AI56" s="554"/>
      <c r="AJ56" s="190"/>
      <c r="AK56" s="190"/>
      <c r="AL56" s="187"/>
      <c r="AM56" s="184"/>
      <c r="AN56" s="554"/>
      <c r="AO56" s="190"/>
      <c r="AP56" s="190"/>
      <c r="AQ56" s="187"/>
      <c r="AR56" s="184"/>
      <c r="AS56" s="554"/>
      <c r="AT56" s="190"/>
      <c r="AU56" s="190"/>
      <c r="AV56" s="187"/>
      <c r="AW56" s="184"/>
      <c r="AX56" s="554"/>
    </row>
    <row r="57" spans="2:50" ht="14.25" customHeight="1">
      <c r="B57" s="525"/>
      <c r="C57" s="182">
        <v>11</v>
      </c>
      <c r="D57" s="185"/>
      <c r="E57" s="182"/>
      <c r="F57" s="182"/>
      <c r="G57" s="187"/>
      <c r="H57" s="554"/>
      <c r="I57" s="188"/>
      <c r="J57" s="188"/>
      <c r="K57" s="189"/>
      <c r="L57" s="555"/>
      <c r="M57" s="188"/>
      <c r="N57" s="525"/>
      <c r="O57" s="525"/>
      <c r="P57" s="190"/>
      <c r="Q57" s="190"/>
      <c r="R57" s="187"/>
      <c r="S57" s="184"/>
      <c r="T57" s="554"/>
      <c r="U57" s="190"/>
      <c r="V57" s="190"/>
      <c r="W57" s="187"/>
      <c r="X57" s="184"/>
      <c r="Y57" s="554"/>
      <c r="Z57" s="190"/>
      <c r="AA57" s="190"/>
      <c r="AB57" s="187"/>
      <c r="AC57" s="184"/>
      <c r="AD57" s="554"/>
      <c r="AE57" s="190"/>
      <c r="AF57" s="190"/>
      <c r="AG57" s="187"/>
      <c r="AH57" s="184"/>
      <c r="AI57" s="554"/>
      <c r="AJ57" s="190"/>
      <c r="AK57" s="190"/>
      <c r="AL57" s="187"/>
      <c r="AM57" s="184"/>
      <c r="AN57" s="554"/>
      <c r="AO57" s="190"/>
      <c r="AP57" s="190"/>
      <c r="AQ57" s="187"/>
      <c r="AR57" s="184"/>
      <c r="AS57" s="554"/>
      <c r="AT57" s="190"/>
      <c r="AU57" s="190"/>
      <c r="AV57" s="187"/>
      <c r="AW57" s="184"/>
      <c r="AX57" s="554"/>
    </row>
    <row r="58" spans="2:50" ht="14.25" customHeight="1">
      <c r="B58" s="525"/>
      <c r="C58" s="182">
        <v>12</v>
      </c>
      <c r="D58" s="185"/>
      <c r="E58" s="182"/>
      <c r="F58" s="182"/>
      <c r="G58" s="187"/>
      <c r="H58" s="554"/>
      <c r="I58" s="188"/>
      <c r="J58" s="188"/>
      <c r="K58" s="189"/>
      <c r="L58" s="555"/>
      <c r="M58" s="188"/>
      <c r="N58" s="525"/>
      <c r="O58" s="525"/>
      <c r="P58" s="190"/>
      <c r="Q58" s="190"/>
      <c r="R58" s="187"/>
      <c r="S58" s="184"/>
      <c r="T58" s="554"/>
      <c r="U58" s="190"/>
      <c r="V58" s="190"/>
      <c r="W58" s="187"/>
      <c r="X58" s="184"/>
      <c r="Y58" s="554"/>
      <c r="Z58" s="190"/>
      <c r="AA58" s="190"/>
      <c r="AB58" s="187"/>
      <c r="AC58" s="184"/>
      <c r="AD58" s="554"/>
      <c r="AE58" s="190"/>
      <c r="AF58" s="190"/>
      <c r="AG58" s="187"/>
      <c r="AH58" s="184"/>
      <c r="AI58" s="554"/>
      <c r="AJ58" s="190"/>
      <c r="AK58" s="190"/>
      <c r="AL58" s="187"/>
      <c r="AM58" s="184"/>
      <c r="AN58" s="554"/>
      <c r="AO58" s="190"/>
      <c r="AP58" s="190"/>
      <c r="AQ58" s="187"/>
      <c r="AR58" s="184"/>
      <c r="AS58" s="554"/>
      <c r="AT58" s="190"/>
      <c r="AU58" s="190"/>
      <c r="AV58" s="187"/>
      <c r="AW58" s="184"/>
      <c r="AX58" s="554"/>
    </row>
    <row r="59" spans="2:50" ht="14.25" customHeight="1">
      <c r="B59" s="525"/>
      <c r="C59" s="182">
        <v>13</v>
      </c>
      <c r="D59" s="185"/>
      <c r="E59" s="182"/>
      <c r="F59" s="182"/>
      <c r="G59" s="187"/>
      <c r="H59" s="554"/>
      <c r="I59" s="188"/>
      <c r="J59" s="188"/>
      <c r="K59" s="189"/>
      <c r="L59" s="555"/>
      <c r="M59" s="188"/>
      <c r="N59" s="525"/>
      <c r="O59" s="525"/>
      <c r="P59" s="190"/>
      <c r="Q59" s="190"/>
      <c r="R59" s="187"/>
      <c r="S59" s="184"/>
      <c r="T59" s="554"/>
      <c r="U59" s="190"/>
      <c r="V59" s="190"/>
      <c r="W59" s="187"/>
      <c r="X59" s="184"/>
      <c r="Y59" s="554"/>
      <c r="Z59" s="190"/>
      <c r="AA59" s="190"/>
      <c r="AB59" s="187"/>
      <c r="AC59" s="184"/>
      <c r="AD59" s="554"/>
      <c r="AE59" s="190"/>
      <c r="AF59" s="190"/>
      <c r="AG59" s="187"/>
      <c r="AH59" s="184"/>
      <c r="AI59" s="554"/>
      <c r="AJ59" s="190"/>
      <c r="AK59" s="190"/>
      <c r="AL59" s="187"/>
      <c r="AM59" s="184"/>
      <c r="AN59" s="554"/>
      <c r="AO59" s="190"/>
      <c r="AP59" s="190"/>
      <c r="AQ59" s="187"/>
      <c r="AR59" s="184"/>
      <c r="AS59" s="554"/>
      <c r="AT59" s="190"/>
      <c r="AU59" s="190"/>
      <c r="AV59" s="187"/>
      <c r="AW59" s="184"/>
      <c r="AX59" s="554"/>
    </row>
    <row r="60" spans="2:50" ht="14.25" customHeight="1">
      <c r="B60" s="525"/>
      <c r="C60" s="182">
        <v>14</v>
      </c>
      <c r="D60" s="185"/>
      <c r="E60" s="182"/>
      <c r="F60" s="182"/>
      <c r="G60" s="187"/>
      <c r="H60" s="554"/>
      <c r="I60" s="188"/>
      <c r="J60" s="188"/>
      <c r="K60" s="189"/>
      <c r="L60" s="555"/>
      <c r="M60" s="188"/>
      <c r="N60" s="525"/>
      <c r="O60" s="525"/>
      <c r="P60" s="190"/>
      <c r="Q60" s="190"/>
      <c r="R60" s="187"/>
      <c r="S60" s="184"/>
      <c r="T60" s="554"/>
      <c r="U60" s="190"/>
      <c r="V60" s="190"/>
      <c r="W60" s="187"/>
      <c r="X60" s="184"/>
      <c r="Y60" s="554"/>
      <c r="Z60" s="190"/>
      <c r="AA60" s="190"/>
      <c r="AB60" s="187"/>
      <c r="AC60" s="184"/>
      <c r="AD60" s="554"/>
      <c r="AE60" s="190"/>
      <c r="AF60" s="190"/>
      <c r="AG60" s="187"/>
      <c r="AH60" s="184"/>
      <c r="AI60" s="554"/>
      <c r="AJ60" s="190"/>
      <c r="AK60" s="190"/>
      <c r="AL60" s="187"/>
      <c r="AM60" s="184"/>
      <c r="AN60" s="554"/>
      <c r="AO60" s="190"/>
      <c r="AP60" s="190"/>
      <c r="AQ60" s="187"/>
      <c r="AR60" s="184"/>
      <c r="AS60" s="554"/>
      <c r="AT60" s="190"/>
      <c r="AU60" s="190"/>
      <c r="AV60" s="187"/>
      <c r="AW60" s="184"/>
      <c r="AX60" s="554"/>
    </row>
    <row r="61" spans="2:50" ht="14.25" customHeight="1">
      <c r="B61" s="525"/>
      <c r="C61" s="182">
        <v>15</v>
      </c>
      <c r="D61" s="185"/>
      <c r="E61" s="182"/>
      <c r="F61" s="182"/>
      <c r="G61" s="187"/>
      <c r="H61" s="554"/>
      <c r="I61" s="188"/>
      <c r="J61" s="188"/>
      <c r="K61" s="189"/>
      <c r="L61" s="555"/>
      <c r="M61" s="188"/>
      <c r="N61" s="525"/>
      <c r="O61" s="525"/>
      <c r="P61" s="190"/>
      <c r="Q61" s="190"/>
      <c r="R61" s="187"/>
      <c r="S61" s="184"/>
      <c r="T61" s="554"/>
      <c r="U61" s="190"/>
      <c r="V61" s="190"/>
      <c r="W61" s="187"/>
      <c r="X61" s="184"/>
      <c r="Y61" s="554"/>
      <c r="Z61" s="190"/>
      <c r="AA61" s="190"/>
      <c r="AB61" s="187"/>
      <c r="AC61" s="184"/>
      <c r="AD61" s="554"/>
      <c r="AE61" s="190"/>
      <c r="AF61" s="190"/>
      <c r="AG61" s="187"/>
      <c r="AH61" s="184"/>
      <c r="AI61" s="554"/>
      <c r="AJ61" s="190"/>
      <c r="AK61" s="190"/>
      <c r="AL61" s="187"/>
      <c r="AM61" s="184"/>
      <c r="AN61" s="554"/>
      <c r="AO61" s="190"/>
      <c r="AP61" s="190"/>
      <c r="AQ61" s="187"/>
      <c r="AR61" s="184"/>
      <c r="AS61" s="554"/>
      <c r="AT61" s="190"/>
      <c r="AU61" s="190"/>
      <c r="AV61" s="187"/>
      <c r="AW61" s="184"/>
      <c r="AX61" s="554"/>
    </row>
    <row r="62" spans="2:50" ht="14.25" customHeight="1" collapsed="1">
      <c r="B62" s="534" t="s">
        <v>648</v>
      </c>
      <c r="C62" s="535"/>
      <c r="D62" s="535"/>
      <c r="E62" s="535"/>
      <c r="F62" s="535"/>
      <c r="G62" s="535"/>
      <c r="H62" s="535"/>
      <c r="I62" s="535"/>
      <c r="J62" s="535"/>
      <c r="K62" s="535"/>
      <c r="L62" s="535"/>
      <c r="M62" s="536"/>
      <c r="N62" s="564" t="s">
        <v>378</v>
      </c>
      <c r="O62" s="564" t="s">
        <v>105</v>
      </c>
      <c r="P62" s="566">
        <f>AT42+1</f>
        <v>46098</v>
      </c>
      <c r="Q62" s="567"/>
      <c r="R62" s="567"/>
      <c r="S62" s="567"/>
      <c r="T62" s="567"/>
      <c r="U62" s="568">
        <f>P62+1</f>
        <v>46099</v>
      </c>
      <c r="V62" s="569"/>
      <c r="W62" s="569"/>
      <c r="X62" s="569"/>
      <c r="Y62" s="569"/>
      <c r="Z62" s="566">
        <f t="shared" ref="Z62" si="40">U62+1</f>
        <v>46100</v>
      </c>
      <c r="AA62" s="567"/>
      <c r="AB62" s="567"/>
      <c r="AC62" s="567"/>
      <c r="AD62" s="567"/>
      <c r="AE62" s="568">
        <f t="shared" ref="AE62" si="41">Z62+1</f>
        <v>46101</v>
      </c>
      <c r="AF62" s="569"/>
      <c r="AG62" s="569"/>
      <c r="AH62" s="569"/>
      <c r="AI62" s="569"/>
      <c r="AJ62" s="556">
        <f t="shared" ref="AJ62" si="42">AE62+1</f>
        <v>46102</v>
      </c>
      <c r="AK62" s="557"/>
      <c r="AL62" s="557"/>
      <c r="AM62" s="557"/>
      <c r="AN62" s="558"/>
      <c r="AO62" s="568">
        <f t="shared" ref="AO62" si="43">AJ62+1</f>
        <v>46103</v>
      </c>
      <c r="AP62" s="569"/>
      <c r="AQ62" s="569"/>
      <c r="AR62" s="569"/>
      <c r="AS62" s="569"/>
      <c r="AT62" s="556">
        <f t="shared" ref="AT62" si="44">AO62+1</f>
        <v>46104</v>
      </c>
      <c r="AU62" s="557"/>
      <c r="AV62" s="557"/>
      <c r="AW62" s="557"/>
      <c r="AX62" s="558"/>
    </row>
    <row r="63" spans="2:50" ht="14.25" customHeight="1">
      <c r="B63" s="537"/>
      <c r="C63" s="537"/>
      <c r="D63" s="537"/>
      <c r="E63" s="537"/>
      <c r="F63" s="537"/>
      <c r="G63" s="537"/>
      <c r="H63" s="537"/>
      <c r="I63" s="537"/>
      <c r="J63" s="537"/>
      <c r="K63" s="537"/>
      <c r="L63" s="537"/>
      <c r="M63" s="538"/>
      <c r="N63" s="565"/>
      <c r="O63" s="565"/>
      <c r="P63" s="559">
        <f>P62</f>
        <v>46098</v>
      </c>
      <c r="Q63" s="559"/>
      <c r="R63" s="559"/>
      <c r="S63" s="559"/>
      <c r="T63" s="559"/>
      <c r="U63" s="560">
        <f>U62</f>
        <v>46099</v>
      </c>
      <c r="V63" s="560"/>
      <c r="W63" s="560"/>
      <c r="X63" s="560"/>
      <c r="Y63" s="560"/>
      <c r="Z63" s="559">
        <f t="shared" ref="Z63" si="45">Z62</f>
        <v>46100</v>
      </c>
      <c r="AA63" s="559"/>
      <c r="AB63" s="559"/>
      <c r="AC63" s="559"/>
      <c r="AD63" s="559"/>
      <c r="AE63" s="560">
        <f t="shared" ref="AE63" si="46">AE62</f>
        <v>46101</v>
      </c>
      <c r="AF63" s="560"/>
      <c r="AG63" s="560"/>
      <c r="AH63" s="560"/>
      <c r="AI63" s="560"/>
      <c r="AJ63" s="561">
        <f t="shared" ref="AJ63" si="47">AJ62</f>
        <v>46102</v>
      </c>
      <c r="AK63" s="562"/>
      <c r="AL63" s="562"/>
      <c r="AM63" s="562"/>
      <c r="AN63" s="563"/>
      <c r="AO63" s="560">
        <f t="shared" ref="AO63" si="48">AO62</f>
        <v>46103</v>
      </c>
      <c r="AP63" s="560"/>
      <c r="AQ63" s="560"/>
      <c r="AR63" s="560"/>
      <c r="AS63" s="560"/>
      <c r="AT63" s="561">
        <f t="shared" ref="AT63" si="49">AT62</f>
        <v>46104</v>
      </c>
      <c r="AU63" s="562"/>
      <c r="AV63" s="562"/>
      <c r="AW63" s="562"/>
      <c r="AX63" s="563"/>
    </row>
    <row r="64" spans="2:50" ht="14.25" customHeight="1">
      <c r="B64" s="525" t="s">
        <v>164</v>
      </c>
      <c r="C64" s="525" t="s">
        <v>159</v>
      </c>
      <c r="D64" s="525"/>
      <c r="E64" s="525" t="s">
        <v>160</v>
      </c>
      <c r="F64" s="525"/>
      <c r="G64" s="525"/>
      <c r="H64" s="525" t="s">
        <v>165</v>
      </c>
      <c r="I64" s="544" t="s">
        <v>379</v>
      </c>
      <c r="J64" s="544"/>
      <c r="K64" s="544"/>
      <c r="L64" s="544" t="s">
        <v>165</v>
      </c>
      <c r="M64" s="544" t="s">
        <v>167</v>
      </c>
      <c r="N64" s="525"/>
      <c r="O64" s="525" t="s">
        <v>166</v>
      </c>
      <c r="P64" s="525" t="s">
        <v>162</v>
      </c>
      <c r="Q64" s="525"/>
      <c r="R64" s="525"/>
      <c r="S64" s="525"/>
      <c r="T64" s="525" t="s">
        <v>165</v>
      </c>
      <c r="U64" s="525" t="s">
        <v>162</v>
      </c>
      <c r="V64" s="525"/>
      <c r="W64" s="525"/>
      <c r="X64" s="525"/>
      <c r="Y64" s="525" t="s">
        <v>165</v>
      </c>
      <c r="Z64" s="525" t="s">
        <v>162</v>
      </c>
      <c r="AA64" s="525"/>
      <c r="AB64" s="525"/>
      <c r="AC64" s="525"/>
      <c r="AD64" s="525" t="s">
        <v>165</v>
      </c>
      <c r="AE64" s="525" t="s">
        <v>162</v>
      </c>
      <c r="AF64" s="525"/>
      <c r="AG64" s="525"/>
      <c r="AH64" s="525"/>
      <c r="AI64" s="525" t="s">
        <v>165</v>
      </c>
      <c r="AJ64" s="525" t="s">
        <v>162</v>
      </c>
      <c r="AK64" s="525"/>
      <c r="AL64" s="525"/>
      <c r="AM64" s="525"/>
      <c r="AN64" s="525" t="s">
        <v>165</v>
      </c>
      <c r="AO64" s="525" t="s">
        <v>162</v>
      </c>
      <c r="AP64" s="525"/>
      <c r="AQ64" s="525"/>
      <c r="AR64" s="525"/>
      <c r="AS64" s="525" t="s">
        <v>165</v>
      </c>
      <c r="AT64" s="525" t="s">
        <v>162</v>
      </c>
      <c r="AU64" s="525"/>
      <c r="AV64" s="525"/>
      <c r="AW64" s="525"/>
      <c r="AX64" s="525" t="s">
        <v>165</v>
      </c>
    </row>
    <row r="65" spans="2:50" ht="14.25" customHeight="1">
      <c r="B65" s="525"/>
      <c r="C65" s="525"/>
      <c r="D65" s="525"/>
      <c r="E65" s="525" t="s">
        <v>380</v>
      </c>
      <c r="F65" s="525"/>
      <c r="G65" s="525"/>
      <c r="H65" s="525"/>
      <c r="I65" s="544" t="s">
        <v>380</v>
      </c>
      <c r="J65" s="544"/>
      <c r="K65" s="544"/>
      <c r="L65" s="544"/>
      <c r="M65" s="544"/>
      <c r="N65" s="525"/>
      <c r="O65" s="525"/>
      <c r="P65" s="525" t="s">
        <v>381</v>
      </c>
      <c r="Q65" s="525"/>
      <c r="R65" s="525"/>
      <c r="S65" s="525"/>
      <c r="T65" s="525"/>
      <c r="U65" s="525" t="s">
        <v>381</v>
      </c>
      <c r="V65" s="525"/>
      <c r="W65" s="525"/>
      <c r="X65" s="525"/>
      <c r="Y65" s="525"/>
      <c r="Z65" s="525" t="s">
        <v>381</v>
      </c>
      <c r="AA65" s="525"/>
      <c r="AB65" s="525"/>
      <c r="AC65" s="525"/>
      <c r="AD65" s="525"/>
      <c r="AE65" s="525" t="s">
        <v>381</v>
      </c>
      <c r="AF65" s="525"/>
      <c r="AG65" s="525"/>
      <c r="AH65" s="525"/>
      <c r="AI65" s="525"/>
      <c r="AJ65" s="525" t="s">
        <v>381</v>
      </c>
      <c r="AK65" s="525"/>
      <c r="AL65" s="525"/>
      <c r="AM65" s="525"/>
      <c r="AN65" s="525"/>
      <c r="AO65" s="525" t="s">
        <v>381</v>
      </c>
      <c r="AP65" s="525"/>
      <c r="AQ65" s="525"/>
      <c r="AR65" s="525"/>
      <c r="AS65" s="525"/>
      <c r="AT65" s="525" t="s">
        <v>381</v>
      </c>
      <c r="AU65" s="525"/>
      <c r="AV65" s="525"/>
      <c r="AW65" s="525"/>
      <c r="AX65" s="525"/>
    </row>
    <row r="66" spans="2:50" ht="14.25" customHeight="1">
      <c r="B66" s="525"/>
      <c r="C66" s="525"/>
      <c r="D66" s="525"/>
      <c r="E66" s="182" t="s">
        <v>161</v>
      </c>
      <c r="F66" s="182" t="s">
        <v>382</v>
      </c>
      <c r="G66" s="182" t="s">
        <v>163</v>
      </c>
      <c r="H66" s="525"/>
      <c r="I66" s="183" t="s">
        <v>161</v>
      </c>
      <c r="J66" s="183" t="s">
        <v>382</v>
      </c>
      <c r="K66" s="183" t="s">
        <v>163</v>
      </c>
      <c r="L66" s="544"/>
      <c r="M66" s="544"/>
      <c r="N66" s="525"/>
      <c r="O66" s="525"/>
      <c r="P66" s="182" t="s">
        <v>161</v>
      </c>
      <c r="Q66" s="182" t="s">
        <v>382</v>
      </c>
      <c r="R66" s="182" t="s">
        <v>163</v>
      </c>
      <c r="S66" s="184" t="s">
        <v>167</v>
      </c>
      <c r="T66" s="525"/>
      <c r="U66" s="182" t="s">
        <v>161</v>
      </c>
      <c r="V66" s="182" t="s">
        <v>382</v>
      </c>
      <c r="W66" s="182" t="s">
        <v>163</v>
      </c>
      <c r="X66" s="184" t="s">
        <v>167</v>
      </c>
      <c r="Y66" s="525"/>
      <c r="Z66" s="182" t="s">
        <v>161</v>
      </c>
      <c r="AA66" s="182" t="s">
        <v>382</v>
      </c>
      <c r="AB66" s="182" t="s">
        <v>163</v>
      </c>
      <c r="AC66" s="184" t="s">
        <v>167</v>
      </c>
      <c r="AD66" s="525"/>
      <c r="AE66" s="182" t="s">
        <v>161</v>
      </c>
      <c r="AF66" s="182" t="s">
        <v>382</v>
      </c>
      <c r="AG66" s="182" t="s">
        <v>163</v>
      </c>
      <c r="AH66" s="184" t="s">
        <v>167</v>
      </c>
      <c r="AI66" s="525"/>
      <c r="AJ66" s="182" t="s">
        <v>161</v>
      </c>
      <c r="AK66" s="182" t="s">
        <v>382</v>
      </c>
      <c r="AL66" s="182" t="s">
        <v>163</v>
      </c>
      <c r="AM66" s="184" t="s">
        <v>167</v>
      </c>
      <c r="AN66" s="525"/>
      <c r="AO66" s="182" t="s">
        <v>161</v>
      </c>
      <c r="AP66" s="182" t="s">
        <v>382</v>
      </c>
      <c r="AQ66" s="182" t="s">
        <v>163</v>
      </c>
      <c r="AR66" s="184" t="s">
        <v>167</v>
      </c>
      <c r="AS66" s="525"/>
      <c r="AT66" s="182" t="s">
        <v>161</v>
      </c>
      <c r="AU66" s="182" t="s">
        <v>382</v>
      </c>
      <c r="AV66" s="182" t="s">
        <v>163</v>
      </c>
      <c r="AW66" s="184" t="s">
        <v>167</v>
      </c>
      <c r="AX66" s="525"/>
    </row>
    <row r="67" spans="2:50" ht="14.25" customHeight="1">
      <c r="B67" s="525" t="s">
        <v>385</v>
      </c>
      <c r="C67" s="182">
        <v>1</v>
      </c>
      <c r="D67" s="185"/>
      <c r="E67" s="182"/>
      <c r="F67" s="182"/>
      <c r="G67" s="187"/>
      <c r="H67" s="554"/>
      <c r="I67" s="188"/>
      <c r="J67" s="188"/>
      <c r="K67" s="189"/>
      <c r="L67" s="555" t="str">
        <f>IFERROR(AVERAGE(K67:K81),"-")</f>
        <v>-</v>
      </c>
      <c r="M67" s="188" t="e">
        <f>RANK(K67, K$67:$K$81)</f>
        <v>#N/A</v>
      </c>
      <c r="N67" s="525"/>
      <c r="O67" s="525"/>
      <c r="P67" s="190"/>
      <c r="Q67" s="190"/>
      <c r="R67" s="187"/>
      <c r="S67" s="184"/>
      <c r="T67" s="554"/>
      <c r="U67" s="190"/>
      <c r="V67" s="190"/>
      <c r="W67" s="187"/>
      <c r="X67" s="184"/>
      <c r="Y67" s="554"/>
      <c r="Z67" s="190"/>
      <c r="AA67" s="190"/>
      <c r="AB67" s="187"/>
      <c r="AC67" s="184"/>
      <c r="AD67" s="554"/>
      <c r="AE67" s="190"/>
      <c r="AF67" s="190"/>
      <c r="AG67" s="187"/>
      <c r="AH67" s="184"/>
      <c r="AI67" s="554"/>
      <c r="AJ67" s="190"/>
      <c r="AK67" s="190"/>
      <c r="AL67" s="187"/>
      <c r="AM67" s="184"/>
      <c r="AN67" s="554"/>
      <c r="AO67" s="190"/>
      <c r="AP67" s="190"/>
      <c r="AQ67" s="187"/>
      <c r="AR67" s="184"/>
      <c r="AS67" s="571"/>
      <c r="AT67" s="190"/>
      <c r="AU67" s="190"/>
      <c r="AV67" s="187"/>
      <c r="AW67" s="184"/>
      <c r="AX67" s="554"/>
    </row>
    <row r="68" spans="2:50" ht="14.25" customHeight="1">
      <c r="B68" s="525"/>
      <c r="C68" s="182">
        <v>2</v>
      </c>
      <c r="D68" s="185"/>
      <c r="E68" s="182"/>
      <c r="F68" s="182"/>
      <c r="G68" s="187"/>
      <c r="H68" s="554"/>
      <c r="I68" s="188"/>
      <c r="J68" s="188"/>
      <c r="K68" s="189"/>
      <c r="L68" s="555"/>
      <c r="M68" s="188"/>
      <c r="N68" s="525"/>
      <c r="O68" s="525"/>
      <c r="P68" s="190"/>
      <c r="Q68" s="190"/>
      <c r="R68" s="187"/>
      <c r="S68" s="184"/>
      <c r="T68" s="554"/>
      <c r="U68" s="190"/>
      <c r="V68" s="190"/>
      <c r="W68" s="187"/>
      <c r="X68" s="184"/>
      <c r="Y68" s="554"/>
      <c r="Z68" s="190"/>
      <c r="AA68" s="190"/>
      <c r="AB68" s="187"/>
      <c r="AC68" s="184"/>
      <c r="AD68" s="554"/>
      <c r="AE68" s="190"/>
      <c r="AF68" s="190"/>
      <c r="AG68" s="187"/>
      <c r="AH68" s="184"/>
      <c r="AI68" s="554"/>
      <c r="AJ68" s="190"/>
      <c r="AK68" s="190"/>
      <c r="AL68" s="187"/>
      <c r="AM68" s="184"/>
      <c r="AN68" s="554"/>
      <c r="AO68" s="190"/>
      <c r="AP68" s="190"/>
      <c r="AQ68" s="187"/>
      <c r="AR68" s="184"/>
      <c r="AS68" s="572"/>
      <c r="AT68" s="190"/>
      <c r="AU68" s="190"/>
      <c r="AV68" s="187"/>
      <c r="AW68" s="184"/>
      <c r="AX68" s="554"/>
    </row>
    <row r="69" spans="2:50" ht="14.25" customHeight="1">
      <c r="B69" s="525"/>
      <c r="C69" s="182">
        <v>3</v>
      </c>
      <c r="D69" s="185"/>
      <c r="E69" s="182"/>
      <c r="F69" s="182"/>
      <c r="G69" s="187"/>
      <c r="H69" s="554"/>
      <c r="I69" s="188"/>
      <c r="J69" s="188"/>
      <c r="K69" s="189"/>
      <c r="L69" s="555"/>
      <c r="M69" s="188"/>
      <c r="N69" s="525"/>
      <c r="O69" s="525"/>
      <c r="P69" s="190"/>
      <c r="Q69" s="190"/>
      <c r="R69" s="187"/>
      <c r="S69" s="184"/>
      <c r="T69" s="554"/>
      <c r="U69" s="190"/>
      <c r="V69" s="190"/>
      <c r="W69" s="187"/>
      <c r="X69" s="184"/>
      <c r="Y69" s="554"/>
      <c r="Z69" s="190"/>
      <c r="AA69" s="190"/>
      <c r="AB69" s="187"/>
      <c r="AC69" s="184"/>
      <c r="AD69" s="554"/>
      <c r="AE69" s="190"/>
      <c r="AF69" s="190"/>
      <c r="AG69" s="187"/>
      <c r="AH69" s="184"/>
      <c r="AI69" s="554"/>
      <c r="AJ69" s="190"/>
      <c r="AK69" s="190"/>
      <c r="AL69" s="187"/>
      <c r="AM69" s="184"/>
      <c r="AN69" s="554"/>
      <c r="AO69" s="190"/>
      <c r="AP69" s="190"/>
      <c r="AQ69" s="187"/>
      <c r="AR69" s="184"/>
      <c r="AS69" s="572"/>
      <c r="AT69" s="190"/>
      <c r="AU69" s="190"/>
      <c r="AV69" s="187"/>
      <c r="AW69" s="184"/>
      <c r="AX69" s="554"/>
    </row>
    <row r="70" spans="2:50" ht="14.25" customHeight="1">
      <c r="B70" s="525"/>
      <c r="C70" s="182">
        <v>4</v>
      </c>
      <c r="D70" s="185"/>
      <c r="E70" s="182"/>
      <c r="F70" s="182"/>
      <c r="G70" s="187"/>
      <c r="H70" s="554"/>
      <c r="I70" s="188"/>
      <c r="J70" s="188"/>
      <c r="K70" s="189"/>
      <c r="L70" s="555"/>
      <c r="M70" s="188"/>
      <c r="N70" s="525"/>
      <c r="O70" s="525"/>
      <c r="P70" s="190"/>
      <c r="Q70" s="190"/>
      <c r="R70" s="187"/>
      <c r="S70" s="184"/>
      <c r="T70" s="554"/>
      <c r="U70" s="190"/>
      <c r="V70" s="190"/>
      <c r="W70" s="187"/>
      <c r="X70" s="184"/>
      <c r="Y70" s="554"/>
      <c r="Z70" s="190"/>
      <c r="AA70" s="190"/>
      <c r="AB70" s="187"/>
      <c r="AC70" s="184"/>
      <c r="AD70" s="554"/>
      <c r="AE70" s="190"/>
      <c r="AF70" s="190"/>
      <c r="AG70" s="187"/>
      <c r="AH70" s="184"/>
      <c r="AI70" s="554"/>
      <c r="AJ70" s="190"/>
      <c r="AK70" s="190"/>
      <c r="AL70" s="187"/>
      <c r="AM70" s="184"/>
      <c r="AN70" s="554"/>
      <c r="AO70" s="190"/>
      <c r="AP70" s="190"/>
      <c r="AQ70" s="187"/>
      <c r="AR70" s="184"/>
      <c r="AS70" s="572"/>
      <c r="AT70" s="190"/>
      <c r="AU70" s="190"/>
      <c r="AV70" s="187"/>
      <c r="AW70" s="184"/>
      <c r="AX70" s="554"/>
    </row>
    <row r="71" spans="2:50" ht="14.25" customHeight="1">
      <c r="B71" s="525"/>
      <c r="C71" s="182">
        <v>5</v>
      </c>
      <c r="D71" s="185"/>
      <c r="E71" s="182"/>
      <c r="F71" s="182"/>
      <c r="G71" s="187"/>
      <c r="H71" s="554"/>
      <c r="I71" s="188"/>
      <c r="J71" s="188"/>
      <c r="K71" s="189"/>
      <c r="L71" s="555"/>
      <c r="M71" s="188"/>
      <c r="N71" s="525"/>
      <c r="O71" s="525"/>
      <c r="P71" s="190"/>
      <c r="Q71" s="190"/>
      <c r="R71" s="187"/>
      <c r="S71" s="184"/>
      <c r="T71" s="554"/>
      <c r="U71" s="190"/>
      <c r="V71" s="190"/>
      <c r="W71" s="187"/>
      <c r="X71" s="184"/>
      <c r="Y71" s="554"/>
      <c r="Z71" s="190"/>
      <c r="AA71" s="190"/>
      <c r="AB71" s="187"/>
      <c r="AC71" s="184"/>
      <c r="AD71" s="554"/>
      <c r="AE71" s="190"/>
      <c r="AF71" s="190"/>
      <c r="AG71" s="187"/>
      <c r="AH71" s="184"/>
      <c r="AI71" s="554"/>
      <c r="AJ71" s="190"/>
      <c r="AK71" s="190"/>
      <c r="AL71" s="187"/>
      <c r="AM71" s="184"/>
      <c r="AN71" s="554"/>
      <c r="AO71" s="190"/>
      <c r="AP71" s="190"/>
      <c r="AQ71" s="187"/>
      <c r="AR71" s="184"/>
      <c r="AS71" s="572"/>
      <c r="AT71" s="190"/>
      <c r="AU71" s="190"/>
      <c r="AV71" s="187"/>
      <c r="AW71" s="184"/>
      <c r="AX71" s="554"/>
    </row>
    <row r="72" spans="2:50" ht="14.25" customHeight="1">
      <c r="B72" s="525"/>
      <c r="C72" s="182">
        <v>6</v>
      </c>
      <c r="D72" s="185"/>
      <c r="E72" s="182"/>
      <c r="F72" s="182"/>
      <c r="G72" s="187"/>
      <c r="H72" s="554"/>
      <c r="I72" s="188"/>
      <c r="J72" s="188"/>
      <c r="K72" s="189"/>
      <c r="L72" s="555"/>
      <c r="M72" s="188"/>
      <c r="N72" s="525"/>
      <c r="O72" s="525"/>
      <c r="P72" s="190"/>
      <c r="Q72" s="190"/>
      <c r="R72" s="187"/>
      <c r="S72" s="184"/>
      <c r="T72" s="554"/>
      <c r="U72" s="190"/>
      <c r="V72" s="190"/>
      <c r="W72" s="187"/>
      <c r="X72" s="184"/>
      <c r="Y72" s="554"/>
      <c r="Z72" s="190"/>
      <c r="AA72" s="190"/>
      <c r="AB72" s="187"/>
      <c r="AC72" s="184"/>
      <c r="AD72" s="554"/>
      <c r="AE72" s="190"/>
      <c r="AF72" s="190"/>
      <c r="AG72" s="187"/>
      <c r="AH72" s="184"/>
      <c r="AI72" s="554"/>
      <c r="AJ72" s="190"/>
      <c r="AK72" s="190"/>
      <c r="AL72" s="187"/>
      <c r="AM72" s="184"/>
      <c r="AN72" s="554"/>
      <c r="AO72" s="190"/>
      <c r="AP72" s="190"/>
      <c r="AQ72" s="187"/>
      <c r="AR72" s="184"/>
      <c r="AS72" s="572"/>
      <c r="AT72" s="190"/>
      <c r="AU72" s="190"/>
      <c r="AV72" s="187"/>
      <c r="AW72" s="184"/>
      <c r="AX72" s="554"/>
    </row>
    <row r="73" spans="2:50" ht="14.25" customHeight="1">
      <c r="B73" s="525"/>
      <c r="C73" s="182">
        <v>7</v>
      </c>
      <c r="D73" s="185"/>
      <c r="E73" s="182"/>
      <c r="F73" s="182"/>
      <c r="G73" s="187"/>
      <c r="H73" s="554"/>
      <c r="I73" s="188"/>
      <c r="J73" s="188"/>
      <c r="K73" s="189"/>
      <c r="L73" s="555"/>
      <c r="M73" s="188"/>
      <c r="N73" s="525"/>
      <c r="O73" s="525"/>
      <c r="P73" s="190"/>
      <c r="Q73" s="190"/>
      <c r="R73" s="187"/>
      <c r="S73" s="184"/>
      <c r="T73" s="554"/>
      <c r="U73" s="190"/>
      <c r="V73" s="190"/>
      <c r="W73" s="187"/>
      <c r="X73" s="184"/>
      <c r="Y73" s="554"/>
      <c r="Z73" s="190"/>
      <c r="AA73" s="190"/>
      <c r="AB73" s="187"/>
      <c r="AC73" s="184"/>
      <c r="AD73" s="554"/>
      <c r="AE73" s="190"/>
      <c r="AF73" s="190"/>
      <c r="AG73" s="187"/>
      <c r="AH73" s="184"/>
      <c r="AI73" s="554"/>
      <c r="AJ73" s="190"/>
      <c r="AK73" s="190"/>
      <c r="AL73" s="187"/>
      <c r="AM73" s="184"/>
      <c r="AN73" s="554"/>
      <c r="AO73" s="190"/>
      <c r="AP73" s="190"/>
      <c r="AQ73" s="187"/>
      <c r="AR73" s="184"/>
      <c r="AS73" s="572"/>
      <c r="AT73" s="190"/>
      <c r="AU73" s="190"/>
      <c r="AV73" s="187"/>
      <c r="AW73" s="184"/>
      <c r="AX73" s="554"/>
    </row>
    <row r="74" spans="2:50" ht="14.25" customHeight="1">
      <c r="B74" s="525"/>
      <c r="C74" s="182">
        <v>8</v>
      </c>
      <c r="D74" s="185"/>
      <c r="E74" s="182"/>
      <c r="F74" s="182"/>
      <c r="G74" s="187"/>
      <c r="H74" s="554"/>
      <c r="I74" s="188"/>
      <c r="J74" s="188"/>
      <c r="K74" s="189"/>
      <c r="L74" s="555"/>
      <c r="M74" s="188"/>
      <c r="N74" s="525"/>
      <c r="O74" s="525"/>
      <c r="P74" s="190"/>
      <c r="Q74" s="190"/>
      <c r="R74" s="187"/>
      <c r="S74" s="184"/>
      <c r="T74" s="554"/>
      <c r="U74" s="190"/>
      <c r="V74" s="190"/>
      <c r="W74" s="187"/>
      <c r="X74" s="184"/>
      <c r="Y74" s="554"/>
      <c r="Z74" s="190"/>
      <c r="AA74" s="190"/>
      <c r="AB74" s="187"/>
      <c r="AC74" s="184"/>
      <c r="AD74" s="554"/>
      <c r="AE74" s="190"/>
      <c r="AF74" s="190"/>
      <c r="AG74" s="187"/>
      <c r="AH74" s="184"/>
      <c r="AI74" s="554"/>
      <c r="AJ74" s="190"/>
      <c r="AK74" s="190"/>
      <c r="AL74" s="187"/>
      <c r="AM74" s="184"/>
      <c r="AN74" s="554"/>
      <c r="AO74" s="190"/>
      <c r="AP74" s="190"/>
      <c r="AQ74" s="187"/>
      <c r="AR74" s="184"/>
      <c r="AS74" s="572"/>
      <c r="AT74" s="190"/>
      <c r="AU74" s="190"/>
      <c r="AV74" s="187"/>
      <c r="AW74" s="184"/>
      <c r="AX74" s="554"/>
    </row>
    <row r="75" spans="2:50" ht="14.25" customHeight="1">
      <c r="B75" s="525"/>
      <c r="C75" s="182">
        <v>9</v>
      </c>
      <c r="D75" s="185"/>
      <c r="E75" s="182"/>
      <c r="F75" s="182"/>
      <c r="G75" s="187"/>
      <c r="H75" s="554"/>
      <c r="I75" s="188"/>
      <c r="J75" s="188"/>
      <c r="K75" s="189"/>
      <c r="L75" s="555"/>
      <c r="M75" s="188"/>
      <c r="N75" s="525"/>
      <c r="O75" s="525"/>
      <c r="P75" s="190"/>
      <c r="Q75" s="190"/>
      <c r="R75" s="187"/>
      <c r="S75" s="184"/>
      <c r="T75" s="554"/>
      <c r="U75" s="190"/>
      <c r="V75" s="190"/>
      <c r="W75" s="187"/>
      <c r="X75" s="184"/>
      <c r="Y75" s="554"/>
      <c r="Z75" s="190"/>
      <c r="AA75" s="190"/>
      <c r="AB75" s="187"/>
      <c r="AC75" s="184"/>
      <c r="AD75" s="554"/>
      <c r="AE75" s="190"/>
      <c r="AF75" s="190"/>
      <c r="AG75" s="187"/>
      <c r="AH75" s="184"/>
      <c r="AI75" s="554"/>
      <c r="AJ75" s="190"/>
      <c r="AK75" s="190"/>
      <c r="AL75" s="187"/>
      <c r="AM75" s="184"/>
      <c r="AN75" s="554"/>
      <c r="AO75" s="190"/>
      <c r="AP75" s="190"/>
      <c r="AQ75" s="187"/>
      <c r="AR75" s="184"/>
      <c r="AS75" s="572"/>
      <c r="AT75" s="190"/>
      <c r="AU75" s="190"/>
      <c r="AV75" s="187"/>
      <c r="AW75" s="184"/>
      <c r="AX75" s="554"/>
    </row>
    <row r="76" spans="2:50" ht="14.25" customHeight="1">
      <c r="B76" s="525"/>
      <c r="C76" s="182">
        <v>10</v>
      </c>
      <c r="D76" s="185"/>
      <c r="E76" s="182"/>
      <c r="F76" s="182"/>
      <c r="G76" s="187"/>
      <c r="H76" s="554"/>
      <c r="I76" s="188"/>
      <c r="J76" s="188"/>
      <c r="K76" s="189"/>
      <c r="L76" s="555"/>
      <c r="M76" s="188"/>
      <c r="N76" s="525"/>
      <c r="O76" s="525"/>
      <c r="P76" s="190"/>
      <c r="Q76" s="190"/>
      <c r="R76" s="187"/>
      <c r="S76" s="184"/>
      <c r="T76" s="554"/>
      <c r="U76" s="190"/>
      <c r="V76" s="190"/>
      <c r="W76" s="187"/>
      <c r="X76" s="184"/>
      <c r="Y76" s="554"/>
      <c r="Z76" s="190"/>
      <c r="AA76" s="190"/>
      <c r="AB76" s="187"/>
      <c r="AC76" s="184"/>
      <c r="AD76" s="554"/>
      <c r="AE76" s="190"/>
      <c r="AF76" s="190"/>
      <c r="AG76" s="187"/>
      <c r="AH76" s="184"/>
      <c r="AI76" s="554"/>
      <c r="AJ76" s="190"/>
      <c r="AK76" s="190"/>
      <c r="AL76" s="187"/>
      <c r="AM76" s="184"/>
      <c r="AN76" s="554"/>
      <c r="AO76" s="190"/>
      <c r="AP76" s="190"/>
      <c r="AQ76" s="187"/>
      <c r="AR76" s="184"/>
      <c r="AS76" s="572"/>
      <c r="AT76" s="190"/>
      <c r="AU76" s="190"/>
      <c r="AV76" s="187"/>
      <c r="AW76" s="184"/>
      <c r="AX76" s="554"/>
    </row>
    <row r="77" spans="2:50" ht="14.25" customHeight="1">
      <c r="B77" s="525"/>
      <c r="C77" s="182">
        <v>11</v>
      </c>
      <c r="D77" s="185"/>
      <c r="E77" s="182"/>
      <c r="F77" s="182"/>
      <c r="G77" s="187"/>
      <c r="H77" s="554"/>
      <c r="I77" s="188"/>
      <c r="J77" s="188"/>
      <c r="K77" s="189"/>
      <c r="L77" s="555"/>
      <c r="M77" s="188"/>
      <c r="N77" s="525"/>
      <c r="O77" s="525"/>
      <c r="P77" s="190"/>
      <c r="Q77" s="190"/>
      <c r="R77" s="187"/>
      <c r="S77" s="184"/>
      <c r="T77" s="554"/>
      <c r="U77" s="190"/>
      <c r="V77" s="190"/>
      <c r="W77" s="187"/>
      <c r="X77" s="184"/>
      <c r="Y77" s="554"/>
      <c r="Z77" s="190"/>
      <c r="AA77" s="190"/>
      <c r="AB77" s="187"/>
      <c r="AC77" s="184"/>
      <c r="AD77" s="554"/>
      <c r="AE77" s="190"/>
      <c r="AF77" s="190"/>
      <c r="AG77" s="187"/>
      <c r="AH77" s="184"/>
      <c r="AI77" s="554"/>
      <c r="AJ77" s="190"/>
      <c r="AK77" s="190"/>
      <c r="AL77" s="187"/>
      <c r="AM77" s="184"/>
      <c r="AN77" s="554"/>
      <c r="AO77" s="190"/>
      <c r="AP77" s="190"/>
      <c r="AQ77" s="187"/>
      <c r="AR77" s="184"/>
      <c r="AS77" s="572"/>
      <c r="AT77" s="190"/>
      <c r="AU77" s="190"/>
      <c r="AV77" s="187"/>
      <c r="AW77" s="184"/>
      <c r="AX77" s="554"/>
    </row>
    <row r="78" spans="2:50" ht="14.25" customHeight="1">
      <c r="B78" s="525"/>
      <c r="C78" s="182">
        <v>12</v>
      </c>
      <c r="D78" s="185"/>
      <c r="E78" s="182"/>
      <c r="F78" s="182"/>
      <c r="G78" s="187"/>
      <c r="H78" s="554"/>
      <c r="I78" s="188"/>
      <c r="J78" s="188"/>
      <c r="K78" s="189"/>
      <c r="L78" s="555"/>
      <c r="M78" s="188"/>
      <c r="N78" s="525"/>
      <c r="O78" s="525"/>
      <c r="P78" s="190"/>
      <c r="Q78" s="190"/>
      <c r="R78" s="187"/>
      <c r="S78" s="184"/>
      <c r="T78" s="554"/>
      <c r="U78" s="190"/>
      <c r="V78" s="190"/>
      <c r="W78" s="187"/>
      <c r="X78" s="184"/>
      <c r="Y78" s="554"/>
      <c r="Z78" s="190"/>
      <c r="AA78" s="190"/>
      <c r="AB78" s="187"/>
      <c r="AC78" s="184"/>
      <c r="AD78" s="554"/>
      <c r="AE78" s="190"/>
      <c r="AF78" s="190"/>
      <c r="AG78" s="187"/>
      <c r="AH78" s="184"/>
      <c r="AI78" s="554"/>
      <c r="AJ78" s="190"/>
      <c r="AK78" s="190"/>
      <c r="AL78" s="187"/>
      <c r="AM78" s="184"/>
      <c r="AN78" s="554"/>
      <c r="AO78" s="190"/>
      <c r="AP78" s="190"/>
      <c r="AQ78" s="187"/>
      <c r="AR78" s="184"/>
      <c r="AS78" s="572"/>
      <c r="AT78" s="190"/>
      <c r="AU78" s="190"/>
      <c r="AV78" s="187"/>
      <c r="AW78" s="184"/>
      <c r="AX78" s="554"/>
    </row>
    <row r="79" spans="2:50" ht="14.25" customHeight="1">
      <c r="B79" s="525"/>
      <c r="C79" s="182">
        <v>13</v>
      </c>
      <c r="D79" s="185"/>
      <c r="E79" s="182"/>
      <c r="F79" s="182"/>
      <c r="G79" s="187"/>
      <c r="H79" s="554"/>
      <c r="I79" s="188"/>
      <c r="J79" s="188"/>
      <c r="K79" s="189"/>
      <c r="L79" s="555"/>
      <c r="M79" s="188"/>
      <c r="N79" s="525"/>
      <c r="O79" s="525"/>
      <c r="P79" s="190"/>
      <c r="Q79" s="190"/>
      <c r="R79" s="187"/>
      <c r="S79" s="184"/>
      <c r="T79" s="554"/>
      <c r="U79" s="190"/>
      <c r="V79" s="190"/>
      <c r="W79" s="187"/>
      <c r="X79" s="184"/>
      <c r="Y79" s="554"/>
      <c r="Z79" s="190"/>
      <c r="AA79" s="190"/>
      <c r="AB79" s="187"/>
      <c r="AC79" s="184"/>
      <c r="AD79" s="554"/>
      <c r="AE79" s="190"/>
      <c r="AF79" s="190"/>
      <c r="AG79" s="187"/>
      <c r="AH79" s="184"/>
      <c r="AI79" s="554"/>
      <c r="AJ79" s="190"/>
      <c r="AK79" s="190"/>
      <c r="AL79" s="187"/>
      <c r="AM79" s="184"/>
      <c r="AN79" s="554"/>
      <c r="AO79" s="190"/>
      <c r="AP79" s="190"/>
      <c r="AQ79" s="187"/>
      <c r="AR79" s="184"/>
      <c r="AS79" s="572"/>
      <c r="AT79" s="190"/>
      <c r="AU79" s="190"/>
      <c r="AV79" s="187"/>
      <c r="AW79" s="184"/>
      <c r="AX79" s="554"/>
    </row>
    <row r="80" spans="2:50" ht="14.25" customHeight="1">
      <c r="B80" s="525"/>
      <c r="C80" s="182">
        <v>14</v>
      </c>
      <c r="D80" s="185"/>
      <c r="E80" s="182"/>
      <c r="F80" s="182"/>
      <c r="G80" s="187"/>
      <c r="H80" s="554"/>
      <c r="I80" s="188"/>
      <c r="J80" s="188"/>
      <c r="K80" s="189"/>
      <c r="L80" s="555"/>
      <c r="M80" s="188"/>
      <c r="N80" s="525"/>
      <c r="O80" s="525"/>
      <c r="P80" s="190"/>
      <c r="Q80" s="190"/>
      <c r="R80" s="187"/>
      <c r="S80" s="184"/>
      <c r="T80" s="554"/>
      <c r="U80" s="190"/>
      <c r="V80" s="190"/>
      <c r="W80" s="187"/>
      <c r="X80" s="184"/>
      <c r="Y80" s="554"/>
      <c r="Z80" s="190"/>
      <c r="AA80" s="190"/>
      <c r="AB80" s="187"/>
      <c r="AC80" s="184"/>
      <c r="AD80" s="554"/>
      <c r="AE80" s="190"/>
      <c r="AF80" s="190"/>
      <c r="AG80" s="187"/>
      <c r="AH80" s="184"/>
      <c r="AI80" s="554"/>
      <c r="AJ80" s="190"/>
      <c r="AK80" s="190"/>
      <c r="AL80" s="187"/>
      <c r="AM80" s="184"/>
      <c r="AN80" s="554"/>
      <c r="AO80" s="190"/>
      <c r="AP80" s="190"/>
      <c r="AQ80" s="187"/>
      <c r="AR80" s="184"/>
      <c r="AS80" s="572"/>
      <c r="AT80" s="190"/>
      <c r="AU80" s="190"/>
      <c r="AV80" s="187"/>
      <c r="AW80" s="184"/>
      <c r="AX80" s="554"/>
    </row>
    <row r="81" spans="2:50" ht="14.25" customHeight="1">
      <c r="B81" s="525"/>
      <c r="C81" s="182">
        <v>15</v>
      </c>
      <c r="D81" s="185"/>
      <c r="E81" s="182"/>
      <c r="F81" s="182"/>
      <c r="G81" s="187"/>
      <c r="H81" s="554"/>
      <c r="I81" s="188"/>
      <c r="J81" s="188"/>
      <c r="K81" s="189"/>
      <c r="L81" s="555"/>
      <c r="M81" s="188"/>
      <c r="N81" s="525"/>
      <c r="O81" s="525"/>
      <c r="P81" s="190"/>
      <c r="Q81" s="190"/>
      <c r="R81" s="187"/>
      <c r="S81" s="184"/>
      <c r="T81" s="554"/>
      <c r="U81" s="190"/>
      <c r="V81" s="190"/>
      <c r="W81" s="187"/>
      <c r="X81" s="184"/>
      <c r="Y81" s="554"/>
      <c r="Z81" s="190"/>
      <c r="AA81" s="190"/>
      <c r="AB81" s="187"/>
      <c r="AC81" s="184"/>
      <c r="AD81" s="554"/>
      <c r="AE81" s="190"/>
      <c r="AF81" s="190"/>
      <c r="AG81" s="187"/>
      <c r="AH81" s="184"/>
      <c r="AI81" s="554"/>
      <c r="AJ81" s="190"/>
      <c r="AK81" s="190"/>
      <c r="AL81" s="187"/>
      <c r="AM81" s="184"/>
      <c r="AN81" s="554"/>
      <c r="AO81" s="190"/>
      <c r="AP81" s="190"/>
      <c r="AQ81" s="187"/>
      <c r="AR81" s="184"/>
      <c r="AS81" s="573"/>
      <c r="AT81" s="190"/>
      <c r="AU81" s="190"/>
      <c r="AV81" s="187"/>
      <c r="AW81" s="184"/>
      <c r="AX81" s="554"/>
    </row>
    <row r="82" spans="2:50" ht="14.25" customHeight="1" collapsed="1">
      <c r="B82" s="534" t="s">
        <v>649</v>
      </c>
      <c r="C82" s="535"/>
      <c r="D82" s="535"/>
      <c r="E82" s="535"/>
      <c r="F82" s="535"/>
      <c r="G82" s="535"/>
      <c r="H82" s="535"/>
      <c r="I82" s="535"/>
      <c r="J82" s="535"/>
      <c r="K82" s="535"/>
      <c r="L82" s="535"/>
      <c r="M82" s="536"/>
      <c r="N82" s="564" t="s">
        <v>378</v>
      </c>
      <c r="O82" s="564" t="s">
        <v>105</v>
      </c>
      <c r="P82" s="566">
        <f>AT62+1</f>
        <v>46105</v>
      </c>
      <c r="Q82" s="567"/>
      <c r="R82" s="567"/>
      <c r="S82" s="567"/>
      <c r="T82" s="567"/>
      <c r="U82" s="568">
        <f>P82+1</f>
        <v>46106</v>
      </c>
      <c r="V82" s="569"/>
      <c r="W82" s="569"/>
      <c r="X82" s="569"/>
      <c r="Y82" s="569"/>
      <c r="Z82" s="566">
        <f t="shared" ref="Z82" si="50">U82+1</f>
        <v>46107</v>
      </c>
      <c r="AA82" s="567"/>
      <c r="AB82" s="567"/>
      <c r="AC82" s="567"/>
      <c r="AD82" s="567"/>
      <c r="AE82" s="568">
        <f t="shared" ref="AE82" si="51">Z82+1</f>
        <v>46108</v>
      </c>
      <c r="AF82" s="569"/>
      <c r="AG82" s="569"/>
      <c r="AH82" s="569"/>
      <c r="AI82" s="569"/>
      <c r="AJ82" s="556">
        <f t="shared" ref="AJ82" si="52">AE82+1</f>
        <v>46109</v>
      </c>
      <c r="AK82" s="557"/>
      <c r="AL82" s="557"/>
      <c r="AM82" s="557"/>
      <c r="AN82" s="558"/>
      <c r="AO82" s="568">
        <f t="shared" ref="AO82" si="53">AJ82+1</f>
        <v>46110</v>
      </c>
      <c r="AP82" s="569"/>
      <c r="AQ82" s="569"/>
      <c r="AR82" s="569"/>
      <c r="AS82" s="569"/>
      <c r="AT82" s="556">
        <f t="shared" ref="AT82" si="54">AO82+1</f>
        <v>46111</v>
      </c>
      <c r="AU82" s="557"/>
      <c r="AV82" s="557"/>
      <c r="AW82" s="557"/>
      <c r="AX82" s="558"/>
    </row>
    <row r="83" spans="2:50" ht="14.25" customHeight="1">
      <c r="B83" s="537"/>
      <c r="C83" s="537"/>
      <c r="D83" s="537"/>
      <c r="E83" s="537"/>
      <c r="F83" s="537"/>
      <c r="G83" s="537"/>
      <c r="H83" s="537"/>
      <c r="I83" s="537"/>
      <c r="J83" s="537"/>
      <c r="K83" s="537"/>
      <c r="L83" s="537"/>
      <c r="M83" s="538"/>
      <c r="N83" s="565"/>
      <c r="O83" s="565"/>
      <c r="P83" s="559">
        <f>P82</f>
        <v>46105</v>
      </c>
      <c r="Q83" s="559"/>
      <c r="R83" s="559"/>
      <c r="S83" s="559"/>
      <c r="T83" s="559"/>
      <c r="U83" s="560">
        <f>U82</f>
        <v>46106</v>
      </c>
      <c r="V83" s="560"/>
      <c r="W83" s="560"/>
      <c r="X83" s="560"/>
      <c r="Y83" s="560"/>
      <c r="Z83" s="559">
        <f t="shared" ref="Z83" si="55">Z82</f>
        <v>46107</v>
      </c>
      <c r="AA83" s="559"/>
      <c r="AB83" s="559"/>
      <c r="AC83" s="559"/>
      <c r="AD83" s="559"/>
      <c r="AE83" s="560">
        <f t="shared" ref="AE83" si="56">AE82</f>
        <v>46108</v>
      </c>
      <c r="AF83" s="560"/>
      <c r="AG83" s="560"/>
      <c r="AH83" s="560"/>
      <c r="AI83" s="560"/>
      <c r="AJ83" s="561">
        <f t="shared" ref="AJ83" si="57">AJ82</f>
        <v>46109</v>
      </c>
      <c r="AK83" s="562"/>
      <c r="AL83" s="562"/>
      <c r="AM83" s="562"/>
      <c r="AN83" s="563"/>
      <c r="AO83" s="560">
        <f t="shared" ref="AO83" si="58">AO82</f>
        <v>46110</v>
      </c>
      <c r="AP83" s="560"/>
      <c r="AQ83" s="560"/>
      <c r="AR83" s="560"/>
      <c r="AS83" s="560"/>
      <c r="AT83" s="561">
        <f t="shared" ref="AT83" si="59">AT82</f>
        <v>46111</v>
      </c>
      <c r="AU83" s="562"/>
      <c r="AV83" s="562"/>
      <c r="AW83" s="562"/>
      <c r="AX83" s="563"/>
    </row>
    <row r="84" spans="2:50" ht="14.25" customHeight="1">
      <c r="B84" s="525" t="s">
        <v>164</v>
      </c>
      <c r="C84" s="525" t="s">
        <v>159</v>
      </c>
      <c r="D84" s="525"/>
      <c r="E84" s="525" t="s">
        <v>160</v>
      </c>
      <c r="F84" s="525"/>
      <c r="G84" s="525"/>
      <c r="H84" s="525" t="s">
        <v>165</v>
      </c>
      <c r="I84" s="544" t="s">
        <v>379</v>
      </c>
      <c r="J84" s="544"/>
      <c r="K84" s="544"/>
      <c r="L84" s="544" t="s">
        <v>165</v>
      </c>
      <c r="M84" s="544" t="s">
        <v>167</v>
      </c>
      <c r="N84" s="525"/>
      <c r="O84" s="525" t="s">
        <v>166</v>
      </c>
      <c r="P84" s="525" t="s">
        <v>162</v>
      </c>
      <c r="Q84" s="525"/>
      <c r="R84" s="525"/>
      <c r="S84" s="525"/>
      <c r="T84" s="525" t="s">
        <v>165</v>
      </c>
      <c r="U84" s="525" t="s">
        <v>162</v>
      </c>
      <c r="V84" s="525"/>
      <c r="W84" s="525"/>
      <c r="X84" s="525"/>
      <c r="Y84" s="525" t="s">
        <v>165</v>
      </c>
      <c r="Z84" s="525" t="s">
        <v>162</v>
      </c>
      <c r="AA84" s="525"/>
      <c r="AB84" s="525"/>
      <c r="AC84" s="525"/>
      <c r="AD84" s="525" t="s">
        <v>165</v>
      </c>
      <c r="AE84" s="525" t="s">
        <v>162</v>
      </c>
      <c r="AF84" s="525"/>
      <c r="AG84" s="525"/>
      <c r="AH84" s="525"/>
      <c r="AI84" s="525" t="s">
        <v>165</v>
      </c>
      <c r="AJ84" s="525" t="s">
        <v>162</v>
      </c>
      <c r="AK84" s="525"/>
      <c r="AL84" s="525"/>
      <c r="AM84" s="525"/>
      <c r="AN84" s="525" t="s">
        <v>165</v>
      </c>
      <c r="AO84" s="525" t="s">
        <v>162</v>
      </c>
      <c r="AP84" s="525"/>
      <c r="AQ84" s="525"/>
      <c r="AR84" s="525"/>
      <c r="AS84" s="525" t="s">
        <v>165</v>
      </c>
      <c r="AT84" s="525" t="s">
        <v>162</v>
      </c>
      <c r="AU84" s="525"/>
      <c r="AV84" s="525"/>
      <c r="AW84" s="525"/>
      <c r="AX84" s="525" t="s">
        <v>165</v>
      </c>
    </row>
    <row r="85" spans="2:50" ht="14.25" customHeight="1">
      <c r="B85" s="525"/>
      <c r="C85" s="525"/>
      <c r="D85" s="525"/>
      <c r="E85" s="525" t="s">
        <v>380</v>
      </c>
      <c r="F85" s="525"/>
      <c r="G85" s="525"/>
      <c r="H85" s="525"/>
      <c r="I85" s="544" t="s">
        <v>380</v>
      </c>
      <c r="J85" s="544"/>
      <c r="K85" s="544"/>
      <c r="L85" s="544"/>
      <c r="M85" s="544"/>
      <c r="N85" s="525"/>
      <c r="O85" s="525"/>
      <c r="P85" s="525" t="s">
        <v>381</v>
      </c>
      <c r="Q85" s="525"/>
      <c r="R85" s="525"/>
      <c r="S85" s="525"/>
      <c r="T85" s="525"/>
      <c r="U85" s="525" t="s">
        <v>381</v>
      </c>
      <c r="V85" s="525"/>
      <c r="W85" s="525"/>
      <c r="X85" s="525"/>
      <c r="Y85" s="525"/>
      <c r="Z85" s="525" t="s">
        <v>381</v>
      </c>
      <c r="AA85" s="525"/>
      <c r="AB85" s="525"/>
      <c r="AC85" s="525"/>
      <c r="AD85" s="525"/>
      <c r="AE85" s="525" t="s">
        <v>381</v>
      </c>
      <c r="AF85" s="525"/>
      <c r="AG85" s="525"/>
      <c r="AH85" s="525"/>
      <c r="AI85" s="525"/>
      <c r="AJ85" s="525" t="s">
        <v>381</v>
      </c>
      <c r="AK85" s="525"/>
      <c r="AL85" s="525"/>
      <c r="AM85" s="525"/>
      <c r="AN85" s="525"/>
      <c r="AO85" s="525" t="s">
        <v>381</v>
      </c>
      <c r="AP85" s="525"/>
      <c r="AQ85" s="525"/>
      <c r="AR85" s="525"/>
      <c r="AS85" s="525"/>
      <c r="AT85" s="525" t="s">
        <v>381</v>
      </c>
      <c r="AU85" s="525"/>
      <c r="AV85" s="525"/>
      <c r="AW85" s="525"/>
      <c r="AX85" s="525"/>
    </row>
    <row r="86" spans="2:50" ht="14.25" customHeight="1">
      <c r="B86" s="525"/>
      <c r="C86" s="525"/>
      <c r="D86" s="525"/>
      <c r="E86" s="182" t="s">
        <v>161</v>
      </c>
      <c r="F86" s="182" t="s">
        <v>382</v>
      </c>
      <c r="G86" s="182" t="s">
        <v>163</v>
      </c>
      <c r="H86" s="525"/>
      <c r="I86" s="183" t="s">
        <v>161</v>
      </c>
      <c r="J86" s="183" t="s">
        <v>382</v>
      </c>
      <c r="K86" s="183" t="s">
        <v>163</v>
      </c>
      <c r="L86" s="544"/>
      <c r="M86" s="544"/>
      <c r="N86" s="525"/>
      <c r="O86" s="525"/>
      <c r="P86" s="182" t="s">
        <v>161</v>
      </c>
      <c r="Q86" s="182" t="s">
        <v>382</v>
      </c>
      <c r="R86" s="182" t="s">
        <v>163</v>
      </c>
      <c r="S86" s="184" t="s">
        <v>167</v>
      </c>
      <c r="T86" s="525"/>
      <c r="U86" s="182" t="s">
        <v>161</v>
      </c>
      <c r="V86" s="182" t="s">
        <v>382</v>
      </c>
      <c r="W86" s="182" t="s">
        <v>163</v>
      </c>
      <c r="X86" s="184" t="s">
        <v>167</v>
      </c>
      <c r="Y86" s="525"/>
      <c r="Z86" s="182" t="s">
        <v>161</v>
      </c>
      <c r="AA86" s="182" t="s">
        <v>382</v>
      </c>
      <c r="AB86" s="182" t="s">
        <v>163</v>
      </c>
      <c r="AC86" s="184" t="s">
        <v>167</v>
      </c>
      <c r="AD86" s="525"/>
      <c r="AE86" s="182" t="s">
        <v>161</v>
      </c>
      <c r="AF86" s="182" t="s">
        <v>382</v>
      </c>
      <c r="AG86" s="182" t="s">
        <v>163</v>
      </c>
      <c r="AH86" s="184" t="s">
        <v>167</v>
      </c>
      <c r="AI86" s="525"/>
      <c r="AJ86" s="182" t="s">
        <v>161</v>
      </c>
      <c r="AK86" s="182" t="s">
        <v>382</v>
      </c>
      <c r="AL86" s="182" t="s">
        <v>163</v>
      </c>
      <c r="AM86" s="184" t="s">
        <v>167</v>
      </c>
      <c r="AN86" s="525"/>
      <c r="AO86" s="182" t="s">
        <v>161</v>
      </c>
      <c r="AP86" s="182" t="s">
        <v>382</v>
      </c>
      <c r="AQ86" s="182" t="s">
        <v>163</v>
      </c>
      <c r="AR86" s="184" t="s">
        <v>167</v>
      </c>
      <c r="AS86" s="525"/>
      <c r="AT86" s="182" t="s">
        <v>161</v>
      </c>
      <c r="AU86" s="182" t="s">
        <v>382</v>
      </c>
      <c r="AV86" s="182" t="s">
        <v>163</v>
      </c>
      <c r="AW86" s="184" t="s">
        <v>167</v>
      </c>
      <c r="AX86" s="525"/>
    </row>
    <row r="87" spans="2:50" ht="14.25" customHeight="1">
      <c r="B87" s="525" t="s">
        <v>385</v>
      </c>
      <c r="C87" s="182">
        <v>1</v>
      </c>
      <c r="D87" s="185"/>
      <c r="E87" s="182"/>
      <c r="F87" s="182"/>
      <c r="G87" s="187"/>
      <c r="H87" s="554"/>
      <c r="I87" s="188"/>
      <c r="J87" s="188"/>
      <c r="K87" s="189"/>
      <c r="L87" s="555" t="str">
        <f>IFERROR(AVERAGE(K87:K101),"-")</f>
        <v>-</v>
      </c>
      <c r="M87" s="188" t="e">
        <f>RANK(K87, K$87:$K$101)</f>
        <v>#N/A</v>
      </c>
      <c r="N87" s="525"/>
      <c r="O87" s="525"/>
      <c r="P87" s="190"/>
      <c r="Q87" s="190"/>
      <c r="R87" s="187"/>
      <c r="S87" s="184"/>
      <c r="T87" s="554"/>
      <c r="U87" s="190"/>
      <c r="V87" s="190"/>
      <c r="W87" s="187"/>
      <c r="X87" s="184"/>
      <c r="Y87" s="554"/>
      <c r="Z87" s="190"/>
      <c r="AA87" s="190"/>
      <c r="AB87" s="187"/>
      <c r="AC87" s="184"/>
      <c r="AD87" s="554"/>
      <c r="AE87" s="190"/>
      <c r="AF87" s="190"/>
      <c r="AG87" s="187"/>
      <c r="AH87" s="184"/>
      <c r="AI87" s="554"/>
      <c r="AJ87" s="190"/>
      <c r="AK87" s="190"/>
      <c r="AL87" s="187"/>
      <c r="AM87" s="184"/>
      <c r="AN87" s="554"/>
      <c r="AO87" s="190"/>
      <c r="AP87" s="190"/>
      <c r="AQ87" s="187"/>
      <c r="AR87" s="184"/>
      <c r="AS87" s="554"/>
      <c r="AT87" s="190"/>
      <c r="AU87" s="190"/>
      <c r="AV87" s="187"/>
      <c r="AW87" s="184"/>
      <c r="AX87" s="554"/>
    </row>
    <row r="88" spans="2:50" ht="14.25" customHeight="1">
      <c r="B88" s="525"/>
      <c r="C88" s="182">
        <v>2</v>
      </c>
      <c r="D88" s="185"/>
      <c r="E88" s="182"/>
      <c r="F88" s="182"/>
      <c r="G88" s="187"/>
      <c r="H88" s="554"/>
      <c r="I88" s="188"/>
      <c r="J88" s="188"/>
      <c r="K88" s="189"/>
      <c r="L88" s="555"/>
      <c r="M88" s="188" t="e">
        <f>RANK(K88, K$87:$K$101)</f>
        <v>#N/A</v>
      </c>
      <c r="N88" s="525"/>
      <c r="O88" s="525"/>
      <c r="P88" s="190"/>
      <c r="Q88" s="190"/>
      <c r="R88" s="187"/>
      <c r="S88" s="184"/>
      <c r="T88" s="554"/>
      <c r="U88" s="190"/>
      <c r="V88" s="190"/>
      <c r="W88" s="187"/>
      <c r="X88" s="184"/>
      <c r="Y88" s="554"/>
      <c r="Z88" s="190"/>
      <c r="AA88" s="190"/>
      <c r="AB88" s="187"/>
      <c r="AC88" s="184"/>
      <c r="AD88" s="554"/>
      <c r="AE88" s="190"/>
      <c r="AF88" s="190"/>
      <c r="AG88" s="187"/>
      <c r="AH88" s="184"/>
      <c r="AI88" s="554"/>
      <c r="AJ88" s="190"/>
      <c r="AK88" s="190"/>
      <c r="AL88" s="187"/>
      <c r="AM88" s="184"/>
      <c r="AN88" s="554"/>
      <c r="AO88" s="190"/>
      <c r="AP88" s="190"/>
      <c r="AQ88" s="187"/>
      <c r="AR88" s="184"/>
      <c r="AS88" s="554"/>
      <c r="AT88" s="190"/>
      <c r="AU88" s="190"/>
      <c r="AV88" s="187"/>
      <c r="AW88" s="184"/>
      <c r="AX88" s="554"/>
    </row>
    <row r="89" spans="2:50" ht="14.25" customHeight="1">
      <c r="B89" s="525"/>
      <c r="C89" s="182">
        <v>3</v>
      </c>
      <c r="D89" s="185"/>
      <c r="E89" s="182"/>
      <c r="F89" s="182"/>
      <c r="G89" s="187"/>
      <c r="H89" s="554"/>
      <c r="I89" s="188"/>
      <c r="J89" s="188"/>
      <c r="K89" s="189"/>
      <c r="L89" s="555"/>
      <c r="M89" s="188"/>
      <c r="N89" s="525"/>
      <c r="O89" s="525"/>
      <c r="P89" s="190"/>
      <c r="Q89" s="190"/>
      <c r="R89" s="187"/>
      <c r="S89" s="184"/>
      <c r="T89" s="554"/>
      <c r="U89" s="190"/>
      <c r="V89" s="190"/>
      <c r="W89" s="187"/>
      <c r="X89" s="184"/>
      <c r="Y89" s="554"/>
      <c r="Z89" s="190"/>
      <c r="AA89" s="190"/>
      <c r="AB89" s="187"/>
      <c r="AC89" s="184"/>
      <c r="AD89" s="554"/>
      <c r="AE89" s="190"/>
      <c r="AF89" s="190"/>
      <c r="AG89" s="187"/>
      <c r="AH89" s="184"/>
      <c r="AI89" s="554"/>
      <c r="AJ89" s="190"/>
      <c r="AK89" s="190"/>
      <c r="AL89" s="187"/>
      <c r="AM89" s="184"/>
      <c r="AN89" s="554"/>
      <c r="AO89" s="190"/>
      <c r="AP89" s="190"/>
      <c r="AQ89" s="187"/>
      <c r="AR89" s="184"/>
      <c r="AS89" s="554"/>
      <c r="AT89" s="190"/>
      <c r="AU89" s="190"/>
      <c r="AV89" s="187"/>
      <c r="AW89" s="184"/>
      <c r="AX89" s="554"/>
    </row>
    <row r="90" spans="2:50" ht="14.25" customHeight="1">
      <c r="B90" s="525"/>
      <c r="C90" s="182">
        <v>4</v>
      </c>
      <c r="D90" s="185"/>
      <c r="E90" s="182"/>
      <c r="F90" s="182"/>
      <c r="G90" s="187"/>
      <c r="H90" s="554"/>
      <c r="I90" s="188"/>
      <c r="J90" s="188"/>
      <c r="K90" s="189"/>
      <c r="L90" s="555"/>
      <c r="M90" s="188"/>
      <c r="N90" s="525"/>
      <c r="O90" s="525"/>
      <c r="P90" s="190"/>
      <c r="Q90" s="190"/>
      <c r="R90" s="187"/>
      <c r="S90" s="184"/>
      <c r="T90" s="554"/>
      <c r="U90" s="190"/>
      <c r="V90" s="190"/>
      <c r="W90" s="187"/>
      <c r="X90" s="184"/>
      <c r="Y90" s="554"/>
      <c r="Z90" s="190"/>
      <c r="AA90" s="190"/>
      <c r="AB90" s="187"/>
      <c r="AC90" s="184"/>
      <c r="AD90" s="554"/>
      <c r="AE90" s="190"/>
      <c r="AF90" s="190"/>
      <c r="AG90" s="187"/>
      <c r="AH90" s="184"/>
      <c r="AI90" s="554"/>
      <c r="AJ90" s="190"/>
      <c r="AK90" s="190"/>
      <c r="AL90" s="187"/>
      <c r="AM90" s="184"/>
      <c r="AN90" s="554"/>
      <c r="AO90" s="190"/>
      <c r="AP90" s="190"/>
      <c r="AQ90" s="187"/>
      <c r="AR90" s="184"/>
      <c r="AS90" s="554"/>
      <c r="AT90" s="190"/>
      <c r="AU90" s="190"/>
      <c r="AV90" s="187"/>
      <c r="AW90" s="184"/>
      <c r="AX90" s="554"/>
    </row>
    <row r="91" spans="2:50" ht="14.25" customHeight="1">
      <c r="B91" s="525"/>
      <c r="C91" s="182">
        <v>5</v>
      </c>
      <c r="D91" s="185"/>
      <c r="E91" s="182"/>
      <c r="F91" s="182"/>
      <c r="G91" s="187"/>
      <c r="H91" s="554"/>
      <c r="I91" s="188"/>
      <c r="J91" s="188"/>
      <c r="K91" s="189"/>
      <c r="L91" s="555"/>
      <c r="M91" s="188"/>
      <c r="N91" s="525"/>
      <c r="O91" s="525"/>
      <c r="P91" s="190"/>
      <c r="Q91" s="190"/>
      <c r="R91" s="187"/>
      <c r="S91" s="184"/>
      <c r="T91" s="554"/>
      <c r="U91" s="190"/>
      <c r="V91" s="190"/>
      <c r="W91" s="187"/>
      <c r="X91" s="184"/>
      <c r="Y91" s="554"/>
      <c r="Z91" s="190"/>
      <c r="AA91" s="190"/>
      <c r="AB91" s="187"/>
      <c r="AC91" s="184"/>
      <c r="AD91" s="554"/>
      <c r="AE91" s="190"/>
      <c r="AF91" s="190"/>
      <c r="AG91" s="187"/>
      <c r="AH91" s="184"/>
      <c r="AI91" s="554"/>
      <c r="AJ91" s="190"/>
      <c r="AK91" s="190"/>
      <c r="AL91" s="187"/>
      <c r="AM91" s="184"/>
      <c r="AN91" s="554"/>
      <c r="AO91" s="190"/>
      <c r="AP91" s="190"/>
      <c r="AQ91" s="187"/>
      <c r="AR91" s="184"/>
      <c r="AS91" s="554"/>
      <c r="AT91" s="190"/>
      <c r="AU91" s="190"/>
      <c r="AV91" s="187"/>
      <c r="AW91" s="184"/>
      <c r="AX91" s="554"/>
    </row>
    <row r="92" spans="2:50" ht="14.25" customHeight="1">
      <c r="B92" s="525"/>
      <c r="C92" s="182">
        <v>6</v>
      </c>
      <c r="D92" s="185"/>
      <c r="E92" s="182"/>
      <c r="F92" s="182"/>
      <c r="G92" s="187"/>
      <c r="H92" s="554"/>
      <c r="I92" s="188"/>
      <c r="J92" s="188"/>
      <c r="K92" s="189"/>
      <c r="L92" s="555"/>
      <c r="M92" s="188"/>
      <c r="N92" s="525"/>
      <c r="O92" s="525"/>
      <c r="P92" s="190"/>
      <c r="Q92" s="190"/>
      <c r="R92" s="187"/>
      <c r="S92" s="184"/>
      <c r="T92" s="554"/>
      <c r="U92" s="190"/>
      <c r="V92" s="190"/>
      <c r="W92" s="187"/>
      <c r="X92" s="184"/>
      <c r="Y92" s="554"/>
      <c r="Z92" s="190"/>
      <c r="AA92" s="190"/>
      <c r="AB92" s="187"/>
      <c r="AC92" s="184"/>
      <c r="AD92" s="554"/>
      <c r="AE92" s="190"/>
      <c r="AF92" s="190"/>
      <c r="AG92" s="187"/>
      <c r="AH92" s="184"/>
      <c r="AI92" s="554"/>
      <c r="AJ92" s="190"/>
      <c r="AK92" s="190"/>
      <c r="AL92" s="187"/>
      <c r="AM92" s="184"/>
      <c r="AN92" s="554"/>
      <c r="AO92" s="190"/>
      <c r="AP92" s="190"/>
      <c r="AQ92" s="187"/>
      <c r="AR92" s="184"/>
      <c r="AS92" s="554"/>
      <c r="AT92" s="190"/>
      <c r="AU92" s="190"/>
      <c r="AV92" s="187"/>
      <c r="AW92" s="184"/>
      <c r="AX92" s="554"/>
    </row>
    <row r="93" spans="2:50" ht="14.25" customHeight="1">
      <c r="B93" s="525"/>
      <c r="C93" s="182">
        <v>7</v>
      </c>
      <c r="D93" s="185"/>
      <c r="E93" s="182"/>
      <c r="F93" s="182"/>
      <c r="G93" s="187"/>
      <c r="H93" s="554"/>
      <c r="I93" s="188"/>
      <c r="J93" s="188"/>
      <c r="K93" s="189"/>
      <c r="L93" s="555"/>
      <c r="M93" s="188"/>
      <c r="N93" s="525"/>
      <c r="O93" s="525"/>
      <c r="P93" s="190"/>
      <c r="Q93" s="190"/>
      <c r="R93" s="187"/>
      <c r="S93" s="184"/>
      <c r="T93" s="554"/>
      <c r="U93" s="190"/>
      <c r="V93" s="190"/>
      <c r="W93" s="187"/>
      <c r="X93" s="184"/>
      <c r="Y93" s="554"/>
      <c r="Z93" s="190"/>
      <c r="AA93" s="190"/>
      <c r="AB93" s="187"/>
      <c r="AC93" s="184"/>
      <c r="AD93" s="554"/>
      <c r="AE93" s="190"/>
      <c r="AF93" s="190"/>
      <c r="AG93" s="187"/>
      <c r="AH93" s="184"/>
      <c r="AI93" s="554"/>
      <c r="AJ93" s="190"/>
      <c r="AK93" s="190"/>
      <c r="AL93" s="187"/>
      <c r="AM93" s="184"/>
      <c r="AN93" s="554"/>
      <c r="AO93" s="190"/>
      <c r="AP93" s="190"/>
      <c r="AQ93" s="187"/>
      <c r="AR93" s="184"/>
      <c r="AS93" s="554"/>
      <c r="AT93" s="190"/>
      <c r="AU93" s="190"/>
      <c r="AV93" s="187"/>
      <c r="AW93" s="184"/>
      <c r="AX93" s="554"/>
    </row>
    <row r="94" spans="2:50" ht="14.25" customHeight="1">
      <c r="B94" s="525"/>
      <c r="C94" s="182">
        <v>8</v>
      </c>
      <c r="D94" s="185"/>
      <c r="E94" s="182"/>
      <c r="F94" s="182"/>
      <c r="G94" s="187"/>
      <c r="H94" s="554"/>
      <c r="I94" s="188"/>
      <c r="J94" s="188"/>
      <c r="K94" s="189"/>
      <c r="L94" s="555"/>
      <c r="M94" s="188"/>
      <c r="N94" s="525"/>
      <c r="O94" s="525"/>
      <c r="P94" s="190"/>
      <c r="Q94" s="190"/>
      <c r="R94" s="187"/>
      <c r="S94" s="184"/>
      <c r="T94" s="554"/>
      <c r="U94" s="190"/>
      <c r="V94" s="190"/>
      <c r="W94" s="187"/>
      <c r="X94" s="184"/>
      <c r="Y94" s="554"/>
      <c r="Z94" s="190"/>
      <c r="AA94" s="190"/>
      <c r="AB94" s="187"/>
      <c r="AC94" s="184"/>
      <c r="AD94" s="554"/>
      <c r="AE94" s="190"/>
      <c r="AF94" s="190"/>
      <c r="AG94" s="187"/>
      <c r="AH94" s="184"/>
      <c r="AI94" s="554"/>
      <c r="AJ94" s="190"/>
      <c r="AK94" s="190"/>
      <c r="AL94" s="187"/>
      <c r="AM94" s="184"/>
      <c r="AN94" s="554"/>
      <c r="AO94" s="190"/>
      <c r="AP94" s="190"/>
      <c r="AQ94" s="187"/>
      <c r="AR94" s="184"/>
      <c r="AS94" s="554"/>
      <c r="AT94" s="190"/>
      <c r="AU94" s="190"/>
      <c r="AV94" s="187"/>
      <c r="AW94" s="184"/>
      <c r="AX94" s="554"/>
    </row>
    <row r="95" spans="2:50" ht="14.25" customHeight="1">
      <c r="B95" s="525"/>
      <c r="C95" s="182">
        <v>9</v>
      </c>
      <c r="D95" s="185"/>
      <c r="E95" s="182"/>
      <c r="F95" s="182"/>
      <c r="G95" s="187"/>
      <c r="H95" s="554"/>
      <c r="I95" s="188"/>
      <c r="J95" s="188"/>
      <c r="K95" s="189"/>
      <c r="L95" s="555"/>
      <c r="M95" s="188"/>
      <c r="N95" s="525"/>
      <c r="O95" s="525"/>
      <c r="P95" s="190"/>
      <c r="Q95" s="190"/>
      <c r="R95" s="187"/>
      <c r="S95" s="184"/>
      <c r="T95" s="554"/>
      <c r="U95" s="190"/>
      <c r="V95" s="190"/>
      <c r="W95" s="187"/>
      <c r="X95" s="184"/>
      <c r="Y95" s="554"/>
      <c r="Z95" s="190"/>
      <c r="AA95" s="190"/>
      <c r="AB95" s="187"/>
      <c r="AC95" s="184"/>
      <c r="AD95" s="554"/>
      <c r="AE95" s="190"/>
      <c r="AF95" s="190"/>
      <c r="AG95" s="187"/>
      <c r="AH95" s="184"/>
      <c r="AI95" s="554"/>
      <c r="AJ95" s="190"/>
      <c r="AK95" s="190"/>
      <c r="AL95" s="187"/>
      <c r="AM95" s="184"/>
      <c r="AN95" s="554"/>
      <c r="AO95" s="190"/>
      <c r="AP95" s="190"/>
      <c r="AQ95" s="187"/>
      <c r="AR95" s="184"/>
      <c r="AS95" s="554"/>
      <c r="AT95" s="190"/>
      <c r="AU95" s="190"/>
      <c r="AV95" s="187"/>
      <c r="AW95" s="184"/>
      <c r="AX95" s="554"/>
    </row>
    <row r="96" spans="2:50" ht="14.25" customHeight="1">
      <c r="B96" s="525"/>
      <c r="C96" s="182">
        <v>10</v>
      </c>
      <c r="D96" s="185"/>
      <c r="E96" s="182"/>
      <c r="F96" s="182"/>
      <c r="G96" s="187"/>
      <c r="H96" s="554"/>
      <c r="I96" s="188"/>
      <c r="J96" s="188"/>
      <c r="K96" s="189"/>
      <c r="L96" s="555"/>
      <c r="M96" s="188"/>
      <c r="N96" s="525"/>
      <c r="O96" s="525"/>
      <c r="P96" s="190"/>
      <c r="Q96" s="190"/>
      <c r="R96" s="187"/>
      <c r="S96" s="184"/>
      <c r="T96" s="554"/>
      <c r="U96" s="190"/>
      <c r="V96" s="190"/>
      <c r="W96" s="187"/>
      <c r="X96" s="184"/>
      <c r="Y96" s="554"/>
      <c r="Z96" s="190"/>
      <c r="AA96" s="190"/>
      <c r="AB96" s="187"/>
      <c r="AC96" s="184"/>
      <c r="AD96" s="554"/>
      <c r="AE96" s="190"/>
      <c r="AF96" s="190"/>
      <c r="AG96" s="187"/>
      <c r="AH96" s="184"/>
      <c r="AI96" s="554"/>
      <c r="AJ96" s="190"/>
      <c r="AK96" s="190"/>
      <c r="AL96" s="187"/>
      <c r="AM96" s="184"/>
      <c r="AN96" s="554"/>
      <c r="AO96" s="190"/>
      <c r="AP96" s="190"/>
      <c r="AQ96" s="187"/>
      <c r="AR96" s="184"/>
      <c r="AS96" s="554"/>
      <c r="AT96" s="190"/>
      <c r="AU96" s="190"/>
      <c r="AV96" s="187"/>
      <c r="AW96" s="184"/>
      <c r="AX96" s="554"/>
    </row>
    <row r="97" spans="2:50" ht="14.25" customHeight="1">
      <c r="B97" s="525"/>
      <c r="C97" s="182">
        <v>11</v>
      </c>
      <c r="D97" s="185"/>
      <c r="E97" s="182"/>
      <c r="F97" s="182"/>
      <c r="G97" s="187"/>
      <c r="H97" s="554"/>
      <c r="I97" s="188"/>
      <c r="J97" s="188"/>
      <c r="K97" s="189"/>
      <c r="L97" s="555"/>
      <c r="M97" s="188"/>
      <c r="N97" s="525"/>
      <c r="O97" s="525"/>
      <c r="P97" s="190"/>
      <c r="Q97" s="190"/>
      <c r="R97" s="187"/>
      <c r="S97" s="184"/>
      <c r="T97" s="554"/>
      <c r="U97" s="190"/>
      <c r="V97" s="190"/>
      <c r="W97" s="187"/>
      <c r="X97" s="184"/>
      <c r="Y97" s="554"/>
      <c r="Z97" s="190"/>
      <c r="AA97" s="190"/>
      <c r="AB97" s="187"/>
      <c r="AC97" s="184"/>
      <c r="AD97" s="554"/>
      <c r="AE97" s="190"/>
      <c r="AF97" s="190"/>
      <c r="AG97" s="187"/>
      <c r="AH97" s="184"/>
      <c r="AI97" s="554"/>
      <c r="AJ97" s="190"/>
      <c r="AK97" s="190"/>
      <c r="AL97" s="187"/>
      <c r="AM97" s="184"/>
      <c r="AN97" s="554"/>
      <c r="AO97" s="190"/>
      <c r="AP97" s="190"/>
      <c r="AQ97" s="187"/>
      <c r="AR97" s="184"/>
      <c r="AS97" s="554"/>
      <c r="AT97" s="190"/>
      <c r="AU97" s="190"/>
      <c r="AV97" s="187"/>
      <c r="AW97" s="184"/>
      <c r="AX97" s="554"/>
    </row>
    <row r="98" spans="2:50" ht="14.25" customHeight="1">
      <c r="B98" s="525"/>
      <c r="C98" s="182">
        <v>12</v>
      </c>
      <c r="D98" s="185"/>
      <c r="E98" s="182"/>
      <c r="F98" s="182"/>
      <c r="G98" s="187"/>
      <c r="H98" s="554"/>
      <c r="I98" s="188"/>
      <c r="J98" s="188"/>
      <c r="K98" s="189"/>
      <c r="L98" s="555"/>
      <c r="M98" s="188"/>
      <c r="N98" s="525"/>
      <c r="O98" s="525"/>
      <c r="P98" s="190"/>
      <c r="Q98" s="190"/>
      <c r="R98" s="187"/>
      <c r="S98" s="184"/>
      <c r="T98" s="554"/>
      <c r="U98" s="190"/>
      <c r="V98" s="190"/>
      <c r="W98" s="187"/>
      <c r="X98" s="184"/>
      <c r="Y98" s="554"/>
      <c r="Z98" s="190"/>
      <c r="AA98" s="190"/>
      <c r="AB98" s="187"/>
      <c r="AC98" s="184"/>
      <c r="AD98" s="554"/>
      <c r="AE98" s="190"/>
      <c r="AF98" s="190"/>
      <c r="AG98" s="187"/>
      <c r="AH98" s="184"/>
      <c r="AI98" s="554"/>
      <c r="AJ98" s="190"/>
      <c r="AK98" s="190"/>
      <c r="AL98" s="187"/>
      <c r="AM98" s="184"/>
      <c r="AN98" s="554"/>
      <c r="AO98" s="190"/>
      <c r="AP98" s="190"/>
      <c r="AQ98" s="187"/>
      <c r="AR98" s="184"/>
      <c r="AS98" s="554"/>
      <c r="AT98" s="190"/>
      <c r="AU98" s="190"/>
      <c r="AV98" s="187"/>
      <c r="AW98" s="184"/>
      <c r="AX98" s="554"/>
    </row>
    <row r="99" spans="2:50" ht="14.25" customHeight="1">
      <c r="B99" s="525"/>
      <c r="C99" s="182">
        <v>13</v>
      </c>
      <c r="D99" s="185"/>
      <c r="E99" s="182"/>
      <c r="F99" s="182"/>
      <c r="G99" s="187"/>
      <c r="H99" s="554"/>
      <c r="I99" s="188"/>
      <c r="J99" s="188"/>
      <c r="K99" s="189"/>
      <c r="L99" s="555"/>
      <c r="M99" s="188"/>
      <c r="N99" s="525"/>
      <c r="O99" s="525"/>
      <c r="P99" s="190"/>
      <c r="Q99" s="190"/>
      <c r="R99" s="187"/>
      <c r="S99" s="184"/>
      <c r="T99" s="554"/>
      <c r="U99" s="190"/>
      <c r="V99" s="190"/>
      <c r="W99" s="187"/>
      <c r="X99" s="184"/>
      <c r="Y99" s="554"/>
      <c r="Z99" s="190"/>
      <c r="AA99" s="190"/>
      <c r="AB99" s="187"/>
      <c r="AC99" s="184"/>
      <c r="AD99" s="554"/>
      <c r="AE99" s="190"/>
      <c r="AF99" s="190"/>
      <c r="AG99" s="187"/>
      <c r="AH99" s="184"/>
      <c r="AI99" s="554"/>
      <c r="AJ99" s="190"/>
      <c r="AK99" s="190"/>
      <c r="AL99" s="187"/>
      <c r="AM99" s="184"/>
      <c r="AN99" s="554"/>
      <c r="AO99" s="190"/>
      <c r="AP99" s="190"/>
      <c r="AQ99" s="187"/>
      <c r="AR99" s="184"/>
      <c r="AS99" s="554"/>
      <c r="AT99" s="190"/>
      <c r="AU99" s="190"/>
      <c r="AV99" s="187"/>
      <c r="AW99" s="184"/>
      <c r="AX99" s="554"/>
    </row>
    <row r="100" spans="2:50" ht="14.25" customHeight="1">
      <c r="B100" s="525"/>
      <c r="C100" s="182">
        <v>14</v>
      </c>
      <c r="D100" s="185"/>
      <c r="E100" s="182"/>
      <c r="F100" s="182"/>
      <c r="G100" s="187"/>
      <c r="H100" s="554"/>
      <c r="I100" s="188"/>
      <c r="J100" s="188"/>
      <c r="K100" s="189"/>
      <c r="L100" s="555"/>
      <c r="M100" s="188"/>
      <c r="N100" s="525"/>
      <c r="O100" s="525"/>
      <c r="P100" s="190"/>
      <c r="Q100" s="190"/>
      <c r="R100" s="187"/>
      <c r="S100" s="184"/>
      <c r="T100" s="554"/>
      <c r="U100" s="190"/>
      <c r="V100" s="190"/>
      <c r="W100" s="187"/>
      <c r="X100" s="184"/>
      <c r="Y100" s="554"/>
      <c r="Z100" s="190"/>
      <c r="AA100" s="190"/>
      <c r="AB100" s="187"/>
      <c r="AC100" s="184"/>
      <c r="AD100" s="554"/>
      <c r="AE100" s="190"/>
      <c r="AF100" s="190"/>
      <c r="AG100" s="187"/>
      <c r="AH100" s="184"/>
      <c r="AI100" s="554"/>
      <c r="AJ100" s="190"/>
      <c r="AK100" s="190"/>
      <c r="AL100" s="187"/>
      <c r="AM100" s="184"/>
      <c r="AN100" s="554"/>
      <c r="AO100" s="190"/>
      <c r="AP100" s="190"/>
      <c r="AQ100" s="187"/>
      <c r="AR100" s="184"/>
      <c r="AS100" s="554"/>
      <c r="AT100" s="190"/>
      <c r="AU100" s="190"/>
      <c r="AV100" s="187"/>
      <c r="AW100" s="184"/>
      <c r="AX100" s="554"/>
    </row>
    <row r="101" spans="2:50" ht="14.25" customHeight="1">
      <c r="B101" s="525"/>
      <c r="C101" s="182">
        <v>15</v>
      </c>
      <c r="D101" s="185"/>
      <c r="E101" s="182"/>
      <c r="F101" s="182"/>
      <c r="G101" s="187"/>
      <c r="H101" s="554"/>
      <c r="I101" s="188"/>
      <c r="J101" s="188"/>
      <c r="K101" s="189"/>
      <c r="L101" s="555"/>
      <c r="M101" s="188"/>
      <c r="N101" s="525"/>
      <c r="O101" s="525"/>
      <c r="P101" s="190"/>
      <c r="Q101" s="190"/>
      <c r="R101" s="187"/>
      <c r="S101" s="184"/>
      <c r="T101" s="554"/>
      <c r="U101" s="190"/>
      <c r="V101" s="190"/>
      <c r="W101" s="187"/>
      <c r="X101" s="184"/>
      <c r="Y101" s="554"/>
      <c r="Z101" s="190"/>
      <c r="AA101" s="190"/>
      <c r="AB101" s="187"/>
      <c r="AC101" s="184"/>
      <c r="AD101" s="554"/>
      <c r="AE101" s="190"/>
      <c r="AF101" s="190"/>
      <c r="AG101" s="187"/>
      <c r="AH101" s="184"/>
      <c r="AI101" s="554"/>
      <c r="AJ101" s="190"/>
      <c r="AK101" s="190"/>
      <c r="AL101" s="187"/>
      <c r="AM101" s="184"/>
      <c r="AN101" s="554"/>
      <c r="AO101" s="190"/>
      <c r="AP101" s="190"/>
      <c r="AQ101" s="187"/>
      <c r="AR101" s="184"/>
      <c r="AS101" s="554"/>
      <c r="AT101" s="190"/>
      <c r="AU101" s="190"/>
      <c r="AV101" s="187"/>
      <c r="AW101" s="184"/>
      <c r="AX101" s="554"/>
    </row>
    <row r="102" spans="2:50" ht="14.25" customHeight="1" collapsed="1">
      <c r="B102" s="534" t="s">
        <v>650</v>
      </c>
      <c r="C102" s="535"/>
      <c r="D102" s="535"/>
      <c r="E102" s="535"/>
      <c r="F102" s="535"/>
      <c r="G102" s="535"/>
      <c r="H102" s="535"/>
      <c r="I102" s="535"/>
      <c r="J102" s="535"/>
      <c r="K102" s="535"/>
      <c r="L102" s="535"/>
      <c r="M102" s="536"/>
      <c r="N102" s="564" t="s">
        <v>378</v>
      </c>
      <c r="O102" s="564" t="s">
        <v>105</v>
      </c>
      <c r="P102" s="566">
        <f>AT82+1</f>
        <v>46112</v>
      </c>
      <c r="Q102" s="567"/>
      <c r="R102" s="567"/>
      <c r="S102" s="567"/>
      <c r="T102" s="567"/>
      <c r="U102" s="568">
        <f>P102+1</f>
        <v>46113</v>
      </c>
      <c r="V102" s="569"/>
      <c r="W102" s="569"/>
      <c r="X102" s="569"/>
      <c r="Y102" s="569"/>
      <c r="Z102" s="566">
        <f t="shared" ref="Z102" si="60">U102+1</f>
        <v>46114</v>
      </c>
      <c r="AA102" s="567"/>
      <c r="AB102" s="567"/>
      <c r="AC102" s="567"/>
      <c r="AD102" s="567"/>
      <c r="AE102" s="568">
        <f t="shared" ref="AE102" si="61">Z102+1</f>
        <v>46115</v>
      </c>
      <c r="AF102" s="569"/>
      <c r="AG102" s="569"/>
      <c r="AH102" s="569"/>
      <c r="AI102" s="569"/>
      <c r="AJ102" s="556">
        <f t="shared" ref="AJ102" si="62">AE102+1</f>
        <v>46116</v>
      </c>
      <c r="AK102" s="557"/>
      <c r="AL102" s="557"/>
      <c r="AM102" s="557"/>
      <c r="AN102" s="558"/>
      <c r="AO102" s="568">
        <f t="shared" ref="AO102" si="63">AJ102+1</f>
        <v>46117</v>
      </c>
      <c r="AP102" s="569"/>
      <c r="AQ102" s="569"/>
      <c r="AR102" s="569"/>
      <c r="AS102" s="569"/>
      <c r="AT102" s="556">
        <f t="shared" ref="AT102" si="64">AO102+1</f>
        <v>46118</v>
      </c>
      <c r="AU102" s="557"/>
      <c r="AV102" s="557"/>
      <c r="AW102" s="557"/>
      <c r="AX102" s="558"/>
    </row>
    <row r="103" spans="2:50" ht="14.25" customHeight="1">
      <c r="B103" s="537"/>
      <c r="C103" s="537"/>
      <c r="D103" s="537"/>
      <c r="E103" s="537"/>
      <c r="F103" s="537"/>
      <c r="G103" s="537"/>
      <c r="H103" s="537"/>
      <c r="I103" s="537"/>
      <c r="J103" s="537"/>
      <c r="K103" s="537"/>
      <c r="L103" s="537"/>
      <c r="M103" s="538"/>
      <c r="N103" s="565"/>
      <c r="O103" s="565"/>
      <c r="P103" s="559">
        <f>P102</f>
        <v>46112</v>
      </c>
      <c r="Q103" s="559"/>
      <c r="R103" s="559"/>
      <c r="S103" s="559"/>
      <c r="T103" s="559"/>
      <c r="U103" s="560">
        <f>U102</f>
        <v>46113</v>
      </c>
      <c r="V103" s="560"/>
      <c r="W103" s="560"/>
      <c r="X103" s="560"/>
      <c r="Y103" s="560"/>
      <c r="Z103" s="559">
        <f t="shared" ref="Z103" si="65">Z102</f>
        <v>46114</v>
      </c>
      <c r="AA103" s="559"/>
      <c r="AB103" s="559"/>
      <c r="AC103" s="559"/>
      <c r="AD103" s="559"/>
      <c r="AE103" s="560">
        <f t="shared" ref="AE103" si="66">AE102</f>
        <v>46115</v>
      </c>
      <c r="AF103" s="560"/>
      <c r="AG103" s="560"/>
      <c r="AH103" s="560"/>
      <c r="AI103" s="560"/>
      <c r="AJ103" s="561">
        <f t="shared" ref="AJ103" si="67">AJ102</f>
        <v>46116</v>
      </c>
      <c r="AK103" s="562"/>
      <c r="AL103" s="562"/>
      <c r="AM103" s="562"/>
      <c r="AN103" s="563"/>
      <c r="AO103" s="560">
        <f t="shared" ref="AO103" si="68">AO102</f>
        <v>46117</v>
      </c>
      <c r="AP103" s="560"/>
      <c r="AQ103" s="560"/>
      <c r="AR103" s="560"/>
      <c r="AS103" s="560"/>
      <c r="AT103" s="561">
        <f t="shared" ref="AT103" si="69">AT102</f>
        <v>46118</v>
      </c>
      <c r="AU103" s="562"/>
      <c r="AV103" s="562"/>
      <c r="AW103" s="562"/>
      <c r="AX103" s="563"/>
    </row>
    <row r="104" spans="2:50" ht="14.25" customHeight="1">
      <c r="B104" s="525" t="s">
        <v>164</v>
      </c>
      <c r="C104" s="525" t="s">
        <v>159</v>
      </c>
      <c r="D104" s="525"/>
      <c r="E104" s="525" t="s">
        <v>160</v>
      </c>
      <c r="F104" s="525"/>
      <c r="G104" s="525"/>
      <c r="H104" s="525" t="s">
        <v>165</v>
      </c>
      <c r="I104" s="544" t="s">
        <v>379</v>
      </c>
      <c r="J104" s="544"/>
      <c r="K104" s="544"/>
      <c r="L104" s="544" t="s">
        <v>165</v>
      </c>
      <c r="M104" s="544" t="s">
        <v>167</v>
      </c>
      <c r="N104" s="525"/>
      <c r="O104" s="525" t="s">
        <v>166</v>
      </c>
      <c r="P104" s="525" t="s">
        <v>162</v>
      </c>
      <c r="Q104" s="525"/>
      <c r="R104" s="525"/>
      <c r="S104" s="525"/>
      <c r="T104" s="525" t="s">
        <v>165</v>
      </c>
      <c r="U104" s="525" t="s">
        <v>162</v>
      </c>
      <c r="V104" s="525"/>
      <c r="W104" s="525"/>
      <c r="X104" s="525"/>
      <c r="Y104" s="525" t="s">
        <v>165</v>
      </c>
      <c r="Z104" s="525" t="s">
        <v>162</v>
      </c>
      <c r="AA104" s="525"/>
      <c r="AB104" s="525"/>
      <c r="AC104" s="525"/>
      <c r="AD104" s="525" t="s">
        <v>165</v>
      </c>
      <c r="AE104" s="525" t="s">
        <v>162</v>
      </c>
      <c r="AF104" s="525"/>
      <c r="AG104" s="525"/>
      <c r="AH104" s="525"/>
      <c r="AI104" s="525" t="s">
        <v>165</v>
      </c>
      <c r="AJ104" s="525" t="s">
        <v>162</v>
      </c>
      <c r="AK104" s="525"/>
      <c r="AL104" s="525"/>
      <c r="AM104" s="525"/>
      <c r="AN104" s="525" t="s">
        <v>165</v>
      </c>
      <c r="AO104" s="525" t="s">
        <v>162</v>
      </c>
      <c r="AP104" s="525"/>
      <c r="AQ104" s="525"/>
      <c r="AR104" s="525"/>
      <c r="AS104" s="525" t="s">
        <v>165</v>
      </c>
      <c r="AT104" s="525" t="s">
        <v>162</v>
      </c>
      <c r="AU104" s="525"/>
      <c r="AV104" s="525"/>
      <c r="AW104" s="525"/>
      <c r="AX104" s="525" t="s">
        <v>165</v>
      </c>
    </row>
    <row r="105" spans="2:50" ht="14.25" customHeight="1">
      <c r="B105" s="525"/>
      <c r="C105" s="525"/>
      <c r="D105" s="525"/>
      <c r="E105" s="525" t="s">
        <v>380</v>
      </c>
      <c r="F105" s="525"/>
      <c r="G105" s="525"/>
      <c r="H105" s="525"/>
      <c r="I105" s="544" t="s">
        <v>380</v>
      </c>
      <c r="J105" s="544"/>
      <c r="K105" s="544"/>
      <c r="L105" s="544"/>
      <c r="M105" s="544"/>
      <c r="N105" s="525"/>
      <c r="O105" s="525"/>
      <c r="P105" s="525" t="s">
        <v>381</v>
      </c>
      <c r="Q105" s="525"/>
      <c r="R105" s="525"/>
      <c r="S105" s="525"/>
      <c r="T105" s="525"/>
      <c r="U105" s="525" t="s">
        <v>381</v>
      </c>
      <c r="V105" s="525"/>
      <c r="W105" s="525"/>
      <c r="X105" s="525"/>
      <c r="Y105" s="525"/>
      <c r="Z105" s="525" t="s">
        <v>381</v>
      </c>
      <c r="AA105" s="525"/>
      <c r="AB105" s="525"/>
      <c r="AC105" s="525"/>
      <c r="AD105" s="525"/>
      <c r="AE105" s="525" t="s">
        <v>381</v>
      </c>
      <c r="AF105" s="525"/>
      <c r="AG105" s="525"/>
      <c r="AH105" s="525"/>
      <c r="AI105" s="525"/>
      <c r="AJ105" s="525" t="s">
        <v>381</v>
      </c>
      <c r="AK105" s="525"/>
      <c r="AL105" s="525"/>
      <c r="AM105" s="525"/>
      <c r="AN105" s="525"/>
      <c r="AO105" s="525" t="s">
        <v>381</v>
      </c>
      <c r="AP105" s="525"/>
      <c r="AQ105" s="525"/>
      <c r="AR105" s="525"/>
      <c r="AS105" s="525"/>
      <c r="AT105" s="525" t="s">
        <v>381</v>
      </c>
      <c r="AU105" s="525"/>
      <c r="AV105" s="525"/>
      <c r="AW105" s="525"/>
      <c r="AX105" s="525"/>
    </row>
    <row r="106" spans="2:50" ht="14.25" customHeight="1">
      <c r="B106" s="525"/>
      <c r="C106" s="525"/>
      <c r="D106" s="525"/>
      <c r="E106" s="182" t="s">
        <v>161</v>
      </c>
      <c r="F106" s="182" t="s">
        <v>382</v>
      </c>
      <c r="G106" s="182" t="s">
        <v>163</v>
      </c>
      <c r="H106" s="525"/>
      <c r="I106" s="183" t="s">
        <v>161</v>
      </c>
      <c r="J106" s="183" t="s">
        <v>382</v>
      </c>
      <c r="K106" s="183" t="s">
        <v>163</v>
      </c>
      <c r="L106" s="544"/>
      <c r="M106" s="544"/>
      <c r="N106" s="525"/>
      <c r="O106" s="525"/>
      <c r="P106" s="182" t="s">
        <v>161</v>
      </c>
      <c r="Q106" s="182" t="s">
        <v>382</v>
      </c>
      <c r="R106" s="182" t="s">
        <v>163</v>
      </c>
      <c r="S106" s="184" t="s">
        <v>167</v>
      </c>
      <c r="T106" s="525"/>
      <c r="U106" s="182" t="s">
        <v>161</v>
      </c>
      <c r="V106" s="182" t="s">
        <v>382</v>
      </c>
      <c r="W106" s="182" t="s">
        <v>163</v>
      </c>
      <c r="X106" s="184" t="s">
        <v>167</v>
      </c>
      <c r="Y106" s="525"/>
      <c r="Z106" s="182" t="s">
        <v>161</v>
      </c>
      <c r="AA106" s="182" t="s">
        <v>382</v>
      </c>
      <c r="AB106" s="182" t="s">
        <v>163</v>
      </c>
      <c r="AC106" s="184" t="s">
        <v>167</v>
      </c>
      <c r="AD106" s="525"/>
      <c r="AE106" s="182" t="s">
        <v>161</v>
      </c>
      <c r="AF106" s="182" t="s">
        <v>382</v>
      </c>
      <c r="AG106" s="182" t="s">
        <v>163</v>
      </c>
      <c r="AH106" s="184" t="s">
        <v>167</v>
      </c>
      <c r="AI106" s="525"/>
      <c r="AJ106" s="182" t="s">
        <v>161</v>
      </c>
      <c r="AK106" s="182" t="s">
        <v>382</v>
      </c>
      <c r="AL106" s="182" t="s">
        <v>163</v>
      </c>
      <c r="AM106" s="184" t="s">
        <v>167</v>
      </c>
      <c r="AN106" s="525"/>
      <c r="AO106" s="182" t="s">
        <v>161</v>
      </c>
      <c r="AP106" s="182" t="s">
        <v>382</v>
      </c>
      <c r="AQ106" s="182" t="s">
        <v>163</v>
      </c>
      <c r="AR106" s="184" t="s">
        <v>167</v>
      </c>
      <c r="AS106" s="525"/>
      <c r="AT106" s="182" t="s">
        <v>161</v>
      </c>
      <c r="AU106" s="182" t="s">
        <v>382</v>
      </c>
      <c r="AV106" s="182" t="s">
        <v>163</v>
      </c>
      <c r="AW106" s="184" t="s">
        <v>167</v>
      </c>
      <c r="AX106" s="525"/>
    </row>
    <row r="107" spans="2:50" ht="14.25" customHeight="1">
      <c r="B107" s="525" t="s">
        <v>385</v>
      </c>
      <c r="C107" s="182">
        <v>1</v>
      </c>
      <c r="D107" s="185"/>
      <c r="E107" s="182"/>
      <c r="F107" s="182"/>
      <c r="G107" s="187"/>
      <c r="H107" s="554"/>
      <c r="I107" s="188"/>
      <c r="J107" s="188"/>
      <c r="K107" s="189"/>
      <c r="L107" s="555" t="str">
        <f>IFERROR(AVERAGE(K107:K121),"-")</f>
        <v>-</v>
      </c>
      <c r="M107" s="188" t="e">
        <f>RANK(K107, K$87:$K$101)</f>
        <v>#N/A</v>
      </c>
      <c r="N107" s="525"/>
      <c r="O107" s="525"/>
      <c r="P107" s="190"/>
      <c r="Q107" s="190"/>
      <c r="R107" s="187"/>
      <c r="S107" s="184"/>
      <c r="T107" s="554"/>
      <c r="U107" s="190"/>
      <c r="V107" s="190"/>
      <c r="W107" s="187"/>
      <c r="X107" s="184"/>
      <c r="Y107" s="554"/>
      <c r="Z107" s="190"/>
      <c r="AA107" s="190"/>
      <c r="AB107" s="187"/>
      <c r="AC107" s="184"/>
      <c r="AD107" s="554"/>
      <c r="AE107" s="190"/>
      <c r="AF107" s="190"/>
      <c r="AG107" s="187"/>
      <c r="AH107" s="184"/>
      <c r="AI107" s="554"/>
      <c r="AJ107" s="190"/>
      <c r="AK107" s="190"/>
      <c r="AL107" s="187"/>
      <c r="AM107" s="184"/>
      <c r="AN107" s="554"/>
      <c r="AO107" s="190"/>
      <c r="AP107" s="190"/>
      <c r="AQ107" s="187"/>
      <c r="AR107" s="184"/>
      <c r="AS107" s="554"/>
      <c r="AT107" s="190"/>
      <c r="AU107" s="190"/>
      <c r="AV107" s="187"/>
      <c r="AW107" s="184"/>
      <c r="AX107" s="554"/>
    </row>
    <row r="108" spans="2:50" ht="14.25" customHeight="1">
      <c r="B108" s="525"/>
      <c r="C108" s="182">
        <v>2</v>
      </c>
      <c r="D108" s="185"/>
      <c r="E108" s="182"/>
      <c r="F108" s="182"/>
      <c r="G108" s="187"/>
      <c r="H108" s="554"/>
      <c r="I108" s="188"/>
      <c r="J108" s="188"/>
      <c r="K108" s="189"/>
      <c r="L108" s="555"/>
      <c r="M108" s="188" t="e">
        <f>RANK(K108, K$87:$K$101)</f>
        <v>#N/A</v>
      </c>
      <c r="N108" s="525"/>
      <c r="O108" s="525"/>
      <c r="P108" s="190"/>
      <c r="Q108" s="190"/>
      <c r="R108" s="187"/>
      <c r="S108" s="184"/>
      <c r="T108" s="554"/>
      <c r="U108" s="190"/>
      <c r="V108" s="190"/>
      <c r="W108" s="187"/>
      <c r="X108" s="184"/>
      <c r="Y108" s="554"/>
      <c r="Z108" s="190"/>
      <c r="AA108" s="190"/>
      <c r="AB108" s="187"/>
      <c r="AC108" s="184"/>
      <c r="AD108" s="554"/>
      <c r="AE108" s="190"/>
      <c r="AF108" s="190"/>
      <c r="AG108" s="187"/>
      <c r="AH108" s="184"/>
      <c r="AI108" s="554"/>
      <c r="AJ108" s="190"/>
      <c r="AK108" s="190"/>
      <c r="AL108" s="187"/>
      <c r="AM108" s="184"/>
      <c r="AN108" s="554"/>
      <c r="AO108" s="190"/>
      <c r="AP108" s="190"/>
      <c r="AQ108" s="187"/>
      <c r="AR108" s="184"/>
      <c r="AS108" s="554"/>
      <c r="AT108" s="190"/>
      <c r="AU108" s="190"/>
      <c r="AV108" s="187"/>
      <c r="AW108" s="184"/>
      <c r="AX108" s="554"/>
    </row>
    <row r="109" spans="2:50" ht="14.25" customHeight="1">
      <c r="B109" s="525"/>
      <c r="C109" s="182">
        <v>3</v>
      </c>
      <c r="D109" s="185"/>
      <c r="E109" s="182"/>
      <c r="F109" s="182"/>
      <c r="G109" s="187"/>
      <c r="H109" s="554"/>
      <c r="I109" s="188"/>
      <c r="J109" s="188"/>
      <c r="K109" s="189"/>
      <c r="L109" s="555"/>
      <c r="M109" s="188"/>
      <c r="N109" s="525"/>
      <c r="O109" s="525"/>
      <c r="P109" s="190"/>
      <c r="Q109" s="190"/>
      <c r="R109" s="187"/>
      <c r="S109" s="184"/>
      <c r="T109" s="554"/>
      <c r="U109" s="190"/>
      <c r="V109" s="190"/>
      <c r="W109" s="187"/>
      <c r="X109" s="184"/>
      <c r="Y109" s="554"/>
      <c r="Z109" s="190"/>
      <c r="AA109" s="190"/>
      <c r="AB109" s="187"/>
      <c r="AC109" s="184"/>
      <c r="AD109" s="554"/>
      <c r="AE109" s="190"/>
      <c r="AF109" s="190"/>
      <c r="AG109" s="187"/>
      <c r="AH109" s="184"/>
      <c r="AI109" s="554"/>
      <c r="AJ109" s="190"/>
      <c r="AK109" s="190"/>
      <c r="AL109" s="187"/>
      <c r="AM109" s="184"/>
      <c r="AN109" s="554"/>
      <c r="AO109" s="190"/>
      <c r="AP109" s="190"/>
      <c r="AQ109" s="187"/>
      <c r="AR109" s="184"/>
      <c r="AS109" s="554"/>
      <c r="AT109" s="190"/>
      <c r="AU109" s="190"/>
      <c r="AV109" s="187"/>
      <c r="AW109" s="184"/>
      <c r="AX109" s="554"/>
    </row>
    <row r="110" spans="2:50" ht="14.25" customHeight="1">
      <c r="B110" s="525"/>
      <c r="C110" s="182">
        <v>4</v>
      </c>
      <c r="D110" s="185"/>
      <c r="E110" s="182"/>
      <c r="F110" s="182"/>
      <c r="G110" s="187"/>
      <c r="H110" s="554"/>
      <c r="I110" s="188"/>
      <c r="J110" s="188"/>
      <c r="K110" s="189"/>
      <c r="L110" s="555"/>
      <c r="M110" s="188"/>
      <c r="N110" s="525"/>
      <c r="O110" s="525"/>
      <c r="P110" s="190"/>
      <c r="Q110" s="190"/>
      <c r="R110" s="187"/>
      <c r="S110" s="184"/>
      <c r="T110" s="554"/>
      <c r="U110" s="190"/>
      <c r="V110" s="190"/>
      <c r="W110" s="187"/>
      <c r="X110" s="184"/>
      <c r="Y110" s="554"/>
      <c r="Z110" s="190"/>
      <c r="AA110" s="190"/>
      <c r="AB110" s="187"/>
      <c r="AC110" s="184"/>
      <c r="AD110" s="554"/>
      <c r="AE110" s="190"/>
      <c r="AF110" s="190"/>
      <c r="AG110" s="187"/>
      <c r="AH110" s="184"/>
      <c r="AI110" s="554"/>
      <c r="AJ110" s="190"/>
      <c r="AK110" s="190"/>
      <c r="AL110" s="187"/>
      <c r="AM110" s="184"/>
      <c r="AN110" s="554"/>
      <c r="AO110" s="190"/>
      <c r="AP110" s="190"/>
      <c r="AQ110" s="187"/>
      <c r="AR110" s="184"/>
      <c r="AS110" s="554"/>
      <c r="AT110" s="190"/>
      <c r="AU110" s="190"/>
      <c r="AV110" s="187"/>
      <c r="AW110" s="184"/>
      <c r="AX110" s="554"/>
    </row>
    <row r="111" spans="2:50" ht="14.25" customHeight="1">
      <c r="B111" s="525"/>
      <c r="C111" s="182">
        <v>5</v>
      </c>
      <c r="D111" s="185"/>
      <c r="E111" s="182"/>
      <c r="F111" s="182"/>
      <c r="G111" s="187"/>
      <c r="H111" s="554"/>
      <c r="I111" s="188"/>
      <c r="J111" s="188"/>
      <c r="K111" s="189"/>
      <c r="L111" s="555"/>
      <c r="M111" s="188"/>
      <c r="N111" s="525"/>
      <c r="O111" s="525"/>
      <c r="P111" s="190"/>
      <c r="Q111" s="190"/>
      <c r="R111" s="187"/>
      <c r="S111" s="184"/>
      <c r="T111" s="554"/>
      <c r="U111" s="190"/>
      <c r="V111" s="190"/>
      <c r="W111" s="187"/>
      <c r="X111" s="184"/>
      <c r="Y111" s="554"/>
      <c r="Z111" s="190"/>
      <c r="AA111" s="190"/>
      <c r="AB111" s="187"/>
      <c r="AC111" s="184"/>
      <c r="AD111" s="554"/>
      <c r="AE111" s="190"/>
      <c r="AF111" s="190"/>
      <c r="AG111" s="187"/>
      <c r="AH111" s="184"/>
      <c r="AI111" s="554"/>
      <c r="AJ111" s="190"/>
      <c r="AK111" s="190"/>
      <c r="AL111" s="187"/>
      <c r="AM111" s="184"/>
      <c r="AN111" s="554"/>
      <c r="AO111" s="190"/>
      <c r="AP111" s="190"/>
      <c r="AQ111" s="187"/>
      <c r="AR111" s="184"/>
      <c r="AS111" s="554"/>
      <c r="AT111" s="190"/>
      <c r="AU111" s="190"/>
      <c r="AV111" s="187"/>
      <c r="AW111" s="184"/>
      <c r="AX111" s="554"/>
    </row>
    <row r="112" spans="2:50" ht="14.25" customHeight="1">
      <c r="B112" s="525"/>
      <c r="C112" s="182">
        <v>6</v>
      </c>
      <c r="D112" s="185"/>
      <c r="E112" s="182"/>
      <c r="F112" s="182"/>
      <c r="G112" s="187"/>
      <c r="H112" s="554"/>
      <c r="I112" s="188"/>
      <c r="J112" s="188"/>
      <c r="K112" s="189"/>
      <c r="L112" s="555"/>
      <c r="M112" s="188"/>
      <c r="N112" s="525"/>
      <c r="O112" s="525"/>
      <c r="P112" s="190"/>
      <c r="Q112" s="190"/>
      <c r="R112" s="187"/>
      <c r="S112" s="184"/>
      <c r="T112" s="554"/>
      <c r="U112" s="190"/>
      <c r="V112" s="190"/>
      <c r="W112" s="187"/>
      <c r="X112" s="184"/>
      <c r="Y112" s="554"/>
      <c r="Z112" s="190"/>
      <c r="AA112" s="190"/>
      <c r="AB112" s="187"/>
      <c r="AC112" s="184"/>
      <c r="AD112" s="554"/>
      <c r="AE112" s="190"/>
      <c r="AF112" s="190"/>
      <c r="AG112" s="187"/>
      <c r="AH112" s="184"/>
      <c r="AI112" s="554"/>
      <c r="AJ112" s="190"/>
      <c r="AK112" s="190"/>
      <c r="AL112" s="187"/>
      <c r="AM112" s="184"/>
      <c r="AN112" s="554"/>
      <c r="AO112" s="190"/>
      <c r="AP112" s="190"/>
      <c r="AQ112" s="187"/>
      <c r="AR112" s="184"/>
      <c r="AS112" s="554"/>
      <c r="AT112" s="190"/>
      <c r="AU112" s="190"/>
      <c r="AV112" s="187"/>
      <c r="AW112" s="184"/>
      <c r="AX112" s="554"/>
    </row>
    <row r="113" spans="2:50" ht="14.25" customHeight="1">
      <c r="B113" s="525"/>
      <c r="C113" s="182">
        <v>7</v>
      </c>
      <c r="D113" s="185"/>
      <c r="E113" s="182"/>
      <c r="F113" s="182"/>
      <c r="G113" s="187"/>
      <c r="H113" s="554"/>
      <c r="I113" s="188"/>
      <c r="J113" s="188"/>
      <c r="K113" s="189"/>
      <c r="L113" s="555"/>
      <c r="M113" s="188"/>
      <c r="N113" s="525"/>
      <c r="O113" s="525"/>
      <c r="P113" s="190"/>
      <c r="Q113" s="190"/>
      <c r="R113" s="187"/>
      <c r="S113" s="184"/>
      <c r="T113" s="554"/>
      <c r="U113" s="190"/>
      <c r="V113" s="190"/>
      <c r="W113" s="187"/>
      <c r="X113" s="184"/>
      <c r="Y113" s="554"/>
      <c r="Z113" s="190"/>
      <c r="AA113" s="190"/>
      <c r="AB113" s="187"/>
      <c r="AC113" s="184"/>
      <c r="AD113" s="554"/>
      <c r="AE113" s="190"/>
      <c r="AF113" s="190"/>
      <c r="AG113" s="187"/>
      <c r="AH113" s="184"/>
      <c r="AI113" s="554"/>
      <c r="AJ113" s="190"/>
      <c r="AK113" s="190"/>
      <c r="AL113" s="187"/>
      <c r="AM113" s="184"/>
      <c r="AN113" s="554"/>
      <c r="AO113" s="190"/>
      <c r="AP113" s="190"/>
      <c r="AQ113" s="187"/>
      <c r="AR113" s="184"/>
      <c r="AS113" s="554"/>
      <c r="AT113" s="190"/>
      <c r="AU113" s="190"/>
      <c r="AV113" s="187"/>
      <c r="AW113" s="184"/>
      <c r="AX113" s="554"/>
    </row>
    <row r="114" spans="2:50" ht="14.25" customHeight="1">
      <c r="B114" s="525"/>
      <c r="C114" s="182">
        <v>8</v>
      </c>
      <c r="D114" s="185"/>
      <c r="E114" s="182"/>
      <c r="F114" s="182"/>
      <c r="G114" s="187"/>
      <c r="H114" s="554"/>
      <c r="I114" s="188"/>
      <c r="J114" s="188"/>
      <c r="K114" s="189"/>
      <c r="L114" s="555"/>
      <c r="M114" s="188"/>
      <c r="N114" s="525"/>
      <c r="O114" s="525"/>
      <c r="P114" s="190"/>
      <c r="Q114" s="190"/>
      <c r="R114" s="187"/>
      <c r="S114" s="184"/>
      <c r="T114" s="554"/>
      <c r="U114" s="190"/>
      <c r="V114" s="190"/>
      <c r="W114" s="187"/>
      <c r="X114" s="184"/>
      <c r="Y114" s="554"/>
      <c r="Z114" s="190"/>
      <c r="AA114" s="190"/>
      <c r="AB114" s="187"/>
      <c r="AC114" s="184"/>
      <c r="AD114" s="554"/>
      <c r="AE114" s="190"/>
      <c r="AF114" s="190"/>
      <c r="AG114" s="187"/>
      <c r="AH114" s="184"/>
      <c r="AI114" s="554"/>
      <c r="AJ114" s="190"/>
      <c r="AK114" s="190"/>
      <c r="AL114" s="187"/>
      <c r="AM114" s="184"/>
      <c r="AN114" s="554"/>
      <c r="AO114" s="190"/>
      <c r="AP114" s="190"/>
      <c r="AQ114" s="187"/>
      <c r="AR114" s="184"/>
      <c r="AS114" s="554"/>
      <c r="AT114" s="190"/>
      <c r="AU114" s="190"/>
      <c r="AV114" s="187"/>
      <c r="AW114" s="184"/>
      <c r="AX114" s="554"/>
    </row>
    <row r="115" spans="2:50" ht="14.25" customHeight="1">
      <c r="B115" s="525"/>
      <c r="C115" s="182">
        <v>9</v>
      </c>
      <c r="D115" s="185"/>
      <c r="E115" s="182"/>
      <c r="F115" s="182"/>
      <c r="G115" s="187"/>
      <c r="H115" s="554"/>
      <c r="I115" s="188"/>
      <c r="J115" s="188"/>
      <c r="K115" s="189"/>
      <c r="L115" s="555"/>
      <c r="M115" s="188"/>
      <c r="N115" s="525"/>
      <c r="O115" s="525"/>
      <c r="P115" s="190"/>
      <c r="Q115" s="190"/>
      <c r="R115" s="187"/>
      <c r="S115" s="184"/>
      <c r="T115" s="554"/>
      <c r="U115" s="190"/>
      <c r="V115" s="190"/>
      <c r="W115" s="187"/>
      <c r="X115" s="184"/>
      <c r="Y115" s="554"/>
      <c r="Z115" s="190"/>
      <c r="AA115" s="190"/>
      <c r="AB115" s="187"/>
      <c r="AC115" s="184"/>
      <c r="AD115" s="554"/>
      <c r="AE115" s="190"/>
      <c r="AF115" s="190"/>
      <c r="AG115" s="187"/>
      <c r="AH115" s="184"/>
      <c r="AI115" s="554"/>
      <c r="AJ115" s="190"/>
      <c r="AK115" s="190"/>
      <c r="AL115" s="187"/>
      <c r="AM115" s="184"/>
      <c r="AN115" s="554"/>
      <c r="AO115" s="190"/>
      <c r="AP115" s="190"/>
      <c r="AQ115" s="187"/>
      <c r="AR115" s="184"/>
      <c r="AS115" s="554"/>
      <c r="AT115" s="190"/>
      <c r="AU115" s="190"/>
      <c r="AV115" s="187"/>
      <c r="AW115" s="184"/>
      <c r="AX115" s="554"/>
    </row>
    <row r="116" spans="2:50" ht="14.25" customHeight="1">
      <c r="B116" s="525"/>
      <c r="C116" s="182">
        <v>10</v>
      </c>
      <c r="D116" s="185"/>
      <c r="E116" s="182"/>
      <c r="F116" s="182"/>
      <c r="G116" s="187"/>
      <c r="H116" s="554"/>
      <c r="I116" s="188"/>
      <c r="J116" s="188"/>
      <c r="K116" s="189"/>
      <c r="L116" s="555"/>
      <c r="M116" s="188"/>
      <c r="N116" s="525"/>
      <c r="O116" s="525"/>
      <c r="P116" s="190"/>
      <c r="Q116" s="190"/>
      <c r="R116" s="187"/>
      <c r="S116" s="184"/>
      <c r="T116" s="554"/>
      <c r="U116" s="190"/>
      <c r="V116" s="190"/>
      <c r="W116" s="187"/>
      <c r="X116" s="184"/>
      <c r="Y116" s="554"/>
      <c r="Z116" s="190"/>
      <c r="AA116" s="190"/>
      <c r="AB116" s="187"/>
      <c r="AC116" s="184"/>
      <c r="AD116" s="554"/>
      <c r="AE116" s="190"/>
      <c r="AF116" s="190"/>
      <c r="AG116" s="187"/>
      <c r="AH116" s="184"/>
      <c r="AI116" s="554"/>
      <c r="AJ116" s="190"/>
      <c r="AK116" s="190"/>
      <c r="AL116" s="187"/>
      <c r="AM116" s="184"/>
      <c r="AN116" s="554"/>
      <c r="AO116" s="190"/>
      <c r="AP116" s="190"/>
      <c r="AQ116" s="187"/>
      <c r="AR116" s="184"/>
      <c r="AS116" s="554"/>
      <c r="AT116" s="190"/>
      <c r="AU116" s="190"/>
      <c r="AV116" s="187"/>
      <c r="AW116" s="184"/>
      <c r="AX116" s="554"/>
    </row>
    <row r="117" spans="2:50" ht="14.25" customHeight="1">
      <c r="B117" s="525"/>
      <c r="C117" s="182">
        <v>11</v>
      </c>
      <c r="D117" s="185"/>
      <c r="E117" s="182"/>
      <c r="F117" s="182"/>
      <c r="G117" s="187"/>
      <c r="H117" s="554"/>
      <c r="I117" s="188"/>
      <c r="J117" s="188"/>
      <c r="K117" s="189"/>
      <c r="L117" s="555"/>
      <c r="M117" s="188"/>
      <c r="N117" s="525"/>
      <c r="O117" s="525"/>
      <c r="P117" s="190"/>
      <c r="Q117" s="190"/>
      <c r="R117" s="187"/>
      <c r="S117" s="184"/>
      <c r="T117" s="554"/>
      <c r="U117" s="190"/>
      <c r="V117" s="190"/>
      <c r="W117" s="187"/>
      <c r="X117" s="184"/>
      <c r="Y117" s="554"/>
      <c r="Z117" s="190"/>
      <c r="AA117" s="190"/>
      <c r="AB117" s="187"/>
      <c r="AC117" s="184"/>
      <c r="AD117" s="554"/>
      <c r="AE117" s="190"/>
      <c r="AF117" s="190"/>
      <c r="AG117" s="187"/>
      <c r="AH117" s="184"/>
      <c r="AI117" s="554"/>
      <c r="AJ117" s="190"/>
      <c r="AK117" s="190"/>
      <c r="AL117" s="187"/>
      <c r="AM117" s="184"/>
      <c r="AN117" s="554"/>
      <c r="AO117" s="190"/>
      <c r="AP117" s="190"/>
      <c r="AQ117" s="187"/>
      <c r="AR117" s="184"/>
      <c r="AS117" s="554"/>
      <c r="AT117" s="190"/>
      <c r="AU117" s="190"/>
      <c r="AV117" s="187"/>
      <c r="AW117" s="184"/>
      <c r="AX117" s="554"/>
    </row>
    <row r="118" spans="2:50" ht="14.25" customHeight="1">
      <c r="B118" s="525"/>
      <c r="C118" s="182">
        <v>12</v>
      </c>
      <c r="D118" s="185"/>
      <c r="E118" s="182"/>
      <c r="F118" s="182"/>
      <c r="G118" s="187"/>
      <c r="H118" s="554"/>
      <c r="I118" s="188"/>
      <c r="J118" s="188"/>
      <c r="K118" s="189"/>
      <c r="L118" s="555"/>
      <c r="M118" s="188"/>
      <c r="N118" s="525"/>
      <c r="O118" s="525"/>
      <c r="P118" s="190"/>
      <c r="Q118" s="190"/>
      <c r="R118" s="187"/>
      <c r="S118" s="184"/>
      <c r="T118" s="554"/>
      <c r="U118" s="190"/>
      <c r="V118" s="190"/>
      <c r="W118" s="187"/>
      <c r="X118" s="184"/>
      <c r="Y118" s="554"/>
      <c r="Z118" s="190"/>
      <c r="AA118" s="190"/>
      <c r="AB118" s="187"/>
      <c r="AC118" s="184"/>
      <c r="AD118" s="554"/>
      <c r="AE118" s="190"/>
      <c r="AF118" s="190"/>
      <c r="AG118" s="187"/>
      <c r="AH118" s="184"/>
      <c r="AI118" s="554"/>
      <c r="AJ118" s="190"/>
      <c r="AK118" s="190"/>
      <c r="AL118" s="187"/>
      <c r="AM118" s="184"/>
      <c r="AN118" s="554"/>
      <c r="AO118" s="190"/>
      <c r="AP118" s="190"/>
      <c r="AQ118" s="187"/>
      <c r="AR118" s="184"/>
      <c r="AS118" s="554"/>
      <c r="AT118" s="190"/>
      <c r="AU118" s="190"/>
      <c r="AV118" s="187"/>
      <c r="AW118" s="184"/>
      <c r="AX118" s="554"/>
    </row>
    <row r="119" spans="2:50" ht="14.25" customHeight="1">
      <c r="B119" s="525"/>
      <c r="C119" s="182">
        <v>13</v>
      </c>
      <c r="D119" s="185"/>
      <c r="E119" s="182"/>
      <c r="F119" s="182"/>
      <c r="G119" s="187"/>
      <c r="H119" s="554"/>
      <c r="I119" s="188"/>
      <c r="J119" s="188"/>
      <c r="K119" s="189"/>
      <c r="L119" s="555"/>
      <c r="M119" s="188"/>
      <c r="N119" s="525"/>
      <c r="O119" s="525"/>
      <c r="P119" s="190"/>
      <c r="Q119" s="190"/>
      <c r="R119" s="187"/>
      <c r="S119" s="184"/>
      <c r="T119" s="554"/>
      <c r="U119" s="190"/>
      <c r="V119" s="190"/>
      <c r="W119" s="187"/>
      <c r="X119" s="184"/>
      <c r="Y119" s="554"/>
      <c r="Z119" s="190"/>
      <c r="AA119" s="190"/>
      <c r="AB119" s="187"/>
      <c r="AC119" s="184"/>
      <c r="AD119" s="554"/>
      <c r="AE119" s="190"/>
      <c r="AF119" s="190"/>
      <c r="AG119" s="187"/>
      <c r="AH119" s="184"/>
      <c r="AI119" s="554"/>
      <c r="AJ119" s="190"/>
      <c r="AK119" s="190"/>
      <c r="AL119" s="187"/>
      <c r="AM119" s="184"/>
      <c r="AN119" s="554"/>
      <c r="AO119" s="190"/>
      <c r="AP119" s="190"/>
      <c r="AQ119" s="187"/>
      <c r="AR119" s="184"/>
      <c r="AS119" s="554"/>
      <c r="AT119" s="190"/>
      <c r="AU119" s="190"/>
      <c r="AV119" s="187"/>
      <c r="AW119" s="184"/>
      <c r="AX119" s="554"/>
    </row>
    <row r="120" spans="2:50" ht="14.25" customHeight="1">
      <c r="B120" s="525"/>
      <c r="C120" s="182">
        <v>14</v>
      </c>
      <c r="D120" s="185"/>
      <c r="E120" s="182"/>
      <c r="F120" s="182"/>
      <c r="G120" s="187"/>
      <c r="H120" s="554"/>
      <c r="I120" s="188"/>
      <c r="J120" s="188"/>
      <c r="K120" s="189"/>
      <c r="L120" s="555"/>
      <c r="M120" s="188"/>
      <c r="N120" s="525"/>
      <c r="O120" s="525"/>
      <c r="P120" s="190"/>
      <c r="Q120" s="190"/>
      <c r="R120" s="187"/>
      <c r="S120" s="184"/>
      <c r="T120" s="554"/>
      <c r="U120" s="190"/>
      <c r="V120" s="190"/>
      <c r="W120" s="187"/>
      <c r="X120" s="184"/>
      <c r="Y120" s="554"/>
      <c r="Z120" s="190"/>
      <c r="AA120" s="190"/>
      <c r="AB120" s="187"/>
      <c r="AC120" s="184"/>
      <c r="AD120" s="554"/>
      <c r="AE120" s="190"/>
      <c r="AF120" s="190"/>
      <c r="AG120" s="187"/>
      <c r="AH120" s="184"/>
      <c r="AI120" s="554"/>
      <c r="AJ120" s="190"/>
      <c r="AK120" s="190"/>
      <c r="AL120" s="187"/>
      <c r="AM120" s="184"/>
      <c r="AN120" s="554"/>
      <c r="AO120" s="190"/>
      <c r="AP120" s="190"/>
      <c r="AQ120" s="187"/>
      <c r="AR120" s="184"/>
      <c r="AS120" s="554"/>
      <c r="AT120" s="190"/>
      <c r="AU120" s="190"/>
      <c r="AV120" s="187"/>
      <c r="AW120" s="184"/>
      <c r="AX120" s="554"/>
    </row>
    <row r="121" spans="2:50" ht="14.25" customHeight="1">
      <c r="B121" s="525"/>
      <c r="C121" s="182">
        <v>15</v>
      </c>
      <c r="D121" s="185"/>
      <c r="E121" s="182"/>
      <c r="F121" s="182"/>
      <c r="G121" s="187"/>
      <c r="H121" s="554"/>
      <c r="I121" s="188"/>
      <c r="J121" s="188"/>
      <c r="K121" s="189"/>
      <c r="L121" s="555"/>
      <c r="M121" s="188"/>
      <c r="N121" s="525"/>
      <c r="O121" s="525"/>
      <c r="P121" s="190"/>
      <c r="Q121" s="190"/>
      <c r="R121" s="187"/>
      <c r="S121" s="184"/>
      <c r="T121" s="554"/>
      <c r="U121" s="190"/>
      <c r="V121" s="190"/>
      <c r="W121" s="187"/>
      <c r="X121" s="184"/>
      <c r="Y121" s="554"/>
      <c r="Z121" s="190"/>
      <c r="AA121" s="190"/>
      <c r="AB121" s="187"/>
      <c r="AC121" s="184"/>
      <c r="AD121" s="554"/>
      <c r="AE121" s="190"/>
      <c r="AF121" s="190"/>
      <c r="AG121" s="187"/>
      <c r="AH121" s="184"/>
      <c r="AI121" s="554"/>
      <c r="AJ121" s="190"/>
      <c r="AK121" s="190"/>
      <c r="AL121" s="187"/>
      <c r="AM121" s="184"/>
      <c r="AN121" s="554"/>
      <c r="AO121" s="190"/>
      <c r="AP121" s="190"/>
      <c r="AQ121" s="187"/>
      <c r="AR121" s="184"/>
      <c r="AS121" s="554"/>
      <c r="AT121" s="190"/>
      <c r="AU121" s="190"/>
      <c r="AV121" s="187"/>
      <c r="AW121" s="184"/>
      <c r="AX121" s="554"/>
    </row>
  </sheetData>
  <mergeCells count="354"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21"/>
  <sheetViews>
    <sheetView zoomScaleNormal="100" workbookViewId="0">
      <pane xSplit="13" ySplit="1" topLeftCell="N91" activePane="bottomRight" state="frozen"/>
      <selection activeCell="L95" sqref="L95"/>
      <selection pane="topRight" activeCell="L95" sqref="L95"/>
      <selection pane="bottomLeft" activeCell="L95" sqref="L95"/>
      <selection pane="bottomRight" activeCell="A42" sqref="A42:XFD121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9" bestFit="1" customWidth="1"/>
    <col min="4" max="4" width="26.453125" style="178" customWidth="1"/>
    <col min="5" max="5" width="7.7265625" style="179" customWidth="1"/>
    <col min="6" max="7" width="8.7265625" style="179" customWidth="1"/>
    <col min="8" max="8" width="10.7265625" style="179" customWidth="1"/>
    <col min="9" max="9" width="7.7265625" style="180" customWidth="1"/>
    <col min="10" max="11" width="8.7265625" style="180" customWidth="1"/>
    <col min="12" max="12" width="10.7265625" style="180" customWidth="1"/>
    <col min="13" max="13" width="5.7265625" style="180" customWidth="1"/>
    <col min="14" max="14" width="9.81640625" style="179" customWidth="1"/>
    <col min="15" max="15" width="7.1796875" style="179" customWidth="1"/>
    <col min="16" max="16" width="7.7265625" style="179" customWidth="1"/>
    <col min="17" max="18" width="8.7265625" style="179" customWidth="1"/>
    <col min="19" max="19" width="5.7265625" style="180" customWidth="1"/>
    <col min="20" max="20" width="10.7265625" style="179" customWidth="1"/>
    <col min="21" max="21" width="7.7265625" style="78" customWidth="1"/>
    <col min="22" max="23" width="8.7265625" style="78" customWidth="1"/>
    <col min="24" max="24" width="5.453125" style="180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80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80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80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81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81" customWidth="1"/>
    <col min="50" max="50" width="10.7265625" style="78" customWidth="1"/>
    <col min="51" max="16384" width="8.81640625" style="78"/>
  </cols>
  <sheetData>
    <row r="1" spans="1:50" ht="24.5">
      <c r="A1" s="74"/>
      <c r="B1" s="370" t="s">
        <v>651</v>
      </c>
      <c r="C1" s="177">
        <f>AVERAGE(L27,L47,L67,L87)</f>
        <v>78.207319083847608</v>
      </c>
    </row>
    <row r="2" spans="1:50" ht="14.25" customHeight="1" collapsed="1">
      <c r="B2" s="534" t="s">
        <v>559</v>
      </c>
      <c r="C2" s="535"/>
      <c r="D2" s="535"/>
      <c r="E2" s="535"/>
      <c r="F2" s="535"/>
      <c r="G2" s="535"/>
      <c r="H2" s="535"/>
      <c r="I2" s="535"/>
      <c r="J2" s="535"/>
      <c r="K2" s="535"/>
      <c r="L2" s="535"/>
      <c r="M2" s="536"/>
      <c r="N2" s="564" t="s">
        <v>378</v>
      </c>
      <c r="O2" s="564" t="s">
        <v>105</v>
      </c>
      <c r="P2" s="566">
        <v>46077</v>
      </c>
      <c r="Q2" s="567"/>
      <c r="R2" s="567"/>
      <c r="S2" s="567"/>
      <c r="T2" s="567"/>
      <c r="U2" s="568">
        <f>P2+1</f>
        <v>46078</v>
      </c>
      <c r="V2" s="569"/>
      <c r="W2" s="569"/>
      <c r="X2" s="569"/>
      <c r="Y2" s="569"/>
      <c r="Z2" s="566">
        <f t="shared" ref="Z2" si="0">U2+1</f>
        <v>46079</v>
      </c>
      <c r="AA2" s="567"/>
      <c r="AB2" s="567"/>
      <c r="AC2" s="567"/>
      <c r="AD2" s="567"/>
      <c r="AE2" s="568">
        <f t="shared" ref="AE2" si="1">Z2+1</f>
        <v>46080</v>
      </c>
      <c r="AF2" s="569"/>
      <c r="AG2" s="569"/>
      <c r="AH2" s="569"/>
      <c r="AI2" s="569"/>
      <c r="AJ2" s="556">
        <f t="shared" ref="AJ2" si="2">AE2+1</f>
        <v>46081</v>
      </c>
      <c r="AK2" s="557"/>
      <c r="AL2" s="557"/>
      <c r="AM2" s="557"/>
      <c r="AN2" s="558"/>
      <c r="AO2" s="568">
        <f t="shared" ref="AO2" si="3">AJ2+1</f>
        <v>46082</v>
      </c>
      <c r="AP2" s="569"/>
      <c r="AQ2" s="569"/>
      <c r="AR2" s="569"/>
      <c r="AS2" s="569"/>
      <c r="AT2" s="556">
        <f t="shared" ref="AT2" si="4">AO2+1</f>
        <v>46083</v>
      </c>
      <c r="AU2" s="557"/>
      <c r="AV2" s="557"/>
      <c r="AW2" s="557"/>
      <c r="AX2" s="558"/>
    </row>
    <row r="3" spans="1:50" ht="14.25" customHeight="1"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8"/>
      <c r="N3" s="565"/>
      <c r="O3" s="565"/>
      <c r="P3" s="559">
        <f>P2</f>
        <v>46077</v>
      </c>
      <c r="Q3" s="559"/>
      <c r="R3" s="559"/>
      <c r="S3" s="559"/>
      <c r="T3" s="559"/>
      <c r="U3" s="560">
        <f>U2</f>
        <v>46078</v>
      </c>
      <c r="V3" s="560"/>
      <c r="W3" s="560"/>
      <c r="X3" s="560"/>
      <c r="Y3" s="560"/>
      <c r="Z3" s="559">
        <f t="shared" ref="Z3" si="5">Z2</f>
        <v>46079</v>
      </c>
      <c r="AA3" s="559"/>
      <c r="AB3" s="559"/>
      <c r="AC3" s="559"/>
      <c r="AD3" s="559"/>
      <c r="AE3" s="560">
        <f t="shared" ref="AE3" si="6">AE2</f>
        <v>46080</v>
      </c>
      <c r="AF3" s="560"/>
      <c r="AG3" s="560"/>
      <c r="AH3" s="560"/>
      <c r="AI3" s="560"/>
      <c r="AJ3" s="561">
        <f t="shared" ref="AJ3" si="7">AJ2</f>
        <v>46081</v>
      </c>
      <c r="AK3" s="562"/>
      <c r="AL3" s="562"/>
      <c r="AM3" s="562"/>
      <c r="AN3" s="563"/>
      <c r="AO3" s="560">
        <f t="shared" ref="AO3" si="8">AO2</f>
        <v>46082</v>
      </c>
      <c r="AP3" s="560"/>
      <c r="AQ3" s="560"/>
      <c r="AR3" s="560"/>
      <c r="AS3" s="560"/>
      <c r="AT3" s="561">
        <f t="shared" ref="AT3" si="9">AT2</f>
        <v>46083</v>
      </c>
      <c r="AU3" s="562"/>
      <c r="AV3" s="562"/>
      <c r="AW3" s="562"/>
      <c r="AX3" s="563"/>
    </row>
    <row r="4" spans="1:50" ht="14.25" customHeight="1">
      <c r="B4" s="525" t="s">
        <v>164</v>
      </c>
      <c r="C4" s="525" t="s">
        <v>159</v>
      </c>
      <c r="D4" s="525"/>
      <c r="E4" s="525" t="s">
        <v>160</v>
      </c>
      <c r="F4" s="525"/>
      <c r="G4" s="525"/>
      <c r="H4" s="525" t="s">
        <v>165</v>
      </c>
      <c r="I4" s="544" t="s">
        <v>379</v>
      </c>
      <c r="J4" s="544"/>
      <c r="K4" s="544"/>
      <c r="L4" s="544" t="s">
        <v>165</v>
      </c>
      <c r="M4" s="544" t="s">
        <v>167</v>
      </c>
      <c r="N4" s="525"/>
      <c r="O4" s="525" t="s">
        <v>166</v>
      </c>
      <c r="P4" s="525" t="s">
        <v>162</v>
      </c>
      <c r="Q4" s="525"/>
      <c r="R4" s="525"/>
      <c r="S4" s="525"/>
      <c r="T4" s="525" t="s">
        <v>165</v>
      </c>
      <c r="U4" s="525" t="s">
        <v>162</v>
      </c>
      <c r="V4" s="525"/>
      <c r="W4" s="525"/>
      <c r="X4" s="525"/>
      <c r="Y4" s="525" t="s">
        <v>165</v>
      </c>
      <c r="Z4" s="525" t="s">
        <v>162</v>
      </c>
      <c r="AA4" s="525"/>
      <c r="AB4" s="525"/>
      <c r="AC4" s="525"/>
      <c r="AD4" s="525" t="s">
        <v>165</v>
      </c>
      <c r="AE4" s="525" t="s">
        <v>162</v>
      </c>
      <c r="AF4" s="525"/>
      <c r="AG4" s="525"/>
      <c r="AH4" s="525"/>
      <c r="AI4" s="525" t="s">
        <v>165</v>
      </c>
      <c r="AJ4" s="525" t="s">
        <v>162</v>
      </c>
      <c r="AK4" s="525"/>
      <c r="AL4" s="525"/>
      <c r="AM4" s="525"/>
      <c r="AN4" s="525" t="s">
        <v>165</v>
      </c>
      <c r="AO4" s="525" t="s">
        <v>162</v>
      </c>
      <c r="AP4" s="525"/>
      <c r="AQ4" s="525"/>
      <c r="AR4" s="525"/>
      <c r="AS4" s="525" t="s">
        <v>165</v>
      </c>
      <c r="AT4" s="525" t="s">
        <v>162</v>
      </c>
      <c r="AU4" s="525"/>
      <c r="AV4" s="525"/>
      <c r="AW4" s="525"/>
      <c r="AX4" s="525" t="s">
        <v>165</v>
      </c>
    </row>
    <row r="5" spans="1:50" ht="14.25" customHeight="1">
      <c r="B5" s="525"/>
      <c r="C5" s="525"/>
      <c r="D5" s="525"/>
      <c r="E5" s="525" t="s">
        <v>380</v>
      </c>
      <c r="F5" s="525"/>
      <c r="G5" s="525"/>
      <c r="H5" s="525"/>
      <c r="I5" s="544" t="s">
        <v>380</v>
      </c>
      <c r="J5" s="544"/>
      <c r="K5" s="544"/>
      <c r="L5" s="544"/>
      <c r="M5" s="544"/>
      <c r="N5" s="525"/>
      <c r="O5" s="525"/>
      <c r="P5" s="525" t="s">
        <v>381</v>
      </c>
      <c r="Q5" s="525"/>
      <c r="R5" s="525"/>
      <c r="S5" s="525"/>
      <c r="T5" s="525"/>
      <c r="U5" s="525" t="s">
        <v>381</v>
      </c>
      <c r="V5" s="525"/>
      <c r="W5" s="525"/>
      <c r="X5" s="525"/>
      <c r="Y5" s="525"/>
      <c r="Z5" s="525" t="s">
        <v>381</v>
      </c>
      <c r="AA5" s="525"/>
      <c r="AB5" s="525"/>
      <c r="AC5" s="525"/>
      <c r="AD5" s="525"/>
      <c r="AE5" s="525" t="s">
        <v>381</v>
      </c>
      <c r="AF5" s="525"/>
      <c r="AG5" s="525"/>
      <c r="AH5" s="525"/>
      <c r="AI5" s="525"/>
      <c r="AJ5" s="525" t="s">
        <v>381</v>
      </c>
      <c r="AK5" s="525"/>
      <c r="AL5" s="525"/>
      <c r="AM5" s="525"/>
      <c r="AN5" s="525"/>
      <c r="AO5" s="525" t="s">
        <v>381</v>
      </c>
      <c r="AP5" s="525"/>
      <c r="AQ5" s="525"/>
      <c r="AR5" s="525"/>
      <c r="AS5" s="525"/>
      <c r="AT5" s="525" t="s">
        <v>381</v>
      </c>
      <c r="AU5" s="525"/>
      <c r="AV5" s="525"/>
      <c r="AW5" s="525"/>
      <c r="AX5" s="525"/>
    </row>
    <row r="6" spans="1:50" ht="14.25" customHeight="1">
      <c r="B6" s="525"/>
      <c r="C6" s="525"/>
      <c r="D6" s="525"/>
      <c r="E6" s="182" t="s">
        <v>161</v>
      </c>
      <c r="F6" s="182" t="s">
        <v>382</v>
      </c>
      <c r="G6" s="182" t="s">
        <v>163</v>
      </c>
      <c r="H6" s="525"/>
      <c r="I6" s="183" t="s">
        <v>161</v>
      </c>
      <c r="J6" s="183" t="s">
        <v>382</v>
      </c>
      <c r="K6" s="183" t="s">
        <v>163</v>
      </c>
      <c r="L6" s="544"/>
      <c r="M6" s="544"/>
      <c r="N6" s="525"/>
      <c r="O6" s="525"/>
      <c r="P6" s="182" t="s">
        <v>161</v>
      </c>
      <c r="Q6" s="182" t="s">
        <v>382</v>
      </c>
      <c r="R6" s="182" t="s">
        <v>163</v>
      </c>
      <c r="S6" s="184" t="s">
        <v>167</v>
      </c>
      <c r="T6" s="525"/>
      <c r="U6" s="182" t="s">
        <v>161</v>
      </c>
      <c r="V6" s="182" t="s">
        <v>382</v>
      </c>
      <c r="W6" s="182" t="s">
        <v>163</v>
      </c>
      <c r="X6" s="184" t="s">
        <v>167</v>
      </c>
      <c r="Y6" s="525"/>
      <c r="Z6" s="182" t="s">
        <v>161</v>
      </c>
      <c r="AA6" s="182" t="s">
        <v>382</v>
      </c>
      <c r="AB6" s="182" t="s">
        <v>163</v>
      </c>
      <c r="AC6" s="184" t="s">
        <v>167</v>
      </c>
      <c r="AD6" s="525"/>
      <c r="AE6" s="182" t="s">
        <v>161</v>
      </c>
      <c r="AF6" s="182" t="s">
        <v>382</v>
      </c>
      <c r="AG6" s="182" t="s">
        <v>163</v>
      </c>
      <c r="AH6" s="184" t="s">
        <v>167</v>
      </c>
      <c r="AI6" s="525"/>
      <c r="AJ6" s="182" t="s">
        <v>161</v>
      </c>
      <c r="AK6" s="182" t="s">
        <v>382</v>
      </c>
      <c r="AL6" s="182" t="s">
        <v>163</v>
      </c>
      <c r="AM6" s="184" t="s">
        <v>167</v>
      </c>
      <c r="AN6" s="525"/>
      <c r="AO6" s="182" t="s">
        <v>161</v>
      </c>
      <c r="AP6" s="182" t="s">
        <v>382</v>
      </c>
      <c r="AQ6" s="182" t="s">
        <v>163</v>
      </c>
      <c r="AR6" s="184" t="s">
        <v>167</v>
      </c>
      <c r="AS6" s="525"/>
      <c r="AT6" s="182" t="s">
        <v>161</v>
      </c>
      <c r="AU6" s="182" t="s">
        <v>382</v>
      </c>
      <c r="AV6" s="182" t="s">
        <v>163</v>
      </c>
      <c r="AW6" s="184" t="s">
        <v>167</v>
      </c>
      <c r="AX6" s="525"/>
    </row>
    <row r="7" spans="1:50" ht="14.25" customHeight="1">
      <c r="B7" s="525" t="s">
        <v>358</v>
      </c>
      <c r="C7" s="182">
        <v>1</v>
      </c>
      <c r="D7" s="185" t="s">
        <v>347</v>
      </c>
      <c r="E7" s="182">
        <v>25</v>
      </c>
      <c r="F7" s="182">
        <v>2000</v>
      </c>
      <c r="G7" s="187">
        <f t="shared" ref="G7:G16" si="10">F7/E7</f>
        <v>80</v>
      </c>
      <c r="H7" s="554">
        <f>AVERAGE(G7:G21)</f>
        <v>91.706004140786746</v>
      </c>
      <c r="I7" s="188">
        <f>AVERAGE(P7,U7,Z7,AE7,AJ7,AO7,AT7)</f>
        <v>25</v>
      </c>
      <c r="J7" s="188">
        <f>AVERAGE(Q7,V7,AA7,AF7,AK7,AP7,AU7)</f>
        <v>1782.7376248896433</v>
      </c>
      <c r="K7" s="189">
        <f>AVERAGE(R7,W7,AB7,AG7,AL7,AQ7,AV7)</f>
        <v>71.309504995585712</v>
      </c>
      <c r="L7" s="555">
        <f>IFERROR(AVERAGE(K7:K21),"-")</f>
        <v>79.96347046137852</v>
      </c>
      <c r="M7" s="188">
        <f>RANK(K7, K$7:$K$21)</f>
        <v>9</v>
      </c>
      <c r="N7" s="525"/>
      <c r="O7" s="525"/>
      <c r="P7" s="190">
        <v>25</v>
      </c>
      <c r="Q7" s="190">
        <v>1782.813002896685</v>
      </c>
      <c r="R7" s="187">
        <f>IFERROR(Q7/P7,"")</f>
        <v>71.3125201158674</v>
      </c>
      <c r="S7" s="184">
        <f>RANK(R7, R$7:R$21)</f>
        <v>8</v>
      </c>
      <c r="T7" s="554">
        <f>AVERAGE(R7:R21)</f>
        <v>82.034058268429931</v>
      </c>
      <c r="U7" s="190">
        <v>25</v>
      </c>
      <c r="V7" s="190">
        <v>1782.7397260273976</v>
      </c>
      <c r="W7" s="187">
        <f t="shared" ref="W7:W14" si="11">IFERROR(V7/U7,"")</f>
        <v>71.309589041095904</v>
      </c>
      <c r="X7" s="184">
        <f>RANK(W7, W$7:W$21)</f>
        <v>8</v>
      </c>
      <c r="Y7" s="554">
        <f>AVERAGE(W7:W21)</f>
        <v>82.035390737517702</v>
      </c>
      <c r="Z7" s="190">
        <v>25</v>
      </c>
      <c r="AA7" s="190">
        <v>1782.6965738230217</v>
      </c>
      <c r="AB7" s="187">
        <f t="shared" ref="AB7:AB14" si="12">IFERROR(AA7/Z7,"")</f>
        <v>71.307862952920871</v>
      </c>
      <c r="AC7" s="184">
        <f>RANK(AB7, AB$7:AB$21)</f>
        <v>8</v>
      </c>
      <c r="AD7" s="554">
        <f>AVERAGE(AB7:AB21)</f>
        <v>82.041487516453543</v>
      </c>
      <c r="AE7" s="190">
        <v>25</v>
      </c>
      <c r="AF7" s="190">
        <v>1782.6780313445149</v>
      </c>
      <c r="AG7" s="187">
        <f>IFERROR(AF7/AE7,"")</f>
        <v>71.307121253780593</v>
      </c>
      <c r="AH7" s="184">
        <f>RANK(AG7, AG$7:AG$21)</f>
        <v>7</v>
      </c>
      <c r="AI7" s="554">
        <f>AVERAGE(AG7:AG21)</f>
        <v>81.014667568589743</v>
      </c>
      <c r="AJ7" s="190">
        <v>25</v>
      </c>
      <c r="AK7" s="190">
        <v>1782.6791592808308</v>
      </c>
      <c r="AL7" s="187">
        <f t="shared" ref="AL7:AL14" si="13">IFERROR(AK7/AJ7,"")</f>
        <v>71.307166371233237</v>
      </c>
      <c r="AM7" s="184">
        <f>RANK(AL7, AL$7:AL$21)</f>
        <v>7</v>
      </c>
      <c r="AN7" s="554">
        <f>AVERAGE(AL7:AL21)</f>
        <v>81.023618447988852</v>
      </c>
      <c r="AO7" s="190">
        <v>25</v>
      </c>
      <c r="AP7" s="190">
        <v>1782.7530594820232</v>
      </c>
      <c r="AQ7" s="187">
        <f t="shared" ref="AQ7:AQ14" si="14">IFERROR(AP7/AO7,"")</f>
        <v>71.310122379280926</v>
      </c>
      <c r="AR7" s="184" t="e">
        <f xml:space="preserve"> RANK(AQ7,#REF!)</f>
        <v>#REF!</v>
      </c>
      <c r="AS7" s="554">
        <f>AVERAGE(AQ7:AQ21)</f>
        <v>81.023294081340325</v>
      </c>
      <c r="AT7" s="190">
        <v>25</v>
      </c>
      <c r="AU7" s="190">
        <v>1782.8038213730283</v>
      </c>
      <c r="AV7" s="187">
        <f t="shared" ref="AV7:AV16" si="15">IFERROR(AU7/AT7,"")</f>
        <v>71.312152854921138</v>
      </c>
      <c r="AW7" s="184">
        <f>RANK(AV7, AV$7:AV$21)</f>
        <v>8</v>
      </c>
      <c r="AX7" s="554">
        <f>AVERAGE(AV7:AV21)</f>
        <v>76.801377319573447</v>
      </c>
    </row>
    <row r="8" spans="1:50" ht="14.25" customHeight="1">
      <c r="B8" s="525"/>
      <c r="C8" s="182">
        <v>2</v>
      </c>
      <c r="D8" s="185" t="s">
        <v>346</v>
      </c>
      <c r="E8" s="182">
        <v>23</v>
      </c>
      <c r="F8" s="182">
        <v>2000</v>
      </c>
      <c r="G8" s="187">
        <f t="shared" si="10"/>
        <v>86.956521739130437</v>
      </c>
      <c r="H8" s="554"/>
      <c r="I8" s="188">
        <f t="shared" ref="I8:K16" si="16">AVERAGE(P8,U8,Z8,AE8,AJ8,AO8,AT8)</f>
        <v>23.142857142857142</v>
      </c>
      <c r="J8" s="188">
        <f t="shared" si="16"/>
        <v>1783.5847059920795</v>
      </c>
      <c r="K8" s="189">
        <f t="shared" si="16"/>
        <v>77.085560479850727</v>
      </c>
      <c r="L8" s="555"/>
      <c r="M8" s="188">
        <f>RANK(K8, K$7:$K$21)</f>
        <v>6</v>
      </c>
      <c r="N8" s="525"/>
      <c r="O8" s="525"/>
      <c r="P8" s="190">
        <v>23</v>
      </c>
      <c r="Q8" s="190">
        <v>1783.4160170092132</v>
      </c>
      <c r="R8" s="187">
        <f t="shared" ref="R8:R14" si="17">IFERROR(Q8/P8,"")</f>
        <v>77.539826826487527</v>
      </c>
      <c r="S8" s="184">
        <f t="shared" ref="S8:S14" si="18">RANK(R8, R$7:R$21)</f>
        <v>5</v>
      </c>
      <c r="T8" s="554"/>
      <c r="U8" s="190">
        <v>23</v>
      </c>
      <c r="V8" s="190">
        <v>1783.6106750392505</v>
      </c>
      <c r="W8" s="187">
        <f t="shared" si="11"/>
        <v>77.548290219097851</v>
      </c>
      <c r="X8" s="184">
        <f t="shared" ref="X8:X14" si="19">RANK(W8, W$7:W$21)</f>
        <v>5</v>
      </c>
      <c r="Y8" s="554"/>
      <c r="Z8" s="190">
        <v>23</v>
      </c>
      <c r="AA8" s="190">
        <v>1783.6748404433984</v>
      </c>
      <c r="AB8" s="187">
        <f t="shared" si="12"/>
        <v>77.551080019278189</v>
      </c>
      <c r="AC8" s="184">
        <f t="shared" ref="AC8:AC14" si="20">RANK(AB8, AB$7:AB$21)</f>
        <v>5</v>
      </c>
      <c r="AD8" s="554"/>
      <c r="AE8" s="190">
        <v>23</v>
      </c>
      <c r="AF8" s="190">
        <v>1783.5164835164815</v>
      </c>
      <c r="AG8" s="187">
        <f t="shared" ref="AG8:AG14" si="21">IFERROR(AF8/AE8,"")</f>
        <v>77.544194935499192</v>
      </c>
      <c r="AH8" s="184">
        <f t="shared" ref="AH8:AH14" si="22">RANK(AG8, AG$7:AG$21)</f>
        <v>4</v>
      </c>
      <c r="AI8" s="554"/>
      <c r="AJ8" s="190">
        <v>23</v>
      </c>
      <c r="AK8" s="190">
        <v>1783.5783071464775</v>
      </c>
      <c r="AL8" s="187">
        <f t="shared" si="13"/>
        <v>77.54688291941207</v>
      </c>
      <c r="AM8" s="184">
        <f t="shared" ref="AM8:AM14" si="23">RANK(AL8, AL$7:AL$21)</f>
        <v>4</v>
      </c>
      <c r="AN8" s="554"/>
      <c r="AO8" s="190">
        <v>23</v>
      </c>
      <c r="AP8" s="190">
        <v>1783.6717062634984</v>
      </c>
      <c r="AQ8" s="187">
        <f t="shared" si="14"/>
        <v>77.550943750586882</v>
      </c>
      <c r="AR8" s="184" t="e">
        <f xml:space="preserve"> RANK(AQ8,#REF!)</f>
        <v>#REF!</v>
      </c>
      <c r="AS8" s="554"/>
      <c r="AT8" s="190">
        <v>24</v>
      </c>
      <c r="AU8" s="190">
        <v>1783.6249125262389</v>
      </c>
      <c r="AV8" s="187">
        <f t="shared" si="15"/>
        <v>74.317704688593281</v>
      </c>
      <c r="AW8" s="184">
        <f t="shared" ref="AW8:AW16" si="24">RANK(AV8, AV$7:AV$21)</f>
        <v>5</v>
      </c>
      <c r="AX8" s="554"/>
    </row>
    <row r="9" spans="1:50" ht="14.25" customHeight="1">
      <c r="B9" s="525"/>
      <c r="C9" s="182">
        <v>3</v>
      </c>
      <c r="D9" s="185" t="s">
        <v>359</v>
      </c>
      <c r="E9" s="182">
        <v>23</v>
      </c>
      <c r="F9" s="182">
        <v>2000</v>
      </c>
      <c r="G9" s="187">
        <f t="shared" si="10"/>
        <v>86.956521739130437</v>
      </c>
      <c r="H9" s="554"/>
      <c r="I9" s="188">
        <f t="shared" si="16"/>
        <v>23.142857142857142</v>
      </c>
      <c r="J9" s="188">
        <f t="shared" si="16"/>
        <v>1782.6195886982309</v>
      </c>
      <c r="K9" s="189">
        <f t="shared" si="16"/>
        <v>77.043873083483774</v>
      </c>
      <c r="L9" s="555"/>
      <c r="M9" s="188">
        <f>RANK(K9, K$7:$K$21)</f>
        <v>7</v>
      </c>
      <c r="N9" s="525"/>
      <c r="O9" s="525"/>
      <c r="P9" s="190">
        <v>23</v>
      </c>
      <c r="Q9" s="190">
        <v>1782.6191913095936</v>
      </c>
      <c r="R9" s="187">
        <f t="shared" si="17"/>
        <v>77.505182230851901</v>
      </c>
      <c r="S9" s="184">
        <f t="shared" si="18"/>
        <v>6</v>
      </c>
      <c r="T9" s="554"/>
      <c r="U9" s="190">
        <v>23</v>
      </c>
      <c r="V9" s="190">
        <v>1782.738780207138</v>
      </c>
      <c r="W9" s="187">
        <f t="shared" si="11"/>
        <v>77.510381748136439</v>
      </c>
      <c r="X9" s="184">
        <f t="shared" si="19"/>
        <v>6</v>
      </c>
      <c r="Y9" s="554"/>
      <c r="Z9" s="190">
        <v>23</v>
      </c>
      <c r="AA9" s="190">
        <v>1782.6415094339634</v>
      </c>
      <c r="AB9" s="187">
        <f t="shared" si="12"/>
        <v>77.50615258408537</v>
      </c>
      <c r="AC9" s="184">
        <f t="shared" si="20"/>
        <v>6</v>
      </c>
      <c r="AD9" s="554"/>
      <c r="AE9" s="190">
        <v>23</v>
      </c>
      <c r="AF9" s="190">
        <v>1782.6366559485557</v>
      </c>
      <c r="AG9" s="187">
        <f t="shared" si="21"/>
        <v>77.505941562980681</v>
      </c>
      <c r="AH9" s="184">
        <f t="shared" si="22"/>
        <v>5</v>
      </c>
      <c r="AI9" s="554"/>
      <c r="AJ9" s="190">
        <v>23</v>
      </c>
      <c r="AK9" s="190">
        <v>1782.6114054222467</v>
      </c>
      <c r="AL9" s="187">
        <f t="shared" si="13"/>
        <v>77.504843714010718</v>
      </c>
      <c r="AM9" s="184">
        <f t="shared" si="23"/>
        <v>5</v>
      </c>
      <c r="AN9" s="554"/>
      <c r="AO9" s="190">
        <v>23</v>
      </c>
      <c r="AP9" s="190">
        <v>1782.5242718446611</v>
      </c>
      <c r="AQ9" s="187">
        <f t="shared" si="14"/>
        <v>77.501055297593965</v>
      </c>
      <c r="AR9" s="184" t="e">
        <f xml:space="preserve"> RANK(AQ9,#REF!)</f>
        <v>#REF!</v>
      </c>
      <c r="AS9" s="554"/>
      <c r="AT9" s="190">
        <v>24</v>
      </c>
      <c r="AU9" s="190">
        <v>1782.5653067214564</v>
      </c>
      <c r="AV9" s="187">
        <f t="shared" si="15"/>
        <v>74.273554446727346</v>
      </c>
      <c r="AW9" s="184">
        <f t="shared" si="24"/>
        <v>6</v>
      </c>
      <c r="AX9" s="554"/>
    </row>
    <row r="10" spans="1:50" ht="14.25" customHeight="1">
      <c r="B10" s="525"/>
      <c r="C10" s="182">
        <v>4</v>
      </c>
      <c r="D10" s="185" t="s">
        <v>348</v>
      </c>
      <c r="E10" s="182">
        <v>23</v>
      </c>
      <c r="F10" s="182">
        <v>2000</v>
      </c>
      <c r="G10" s="187">
        <f t="shared" si="10"/>
        <v>86.956521739130437</v>
      </c>
      <c r="H10" s="554"/>
      <c r="I10" s="188">
        <f t="shared" si="16"/>
        <v>23.142857142857142</v>
      </c>
      <c r="J10" s="188">
        <f t="shared" si="16"/>
        <v>1781.5903238994902</v>
      </c>
      <c r="K10" s="189">
        <f t="shared" si="16"/>
        <v>76.999289798463252</v>
      </c>
      <c r="L10" s="555"/>
      <c r="M10" s="188">
        <f>RANK(K10, K$7:$K$21)</f>
        <v>8</v>
      </c>
      <c r="N10" s="525"/>
      <c r="O10" s="525"/>
      <c r="P10" s="190">
        <v>23</v>
      </c>
      <c r="Q10" s="190">
        <v>1781.4334832055044</v>
      </c>
      <c r="R10" s="187">
        <f t="shared" si="17"/>
        <v>77.453629704587144</v>
      </c>
      <c r="S10" s="184">
        <f t="shared" si="18"/>
        <v>7</v>
      </c>
      <c r="T10" s="554"/>
      <c r="U10" s="190">
        <v>23</v>
      </c>
      <c r="V10" s="190">
        <v>1781.5170586286856</v>
      </c>
      <c r="W10" s="187">
        <f t="shared" si="11"/>
        <v>77.457263418638505</v>
      </c>
      <c r="X10" s="184">
        <f t="shared" si="19"/>
        <v>7</v>
      </c>
      <c r="Y10" s="554"/>
      <c r="Z10" s="190">
        <v>23</v>
      </c>
      <c r="AA10" s="190">
        <v>1781.3504823151152</v>
      </c>
      <c r="AB10" s="187">
        <f t="shared" si="12"/>
        <v>77.450020970222397</v>
      </c>
      <c r="AC10" s="184">
        <f t="shared" si="20"/>
        <v>7</v>
      </c>
      <c r="AD10" s="554"/>
      <c r="AE10" s="190">
        <v>23</v>
      </c>
      <c r="AF10" s="190">
        <v>1781.3229571984421</v>
      </c>
      <c r="AG10" s="187">
        <f t="shared" si="21"/>
        <v>77.448824226019227</v>
      </c>
      <c r="AH10" s="184">
        <f t="shared" si="22"/>
        <v>6</v>
      </c>
      <c r="AI10" s="554"/>
      <c r="AJ10" s="190">
        <v>23</v>
      </c>
      <c r="AK10" s="190">
        <v>1781.6949152542388</v>
      </c>
      <c r="AL10" s="187">
        <f t="shared" si="13"/>
        <v>77.464996315401692</v>
      </c>
      <c r="AM10" s="184">
        <f t="shared" si="23"/>
        <v>6</v>
      </c>
      <c r="AN10" s="554"/>
      <c r="AO10" s="190">
        <v>23</v>
      </c>
      <c r="AP10" s="190">
        <v>1781.8947368421068</v>
      </c>
      <c r="AQ10" s="187">
        <f t="shared" si="14"/>
        <v>77.473684210526386</v>
      </c>
      <c r="AR10" s="184" t="e">
        <f xml:space="preserve"> RANK(AQ10,#REF!)</f>
        <v>#REF!</v>
      </c>
      <c r="AS10" s="554"/>
      <c r="AT10" s="190">
        <v>24</v>
      </c>
      <c r="AU10" s="190">
        <v>1781.9186338523377</v>
      </c>
      <c r="AV10" s="187">
        <f t="shared" si="15"/>
        <v>74.246609743847401</v>
      </c>
      <c r="AW10" s="184">
        <f t="shared" si="24"/>
        <v>7</v>
      </c>
      <c r="AX10" s="554"/>
    </row>
    <row r="11" spans="1:50" ht="14.25" customHeight="1">
      <c r="B11" s="525"/>
      <c r="C11" s="182">
        <v>5</v>
      </c>
      <c r="D11" s="185" t="s">
        <v>455</v>
      </c>
      <c r="E11" s="182">
        <v>20</v>
      </c>
      <c r="F11" s="182">
        <v>2000</v>
      </c>
      <c r="G11" s="187">
        <f t="shared" si="10"/>
        <v>100</v>
      </c>
      <c r="H11" s="554"/>
      <c r="I11" s="188">
        <f t="shared" si="16"/>
        <v>20</v>
      </c>
      <c r="J11" s="188">
        <f t="shared" si="16"/>
        <v>1784.4743599668157</v>
      </c>
      <c r="K11" s="189">
        <f t="shared" si="16"/>
        <v>89.223717998340774</v>
      </c>
      <c r="L11" s="555"/>
      <c r="M11" s="188">
        <f>RANK(K11, K$7:$K$21)</f>
        <v>2</v>
      </c>
      <c r="N11" s="525"/>
      <c r="O11" s="525"/>
      <c r="P11" s="190">
        <v>20</v>
      </c>
      <c r="Q11" s="190">
        <v>1784.2565597667635</v>
      </c>
      <c r="R11" s="187">
        <f t="shared" si="17"/>
        <v>89.212827988338177</v>
      </c>
      <c r="S11" s="184">
        <f t="shared" si="18"/>
        <v>2</v>
      </c>
      <c r="T11" s="554"/>
      <c r="U11" s="190">
        <v>20</v>
      </c>
      <c r="V11" s="190">
        <v>1784.0425531914836</v>
      </c>
      <c r="W11" s="187">
        <f t="shared" si="11"/>
        <v>89.202127659574188</v>
      </c>
      <c r="X11" s="184">
        <f t="shared" si="19"/>
        <v>2</v>
      </c>
      <c r="Y11" s="554"/>
      <c r="Z11" s="190">
        <v>20</v>
      </c>
      <c r="AA11" s="190">
        <v>1785.1239669422</v>
      </c>
      <c r="AB11" s="187">
        <f t="shared" si="12"/>
        <v>89.256198347110001</v>
      </c>
      <c r="AC11" s="184">
        <f t="shared" si="20"/>
        <v>2</v>
      </c>
      <c r="AD11" s="554"/>
      <c r="AE11" s="190"/>
      <c r="AF11" s="190"/>
      <c r="AG11" s="187"/>
      <c r="AH11" s="184"/>
      <c r="AI11" s="554"/>
      <c r="AJ11" s="190"/>
      <c r="AK11" s="190"/>
      <c r="AL11" s="187"/>
      <c r="AM11" s="184"/>
      <c r="AN11" s="554"/>
      <c r="AO11" s="190"/>
      <c r="AP11" s="190"/>
      <c r="AQ11" s="187"/>
      <c r="AR11" s="184"/>
      <c r="AS11" s="554"/>
      <c r="AT11" s="190"/>
      <c r="AU11" s="190"/>
      <c r="AV11" s="187"/>
      <c r="AW11" s="184"/>
      <c r="AX11" s="554"/>
    </row>
    <row r="12" spans="1:50" ht="14.25" customHeight="1">
      <c r="B12" s="525"/>
      <c r="C12" s="182">
        <v>6</v>
      </c>
      <c r="D12" s="185" t="s">
        <v>475</v>
      </c>
      <c r="E12" s="182">
        <v>21</v>
      </c>
      <c r="F12" s="182">
        <v>2000</v>
      </c>
      <c r="G12" s="187">
        <f t="shared" si="10"/>
        <v>95.238095238095241</v>
      </c>
      <c r="H12" s="554"/>
      <c r="I12" s="188">
        <f t="shared" si="16"/>
        <v>21.142857142857142</v>
      </c>
      <c r="J12" s="188">
        <f t="shared" si="16"/>
        <v>1784.3491569571138</v>
      </c>
      <c r="K12" s="189">
        <f t="shared" si="16"/>
        <v>84.417141369531024</v>
      </c>
      <c r="L12" s="555"/>
      <c r="M12" s="188">
        <f>RANK(K12, K$7:$K$21)</f>
        <v>3</v>
      </c>
      <c r="N12" s="525"/>
      <c r="O12" s="525"/>
      <c r="P12" s="190">
        <v>21</v>
      </c>
      <c r="Q12" s="190">
        <v>1784.1971112999174</v>
      </c>
      <c r="R12" s="187">
        <f t="shared" si="17"/>
        <v>84.961767204757976</v>
      </c>
      <c r="S12" s="184">
        <f t="shared" si="18"/>
        <v>3</v>
      </c>
      <c r="T12" s="554"/>
      <c r="U12" s="190">
        <v>21</v>
      </c>
      <c r="V12" s="190">
        <v>1783.8180856689628</v>
      </c>
      <c r="W12" s="187">
        <f t="shared" si="11"/>
        <v>84.943718365188701</v>
      </c>
      <c r="X12" s="184">
        <f t="shared" si="19"/>
        <v>3</v>
      </c>
      <c r="Y12" s="554"/>
      <c r="Z12" s="190">
        <v>21</v>
      </c>
      <c r="AA12" s="190">
        <v>1783.9381320642469</v>
      </c>
      <c r="AB12" s="187">
        <f t="shared" si="12"/>
        <v>84.949434860202231</v>
      </c>
      <c r="AC12" s="184">
        <f t="shared" si="20"/>
        <v>3</v>
      </c>
      <c r="AD12" s="554"/>
      <c r="AE12" s="190">
        <v>21</v>
      </c>
      <c r="AF12" s="190">
        <v>1784.1549295774598</v>
      </c>
      <c r="AG12" s="187">
        <f t="shared" si="21"/>
        <v>84.959758551307615</v>
      </c>
      <c r="AH12" s="184">
        <f t="shared" si="22"/>
        <v>2</v>
      </c>
      <c r="AI12" s="554"/>
      <c r="AJ12" s="190">
        <v>21</v>
      </c>
      <c r="AK12" s="190">
        <v>1784.8550950451875</v>
      </c>
      <c r="AL12" s="187">
        <f t="shared" si="13"/>
        <v>84.993099764056552</v>
      </c>
      <c r="AM12" s="184">
        <f t="shared" si="23"/>
        <v>2</v>
      </c>
      <c r="AN12" s="554"/>
      <c r="AO12" s="190">
        <v>21</v>
      </c>
      <c r="AP12" s="190">
        <v>1784.7457627118633</v>
      </c>
      <c r="AQ12" s="187">
        <f t="shared" si="14"/>
        <v>84.987893462469685</v>
      </c>
      <c r="AR12" s="184" t="e">
        <f xml:space="preserve"> RANK(AQ12,#REF!)</f>
        <v>#REF!</v>
      </c>
      <c r="AS12" s="554"/>
      <c r="AT12" s="190">
        <v>22</v>
      </c>
      <c r="AU12" s="190">
        <v>1784.734982332157</v>
      </c>
      <c r="AV12" s="187">
        <f t="shared" si="15"/>
        <v>81.124317378734403</v>
      </c>
      <c r="AW12" s="184">
        <f t="shared" si="24"/>
        <v>2</v>
      </c>
      <c r="AX12" s="554"/>
    </row>
    <row r="13" spans="1:50" ht="14.25" customHeight="1">
      <c r="B13" s="525"/>
      <c r="C13" s="182">
        <v>7</v>
      </c>
      <c r="D13" s="185" t="s">
        <v>512</v>
      </c>
      <c r="E13" s="182">
        <v>19</v>
      </c>
      <c r="F13" s="182">
        <v>1800</v>
      </c>
      <c r="G13" s="187">
        <f t="shared" si="10"/>
        <v>94.736842105263165</v>
      </c>
      <c r="H13" s="554"/>
      <c r="I13" s="188">
        <f t="shared" si="16"/>
        <v>19.142857142857142</v>
      </c>
      <c r="J13" s="188">
        <f t="shared" si="16"/>
        <v>1604.4334908856597</v>
      </c>
      <c r="K13" s="189">
        <f t="shared" si="16"/>
        <v>83.84071128628544</v>
      </c>
      <c r="L13" s="555"/>
      <c r="M13" s="188">
        <f>RANK(K13, K$7:$K$21)</f>
        <v>4</v>
      </c>
      <c r="N13" s="525"/>
      <c r="O13" s="525"/>
      <c r="P13" s="190">
        <v>19</v>
      </c>
      <c r="Q13" s="190">
        <v>1604.2811967891039</v>
      </c>
      <c r="R13" s="187">
        <f t="shared" si="17"/>
        <v>84.435852462584421</v>
      </c>
      <c r="S13" s="184">
        <f t="shared" si="18"/>
        <v>4</v>
      </c>
      <c r="T13" s="554"/>
      <c r="U13" s="190">
        <v>19</v>
      </c>
      <c r="V13" s="190">
        <v>1604.5480386583299</v>
      </c>
      <c r="W13" s="187">
        <f t="shared" si="11"/>
        <v>84.449896771491055</v>
      </c>
      <c r="X13" s="184">
        <f t="shared" si="19"/>
        <v>4</v>
      </c>
      <c r="Y13" s="554"/>
      <c r="Z13" s="190">
        <v>19</v>
      </c>
      <c r="AA13" s="190">
        <v>1604.4711951848674</v>
      </c>
      <c r="AB13" s="187">
        <f t="shared" si="12"/>
        <v>84.445852378150917</v>
      </c>
      <c r="AC13" s="184">
        <f t="shared" si="20"/>
        <v>4</v>
      </c>
      <c r="AD13" s="554"/>
      <c r="AE13" s="190">
        <v>19</v>
      </c>
      <c r="AF13" s="190">
        <v>1604.423555432682</v>
      </c>
      <c r="AG13" s="187">
        <f t="shared" si="21"/>
        <v>84.443345022772732</v>
      </c>
      <c r="AH13" s="184">
        <f t="shared" si="22"/>
        <v>3</v>
      </c>
      <c r="AI13" s="554"/>
      <c r="AJ13" s="190">
        <v>19</v>
      </c>
      <c r="AK13" s="190">
        <v>1604.5929018789138</v>
      </c>
      <c r="AL13" s="187">
        <f t="shared" si="13"/>
        <v>84.452257993627043</v>
      </c>
      <c r="AM13" s="184">
        <f t="shared" si="23"/>
        <v>3</v>
      </c>
      <c r="AN13" s="554"/>
      <c r="AO13" s="190">
        <v>19</v>
      </c>
      <c r="AP13" s="190">
        <v>1604.3208457825765</v>
      </c>
      <c r="AQ13" s="187">
        <f t="shared" si="14"/>
        <v>84.437939251714553</v>
      </c>
      <c r="AR13" s="184" t="e">
        <f xml:space="preserve"> RANK(AQ13,#REF!)</f>
        <v>#REF!</v>
      </c>
      <c r="AS13" s="554"/>
      <c r="AT13" s="190">
        <v>20</v>
      </c>
      <c r="AU13" s="190">
        <v>1604.3967024731455</v>
      </c>
      <c r="AV13" s="187">
        <f t="shared" si="15"/>
        <v>80.219835123657276</v>
      </c>
      <c r="AW13" s="184">
        <f t="shared" si="24"/>
        <v>3</v>
      </c>
      <c r="AX13" s="554"/>
    </row>
    <row r="14" spans="1:50" ht="14.25" customHeight="1">
      <c r="B14" s="525"/>
      <c r="C14" s="182">
        <v>8</v>
      </c>
      <c r="D14" s="185" t="s">
        <v>487</v>
      </c>
      <c r="E14" s="182">
        <v>19</v>
      </c>
      <c r="F14" s="182">
        <v>2000</v>
      </c>
      <c r="G14" s="187">
        <f t="shared" si="10"/>
        <v>105.26315789473684</v>
      </c>
      <c r="H14" s="554"/>
      <c r="I14" s="188">
        <f t="shared" si="16"/>
        <v>19.142857142857142</v>
      </c>
      <c r="J14" s="188">
        <f t="shared" si="16"/>
        <v>1783.774072644688</v>
      </c>
      <c r="K14" s="189">
        <f t="shared" si="16"/>
        <v>93.212053675189409</v>
      </c>
      <c r="L14" s="555"/>
      <c r="M14" s="188">
        <f>RANK(K14, K$7:$K$21)</f>
        <v>1</v>
      </c>
      <c r="N14" s="525"/>
      <c r="O14" s="525"/>
      <c r="P14" s="190">
        <v>19</v>
      </c>
      <c r="Q14" s="190">
        <v>1783.166332665332</v>
      </c>
      <c r="R14" s="187">
        <f t="shared" si="17"/>
        <v>93.850859613964843</v>
      </c>
      <c r="S14" s="184">
        <f t="shared" si="18"/>
        <v>1</v>
      </c>
      <c r="T14" s="554"/>
      <c r="U14" s="190">
        <v>19</v>
      </c>
      <c r="V14" s="190">
        <v>1783.3753148614621</v>
      </c>
      <c r="W14" s="187">
        <f t="shared" si="11"/>
        <v>93.861858676919056</v>
      </c>
      <c r="X14" s="184">
        <f t="shared" si="19"/>
        <v>1</v>
      </c>
      <c r="Y14" s="554"/>
      <c r="Z14" s="190">
        <v>19</v>
      </c>
      <c r="AA14" s="190">
        <v>1783.4406623735072</v>
      </c>
      <c r="AB14" s="187">
        <f t="shared" si="12"/>
        <v>93.865298019658269</v>
      </c>
      <c r="AC14" s="184">
        <f t="shared" si="20"/>
        <v>1</v>
      </c>
      <c r="AD14" s="554"/>
      <c r="AE14" s="190">
        <v>19</v>
      </c>
      <c r="AF14" s="190">
        <v>1783.9762611275955</v>
      </c>
      <c r="AG14" s="187">
        <f t="shared" si="21"/>
        <v>93.893487427768193</v>
      </c>
      <c r="AH14" s="184">
        <f t="shared" si="22"/>
        <v>1</v>
      </c>
      <c r="AI14" s="554"/>
      <c r="AJ14" s="190">
        <v>19</v>
      </c>
      <c r="AK14" s="190">
        <v>1784.0255591054317</v>
      </c>
      <c r="AL14" s="187">
        <f t="shared" si="13"/>
        <v>93.896082058180625</v>
      </c>
      <c r="AM14" s="184">
        <f t="shared" si="23"/>
        <v>1</v>
      </c>
      <c r="AN14" s="554"/>
      <c r="AO14" s="190">
        <v>19</v>
      </c>
      <c r="AP14" s="190">
        <v>1784.1269841269871</v>
      </c>
      <c r="AQ14" s="187">
        <f t="shared" si="14"/>
        <v>93.901420217209846</v>
      </c>
      <c r="AR14" s="184" t="e">
        <f xml:space="preserve"> RANK(AQ14,#REF!)</f>
        <v>#REF!</v>
      </c>
      <c r="AS14" s="554"/>
      <c r="AT14" s="190">
        <v>20</v>
      </c>
      <c r="AU14" s="190">
        <v>1784.3073942525016</v>
      </c>
      <c r="AV14" s="187">
        <f t="shared" si="15"/>
        <v>89.215369712625076</v>
      </c>
      <c r="AW14" s="184">
        <f t="shared" si="24"/>
        <v>1</v>
      </c>
      <c r="AX14" s="554"/>
    </row>
    <row r="15" spans="1:50" ht="14.25" customHeight="1">
      <c r="B15" s="525"/>
      <c r="C15" s="182">
        <v>9</v>
      </c>
      <c r="D15" s="185" t="s">
        <v>613</v>
      </c>
      <c r="E15" s="182">
        <v>21</v>
      </c>
      <c r="F15" s="182">
        <v>1800</v>
      </c>
      <c r="G15" s="187">
        <f t="shared" si="10"/>
        <v>85.714285714285708</v>
      </c>
      <c r="H15" s="554"/>
      <c r="I15" s="188">
        <f t="shared" si="16"/>
        <v>21</v>
      </c>
      <c r="J15" s="188">
        <f t="shared" si="16"/>
        <v>1457.1676300578042</v>
      </c>
      <c r="K15" s="189">
        <f t="shared" si="16"/>
        <v>69.38893476465735</v>
      </c>
      <c r="L15" s="555"/>
      <c r="M15" s="188">
        <f>RANK(K15, K$7:$K$21)</f>
        <v>10</v>
      </c>
      <c r="N15" s="525"/>
      <c r="O15" s="525"/>
      <c r="P15" s="190"/>
      <c r="Q15" s="190"/>
      <c r="R15" s="187"/>
      <c r="S15" s="184"/>
      <c r="T15" s="554"/>
      <c r="U15" s="190"/>
      <c r="V15" s="190"/>
      <c r="W15" s="187"/>
      <c r="X15" s="184"/>
      <c r="Y15" s="554"/>
      <c r="Z15" s="190"/>
      <c r="AA15" s="190"/>
      <c r="AB15" s="187"/>
      <c r="AC15" s="184"/>
      <c r="AD15" s="554"/>
      <c r="AE15" s="190"/>
      <c r="AF15" s="190"/>
      <c r="AG15" s="187"/>
      <c r="AH15" s="184"/>
      <c r="AI15" s="554"/>
      <c r="AJ15" s="190"/>
      <c r="AK15" s="190"/>
      <c r="AL15" s="187"/>
      <c r="AM15" s="184"/>
      <c r="AN15" s="554"/>
      <c r="AO15" s="190"/>
      <c r="AP15" s="190"/>
      <c r="AQ15" s="187"/>
      <c r="AR15" s="184"/>
      <c r="AS15" s="554"/>
      <c r="AT15" s="190">
        <v>21</v>
      </c>
      <c r="AU15" s="190">
        <v>1457.1676300578042</v>
      </c>
      <c r="AV15" s="187">
        <f t="shared" si="15"/>
        <v>69.38893476465735</v>
      </c>
      <c r="AW15" s="184">
        <f t="shared" si="24"/>
        <v>9</v>
      </c>
      <c r="AX15" s="554"/>
    </row>
    <row r="16" spans="1:50" ht="14.25" customHeight="1">
      <c r="B16" s="525"/>
      <c r="C16" s="182">
        <v>10</v>
      </c>
      <c r="D16" s="185" t="s">
        <v>614</v>
      </c>
      <c r="E16" s="182">
        <v>21</v>
      </c>
      <c r="F16" s="182">
        <v>2000</v>
      </c>
      <c r="G16" s="187">
        <f t="shared" si="10"/>
        <v>95.238095238095241</v>
      </c>
      <c r="H16" s="554"/>
      <c r="I16" s="188">
        <f t="shared" si="16"/>
        <v>21</v>
      </c>
      <c r="J16" s="188">
        <f t="shared" si="16"/>
        <v>1619.3922604103543</v>
      </c>
      <c r="K16" s="189">
        <f t="shared" si="16"/>
        <v>77.113917162397826</v>
      </c>
      <c r="L16" s="555"/>
      <c r="M16" s="188">
        <f>RANK(K16, K$7:$K$21)</f>
        <v>5</v>
      </c>
      <c r="N16" s="525"/>
      <c r="O16" s="525"/>
      <c r="P16" s="190"/>
      <c r="Q16" s="190"/>
      <c r="R16" s="187"/>
      <c r="S16" s="184"/>
      <c r="T16" s="554"/>
      <c r="U16" s="190"/>
      <c r="V16" s="190"/>
      <c r="W16" s="187"/>
      <c r="X16" s="184"/>
      <c r="Y16" s="554"/>
      <c r="Z16" s="190"/>
      <c r="AA16" s="190"/>
      <c r="AB16" s="187"/>
      <c r="AC16" s="184"/>
      <c r="AD16" s="554"/>
      <c r="AE16" s="190"/>
      <c r="AF16" s="190"/>
      <c r="AG16" s="187"/>
      <c r="AH16" s="184"/>
      <c r="AI16" s="554"/>
      <c r="AJ16" s="190"/>
      <c r="AK16" s="190"/>
      <c r="AL16" s="187"/>
      <c r="AM16" s="184"/>
      <c r="AN16" s="554"/>
      <c r="AO16" s="190"/>
      <c r="AP16" s="190"/>
      <c r="AQ16" s="187"/>
      <c r="AR16" s="184"/>
      <c r="AS16" s="554"/>
      <c r="AT16" s="190">
        <v>21</v>
      </c>
      <c r="AU16" s="190">
        <v>1619.3922604103543</v>
      </c>
      <c r="AV16" s="187">
        <f t="shared" si="15"/>
        <v>77.113917162397826</v>
      </c>
      <c r="AW16" s="184">
        <f t="shared" si="24"/>
        <v>4</v>
      </c>
      <c r="AX16" s="554"/>
    </row>
    <row r="17" spans="2:50" ht="14.25" customHeight="1">
      <c r="B17" s="525"/>
      <c r="C17" s="182">
        <v>11</v>
      </c>
      <c r="D17" s="185"/>
      <c r="E17" s="182"/>
      <c r="F17" s="182"/>
      <c r="G17" s="187"/>
      <c r="H17" s="554"/>
      <c r="I17" s="188"/>
      <c r="J17" s="188"/>
      <c r="K17" s="189"/>
      <c r="L17" s="555"/>
      <c r="M17" s="188"/>
      <c r="N17" s="525"/>
      <c r="O17" s="525"/>
      <c r="P17" s="190"/>
      <c r="Q17" s="190"/>
      <c r="R17" s="187"/>
      <c r="S17" s="184"/>
      <c r="T17" s="554"/>
      <c r="U17" s="190"/>
      <c r="V17" s="190"/>
      <c r="W17" s="187"/>
      <c r="X17" s="184"/>
      <c r="Y17" s="554"/>
      <c r="Z17" s="190"/>
      <c r="AA17" s="190"/>
      <c r="AB17" s="187"/>
      <c r="AC17" s="184"/>
      <c r="AD17" s="554"/>
      <c r="AE17" s="190"/>
      <c r="AF17" s="190"/>
      <c r="AG17" s="187"/>
      <c r="AH17" s="184"/>
      <c r="AI17" s="554"/>
      <c r="AJ17" s="190"/>
      <c r="AK17" s="190"/>
      <c r="AL17" s="187"/>
      <c r="AM17" s="184"/>
      <c r="AN17" s="554"/>
      <c r="AO17" s="190"/>
      <c r="AP17" s="190"/>
      <c r="AQ17" s="187"/>
      <c r="AR17" s="184"/>
      <c r="AS17" s="554"/>
      <c r="AT17" s="190"/>
      <c r="AU17" s="190"/>
      <c r="AV17" s="187"/>
      <c r="AW17" s="184"/>
      <c r="AX17" s="554"/>
    </row>
    <row r="18" spans="2:50" ht="14.25" customHeight="1">
      <c r="B18" s="525"/>
      <c r="C18" s="182">
        <v>12</v>
      </c>
      <c r="D18" s="185"/>
      <c r="E18" s="182"/>
      <c r="F18" s="182"/>
      <c r="G18" s="187"/>
      <c r="H18" s="554"/>
      <c r="I18" s="188"/>
      <c r="J18" s="188"/>
      <c r="K18" s="189"/>
      <c r="L18" s="555"/>
      <c r="M18" s="188"/>
      <c r="N18" s="525"/>
      <c r="O18" s="525"/>
      <c r="P18" s="190"/>
      <c r="Q18" s="190"/>
      <c r="R18" s="187"/>
      <c r="S18" s="184"/>
      <c r="T18" s="554"/>
      <c r="U18" s="190"/>
      <c r="V18" s="190"/>
      <c r="W18" s="187"/>
      <c r="X18" s="184"/>
      <c r="Y18" s="554"/>
      <c r="Z18" s="190"/>
      <c r="AA18" s="190"/>
      <c r="AB18" s="187"/>
      <c r="AC18" s="184"/>
      <c r="AD18" s="554"/>
      <c r="AE18" s="190"/>
      <c r="AF18" s="190"/>
      <c r="AG18" s="187"/>
      <c r="AH18" s="184"/>
      <c r="AI18" s="554"/>
      <c r="AJ18" s="190"/>
      <c r="AK18" s="190"/>
      <c r="AL18" s="187"/>
      <c r="AM18" s="184"/>
      <c r="AN18" s="554"/>
      <c r="AO18" s="190"/>
      <c r="AP18" s="190"/>
      <c r="AQ18" s="187"/>
      <c r="AR18" s="184"/>
      <c r="AS18" s="554"/>
      <c r="AT18" s="190"/>
      <c r="AU18" s="190"/>
      <c r="AV18" s="187"/>
      <c r="AW18" s="184"/>
      <c r="AX18" s="554"/>
    </row>
    <row r="19" spans="2:50" ht="14.25" customHeight="1">
      <c r="B19" s="525"/>
      <c r="C19" s="182">
        <v>13</v>
      </c>
      <c r="D19" s="185"/>
      <c r="E19" s="182"/>
      <c r="F19" s="182"/>
      <c r="G19" s="187"/>
      <c r="H19" s="554"/>
      <c r="I19" s="188"/>
      <c r="J19" s="188"/>
      <c r="K19" s="189"/>
      <c r="L19" s="555"/>
      <c r="M19" s="188"/>
      <c r="N19" s="525"/>
      <c r="O19" s="525"/>
      <c r="P19" s="190"/>
      <c r="Q19" s="190"/>
      <c r="R19" s="187"/>
      <c r="S19" s="184"/>
      <c r="T19" s="554"/>
      <c r="U19" s="190"/>
      <c r="V19" s="190"/>
      <c r="W19" s="187"/>
      <c r="X19" s="184"/>
      <c r="Y19" s="554"/>
      <c r="Z19" s="190"/>
      <c r="AA19" s="190"/>
      <c r="AB19" s="187"/>
      <c r="AC19" s="184"/>
      <c r="AD19" s="554"/>
      <c r="AE19" s="190"/>
      <c r="AF19" s="190"/>
      <c r="AG19" s="187"/>
      <c r="AH19" s="184"/>
      <c r="AI19" s="554"/>
      <c r="AJ19" s="190"/>
      <c r="AK19" s="190"/>
      <c r="AL19" s="187"/>
      <c r="AM19" s="184"/>
      <c r="AN19" s="554"/>
      <c r="AO19" s="190"/>
      <c r="AP19" s="190"/>
      <c r="AQ19" s="187"/>
      <c r="AR19" s="184"/>
      <c r="AS19" s="554"/>
      <c r="AT19" s="190"/>
      <c r="AU19" s="190"/>
      <c r="AV19" s="187"/>
      <c r="AW19" s="184"/>
      <c r="AX19" s="554"/>
    </row>
    <row r="20" spans="2:50" ht="14.25" customHeight="1">
      <c r="B20" s="525"/>
      <c r="C20" s="182">
        <v>14</v>
      </c>
      <c r="D20" s="185"/>
      <c r="E20" s="182"/>
      <c r="F20" s="182"/>
      <c r="G20" s="187"/>
      <c r="H20" s="554"/>
      <c r="I20" s="188"/>
      <c r="J20" s="188"/>
      <c r="K20" s="189"/>
      <c r="L20" s="555"/>
      <c r="M20" s="188"/>
      <c r="N20" s="525"/>
      <c r="O20" s="525"/>
      <c r="P20" s="190"/>
      <c r="Q20" s="190"/>
      <c r="R20" s="187"/>
      <c r="S20" s="184"/>
      <c r="T20" s="554"/>
      <c r="U20" s="190"/>
      <c r="V20" s="190"/>
      <c r="W20" s="187"/>
      <c r="X20" s="184"/>
      <c r="Y20" s="554"/>
      <c r="Z20" s="190"/>
      <c r="AA20" s="190"/>
      <c r="AB20" s="187"/>
      <c r="AC20" s="184"/>
      <c r="AD20" s="554"/>
      <c r="AE20" s="190"/>
      <c r="AF20" s="190"/>
      <c r="AG20" s="187"/>
      <c r="AH20" s="184"/>
      <c r="AI20" s="554"/>
      <c r="AJ20" s="190"/>
      <c r="AK20" s="190"/>
      <c r="AL20" s="187"/>
      <c r="AM20" s="184"/>
      <c r="AN20" s="554"/>
      <c r="AO20" s="190"/>
      <c r="AP20" s="190"/>
      <c r="AQ20" s="187"/>
      <c r="AR20" s="184"/>
      <c r="AS20" s="554"/>
      <c r="AT20" s="190"/>
      <c r="AU20" s="190"/>
      <c r="AV20" s="187"/>
      <c r="AW20" s="184"/>
      <c r="AX20" s="554"/>
    </row>
    <row r="21" spans="2:50" ht="14.25" customHeight="1">
      <c r="B21" s="525"/>
      <c r="C21" s="182">
        <v>15</v>
      </c>
      <c r="D21" s="185"/>
      <c r="E21" s="182"/>
      <c r="F21" s="182"/>
      <c r="G21" s="187"/>
      <c r="H21" s="554"/>
      <c r="I21" s="188"/>
      <c r="J21" s="188"/>
      <c r="K21" s="189"/>
      <c r="L21" s="555"/>
      <c r="M21" s="188"/>
      <c r="N21" s="525"/>
      <c r="O21" s="525"/>
      <c r="P21" s="190"/>
      <c r="Q21" s="190"/>
      <c r="R21" s="187"/>
      <c r="S21" s="184"/>
      <c r="T21" s="554"/>
      <c r="U21" s="190"/>
      <c r="V21" s="190"/>
      <c r="W21" s="187"/>
      <c r="X21" s="184"/>
      <c r="Y21" s="554"/>
      <c r="Z21" s="190"/>
      <c r="AA21" s="190"/>
      <c r="AB21" s="187"/>
      <c r="AC21" s="184"/>
      <c r="AD21" s="554"/>
      <c r="AE21" s="190"/>
      <c r="AF21" s="190"/>
      <c r="AG21" s="187"/>
      <c r="AH21" s="184"/>
      <c r="AI21" s="554"/>
      <c r="AJ21" s="190"/>
      <c r="AK21" s="190"/>
      <c r="AL21" s="187"/>
      <c r="AM21" s="184"/>
      <c r="AN21" s="554"/>
      <c r="AO21" s="190"/>
      <c r="AP21" s="190"/>
      <c r="AQ21" s="187"/>
      <c r="AR21" s="184"/>
      <c r="AS21" s="554"/>
      <c r="AT21" s="190"/>
      <c r="AU21" s="190"/>
      <c r="AV21" s="187"/>
      <c r="AW21" s="184"/>
      <c r="AX21" s="554"/>
    </row>
    <row r="22" spans="2:50" ht="14.25" customHeight="1">
      <c r="B22" s="552" t="s">
        <v>645</v>
      </c>
      <c r="C22" s="535"/>
      <c r="D22" s="535"/>
      <c r="E22" s="535"/>
      <c r="F22" s="535"/>
      <c r="G22" s="535"/>
      <c r="H22" s="535"/>
      <c r="I22" s="535"/>
      <c r="J22" s="535"/>
      <c r="K22" s="535"/>
      <c r="L22" s="535"/>
      <c r="M22" s="536"/>
      <c r="N22" s="564" t="s">
        <v>378</v>
      </c>
      <c r="O22" s="564" t="s">
        <v>105</v>
      </c>
      <c r="P22" s="566">
        <v>46084</v>
      </c>
      <c r="Q22" s="567"/>
      <c r="R22" s="567"/>
      <c r="S22" s="567"/>
      <c r="T22" s="567"/>
      <c r="U22" s="568">
        <v>46085</v>
      </c>
      <c r="V22" s="569"/>
      <c r="W22" s="569"/>
      <c r="X22" s="569"/>
      <c r="Y22" s="569"/>
      <c r="Z22" s="566">
        <v>46086</v>
      </c>
      <c r="AA22" s="567"/>
      <c r="AB22" s="567"/>
      <c r="AC22" s="567"/>
      <c r="AD22" s="567"/>
      <c r="AE22" s="568">
        <v>46087</v>
      </c>
      <c r="AF22" s="569"/>
      <c r="AG22" s="569"/>
      <c r="AH22" s="569"/>
      <c r="AI22" s="569"/>
      <c r="AJ22" s="556">
        <v>46088</v>
      </c>
      <c r="AK22" s="557"/>
      <c r="AL22" s="557"/>
      <c r="AM22" s="557"/>
      <c r="AN22" s="558"/>
      <c r="AO22" s="568">
        <v>46089</v>
      </c>
      <c r="AP22" s="569"/>
      <c r="AQ22" s="569"/>
      <c r="AR22" s="569"/>
      <c r="AS22" s="569"/>
      <c r="AT22" s="556">
        <v>46090</v>
      </c>
      <c r="AU22" s="557"/>
      <c r="AV22" s="557"/>
      <c r="AW22" s="557"/>
      <c r="AX22" s="558"/>
    </row>
    <row r="23" spans="2:50" ht="14.25" customHeight="1">
      <c r="B23" s="537"/>
      <c r="C23" s="537"/>
      <c r="D23" s="537"/>
      <c r="E23" s="537"/>
      <c r="F23" s="537"/>
      <c r="G23" s="537"/>
      <c r="H23" s="537"/>
      <c r="I23" s="537"/>
      <c r="J23" s="537"/>
      <c r="K23" s="537"/>
      <c r="L23" s="537"/>
      <c r="M23" s="538"/>
      <c r="N23" s="565"/>
      <c r="O23" s="565"/>
      <c r="P23" s="559">
        <v>46084</v>
      </c>
      <c r="Q23" s="559"/>
      <c r="R23" s="559"/>
      <c r="S23" s="559"/>
      <c r="T23" s="559"/>
      <c r="U23" s="560">
        <v>46085</v>
      </c>
      <c r="V23" s="560"/>
      <c r="W23" s="560"/>
      <c r="X23" s="560"/>
      <c r="Y23" s="560"/>
      <c r="Z23" s="559">
        <v>46086</v>
      </c>
      <c r="AA23" s="559"/>
      <c r="AB23" s="559"/>
      <c r="AC23" s="559"/>
      <c r="AD23" s="559"/>
      <c r="AE23" s="560">
        <v>46087</v>
      </c>
      <c r="AF23" s="560"/>
      <c r="AG23" s="560"/>
      <c r="AH23" s="560"/>
      <c r="AI23" s="560"/>
      <c r="AJ23" s="561">
        <v>46088</v>
      </c>
      <c r="AK23" s="562"/>
      <c r="AL23" s="562"/>
      <c r="AM23" s="562"/>
      <c r="AN23" s="563"/>
      <c r="AO23" s="560">
        <v>46089</v>
      </c>
      <c r="AP23" s="560"/>
      <c r="AQ23" s="560"/>
      <c r="AR23" s="560"/>
      <c r="AS23" s="560"/>
      <c r="AT23" s="561">
        <v>46090</v>
      </c>
      <c r="AU23" s="562"/>
      <c r="AV23" s="562"/>
      <c r="AW23" s="562"/>
      <c r="AX23" s="563"/>
    </row>
    <row r="24" spans="2:50" ht="14.25" customHeight="1">
      <c r="B24" s="525" t="s">
        <v>164</v>
      </c>
      <c r="C24" s="525" t="s">
        <v>159</v>
      </c>
      <c r="D24" s="525"/>
      <c r="E24" s="525" t="s">
        <v>160</v>
      </c>
      <c r="F24" s="525"/>
      <c r="G24" s="525"/>
      <c r="H24" s="525" t="s">
        <v>165</v>
      </c>
      <c r="I24" s="544" t="s">
        <v>379</v>
      </c>
      <c r="J24" s="544"/>
      <c r="K24" s="544"/>
      <c r="L24" s="544" t="s">
        <v>165</v>
      </c>
      <c r="M24" s="544" t="s">
        <v>167</v>
      </c>
      <c r="N24" s="525"/>
      <c r="O24" s="525" t="s">
        <v>166</v>
      </c>
      <c r="P24" s="525" t="s">
        <v>162</v>
      </c>
      <c r="Q24" s="525"/>
      <c r="R24" s="525"/>
      <c r="S24" s="525"/>
      <c r="T24" s="525" t="s">
        <v>165</v>
      </c>
      <c r="U24" s="525" t="s">
        <v>162</v>
      </c>
      <c r="V24" s="525"/>
      <c r="W24" s="525"/>
      <c r="X24" s="525"/>
      <c r="Y24" s="525" t="s">
        <v>165</v>
      </c>
      <c r="Z24" s="525" t="s">
        <v>162</v>
      </c>
      <c r="AA24" s="525"/>
      <c r="AB24" s="525"/>
      <c r="AC24" s="525"/>
      <c r="AD24" s="525" t="s">
        <v>165</v>
      </c>
      <c r="AE24" s="525" t="s">
        <v>162</v>
      </c>
      <c r="AF24" s="525"/>
      <c r="AG24" s="525"/>
      <c r="AH24" s="525"/>
      <c r="AI24" s="525" t="s">
        <v>165</v>
      </c>
      <c r="AJ24" s="525" t="s">
        <v>162</v>
      </c>
      <c r="AK24" s="525"/>
      <c r="AL24" s="525"/>
      <c r="AM24" s="525"/>
      <c r="AN24" s="525" t="s">
        <v>165</v>
      </c>
      <c r="AO24" s="525" t="s">
        <v>162</v>
      </c>
      <c r="AP24" s="525"/>
      <c r="AQ24" s="525"/>
      <c r="AR24" s="525"/>
      <c r="AS24" s="525" t="s">
        <v>165</v>
      </c>
      <c r="AT24" s="525" t="s">
        <v>162</v>
      </c>
      <c r="AU24" s="525"/>
      <c r="AV24" s="525"/>
      <c r="AW24" s="525"/>
      <c r="AX24" s="525" t="s">
        <v>165</v>
      </c>
    </row>
    <row r="25" spans="2:50" ht="14.25" customHeight="1">
      <c r="B25" s="525"/>
      <c r="C25" s="525"/>
      <c r="D25" s="525"/>
      <c r="E25" s="525" t="s">
        <v>380</v>
      </c>
      <c r="F25" s="525"/>
      <c r="G25" s="525"/>
      <c r="H25" s="525"/>
      <c r="I25" s="544" t="s">
        <v>380</v>
      </c>
      <c r="J25" s="544"/>
      <c r="K25" s="544"/>
      <c r="L25" s="544"/>
      <c r="M25" s="544"/>
      <c r="N25" s="525"/>
      <c r="O25" s="525"/>
      <c r="P25" s="525" t="s">
        <v>381</v>
      </c>
      <c r="Q25" s="525"/>
      <c r="R25" s="525"/>
      <c r="S25" s="525"/>
      <c r="T25" s="525"/>
      <c r="U25" s="525" t="s">
        <v>381</v>
      </c>
      <c r="V25" s="525"/>
      <c r="W25" s="525"/>
      <c r="X25" s="525"/>
      <c r="Y25" s="525"/>
      <c r="Z25" s="525" t="s">
        <v>381</v>
      </c>
      <c r="AA25" s="525"/>
      <c r="AB25" s="525"/>
      <c r="AC25" s="525"/>
      <c r="AD25" s="525"/>
      <c r="AE25" s="525" t="s">
        <v>381</v>
      </c>
      <c r="AF25" s="525"/>
      <c r="AG25" s="525"/>
      <c r="AH25" s="525"/>
      <c r="AI25" s="525"/>
      <c r="AJ25" s="525" t="s">
        <v>381</v>
      </c>
      <c r="AK25" s="525"/>
      <c r="AL25" s="525"/>
      <c r="AM25" s="525"/>
      <c r="AN25" s="525"/>
      <c r="AO25" s="525" t="s">
        <v>381</v>
      </c>
      <c r="AP25" s="525"/>
      <c r="AQ25" s="525"/>
      <c r="AR25" s="525"/>
      <c r="AS25" s="525"/>
      <c r="AT25" s="525" t="s">
        <v>381</v>
      </c>
      <c r="AU25" s="525"/>
      <c r="AV25" s="525"/>
      <c r="AW25" s="525"/>
      <c r="AX25" s="525"/>
    </row>
    <row r="26" spans="2:50" ht="14.25" customHeight="1">
      <c r="B26" s="525"/>
      <c r="C26" s="525"/>
      <c r="D26" s="525"/>
      <c r="E26" s="182" t="s">
        <v>161</v>
      </c>
      <c r="F26" s="182" t="s">
        <v>382</v>
      </c>
      <c r="G26" s="182" t="s">
        <v>163</v>
      </c>
      <c r="H26" s="525"/>
      <c r="I26" s="183" t="s">
        <v>161</v>
      </c>
      <c r="J26" s="183" t="s">
        <v>382</v>
      </c>
      <c r="K26" s="183" t="s">
        <v>163</v>
      </c>
      <c r="L26" s="544"/>
      <c r="M26" s="544"/>
      <c r="N26" s="525"/>
      <c r="O26" s="525"/>
      <c r="P26" s="182" t="s">
        <v>161</v>
      </c>
      <c r="Q26" s="182" t="s">
        <v>382</v>
      </c>
      <c r="R26" s="182" t="s">
        <v>163</v>
      </c>
      <c r="S26" s="184" t="s">
        <v>167</v>
      </c>
      <c r="T26" s="525"/>
      <c r="U26" s="182" t="s">
        <v>161</v>
      </c>
      <c r="V26" s="182" t="s">
        <v>382</v>
      </c>
      <c r="W26" s="182" t="s">
        <v>163</v>
      </c>
      <c r="X26" s="184" t="s">
        <v>167</v>
      </c>
      <c r="Y26" s="525"/>
      <c r="Z26" s="182" t="s">
        <v>161</v>
      </c>
      <c r="AA26" s="182" t="s">
        <v>382</v>
      </c>
      <c r="AB26" s="182" t="s">
        <v>163</v>
      </c>
      <c r="AC26" s="184" t="s">
        <v>167</v>
      </c>
      <c r="AD26" s="525"/>
      <c r="AE26" s="182" t="s">
        <v>161</v>
      </c>
      <c r="AF26" s="182" t="s">
        <v>382</v>
      </c>
      <c r="AG26" s="182" t="s">
        <v>163</v>
      </c>
      <c r="AH26" s="184" t="s">
        <v>167</v>
      </c>
      <c r="AI26" s="525"/>
      <c r="AJ26" s="182" t="s">
        <v>161</v>
      </c>
      <c r="AK26" s="182" t="s">
        <v>382</v>
      </c>
      <c r="AL26" s="182" t="s">
        <v>163</v>
      </c>
      <c r="AM26" s="184" t="s">
        <v>167</v>
      </c>
      <c r="AN26" s="525"/>
      <c r="AO26" s="182" t="s">
        <v>161</v>
      </c>
      <c r="AP26" s="182" t="s">
        <v>382</v>
      </c>
      <c r="AQ26" s="182" t="s">
        <v>163</v>
      </c>
      <c r="AR26" s="184" t="s">
        <v>167</v>
      </c>
      <c r="AS26" s="525"/>
      <c r="AT26" s="182" t="s">
        <v>161</v>
      </c>
      <c r="AU26" s="182" t="s">
        <v>382</v>
      </c>
      <c r="AV26" s="182" t="s">
        <v>163</v>
      </c>
      <c r="AW26" s="184" t="s">
        <v>167</v>
      </c>
      <c r="AX26" s="525"/>
    </row>
    <row r="27" spans="2:50" ht="14.25" customHeight="1">
      <c r="B27" s="525" t="s">
        <v>358</v>
      </c>
      <c r="C27" s="182">
        <v>1</v>
      </c>
      <c r="D27" s="185" t="s">
        <v>347</v>
      </c>
      <c r="E27" s="182">
        <v>25</v>
      </c>
      <c r="F27" s="182">
        <v>2000</v>
      </c>
      <c r="G27" s="187">
        <f t="shared" ref="G27:G35" si="25">F27/E27</f>
        <v>80</v>
      </c>
      <c r="H27" s="554">
        <f>AVERAGE(G27:G41)</f>
        <v>90.784449045318595</v>
      </c>
      <c r="I27" s="188">
        <f>AVERAGE(P27,U27,Z27,AE27,AJ27,AO27,AT27)</f>
        <v>26</v>
      </c>
      <c r="J27" s="188">
        <f>AVERAGE(Q27,V27,AA27,AF27,AK27,AP27,AU27)</f>
        <v>1782.9212825084401</v>
      </c>
      <c r="K27" s="189">
        <f>AVERAGE(R27,W27,AB27,AG27,AL27,AQ27,AV27)</f>
        <v>68.573895481093857</v>
      </c>
      <c r="L27" s="555">
        <f>IFERROR(AVERAGE(K27:K41),"-")</f>
        <v>78.207319083847608</v>
      </c>
      <c r="M27" s="188">
        <f>RANK(K27, K$27:$K$41)</f>
        <v>9</v>
      </c>
      <c r="N27" s="525"/>
      <c r="O27" s="525"/>
      <c r="P27" s="190">
        <v>26</v>
      </c>
      <c r="Q27" s="190">
        <v>1782.7332128458222</v>
      </c>
      <c r="R27" s="187">
        <f>IFERROR(Q27/P27,"")</f>
        <v>68.566662032531625</v>
      </c>
      <c r="S27" s="184">
        <f>RANK(R27, R$27:R$41)</f>
        <v>9</v>
      </c>
      <c r="T27" s="554">
        <f>AVERAGE(R27:R41)</f>
        <v>76.821742077234219</v>
      </c>
      <c r="U27" s="190">
        <v>26</v>
      </c>
      <c r="V27" s="190">
        <v>1782.8418230563004</v>
      </c>
      <c r="W27" s="187">
        <f t="shared" ref="W27:W35" si="26">IFERROR(V27/U27,"")</f>
        <v>68.570839348319254</v>
      </c>
      <c r="X27" s="184">
        <f>RANK(W27, W$27:W$41)</f>
        <v>9</v>
      </c>
      <c r="Y27" s="554">
        <f>AVERAGE(W27:W41)</f>
        <v>77.166744339551528</v>
      </c>
      <c r="Z27" s="190">
        <v>26</v>
      </c>
      <c r="AA27" s="190">
        <v>1783.044667274384</v>
      </c>
      <c r="AB27" s="187">
        <f t="shared" ref="AB27:AB35" si="27">IFERROR(AA27/Z27,"")</f>
        <v>68.578641049014763</v>
      </c>
      <c r="AC27" s="184">
        <f>RANK(AB27, AB$27:AB$41)</f>
        <v>9</v>
      </c>
      <c r="AD27" s="554">
        <f>AVERAGE(AB27:AB41)</f>
        <v>77.985602644956828</v>
      </c>
      <c r="AE27" s="190">
        <v>26</v>
      </c>
      <c r="AF27" s="190">
        <v>1782.9604130808962</v>
      </c>
      <c r="AG27" s="187">
        <f>IFERROR(AF27/AE27,"")</f>
        <v>68.575400503111396</v>
      </c>
      <c r="AH27" s="184">
        <f>RANK(AG27, AG$27:AG$41)</f>
        <v>9</v>
      </c>
      <c r="AI27" s="554">
        <f>AVERAGE(AG27:AG41)</f>
        <v>78.328820667136995</v>
      </c>
      <c r="AJ27" s="190">
        <v>26</v>
      </c>
      <c r="AK27" s="190">
        <v>1782.9284136676631</v>
      </c>
      <c r="AL27" s="187">
        <f t="shared" ref="AL27:AL35" si="28">IFERROR(AK27/AJ27,"")</f>
        <v>68.574169756448583</v>
      </c>
      <c r="AM27" s="184">
        <f>RANK(AL27, AL$27:AL$41)</f>
        <v>9</v>
      </c>
      <c r="AN27" s="554">
        <f>AVERAGE(AL27:AL41)</f>
        <v>78.646771373663555</v>
      </c>
      <c r="AO27" s="190">
        <v>26</v>
      </c>
      <c r="AP27" s="190">
        <v>1782.9276654096684</v>
      </c>
      <c r="AQ27" s="187">
        <f t="shared" ref="AQ27:AQ35" si="29">IFERROR(AP27/AO27,"")</f>
        <v>68.574140977294945</v>
      </c>
      <c r="AR27" s="184">
        <f>RANK(AQ27, AQ$27:AQ$41)</f>
        <v>9</v>
      </c>
      <c r="AS27" s="554">
        <f>AVERAGE(AQ27:AQ41)</f>
        <v>79.012204009252102</v>
      </c>
      <c r="AT27" s="190">
        <v>26</v>
      </c>
      <c r="AU27" s="190">
        <v>1783.0127822243458</v>
      </c>
      <c r="AV27" s="187">
        <f t="shared" ref="AV27:AV35" si="30">IFERROR(AU27/AT27,"")</f>
        <v>68.577414700936373</v>
      </c>
      <c r="AW27" s="184">
        <f>RANK(AV27, AV$27:AV$41)</f>
        <v>9</v>
      </c>
      <c r="AX27" s="554">
        <f>AVERAGE(AV27:AV41)</f>
        <v>79.489348475138229</v>
      </c>
    </row>
    <row r="28" spans="2:50" ht="14.25" customHeight="1">
      <c r="B28" s="525"/>
      <c r="C28" s="182">
        <v>2</v>
      </c>
      <c r="D28" s="185" t="s">
        <v>346</v>
      </c>
      <c r="E28" s="182">
        <v>23</v>
      </c>
      <c r="F28" s="182">
        <v>2000</v>
      </c>
      <c r="G28" s="187">
        <f t="shared" si="25"/>
        <v>86.956521739130437</v>
      </c>
      <c r="H28" s="554"/>
      <c r="I28" s="188">
        <f t="shared" ref="I28:K35" si="31">AVERAGE(P28,U28,Z28,AE28,AJ28,AO28,AT28)</f>
        <v>23.714285714285715</v>
      </c>
      <c r="J28" s="188">
        <f t="shared" si="31"/>
        <v>1784.2539568060572</v>
      </c>
      <c r="K28" s="189">
        <f t="shared" si="31"/>
        <v>75.26787979455068</v>
      </c>
      <c r="L28" s="555"/>
      <c r="M28" s="188">
        <f>RANK(K28, K$27:$K$41)</f>
        <v>5</v>
      </c>
      <c r="N28" s="525"/>
      <c r="O28" s="525"/>
      <c r="P28" s="190">
        <v>24</v>
      </c>
      <c r="Q28" s="190">
        <v>1783.7442030754207</v>
      </c>
      <c r="R28" s="187">
        <f t="shared" ref="R28:R35" si="32">IFERROR(Q28/P28,"")</f>
        <v>74.322675128142535</v>
      </c>
      <c r="S28" s="184">
        <f t="shared" ref="S28:S35" si="33">RANK(R28, R$27:R$41)</f>
        <v>5</v>
      </c>
      <c r="T28" s="554"/>
      <c r="U28" s="190">
        <v>24</v>
      </c>
      <c r="V28" s="190">
        <v>1783.7104072398199</v>
      </c>
      <c r="W28" s="187">
        <f t="shared" si="26"/>
        <v>74.32126696832583</v>
      </c>
      <c r="X28" s="184">
        <f t="shared" ref="X28:X35" si="34">RANK(W28, W$27:W$41)</f>
        <v>5</v>
      </c>
      <c r="Y28" s="554"/>
      <c r="Z28" s="190">
        <v>24</v>
      </c>
      <c r="AA28" s="190">
        <v>1784.0289188301003</v>
      </c>
      <c r="AB28" s="187">
        <f t="shared" si="27"/>
        <v>74.334538284587509</v>
      </c>
      <c r="AC28" s="184">
        <f t="shared" ref="AC28:AC35" si="35">RANK(AB28, AB$27:AB$41)</f>
        <v>5</v>
      </c>
      <c r="AD28" s="554"/>
      <c r="AE28" s="190">
        <v>24</v>
      </c>
      <c r="AF28" s="190">
        <v>1784.0405319822685</v>
      </c>
      <c r="AG28" s="187">
        <f t="shared" ref="AG28:AG35" si="36">IFERROR(AF28/AE28,"")</f>
        <v>74.335022165927853</v>
      </c>
      <c r="AH28" s="184">
        <f t="shared" ref="AH28:AH35" si="37">RANK(AG28, AG$27:AG$41)</f>
        <v>6</v>
      </c>
      <c r="AI28" s="554"/>
      <c r="AJ28" s="190">
        <v>24</v>
      </c>
      <c r="AK28" s="190">
        <v>1784.0531561461803</v>
      </c>
      <c r="AL28" s="187">
        <f t="shared" si="28"/>
        <v>74.335548172757512</v>
      </c>
      <c r="AM28" s="184">
        <f t="shared" ref="AM28:AM35" si="38">RANK(AL28, AL$27:AL$41)</f>
        <v>6</v>
      </c>
      <c r="AN28" s="554"/>
      <c r="AO28" s="190">
        <v>23</v>
      </c>
      <c r="AP28" s="190">
        <v>1784.9830890642618</v>
      </c>
      <c r="AQ28" s="187">
        <f t="shared" si="29"/>
        <v>77.607960394098342</v>
      </c>
      <c r="AR28" s="184">
        <f t="shared" ref="AR28:AR35" si="39">RANK(AQ28, AQ$27:AQ$41)</f>
        <v>5</v>
      </c>
      <c r="AS28" s="554"/>
      <c r="AT28" s="190">
        <v>23</v>
      </c>
      <c r="AU28" s="190">
        <v>1785.21739130435</v>
      </c>
      <c r="AV28" s="187">
        <f t="shared" si="30"/>
        <v>77.618147448015222</v>
      </c>
      <c r="AW28" s="184">
        <f t="shared" ref="AW28:AW35" si="40">RANK(AV28, AV$27:AV$41)</f>
        <v>5</v>
      </c>
      <c r="AX28" s="554"/>
    </row>
    <row r="29" spans="2:50" ht="14.25" customHeight="1">
      <c r="B29" s="525"/>
      <c r="C29" s="182">
        <v>3</v>
      </c>
      <c r="D29" s="185" t="s">
        <v>359</v>
      </c>
      <c r="E29" s="182">
        <v>23</v>
      </c>
      <c r="F29" s="182">
        <v>2000</v>
      </c>
      <c r="G29" s="187">
        <f t="shared" si="25"/>
        <v>86.956521739130437</v>
      </c>
      <c r="H29" s="554"/>
      <c r="I29" s="188">
        <f t="shared" si="31"/>
        <v>24</v>
      </c>
      <c r="J29" s="188">
        <f t="shared" si="31"/>
        <v>1782.9901372658494</v>
      </c>
      <c r="K29" s="189">
        <f t="shared" si="31"/>
        <v>74.291255719410387</v>
      </c>
      <c r="L29" s="555"/>
      <c r="M29" s="188">
        <f>RANK(K29, K$27:$K$41)</f>
        <v>7</v>
      </c>
      <c r="N29" s="525"/>
      <c r="O29" s="525"/>
      <c r="P29" s="190">
        <v>24</v>
      </c>
      <c r="Q29" s="190">
        <v>1782.7751196172258</v>
      </c>
      <c r="R29" s="187">
        <f t="shared" si="32"/>
        <v>74.28229665071774</v>
      </c>
      <c r="S29" s="184">
        <f t="shared" si="33"/>
        <v>6</v>
      </c>
      <c r="T29" s="554"/>
      <c r="U29" s="190">
        <v>24</v>
      </c>
      <c r="V29" s="190">
        <v>1782.9514207149386</v>
      </c>
      <c r="W29" s="187">
        <f t="shared" si="26"/>
        <v>74.289642529789106</v>
      </c>
      <c r="X29" s="184">
        <f t="shared" si="34"/>
        <v>6</v>
      </c>
      <c r="Y29" s="554"/>
      <c r="Z29" s="190">
        <v>24</v>
      </c>
      <c r="AA29" s="190">
        <v>1782.986767485826</v>
      </c>
      <c r="AB29" s="187">
        <f t="shared" si="27"/>
        <v>74.291115311909422</v>
      </c>
      <c r="AC29" s="184">
        <f t="shared" si="35"/>
        <v>6</v>
      </c>
      <c r="AD29" s="554"/>
      <c r="AE29" s="190">
        <v>24</v>
      </c>
      <c r="AF29" s="190">
        <v>1782.7050997782699</v>
      </c>
      <c r="AG29" s="187">
        <f t="shared" si="36"/>
        <v>74.279379157427911</v>
      </c>
      <c r="AH29" s="184">
        <f t="shared" si="37"/>
        <v>8</v>
      </c>
      <c r="AI29" s="554"/>
      <c r="AJ29" s="190">
        <v>24</v>
      </c>
      <c r="AK29" s="190">
        <v>1783.1542461005181</v>
      </c>
      <c r="AL29" s="187">
        <f t="shared" si="28"/>
        <v>74.298093587521592</v>
      </c>
      <c r="AM29" s="184">
        <f t="shared" si="38"/>
        <v>7</v>
      </c>
      <c r="AN29" s="554"/>
      <c r="AO29" s="190">
        <v>24</v>
      </c>
      <c r="AP29" s="190">
        <v>1783.2669322709148</v>
      </c>
      <c r="AQ29" s="187">
        <f t="shared" si="29"/>
        <v>74.302788844621446</v>
      </c>
      <c r="AR29" s="184">
        <f t="shared" si="39"/>
        <v>7</v>
      </c>
      <c r="AS29" s="554"/>
      <c r="AT29" s="190">
        <v>24</v>
      </c>
      <c r="AU29" s="190">
        <v>1783.0913748932524</v>
      </c>
      <c r="AV29" s="187">
        <f t="shared" si="30"/>
        <v>74.295473953885519</v>
      </c>
      <c r="AW29" s="184">
        <f t="shared" si="40"/>
        <v>8</v>
      </c>
      <c r="AX29" s="554"/>
    </row>
    <row r="30" spans="2:50" ht="14.25" customHeight="1">
      <c r="B30" s="525"/>
      <c r="C30" s="182">
        <v>4</v>
      </c>
      <c r="D30" s="185" t="s">
        <v>348</v>
      </c>
      <c r="E30" s="182">
        <v>23</v>
      </c>
      <c r="F30" s="182">
        <v>2000</v>
      </c>
      <c r="G30" s="187">
        <f t="shared" si="25"/>
        <v>86.956521739130437</v>
      </c>
      <c r="H30" s="554"/>
      <c r="I30" s="188">
        <f t="shared" si="31"/>
        <v>24</v>
      </c>
      <c r="J30" s="188">
        <f t="shared" si="31"/>
        <v>1782.8561176929773</v>
      </c>
      <c r="K30" s="189">
        <f t="shared" si="31"/>
        <v>74.2856715705407</v>
      </c>
      <c r="L30" s="555"/>
      <c r="M30" s="188">
        <f>RANK(K30, K$27:$K$41)</f>
        <v>8</v>
      </c>
      <c r="N30" s="525"/>
      <c r="O30" s="525"/>
      <c r="P30" s="190">
        <v>24</v>
      </c>
      <c r="Q30" s="190">
        <v>1782.2825219473252</v>
      </c>
      <c r="R30" s="187">
        <f t="shared" si="32"/>
        <v>74.261771747805213</v>
      </c>
      <c r="S30" s="184">
        <f t="shared" si="33"/>
        <v>7</v>
      </c>
      <c r="T30" s="554"/>
      <c r="U30" s="190">
        <v>24</v>
      </c>
      <c r="V30" s="190">
        <v>1782.4675324675313</v>
      </c>
      <c r="W30" s="187">
        <f t="shared" si="26"/>
        <v>74.269480519480467</v>
      </c>
      <c r="X30" s="184">
        <f t="shared" si="34"/>
        <v>7</v>
      </c>
      <c r="Y30" s="554"/>
      <c r="Z30" s="190">
        <v>24</v>
      </c>
      <c r="AA30" s="190">
        <v>1782.6865671641783</v>
      </c>
      <c r="AB30" s="187">
        <f t="shared" si="27"/>
        <v>74.278606965174092</v>
      </c>
      <c r="AC30" s="184">
        <f t="shared" si="35"/>
        <v>7</v>
      </c>
      <c r="AD30" s="554"/>
      <c r="AE30" s="190">
        <v>24</v>
      </c>
      <c r="AF30" s="190">
        <v>1782.7806122448992</v>
      </c>
      <c r="AG30" s="187">
        <f t="shared" si="36"/>
        <v>74.282525510204138</v>
      </c>
      <c r="AH30" s="184">
        <f t="shared" si="37"/>
        <v>7</v>
      </c>
      <c r="AI30" s="554"/>
      <c r="AJ30" s="190">
        <v>24</v>
      </c>
      <c r="AK30" s="190">
        <v>1782.940996637114</v>
      </c>
      <c r="AL30" s="187">
        <f t="shared" si="28"/>
        <v>74.289208193213085</v>
      </c>
      <c r="AM30" s="184">
        <f t="shared" si="38"/>
        <v>8</v>
      </c>
      <c r="AN30" s="554"/>
      <c r="AO30" s="190">
        <v>24</v>
      </c>
      <c r="AP30" s="190">
        <v>1783.1178707224324</v>
      </c>
      <c r="AQ30" s="187">
        <f t="shared" si="29"/>
        <v>74.296577946768011</v>
      </c>
      <c r="AR30" s="184">
        <f t="shared" si="39"/>
        <v>8</v>
      </c>
      <c r="AS30" s="554"/>
      <c r="AT30" s="190">
        <v>24</v>
      </c>
      <c r="AU30" s="190">
        <v>1783.7167226673587</v>
      </c>
      <c r="AV30" s="187">
        <f t="shared" si="30"/>
        <v>74.32153011113995</v>
      </c>
      <c r="AW30" s="184">
        <f t="shared" si="40"/>
        <v>7</v>
      </c>
      <c r="AX30" s="554"/>
    </row>
    <row r="31" spans="2:50" ht="14.25" customHeight="1">
      <c r="B31" s="525"/>
      <c r="C31" s="182">
        <v>5</v>
      </c>
      <c r="D31" s="185" t="s">
        <v>475</v>
      </c>
      <c r="E31" s="182">
        <v>21</v>
      </c>
      <c r="F31" s="182">
        <v>2000</v>
      </c>
      <c r="G31" s="187">
        <f t="shared" si="25"/>
        <v>95.238095238095241</v>
      </c>
      <c r="H31" s="554"/>
      <c r="I31" s="188">
        <f t="shared" si="31"/>
        <v>22</v>
      </c>
      <c r="J31" s="188">
        <f t="shared" si="31"/>
        <v>1785.0701032199675</v>
      </c>
      <c r="K31" s="189">
        <f t="shared" si="31"/>
        <v>81.139550146362154</v>
      </c>
      <c r="L31" s="555"/>
      <c r="M31" s="188">
        <f>RANK(K31, K$27:$K$41)</f>
        <v>4</v>
      </c>
      <c r="N31" s="525"/>
      <c r="O31" s="525"/>
      <c r="P31" s="190">
        <v>22</v>
      </c>
      <c r="Q31" s="190">
        <v>1785.144429160935</v>
      </c>
      <c r="R31" s="187">
        <f t="shared" si="32"/>
        <v>81.142928598224316</v>
      </c>
      <c r="S31" s="184">
        <f t="shared" si="33"/>
        <v>2</v>
      </c>
      <c r="T31" s="554"/>
      <c r="U31" s="190">
        <v>22</v>
      </c>
      <c r="V31" s="190">
        <v>1785.2975495915994</v>
      </c>
      <c r="W31" s="187">
        <f t="shared" si="26"/>
        <v>81.149888617799974</v>
      </c>
      <c r="X31" s="184">
        <f t="shared" si="34"/>
        <v>2</v>
      </c>
      <c r="Y31" s="554"/>
      <c r="Z31" s="190">
        <v>22</v>
      </c>
      <c r="AA31" s="190">
        <v>1785.2286049238069</v>
      </c>
      <c r="AB31" s="187">
        <f t="shared" si="27"/>
        <v>81.14675476926395</v>
      </c>
      <c r="AC31" s="184">
        <f t="shared" si="35"/>
        <v>4</v>
      </c>
      <c r="AD31" s="554"/>
      <c r="AE31" s="190">
        <v>22</v>
      </c>
      <c r="AF31" s="190">
        <v>1784.8739495798377</v>
      </c>
      <c r="AG31" s="187">
        <f t="shared" si="36"/>
        <v>81.130634071810803</v>
      </c>
      <c r="AH31" s="184">
        <f t="shared" si="37"/>
        <v>4</v>
      </c>
      <c r="AI31" s="554"/>
      <c r="AJ31" s="190">
        <v>22</v>
      </c>
      <c r="AK31" s="190">
        <v>1785.0415512465429</v>
      </c>
      <c r="AL31" s="187">
        <f t="shared" si="28"/>
        <v>81.138252329388308</v>
      </c>
      <c r="AM31" s="184">
        <f t="shared" si="38"/>
        <v>4</v>
      </c>
      <c r="AN31" s="554"/>
      <c r="AO31" s="190">
        <v>22</v>
      </c>
      <c r="AP31" s="190">
        <v>1785.0519031141882</v>
      </c>
      <c r="AQ31" s="187">
        <f t="shared" si="29"/>
        <v>81.138722868826733</v>
      </c>
      <c r="AR31" s="184">
        <f t="shared" si="39"/>
        <v>4</v>
      </c>
      <c r="AS31" s="554"/>
      <c r="AT31" s="190">
        <v>22</v>
      </c>
      <c r="AU31" s="190">
        <v>1784.8527349228623</v>
      </c>
      <c r="AV31" s="187">
        <f t="shared" si="30"/>
        <v>81.12966976922101</v>
      </c>
      <c r="AW31" s="184">
        <f t="shared" si="40"/>
        <v>4</v>
      </c>
      <c r="AX31" s="554"/>
    </row>
    <row r="32" spans="2:50" ht="14.25" customHeight="1">
      <c r="B32" s="525"/>
      <c r="C32" s="182">
        <v>6</v>
      </c>
      <c r="D32" s="185" t="s">
        <v>512</v>
      </c>
      <c r="E32" s="182">
        <v>19</v>
      </c>
      <c r="F32" s="182">
        <v>1800</v>
      </c>
      <c r="G32" s="187">
        <f t="shared" si="25"/>
        <v>94.736842105263165</v>
      </c>
      <c r="H32" s="554"/>
      <c r="I32" s="188">
        <f t="shared" si="31"/>
        <v>19.285714285714285</v>
      </c>
      <c r="J32" s="188">
        <f t="shared" si="31"/>
        <v>1605.3008399026182</v>
      </c>
      <c r="K32" s="189">
        <f t="shared" si="31"/>
        <v>83.282780703940801</v>
      </c>
      <c r="L32" s="555"/>
      <c r="M32" s="188">
        <f>RANK(K32, K$27:$K$41)</f>
        <v>3</v>
      </c>
      <c r="N32" s="525"/>
      <c r="O32" s="525"/>
      <c r="P32" s="190">
        <v>20</v>
      </c>
      <c r="Q32" s="190">
        <v>1605.0000000000018</v>
      </c>
      <c r="R32" s="187">
        <f t="shared" si="32"/>
        <v>80.250000000000085</v>
      </c>
      <c r="S32" s="184">
        <f t="shared" si="33"/>
        <v>3</v>
      </c>
      <c r="T32" s="554"/>
      <c r="U32" s="190">
        <v>20</v>
      </c>
      <c r="V32" s="190">
        <v>1604.9209138840085</v>
      </c>
      <c r="W32" s="187">
        <f t="shared" si="26"/>
        <v>80.246045694200433</v>
      </c>
      <c r="X32" s="184">
        <f t="shared" si="34"/>
        <v>4</v>
      </c>
      <c r="Y32" s="554"/>
      <c r="Z32" s="190">
        <v>19</v>
      </c>
      <c r="AA32" s="190">
        <v>1605.0436469447118</v>
      </c>
      <c r="AB32" s="187">
        <f t="shared" si="27"/>
        <v>84.475981418142723</v>
      </c>
      <c r="AC32" s="184">
        <f t="shared" si="35"/>
        <v>2</v>
      </c>
      <c r="AD32" s="554"/>
      <c r="AE32" s="190">
        <v>19</v>
      </c>
      <c r="AF32" s="190">
        <v>1605.3435114503854</v>
      </c>
      <c r="AG32" s="187">
        <f t="shared" si="36"/>
        <v>84.491763760546604</v>
      </c>
      <c r="AH32" s="184">
        <f t="shared" si="37"/>
        <v>2</v>
      </c>
      <c r="AI32" s="554"/>
      <c r="AJ32" s="190">
        <v>19</v>
      </c>
      <c r="AK32" s="190">
        <v>1605.4631828978656</v>
      </c>
      <c r="AL32" s="187">
        <f t="shared" si="28"/>
        <v>84.498062257782408</v>
      </c>
      <c r="AM32" s="184">
        <f t="shared" si="38"/>
        <v>3</v>
      </c>
      <c r="AN32" s="554"/>
      <c r="AO32" s="190">
        <v>19</v>
      </c>
      <c r="AP32" s="190">
        <v>1605.5653933721233</v>
      </c>
      <c r="AQ32" s="187">
        <f t="shared" si="29"/>
        <v>84.503441756427534</v>
      </c>
      <c r="AR32" s="184">
        <f t="shared" si="39"/>
        <v>3</v>
      </c>
      <c r="AS32" s="554"/>
      <c r="AT32" s="190">
        <v>19</v>
      </c>
      <c r="AU32" s="190">
        <v>1605.7692307692307</v>
      </c>
      <c r="AV32" s="187">
        <f t="shared" si="30"/>
        <v>84.514170040485823</v>
      </c>
      <c r="AW32" s="184">
        <f t="shared" si="40"/>
        <v>3</v>
      </c>
      <c r="AX32" s="554"/>
    </row>
    <row r="33" spans="2:50" ht="14.25" customHeight="1">
      <c r="B33" s="525"/>
      <c r="C33" s="182">
        <v>7</v>
      </c>
      <c r="D33" s="185" t="s">
        <v>487</v>
      </c>
      <c r="E33" s="182">
        <v>19</v>
      </c>
      <c r="F33" s="182">
        <v>2000</v>
      </c>
      <c r="G33" s="187">
        <f t="shared" si="25"/>
        <v>105.26315789473684</v>
      </c>
      <c r="H33" s="554"/>
      <c r="I33" s="188">
        <f t="shared" si="31"/>
        <v>20</v>
      </c>
      <c r="J33" s="188">
        <f t="shared" si="31"/>
        <v>1784.8428011894191</v>
      </c>
      <c r="K33" s="189">
        <f t="shared" si="31"/>
        <v>89.242140059470941</v>
      </c>
      <c r="L33" s="555"/>
      <c r="M33" s="188">
        <f>RANK(K33, K$27:$K$41)</f>
        <v>1</v>
      </c>
      <c r="N33" s="525"/>
      <c r="O33" s="525"/>
      <c r="P33" s="190">
        <v>20</v>
      </c>
      <c r="Q33" s="190">
        <v>1784.3369300382867</v>
      </c>
      <c r="R33" s="187">
        <f t="shared" si="32"/>
        <v>89.216846501914333</v>
      </c>
      <c r="S33" s="184">
        <f t="shared" si="33"/>
        <v>1</v>
      </c>
      <c r="T33" s="554"/>
      <c r="U33" s="190">
        <v>20</v>
      </c>
      <c r="V33" s="190">
        <v>1784.2450765864289</v>
      </c>
      <c r="W33" s="187">
        <f t="shared" si="26"/>
        <v>89.21225382932144</v>
      </c>
      <c r="X33" s="184">
        <f t="shared" si="34"/>
        <v>1</v>
      </c>
      <c r="Y33" s="554"/>
      <c r="Z33" s="190">
        <v>20</v>
      </c>
      <c r="AA33" s="190">
        <v>1784.6567967698572</v>
      </c>
      <c r="AB33" s="187">
        <f t="shared" si="27"/>
        <v>89.232839838492865</v>
      </c>
      <c r="AC33" s="184">
        <f t="shared" si="35"/>
        <v>1</v>
      </c>
      <c r="AD33" s="554"/>
      <c r="AE33" s="190">
        <v>20</v>
      </c>
      <c r="AF33" s="190">
        <v>1785.0249584026635</v>
      </c>
      <c r="AG33" s="187">
        <f t="shared" si="36"/>
        <v>89.251247920133181</v>
      </c>
      <c r="AH33" s="184">
        <f t="shared" si="37"/>
        <v>1</v>
      </c>
      <c r="AI33" s="554"/>
      <c r="AJ33" s="190">
        <v>20</v>
      </c>
      <c r="AK33" s="190">
        <v>1785.1973684210527</v>
      </c>
      <c r="AL33" s="187">
        <f t="shared" si="28"/>
        <v>89.25986842105263</v>
      </c>
      <c r="AM33" s="184">
        <f t="shared" si="38"/>
        <v>1</v>
      </c>
      <c r="AN33" s="554"/>
      <c r="AO33" s="190">
        <v>20</v>
      </c>
      <c r="AP33" s="190">
        <v>1785.1141250413521</v>
      </c>
      <c r="AQ33" s="187">
        <f t="shared" si="29"/>
        <v>89.255706252067597</v>
      </c>
      <c r="AR33" s="184">
        <f t="shared" si="39"/>
        <v>1</v>
      </c>
      <c r="AS33" s="554"/>
      <c r="AT33" s="190">
        <v>20</v>
      </c>
      <c r="AU33" s="190">
        <v>1785.3243530662908</v>
      </c>
      <c r="AV33" s="187">
        <f t="shared" si="30"/>
        <v>89.266217653314541</v>
      </c>
      <c r="AW33" s="184">
        <f t="shared" si="40"/>
        <v>1</v>
      </c>
      <c r="AX33" s="554"/>
    </row>
    <row r="34" spans="2:50" ht="14.25" customHeight="1">
      <c r="B34" s="525"/>
      <c r="C34" s="182">
        <v>8</v>
      </c>
      <c r="D34" s="185" t="s">
        <v>613</v>
      </c>
      <c r="E34" s="182">
        <v>21</v>
      </c>
      <c r="F34" s="182">
        <v>1800</v>
      </c>
      <c r="G34" s="187">
        <f t="shared" si="25"/>
        <v>85.714285714285708</v>
      </c>
      <c r="H34" s="554"/>
      <c r="I34" s="188">
        <f t="shared" si="31"/>
        <v>21</v>
      </c>
      <c r="J34" s="188">
        <f t="shared" si="31"/>
        <v>1562.5789285299418</v>
      </c>
      <c r="K34" s="189">
        <f t="shared" si="31"/>
        <v>74.408520406187691</v>
      </c>
      <c r="L34" s="555"/>
      <c r="M34" s="188">
        <f>RANK(K34, K$27:$K$41)</f>
        <v>6</v>
      </c>
      <c r="N34" s="525"/>
      <c r="O34" s="525"/>
      <c r="P34" s="190">
        <v>21</v>
      </c>
      <c r="Q34" s="190">
        <v>1485.2406417112302</v>
      </c>
      <c r="R34" s="187">
        <f t="shared" si="32"/>
        <v>70.725744843391908</v>
      </c>
      <c r="S34" s="184">
        <f t="shared" si="33"/>
        <v>8</v>
      </c>
      <c r="T34" s="554"/>
      <c r="U34" s="190">
        <v>21</v>
      </c>
      <c r="V34" s="190">
        <v>1515.9763313609465</v>
      </c>
      <c r="W34" s="187">
        <f t="shared" si="26"/>
        <v>72.189349112426015</v>
      </c>
      <c r="X34" s="184">
        <f t="shared" si="34"/>
        <v>8</v>
      </c>
      <c r="Y34" s="554"/>
      <c r="Z34" s="190">
        <v>21</v>
      </c>
      <c r="AA34" s="190">
        <v>1545.2694610778437</v>
      </c>
      <c r="AB34" s="187">
        <f t="shared" si="27"/>
        <v>73.584260051325899</v>
      </c>
      <c r="AC34" s="184">
        <f t="shared" si="35"/>
        <v>8</v>
      </c>
      <c r="AD34" s="554"/>
      <c r="AE34" s="190">
        <v>21</v>
      </c>
      <c r="AF34" s="190">
        <v>1575.5655119659059</v>
      </c>
      <c r="AG34" s="187">
        <f t="shared" si="36"/>
        <v>75.026929141233609</v>
      </c>
      <c r="AH34" s="184">
        <f t="shared" si="37"/>
        <v>5</v>
      </c>
      <c r="AI34" s="554"/>
      <c r="AJ34" s="190">
        <v>21</v>
      </c>
      <c r="AK34" s="190">
        <v>1605.353319057816</v>
      </c>
      <c r="AL34" s="187">
        <f t="shared" si="28"/>
        <v>76.445396145610289</v>
      </c>
      <c r="AM34" s="184">
        <f t="shared" si="38"/>
        <v>5</v>
      </c>
      <c r="AN34" s="554"/>
      <c r="AO34" s="190">
        <v>21</v>
      </c>
      <c r="AP34" s="190">
        <v>1605.3378883313756</v>
      </c>
      <c r="AQ34" s="187">
        <f t="shared" si="29"/>
        <v>76.444661349113119</v>
      </c>
      <c r="AR34" s="184">
        <f t="shared" si="39"/>
        <v>6</v>
      </c>
      <c r="AS34" s="554"/>
      <c r="AT34" s="190">
        <v>21</v>
      </c>
      <c r="AU34" s="190">
        <v>1605.3093462044742</v>
      </c>
      <c r="AV34" s="187">
        <f t="shared" si="30"/>
        <v>76.443302200213054</v>
      </c>
      <c r="AW34" s="184">
        <f t="shared" si="40"/>
        <v>6</v>
      </c>
      <c r="AX34" s="554"/>
    </row>
    <row r="35" spans="2:50" ht="14.25" customHeight="1">
      <c r="B35" s="525"/>
      <c r="C35" s="182">
        <v>9</v>
      </c>
      <c r="D35" s="185" t="s">
        <v>614</v>
      </c>
      <c r="E35" s="182">
        <v>21</v>
      </c>
      <c r="F35" s="182">
        <v>2000</v>
      </c>
      <c r="G35" s="187">
        <f t="shared" si="25"/>
        <v>95.238095238095241</v>
      </c>
      <c r="H35" s="554"/>
      <c r="I35" s="188">
        <f t="shared" si="31"/>
        <v>20.857142857142858</v>
      </c>
      <c r="J35" s="188">
        <f t="shared" si="31"/>
        <v>1738.1094195632093</v>
      </c>
      <c r="K35" s="189">
        <f t="shared" si="31"/>
        <v>83.374177873071417</v>
      </c>
      <c r="L35" s="555"/>
      <c r="M35" s="188">
        <f>RANK(K35, K$27:$K$41)</f>
        <v>2</v>
      </c>
      <c r="N35" s="525"/>
      <c r="O35" s="525"/>
      <c r="P35" s="190">
        <v>21</v>
      </c>
      <c r="Q35" s="190">
        <v>1651.1618170399831</v>
      </c>
      <c r="R35" s="187">
        <f t="shared" si="32"/>
        <v>78.62675319238015</v>
      </c>
      <c r="S35" s="184">
        <f t="shared" si="33"/>
        <v>4</v>
      </c>
      <c r="T35" s="554"/>
      <c r="U35" s="190">
        <v>21</v>
      </c>
      <c r="V35" s="190">
        <v>1685.2905811623245</v>
      </c>
      <c r="W35" s="187">
        <f t="shared" si="26"/>
        <v>80.251932436301175</v>
      </c>
      <c r="X35" s="184">
        <f t="shared" si="34"/>
        <v>3</v>
      </c>
      <c r="Y35" s="554"/>
      <c r="Z35" s="190">
        <v>21</v>
      </c>
      <c r="AA35" s="190">
        <v>1720.9014084507019</v>
      </c>
      <c r="AB35" s="187">
        <f t="shared" si="27"/>
        <v>81.947686116700083</v>
      </c>
      <c r="AC35" s="184">
        <f t="shared" si="35"/>
        <v>3</v>
      </c>
      <c r="AD35" s="554"/>
      <c r="AE35" s="190">
        <v>21</v>
      </c>
      <c r="AF35" s="190">
        <v>1755.3161592505844</v>
      </c>
      <c r="AG35" s="187">
        <f t="shared" si="36"/>
        <v>83.586483773837358</v>
      </c>
      <c r="AH35" s="184">
        <f t="shared" si="37"/>
        <v>3</v>
      </c>
      <c r="AI35" s="554"/>
      <c r="AJ35" s="190">
        <v>21</v>
      </c>
      <c r="AK35" s="190">
        <v>1784.629213483149</v>
      </c>
      <c r="AL35" s="187">
        <f t="shared" si="28"/>
        <v>84.982343499197569</v>
      </c>
      <c r="AM35" s="184">
        <f t="shared" si="38"/>
        <v>2</v>
      </c>
      <c r="AN35" s="554"/>
      <c r="AO35" s="190">
        <v>21</v>
      </c>
      <c r="AP35" s="190">
        <v>1784.702549575072</v>
      </c>
      <c r="AQ35" s="187">
        <f t="shared" si="29"/>
        <v>84.985835694051048</v>
      </c>
      <c r="AR35" s="184">
        <f t="shared" si="39"/>
        <v>2</v>
      </c>
      <c r="AS35" s="554"/>
      <c r="AT35" s="190">
        <v>20</v>
      </c>
      <c r="AU35" s="190">
        <v>1784.7642079806519</v>
      </c>
      <c r="AV35" s="187">
        <f t="shared" si="30"/>
        <v>89.238210399032596</v>
      </c>
      <c r="AW35" s="184">
        <f t="shared" si="40"/>
        <v>2</v>
      </c>
      <c r="AX35" s="554"/>
    </row>
    <row r="36" spans="2:50" ht="14.25" customHeight="1">
      <c r="B36" s="525"/>
      <c r="C36" s="182">
        <v>10</v>
      </c>
      <c r="D36" s="185"/>
      <c r="E36" s="182"/>
      <c r="F36" s="182"/>
      <c r="G36" s="187"/>
      <c r="H36" s="554"/>
      <c r="I36" s="188"/>
      <c r="J36" s="188"/>
      <c r="K36" s="189"/>
      <c r="L36" s="555"/>
      <c r="M36" s="188"/>
      <c r="N36" s="525"/>
      <c r="O36" s="525"/>
      <c r="P36" s="190"/>
      <c r="Q36" s="190"/>
      <c r="R36" s="187"/>
      <c r="S36" s="184"/>
      <c r="T36" s="554"/>
      <c r="U36" s="190"/>
      <c r="V36" s="190"/>
      <c r="W36" s="187"/>
      <c r="X36" s="184"/>
      <c r="Y36" s="554"/>
      <c r="Z36" s="190"/>
      <c r="AA36" s="190"/>
      <c r="AB36" s="187"/>
      <c r="AC36" s="184"/>
      <c r="AD36" s="554"/>
      <c r="AE36" s="190"/>
      <c r="AF36" s="190"/>
      <c r="AG36" s="187"/>
      <c r="AH36" s="184"/>
      <c r="AI36" s="554"/>
      <c r="AJ36" s="190"/>
      <c r="AK36" s="190"/>
      <c r="AL36" s="187"/>
      <c r="AM36" s="184"/>
      <c r="AN36" s="554"/>
      <c r="AO36" s="190"/>
      <c r="AP36" s="190"/>
      <c r="AQ36" s="187"/>
      <c r="AR36" s="184"/>
      <c r="AS36" s="554"/>
      <c r="AT36" s="190"/>
      <c r="AU36" s="190"/>
      <c r="AV36" s="187"/>
      <c r="AW36" s="184"/>
      <c r="AX36" s="554"/>
    </row>
    <row r="37" spans="2:50" ht="14.25" customHeight="1">
      <c r="B37" s="525"/>
      <c r="C37" s="182">
        <v>11</v>
      </c>
      <c r="D37" s="185"/>
      <c r="E37" s="182"/>
      <c r="F37" s="182"/>
      <c r="G37" s="187"/>
      <c r="H37" s="554"/>
      <c r="I37" s="188"/>
      <c r="J37" s="188"/>
      <c r="K37" s="189"/>
      <c r="L37" s="555"/>
      <c r="M37" s="188"/>
      <c r="N37" s="525"/>
      <c r="O37" s="525"/>
      <c r="P37" s="190"/>
      <c r="Q37" s="190"/>
      <c r="R37" s="187"/>
      <c r="S37" s="184"/>
      <c r="T37" s="554"/>
      <c r="U37" s="190"/>
      <c r="V37" s="190"/>
      <c r="W37" s="187"/>
      <c r="X37" s="184"/>
      <c r="Y37" s="554"/>
      <c r="Z37" s="190"/>
      <c r="AA37" s="190"/>
      <c r="AB37" s="187"/>
      <c r="AC37" s="184"/>
      <c r="AD37" s="554"/>
      <c r="AE37" s="190"/>
      <c r="AF37" s="190"/>
      <c r="AG37" s="187"/>
      <c r="AH37" s="184"/>
      <c r="AI37" s="554"/>
      <c r="AJ37" s="190"/>
      <c r="AK37" s="190"/>
      <c r="AL37" s="187"/>
      <c r="AM37" s="184"/>
      <c r="AN37" s="554"/>
      <c r="AO37" s="190"/>
      <c r="AP37" s="190"/>
      <c r="AQ37" s="187"/>
      <c r="AR37" s="184"/>
      <c r="AS37" s="554"/>
      <c r="AT37" s="190"/>
      <c r="AU37" s="190"/>
      <c r="AV37" s="187"/>
      <c r="AW37" s="184"/>
      <c r="AX37" s="554"/>
    </row>
    <row r="38" spans="2:50" ht="14.25" customHeight="1">
      <c r="B38" s="525"/>
      <c r="C38" s="182">
        <v>12</v>
      </c>
      <c r="D38" s="185"/>
      <c r="E38" s="182"/>
      <c r="F38" s="182"/>
      <c r="G38" s="187"/>
      <c r="H38" s="554"/>
      <c r="I38" s="188"/>
      <c r="J38" s="188"/>
      <c r="K38" s="189"/>
      <c r="L38" s="555"/>
      <c r="M38" s="188"/>
      <c r="N38" s="525"/>
      <c r="O38" s="525"/>
      <c r="P38" s="190"/>
      <c r="Q38" s="190"/>
      <c r="R38" s="187"/>
      <c r="S38" s="184"/>
      <c r="T38" s="554"/>
      <c r="U38" s="190"/>
      <c r="V38" s="190"/>
      <c r="W38" s="187"/>
      <c r="X38" s="184"/>
      <c r="Y38" s="554"/>
      <c r="Z38" s="190"/>
      <c r="AA38" s="190"/>
      <c r="AB38" s="187"/>
      <c r="AC38" s="184"/>
      <c r="AD38" s="554"/>
      <c r="AE38" s="190"/>
      <c r="AF38" s="190"/>
      <c r="AG38" s="187"/>
      <c r="AH38" s="184"/>
      <c r="AI38" s="554"/>
      <c r="AJ38" s="190"/>
      <c r="AK38" s="190"/>
      <c r="AL38" s="187"/>
      <c r="AM38" s="184"/>
      <c r="AN38" s="554"/>
      <c r="AO38" s="190"/>
      <c r="AP38" s="190"/>
      <c r="AQ38" s="187"/>
      <c r="AR38" s="184"/>
      <c r="AS38" s="554"/>
      <c r="AT38" s="190"/>
      <c r="AU38" s="190"/>
      <c r="AV38" s="187"/>
      <c r="AW38" s="184"/>
      <c r="AX38" s="554"/>
    </row>
    <row r="39" spans="2:50" ht="14.25" customHeight="1">
      <c r="B39" s="525"/>
      <c r="C39" s="182">
        <v>13</v>
      </c>
      <c r="D39" s="185"/>
      <c r="E39" s="182"/>
      <c r="F39" s="182"/>
      <c r="G39" s="187"/>
      <c r="H39" s="554"/>
      <c r="I39" s="188"/>
      <c r="J39" s="188"/>
      <c r="K39" s="189"/>
      <c r="L39" s="555"/>
      <c r="M39" s="188"/>
      <c r="N39" s="525"/>
      <c r="O39" s="525"/>
      <c r="P39" s="190"/>
      <c r="Q39" s="190"/>
      <c r="R39" s="187"/>
      <c r="S39" s="184"/>
      <c r="T39" s="554"/>
      <c r="U39" s="190"/>
      <c r="V39" s="190"/>
      <c r="W39" s="187"/>
      <c r="X39" s="184"/>
      <c r="Y39" s="554"/>
      <c r="Z39" s="190"/>
      <c r="AA39" s="190"/>
      <c r="AB39" s="187"/>
      <c r="AC39" s="184"/>
      <c r="AD39" s="554"/>
      <c r="AE39" s="190"/>
      <c r="AF39" s="190"/>
      <c r="AG39" s="187"/>
      <c r="AH39" s="184"/>
      <c r="AI39" s="554"/>
      <c r="AJ39" s="190"/>
      <c r="AK39" s="190"/>
      <c r="AL39" s="187"/>
      <c r="AM39" s="184"/>
      <c r="AN39" s="554"/>
      <c r="AO39" s="190"/>
      <c r="AP39" s="190"/>
      <c r="AQ39" s="187"/>
      <c r="AR39" s="184"/>
      <c r="AS39" s="554"/>
      <c r="AT39" s="190"/>
      <c r="AU39" s="190"/>
      <c r="AV39" s="187"/>
      <c r="AW39" s="184"/>
      <c r="AX39" s="554"/>
    </row>
    <row r="40" spans="2:50" ht="14.25" customHeight="1">
      <c r="B40" s="525"/>
      <c r="C40" s="182">
        <v>14</v>
      </c>
      <c r="D40" s="185"/>
      <c r="E40" s="182"/>
      <c r="F40" s="182"/>
      <c r="G40" s="187"/>
      <c r="H40" s="554"/>
      <c r="I40" s="188"/>
      <c r="J40" s="188"/>
      <c r="K40" s="189"/>
      <c r="L40" s="555"/>
      <c r="M40" s="188"/>
      <c r="N40" s="525"/>
      <c r="O40" s="525"/>
      <c r="P40" s="190"/>
      <c r="Q40" s="190"/>
      <c r="R40" s="187"/>
      <c r="S40" s="184"/>
      <c r="T40" s="554"/>
      <c r="U40" s="190"/>
      <c r="V40" s="190"/>
      <c r="W40" s="187"/>
      <c r="X40" s="184"/>
      <c r="Y40" s="554"/>
      <c r="Z40" s="190"/>
      <c r="AA40" s="190"/>
      <c r="AB40" s="187"/>
      <c r="AC40" s="184"/>
      <c r="AD40" s="554"/>
      <c r="AE40" s="190"/>
      <c r="AF40" s="190"/>
      <c r="AG40" s="187"/>
      <c r="AH40" s="184"/>
      <c r="AI40" s="554"/>
      <c r="AJ40" s="190"/>
      <c r="AK40" s="190"/>
      <c r="AL40" s="187"/>
      <c r="AM40" s="184"/>
      <c r="AN40" s="554"/>
      <c r="AO40" s="190"/>
      <c r="AP40" s="190"/>
      <c r="AQ40" s="187"/>
      <c r="AR40" s="184"/>
      <c r="AS40" s="554"/>
      <c r="AT40" s="190"/>
      <c r="AU40" s="190"/>
      <c r="AV40" s="187"/>
      <c r="AW40" s="184"/>
      <c r="AX40" s="554"/>
    </row>
    <row r="41" spans="2:50" ht="14.25" customHeight="1">
      <c r="B41" s="525"/>
      <c r="C41" s="182">
        <v>15</v>
      </c>
      <c r="D41" s="185"/>
      <c r="E41" s="182"/>
      <c r="F41" s="182"/>
      <c r="G41" s="187"/>
      <c r="H41" s="554"/>
      <c r="I41" s="188"/>
      <c r="J41" s="188"/>
      <c r="K41" s="189"/>
      <c r="L41" s="555"/>
      <c r="M41" s="188"/>
      <c r="N41" s="525"/>
      <c r="O41" s="525"/>
      <c r="P41" s="190"/>
      <c r="Q41" s="190"/>
      <c r="R41" s="187"/>
      <c r="S41" s="184"/>
      <c r="T41" s="554"/>
      <c r="U41" s="190"/>
      <c r="V41" s="190"/>
      <c r="W41" s="187"/>
      <c r="X41" s="184"/>
      <c r="Y41" s="554"/>
      <c r="Z41" s="190"/>
      <c r="AA41" s="190"/>
      <c r="AB41" s="187"/>
      <c r="AC41" s="184"/>
      <c r="AD41" s="554"/>
      <c r="AE41" s="190"/>
      <c r="AF41" s="190"/>
      <c r="AG41" s="187"/>
      <c r="AH41" s="184"/>
      <c r="AI41" s="554"/>
      <c r="AJ41" s="190"/>
      <c r="AK41" s="190"/>
      <c r="AL41" s="187"/>
      <c r="AM41" s="184"/>
      <c r="AN41" s="554"/>
      <c r="AO41" s="190"/>
      <c r="AP41" s="190"/>
      <c r="AQ41" s="187"/>
      <c r="AR41" s="184"/>
      <c r="AS41" s="554"/>
      <c r="AT41" s="190"/>
      <c r="AU41" s="190"/>
      <c r="AV41" s="187"/>
      <c r="AW41" s="184"/>
      <c r="AX41" s="554"/>
    </row>
    <row r="42" spans="2:50" ht="14.25" customHeight="1" collapsed="1">
      <c r="B42" s="552" t="s">
        <v>646</v>
      </c>
      <c r="C42" s="535"/>
      <c r="D42" s="535"/>
      <c r="E42" s="535"/>
      <c r="F42" s="535"/>
      <c r="G42" s="535"/>
      <c r="H42" s="535"/>
      <c r="I42" s="535"/>
      <c r="J42" s="535"/>
      <c r="K42" s="535"/>
      <c r="L42" s="535"/>
      <c r="M42" s="536"/>
      <c r="N42" s="564" t="s">
        <v>378</v>
      </c>
      <c r="O42" s="564" t="s">
        <v>105</v>
      </c>
      <c r="P42" s="566">
        <f>AT22+1</f>
        <v>46091</v>
      </c>
      <c r="Q42" s="567"/>
      <c r="R42" s="567"/>
      <c r="S42" s="567"/>
      <c r="T42" s="567"/>
      <c r="U42" s="568">
        <f>P42+1</f>
        <v>46092</v>
      </c>
      <c r="V42" s="569"/>
      <c r="W42" s="569"/>
      <c r="X42" s="569"/>
      <c r="Y42" s="569"/>
      <c r="Z42" s="566">
        <f t="shared" ref="Z42" si="41">U42+1</f>
        <v>46093</v>
      </c>
      <c r="AA42" s="567"/>
      <c r="AB42" s="567"/>
      <c r="AC42" s="567"/>
      <c r="AD42" s="567"/>
      <c r="AE42" s="568">
        <f t="shared" ref="AE42" si="42">Z42+1</f>
        <v>46094</v>
      </c>
      <c r="AF42" s="569"/>
      <c r="AG42" s="569"/>
      <c r="AH42" s="569"/>
      <c r="AI42" s="569"/>
      <c r="AJ42" s="556">
        <f t="shared" ref="AJ42" si="43">AE42+1</f>
        <v>46095</v>
      </c>
      <c r="AK42" s="557"/>
      <c r="AL42" s="557"/>
      <c r="AM42" s="557"/>
      <c r="AN42" s="558"/>
      <c r="AO42" s="568">
        <f t="shared" ref="AO42" si="44">AJ42+1</f>
        <v>46096</v>
      </c>
      <c r="AP42" s="569"/>
      <c r="AQ42" s="569"/>
      <c r="AR42" s="569"/>
      <c r="AS42" s="569"/>
      <c r="AT42" s="556">
        <f t="shared" ref="AT42" si="45">AO42+1</f>
        <v>46097</v>
      </c>
      <c r="AU42" s="557"/>
      <c r="AV42" s="557"/>
      <c r="AW42" s="557"/>
      <c r="AX42" s="558"/>
    </row>
    <row r="43" spans="2:50" ht="14.25" customHeight="1">
      <c r="B43" s="537"/>
      <c r="C43" s="537"/>
      <c r="D43" s="537"/>
      <c r="E43" s="537"/>
      <c r="F43" s="537"/>
      <c r="G43" s="537"/>
      <c r="H43" s="537"/>
      <c r="I43" s="537"/>
      <c r="J43" s="537"/>
      <c r="K43" s="537"/>
      <c r="L43" s="537"/>
      <c r="M43" s="538"/>
      <c r="N43" s="565"/>
      <c r="O43" s="565"/>
      <c r="P43" s="559">
        <f>P42</f>
        <v>46091</v>
      </c>
      <c r="Q43" s="559"/>
      <c r="R43" s="559"/>
      <c r="S43" s="559"/>
      <c r="T43" s="559"/>
      <c r="U43" s="560">
        <f>U42</f>
        <v>46092</v>
      </c>
      <c r="V43" s="560"/>
      <c r="W43" s="560"/>
      <c r="X43" s="560"/>
      <c r="Y43" s="560"/>
      <c r="Z43" s="559">
        <f t="shared" ref="Z43" si="46">Z42</f>
        <v>46093</v>
      </c>
      <c r="AA43" s="559"/>
      <c r="AB43" s="559"/>
      <c r="AC43" s="559"/>
      <c r="AD43" s="559"/>
      <c r="AE43" s="560">
        <f t="shared" ref="AE43" si="47">AE42</f>
        <v>46094</v>
      </c>
      <c r="AF43" s="560"/>
      <c r="AG43" s="560"/>
      <c r="AH43" s="560"/>
      <c r="AI43" s="560"/>
      <c r="AJ43" s="561">
        <f t="shared" ref="AJ43" si="48">AJ42</f>
        <v>46095</v>
      </c>
      <c r="AK43" s="562"/>
      <c r="AL43" s="562"/>
      <c r="AM43" s="562"/>
      <c r="AN43" s="563"/>
      <c r="AO43" s="560">
        <f t="shared" ref="AO43" si="49">AO42</f>
        <v>46096</v>
      </c>
      <c r="AP43" s="560"/>
      <c r="AQ43" s="560"/>
      <c r="AR43" s="560"/>
      <c r="AS43" s="560"/>
      <c r="AT43" s="561">
        <f t="shared" ref="AT43" si="50">AT42</f>
        <v>46097</v>
      </c>
      <c r="AU43" s="562"/>
      <c r="AV43" s="562"/>
      <c r="AW43" s="562"/>
      <c r="AX43" s="563"/>
    </row>
    <row r="44" spans="2:50" ht="14.25" customHeight="1">
      <c r="B44" s="525" t="s">
        <v>164</v>
      </c>
      <c r="C44" s="525" t="s">
        <v>159</v>
      </c>
      <c r="D44" s="525"/>
      <c r="E44" s="525" t="s">
        <v>160</v>
      </c>
      <c r="F44" s="525"/>
      <c r="G44" s="525"/>
      <c r="H44" s="525" t="s">
        <v>165</v>
      </c>
      <c r="I44" s="544" t="s">
        <v>379</v>
      </c>
      <c r="J44" s="544"/>
      <c r="K44" s="544"/>
      <c r="L44" s="544" t="s">
        <v>165</v>
      </c>
      <c r="M44" s="544" t="s">
        <v>167</v>
      </c>
      <c r="N44" s="525"/>
      <c r="O44" s="525" t="s">
        <v>166</v>
      </c>
      <c r="P44" s="525" t="s">
        <v>162</v>
      </c>
      <c r="Q44" s="525"/>
      <c r="R44" s="525"/>
      <c r="S44" s="525"/>
      <c r="T44" s="525" t="s">
        <v>165</v>
      </c>
      <c r="U44" s="525" t="s">
        <v>162</v>
      </c>
      <c r="V44" s="525"/>
      <c r="W44" s="525"/>
      <c r="X44" s="525"/>
      <c r="Y44" s="525" t="s">
        <v>165</v>
      </c>
      <c r="Z44" s="525" t="s">
        <v>162</v>
      </c>
      <c r="AA44" s="525"/>
      <c r="AB44" s="525"/>
      <c r="AC44" s="525"/>
      <c r="AD44" s="525" t="s">
        <v>165</v>
      </c>
      <c r="AE44" s="525" t="s">
        <v>162</v>
      </c>
      <c r="AF44" s="525"/>
      <c r="AG44" s="525"/>
      <c r="AH44" s="525"/>
      <c r="AI44" s="525" t="s">
        <v>165</v>
      </c>
      <c r="AJ44" s="525" t="s">
        <v>162</v>
      </c>
      <c r="AK44" s="525"/>
      <c r="AL44" s="525"/>
      <c r="AM44" s="525"/>
      <c r="AN44" s="525" t="s">
        <v>165</v>
      </c>
      <c r="AO44" s="525" t="s">
        <v>162</v>
      </c>
      <c r="AP44" s="525"/>
      <c r="AQ44" s="525"/>
      <c r="AR44" s="525"/>
      <c r="AS44" s="525" t="s">
        <v>165</v>
      </c>
      <c r="AT44" s="525" t="s">
        <v>162</v>
      </c>
      <c r="AU44" s="525"/>
      <c r="AV44" s="525"/>
      <c r="AW44" s="525"/>
      <c r="AX44" s="525" t="s">
        <v>165</v>
      </c>
    </row>
    <row r="45" spans="2:50" ht="14.25" customHeight="1">
      <c r="B45" s="525"/>
      <c r="C45" s="525"/>
      <c r="D45" s="525"/>
      <c r="E45" s="525" t="s">
        <v>380</v>
      </c>
      <c r="F45" s="525"/>
      <c r="G45" s="525"/>
      <c r="H45" s="525"/>
      <c r="I45" s="544" t="s">
        <v>380</v>
      </c>
      <c r="J45" s="544"/>
      <c r="K45" s="544"/>
      <c r="L45" s="544"/>
      <c r="M45" s="544"/>
      <c r="N45" s="525"/>
      <c r="O45" s="525"/>
      <c r="P45" s="525" t="s">
        <v>381</v>
      </c>
      <c r="Q45" s="525"/>
      <c r="R45" s="525"/>
      <c r="S45" s="525"/>
      <c r="T45" s="525"/>
      <c r="U45" s="525" t="s">
        <v>381</v>
      </c>
      <c r="V45" s="525"/>
      <c r="W45" s="525"/>
      <c r="X45" s="525"/>
      <c r="Y45" s="525"/>
      <c r="Z45" s="525" t="s">
        <v>381</v>
      </c>
      <c r="AA45" s="525"/>
      <c r="AB45" s="525"/>
      <c r="AC45" s="525"/>
      <c r="AD45" s="525"/>
      <c r="AE45" s="525" t="s">
        <v>381</v>
      </c>
      <c r="AF45" s="525"/>
      <c r="AG45" s="525"/>
      <c r="AH45" s="525"/>
      <c r="AI45" s="525"/>
      <c r="AJ45" s="525" t="s">
        <v>381</v>
      </c>
      <c r="AK45" s="525"/>
      <c r="AL45" s="525"/>
      <c r="AM45" s="525"/>
      <c r="AN45" s="525"/>
      <c r="AO45" s="525" t="s">
        <v>381</v>
      </c>
      <c r="AP45" s="525"/>
      <c r="AQ45" s="525"/>
      <c r="AR45" s="525"/>
      <c r="AS45" s="525"/>
      <c r="AT45" s="525" t="s">
        <v>381</v>
      </c>
      <c r="AU45" s="525"/>
      <c r="AV45" s="525"/>
      <c r="AW45" s="525"/>
      <c r="AX45" s="525"/>
    </row>
    <row r="46" spans="2:50" ht="14.25" customHeight="1">
      <c r="B46" s="525"/>
      <c r="C46" s="525"/>
      <c r="D46" s="525"/>
      <c r="E46" s="182" t="s">
        <v>161</v>
      </c>
      <c r="F46" s="182" t="s">
        <v>382</v>
      </c>
      <c r="G46" s="182" t="s">
        <v>163</v>
      </c>
      <c r="H46" s="525"/>
      <c r="I46" s="183" t="s">
        <v>161</v>
      </c>
      <c r="J46" s="183" t="s">
        <v>382</v>
      </c>
      <c r="K46" s="183" t="s">
        <v>163</v>
      </c>
      <c r="L46" s="544"/>
      <c r="M46" s="544"/>
      <c r="N46" s="525"/>
      <c r="O46" s="525"/>
      <c r="P46" s="182" t="s">
        <v>161</v>
      </c>
      <c r="Q46" s="182" t="s">
        <v>382</v>
      </c>
      <c r="R46" s="182" t="s">
        <v>163</v>
      </c>
      <c r="S46" s="184" t="s">
        <v>167</v>
      </c>
      <c r="T46" s="525"/>
      <c r="U46" s="182" t="s">
        <v>161</v>
      </c>
      <c r="V46" s="182" t="s">
        <v>382</v>
      </c>
      <c r="W46" s="182" t="s">
        <v>163</v>
      </c>
      <c r="X46" s="184" t="s">
        <v>167</v>
      </c>
      <c r="Y46" s="525"/>
      <c r="Z46" s="182" t="s">
        <v>161</v>
      </c>
      <c r="AA46" s="182" t="s">
        <v>382</v>
      </c>
      <c r="AB46" s="182" t="s">
        <v>163</v>
      </c>
      <c r="AC46" s="184" t="s">
        <v>167</v>
      </c>
      <c r="AD46" s="525"/>
      <c r="AE46" s="182" t="s">
        <v>161</v>
      </c>
      <c r="AF46" s="182" t="s">
        <v>382</v>
      </c>
      <c r="AG46" s="182" t="s">
        <v>163</v>
      </c>
      <c r="AH46" s="184" t="s">
        <v>167</v>
      </c>
      <c r="AI46" s="525"/>
      <c r="AJ46" s="182" t="s">
        <v>161</v>
      </c>
      <c r="AK46" s="182" t="s">
        <v>382</v>
      </c>
      <c r="AL46" s="182" t="s">
        <v>163</v>
      </c>
      <c r="AM46" s="184" t="s">
        <v>167</v>
      </c>
      <c r="AN46" s="525"/>
      <c r="AO46" s="182" t="s">
        <v>161</v>
      </c>
      <c r="AP46" s="182" t="s">
        <v>382</v>
      </c>
      <c r="AQ46" s="182" t="s">
        <v>163</v>
      </c>
      <c r="AR46" s="184" t="s">
        <v>167</v>
      </c>
      <c r="AS46" s="525"/>
      <c r="AT46" s="182" t="s">
        <v>161</v>
      </c>
      <c r="AU46" s="182" t="s">
        <v>382</v>
      </c>
      <c r="AV46" s="182" t="s">
        <v>163</v>
      </c>
      <c r="AW46" s="184" t="s">
        <v>167</v>
      </c>
      <c r="AX46" s="525"/>
    </row>
    <row r="47" spans="2:50" ht="14.25" customHeight="1">
      <c r="B47" s="525" t="s">
        <v>358</v>
      </c>
      <c r="C47" s="182">
        <v>1</v>
      </c>
      <c r="D47" s="185"/>
      <c r="E47" s="182"/>
      <c r="F47" s="182"/>
      <c r="G47" s="187"/>
      <c r="H47" s="554"/>
      <c r="I47" s="188"/>
      <c r="J47" s="188"/>
      <c r="K47" s="189"/>
      <c r="L47" s="555" t="str">
        <f>IFERROR(AVERAGE(K47:K61),"-")</f>
        <v>-</v>
      </c>
      <c r="M47" s="188" t="e">
        <f>RANK(K47, K$47:$K$61)</f>
        <v>#N/A</v>
      </c>
      <c r="N47" s="525"/>
      <c r="O47" s="525"/>
      <c r="P47" s="190"/>
      <c r="Q47" s="190"/>
      <c r="R47" s="187"/>
      <c r="S47" s="184"/>
      <c r="T47" s="554"/>
      <c r="U47" s="190"/>
      <c r="V47" s="190"/>
      <c r="W47" s="187"/>
      <c r="X47" s="184"/>
      <c r="Y47" s="554"/>
      <c r="Z47" s="190"/>
      <c r="AA47" s="190"/>
      <c r="AB47" s="187"/>
      <c r="AC47" s="184"/>
      <c r="AD47" s="554"/>
      <c r="AE47" s="190"/>
      <c r="AF47" s="190"/>
      <c r="AG47" s="187"/>
      <c r="AH47" s="184"/>
      <c r="AI47" s="554"/>
      <c r="AJ47" s="190"/>
      <c r="AK47" s="190"/>
      <c r="AL47" s="187"/>
      <c r="AM47" s="184"/>
      <c r="AN47" s="554"/>
      <c r="AO47" s="190"/>
      <c r="AP47" s="190"/>
      <c r="AQ47" s="187"/>
      <c r="AR47" s="184"/>
      <c r="AS47" s="554"/>
      <c r="AT47" s="190"/>
      <c r="AU47" s="190"/>
      <c r="AV47" s="187"/>
      <c r="AW47" s="184"/>
      <c r="AX47" s="554"/>
    </row>
    <row r="48" spans="2:50" ht="14.25" customHeight="1">
      <c r="B48" s="525"/>
      <c r="C48" s="182">
        <v>2</v>
      </c>
      <c r="D48" s="185"/>
      <c r="E48" s="182"/>
      <c r="F48" s="182"/>
      <c r="G48" s="187"/>
      <c r="H48" s="554"/>
      <c r="I48" s="188"/>
      <c r="J48" s="188"/>
      <c r="K48" s="189"/>
      <c r="L48" s="555"/>
      <c r="M48" s="188"/>
      <c r="N48" s="525"/>
      <c r="O48" s="525"/>
      <c r="P48" s="190"/>
      <c r="Q48" s="190"/>
      <c r="R48" s="187"/>
      <c r="S48" s="184"/>
      <c r="T48" s="554"/>
      <c r="U48" s="190"/>
      <c r="V48" s="190"/>
      <c r="W48" s="187"/>
      <c r="X48" s="184"/>
      <c r="Y48" s="554"/>
      <c r="Z48" s="190"/>
      <c r="AA48" s="190"/>
      <c r="AB48" s="187"/>
      <c r="AC48" s="184"/>
      <c r="AD48" s="554"/>
      <c r="AE48" s="190"/>
      <c r="AF48" s="190"/>
      <c r="AG48" s="187"/>
      <c r="AH48" s="184"/>
      <c r="AI48" s="554"/>
      <c r="AJ48" s="190"/>
      <c r="AK48" s="190"/>
      <c r="AL48" s="187"/>
      <c r="AM48" s="184"/>
      <c r="AN48" s="554"/>
      <c r="AO48" s="190"/>
      <c r="AP48" s="190"/>
      <c r="AQ48" s="187"/>
      <c r="AR48" s="184"/>
      <c r="AS48" s="554"/>
      <c r="AT48" s="190"/>
      <c r="AU48" s="190"/>
      <c r="AV48" s="187"/>
      <c r="AW48" s="184"/>
      <c r="AX48" s="554"/>
    </row>
    <row r="49" spans="2:50" ht="14.25" customHeight="1">
      <c r="B49" s="525"/>
      <c r="C49" s="182">
        <v>3</v>
      </c>
      <c r="D49" s="185"/>
      <c r="E49" s="182"/>
      <c r="F49" s="182"/>
      <c r="G49" s="187"/>
      <c r="H49" s="554"/>
      <c r="I49" s="188"/>
      <c r="J49" s="188"/>
      <c r="K49" s="189"/>
      <c r="L49" s="555"/>
      <c r="M49" s="188"/>
      <c r="N49" s="525"/>
      <c r="O49" s="525"/>
      <c r="P49" s="190"/>
      <c r="Q49" s="190"/>
      <c r="R49" s="187"/>
      <c r="S49" s="184"/>
      <c r="T49" s="554"/>
      <c r="U49" s="190"/>
      <c r="V49" s="190"/>
      <c r="W49" s="187"/>
      <c r="X49" s="184"/>
      <c r="Y49" s="554"/>
      <c r="Z49" s="190"/>
      <c r="AA49" s="190"/>
      <c r="AB49" s="187"/>
      <c r="AC49" s="184"/>
      <c r="AD49" s="554"/>
      <c r="AE49" s="190"/>
      <c r="AF49" s="190"/>
      <c r="AG49" s="187"/>
      <c r="AH49" s="184"/>
      <c r="AI49" s="554"/>
      <c r="AJ49" s="190"/>
      <c r="AK49" s="190"/>
      <c r="AL49" s="187"/>
      <c r="AM49" s="184"/>
      <c r="AN49" s="554"/>
      <c r="AO49" s="190"/>
      <c r="AP49" s="190"/>
      <c r="AQ49" s="187"/>
      <c r="AR49" s="184"/>
      <c r="AS49" s="554"/>
      <c r="AT49" s="190"/>
      <c r="AU49" s="190"/>
      <c r="AV49" s="187"/>
      <c r="AW49" s="184"/>
      <c r="AX49" s="554"/>
    </row>
    <row r="50" spans="2:50" ht="14.25" customHeight="1">
      <c r="B50" s="525"/>
      <c r="C50" s="182">
        <v>4</v>
      </c>
      <c r="D50" s="185"/>
      <c r="E50" s="182"/>
      <c r="F50" s="182"/>
      <c r="G50" s="187"/>
      <c r="H50" s="554"/>
      <c r="I50" s="188"/>
      <c r="J50" s="188"/>
      <c r="K50" s="189"/>
      <c r="L50" s="555"/>
      <c r="M50" s="188"/>
      <c r="N50" s="525"/>
      <c r="O50" s="525"/>
      <c r="P50" s="190"/>
      <c r="Q50" s="190"/>
      <c r="R50" s="187"/>
      <c r="S50" s="184"/>
      <c r="T50" s="554"/>
      <c r="U50" s="190"/>
      <c r="V50" s="190"/>
      <c r="W50" s="187"/>
      <c r="X50" s="184"/>
      <c r="Y50" s="554"/>
      <c r="Z50" s="190"/>
      <c r="AA50" s="190"/>
      <c r="AB50" s="187"/>
      <c r="AC50" s="184"/>
      <c r="AD50" s="554"/>
      <c r="AE50" s="190"/>
      <c r="AF50" s="190"/>
      <c r="AG50" s="187"/>
      <c r="AH50" s="184"/>
      <c r="AI50" s="554"/>
      <c r="AJ50" s="190"/>
      <c r="AK50" s="190"/>
      <c r="AL50" s="187"/>
      <c r="AM50" s="184"/>
      <c r="AN50" s="554"/>
      <c r="AO50" s="190"/>
      <c r="AP50" s="190"/>
      <c r="AQ50" s="187"/>
      <c r="AR50" s="184"/>
      <c r="AS50" s="554"/>
      <c r="AT50" s="190"/>
      <c r="AU50" s="190"/>
      <c r="AV50" s="187"/>
      <c r="AW50" s="184"/>
      <c r="AX50" s="554"/>
    </row>
    <row r="51" spans="2:50" ht="14.25" customHeight="1">
      <c r="B51" s="525"/>
      <c r="C51" s="182">
        <v>5</v>
      </c>
      <c r="D51" s="185"/>
      <c r="E51" s="182"/>
      <c r="F51" s="182"/>
      <c r="G51" s="187"/>
      <c r="H51" s="554"/>
      <c r="I51" s="188"/>
      <c r="J51" s="188"/>
      <c r="K51" s="189"/>
      <c r="L51" s="555"/>
      <c r="M51" s="188"/>
      <c r="N51" s="525"/>
      <c r="O51" s="525"/>
      <c r="P51" s="190"/>
      <c r="Q51" s="190"/>
      <c r="R51" s="187"/>
      <c r="S51" s="184"/>
      <c r="T51" s="554"/>
      <c r="U51" s="190"/>
      <c r="V51" s="190"/>
      <c r="W51" s="187"/>
      <c r="X51" s="184"/>
      <c r="Y51" s="554"/>
      <c r="Z51" s="190"/>
      <c r="AA51" s="190"/>
      <c r="AB51" s="187"/>
      <c r="AC51" s="184"/>
      <c r="AD51" s="554"/>
      <c r="AE51" s="190"/>
      <c r="AF51" s="190"/>
      <c r="AG51" s="187"/>
      <c r="AH51" s="184"/>
      <c r="AI51" s="554"/>
      <c r="AJ51" s="190"/>
      <c r="AK51" s="190"/>
      <c r="AL51" s="187"/>
      <c r="AM51" s="184"/>
      <c r="AN51" s="554"/>
      <c r="AO51" s="190"/>
      <c r="AP51" s="190"/>
      <c r="AQ51" s="187"/>
      <c r="AR51" s="184"/>
      <c r="AS51" s="554"/>
      <c r="AT51" s="190"/>
      <c r="AU51" s="190"/>
      <c r="AV51" s="187"/>
      <c r="AW51" s="184"/>
      <c r="AX51" s="554"/>
    </row>
    <row r="52" spans="2:50" ht="14.25" customHeight="1">
      <c r="B52" s="525"/>
      <c r="C52" s="182">
        <v>6</v>
      </c>
      <c r="D52" s="185"/>
      <c r="E52" s="182"/>
      <c r="F52" s="182"/>
      <c r="G52" s="187"/>
      <c r="H52" s="554"/>
      <c r="I52" s="188"/>
      <c r="J52" s="188"/>
      <c r="K52" s="189"/>
      <c r="L52" s="555"/>
      <c r="M52" s="188"/>
      <c r="N52" s="525"/>
      <c r="O52" s="525"/>
      <c r="P52" s="190"/>
      <c r="Q52" s="190"/>
      <c r="R52" s="187"/>
      <c r="S52" s="184"/>
      <c r="T52" s="554"/>
      <c r="U52" s="190"/>
      <c r="V52" s="190"/>
      <c r="W52" s="187"/>
      <c r="X52" s="184"/>
      <c r="Y52" s="554"/>
      <c r="Z52" s="190"/>
      <c r="AA52" s="190"/>
      <c r="AB52" s="187"/>
      <c r="AC52" s="184"/>
      <c r="AD52" s="554"/>
      <c r="AE52" s="190"/>
      <c r="AF52" s="190"/>
      <c r="AG52" s="187"/>
      <c r="AH52" s="184"/>
      <c r="AI52" s="554"/>
      <c r="AJ52" s="190"/>
      <c r="AK52" s="190"/>
      <c r="AL52" s="187"/>
      <c r="AM52" s="184"/>
      <c r="AN52" s="554"/>
      <c r="AO52" s="190"/>
      <c r="AP52" s="190"/>
      <c r="AQ52" s="187"/>
      <c r="AR52" s="184"/>
      <c r="AS52" s="554"/>
      <c r="AT52" s="190"/>
      <c r="AU52" s="190"/>
      <c r="AV52" s="187"/>
      <c r="AW52" s="184"/>
      <c r="AX52" s="554"/>
    </row>
    <row r="53" spans="2:50" ht="14.25" customHeight="1">
      <c r="B53" s="525"/>
      <c r="C53" s="182">
        <v>7</v>
      </c>
      <c r="D53" s="185"/>
      <c r="E53" s="182"/>
      <c r="F53" s="182"/>
      <c r="G53" s="187"/>
      <c r="H53" s="554"/>
      <c r="I53" s="188"/>
      <c r="J53" s="188"/>
      <c r="K53" s="189"/>
      <c r="L53" s="555"/>
      <c r="M53" s="188"/>
      <c r="N53" s="525"/>
      <c r="O53" s="525"/>
      <c r="P53" s="190"/>
      <c r="Q53" s="190"/>
      <c r="R53" s="187"/>
      <c r="S53" s="184"/>
      <c r="T53" s="554"/>
      <c r="U53" s="190"/>
      <c r="V53" s="190"/>
      <c r="W53" s="187"/>
      <c r="X53" s="184"/>
      <c r="Y53" s="554"/>
      <c r="Z53" s="190"/>
      <c r="AA53" s="190"/>
      <c r="AB53" s="187"/>
      <c r="AC53" s="184"/>
      <c r="AD53" s="554"/>
      <c r="AE53" s="190"/>
      <c r="AF53" s="190"/>
      <c r="AG53" s="187"/>
      <c r="AH53" s="184"/>
      <c r="AI53" s="554"/>
      <c r="AJ53" s="190"/>
      <c r="AK53" s="190"/>
      <c r="AL53" s="187"/>
      <c r="AM53" s="184"/>
      <c r="AN53" s="554"/>
      <c r="AO53" s="190"/>
      <c r="AP53" s="190"/>
      <c r="AQ53" s="187"/>
      <c r="AR53" s="184"/>
      <c r="AS53" s="554"/>
      <c r="AT53" s="190"/>
      <c r="AU53" s="190"/>
      <c r="AV53" s="187"/>
      <c r="AW53" s="184"/>
      <c r="AX53" s="554"/>
    </row>
    <row r="54" spans="2:50" ht="14.25" customHeight="1">
      <c r="B54" s="525"/>
      <c r="C54" s="182">
        <v>8</v>
      </c>
      <c r="D54" s="185"/>
      <c r="E54" s="182"/>
      <c r="F54" s="182"/>
      <c r="G54" s="187"/>
      <c r="H54" s="554"/>
      <c r="I54" s="188"/>
      <c r="J54" s="188"/>
      <c r="K54" s="189"/>
      <c r="L54" s="555"/>
      <c r="M54" s="188"/>
      <c r="N54" s="525"/>
      <c r="O54" s="525"/>
      <c r="P54" s="190"/>
      <c r="Q54" s="190"/>
      <c r="R54" s="187"/>
      <c r="S54" s="184"/>
      <c r="T54" s="554"/>
      <c r="U54" s="190"/>
      <c r="V54" s="190"/>
      <c r="W54" s="187"/>
      <c r="X54" s="184"/>
      <c r="Y54" s="554"/>
      <c r="Z54" s="190"/>
      <c r="AA54" s="190"/>
      <c r="AB54" s="187"/>
      <c r="AC54" s="184"/>
      <c r="AD54" s="554"/>
      <c r="AE54" s="190"/>
      <c r="AF54" s="190"/>
      <c r="AG54" s="187"/>
      <c r="AH54" s="184"/>
      <c r="AI54" s="554"/>
      <c r="AJ54" s="190"/>
      <c r="AK54" s="190"/>
      <c r="AL54" s="187"/>
      <c r="AM54" s="184"/>
      <c r="AN54" s="554"/>
      <c r="AO54" s="190"/>
      <c r="AP54" s="190"/>
      <c r="AQ54" s="187"/>
      <c r="AR54" s="184"/>
      <c r="AS54" s="554"/>
      <c r="AT54" s="190"/>
      <c r="AU54" s="190"/>
      <c r="AV54" s="187"/>
      <c r="AW54" s="184"/>
      <c r="AX54" s="554"/>
    </row>
    <row r="55" spans="2:50" ht="14.25" customHeight="1">
      <c r="B55" s="525"/>
      <c r="C55" s="182">
        <v>9</v>
      </c>
      <c r="D55" s="185"/>
      <c r="E55" s="182"/>
      <c r="F55" s="182"/>
      <c r="G55" s="187"/>
      <c r="H55" s="554"/>
      <c r="I55" s="188"/>
      <c r="J55" s="188"/>
      <c r="K55" s="189"/>
      <c r="L55" s="555"/>
      <c r="M55" s="188"/>
      <c r="N55" s="525"/>
      <c r="O55" s="525"/>
      <c r="P55" s="190"/>
      <c r="Q55" s="190"/>
      <c r="R55" s="187"/>
      <c r="S55" s="184"/>
      <c r="T55" s="554"/>
      <c r="U55" s="190"/>
      <c r="V55" s="190"/>
      <c r="W55" s="187"/>
      <c r="X55" s="184"/>
      <c r="Y55" s="554"/>
      <c r="Z55" s="190"/>
      <c r="AA55" s="190"/>
      <c r="AB55" s="187"/>
      <c r="AC55" s="184"/>
      <c r="AD55" s="554"/>
      <c r="AE55" s="190"/>
      <c r="AF55" s="190"/>
      <c r="AG55" s="187"/>
      <c r="AH55" s="184"/>
      <c r="AI55" s="554"/>
      <c r="AJ55" s="190"/>
      <c r="AK55" s="190"/>
      <c r="AL55" s="187"/>
      <c r="AM55" s="184"/>
      <c r="AN55" s="554"/>
      <c r="AO55" s="190"/>
      <c r="AP55" s="190"/>
      <c r="AQ55" s="187"/>
      <c r="AR55" s="184"/>
      <c r="AS55" s="554"/>
      <c r="AT55" s="190"/>
      <c r="AU55" s="190"/>
      <c r="AV55" s="187"/>
      <c r="AW55" s="184"/>
      <c r="AX55" s="554"/>
    </row>
    <row r="56" spans="2:50" ht="14.25" customHeight="1">
      <c r="B56" s="525"/>
      <c r="C56" s="182">
        <v>10</v>
      </c>
      <c r="D56" s="185"/>
      <c r="E56" s="182"/>
      <c r="F56" s="182"/>
      <c r="G56" s="187"/>
      <c r="H56" s="554"/>
      <c r="I56" s="188"/>
      <c r="J56" s="188"/>
      <c r="K56" s="189"/>
      <c r="L56" s="555"/>
      <c r="M56" s="188"/>
      <c r="N56" s="525"/>
      <c r="O56" s="525"/>
      <c r="P56" s="190"/>
      <c r="Q56" s="190"/>
      <c r="R56" s="187"/>
      <c r="S56" s="184"/>
      <c r="T56" s="554"/>
      <c r="U56" s="190"/>
      <c r="V56" s="190"/>
      <c r="W56" s="187"/>
      <c r="X56" s="184"/>
      <c r="Y56" s="554"/>
      <c r="Z56" s="190"/>
      <c r="AA56" s="190"/>
      <c r="AB56" s="187"/>
      <c r="AC56" s="184"/>
      <c r="AD56" s="554"/>
      <c r="AE56" s="190"/>
      <c r="AF56" s="190"/>
      <c r="AG56" s="187"/>
      <c r="AH56" s="184"/>
      <c r="AI56" s="554"/>
      <c r="AJ56" s="190"/>
      <c r="AK56" s="190"/>
      <c r="AL56" s="187"/>
      <c r="AM56" s="184"/>
      <c r="AN56" s="554"/>
      <c r="AO56" s="190"/>
      <c r="AP56" s="190"/>
      <c r="AQ56" s="187"/>
      <c r="AR56" s="184"/>
      <c r="AS56" s="554"/>
      <c r="AT56" s="190"/>
      <c r="AU56" s="190"/>
      <c r="AV56" s="187"/>
      <c r="AW56" s="184"/>
      <c r="AX56" s="554"/>
    </row>
    <row r="57" spans="2:50" ht="14.25" customHeight="1">
      <c r="B57" s="525"/>
      <c r="C57" s="182">
        <v>11</v>
      </c>
      <c r="D57" s="185"/>
      <c r="E57" s="182"/>
      <c r="F57" s="182"/>
      <c r="G57" s="187"/>
      <c r="H57" s="554"/>
      <c r="I57" s="188"/>
      <c r="J57" s="188"/>
      <c r="K57" s="189"/>
      <c r="L57" s="555"/>
      <c r="M57" s="188"/>
      <c r="N57" s="525"/>
      <c r="O57" s="525"/>
      <c r="P57" s="190"/>
      <c r="Q57" s="190"/>
      <c r="R57" s="187"/>
      <c r="S57" s="184"/>
      <c r="T57" s="554"/>
      <c r="U57" s="190"/>
      <c r="V57" s="190"/>
      <c r="W57" s="187"/>
      <c r="X57" s="184"/>
      <c r="Y57" s="554"/>
      <c r="Z57" s="190"/>
      <c r="AA57" s="190"/>
      <c r="AB57" s="187"/>
      <c r="AC57" s="184"/>
      <c r="AD57" s="554"/>
      <c r="AE57" s="190"/>
      <c r="AF57" s="190"/>
      <c r="AG57" s="187"/>
      <c r="AH57" s="184"/>
      <c r="AI57" s="554"/>
      <c r="AJ57" s="190"/>
      <c r="AK57" s="190"/>
      <c r="AL57" s="187"/>
      <c r="AM57" s="184"/>
      <c r="AN57" s="554"/>
      <c r="AO57" s="190"/>
      <c r="AP57" s="190"/>
      <c r="AQ57" s="187"/>
      <c r="AR57" s="184"/>
      <c r="AS57" s="554"/>
      <c r="AT57" s="190"/>
      <c r="AU57" s="190"/>
      <c r="AV57" s="187"/>
      <c r="AW57" s="184"/>
      <c r="AX57" s="554"/>
    </row>
    <row r="58" spans="2:50" ht="14.25" customHeight="1">
      <c r="B58" s="525"/>
      <c r="C58" s="182">
        <v>12</v>
      </c>
      <c r="D58" s="185"/>
      <c r="E58" s="182"/>
      <c r="F58" s="182"/>
      <c r="G58" s="187"/>
      <c r="H58" s="554"/>
      <c r="I58" s="188"/>
      <c r="J58" s="188"/>
      <c r="K58" s="189"/>
      <c r="L58" s="555"/>
      <c r="M58" s="188"/>
      <c r="N58" s="525"/>
      <c r="O58" s="525"/>
      <c r="P58" s="190"/>
      <c r="Q58" s="190"/>
      <c r="R58" s="187"/>
      <c r="S58" s="184"/>
      <c r="T58" s="554"/>
      <c r="U58" s="190"/>
      <c r="V58" s="190"/>
      <c r="W58" s="187"/>
      <c r="X58" s="184"/>
      <c r="Y58" s="554"/>
      <c r="Z58" s="190"/>
      <c r="AA58" s="190"/>
      <c r="AB58" s="187"/>
      <c r="AC58" s="184"/>
      <c r="AD58" s="554"/>
      <c r="AE58" s="190"/>
      <c r="AF58" s="190"/>
      <c r="AG58" s="187"/>
      <c r="AH58" s="184"/>
      <c r="AI58" s="554"/>
      <c r="AJ58" s="190"/>
      <c r="AK58" s="190"/>
      <c r="AL58" s="187"/>
      <c r="AM58" s="184"/>
      <c r="AN58" s="554"/>
      <c r="AO58" s="190"/>
      <c r="AP58" s="190"/>
      <c r="AQ58" s="187"/>
      <c r="AR58" s="184"/>
      <c r="AS58" s="554"/>
      <c r="AT58" s="190"/>
      <c r="AU58" s="190"/>
      <c r="AV58" s="187"/>
      <c r="AW58" s="184"/>
      <c r="AX58" s="554"/>
    </row>
    <row r="59" spans="2:50" ht="14.25" customHeight="1">
      <c r="B59" s="525"/>
      <c r="C59" s="182">
        <v>13</v>
      </c>
      <c r="D59" s="185"/>
      <c r="E59" s="182"/>
      <c r="F59" s="182"/>
      <c r="G59" s="187"/>
      <c r="H59" s="554"/>
      <c r="I59" s="188"/>
      <c r="J59" s="188"/>
      <c r="K59" s="189"/>
      <c r="L59" s="555"/>
      <c r="M59" s="188"/>
      <c r="N59" s="525"/>
      <c r="O59" s="525"/>
      <c r="P59" s="190"/>
      <c r="Q59" s="190"/>
      <c r="R59" s="187"/>
      <c r="S59" s="184"/>
      <c r="T59" s="554"/>
      <c r="U59" s="190"/>
      <c r="V59" s="190"/>
      <c r="W59" s="187"/>
      <c r="X59" s="184"/>
      <c r="Y59" s="554"/>
      <c r="Z59" s="190"/>
      <c r="AA59" s="190"/>
      <c r="AB59" s="187"/>
      <c r="AC59" s="184"/>
      <c r="AD59" s="554"/>
      <c r="AE59" s="190"/>
      <c r="AF59" s="190"/>
      <c r="AG59" s="187"/>
      <c r="AH59" s="184"/>
      <c r="AI59" s="554"/>
      <c r="AJ59" s="190"/>
      <c r="AK59" s="190"/>
      <c r="AL59" s="187"/>
      <c r="AM59" s="184"/>
      <c r="AN59" s="554"/>
      <c r="AO59" s="190"/>
      <c r="AP59" s="190"/>
      <c r="AQ59" s="187"/>
      <c r="AR59" s="184"/>
      <c r="AS59" s="554"/>
      <c r="AT59" s="190"/>
      <c r="AU59" s="190"/>
      <c r="AV59" s="187"/>
      <c r="AW59" s="184"/>
      <c r="AX59" s="554"/>
    </row>
    <row r="60" spans="2:50" ht="14.25" customHeight="1">
      <c r="B60" s="525"/>
      <c r="C60" s="182">
        <v>14</v>
      </c>
      <c r="D60" s="185"/>
      <c r="E60" s="182"/>
      <c r="F60" s="182"/>
      <c r="G60" s="187"/>
      <c r="H60" s="554"/>
      <c r="I60" s="188"/>
      <c r="J60" s="188"/>
      <c r="K60" s="189"/>
      <c r="L60" s="555"/>
      <c r="M60" s="188"/>
      <c r="N60" s="525"/>
      <c r="O60" s="525"/>
      <c r="P60" s="190"/>
      <c r="Q60" s="190"/>
      <c r="R60" s="187"/>
      <c r="S60" s="184"/>
      <c r="T60" s="554"/>
      <c r="U60" s="190"/>
      <c r="V60" s="190"/>
      <c r="W60" s="187"/>
      <c r="X60" s="184"/>
      <c r="Y60" s="554"/>
      <c r="Z60" s="190"/>
      <c r="AA60" s="190"/>
      <c r="AB60" s="187"/>
      <c r="AC60" s="184"/>
      <c r="AD60" s="554"/>
      <c r="AE60" s="190"/>
      <c r="AF60" s="190"/>
      <c r="AG60" s="187"/>
      <c r="AH60" s="184"/>
      <c r="AI60" s="554"/>
      <c r="AJ60" s="190"/>
      <c r="AK60" s="190"/>
      <c r="AL60" s="187"/>
      <c r="AM60" s="184"/>
      <c r="AN60" s="554"/>
      <c r="AO60" s="190"/>
      <c r="AP60" s="190"/>
      <c r="AQ60" s="187"/>
      <c r="AR60" s="184"/>
      <c r="AS60" s="554"/>
      <c r="AT60" s="190"/>
      <c r="AU60" s="190"/>
      <c r="AV60" s="187"/>
      <c r="AW60" s="184"/>
      <c r="AX60" s="554"/>
    </row>
    <row r="61" spans="2:50" ht="14.25" customHeight="1">
      <c r="B61" s="525"/>
      <c r="C61" s="182">
        <v>15</v>
      </c>
      <c r="D61" s="185"/>
      <c r="E61" s="182"/>
      <c r="F61" s="182"/>
      <c r="G61" s="187"/>
      <c r="H61" s="554"/>
      <c r="I61" s="188"/>
      <c r="J61" s="188"/>
      <c r="K61" s="189"/>
      <c r="L61" s="555"/>
      <c r="M61" s="188"/>
      <c r="N61" s="525"/>
      <c r="O61" s="525"/>
      <c r="P61" s="190"/>
      <c r="Q61" s="190"/>
      <c r="R61" s="187"/>
      <c r="S61" s="184"/>
      <c r="T61" s="554"/>
      <c r="U61" s="190"/>
      <c r="V61" s="190"/>
      <c r="W61" s="187"/>
      <c r="X61" s="184"/>
      <c r="Y61" s="554"/>
      <c r="Z61" s="190"/>
      <c r="AA61" s="190"/>
      <c r="AB61" s="187"/>
      <c r="AC61" s="184"/>
      <c r="AD61" s="554"/>
      <c r="AE61" s="190"/>
      <c r="AF61" s="190"/>
      <c r="AG61" s="187"/>
      <c r="AH61" s="184"/>
      <c r="AI61" s="554"/>
      <c r="AJ61" s="190"/>
      <c r="AK61" s="190"/>
      <c r="AL61" s="187"/>
      <c r="AM61" s="184"/>
      <c r="AN61" s="554"/>
      <c r="AO61" s="190"/>
      <c r="AP61" s="190"/>
      <c r="AQ61" s="187"/>
      <c r="AR61" s="184"/>
      <c r="AS61" s="554"/>
      <c r="AT61" s="190"/>
      <c r="AU61" s="190"/>
      <c r="AV61" s="187"/>
      <c r="AW61" s="184"/>
      <c r="AX61" s="554"/>
    </row>
    <row r="62" spans="2:50" ht="14.25" customHeight="1" collapsed="1">
      <c r="B62" s="534" t="s">
        <v>648</v>
      </c>
      <c r="C62" s="535"/>
      <c r="D62" s="535"/>
      <c r="E62" s="535"/>
      <c r="F62" s="535"/>
      <c r="G62" s="535"/>
      <c r="H62" s="535"/>
      <c r="I62" s="535"/>
      <c r="J62" s="535"/>
      <c r="K62" s="535"/>
      <c r="L62" s="535"/>
      <c r="M62" s="536"/>
      <c r="N62" s="564" t="s">
        <v>378</v>
      </c>
      <c r="O62" s="564" t="s">
        <v>105</v>
      </c>
      <c r="P62" s="566">
        <f>AT42+1</f>
        <v>46098</v>
      </c>
      <c r="Q62" s="567"/>
      <c r="R62" s="567"/>
      <c r="S62" s="567"/>
      <c r="T62" s="567"/>
      <c r="U62" s="568">
        <f>P62+1</f>
        <v>46099</v>
      </c>
      <c r="V62" s="569"/>
      <c r="W62" s="569"/>
      <c r="X62" s="569"/>
      <c r="Y62" s="569"/>
      <c r="Z62" s="566">
        <f t="shared" ref="Z62" si="51">U62+1</f>
        <v>46100</v>
      </c>
      <c r="AA62" s="567"/>
      <c r="AB62" s="567"/>
      <c r="AC62" s="567"/>
      <c r="AD62" s="567"/>
      <c r="AE62" s="568">
        <f t="shared" ref="AE62" si="52">Z62+1</f>
        <v>46101</v>
      </c>
      <c r="AF62" s="569"/>
      <c r="AG62" s="569"/>
      <c r="AH62" s="569"/>
      <c r="AI62" s="569"/>
      <c r="AJ62" s="556">
        <f t="shared" ref="AJ62" si="53">AE62+1</f>
        <v>46102</v>
      </c>
      <c r="AK62" s="557"/>
      <c r="AL62" s="557"/>
      <c r="AM62" s="557"/>
      <c r="AN62" s="558"/>
      <c r="AO62" s="568">
        <f t="shared" ref="AO62" si="54">AJ62+1</f>
        <v>46103</v>
      </c>
      <c r="AP62" s="569"/>
      <c r="AQ62" s="569"/>
      <c r="AR62" s="569"/>
      <c r="AS62" s="569"/>
      <c r="AT62" s="556">
        <f t="shared" ref="AT62" si="55">AO62+1</f>
        <v>46104</v>
      </c>
      <c r="AU62" s="557"/>
      <c r="AV62" s="557"/>
      <c r="AW62" s="557"/>
      <c r="AX62" s="558"/>
    </row>
    <row r="63" spans="2:50" ht="14.25" customHeight="1">
      <c r="B63" s="537"/>
      <c r="C63" s="537"/>
      <c r="D63" s="537"/>
      <c r="E63" s="537"/>
      <c r="F63" s="537"/>
      <c r="G63" s="537"/>
      <c r="H63" s="537"/>
      <c r="I63" s="537"/>
      <c r="J63" s="537"/>
      <c r="K63" s="537"/>
      <c r="L63" s="537"/>
      <c r="M63" s="538"/>
      <c r="N63" s="565"/>
      <c r="O63" s="565"/>
      <c r="P63" s="559">
        <f>P62</f>
        <v>46098</v>
      </c>
      <c r="Q63" s="559"/>
      <c r="R63" s="559"/>
      <c r="S63" s="559"/>
      <c r="T63" s="559"/>
      <c r="U63" s="560">
        <f>U62</f>
        <v>46099</v>
      </c>
      <c r="V63" s="560"/>
      <c r="W63" s="560"/>
      <c r="X63" s="560"/>
      <c r="Y63" s="560"/>
      <c r="Z63" s="559">
        <f t="shared" ref="Z63" si="56">Z62</f>
        <v>46100</v>
      </c>
      <c r="AA63" s="559"/>
      <c r="AB63" s="559"/>
      <c r="AC63" s="559"/>
      <c r="AD63" s="559"/>
      <c r="AE63" s="560">
        <f t="shared" ref="AE63" si="57">AE62</f>
        <v>46101</v>
      </c>
      <c r="AF63" s="560"/>
      <c r="AG63" s="560"/>
      <c r="AH63" s="560"/>
      <c r="AI63" s="560"/>
      <c r="AJ63" s="561">
        <f t="shared" ref="AJ63" si="58">AJ62</f>
        <v>46102</v>
      </c>
      <c r="AK63" s="562"/>
      <c r="AL63" s="562"/>
      <c r="AM63" s="562"/>
      <c r="AN63" s="563"/>
      <c r="AO63" s="560">
        <f t="shared" ref="AO63" si="59">AO62</f>
        <v>46103</v>
      </c>
      <c r="AP63" s="560"/>
      <c r="AQ63" s="560"/>
      <c r="AR63" s="560"/>
      <c r="AS63" s="560"/>
      <c r="AT63" s="561">
        <f t="shared" ref="AT63" si="60">AT62</f>
        <v>46104</v>
      </c>
      <c r="AU63" s="562"/>
      <c r="AV63" s="562"/>
      <c r="AW63" s="562"/>
      <c r="AX63" s="563"/>
    </row>
    <row r="64" spans="2:50" ht="14.25" customHeight="1">
      <c r="B64" s="525" t="s">
        <v>164</v>
      </c>
      <c r="C64" s="525" t="s">
        <v>159</v>
      </c>
      <c r="D64" s="525"/>
      <c r="E64" s="525" t="s">
        <v>160</v>
      </c>
      <c r="F64" s="525"/>
      <c r="G64" s="525"/>
      <c r="H64" s="525" t="s">
        <v>165</v>
      </c>
      <c r="I64" s="544" t="s">
        <v>379</v>
      </c>
      <c r="J64" s="544"/>
      <c r="K64" s="544"/>
      <c r="L64" s="544" t="s">
        <v>165</v>
      </c>
      <c r="M64" s="544" t="s">
        <v>167</v>
      </c>
      <c r="N64" s="525"/>
      <c r="O64" s="525" t="s">
        <v>166</v>
      </c>
      <c r="P64" s="525" t="s">
        <v>162</v>
      </c>
      <c r="Q64" s="525"/>
      <c r="R64" s="525"/>
      <c r="S64" s="525"/>
      <c r="T64" s="525" t="s">
        <v>165</v>
      </c>
      <c r="U64" s="525" t="s">
        <v>162</v>
      </c>
      <c r="V64" s="525"/>
      <c r="W64" s="525"/>
      <c r="X64" s="525"/>
      <c r="Y64" s="525" t="s">
        <v>165</v>
      </c>
      <c r="Z64" s="525" t="s">
        <v>162</v>
      </c>
      <c r="AA64" s="525"/>
      <c r="AB64" s="525"/>
      <c r="AC64" s="525"/>
      <c r="AD64" s="525" t="s">
        <v>165</v>
      </c>
      <c r="AE64" s="525" t="s">
        <v>162</v>
      </c>
      <c r="AF64" s="525"/>
      <c r="AG64" s="525"/>
      <c r="AH64" s="525"/>
      <c r="AI64" s="525" t="s">
        <v>165</v>
      </c>
      <c r="AJ64" s="525" t="s">
        <v>162</v>
      </c>
      <c r="AK64" s="525"/>
      <c r="AL64" s="525"/>
      <c r="AM64" s="525"/>
      <c r="AN64" s="525" t="s">
        <v>165</v>
      </c>
      <c r="AO64" s="525" t="s">
        <v>162</v>
      </c>
      <c r="AP64" s="525"/>
      <c r="AQ64" s="525"/>
      <c r="AR64" s="525"/>
      <c r="AS64" s="525" t="s">
        <v>165</v>
      </c>
      <c r="AT64" s="525" t="s">
        <v>162</v>
      </c>
      <c r="AU64" s="525"/>
      <c r="AV64" s="525"/>
      <c r="AW64" s="525"/>
      <c r="AX64" s="525" t="s">
        <v>165</v>
      </c>
    </row>
    <row r="65" spans="2:50" ht="14.25" customHeight="1">
      <c r="B65" s="525"/>
      <c r="C65" s="525"/>
      <c r="D65" s="525"/>
      <c r="E65" s="525" t="s">
        <v>380</v>
      </c>
      <c r="F65" s="525"/>
      <c r="G65" s="525"/>
      <c r="H65" s="525"/>
      <c r="I65" s="544" t="s">
        <v>380</v>
      </c>
      <c r="J65" s="544"/>
      <c r="K65" s="544"/>
      <c r="L65" s="544"/>
      <c r="M65" s="544"/>
      <c r="N65" s="525"/>
      <c r="O65" s="525"/>
      <c r="P65" s="525" t="s">
        <v>381</v>
      </c>
      <c r="Q65" s="525"/>
      <c r="R65" s="525"/>
      <c r="S65" s="525"/>
      <c r="T65" s="525"/>
      <c r="U65" s="525" t="s">
        <v>381</v>
      </c>
      <c r="V65" s="525"/>
      <c r="W65" s="525"/>
      <c r="X65" s="525"/>
      <c r="Y65" s="525"/>
      <c r="Z65" s="525" t="s">
        <v>381</v>
      </c>
      <c r="AA65" s="525"/>
      <c r="AB65" s="525"/>
      <c r="AC65" s="525"/>
      <c r="AD65" s="525"/>
      <c r="AE65" s="525" t="s">
        <v>381</v>
      </c>
      <c r="AF65" s="525"/>
      <c r="AG65" s="525"/>
      <c r="AH65" s="525"/>
      <c r="AI65" s="525"/>
      <c r="AJ65" s="525" t="s">
        <v>381</v>
      </c>
      <c r="AK65" s="525"/>
      <c r="AL65" s="525"/>
      <c r="AM65" s="525"/>
      <c r="AN65" s="525"/>
      <c r="AO65" s="525" t="s">
        <v>381</v>
      </c>
      <c r="AP65" s="525"/>
      <c r="AQ65" s="525"/>
      <c r="AR65" s="525"/>
      <c r="AS65" s="525"/>
      <c r="AT65" s="525" t="s">
        <v>381</v>
      </c>
      <c r="AU65" s="525"/>
      <c r="AV65" s="525"/>
      <c r="AW65" s="525"/>
      <c r="AX65" s="525"/>
    </row>
    <row r="66" spans="2:50" ht="14.25" customHeight="1">
      <c r="B66" s="525"/>
      <c r="C66" s="525"/>
      <c r="D66" s="525"/>
      <c r="E66" s="182" t="s">
        <v>161</v>
      </c>
      <c r="F66" s="182" t="s">
        <v>382</v>
      </c>
      <c r="G66" s="182" t="s">
        <v>163</v>
      </c>
      <c r="H66" s="525"/>
      <c r="I66" s="183" t="s">
        <v>161</v>
      </c>
      <c r="J66" s="183" t="s">
        <v>382</v>
      </c>
      <c r="K66" s="183" t="s">
        <v>163</v>
      </c>
      <c r="L66" s="544"/>
      <c r="M66" s="544"/>
      <c r="N66" s="525"/>
      <c r="O66" s="525"/>
      <c r="P66" s="182" t="s">
        <v>161</v>
      </c>
      <c r="Q66" s="182" t="s">
        <v>382</v>
      </c>
      <c r="R66" s="182" t="s">
        <v>163</v>
      </c>
      <c r="S66" s="184" t="s">
        <v>167</v>
      </c>
      <c r="T66" s="525"/>
      <c r="U66" s="182" t="s">
        <v>161</v>
      </c>
      <c r="V66" s="182" t="s">
        <v>382</v>
      </c>
      <c r="W66" s="182" t="s">
        <v>163</v>
      </c>
      <c r="X66" s="184" t="s">
        <v>167</v>
      </c>
      <c r="Y66" s="525"/>
      <c r="Z66" s="182" t="s">
        <v>161</v>
      </c>
      <c r="AA66" s="182" t="s">
        <v>382</v>
      </c>
      <c r="AB66" s="182" t="s">
        <v>163</v>
      </c>
      <c r="AC66" s="184" t="s">
        <v>167</v>
      </c>
      <c r="AD66" s="525"/>
      <c r="AE66" s="182" t="s">
        <v>161</v>
      </c>
      <c r="AF66" s="182" t="s">
        <v>382</v>
      </c>
      <c r="AG66" s="182" t="s">
        <v>163</v>
      </c>
      <c r="AH66" s="184" t="s">
        <v>167</v>
      </c>
      <c r="AI66" s="525"/>
      <c r="AJ66" s="182" t="s">
        <v>161</v>
      </c>
      <c r="AK66" s="182" t="s">
        <v>382</v>
      </c>
      <c r="AL66" s="182" t="s">
        <v>163</v>
      </c>
      <c r="AM66" s="184" t="s">
        <v>167</v>
      </c>
      <c r="AN66" s="525"/>
      <c r="AO66" s="182" t="s">
        <v>161</v>
      </c>
      <c r="AP66" s="182" t="s">
        <v>382</v>
      </c>
      <c r="AQ66" s="182" t="s">
        <v>163</v>
      </c>
      <c r="AR66" s="184" t="s">
        <v>167</v>
      </c>
      <c r="AS66" s="525"/>
      <c r="AT66" s="182" t="s">
        <v>161</v>
      </c>
      <c r="AU66" s="182" t="s">
        <v>382</v>
      </c>
      <c r="AV66" s="182" t="s">
        <v>163</v>
      </c>
      <c r="AW66" s="184" t="s">
        <v>167</v>
      </c>
      <c r="AX66" s="525"/>
    </row>
    <row r="67" spans="2:50" ht="14.25" customHeight="1">
      <c r="B67" s="525" t="s">
        <v>358</v>
      </c>
      <c r="C67" s="182">
        <v>1</v>
      </c>
      <c r="D67" s="185"/>
      <c r="E67" s="182"/>
      <c r="F67" s="182"/>
      <c r="G67" s="187"/>
      <c r="H67" s="554"/>
      <c r="I67" s="188"/>
      <c r="J67" s="188"/>
      <c r="K67" s="189"/>
      <c r="L67" s="555" t="str">
        <f>IFERROR(AVERAGE(K67:K81),"-")</f>
        <v>-</v>
      </c>
      <c r="M67" s="188" t="e">
        <f>RANK(K67, K$67:$K$81)</f>
        <v>#N/A</v>
      </c>
      <c r="N67" s="525"/>
      <c r="O67" s="525"/>
      <c r="P67" s="190"/>
      <c r="Q67" s="190"/>
      <c r="R67" s="187"/>
      <c r="S67" s="184"/>
      <c r="T67" s="554"/>
      <c r="U67" s="190"/>
      <c r="V67" s="190"/>
      <c r="W67" s="187"/>
      <c r="X67" s="184"/>
      <c r="Y67" s="554"/>
      <c r="Z67" s="190"/>
      <c r="AA67" s="190"/>
      <c r="AB67" s="187"/>
      <c r="AC67" s="184"/>
      <c r="AD67" s="554"/>
      <c r="AE67" s="190"/>
      <c r="AF67" s="190"/>
      <c r="AG67" s="187"/>
      <c r="AH67" s="184"/>
      <c r="AI67" s="554"/>
      <c r="AJ67" s="190"/>
      <c r="AK67" s="190"/>
      <c r="AL67" s="187"/>
      <c r="AM67" s="184"/>
      <c r="AN67" s="554"/>
      <c r="AO67" s="190"/>
      <c r="AP67" s="190"/>
      <c r="AQ67" s="187"/>
      <c r="AR67" s="184"/>
      <c r="AS67" s="571"/>
      <c r="AT67" s="190"/>
      <c r="AU67" s="190"/>
      <c r="AV67" s="187"/>
      <c r="AW67" s="184"/>
      <c r="AX67" s="554"/>
    </row>
    <row r="68" spans="2:50" ht="14.25" customHeight="1">
      <c r="B68" s="525"/>
      <c r="C68" s="182">
        <v>2</v>
      </c>
      <c r="D68" s="185"/>
      <c r="E68" s="182"/>
      <c r="F68" s="182"/>
      <c r="G68" s="187"/>
      <c r="H68" s="554"/>
      <c r="I68" s="188"/>
      <c r="J68" s="188"/>
      <c r="K68" s="189"/>
      <c r="L68" s="555"/>
      <c r="M68" s="188"/>
      <c r="N68" s="525"/>
      <c r="O68" s="525"/>
      <c r="P68" s="190"/>
      <c r="Q68" s="190"/>
      <c r="R68" s="187"/>
      <c r="S68" s="184"/>
      <c r="T68" s="554"/>
      <c r="U68" s="190"/>
      <c r="V68" s="190"/>
      <c r="W68" s="187"/>
      <c r="X68" s="184"/>
      <c r="Y68" s="554"/>
      <c r="Z68" s="190"/>
      <c r="AA68" s="190"/>
      <c r="AB68" s="187"/>
      <c r="AC68" s="184"/>
      <c r="AD68" s="554"/>
      <c r="AE68" s="190"/>
      <c r="AF68" s="190"/>
      <c r="AG68" s="187"/>
      <c r="AH68" s="184"/>
      <c r="AI68" s="554"/>
      <c r="AJ68" s="190"/>
      <c r="AK68" s="190"/>
      <c r="AL68" s="187"/>
      <c r="AM68" s="184"/>
      <c r="AN68" s="554"/>
      <c r="AO68" s="190"/>
      <c r="AP68" s="190"/>
      <c r="AQ68" s="187"/>
      <c r="AR68" s="184"/>
      <c r="AS68" s="572"/>
      <c r="AT68" s="190"/>
      <c r="AU68" s="190"/>
      <c r="AV68" s="187"/>
      <c r="AW68" s="184"/>
      <c r="AX68" s="554"/>
    </row>
    <row r="69" spans="2:50" ht="14.25" customHeight="1">
      <c r="B69" s="525"/>
      <c r="C69" s="182">
        <v>3</v>
      </c>
      <c r="D69" s="185"/>
      <c r="E69" s="182"/>
      <c r="F69" s="182"/>
      <c r="G69" s="187"/>
      <c r="H69" s="554"/>
      <c r="I69" s="188"/>
      <c r="J69" s="188"/>
      <c r="K69" s="189"/>
      <c r="L69" s="555"/>
      <c r="M69" s="188"/>
      <c r="N69" s="525"/>
      <c r="O69" s="525"/>
      <c r="P69" s="190"/>
      <c r="Q69" s="190"/>
      <c r="R69" s="187"/>
      <c r="S69" s="184"/>
      <c r="T69" s="554"/>
      <c r="U69" s="190"/>
      <c r="V69" s="190"/>
      <c r="W69" s="187"/>
      <c r="X69" s="184"/>
      <c r="Y69" s="554"/>
      <c r="Z69" s="190"/>
      <c r="AA69" s="190"/>
      <c r="AB69" s="187"/>
      <c r="AC69" s="184"/>
      <c r="AD69" s="554"/>
      <c r="AE69" s="190"/>
      <c r="AF69" s="190"/>
      <c r="AG69" s="187"/>
      <c r="AH69" s="184"/>
      <c r="AI69" s="554"/>
      <c r="AJ69" s="190"/>
      <c r="AK69" s="190"/>
      <c r="AL69" s="187"/>
      <c r="AM69" s="184"/>
      <c r="AN69" s="554"/>
      <c r="AO69" s="190"/>
      <c r="AP69" s="190"/>
      <c r="AQ69" s="187"/>
      <c r="AR69" s="184"/>
      <c r="AS69" s="572"/>
      <c r="AT69" s="190"/>
      <c r="AU69" s="190"/>
      <c r="AV69" s="187"/>
      <c r="AW69" s="184"/>
      <c r="AX69" s="554"/>
    </row>
    <row r="70" spans="2:50" ht="14.25" customHeight="1">
      <c r="B70" s="525"/>
      <c r="C70" s="182">
        <v>4</v>
      </c>
      <c r="D70" s="185"/>
      <c r="E70" s="182"/>
      <c r="F70" s="182"/>
      <c r="G70" s="187"/>
      <c r="H70" s="554"/>
      <c r="I70" s="188"/>
      <c r="J70" s="188"/>
      <c r="K70" s="189"/>
      <c r="L70" s="555"/>
      <c r="M70" s="188"/>
      <c r="N70" s="525"/>
      <c r="O70" s="525"/>
      <c r="P70" s="190"/>
      <c r="Q70" s="190"/>
      <c r="R70" s="187"/>
      <c r="S70" s="184"/>
      <c r="T70" s="554"/>
      <c r="U70" s="190"/>
      <c r="V70" s="190"/>
      <c r="W70" s="187"/>
      <c r="X70" s="184"/>
      <c r="Y70" s="554"/>
      <c r="Z70" s="190"/>
      <c r="AA70" s="190"/>
      <c r="AB70" s="187"/>
      <c r="AC70" s="184"/>
      <c r="AD70" s="554"/>
      <c r="AE70" s="190"/>
      <c r="AF70" s="190"/>
      <c r="AG70" s="187"/>
      <c r="AH70" s="184"/>
      <c r="AI70" s="554"/>
      <c r="AJ70" s="190"/>
      <c r="AK70" s="190"/>
      <c r="AL70" s="187"/>
      <c r="AM70" s="184"/>
      <c r="AN70" s="554"/>
      <c r="AO70" s="190"/>
      <c r="AP70" s="190"/>
      <c r="AQ70" s="187"/>
      <c r="AR70" s="184"/>
      <c r="AS70" s="572"/>
      <c r="AT70" s="190"/>
      <c r="AU70" s="190"/>
      <c r="AV70" s="187"/>
      <c r="AW70" s="184"/>
      <c r="AX70" s="554"/>
    </row>
    <row r="71" spans="2:50" ht="14.25" customHeight="1">
      <c r="B71" s="525"/>
      <c r="C71" s="182">
        <v>5</v>
      </c>
      <c r="D71" s="185"/>
      <c r="E71" s="182"/>
      <c r="F71" s="182"/>
      <c r="G71" s="187"/>
      <c r="H71" s="554"/>
      <c r="I71" s="188"/>
      <c r="J71" s="188"/>
      <c r="K71" s="189"/>
      <c r="L71" s="555"/>
      <c r="M71" s="188"/>
      <c r="N71" s="525"/>
      <c r="O71" s="525"/>
      <c r="P71" s="190"/>
      <c r="Q71" s="190"/>
      <c r="R71" s="187"/>
      <c r="S71" s="184"/>
      <c r="T71" s="554"/>
      <c r="U71" s="190"/>
      <c r="V71" s="190"/>
      <c r="W71" s="187"/>
      <c r="X71" s="184"/>
      <c r="Y71" s="554"/>
      <c r="Z71" s="190"/>
      <c r="AA71" s="190"/>
      <c r="AB71" s="187"/>
      <c r="AC71" s="184"/>
      <c r="AD71" s="554"/>
      <c r="AE71" s="190"/>
      <c r="AF71" s="190"/>
      <c r="AG71" s="187"/>
      <c r="AH71" s="184"/>
      <c r="AI71" s="554"/>
      <c r="AJ71" s="190"/>
      <c r="AK71" s="190"/>
      <c r="AL71" s="187"/>
      <c r="AM71" s="184"/>
      <c r="AN71" s="554"/>
      <c r="AO71" s="190"/>
      <c r="AP71" s="190"/>
      <c r="AQ71" s="187"/>
      <c r="AR71" s="184"/>
      <c r="AS71" s="572"/>
      <c r="AT71" s="190"/>
      <c r="AU71" s="190"/>
      <c r="AV71" s="187"/>
      <c r="AW71" s="184"/>
      <c r="AX71" s="554"/>
    </row>
    <row r="72" spans="2:50" ht="14.25" customHeight="1">
      <c r="B72" s="525"/>
      <c r="C72" s="182">
        <v>6</v>
      </c>
      <c r="D72" s="185"/>
      <c r="E72" s="182"/>
      <c r="F72" s="182"/>
      <c r="G72" s="187"/>
      <c r="H72" s="554"/>
      <c r="I72" s="188"/>
      <c r="J72" s="188"/>
      <c r="K72" s="189"/>
      <c r="L72" s="555"/>
      <c r="M72" s="188"/>
      <c r="N72" s="525"/>
      <c r="O72" s="525"/>
      <c r="P72" s="190"/>
      <c r="Q72" s="190"/>
      <c r="R72" s="187"/>
      <c r="S72" s="184"/>
      <c r="T72" s="554"/>
      <c r="U72" s="190"/>
      <c r="V72" s="190"/>
      <c r="W72" s="187"/>
      <c r="X72" s="184"/>
      <c r="Y72" s="554"/>
      <c r="Z72" s="190"/>
      <c r="AA72" s="190"/>
      <c r="AB72" s="187"/>
      <c r="AC72" s="184"/>
      <c r="AD72" s="554"/>
      <c r="AE72" s="190"/>
      <c r="AF72" s="190"/>
      <c r="AG72" s="187"/>
      <c r="AH72" s="184"/>
      <c r="AI72" s="554"/>
      <c r="AJ72" s="190"/>
      <c r="AK72" s="190"/>
      <c r="AL72" s="187"/>
      <c r="AM72" s="184"/>
      <c r="AN72" s="554"/>
      <c r="AO72" s="190"/>
      <c r="AP72" s="190"/>
      <c r="AQ72" s="187"/>
      <c r="AR72" s="184"/>
      <c r="AS72" s="572"/>
      <c r="AT72" s="190"/>
      <c r="AU72" s="190"/>
      <c r="AV72" s="187"/>
      <c r="AW72" s="184"/>
      <c r="AX72" s="554"/>
    </row>
    <row r="73" spans="2:50" ht="14.25" customHeight="1">
      <c r="B73" s="525"/>
      <c r="C73" s="182">
        <v>7</v>
      </c>
      <c r="D73" s="185"/>
      <c r="E73" s="182"/>
      <c r="F73" s="182"/>
      <c r="G73" s="187"/>
      <c r="H73" s="554"/>
      <c r="I73" s="188"/>
      <c r="J73" s="188"/>
      <c r="K73" s="189"/>
      <c r="L73" s="555"/>
      <c r="M73" s="188"/>
      <c r="N73" s="525"/>
      <c r="O73" s="525"/>
      <c r="P73" s="190"/>
      <c r="Q73" s="190"/>
      <c r="R73" s="187"/>
      <c r="S73" s="184"/>
      <c r="T73" s="554"/>
      <c r="U73" s="190"/>
      <c r="V73" s="190"/>
      <c r="W73" s="187"/>
      <c r="X73" s="184"/>
      <c r="Y73" s="554"/>
      <c r="Z73" s="190"/>
      <c r="AA73" s="190"/>
      <c r="AB73" s="187"/>
      <c r="AC73" s="184"/>
      <c r="AD73" s="554"/>
      <c r="AE73" s="190"/>
      <c r="AF73" s="190"/>
      <c r="AG73" s="187"/>
      <c r="AH73" s="184"/>
      <c r="AI73" s="554"/>
      <c r="AJ73" s="190"/>
      <c r="AK73" s="190"/>
      <c r="AL73" s="187"/>
      <c r="AM73" s="184"/>
      <c r="AN73" s="554"/>
      <c r="AO73" s="190"/>
      <c r="AP73" s="190"/>
      <c r="AQ73" s="187"/>
      <c r="AR73" s="184"/>
      <c r="AS73" s="572"/>
      <c r="AT73" s="190"/>
      <c r="AU73" s="190"/>
      <c r="AV73" s="187"/>
      <c r="AW73" s="184"/>
      <c r="AX73" s="554"/>
    </row>
    <row r="74" spans="2:50" ht="14.25" customHeight="1">
      <c r="B74" s="525"/>
      <c r="C74" s="182">
        <v>8</v>
      </c>
      <c r="D74" s="185"/>
      <c r="E74" s="182"/>
      <c r="F74" s="182"/>
      <c r="G74" s="187"/>
      <c r="H74" s="554"/>
      <c r="I74" s="188"/>
      <c r="J74" s="188"/>
      <c r="K74" s="189"/>
      <c r="L74" s="555"/>
      <c r="M74" s="188"/>
      <c r="N74" s="525"/>
      <c r="O74" s="525"/>
      <c r="P74" s="190"/>
      <c r="Q74" s="190"/>
      <c r="R74" s="187"/>
      <c r="S74" s="184"/>
      <c r="T74" s="554"/>
      <c r="U74" s="190"/>
      <c r="V74" s="190"/>
      <c r="W74" s="187"/>
      <c r="X74" s="184"/>
      <c r="Y74" s="554"/>
      <c r="Z74" s="190"/>
      <c r="AA74" s="190"/>
      <c r="AB74" s="187"/>
      <c r="AC74" s="184"/>
      <c r="AD74" s="554"/>
      <c r="AE74" s="190"/>
      <c r="AF74" s="190"/>
      <c r="AG74" s="187"/>
      <c r="AH74" s="184"/>
      <c r="AI74" s="554"/>
      <c r="AJ74" s="190"/>
      <c r="AK74" s="190"/>
      <c r="AL74" s="187"/>
      <c r="AM74" s="184"/>
      <c r="AN74" s="554"/>
      <c r="AO74" s="190"/>
      <c r="AP74" s="190"/>
      <c r="AQ74" s="187"/>
      <c r="AR74" s="184"/>
      <c r="AS74" s="572"/>
      <c r="AT74" s="190"/>
      <c r="AU74" s="190"/>
      <c r="AV74" s="187"/>
      <c r="AW74" s="184"/>
      <c r="AX74" s="554"/>
    </row>
    <row r="75" spans="2:50" ht="14.25" customHeight="1">
      <c r="B75" s="525"/>
      <c r="C75" s="182">
        <v>9</v>
      </c>
      <c r="D75" s="185"/>
      <c r="E75" s="182"/>
      <c r="F75" s="182"/>
      <c r="G75" s="187"/>
      <c r="H75" s="554"/>
      <c r="I75" s="188"/>
      <c r="J75" s="188"/>
      <c r="K75" s="189"/>
      <c r="L75" s="555"/>
      <c r="M75" s="188"/>
      <c r="N75" s="525"/>
      <c r="O75" s="525"/>
      <c r="P75" s="190"/>
      <c r="Q75" s="190"/>
      <c r="R75" s="187"/>
      <c r="S75" s="184"/>
      <c r="T75" s="554"/>
      <c r="U75" s="190"/>
      <c r="V75" s="190"/>
      <c r="W75" s="187"/>
      <c r="X75" s="184"/>
      <c r="Y75" s="554"/>
      <c r="Z75" s="190"/>
      <c r="AA75" s="190"/>
      <c r="AB75" s="187"/>
      <c r="AC75" s="184"/>
      <c r="AD75" s="554"/>
      <c r="AE75" s="190"/>
      <c r="AF75" s="190"/>
      <c r="AG75" s="187"/>
      <c r="AH75" s="184"/>
      <c r="AI75" s="554"/>
      <c r="AJ75" s="190"/>
      <c r="AK75" s="190"/>
      <c r="AL75" s="187"/>
      <c r="AM75" s="184"/>
      <c r="AN75" s="554"/>
      <c r="AO75" s="190"/>
      <c r="AP75" s="190"/>
      <c r="AQ75" s="187"/>
      <c r="AR75" s="184"/>
      <c r="AS75" s="572"/>
      <c r="AT75" s="190"/>
      <c r="AU75" s="190"/>
      <c r="AV75" s="187"/>
      <c r="AW75" s="184"/>
      <c r="AX75" s="554"/>
    </row>
    <row r="76" spans="2:50" ht="14.25" customHeight="1">
      <c r="B76" s="525"/>
      <c r="C76" s="182">
        <v>10</v>
      </c>
      <c r="D76" s="185"/>
      <c r="E76" s="182"/>
      <c r="F76" s="182"/>
      <c r="G76" s="187"/>
      <c r="H76" s="554"/>
      <c r="I76" s="188"/>
      <c r="J76" s="188"/>
      <c r="K76" s="189"/>
      <c r="L76" s="555"/>
      <c r="M76" s="188"/>
      <c r="N76" s="525"/>
      <c r="O76" s="525"/>
      <c r="P76" s="190"/>
      <c r="Q76" s="190"/>
      <c r="R76" s="187"/>
      <c r="S76" s="184"/>
      <c r="T76" s="554"/>
      <c r="U76" s="190"/>
      <c r="V76" s="190"/>
      <c r="W76" s="187"/>
      <c r="X76" s="184"/>
      <c r="Y76" s="554"/>
      <c r="Z76" s="190"/>
      <c r="AA76" s="190"/>
      <c r="AB76" s="187"/>
      <c r="AC76" s="184"/>
      <c r="AD76" s="554"/>
      <c r="AE76" s="190"/>
      <c r="AF76" s="190"/>
      <c r="AG76" s="187"/>
      <c r="AH76" s="184"/>
      <c r="AI76" s="554"/>
      <c r="AJ76" s="190"/>
      <c r="AK76" s="190"/>
      <c r="AL76" s="187"/>
      <c r="AM76" s="184"/>
      <c r="AN76" s="554"/>
      <c r="AO76" s="190"/>
      <c r="AP76" s="190"/>
      <c r="AQ76" s="187"/>
      <c r="AR76" s="184"/>
      <c r="AS76" s="572"/>
      <c r="AT76" s="190"/>
      <c r="AU76" s="190"/>
      <c r="AV76" s="187"/>
      <c r="AW76" s="184"/>
      <c r="AX76" s="554"/>
    </row>
    <row r="77" spans="2:50" ht="14.25" customHeight="1">
      <c r="B77" s="525"/>
      <c r="C77" s="182">
        <v>11</v>
      </c>
      <c r="D77" s="185"/>
      <c r="E77" s="182"/>
      <c r="F77" s="182"/>
      <c r="G77" s="187"/>
      <c r="H77" s="554"/>
      <c r="I77" s="188"/>
      <c r="J77" s="188"/>
      <c r="K77" s="189"/>
      <c r="L77" s="555"/>
      <c r="M77" s="188"/>
      <c r="N77" s="525"/>
      <c r="O77" s="525"/>
      <c r="P77" s="190"/>
      <c r="Q77" s="190"/>
      <c r="R77" s="187"/>
      <c r="S77" s="184"/>
      <c r="T77" s="554"/>
      <c r="U77" s="190"/>
      <c r="V77" s="190"/>
      <c r="W77" s="187"/>
      <c r="X77" s="184"/>
      <c r="Y77" s="554"/>
      <c r="Z77" s="190"/>
      <c r="AA77" s="190"/>
      <c r="AB77" s="187"/>
      <c r="AC77" s="184"/>
      <c r="AD77" s="554"/>
      <c r="AE77" s="190"/>
      <c r="AF77" s="190"/>
      <c r="AG77" s="187"/>
      <c r="AH77" s="184"/>
      <c r="AI77" s="554"/>
      <c r="AJ77" s="190"/>
      <c r="AK77" s="190"/>
      <c r="AL77" s="187"/>
      <c r="AM77" s="184"/>
      <c r="AN77" s="554"/>
      <c r="AO77" s="190"/>
      <c r="AP77" s="190"/>
      <c r="AQ77" s="187"/>
      <c r="AR77" s="184"/>
      <c r="AS77" s="572"/>
      <c r="AT77" s="190"/>
      <c r="AU77" s="190"/>
      <c r="AV77" s="187"/>
      <c r="AW77" s="184"/>
      <c r="AX77" s="554"/>
    </row>
    <row r="78" spans="2:50" ht="14.25" customHeight="1">
      <c r="B78" s="525"/>
      <c r="C78" s="182">
        <v>12</v>
      </c>
      <c r="D78" s="185"/>
      <c r="E78" s="182"/>
      <c r="F78" s="182"/>
      <c r="G78" s="187"/>
      <c r="H78" s="554"/>
      <c r="I78" s="188"/>
      <c r="J78" s="188"/>
      <c r="K78" s="189"/>
      <c r="L78" s="555"/>
      <c r="M78" s="188"/>
      <c r="N78" s="525"/>
      <c r="O78" s="525"/>
      <c r="P78" s="190"/>
      <c r="Q78" s="190"/>
      <c r="R78" s="187"/>
      <c r="S78" s="184"/>
      <c r="T78" s="554"/>
      <c r="U78" s="190"/>
      <c r="V78" s="190"/>
      <c r="W78" s="187"/>
      <c r="X78" s="184"/>
      <c r="Y78" s="554"/>
      <c r="Z78" s="190"/>
      <c r="AA78" s="190"/>
      <c r="AB78" s="187"/>
      <c r="AC78" s="184"/>
      <c r="AD78" s="554"/>
      <c r="AE78" s="190"/>
      <c r="AF78" s="190"/>
      <c r="AG78" s="187"/>
      <c r="AH78" s="184"/>
      <c r="AI78" s="554"/>
      <c r="AJ78" s="190"/>
      <c r="AK78" s="190"/>
      <c r="AL78" s="187"/>
      <c r="AM78" s="184"/>
      <c r="AN78" s="554"/>
      <c r="AO78" s="190"/>
      <c r="AP78" s="190"/>
      <c r="AQ78" s="187"/>
      <c r="AR78" s="184"/>
      <c r="AS78" s="572"/>
      <c r="AT78" s="190"/>
      <c r="AU78" s="190"/>
      <c r="AV78" s="187"/>
      <c r="AW78" s="184"/>
      <c r="AX78" s="554"/>
    </row>
    <row r="79" spans="2:50" ht="14.25" customHeight="1">
      <c r="B79" s="525"/>
      <c r="C79" s="182">
        <v>13</v>
      </c>
      <c r="D79" s="185"/>
      <c r="E79" s="182"/>
      <c r="F79" s="182"/>
      <c r="G79" s="187"/>
      <c r="H79" s="554"/>
      <c r="I79" s="188"/>
      <c r="J79" s="188"/>
      <c r="K79" s="189"/>
      <c r="L79" s="555"/>
      <c r="M79" s="188"/>
      <c r="N79" s="525"/>
      <c r="O79" s="525"/>
      <c r="P79" s="190"/>
      <c r="Q79" s="190"/>
      <c r="R79" s="187"/>
      <c r="S79" s="184"/>
      <c r="T79" s="554"/>
      <c r="U79" s="190"/>
      <c r="V79" s="190"/>
      <c r="W79" s="187"/>
      <c r="X79" s="184"/>
      <c r="Y79" s="554"/>
      <c r="Z79" s="190"/>
      <c r="AA79" s="190"/>
      <c r="AB79" s="187"/>
      <c r="AC79" s="184"/>
      <c r="AD79" s="554"/>
      <c r="AE79" s="190"/>
      <c r="AF79" s="190"/>
      <c r="AG79" s="187"/>
      <c r="AH79" s="184"/>
      <c r="AI79" s="554"/>
      <c r="AJ79" s="190"/>
      <c r="AK79" s="190"/>
      <c r="AL79" s="187"/>
      <c r="AM79" s="184"/>
      <c r="AN79" s="554"/>
      <c r="AO79" s="190"/>
      <c r="AP79" s="190"/>
      <c r="AQ79" s="187"/>
      <c r="AR79" s="184"/>
      <c r="AS79" s="572"/>
      <c r="AT79" s="190"/>
      <c r="AU79" s="190"/>
      <c r="AV79" s="187"/>
      <c r="AW79" s="184"/>
      <c r="AX79" s="554"/>
    </row>
    <row r="80" spans="2:50" ht="14.25" customHeight="1">
      <c r="B80" s="525"/>
      <c r="C80" s="182">
        <v>14</v>
      </c>
      <c r="D80" s="185"/>
      <c r="E80" s="182"/>
      <c r="F80" s="182"/>
      <c r="G80" s="187"/>
      <c r="H80" s="554"/>
      <c r="I80" s="188"/>
      <c r="J80" s="188"/>
      <c r="K80" s="189"/>
      <c r="L80" s="555"/>
      <c r="M80" s="188"/>
      <c r="N80" s="525"/>
      <c r="O80" s="525"/>
      <c r="P80" s="190"/>
      <c r="Q80" s="190"/>
      <c r="R80" s="187"/>
      <c r="S80" s="184"/>
      <c r="T80" s="554"/>
      <c r="U80" s="190"/>
      <c r="V80" s="190"/>
      <c r="W80" s="187"/>
      <c r="X80" s="184"/>
      <c r="Y80" s="554"/>
      <c r="Z80" s="190"/>
      <c r="AA80" s="190"/>
      <c r="AB80" s="187"/>
      <c r="AC80" s="184"/>
      <c r="AD80" s="554"/>
      <c r="AE80" s="190"/>
      <c r="AF80" s="190"/>
      <c r="AG80" s="187"/>
      <c r="AH80" s="184"/>
      <c r="AI80" s="554"/>
      <c r="AJ80" s="190"/>
      <c r="AK80" s="190"/>
      <c r="AL80" s="187"/>
      <c r="AM80" s="184"/>
      <c r="AN80" s="554"/>
      <c r="AO80" s="190"/>
      <c r="AP80" s="190"/>
      <c r="AQ80" s="187"/>
      <c r="AR80" s="184"/>
      <c r="AS80" s="572"/>
      <c r="AT80" s="190"/>
      <c r="AU80" s="190"/>
      <c r="AV80" s="187"/>
      <c r="AW80" s="184"/>
      <c r="AX80" s="554"/>
    </row>
    <row r="81" spans="2:50" ht="14.25" customHeight="1">
      <c r="B81" s="525"/>
      <c r="C81" s="182">
        <v>15</v>
      </c>
      <c r="D81" s="185"/>
      <c r="E81" s="182"/>
      <c r="F81" s="182"/>
      <c r="G81" s="187"/>
      <c r="H81" s="554"/>
      <c r="I81" s="188"/>
      <c r="J81" s="188"/>
      <c r="K81" s="189"/>
      <c r="L81" s="555"/>
      <c r="M81" s="188"/>
      <c r="N81" s="525"/>
      <c r="O81" s="525"/>
      <c r="P81" s="190"/>
      <c r="Q81" s="190"/>
      <c r="R81" s="187"/>
      <c r="S81" s="184"/>
      <c r="T81" s="554"/>
      <c r="U81" s="190"/>
      <c r="V81" s="190"/>
      <c r="W81" s="187"/>
      <c r="X81" s="184"/>
      <c r="Y81" s="554"/>
      <c r="Z81" s="190"/>
      <c r="AA81" s="190"/>
      <c r="AB81" s="187"/>
      <c r="AC81" s="184"/>
      <c r="AD81" s="554"/>
      <c r="AE81" s="190"/>
      <c r="AF81" s="190"/>
      <c r="AG81" s="187"/>
      <c r="AH81" s="184"/>
      <c r="AI81" s="554"/>
      <c r="AJ81" s="190"/>
      <c r="AK81" s="190"/>
      <c r="AL81" s="187"/>
      <c r="AM81" s="184"/>
      <c r="AN81" s="554"/>
      <c r="AO81" s="190"/>
      <c r="AP81" s="190"/>
      <c r="AQ81" s="187"/>
      <c r="AR81" s="184"/>
      <c r="AS81" s="573"/>
      <c r="AT81" s="190"/>
      <c r="AU81" s="190"/>
      <c r="AV81" s="187"/>
      <c r="AW81" s="184"/>
      <c r="AX81" s="554"/>
    </row>
    <row r="82" spans="2:50" ht="14.25" customHeight="1" collapsed="1">
      <c r="B82" s="534" t="s">
        <v>649</v>
      </c>
      <c r="C82" s="535"/>
      <c r="D82" s="535"/>
      <c r="E82" s="535"/>
      <c r="F82" s="535"/>
      <c r="G82" s="535"/>
      <c r="H82" s="535"/>
      <c r="I82" s="535"/>
      <c r="J82" s="535"/>
      <c r="K82" s="535"/>
      <c r="L82" s="535"/>
      <c r="M82" s="536"/>
      <c r="N82" s="564" t="s">
        <v>378</v>
      </c>
      <c r="O82" s="564" t="s">
        <v>105</v>
      </c>
      <c r="P82" s="566">
        <f>AT62+1</f>
        <v>46105</v>
      </c>
      <c r="Q82" s="567"/>
      <c r="R82" s="567"/>
      <c r="S82" s="567"/>
      <c r="T82" s="567"/>
      <c r="U82" s="568">
        <f>P82+1</f>
        <v>46106</v>
      </c>
      <c r="V82" s="569"/>
      <c r="W82" s="569"/>
      <c r="X82" s="569"/>
      <c r="Y82" s="569"/>
      <c r="Z82" s="566">
        <f t="shared" ref="Z82" si="61">U82+1</f>
        <v>46107</v>
      </c>
      <c r="AA82" s="567"/>
      <c r="AB82" s="567"/>
      <c r="AC82" s="567"/>
      <c r="AD82" s="567"/>
      <c r="AE82" s="568">
        <f t="shared" ref="AE82" si="62">Z82+1</f>
        <v>46108</v>
      </c>
      <c r="AF82" s="569"/>
      <c r="AG82" s="569"/>
      <c r="AH82" s="569"/>
      <c r="AI82" s="569"/>
      <c r="AJ82" s="556">
        <f t="shared" ref="AJ82" si="63">AE82+1</f>
        <v>46109</v>
      </c>
      <c r="AK82" s="557"/>
      <c r="AL82" s="557"/>
      <c r="AM82" s="557"/>
      <c r="AN82" s="558"/>
      <c r="AO82" s="568">
        <f t="shared" ref="AO82" si="64">AJ82+1</f>
        <v>46110</v>
      </c>
      <c r="AP82" s="569"/>
      <c r="AQ82" s="569"/>
      <c r="AR82" s="569"/>
      <c r="AS82" s="569"/>
      <c r="AT82" s="556">
        <f t="shared" ref="AT82" si="65">AO82+1</f>
        <v>46111</v>
      </c>
      <c r="AU82" s="557"/>
      <c r="AV82" s="557"/>
      <c r="AW82" s="557"/>
      <c r="AX82" s="558"/>
    </row>
    <row r="83" spans="2:50" ht="14.25" customHeight="1">
      <c r="B83" s="537"/>
      <c r="C83" s="537"/>
      <c r="D83" s="537"/>
      <c r="E83" s="537"/>
      <c r="F83" s="537"/>
      <c r="G83" s="537"/>
      <c r="H83" s="537"/>
      <c r="I83" s="537"/>
      <c r="J83" s="537"/>
      <c r="K83" s="537"/>
      <c r="L83" s="537"/>
      <c r="M83" s="538"/>
      <c r="N83" s="565"/>
      <c r="O83" s="565"/>
      <c r="P83" s="559">
        <f>P82</f>
        <v>46105</v>
      </c>
      <c r="Q83" s="559"/>
      <c r="R83" s="559"/>
      <c r="S83" s="559"/>
      <c r="T83" s="559"/>
      <c r="U83" s="560">
        <f>U82</f>
        <v>46106</v>
      </c>
      <c r="V83" s="560"/>
      <c r="W83" s="560"/>
      <c r="X83" s="560"/>
      <c r="Y83" s="560"/>
      <c r="Z83" s="559">
        <f t="shared" ref="Z83" si="66">Z82</f>
        <v>46107</v>
      </c>
      <c r="AA83" s="559"/>
      <c r="AB83" s="559"/>
      <c r="AC83" s="559"/>
      <c r="AD83" s="559"/>
      <c r="AE83" s="560">
        <f t="shared" ref="AE83" si="67">AE82</f>
        <v>46108</v>
      </c>
      <c r="AF83" s="560"/>
      <c r="AG83" s="560"/>
      <c r="AH83" s="560"/>
      <c r="AI83" s="560"/>
      <c r="AJ83" s="561">
        <f t="shared" ref="AJ83" si="68">AJ82</f>
        <v>46109</v>
      </c>
      <c r="AK83" s="562"/>
      <c r="AL83" s="562"/>
      <c r="AM83" s="562"/>
      <c r="AN83" s="563"/>
      <c r="AO83" s="560">
        <f t="shared" ref="AO83" si="69">AO82</f>
        <v>46110</v>
      </c>
      <c r="AP83" s="560"/>
      <c r="AQ83" s="560"/>
      <c r="AR83" s="560"/>
      <c r="AS83" s="560"/>
      <c r="AT83" s="561">
        <f t="shared" ref="AT83" si="70">AT82</f>
        <v>46111</v>
      </c>
      <c r="AU83" s="562"/>
      <c r="AV83" s="562"/>
      <c r="AW83" s="562"/>
      <c r="AX83" s="563"/>
    </row>
    <row r="84" spans="2:50" ht="14.25" customHeight="1">
      <c r="B84" s="525" t="s">
        <v>164</v>
      </c>
      <c r="C84" s="525" t="s">
        <v>159</v>
      </c>
      <c r="D84" s="525"/>
      <c r="E84" s="525" t="s">
        <v>160</v>
      </c>
      <c r="F84" s="525"/>
      <c r="G84" s="525"/>
      <c r="H84" s="525" t="s">
        <v>165</v>
      </c>
      <c r="I84" s="544" t="s">
        <v>379</v>
      </c>
      <c r="J84" s="544"/>
      <c r="K84" s="544"/>
      <c r="L84" s="544" t="s">
        <v>165</v>
      </c>
      <c r="M84" s="544" t="s">
        <v>167</v>
      </c>
      <c r="N84" s="525"/>
      <c r="O84" s="525" t="s">
        <v>166</v>
      </c>
      <c r="P84" s="525" t="s">
        <v>162</v>
      </c>
      <c r="Q84" s="525"/>
      <c r="R84" s="525"/>
      <c r="S84" s="525"/>
      <c r="T84" s="525" t="s">
        <v>165</v>
      </c>
      <c r="U84" s="525" t="s">
        <v>162</v>
      </c>
      <c r="V84" s="525"/>
      <c r="W84" s="525"/>
      <c r="X84" s="525"/>
      <c r="Y84" s="525" t="s">
        <v>165</v>
      </c>
      <c r="Z84" s="525" t="s">
        <v>162</v>
      </c>
      <c r="AA84" s="525"/>
      <c r="AB84" s="525"/>
      <c r="AC84" s="525"/>
      <c r="AD84" s="525" t="s">
        <v>165</v>
      </c>
      <c r="AE84" s="525" t="s">
        <v>162</v>
      </c>
      <c r="AF84" s="525"/>
      <c r="AG84" s="525"/>
      <c r="AH84" s="525"/>
      <c r="AI84" s="525" t="s">
        <v>165</v>
      </c>
      <c r="AJ84" s="525" t="s">
        <v>162</v>
      </c>
      <c r="AK84" s="525"/>
      <c r="AL84" s="525"/>
      <c r="AM84" s="525"/>
      <c r="AN84" s="525" t="s">
        <v>165</v>
      </c>
      <c r="AO84" s="525" t="s">
        <v>162</v>
      </c>
      <c r="AP84" s="525"/>
      <c r="AQ84" s="525"/>
      <c r="AR84" s="525"/>
      <c r="AS84" s="525" t="s">
        <v>165</v>
      </c>
      <c r="AT84" s="525" t="s">
        <v>162</v>
      </c>
      <c r="AU84" s="525"/>
      <c r="AV84" s="525"/>
      <c r="AW84" s="525"/>
      <c r="AX84" s="525" t="s">
        <v>165</v>
      </c>
    </row>
    <row r="85" spans="2:50" ht="14.25" customHeight="1">
      <c r="B85" s="525"/>
      <c r="C85" s="525"/>
      <c r="D85" s="525"/>
      <c r="E85" s="525" t="s">
        <v>380</v>
      </c>
      <c r="F85" s="525"/>
      <c r="G85" s="525"/>
      <c r="H85" s="525"/>
      <c r="I85" s="544" t="s">
        <v>380</v>
      </c>
      <c r="J85" s="544"/>
      <c r="K85" s="544"/>
      <c r="L85" s="544"/>
      <c r="M85" s="544"/>
      <c r="N85" s="525"/>
      <c r="O85" s="525"/>
      <c r="P85" s="525" t="s">
        <v>381</v>
      </c>
      <c r="Q85" s="525"/>
      <c r="R85" s="525"/>
      <c r="S85" s="525"/>
      <c r="T85" s="525"/>
      <c r="U85" s="525" t="s">
        <v>381</v>
      </c>
      <c r="V85" s="525"/>
      <c r="W85" s="525"/>
      <c r="X85" s="525"/>
      <c r="Y85" s="525"/>
      <c r="Z85" s="525" t="s">
        <v>381</v>
      </c>
      <c r="AA85" s="525"/>
      <c r="AB85" s="525"/>
      <c r="AC85" s="525"/>
      <c r="AD85" s="525"/>
      <c r="AE85" s="525" t="s">
        <v>381</v>
      </c>
      <c r="AF85" s="525"/>
      <c r="AG85" s="525"/>
      <c r="AH85" s="525"/>
      <c r="AI85" s="525"/>
      <c r="AJ85" s="525" t="s">
        <v>381</v>
      </c>
      <c r="AK85" s="525"/>
      <c r="AL85" s="525"/>
      <c r="AM85" s="525"/>
      <c r="AN85" s="525"/>
      <c r="AO85" s="525" t="s">
        <v>381</v>
      </c>
      <c r="AP85" s="525"/>
      <c r="AQ85" s="525"/>
      <c r="AR85" s="525"/>
      <c r="AS85" s="525"/>
      <c r="AT85" s="525" t="s">
        <v>381</v>
      </c>
      <c r="AU85" s="525"/>
      <c r="AV85" s="525"/>
      <c r="AW85" s="525"/>
      <c r="AX85" s="525"/>
    </row>
    <row r="86" spans="2:50" ht="14.25" customHeight="1">
      <c r="B86" s="525"/>
      <c r="C86" s="525"/>
      <c r="D86" s="525"/>
      <c r="E86" s="182" t="s">
        <v>161</v>
      </c>
      <c r="F86" s="182" t="s">
        <v>382</v>
      </c>
      <c r="G86" s="182" t="s">
        <v>163</v>
      </c>
      <c r="H86" s="525"/>
      <c r="I86" s="183" t="s">
        <v>161</v>
      </c>
      <c r="J86" s="183" t="s">
        <v>382</v>
      </c>
      <c r="K86" s="183" t="s">
        <v>163</v>
      </c>
      <c r="L86" s="544"/>
      <c r="M86" s="544"/>
      <c r="N86" s="525"/>
      <c r="O86" s="525"/>
      <c r="P86" s="182" t="s">
        <v>161</v>
      </c>
      <c r="Q86" s="182" t="s">
        <v>382</v>
      </c>
      <c r="R86" s="182" t="s">
        <v>163</v>
      </c>
      <c r="S86" s="184" t="s">
        <v>167</v>
      </c>
      <c r="T86" s="525"/>
      <c r="U86" s="182" t="s">
        <v>161</v>
      </c>
      <c r="V86" s="182" t="s">
        <v>382</v>
      </c>
      <c r="W86" s="182" t="s">
        <v>163</v>
      </c>
      <c r="X86" s="184" t="s">
        <v>167</v>
      </c>
      <c r="Y86" s="525"/>
      <c r="Z86" s="182" t="s">
        <v>161</v>
      </c>
      <c r="AA86" s="182" t="s">
        <v>382</v>
      </c>
      <c r="AB86" s="182" t="s">
        <v>163</v>
      </c>
      <c r="AC86" s="184" t="s">
        <v>167</v>
      </c>
      <c r="AD86" s="525"/>
      <c r="AE86" s="182" t="s">
        <v>161</v>
      </c>
      <c r="AF86" s="182" t="s">
        <v>382</v>
      </c>
      <c r="AG86" s="182" t="s">
        <v>163</v>
      </c>
      <c r="AH86" s="184" t="s">
        <v>167</v>
      </c>
      <c r="AI86" s="525"/>
      <c r="AJ86" s="182" t="s">
        <v>161</v>
      </c>
      <c r="AK86" s="182" t="s">
        <v>382</v>
      </c>
      <c r="AL86" s="182" t="s">
        <v>163</v>
      </c>
      <c r="AM86" s="184" t="s">
        <v>167</v>
      </c>
      <c r="AN86" s="525"/>
      <c r="AO86" s="182" t="s">
        <v>161</v>
      </c>
      <c r="AP86" s="182" t="s">
        <v>382</v>
      </c>
      <c r="AQ86" s="182" t="s">
        <v>163</v>
      </c>
      <c r="AR86" s="184" t="s">
        <v>167</v>
      </c>
      <c r="AS86" s="525"/>
      <c r="AT86" s="182" t="s">
        <v>161</v>
      </c>
      <c r="AU86" s="182" t="s">
        <v>382</v>
      </c>
      <c r="AV86" s="182" t="s">
        <v>163</v>
      </c>
      <c r="AW86" s="184" t="s">
        <v>167</v>
      </c>
      <c r="AX86" s="525"/>
    </row>
    <row r="87" spans="2:50" ht="14.25" customHeight="1">
      <c r="B87" s="525" t="s">
        <v>358</v>
      </c>
      <c r="C87" s="182">
        <v>1</v>
      </c>
      <c r="D87" s="185"/>
      <c r="E87" s="182"/>
      <c r="F87" s="182"/>
      <c r="G87" s="187"/>
      <c r="H87" s="554"/>
      <c r="I87" s="188"/>
      <c r="J87" s="188"/>
      <c r="K87" s="189"/>
      <c r="L87" s="555" t="str">
        <f>IFERROR(AVERAGE(K87:K101),"-")</f>
        <v>-</v>
      </c>
      <c r="M87" s="188" t="e">
        <f>RANK(K87, K$87:$K$101)</f>
        <v>#N/A</v>
      </c>
      <c r="N87" s="525"/>
      <c r="O87" s="525"/>
      <c r="P87" s="190"/>
      <c r="Q87" s="190"/>
      <c r="R87" s="187"/>
      <c r="S87" s="184"/>
      <c r="T87" s="554"/>
      <c r="U87" s="190"/>
      <c r="V87" s="190"/>
      <c r="W87" s="187"/>
      <c r="X87" s="184"/>
      <c r="Y87" s="554"/>
      <c r="Z87" s="190"/>
      <c r="AA87" s="190"/>
      <c r="AB87" s="187"/>
      <c r="AC87" s="184"/>
      <c r="AD87" s="554"/>
      <c r="AE87" s="190"/>
      <c r="AF87" s="190"/>
      <c r="AG87" s="187"/>
      <c r="AH87" s="184"/>
      <c r="AI87" s="554"/>
      <c r="AJ87" s="190"/>
      <c r="AK87" s="190"/>
      <c r="AL87" s="187"/>
      <c r="AM87" s="184"/>
      <c r="AN87" s="554"/>
      <c r="AO87" s="190"/>
      <c r="AP87" s="190"/>
      <c r="AQ87" s="187"/>
      <c r="AR87" s="184"/>
      <c r="AS87" s="554"/>
      <c r="AT87" s="190"/>
      <c r="AU87" s="190"/>
      <c r="AV87" s="187"/>
      <c r="AW87" s="184"/>
      <c r="AX87" s="554"/>
    </row>
    <row r="88" spans="2:50" ht="14.25" customHeight="1">
      <c r="B88" s="525"/>
      <c r="C88" s="182">
        <v>2</v>
      </c>
      <c r="D88" s="185"/>
      <c r="E88" s="182"/>
      <c r="F88" s="182"/>
      <c r="G88" s="187"/>
      <c r="H88" s="554"/>
      <c r="I88" s="188"/>
      <c r="J88" s="188"/>
      <c r="K88" s="189"/>
      <c r="L88" s="555"/>
      <c r="M88" s="188" t="e">
        <f>RANK(K88, K$87:$K$101)</f>
        <v>#N/A</v>
      </c>
      <c r="N88" s="525"/>
      <c r="O88" s="525"/>
      <c r="P88" s="190"/>
      <c r="Q88" s="190"/>
      <c r="R88" s="187"/>
      <c r="S88" s="184"/>
      <c r="T88" s="554"/>
      <c r="U88" s="190"/>
      <c r="V88" s="190"/>
      <c r="W88" s="187"/>
      <c r="X88" s="184"/>
      <c r="Y88" s="554"/>
      <c r="Z88" s="190"/>
      <c r="AA88" s="190"/>
      <c r="AB88" s="187"/>
      <c r="AC88" s="184"/>
      <c r="AD88" s="554"/>
      <c r="AE88" s="190"/>
      <c r="AF88" s="190"/>
      <c r="AG88" s="187"/>
      <c r="AH88" s="184"/>
      <c r="AI88" s="554"/>
      <c r="AJ88" s="190"/>
      <c r="AK88" s="190"/>
      <c r="AL88" s="187"/>
      <c r="AM88" s="184"/>
      <c r="AN88" s="554"/>
      <c r="AO88" s="190"/>
      <c r="AP88" s="190"/>
      <c r="AQ88" s="187"/>
      <c r="AR88" s="184"/>
      <c r="AS88" s="554"/>
      <c r="AT88" s="190"/>
      <c r="AU88" s="190"/>
      <c r="AV88" s="187"/>
      <c r="AW88" s="184"/>
      <c r="AX88" s="554"/>
    </row>
    <row r="89" spans="2:50" ht="14.25" customHeight="1">
      <c r="B89" s="525"/>
      <c r="C89" s="182">
        <v>3</v>
      </c>
      <c r="D89" s="185"/>
      <c r="E89" s="182"/>
      <c r="F89" s="182"/>
      <c r="G89" s="187"/>
      <c r="H89" s="554"/>
      <c r="I89" s="188"/>
      <c r="J89" s="188"/>
      <c r="K89" s="189"/>
      <c r="L89" s="555"/>
      <c r="M89" s="188"/>
      <c r="N89" s="525"/>
      <c r="O89" s="525"/>
      <c r="P89" s="190"/>
      <c r="Q89" s="190"/>
      <c r="R89" s="187"/>
      <c r="S89" s="184"/>
      <c r="T89" s="554"/>
      <c r="U89" s="190"/>
      <c r="V89" s="190"/>
      <c r="W89" s="187"/>
      <c r="X89" s="184"/>
      <c r="Y89" s="554"/>
      <c r="Z89" s="190"/>
      <c r="AA89" s="190"/>
      <c r="AB89" s="187"/>
      <c r="AC89" s="184"/>
      <c r="AD89" s="554"/>
      <c r="AE89" s="190"/>
      <c r="AF89" s="190"/>
      <c r="AG89" s="187"/>
      <c r="AH89" s="184"/>
      <c r="AI89" s="554"/>
      <c r="AJ89" s="190"/>
      <c r="AK89" s="190"/>
      <c r="AL89" s="187"/>
      <c r="AM89" s="184"/>
      <c r="AN89" s="554"/>
      <c r="AO89" s="190"/>
      <c r="AP89" s="190"/>
      <c r="AQ89" s="187"/>
      <c r="AR89" s="184"/>
      <c r="AS89" s="554"/>
      <c r="AT89" s="190"/>
      <c r="AU89" s="190"/>
      <c r="AV89" s="187"/>
      <c r="AW89" s="184"/>
      <c r="AX89" s="554"/>
    </row>
    <row r="90" spans="2:50" ht="14.25" customHeight="1">
      <c r="B90" s="525"/>
      <c r="C90" s="182">
        <v>4</v>
      </c>
      <c r="D90" s="185"/>
      <c r="E90" s="182"/>
      <c r="F90" s="182"/>
      <c r="G90" s="187"/>
      <c r="H90" s="554"/>
      <c r="I90" s="188"/>
      <c r="J90" s="188"/>
      <c r="K90" s="189"/>
      <c r="L90" s="555"/>
      <c r="M90" s="188"/>
      <c r="N90" s="525"/>
      <c r="O90" s="525"/>
      <c r="P90" s="190"/>
      <c r="Q90" s="190"/>
      <c r="R90" s="187"/>
      <c r="S90" s="184"/>
      <c r="T90" s="554"/>
      <c r="U90" s="190"/>
      <c r="V90" s="190"/>
      <c r="W90" s="187"/>
      <c r="X90" s="184"/>
      <c r="Y90" s="554"/>
      <c r="Z90" s="190"/>
      <c r="AA90" s="190"/>
      <c r="AB90" s="187"/>
      <c r="AC90" s="184"/>
      <c r="AD90" s="554"/>
      <c r="AE90" s="190"/>
      <c r="AF90" s="190"/>
      <c r="AG90" s="187"/>
      <c r="AH90" s="184"/>
      <c r="AI90" s="554"/>
      <c r="AJ90" s="190"/>
      <c r="AK90" s="190"/>
      <c r="AL90" s="187"/>
      <c r="AM90" s="184"/>
      <c r="AN90" s="554"/>
      <c r="AO90" s="190"/>
      <c r="AP90" s="190"/>
      <c r="AQ90" s="187"/>
      <c r="AR90" s="184"/>
      <c r="AS90" s="554"/>
      <c r="AT90" s="190"/>
      <c r="AU90" s="190"/>
      <c r="AV90" s="187"/>
      <c r="AW90" s="184"/>
      <c r="AX90" s="554"/>
    </row>
    <row r="91" spans="2:50" ht="14.25" customHeight="1">
      <c r="B91" s="525"/>
      <c r="C91" s="182">
        <v>5</v>
      </c>
      <c r="D91" s="185"/>
      <c r="E91" s="182"/>
      <c r="F91" s="182"/>
      <c r="G91" s="187"/>
      <c r="H91" s="554"/>
      <c r="I91" s="188"/>
      <c r="J91" s="188"/>
      <c r="K91" s="189"/>
      <c r="L91" s="555"/>
      <c r="M91" s="188"/>
      <c r="N91" s="525"/>
      <c r="O91" s="525"/>
      <c r="P91" s="190"/>
      <c r="Q91" s="190"/>
      <c r="R91" s="187"/>
      <c r="S91" s="184"/>
      <c r="T91" s="554"/>
      <c r="U91" s="190"/>
      <c r="V91" s="190"/>
      <c r="W91" s="187"/>
      <c r="X91" s="184"/>
      <c r="Y91" s="554"/>
      <c r="Z91" s="190"/>
      <c r="AA91" s="190"/>
      <c r="AB91" s="187"/>
      <c r="AC91" s="184"/>
      <c r="AD91" s="554"/>
      <c r="AE91" s="190"/>
      <c r="AF91" s="190"/>
      <c r="AG91" s="187"/>
      <c r="AH91" s="184"/>
      <c r="AI91" s="554"/>
      <c r="AJ91" s="190"/>
      <c r="AK91" s="190"/>
      <c r="AL91" s="187"/>
      <c r="AM91" s="184"/>
      <c r="AN91" s="554"/>
      <c r="AO91" s="190"/>
      <c r="AP91" s="190"/>
      <c r="AQ91" s="187"/>
      <c r="AR91" s="184"/>
      <c r="AS91" s="554"/>
      <c r="AT91" s="190"/>
      <c r="AU91" s="190"/>
      <c r="AV91" s="187"/>
      <c r="AW91" s="184"/>
      <c r="AX91" s="554"/>
    </row>
    <row r="92" spans="2:50" ht="14.25" customHeight="1">
      <c r="B92" s="525"/>
      <c r="C92" s="182">
        <v>6</v>
      </c>
      <c r="D92" s="185"/>
      <c r="E92" s="182"/>
      <c r="F92" s="182"/>
      <c r="G92" s="187"/>
      <c r="H92" s="554"/>
      <c r="I92" s="188"/>
      <c r="J92" s="188"/>
      <c r="K92" s="189"/>
      <c r="L92" s="555"/>
      <c r="M92" s="188"/>
      <c r="N92" s="525"/>
      <c r="O92" s="525"/>
      <c r="P92" s="190"/>
      <c r="Q92" s="190"/>
      <c r="R92" s="187"/>
      <c r="S92" s="184"/>
      <c r="T92" s="554"/>
      <c r="U92" s="190"/>
      <c r="V92" s="190"/>
      <c r="W92" s="187"/>
      <c r="X92" s="184"/>
      <c r="Y92" s="554"/>
      <c r="Z92" s="190"/>
      <c r="AA92" s="190"/>
      <c r="AB92" s="187"/>
      <c r="AC92" s="184"/>
      <c r="AD92" s="554"/>
      <c r="AE92" s="190"/>
      <c r="AF92" s="190"/>
      <c r="AG92" s="187"/>
      <c r="AH92" s="184"/>
      <c r="AI92" s="554"/>
      <c r="AJ92" s="190"/>
      <c r="AK92" s="190"/>
      <c r="AL92" s="187"/>
      <c r="AM92" s="184"/>
      <c r="AN92" s="554"/>
      <c r="AO92" s="190"/>
      <c r="AP92" s="190"/>
      <c r="AQ92" s="187"/>
      <c r="AR92" s="184"/>
      <c r="AS92" s="554"/>
      <c r="AT92" s="190"/>
      <c r="AU92" s="190"/>
      <c r="AV92" s="187"/>
      <c r="AW92" s="184"/>
      <c r="AX92" s="554"/>
    </row>
    <row r="93" spans="2:50" ht="14.25" customHeight="1">
      <c r="B93" s="525"/>
      <c r="C93" s="182">
        <v>7</v>
      </c>
      <c r="D93" s="185"/>
      <c r="E93" s="182"/>
      <c r="F93" s="182"/>
      <c r="G93" s="187"/>
      <c r="H93" s="554"/>
      <c r="I93" s="188"/>
      <c r="J93" s="188"/>
      <c r="K93" s="189"/>
      <c r="L93" s="555"/>
      <c r="M93" s="188"/>
      <c r="N93" s="525"/>
      <c r="O93" s="525"/>
      <c r="P93" s="190"/>
      <c r="Q93" s="190"/>
      <c r="R93" s="187"/>
      <c r="S93" s="184"/>
      <c r="T93" s="554"/>
      <c r="U93" s="190"/>
      <c r="V93" s="190"/>
      <c r="W93" s="187"/>
      <c r="X93" s="184"/>
      <c r="Y93" s="554"/>
      <c r="Z93" s="190"/>
      <c r="AA93" s="190"/>
      <c r="AB93" s="187"/>
      <c r="AC93" s="184"/>
      <c r="AD93" s="554"/>
      <c r="AE93" s="190"/>
      <c r="AF93" s="190"/>
      <c r="AG93" s="187"/>
      <c r="AH93" s="184"/>
      <c r="AI93" s="554"/>
      <c r="AJ93" s="190"/>
      <c r="AK93" s="190"/>
      <c r="AL93" s="187"/>
      <c r="AM93" s="184"/>
      <c r="AN93" s="554"/>
      <c r="AO93" s="190"/>
      <c r="AP93" s="190"/>
      <c r="AQ93" s="187"/>
      <c r="AR93" s="184"/>
      <c r="AS93" s="554"/>
      <c r="AT93" s="190"/>
      <c r="AU93" s="190"/>
      <c r="AV93" s="187"/>
      <c r="AW93" s="184"/>
      <c r="AX93" s="554"/>
    </row>
    <row r="94" spans="2:50" ht="14.25" customHeight="1">
      <c r="B94" s="525"/>
      <c r="C94" s="182">
        <v>8</v>
      </c>
      <c r="D94" s="185"/>
      <c r="E94" s="182"/>
      <c r="F94" s="182"/>
      <c r="G94" s="187"/>
      <c r="H94" s="554"/>
      <c r="I94" s="188"/>
      <c r="J94" s="188"/>
      <c r="K94" s="189"/>
      <c r="L94" s="555"/>
      <c r="M94" s="188"/>
      <c r="N94" s="525"/>
      <c r="O94" s="525"/>
      <c r="P94" s="190"/>
      <c r="Q94" s="190"/>
      <c r="R94" s="187"/>
      <c r="S94" s="184"/>
      <c r="T94" s="554"/>
      <c r="U94" s="190"/>
      <c r="V94" s="190"/>
      <c r="W94" s="187"/>
      <c r="X94" s="184"/>
      <c r="Y94" s="554"/>
      <c r="Z94" s="190"/>
      <c r="AA94" s="190"/>
      <c r="AB94" s="187"/>
      <c r="AC94" s="184"/>
      <c r="AD94" s="554"/>
      <c r="AE94" s="190"/>
      <c r="AF94" s="190"/>
      <c r="AG94" s="187"/>
      <c r="AH94" s="184"/>
      <c r="AI94" s="554"/>
      <c r="AJ94" s="190"/>
      <c r="AK94" s="190"/>
      <c r="AL94" s="187"/>
      <c r="AM94" s="184"/>
      <c r="AN94" s="554"/>
      <c r="AO94" s="190"/>
      <c r="AP94" s="190"/>
      <c r="AQ94" s="187"/>
      <c r="AR94" s="184"/>
      <c r="AS94" s="554"/>
      <c r="AT94" s="190"/>
      <c r="AU94" s="190"/>
      <c r="AV94" s="187"/>
      <c r="AW94" s="184"/>
      <c r="AX94" s="554"/>
    </row>
    <row r="95" spans="2:50" ht="14.25" customHeight="1">
      <c r="B95" s="525"/>
      <c r="C95" s="182">
        <v>9</v>
      </c>
      <c r="D95" s="185"/>
      <c r="E95" s="182"/>
      <c r="F95" s="182"/>
      <c r="G95" s="187"/>
      <c r="H95" s="554"/>
      <c r="I95" s="188"/>
      <c r="J95" s="188"/>
      <c r="K95" s="189"/>
      <c r="L95" s="555"/>
      <c r="M95" s="188"/>
      <c r="N95" s="525"/>
      <c r="O95" s="525"/>
      <c r="P95" s="190"/>
      <c r="Q95" s="190"/>
      <c r="R95" s="187"/>
      <c r="S95" s="184"/>
      <c r="T95" s="554"/>
      <c r="U95" s="190"/>
      <c r="V95" s="190"/>
      <c r="W95" s="187"/>
      <c r="X95" s="184"/>
      <c r="Y95" s="554"/>
      <c r="Z95" s="190"/>
      <c r="AA95" s="190"/>
      <c r="AB95" s="187"/>
      <c r="AC95" s="184"/>
      <c r="AD95" s="554"/>
      <c r="AE95" s="190"/>
      <c r="AF95" s="190"/>
      <c r="AG95" s="187"/>
      <c r="AH95" s="184"/>
      <c r="AI95" s="554"/>
      <c r="AJ95" s="190"/>
      <c r="AK95" s="190"/>
      <c r="AL95" s="187"/>
      <c r="AM95" s="184"/>
      <c r="AN95" s="554"/>
      <c r="AO95" s="190"/>
      <c r="AP95" s="190"/>
      <c r="AQ95" s="187"/>
      <c r="AR95" s="184"/>
      <c r="AS95" s="554"/>
      <c r="AT95" s="190"/>
      <c r="AU95" s="190"/>
      <c r="AV95" s="187"/>
      <c r="AW95" s="184"/>
      <c r="AX95" s="554"/>
    </row>
    <row r="96" spans="2:50" ht="14.25" customHeight="1">
      <c r="B96" s="525"/>
      <c r="C96" s="182">
        <v>10</v>
      </c>
      <c r="D96" s="185"/>
      <c r="E96" s="182"/>
      <c r="F96" s="182"/>
      <c r="G96" s="187"/>
      <c r="H96" s="554"/>
      <c r="I96" s="188"/>
      <c r="J96" s="188"/>
      <c r="K96" s="189"/>
      <c r="L96" s="555"/>
      <c r="M96" s="188"/>
      <c r="N96" s="525"/>
      <c r="O96" s="525"/>
      <c r="P96" s="190"/>
      <c r="Q96" s="190"/>
      <c r="R96" s="187"/>
      <c r="S96" s="184"/>
      <c r="T96" s="554"/>
      <c r="U96" s="190"/>
      <c r="V96" s="190"/>
      <c r="W96" s="187"/>
      <c r="X96" s="184"/>
      <c r="Y96" s="554"/>
      <c r="Z96" s="190"/>
      <c r="AA96" s="190"/>
      <c r="AB96" s="187"/>
      <c r="AC96" s="184"/>
      <c r="AD96" s="554"/>
      <c r="AE96" s="190"/>
      <c r="AF96" s="190"/>
      <c r="AG96" s="187"/>
      <c r="AH96" s="184"/>
      <c r="AI96" s="554"/>
      <c r="AJ96" s="190"/>
      <c r="AK96" s="190"/>
      <c r="AL96" s="187"/>
      <c r="AM96" s="184"/>
      <c r="AN96" s="554"/>
      <c r="AO96" s="190"/>
      <c r="AP96" s="190"/>
      <c r="AQ96" s="187"/>
      <c r="AR96" s="184"/>
      <c r="AS96" s="554"/>
      <c r="AT96" s="190"/>
      <c r="AU96" s="190"/>
      <c r="AV96" s="187"/>
      <c r="AW96" s="184"/>
      <c r="AX96" s="554"/>
    </row>
    <row r="97" spans="2:50" ht="14.25" customHeight="1">
      <c r="B97" s="525"/>
      <c r="C97" s="182">
        <v>11</v>
      </c>
      <c r="D97" s="185"/>
      <c r="E97" s="182"/>
      <c r="F97" s="182"/>
      <c r="G97" s="187"/>
      <c r="H97" s="554"/>
      <c r="I97" s="188"/>
      <c r="J97" s="188"/>
      <c r="K97" s="189"/>
      <c r="L97" s="555"/>
      <c r="M97" s="188"/>
      <c r="N97" s="525"/>
      <c r="O97" s="525"/>
      <c r="P97" s="190"/>
      <c r="Q97" s="190"/>
      <c r="R97" s="187"/>
      <c r="S97" s="184"/>
      <c r="T97" s="554"/>
      <c r="U97" s="190"/>
      <c r="V97" s="190"/>
      <c r="W97" s="187"/>
      <c r="X97" s="184"/>
      <c r="Y97" s="554"/>
      <c r="Z97" s="190"/>
      <c r="AA97" s="190"/>
      <c r="AB97" s="187"/>
      <c r="AC97" s="184"/>
      <c r="AD97" s="554"/>
      <c r="AE97" s="190"/>
      <c r="AF97" s="190"/>
      <c r="AG97" s="187"/>
      <c r="AH97" s="184"/>
      <c r="AI97" s="554"/>
      <c r="AJ97" s="190"/>
      <c r="AK97" s="190"/>
      <c r="AL97" s="187"/>
      <c r="AM97" s="184"/>
      <c r="AN97" s="554"/>
      <c r="AO97" s="190"/>
      <c r="AP97" s="190"/>
      <c r="AQ97" s="187"/>
      <c r="AR97" s="184"/>
      <c r="AS97" s="554"/>
      <c r="AT97" s="190"/>
      <c r="AU97" s="190"/>
      <c r="AV97" s="187"/>
      <c r="AW97" s="184"/>
      <c r="AX97" s="554"/>
    </row>
    <row r="98" spans="2:50" ht="14.25" customHeight="1">
      <c r="B98" s="525"/>
      <c r="C98" s="182">
        <v>12</v>
      </c>
      <c r="D98" s="185"/>
      <c r="E98" s="182"/>
      <c r="F98" s="182"/>
      <c r="G98" s="187"/>
      <c r="H98" s="554"/>
      <c r="I98" s="188"/>
      <c r="J98" s="188"/>
      <c r="K98" s="189"/>
      <c r="L98" s="555"/>
      <c r="M98" s="188"/>
      <c r="N98" s="525"/>
      <c r="O98" s="525"/>
      <c r="P98" s="190"/>
      <c r="Q98" s="190"/>
      <c r="R98" s="187"/>
      <c r="S98" s="184"/>
      <c r="T98" s="554"/>
      <c r="U98" s="190"/>
      <c r="V98" s="190"/>
      <c r="W98" s="187"/>
      <c r="X98" s="184"/>
      <c r="Y98" s="554"/>
      <c r="Z98" s="190"/>
      <c r="AA98" s="190"/>
      <c r="AB98" s="187"/>
      <c r="AC98" s="184"/>
      <c r="AD98" s="554"/>
      <c r="AE98" s="190"/>
      <c r="AF98" s="190"/>
      <c r="AG98" s="187"/>
      <c r="AH98" s="184"/>
      <c r="AI98" s="554"/>
      <c r="AJ98" s="190"/>
      <c r="AK98" s="190"/>
      <c r="AL98" s="187"/>
      <c r="AM98" s="184"/>
      <c r="AN98" s="554"/>
      <c r="AO98" s="190"/>
      <c r="AP98" s="190"/>
      <c r="AQ98" s="187"/>
      <c r="AR98" s="184"/>
      <c r="AS98" s="554"/>
      <c r="AT98" s="190"/>
      <c r="AU98" s="190"/>
      <c r="AV98" s="187"/>
      <c r="AW98" s="184"/>
      <c r="AX98" s="554"/>
    </row>
    <row r="99" spans="2:50" ht="14.25" customHeight="1">
      <c r="B99" s="525"/>
      <c r="C99" s="182">
        <v>13</v>
      </c>
      <c r="D99" s="185"/>
      <c r="E99" s="182"/>
      <c r="F99" s="182"/>
      <c r="G99" s="187"/>
      <c r="H99" s="554"/>
      <c r="I99" s="188"/>
      <c r="J99" s="188"/>
      <c r="K99" s="189"/>
      <c r="L99" s="555"/>
      <c r="M99" s="188"/>
      <c r="N99" s="525"/>
      <c r="O99" s="525"/>
      <c r="P99" s="190"/>
      <c r="Q99" s="190"/>
      <c r="R99" s="187"/>
      <c r="S99" s="184"/>
      <c r="T99" s="554"/>
      <c r="U99" s="190"/>
      <c r="V99" s="190"/>
      <c r="W99" s="187"/>
      <c r="X99" s="184"/>
      <c r="Y99" s="554"/>
      <c r="Z99" s="190"/>
      <c r="AA99" s="190"/>
      <c r="AB99" s="187"/>
      <c r="AC99" s="184"/>
      <c r="AD99" s="554"/>
      <c r="AE99" s="190"/>
      <c r="AF99" s="190"/>
      <c r="AG99" s="187"/>
      <c r="AH99" s="184"/>
      <c r="AI99" s="554"/>
      <c r="AJ99" s="190"/>
      <c r="AK99" s="190"/>
      <c r="AL99" s="187"/>
      <c r="AM99" s="184"/>
      <c r="AN99" s="554"/>
      <c r="AO99" s="190"/>
      <c r="AP99" s="190"/>
      <c r="AQ99" s="187"/>
      <c r="AR99" s="184"/>
      <c r="AS99" s="554"/>
      <c r="AT99" s="190"/>
      <c r="AU99" s="190"/>
      <c r="AV99" s="187"/>
      <c r="AW99" s="184"/>
      <c r="AX99" s="554"/>
    </row>
    <row r="100" spans="2:50" ht="14.25" customHeight="1">
      <c r="B100" s="525"/>
      <c r="C100" s="182">
        <v>14</v>
      </c>
      <c r="D100" s="185"/>
      <c r="E100" s="182"/>
      <c r="F100" s="182"/>
      <c r="G100" s="187"/>
      <c r="H100" s="554"/>
      <c r="I100" s="188"/>
      <c r="J100" s="188"/>
      <c r="K100" s="189"/>
      <c r="L100" s="555"/>
      <c r="M100" s="188"/>
      <c r="N100" s="525"/>
      <c r="O100" s="525"/>
      <c r="P100" s="190"/>
      <c r="Q100" s="190"/>
      <c r="R100" s="187"/>
      <c r="S100" s="184"/>
      <c r="T100" s="554"/>
      <c r="U100" s="190"/>
      <c r="V100" s="190"/>
      <c r="W100" s="187"/>
      <c r="X100" s="184"/>
      <c r="Y100" s="554"/>
      <c r="Z100" s="190"/>
      <c r="AA100" s="190"/>
      <c r="AB100" s="187"/>
      <c r="AC100" s="184"/>
      <c r="AD100" s="554"/>
      <c r="AE100" s="190"/>
      <c r="AF100" s="190"/>
      <c r="AG100" s="187"/>
      <c r="AH100" s="184"/>
      <c r="AI100" s="554"/>
      <c r="AJ100" s="190"/>
      <c r="AK100" s="190"/>
      <c r="AL100" s="187"/>
      <c r="AM100" s="184"/>
      <c r="AN100" s="554"/>
      <c r="AO100" s="190"/>
      <c r="AP100" s="190"/>
      <c r="AQ100" s="187"/>
      <c r="AR100" s="184"/>
      <c r="AS100" s="554"/>
      <c r="AT100" s="190"/>
      <c r="AU100" s="190"/>
      <c r="AV100" s="187"/>
      <c r="AW100" s="184"/>
      <c r="AX100" s="554"/>
    </row>
    <row r="101" spans="2:50" ht="14.25" customHeight="1">
      <c r="B101" s="525"/>
      <c r="C101" s="182">
        <v>15</v>
      </c>
      <c r="D101" s="185"/>
      <c r="E101" s="182"/>
      <c r="F101" s="182"/>
      <c r="G101" s="187"/>
      <c r="H101" s="554"/>
      <c r="I101" s="188"/>
      <c r="J101" s="188"/>
      <c r="K101" s="189"/>
      <c r="L101" s="555"/>
      <c r="M101" s="188"/>
      <c r="N101" s="525"/>
      <c r="O101" s="525"/>
      <c r="P101" s="190"/>
      <c r="Q101" s="190"/>
      <c r="R101" s="187"/>
      <c r="S101" s="184"/>
      <c r="T101" s="554"/>
      <c r="U101" s="190"/>
      <c r="V101" s="190"/>
      <c r="W101" s="187"/>
      <c r="X101" s="184"/>
      <c r="Y101" s="554"/>
      <c r="Z101" s="190"/>
      <c r="AA101" s="190"/>
      <c r="AB101" s="187"/>
      <c r="AC101" s="184"/>
      <c r="AD101" s="554"/>
      <c r="AE101" s="190"/>
      <c r="AF101" s="190"/>
      <c r="AG101" s="187"/>
      <c r="AH101" s="184"/>
      <c r="AI101" s="554"/>
      <c r="AJ101" s="190"/>
      <c r="AK101" s="190"/>
      <c r="AL101" s="187"/>
      <c r="AM101" s="184"/>
      <c r="AN101" s="554"/>
      <c r="AO101" s="190"/>
      <c r="AP101" s="190"/>
      <c r="AQ101" s="187"/>
      <c r="AR101" s="184"/>
      <c r="AS101" s="554"/>
      <c r="AT101" s="190"/>
      <c r="AU101" s="190"/>
      <c r="AV101" s="187"/>
      <c r="AW101" s="184"/>
      <c r="AX101" s="554"/>
    </row>
    <row r="102" spans="2:50" ht="14.25" customHeight="1" collapsed="1">
      <c r="B102" s="534" t="s">
        <v>650</v>
      </c>
      <c r="C102" s="535"/>
      <c r="D102" s="535"/>
      <c r="E102" s="535"/>
      <c r="F102" s="535"/>
      <c r="G102" s="535"/>
      <c r="H102" s="535"/>
      <c r="I102" s="535"/>
      <c r="J102" s="535"/>
      <c r="K102" s="535"/>
      <c r="L102" s="535"/>
      <c r="M102" s="536"/>
      <c r="N102" s="564" t="s">
        <v>378</v>
      </c>
      <c r="O102" s="564" t="s">
        <v>105</v>
      </c>
      <c r="P102" s="566">
        <f>AT82+1</f>
        <v>46112</v>
      </c>
      <c r="Q102" s="567"/>
      <c r="R102" s="567"/>
      <c r="S102" s="567"/>
      <c r="T102" s="567"/>
      <c r="U102" s="568">
        <f>P102+1</f>
        <v>46113</v>
      </c>
      <c r="V102" s="569"/>
      <c r="W102" s="569"/>
      <c r="X102" s="569"/>
      <c r="Y102" s="569"/>
      <c r="Z102" s="566">
        <f t="shared" ref="Z102" si="71">U102+1</f>
        <v>46114</v>
      </c>
      <c r="AA102" s="567"/>
      <c r="AB102" s="567"/>
      <c r="AC102" s="567"/>
      <c r="AD102" s="567"/>
      <c r="AE102" s="568">
        <f t="shared" ref="AE102" si="72">Z102+1</f>
        <v>46115</v>
      </c>
      <c r="AF102" s="569"/>
      <c r="AG102" s="569"/>
      <c r="AH102" s="569"/>
      <c r="AI102" s="569"/>
      <c r="AJ102" s="556">
        <f t="shared" ref="AJ102" si="73">AE102+1</f>
        <v>46116</v>
      </c>
      <c r="AK102" s="557"/>
      <c r="AL102" s="557"/>
      <c r="AM102" s="557"/>
      <c r="AN102" s="558"/>
      <c r="AO102" s="568">
        <f t="shared" ref="AO102" si="74">AJ102+1</f>
        <v>46117</v>
      </c>
      <c r="AP102" s="569"/>
      <c r="AQ102" s="569"/>
      <c r="AR102" s="569"/>
      <c r="AS102" s="569"/>
      <c r="AT102" s="556">
        <f t="shared" ref="AT102" si="75">AO102+1</f>
        <v>46118</v>
      </c>
      <c r="AU102" s="557"/>
      <c r="AV102" s="557"/>
      <c r="AW102" s="557"/>
      <c r="AX102" s="558"/>
    </row>
    <row r="103" spans="2:50" ht="14.25" customHeight="1">
      <c r="B103" s="537"/>
      <c r="C103" s="537"/>
      <c r="D103" s="537"/>
      <c r="E103" s="537"/>
      <c r="F103" s="537"/>
      <c r="G103" s="537"/>
      <c r="H103" s="537"/>
      <c r="I103" s="537"/>
      <c r="J103" s="537"/>
      <c r="K103" s="537"/>
      <c r="L103" s="537"/>
      <c r="M103" s="538"/>
      <c r="N103" s="565"/>
      <c r="O103" s="565"/>
      <c r="P103" s="559">
        <f>P102</f>
        <v>46112</v>
      </c>
      <c r="Q103" s="559"/>
      <c r="R103" s="559"/>
      <c r="S103" s="559"/>
      <c r="T103" s="559"/>
      <c r="U103" s="560">
        <f>U102</f>
        <v>46113</v>
      </c>
      <c r="V103" s="560"/>
      <c r="W103" s="560"/>
      <c r="X103" s="560"/>
      <c r="Y103" s="560"/>
      <c r="Z103" s="559">
        <f t="shared" ref="Z103" si="76">Z102</f>
        <v>46114</v>
      </c>
      <c r="AA103" s="559"/>
      <c r="AB103" s="559"/>
      <c r="AC103" s="559"/>
      <c r="AD103" s="559"/>
      <c r="AE103" s="560">
        <f t="shared" ref="AE103" si="77">AE102</f>
        <v>46115</v>
      </c>
      <c r="AF103" s="560"/>
      <c r="AG103" s="560"/>
      <c r="AH103" s="560"/>
      <c r="AI103" s="560"/>
      <c r="AJ103" s="561">
        <f t="shared" ref="AJ103" si="78">AJ102</f>
        <v>46116</v>
      </c>
      <c r="AK103" s="562"/>
      <c r="AL103" s="562"/>
      <c r="AM103" s="562"/>
      <c r="AN103" s="563"/>
      <c r="AO103" s="560">
        <f t="shared" ref="AO103" si="79">AO102</f>
        <v>46117</v>
      </c>
      <c r="AP103" s="560"/>
      <c r="AQ103" s="560"/>
      <c r="AR103" s="560"/>
      <c r="AS103" s="560"/>
      <c r="AT103" s="561">
        <f t="shared" ref="AT103" si="80">AT102</f>
        <v>46118</v>
      </c>
      <c r="AU103" s="562"/>
      <c r="AV103" s="562"/>
      <c r="AW103" s="562"/>
      <c r="AX103" s="563"/>
    </row>
    <row r="104" spans="2:50" ht="14.25" customHeight="1">
      <c r="B104" s="525" t="s">
        <v>164</v>
      </c>
      <c r="C104" s="525" t="s">
        <v>159</v>
      </c>
      <c r="D104" s="525"/>
      <c r="E104" s="525" t="s">
        <v>160</v>
      </c>
      <c r="F104" s="525"/>
      <c r="G104" s="525"/>
      <c r="H104" s="525" t="s">
        <v>165</v>
      </c>
      <c r="I104" s="544" t="s">
        <v>379</v>
      </c>
      <c r="J104" s="544"/>
      <c r="K104" s="544"/>
      <c r="L104" s="544" t="s">
        <v>165</v>
      </c>
      <c r="M104" s="544" t="s">
        <v>167</v>
      </c>
      <c r="N104" s="525"/>
      <c r="O104" s="525" t="s">
        <v>166</v>
      </c>
      <c r="P104" s="525" t="s">
        <v>162</v>
      </c>
      <c r="Q104" s="525"/>
      <c r="R104" s="525"/>
      <c r="S104" s="525"/>
      <c r="T104" s="525" t="s">
        <v>165</v>
      </c>
      <c r="U104" s="525" t="s">
        <v>162</v>
      </c>
      <c r="V104" s="525"/>
      <c r="W104" s="525"/>
      <c r="X104" s="525"/>
      <c r="Y104" s="525" t="s">
        <v>165</v>
      </c>
      <c r="Z104" s="525" t="s">
        <v>162</v>
      </c>
      <c r="AA104" s="525"/>
      <c r="AB104" s="525"/>
      <c r="AC104" s="525"/>
      <c r="AD104" s="525" t="s">
        <v>165</v>
      </c>
      <c r="AE104" s="525" t="s">
        <v>162</v>
      </c>
      <c r="AF104" s="525"/>
      <c r="AG104" s="525"/>
      <c r="AH104" s="525"/>
      <c r="AI104" s="525" t="s">
        <v>165</v>
      </c>
      <c r="AJ104" s="525" t="s">
        <v>162</v>
      </c>
      <c r="AK104" s="525"/>
      <c r="AL104" s="525"/>
      <c r="AM104" s="525"/>
      <c r="AN104" s="525" t="s">
        <v>165</v>
      </c>
      <c r="AO104" s="525" t="s">
        <v>162</v>
      </c>
      <c r="AP104" s="525"/>
      <c r="AQ104" s="525"/>
      <c r="AR104" s="525"/>
      <c r="AS104" s="525" t="s">
        <v>165</v>
      </c>
      <c r="AT104" s="525" t="s">
        <v>162</v>
      </c>
      <c r="AU104" s="525"/>
      <c r="AV104" s="525"/>
      <c r="AW104" s="525"/>
      <c r="AX104" s="525" t="s">
        <v>165</v>
      </c>
    </row>
    <row r="105" spans="2:50" ht="14.25" customHeight="1">
      <c r="B105" s="525"/>
      <c r="C105" s="525"/>
      <c r="D105" s="525"/>
      <c r="E105" s="525" t="s">
        <v>380</v>
      </c>
      <c r="F105" s="525"/>
      <c r="G105" s="525"/>
      <c r="H105" s="525"/>
      <c r="I105" s="544" t="s">
        <v>380</v>
      </c>
      <c r="J105" s="544"/>
      <c r="K105" s="544"/>
      <c r="L105" s="544"/>
      <c r="M105" s="544"/>
      <c r="N105" s="525"/>
      <c r="O105" s="525"/>
      <c r="P105" s="525" t="s">
        <v>381</v>
      </c>
      <c r="Q105" s="525"/>
      <c r="R105" s="525"/>
      <c r="S105" s="525"/>
      <c r="T105" s="525"/>
      <c r="U105" s="525" t="s">
        <v>381</v>
      </c>
      <c r="V105" s="525"/>
      <c r="W105" s="525"/>
      <c r="X105" s="525"/>
      <c r="Y105" s="525"/>
      <c r="Z105" s="525" t="s">
        <v>381</v>
      </c>
      <c r="AA105" s="525"/>
      <c r="AB105" s="525"/>
      <c r="AC105" s="525"/>
      <c r="AD105" s="525"/>
      <c r="AE105" s="525" t="s">
        <v>381</v>
      </c>
      <c r="AF105" s="525"/>
      <c r="AG105" s="525"/>
      <c r="AH105" s="525"/>
      <c r="AI105" s="525"/>
      <c r="AJ105" s="525" t="s">
        <v>381</v>
      </c>
      <c r="AK105" s="525"/>
      <c r="AL105" s="525"/>
      <c r="AM105" s="525"/>
      <c r="AN105" s="525"/>
      <c r="AO105" s="525" t="s">
        <v>381</v>
      </c>
      <c r="AP105" s="525"/>
      <c r="AQ105" s="525"/>
      <c r="AR105" s="525"/>
      <c r="AS105" s="525"/>
      <c r="AT105" s="525" t="s">
        <v>381</v>
      </c>
      <c r="AU105" s="525"/>
      <c r="AV105" s="525"/>
      <c r="AW105" s="525"/>
      <c r="AX105" s="525"/>
    </row>
    <row r="106" spans="2:50" ht="14.25" customHeight="1">
      <c r="B106" s="525"/>
      <c r="C106" s="525"/>
      <c r="D106" s="525"/>
      <c r="E106" s="182" t="s">
        <v>161</v>
      </c>
      <c r="F106" s="182" t="s">
        <v>382</v>
      </c>
      <c r="G106" s="182" t="s">
        <v>163</v>
      </c>
      <c r="H106" s="525"/>
      <c r="I106" s="183" t="s">
        <v>161</v>
      </c>
      <c r="J106" s="183" t="s">
        <v>382</v>
      </c>
      <c r="K106" s="183" t="s">
        <v>163</v>
      </c>
      <c r="L106" s="544"/>
      <c r="M106" s="544"/>
      <c r="N106" s="525"/>
      <c r="O106" s="525"/>
      <c r="P106" s="182" t="s">
        <v>161</v>
      </c>
      <c r="Q106" s="182" t="s">
        <v>382</v>
      </c>
      <c r="R106" s="182" t="s">
        <v>163</v>
      </c>
      <c r="S106" s="184" t="s">
        <v>167</v>
      </c>
      <c r="T106" s="525"/>
      <c r="U106" s="182" t="s">
        <v>161</v>
      </c>
      <c r="V106" s="182" t="s">
        <v>382</v>
      </c>
      <c r="W106" s="182" t="s">
        <v>163</v>
      </c>
      <c r="X106" s="184" t="s">
        <v>167</v>
      </c>
      <c r="Y106" s="525"/>
      <c r="Z106" s="182" t="s">
        <v>161</v>
      </c>
      <c r="AA106" s="182" t="s">
        <v>382</v>
      </c>
      <c r="AB106" s="182" t="s">
        <v>163</v>
      </c>
      <c r="AC106" s="184" t="s">
        <v>167</v>
      </c>
      <c r="AD106" s="525"/>
      <c r="AE106" s="182" t="s">
        <v>161</v>
      </c>
      <c r="AF106" s="182" t="s">
        <v>382</v>
      </c>
      <c r="AG106" s="182" t="s">
        <v>163</v>
      </c>
      <c r="AH106" s="184" t="s">
        <v>167</v>
      </c>
      <c r="AI106" s="525"/>
      <c r="AJ106" s="182" t="s">
        <v>161</v>
      </c>
      <c r="AK106" s="182" t="s">
        <v>382</v>
      </c>
      <c r="AL106" s="182" t="s">
        <v>163</v>
      </c>
      <c r="AM106" s="184" t="s">
        <v>167</v>
      </c>
      <c r="AN106" s="525"/>
      <c r="AO106" s="182" t="s">
        <v>161</v>
      </c>
      <c r="AP106" s="182" t="s">
        <v>382</v>
      </c>
      <c r="AQ106" s="182" t="s">
        <v>163</v>
      </c>
      <c r="AR106" s="184" t="s">
        <v>167</v>
      </c>
      <c r="AS106" s="525"/>
      <c r="AT106" s="182" t="s">
        <v>161</v>
      </c>
      <c r="AU106" s="182" t="s">
        <v>382</v>
      </c>
      <c r="AV106" s="182" t="s">
        <v>163</v>
      </c>
      <c r="AW106" s="184" t="s">
        <v>167</v>
      </c>
      <c r="AX106" s="525"/>
    </row>
    <row r="107" spans="2:50" ht="14.25" customHeight="1">
      <c r="B107" s="525" t="s">
        <v>358</v>
      </c>
      <c r="C107" s="182">
        <v>1</v>
      </c>
      <c r="D107" s="185"/>
      <c r="E107" s="182"/>
      <c r="F107" s="182"/>
      <c r="G107" s="187"/>
      <c r="H107" s="554"/>
      <c r="I107" s="188"/>
      <c r="J107" s="188"/>
      <c r="K107" s="189"/>
      <c r="L107" s="555" t="str">
        <f>IFERROR(AVERAGE(K107:K121),"-")</f>
        <v>-</v>
      </c>
      <c r="M107" s="188" t="e">
        <f>RANK(K107, K$87:$K$101)</f>
        <v>#N/A</v>
      </c>
      <c r="N107" s="525"/>
      <c r="O107" s="525"/>
      <c r="P107" s="190"/>
      <c r="Q107" s="190"/>
      <c r="R107" s="187"/>
      <c r="S107" s="184"/>
      <c r="T107" s="554"/>
      <c r="U107" s="190"/>
      <c r="V107" s="190"/>
      <c r="W107" s="187"/>
      <c r="X107" s="184"/>
      <c r="Y107" s="554"/>
      <c r="Z107" s="190"/>
      <c r="AA107" s="190"/>
      <c r="AB107" s="187"/>
      <c r="AC107" s="184"/>
      <c r="AD107" s="554"/>
      <c r="AE107" s="190"/>
      <c r="AF107" s="190"/>
      <c r="AG107" s="187"/>
      <c r="AH107" s="184"/>
      <c r="AI107" s="554"/>
      <c r="AJ107" s="190"/>
      <c r="AK107" s="190"/>
      <c r="AL107" s="187"/>
      <c r="AM107" s="184"/>
      <c r="AN107" s="554"/>
      <c r="AO107" s="190"/>
      <c r="AP107" s="190"/>
      <c r="AQ107" s="187"/>
      <c r="AR107" s="184"/>
      <c r="AS107" s="554"/>
      <c r="AT107" s="190"/>
      <c r="AU107" s="190"/>
      <c r="AV107" s="187"/>
      <c r="AW107" s="184"/>
      <c r="AX107" s="554"/>
    </row>
    <row r="108" spans="2:50" ht="14.25" customHeight="1">
      <c r="B108" s="525"/>
      <c r="C108" s="182">
        <v>2</v>
      </c>
      <c r="D108" s="185"/>
      <c r="E108" s="182"/>
      <c r="F108" s="182"/>
      <c r="G108" s="187"/>
      <c r="H108" s="554"/>
      <c r="I108" s="188"/>
      <c r="J108" s="188"/>
      <c r="K108" s="189"/>
      <c r="L108" s="555"/>
      <c r="M108" s="188" t="e">
        <f>RANK(K108, K$87:$K$101)</f>
        <v>#N/A</v>
      </c>
      <c r="N108" s="525"/>
      <c r="O108" s="525"/>
      <c r="P108" s="190"/>
      <c r="Q108" s="190"/>
      <c r="R108" s="187"/>
      <c r="S108" s="184"/>
      <c r="T108" s="554"/>
      <c r="U108" s="190"/>
      <c r="V108" s="190"/>
      <c r="W108" s="187"/>
      <c r="X108" s="184"/>
      <c r="Y108" s="554"/>
      <c r="Z108" s="190"/>
      <c r="AA108" s="190"/>
      <c r="AB108" s="187"/>
      <c r="AC108" s="184"/>
      <c r="AD108" s="554"/>
      <c r="AE108" s="190"/>
      <c r="AF108" s="190"/>
      <c r="AG108" s="187"/>
      <c r="AH108" s="184"/>
      <c r="AI108" s="554"/>
      <c r="AJ108" s="190"/>
      <c r="AK108" s="190"/>
      <c r="AL108" s="187"/>
      <c r="AM108" s="184"/>
      <c r="AN108" s="554"/>
      <c r="AO108" s="190"/>
      <c r="AP108" s="190"/>
      <c r="AQ108" s="187"/>
      <c r="AR108" s="184"/>
      <c r="AS108" s="554"/>
      <c r="AT108" s="190"/>
      <c r="AU108" s="190"/>
      <c r="AV108" s="187"/>
      <c r="AW108" s="184"/>
      <c r="AX108" s="554"/>
    </row>
    <row r="109" spans="2:50" ht="14.25" customHeight="1">
      <c r="B109" s="525"/>
      <c r="C109" s="182">
        <v>3</v>
      </c>
      <c r="D109" s="185"/>
      <c r="E109" s="182"/>
      <c r="F109" s="182"/>
      <c r="G109" s="187"/>
      <c r="H109" s="554"/>
      <c r="I109" s="188"/>
      <c r="J109" s="188"/>
      <c r="K109" s="189"/>
      <c r="L109" s="555"/>
      <c r="M109" s="188"/>
      <c r="N109" s="525"/>
      <c r="O109" s="525"/>
      <c r="P109" s="190"/>
      <c r="Q109" s="190"/>
      <c r="R109" s="187"/>
      <c r="S109" s="184"/>
      <c r="T109" s="554"/>
      <c r="U109" s="190"/>
      <c r="V109" s="190"/>
      <c r="W109" s="187"/>
      <c r="X109" s="184"/>
      <c r="Y109" s="554"/>
      <c r="Z109" s="190"/>
      <c r="AA109" s="190"/>
      <c r="AB109" s="187"/>
      <c r="AC109" s="184"/>
      <c r="AD109" s="554"/>
      <c r="AE109" s="190"/>
      <c r="AF109" s="190"/>
      <c r="AG109" s="187"/>
      <c r="AH109" s="184"/>
      <c r="AI109" s="554"/>
      <c r="AJ109" s="190"/>
      <c r="AK109" s="190"/>
      <c r="AL109" s="187"/>
      <c r="AM109" s="184"/>
      <c r="AN109" s="554"/>
      <c r="AO109" s="190"/>
      <c r="AP109" s="190"/>
      <c r="AQ109" s="187"/>
      <c r="AR109" s="184"/>
      <c r="AS109" s="554"/>
      <c r="AT109" s="190"/>
      <c r="AU109" s="190"/>
      <c r="AV109" s="187"/>
      <c r="AW109" s="184"/>
      <c r="AX109" s="554"/>
    </row>
    <row r="110" spans="2:50" ht="14.25" customHeight="1">
      <c r="B110" s="525"/>
      <c r="C110" s="182">
        <v>4</v>
      </c>
      <c r="D110" s="185"/>
      <c r="E110" s="182"/>
      <c r="F110" s="182"/>
      <c r="G110" s="187"/>
      <c r="H110" s="554"/>
      <c r="I110" s="188"/>
      <c r="J110" s="188"/>
      <c r="K110" s="189"/>
      <c r="L110" s="555"/>
      <c r="M110" s="188"/>
      <c r="N110" s="525"/>
      <c r="O110" s="525"/>
      <c r="P110" s="190"/>
      <c r="Q110" s="190"/>
      <c r="R110" s="187"/>
      <c r="S110" s="184"/>
      <c r="T110" s="554"/>
      <c r="U110" s="190"/>
      <c r="V110" s="190"/>
      <c r="W110" s="187"/>
      <c r="X110" s="184"/>
      <c r="Y110" s="554"/>
      <c r="Z110" s="190"/>
      <c r="AA110" s="190"/>
      <c r="AB110" s="187"/>
      <c r="AC110" s="184"/>
      <c r="AD110" s="554"/>
      <c r="AE110" s="190"/>
      <c r="AF110" s="190"/>
      <c r="AG110" s="187"/>
      <c r="AH110" s="184"/>
      <c r="AI110" s="554"/>
      <c r="AJ110" s="190"/>
      <c r="AK110" s="190"/>
      <c r="AL110" s="187"/>
      <c r="AM110" s="184"/>
      <c r="AN110" s="554"/>
      <c r="AO110" s="190"/>
      <c r="AP110" s="190"/>
      <c r="AQ110" s="187"/>
      <c r="AR110" s="184"/>
      <c r="AS110" s="554"/>
      <c r="AT110" s="190"/>
      <c r="AU110" s="190"/>
      <c r="AV110" s="187"/>
      <c r="AW110" s="184"/>
      <c r="AX110" s="554"/>
    </row>
    <row r="111" spans="2:50" ht="14.25" customHeight="1">
      <c r="B111" s="525"/>
      <c r="C111" s="182">
        <v>5</v>
      </c>
      <c r="D111" s="185"/>
      <c r="E111" s="182"/>
      <c r="F111" s="182"/>
      <c r="G111" s="187"/>
      <c r="H111" s="554"/>
      <c r="I111" s="188"/>
      <c r="J111" s="188"/>
      <c r="K111" s="189"/>
      <c r="L111" s="555"/>
      <c r="M111" s="188"/>
      <c r="N111" s="525"/>
      <c r="O111" s="525"/>
      <c r="P111" s="190"/>
      <c r="Q111" s="190"/>
      <c r="R111" s="187"/>
      <c r="S111" s="184"/>
      <c r="T111" s="554"/>
      <c r="U111" s="190"/>
      <c r="V111" s="190"/>
      <c r="W111" s="187"/>
      <c r="X111" s="184"/>
      <c r="Y111" s="554"/>
      <c r="Z111" s="190"/>
      <c r="AA111" s="190"/>
      <c r="AB111" s="187"/>
      <c r="AC111" s="184"/>
      <c r="AD111" s="554"/>
      <c r="AE111" s="190"/>
      <c r="AF111" s="190"/>
      <c r="AG111" s="187"/>
      <c r="AH111" s="184"/>
      <c r="AI111" s="554"/>
      <c r="AJ111" s="190"/>
      <c r="AK111" s="190"/>
      <c r="AL111" s="187"/>
      <c r="AM111" s="184"/>
      <c r="AN111" s="554"/>
      <c r="AO111" s="190"/>
      <c r="AP111" s="190"/>
      <c r="AQ111" s="187"/>
      <c r="AR111" s="184"/>
      <c r="AS111" s="554"/>
      <c r="AT111" s="190"/>
      <c r="AU111" s="190"/>
      <c r="AV111" s="187"/>
      <c r="AW111" s="184"/>
      <c r="AX111" s="554"/>
    </row>
    <row r="112" spans="2:50" ht="14.25" customHeight="1">
      <c r="B112" s="525"/>
      <c r="C112" s="182">
        <v>6</v>
      </c>
      <c r="D112" s="185"/>
      <c r="E112" s="182"/>
      <c r="F112" s="182"/>
      <c r="G112" s="187"/>
      <c r="H112" s="554"/>
      <c r="I112" s="188"/>
      <c r="J112" s="188"/>
      <c r="K112" s="189"/>
      <c r="L112" s="555"/>
      <c r="M112" s="188"/>
      <c r="N112" s="525"/>
      <c r="O112" s="525"/>
      <c r="P112" s="190"/>
      <c r="Q112" s="190"/>
      <c r="R112" s="187"/>
      <c r="S112" s="184"/>
      <c r="T112" s="554"/>
      <c r="U112" s="190"/>
      <c r="V112" s="190"/>
      <c r="W112" s="187"/>
      <c r="X112" s="184"/>
      <c r="Y112" s="554"/>
      <c r="Z112" s="190"/>
      <c r="AA112" s="190"/>
      <c r="AB112" s="187"/>
      <c r="AC112" s="184"/>
      <c r="AD112" s="554"/>
      <c r="AE112" s="190"/>
      <c r="AF112" s="190"/>
      <c r="AG112" s="187"/>
      <c r="AH112" s="184"/>
      <c r="AI112" s="554"/>
      <c r="AJ112" s="190"/>
      <c r="AK112" s="190"/>
      <c r="AL112" s="187"/>
      <c r="AM112" s="184"/>
      <c r="AN112" s="554"/>
      <c r="AO112" s="190"/>
      <c r="AP112" s="190"/>
      <c r="AQ112" s="187"/>
      <c r="AR112" s="184"/>
      <c r="AS112" s="554"/>
      <c r="AT112" s="190"/>
      <c r="AU112" s="190"/>
      <c r="AV112" s="187"/>
      <c r="AW112" s="184"/>
      <c r="AX112" s="554"/>
    </row>
    <row r="113" spans="2:50" ht="14.25" customHeight="1">
      <c r="B113" s="525"/>
      <c r="C113" s="182">
        <v>7</v>
      </c>
      <c r="D113" s="185"/>
      <c r="E113" s="182"/>
      <c r="F113" s="182"/>
      <c r="G113" s="187"/>
      <c r="H113" s="554"/>
      <c r="I113" s="188"/>
      <c r="J113" s="188"/>
      <c r="K113" s="189"/>
      <c r="L113" s="555"/>
      <c r="M113" s="188"/>
      <c r="N113" s="525"/>
      <c r="O113" s="525"/>
      <c r="P113" s="190"/>
      <c r="Q113" s="190"/>
      <c r="R113" s="187"/>
      <c r="S113" s="184"/>
      <c r="T113" s="554"/>
      <c r="U113" s="190"/>
      <c r="V113" s="190"/>
      <c r="W113" s="187"/>
      <c r="X113" s="184"/>
      <c r="Y113" s="554"/>
      <c r="Z113" s="190"/>
      <c r="AA113" s="190"/>
      <c r="AB113" s="187"/>
      <c r="AC113" s="184"/>
      <c r="AD113" s="554"/>
      <c r="AE113" s="190"/>
      <c r="AF113" s="190"/>
      <c r="AG113" s="187"/>
      <c r="AH113" s="184"/>
      <c r="AI113" s="554"/>
      <c r="AJ113" s="190"/>
      <c r="AK113" s="190"/>
      <c r="AL113" s="187"/>
      <c r="AM113" s="184"/>
      <c r="AN113" s="554"/>
      <c r="AO113" s="190"/>
      <c r="AP113" s="190"/>
      <c r="AQ113" s="187"/>
      <c r="AR113" s="184"/>
      <c r="AS113" s="554"/>
      <c r="AT113" s="190"/>
      <c r="AU113" s="190"/>
      <c r="AV113" s="187"/>
      <c r="AW113" s="184"/>
      <c r="AX113" s="554"/>
    </row>
    <row r="114" spans="2:50" ht="14.25" customHeight="1">
      <c r="B114" s="525"/>
      <c r="C114" s="182">
        <v>8</v>
      </c>
      <c r="D114" s="185"/>
      <c r="E114" s="182"/>
      <c r="F114" s="182"/>
      <c r="G114" s="187"/>
      <c r="H114" s="554"/>
      <c r="I114" s="188"/>
      <c r="J114" s="188"/>
      <c r="K114" s="189"/>
      <c r="L114" s="555"/>
      <c r="M114" s="188"/>
      <c r="N114" s="525"/>
      <c r="O114" s="525"/>
      <c r="P114" s="190"/>
      <c r="Q114" s="190"/>
      <c r="R114" s="187"/>
      <c r="S114" s="184"/>
      <c r="T114" s="554"/>
      <c r="U114" s="190"/>
      <c r="V114" s="190"/>
      <c r="W114" s="187"/>
      <c r="X114" s="184"/>
      <c r="Y114" s="554"/>
      <c r="Z114" s="190"/>
      <c r="AA114" s="190"/>
      <c r="AB114" s="187"/>
      <c r="AC114" s="184"/>
      <c r="AD114" s="554"/>
      <c r="AE114" s="190"/>
      <c r="AF114" s="190"/>
      <c r="AG114" s="187"/>
      <c r="AH114" s="184"/>
      <c r="AI114" s="554"/>
      <c r="AJ114" s="190"/>
      <c r="AK114" s="190"/>
      <c r="AL114" s="187"/>
      <c r="AM114" s="184"/>
      <c r="AN114" s="554"/>
      <c r="AO114" s="190"/>
      <c r="AP114" s="190"/>
      <c r="AQ114" s="187"/>
      <c r="AR114" s="184"/>
      <c r="AS114" s="554"/>
      <c r="AT114" s="190"/>
      <c r="AU114" s="190"/>
      <c r="AV114" s="187"/>
      <c r="AW114" s="184"/>
      <c r="AX114" s="554"/>
    </row>
    <row r="115" spans="2:50" ht="14.25" customHeight="1">
      <c r="B115" s="525"/>
      <c r="C115" s="182">
        <v>9</v>
      </c>
      <c r="D115" s="185"/>
      <c r="E115" s="182"/>
      <c r="F115" s="182"/>
      <c r="G115" s="187"/>
      <c r="H115" s="554"/>
      <c r="I115" s="188"/>
      <c r="J115" s="188"/>
      <c r="K115" s="189"/>
      <c r="L115" s="555"/>
      <c r="M115" s="188"/>
      <c r="N115" s="525"/>
      <c r="O115" s="525"/>
      <c r="P115" s="190"/>
      <c r="Q115" s="190"/>
      <c r="R115" s="187"/>
      <c r="S115" s="184"/>
      <c r="T115" s="554"/>
      <c r="U115" s="190"/>
      <c r="V115" s="190"/>
      <c r="W115" s="187"/>
      <c r="X115" s="184"/>
      <c r="Y115" s="554"/>
      <c r="Z115" s="190"/>
      <c r="AA115" s="190"/>
      <c r="AB115" s="187"/>
      <c r="AC115" s="184"/>
      <c r="AD115" s="554"/>
      <c r="AE115" s="190"/>
      <c r="AF115" s="190"/>
      <c r="AG115" s="187"/>
      <c r="AH115" s="184"/>
      <c r="AI115" s="554"/>
      <c r="AJ115" s="190"/>
      <c r="AK115" s="190"/>
      <c r="AL115" s="187"/>
      <c r="AM115" s="184"/>
      <c r="AN115" s="554"/>
      <c r="AO115" s="190"/>
      <c r="AP115" s="190"/>
      <c r="AQ115" s="187"/>
      <c r="AR115" s="184"/>
      <c r="AS115" s="554"/>
      <c r="AT115" s="190"/>
      <c r="AU115" s="190"/>
      <c r="AV115" s="187"/>
      <c r="AW115" s="184"/>
      <c r="AX115" s="554"/>
    </row>
    <row r="116" spans="2:50" ht="14.25" customHeight="1">
      <c r="B116" s="525"/>
      <c r="C116" s="182">
        <v>10</v>
      </c>
      <c r="D116" s="185"/>
      <c r="E116" s="182"/>
      <c r="F116" s="182"/>
      <c r="G116" s="187"/>
      <c r="H116" s="554"/>
      <c r="I116" s="188"/>
      <c r="J116" s="188"/>
      <c r="K116" s="189"/>
      <c r="L116" s="555"/>
      <c r="M116" s="188"/>
      <c r="N116" s="525"/>
      <c r="O116" s="525"/>
      <c r="P116" s="190"/>
      <c r="Q116" s="190"/>
      <c r="R116" s="187"/>
      <c r="S116" s="184"/>
      <c r="T116" s="554"/>
      <c r="U116" s="190"/>
      <c r="V116" s="190"/>
      <c r="W116" s="187"/>
      <c r="X116" s="184"/>
      <c r="Y116" s="554"/>
      <c r="Z116" s="190"/>
      <c r="AA116" s="190"/>
      <c r="AB116" s="187"/>
      <c r="AC116" s="184"/>
      <c r="AD116" s="554"/>
      <c r="AE116" s="190"/>
      <c r="AF116" s="190"/>
      <c r="AG116" s="187"/>
      <c r="AH116" s="184"/>
      <c r="AI116" s="554"/>
      <c r="AJ116" s="190"/>
      <c r="AK116" s="190"/>
      <c r="AL116" s="187"/>
      <c r="AM116" s="184"/>
      <c r="AN116" s="554"/>
      <c r="AO116" s="190"/>
      <c r="AP116" s="190"/>
      <c r="AQ116" s="187"/>
      <c r="AR116" s="184"/>
      <c r="AS116" s="554"/>
      <c r="AT116" s="190"/>
      <c r="AU116" s="190"/>
      <c r="AV116" s="187"/>
      <c r="AW116" s="184"/>
      <c r="AX116" s="554"/>
    </row>
    <row r="117" spans="2:50" ht="14.25" customHeight="1">
      <c r="B117" s="525"/>
      <c r="C117" s="182">
        <v>11</v>
      </c>
      <c r="D117" s="185"/>
      <c r="E117" s="182"/>
      <c r="F117" s="182"/>
      <c r="G117" s="187"/>
      <c r="H117" s="554"/>
      <c r="I117" s="188"/>
      <c r="J117" s="188"/>
      <c r="K117" s="189"/>
      <c r="L117" s="555"/>
      <c r="M117" s="188"/>
      <c r="N117" s="525"/>
      <c r="O117" s="525"/>
      <c r="P117" s="190"/>
      <c r="Q117" s="190"/>
      <c r="R117" s="187"/>
      <c r="S117" s="184"/>
      <c r="T117" s="554"/>
      <c r="U117" s="190"/>
      <c r="V117" s="190"/>
      <c r="W117" s="187"/>
      <c r="X117" s="184"/>
      <c r="Y117" s="554"/>
      <c r="Z117" s="190"/>
      <c r="AA117" s="190"/>
      <c r="AB117" s="187"/>
      <c r="AC117" s="184"/>
      <c r="AD117" s="554"/>
      <c r="AE117" s="190"/>
      <c r="AF117" s="190"/>
      <c r="AG117" s="187"/>
      <c r="AH117" s="184"/>
      <c r="AI117" s="554"/>
      <c r="AJ117" s="190"/>
      <c r="AK117" s="190"/>
      <c r="AL117" s="187"/>
      <c r="AM117" s="184"/>
      <c r="AN117" s="554"/>
      <c r="AO117" s="190"/>
      <c r="AP117" s="190"/>
      <c r="AQ117" s="187"/>
      <c r="AR117" s="184"/>
      <c r="AS117" s="554"/>
      <c r="AT117" s="190"/>
      <c r="AU117" s="190"/>
      <c r="AV117" s="187"/>
      <c r="AW117" s="184"/>
      <c r="AX117" s="554"/>
    </row>
    <row r="118" spans="2:50" ht="14.25" customHeight="1">
      <c r="B118" s="525"/>
      <c r="C118" s="182">
        <v>12</v>
      </c>
      <c r="D118" s="185"/>
      <c r="E118" s="182"/>
      <c r="F118" s="182"/>
      <c r="G118" s="187"/>
      <c r="H118" s="554"/>
      <c r="I118" s="188"/>
      <c r="J118" s="188"/>
      <c r="K118" s="189"/>
      <c r="L118" s="555"/>
      <c r="M118" s="188"/>
      <c r="N118" s="525"/>
      <c r="O118" s="525"/>
      <c r="P118" s="190"/>
      <c r="Q118" s="190"/>
      <c r="R118" s="187"/>
      <c r="S118" s="184"/>
      <c r="T118" s="554"/>
      <c r="U118" s="190"/>
      <c r="V118" s="190"/>
      <c r="W118" s="187"/>
      <c r="X118" s="184"/>
      <c r="Y118" s="554"/>
      <c r="Z118" s="190"/>
      <c r="AA118" s="190"/>
      <c r="AB118" s="187"/>
      <c r="AC118" s="184"/>
      <c r="AD118" s="554"/>
      <c r="AE118" s="190"/>
      <c r="AF118" s="190"/>
      <c r="AG118" s="187"/>
      <c r="AH118" s="184"/>
      <c r="AI118" s="554"/>
      <c r="AJ118" s="190"/>
      <c r="AK118" s="190"/>
      <c r="AL118" s="187"/>
      <c r="AM118" s="184"/>
      <c r="AN118" s="554"/>
      <c r="AO118" s="190"/>
      <c r="AP118" s="190"/>
      <c r="AQ118" s="187"/>
      <c r="AR118" s="184"/>
      <c r="AS118" s="554"/>
      <c r="AT118" s="190"/>
      <c r="AU118" s="190"/>
      <c r="AV118" s="187"/>
      <c r="AW118" s="184"/>
      <c r="AX118" s="554"/>
    </row>
    <row r="119" spans="2:50" ht="14.25" customHeight="1">
      <c r="B119" s="525"/>
      <c r="C119" s="182">
        <v>13</v>
      </c>
      <c r="D119" s="185"/>
      <c r="E119" s="182"/>
      <c r="F119" s="182"/>
      <c r="G119" s="187"/>
      <c r="H119" s="554"/>
      <c r="I119" s="188"/>
      <c r="J119" s="188"/>
      <c r="K119" s="189"/>
      <c r="L119" s="555"/>
      <c r="M119" s="188"/>
      <c r="N119" s="525"/>
      <c r="O119" s="525"/>
      <c r="P119" s="190"/>
      <c r="Q119" s="190"/>
      <c r="R119" s="187"/>
      <c r="S119" s="184"/>
      <c r="T119" s="554"/>
      <c r="U119" s="190"/>
      <c r="V119" s="190"/>
      <c r="W119" s="187"/>
      <c r="X119" s="184"/>
      <c r="Y119" s="554"/>
      <c r="Z119" s="190"/>
      <c r="AA119" s="190"/>
      <c r="AB119" s="187"/>
      <c r="AC119" s="184"/>
      <c r="AD119" s="554"/>
      <c r="AE119" s="190"/>
      <c r="AF119" s="190"/>
      <c r="AG119" s="187"/>
      <c r="AH119" s="184"/>
      <c r="AI119" s="554"/>
      <c r="AJ119" s="190"/>
      <c r="AK119" s="190"/>
      <c r="AL119" s="187"/>
      <c r="AM119" s="184"/>
      <c r="AN119" s="554"/>
      <c r="AO119" s="190"/>
      <c r="AP119" s="190"/>
      <c r="AQ119" s="187"/>
      <c r="AR119" s="184"/>
      <c r="AS119" s="554"/>
      <c r="AT119" s="190"/>
      <c r="AU119" s="190"/>
      <c r="AV119" s="187"/>
      <c r="AW119" s="184"/>
      <c r="AX119" s="554"/>
    </row>
    <row r="120" spans="2:50" ht="14.25" customHeight="1">
      <c r="B120" s="525"/>
      <c r="C120" s="182">
        <v>14</v>
      </c>
      <c r="D120" s="185"/>
      <c r="E120" s="182"/>
      <c r="F120" s="182"/>
      <c r="G120" s="187"/>
      <c r="H120" s="554"/>
      <c r="I120" s="188"/>
      <c r="J120" s="188"/>
      <c r="K120" s="189"/>
      <c r="L120" s="555"/>
      <c r="M120" s="188"/>
      <c r="N120" s="525"/>
      <c r="O120" s="525"/>
      <c r="P120" s="190"/>
      <c r="Q120" s="190"/>
      <c r="R120" s="187"/>
      <c r="S120" s="184"/>
      <c r="T120" s="554"/>
      <c r="U120" s="190"/>
      <c r="V120" s="190"/>
      <c r="W120" s="187"/>
      <c r="X120" s="184"/>
      <c r="Y120" s="554"/>
      <c r="Z120" s="190"/>
      <c r="AA120" s="190"/>
      <c r="AB120" s="187"/>
      <c r="AC120" s="184"/>
      <c r="AD120" s="554"/>
      <c r="AE120" s="190"/>
      <c r="AF120" s="190"/>
      <c r="AG120" s="187"/>
      <c r="AH120" s="184"/>
      <c r="AI120" s="554"/>
      <c r="AJ120" s="190"/>
      <c r="AK120" s="190"/>
      <c r="AL120" s="187"/>
      <c r="AM120" s="184"/>
      <c r="AN120" s="554"/>
      <c r="AO120" s="190"/>
      <c r="AP120" s="190"/>
      <c r="AQ120" s="187"/>
      <c r="AR120" s="184"/>
      <c r="AS120" s="554"/>
      <c r="AT120" s="190"/>
      <c r="AU120" s="190"/>
      <c r="AV120" s="187"/>
      <c r="AW120" s="184"/>
      <c r="AX120" s="554"/>
    </row>
    <row r="121" spans="2:50" ht="14.25" customHeight="1">
      <c r="B121" s="525"/>
      <c r="C121" s="182">
        <v>15</v>
      </c>
      <c r="D121" s="185"/>
      <c r="E121" s="182"/>
      <c r="F121" s="182"/>
      <c r="G121" s="187"/>
      <c r="H121" s="554"/>
      <c r="I121" s="188"/>
      <c r="J121" s="188"/>
      <c r="K121" s="189"/>
      <c r="L121" s="555"/>
      <c r="M121" s="188"/>
      <c r="N121" s="525"/>
      <c r="O121" s="525"/>
      <c r="P121" s="190"/>
      <c r="Q121" s="190"/>
      <c r="R121" s="187"/>
      <c r="S121" s="184"/>
      <c r="T121" s="554"/>
      <c r="U121" s="190"/>
      <c r="V121" s="190"/>
      <c r="W121" s="187"/>
      <c r="X121" s="184"/>
      <c r="Y121" s="554"/>
      <c r="Z121" s="190"/>
      <c r="AA121" s="190"/>
      <c r="AB121" s="187"/>
      <c r="AC121" s="184"/>
      <c r="AD121" s="554"/>
      <c r="AE121" s="190"/>
      <c r="AF121" s="190"/>
      <c r="AG121" s="187"/>
      <c r="AH121" s="184"/>
      <c r="AI121" s="554"/>
      <c r="AJ121" s="190"/>
      <c r="AK121" s="190"/>
      <c r="AL121" s="187"/>
      <c r="AM121" s="184"/>
      <c r="AN121" s="554"/>
      <c r="AO121" s="190"/>
      <c r="AP121" s="190"/>
      <c r="AQ121" s="187"/>
      <c r="AR121" s="184"/>
      <c r="AS121" s="554"/>
      <c r="AT121" s="190"/>
      <c r="AU121" s="190"/>
      <c r="AV121" s="187"/>
      <c r="AW121" s="184"/>
      <c r="AX121" s="554"/>
    </row>
  </sheetData>
  <mergeCells count="354"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J4:AM4"/>
    <mergeCell ref="AN4:AN6"/>
    <mergeCell ref="AO4:AR4"/>
    <mergeCell ref="AT3:AX3"/>
    <mergeCell ref="AT2:AX2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P3:T3"/>
    <mergeCell ref="U3:Y3"/>
    <mergeCell ref="Z3:AD3"/>
    <mergeCell ref="AE3:AI3"/>
    <mergeCell ref="AJ3:AN3"/>
    <mergeCell ref="AO3:AS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P64:S64"/>
    <mergeCell ref="T64:T66"/>
    <mergeCell ref="U64:X64"/>
    <mergeCell ref="Y64:Y66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X64:AX66"/>
    <mergeCell ref="AT65:AW65"/>
    <mergeCell ref="T67:T81"/>
    <mergeCell ref="Y67:Y81"/>
    <mergeCell ref="AD67:AD81"/>
    <mergeCell ref="AI67:AI81"/>
    <mergeCell ref="AN67:AN81"/>
    <mergeCell ref="AS67:AS81"/>
    <mergeCell ref="AX67:AX81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7:AX101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87:B101"/>
    <mergeCell ref="H87:H101"/>
    <mergeCell ref="L87:L101"/>
    <mergeCell ref="T87:T101"/>
    <mergeCell ref="Y87:Y101"/>
    <mergeCell ref="AD87:AD10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B107:B121"/>
    <mergeCell ref="H107:H121"/>
    <mergeCell ref="L107:L121"/>
    <mergeCell ref="E105:G105"/>
    <mergeCell ref="I105:K105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P105:S105"/>
    <mergeCell ref="U105:X105"/>
    <mergeCell ref="Z105:AC105"/>
    <mergeCell ref="AE105:AH105"/>
    <mergeCell ref="AJ105:AM105"/>
    <mergeCell ref="AO105:AR105"/>
    <mergeCell ref="AT105:AW105"/>
    <mergeCell ref="T107:T121"/>
    <mergeCell ref="Y107:Y121"/>
    <mergeCell ref="AD107:AD121"/>
    <mergeCell ref="AI107:AI121"/>
    <mergeCell ref="AN107:AN121"/>
    <mergeCell ref="AS107:AS121"/>
    <mergeCell ref="AX107:AX121"/>
    <mergeCell ref="AN104:AN106"/>
    <mergeCell ref="AO104:AR104"/>
    <mergeCell ref="AS104:AS106"/>
    <mergeCell ref="AT104:AW104"/>
    <mergeCell ref="AX104:AX106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21"/>
  <sheetViews>
    <sheetView zoomScaleNormal="100" workbookViewId="0">
      <pane xSplit="13" ySplit="1" topLeftCell="N85" activePane="bottomRight" state="frozen"/>
      <selection activeCell="L95" sqref="L95"/>
      <selection pane="topRight" activeCell="L95" sqref="L95"/>
      <selection pane="bottomLeft" activeCell="L95" sqref="L95"/>
      <selection pane="bottomRight" activeCell="C1" sqref="C1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9" bestFit="1" customWidth="1"/>
    <col min="4" max="4" width="26.453125" style="178" customWidth="1"/>
    <col min="5" max="5" width="7.7265625" style="179" customWidth="1"/>
    <col min="6" max="7" width="8.7265625" style="179" customWidth="1"/>
    <col min="8" max="8" width="10.7265625" style="179" customWidth="1"/>
    <col min="9" max="9" width="7.7265625" style="180" customWidth="1"/>
    <col min="10" max="11" width="8.7265625" style="180" customWidth="1"/>
    <col min="12" max="12" width="10.7265625" style="180" customWidth="1"/>
    <col min="13" max="13" width="5.7265625" style="180" customWidth="1"/>
    <col min="14" max="14" width="9.81640625" style="179" customWidth="1"/>
    <col min="15" max="15" width="7.1796875" style="179" customWidth="1"/>
    <col min="16" max="16" width="7.7265625" style="179" customWidth="1"/>
    <col min="17" max="18" width="8.7265625" style="179" customWidth="1"/>
    <col min="19" max="19" width="5.7265625" style="180" customWidth="1"/>
    <col min="20" max="20" width="10.7265625" style="179" customWidth="1"/>
    <col min="21" max="21" width="7.7265625" style="78" customWidth="1"/>
    <col min="22" max="23" width="8.7265625" style="78" customWidth="1"/>
    <col min="24" max="24" width="5.453125" style="180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80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80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80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81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81" customWidth="1"/>
    <col min="50" max="50" width="10.7265625" style="78" customWidth="1"/>
    <col min="51" max="16384" width="8.81640625" style="78"/>
  </cols>
  <sheetData>
    <row r="1" spans="1:50" ht="24.5">
      <c r="A1" s="74"/>
      <c r="B1" s="370" t="s">
        <v>651</v>
      </c>
      <c r="C1" s="177">
        <f>AVERAGE(L27,L47,L67,L87)</f>
        <v>76.642721185599854</v>
      </c>
    </row>
    <row r="2" spans="1:50" ht="14.25" customHeight="1" collapsed="1">
      <c r="B2" s="534" t="s">
        <v>559</v>
      </c>
      <c r="C2" s="535"/>
      <c r="D2" s="535"/>
      <c r="E2" s="535"/>
      <c r="F2" s="535"/>
      <c r="G2" s="535"/>
      <c r="H2" s="535"/>
      <c r="I2" s="535"/>
      <c r="J2" s="535"/>
      <c r="K2" s="535"/>
      <c r="L2" s="535"/>
      <c r="M2" s="536"/>
      <c r="N2" s="564" t="s">
        <v>378</v>
      </c>
      <c r="O2" s="564" t="s">
        <v>105</v>
      </c>
      <c r="P2" s="566">
        <v>46077</v>
      </c>
      <c r="Q2" s="567"/>
      <c r="R2" s="567"/>
      <c r="S2" s="567"/>
      <c r="T2" s="567"/>
      <c r="U2" s="568">
        <f>P2+1</f>
        <v>46078</v>
      </c>
      <c r="V2" s="569"/>
      <c r="W2" s="569"/>
      <c r="X2" s="569"/>
      <c r="Y2" s="569"/>
      <c r="Z2" s="566">
        <f t="shared" ref="Z2" si="0">U2+1</f>
        <v>46079</v>
      </c>
      <c r="AA2" s="567"/>
      <c r="AB2" s="567"/>
      <c r="AC2" s="567"/>
      <c r="AD2" s="567"/>
      <c r="AE2" s="568">
        <f t="shared" ref="AE2" si="1">Z2+1</f>
        <v>46080</v>
      </c>
      <c r="AF2" s="569"/>
      <c r="AG2" s="569"/>
      <c r="AH2" s="569"/>
      <c r="AI2" s="569"/>
      <c r="AJ2" s="556">
        <f t="shared" ref="AJ2" si="2">AE2+1</f>
        <v>46081</v>
      </c>
      <c r="AK2" s="557"/>
      <c r="AL2" s="557"/>
      <c r="AM2" s="557"/>
      <c r="AN2" s="558"/>
      <c r="AO2" s="568">
        <f t="shared" ref="AO2" si="3">AJ2+1</f>
        <v>46082</v>
      </c>
      <c r="AP2" s="569"/>
      <c r="AQ2" s="569"/>
      <c r="AR2" s="569"/>
      <c r="AS2" s="569"/>
      <c r="AT2" s="556">
        <f t="shared" ref="AT2" si="4">AO2+1</f>
        <v>46083</v>
      </c>
      <c r="AU2" s="557"/>
      <c r="AV2" s="557"/>
      <c r="AW2" s="557"/>
      <c r="AX2" s="558"/>
    </row>
    <row r="3" spans="1:50" ht="14.25" customHeight="1"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8"/>
      <c r="N3" s="565"/>
      <c r="O3" s="565"/>
      <c r="P3" s="559">
        <f>P2</f>
        <v>46077</v>
      </c>
      <c r="Q3" s="559"/>
      <c r="R3" s="559"/>
      <c r="S3" s="559"/>
      <c r="T3" s="559"/>
      <c r="U3" s="560">
        <f>U2</f>
        <v>46078</v>
      </c>
      <c r="V3" s="560"/>
      <c r="W3" s="560"/>
      <c r="X3" s="560"/>
      <c r="Y3" s="560"/>
      <c r="Z3" s="559">
        <f t="shared" ref="Z3" si="5">Z2</f>
        <v>46079</v>
      </c>
      <c r="AA3" s="559"/>
      <c r="AB3" s="559"/>
      <c r="AC3" s="559"/>
      <c r="AD3" s="559"/>
      <c r="AE3" s="560">
        <f t="shared" ref="AE3" si="6">AE2</f>
        <v>46080</v>
      </c>
      <c r="AF3" s="560"/>
      <c r="AG3" s="560"/>
      <c r="AH3" s="560"/>
      <c r="AI3" s="560"/>
      <c r="AJ3" s="561">
        <f t="shared" ref="AJ3" si="7">AJ2</f>
        <v>46081</v>
      </c>
      <c r="AK3" s="562"/>
      <c r="AL3" s="562"/>
      <c r="AM3" s="562"/>
      <c r="AN3" s="563"/>
      <c r="AO3" s="560">
        <f t="shared" ref="AO3" si="8">AO2</f>
        <v>46082</v>
      </c>
      <c r="AP3" s="560"/>
      <c r="AQ3" s="560"/>
      <c r="AR3" s="560"/>
      <c r="AS3" s="560"/>
      <c r="AT3" s="561">
        <f t="shared" ref="AT3" si="9">AT2</f>
        <v>46083</v>
      </c>
      <c r="AU3" s="562"/>
      <c r="AV3" s="562"/>
      <c r="AW3" s="562"/>
      <c r="AX3" s="563"/>
    </row>
    <row r="4" spans="1:50" ht="14.25" customHeight="1">
      <c r="B4" s="525" t="s">
        <v>164</v>
      </c>
      <c r="C4" s="525" t="s">
        <v>159</v>
      </c>
      <c r="D4" s="525"/>
      <c r="E4" s="525" t="s">
        <v>160</v>
      </c>
      <c r="F4" s="525"/>
      <c r="G4" s="525"/>
      <c r="H4" s="525" t="s">
        <v>165</v>
      </c>
      <c r="I4" s="544" t="s">
        <v>379</v>
      </c>
      <c r="J4" s="544"/>
      <c r="K4" s="544"/>
      <c r="L4" s="544" t="s">
        <v>165</v>
      </c>
      <c r="M4" s="544" t="s">
        <v>167</v>
      </c>
      <c r="N4" s="525"/>
      <c r="O4" s="525" t="s">
        <v>166</v>
      </c>
      <c r="P4" s="525" t="s">
        <v>162</v>
      </c>
      <c r="Q4" s="525"/>
      <c r="R4" s="525"/>
      <c r="S4" s="525"/>
      <c r="T4" s="525" t="s">
        <v>165</v>
      </c>
      <c r="U4" s="525" t="s">
        <v>162</v>
      </c>
      <c r="V4" s="525"/>
      <c r="W4" s="525"/>
      <c r="X4" s="525"/>
      <c r="Y4" s="525" t="s">
        <v>165</v>
      </c>
      <c r="Z4" s="525" t="s">
        <v>162</v>
      </c>
      <c r="AA4" s="525"/>
      <c r="AB4" s="525"/>
      <c r="AC4" s="525"/>
      <c r="AD4" s="525" t="s">
        <v>165</v>
      </c>
      <c r="AE4" s="525" t="s">
        <v>162</v>
      </c>
      <c r="AF4" s="525"/>
      <c r="AG4" s="525"/>
      <c r="AH4" s="525"/>
      <c r="AI4" s="525" t="s">
        <v>165</v>
      </c>
      <c r="AJ4" s="525" t="s">
        <v>162</v>
      </c>
      <c r="AK4" s="525"/>
      <c r="AL4" s="525"/>
      <c r="AM4" s="525"/>
      <c r="AN4" s="525" t="s">
        <v>165</v>
      </c>
      <c r="AO4" s="525" t="s">
        <v>162</v>
      </c>
      <c r="AP4" s="525"/>
      <c r="AQ4" s="525"/>
      <c r="AR4" s="525"/>
      <c r="AS4" s="525" t="s">
        <v>165</v>
      </c>
      <c r="AT4" s="525" t="s">
        <v>162</v>
      </c>
      <c r="AU4" s="525"/>
      <c r="AV4" s="525"/>
      <c r="AW4" s="525"/>
      <c r="AX4" s="525" t="s">
        <v>165</v>
      </c>
    </row>
    <row r="5" spans="1:50" ht="14.25" customHeight="1">
      <c r="B5" s="525"/>
      <c r="C5" s="525"/>
      <c r="D5" s="525"/>
      <c r="E5" s="525" t="s">
        <v>380</v>
      </c>
      <c r="F5" s="525"/>
      <c r="G5" s="525"/>
      <c r="H5" s="525"/>
      <c r="I5" s="544" t="s">
        <v>380</v>
      </c>
      <c r="J5" s="544"/>
      <c r="K5" s="544"/>
      <c r="L5" s="544"/>
      <c r="M5" s="544"/>
      <c r="N5" s="525"/>
      <c r="O5" s="525"/>
      <c r="P5" s="525" t="s">
        <v>381</v>
      </c>
      <c r="Q5" s="525"/>
      <c r="R5" s="525"/>
      <c r="S5" s="525"/>
      <c r="T5" s="525"/>
      <c r="U5" s="525" t="s">
        <v>381</v>
      </c>
      <c r="V5" s="525"/>
      <c r="W5" s="525"/>
      <c r="X5" s="525"/>
      <c r="Y5" s="525"/>
      <c r="Z5" s="525" t="s">
        <v>381</v>
      </c>
      <c r="AA5" s="525"/>
      <c r="AB5" s="525"/>
      <c r="AC5" s="525"/>
      <c r="AD5" s="525"/>
      <c r="AE5" s="525" t="s">
        <v>381</v>
      </c>
      <c r="AF5" s="525"/>
      <c r="AG5" s="525"/>
      <c r="AH5" s="525"/>
      <c r="AI5" s="525"/>
      <c r="AJ5" s="525" t="s">
        <v>381</v>
      </c>
      <c r="AK5" s="525"/>
      <c r="AL5" s="525"/>
      <c r="AM5" s="525"/>
      <c r="AN5" s="525"/>
      <c r="AO5" s="525" t="s">
        <v>381</v>
      </c>
      <c r="AP5" s="525"/>
      <c r="AQ5" s="525"/>
      <c r="AR5" s="525"/>
      <c r="AS5" s="525"/>
      <c r="AT5" s="525" t="s">
        <v>381</v>
      </c>
      <c r="AU5" s="525"/>
      <c r="AV5" s="525"/>
      <c r="AW5" s="525"/>
      <c r="AX5" s="525"/>
    </row>
    <row r="6" spans="1:50" ht="14.25" customHeight="1">
      <c r="B6" s="525"/>
      <c r="C6" s="525"/>
      <c r="D6" s="525"/>
      <c r="E6" s="182" t="s">
        <v>161</v>
      </c>
      <c r="F6" s="182" t="s">
        <v>382</v>
      </c>
      <c r="G6" s="182" t="s">
        <v>163</v>
      </c>
      <c r="H6" s="525"/>
      <c r="I6" s="183" t="s">
        <v>161</v>
      </c>
      <c r="J6" s="183" t="s">
        <v>382</v>
      </c>
      <c r="K6" s="183" t="s">
        <v>163</v>
      </c>
      <c r="L6" s="544"/>
      <c r="M6" s="544"/>
      <c r="N6" s="525"/>
      <c r="O6" s="525"/>
      <c r="P6" s="182" t="s">
        <v>161</v>
      </c>
      <c r="Q6" s="182" t="s">
        <v>382</v>
      </c>
      <c r="R6" s="182" t="s">
        <v>163</v>
      </c>
      <c r="S6" s="184" t="s">
        <v>167</v>
      </c>
      <c r="T6" s="525"/>
      <c r="U6" s="182" t="s">
        <v>161</v>
      </c>
      <c r="V6" s="182" t="s">
        <v>382</v>
      </c>
      <c r="W6" s="182" t="s">
        <v>163</v>
      </c>
      <c r="X6" s="184" t="s">
        <v>167</v>
      </c>
      <c r="Y6" s="525"/>
      <c r="Z6" s="182" t="s">
        <v>161</v>
      </c>
      <c r="AA6" s="182" t="s">
        <v>382</v>
      </c>
      <c r="AB6" s="182" t="s">
        <v>163</v>
      </c>
      <c r="AC6" s="184" t="s">
        <v>167</v>
      </c>
      <c r="AD6" s="525"/>
      <c r="AE6" s="182" t="s">
        <v>161</v>
      </c>
      <c r="AF6" s="182" t="s">
        <v>382</v>
      </c>
      <c r="AG6" s="182" t="s">
        <v>163</v>
      </c>
      <c r="AH6" s="184" t="s">
        <v>167</v>
      </c>
      <c r="AI6" s="525"/>
      <c r="AJ6" s="182" t="s">
        <v>161</v>
      </c>
      <c r="AK6" s="182" t="s">
        <v>382</v>
      </c>
      <c r="AL6" s="182" t="s">
        <v>163</v>
      </c>
      <c r="AM6" s="184" t="s">
        <v>167</v>
      </c>
      <c r="AN6" s="525"/>
      <c r="AO6" s="182" t="s">
        <v>161</v>
      </c>
      <c r="AP6" s="182" t="s">
        <v>382</v>
      </c>
      <c r="AQ6" s="182" t="s">
        <v>163</v>
      </c>
      <c r="AR6" s="184" t="s">
        <v>167</v>
      </c>
      <c r="AS6" s="525"/>
      <c r="AT6" s="182" t="s">
        <v>161</v>
      </c>
      <c r="AU6" s="182" t="s">
        <v>382</v>
      </c>
      <c r="AV6" s="182" t="s">
        <v>163</v>
      </c>
      <c r="AW6" s="184" t="s">
        <v>167</v>
      </c>
      <c r="AX6" s="525"/>
    </row>
    <row r="7" spans="1:50" ht="14.25" customHeight="1">
      <c r="B7" s="525" t="s">
        <v>138</v>
      </c>
      <c r="C7" s="182">
        <v>1</v>
      </c>
      <c r="D7" s="185" t="s">
        <v>361</v>
      </c>
      <c r="E7" s="182">
        <v>21</v>
      </c>
      <c r="F7" s="182">
        <v>2000</v>
      </c>
      <c r="G7" s="187">
        <f t="shared" ref="G7:G15" si="10">F7/E7</f>
        <v>95.238095238095241</v>
      </c>
      <c r="H7" s="554">
        <f>AVERAGE(G7:G21)</f>
        <v>87.784469958382999</v>
      </c>
      <c r="I7" s="188">
        <f>AVERAGE(P7,U7,Z7,AE7,AJ7,AO7,AT7)</f>
        <v>21</v>
      </c>
      <c r="J7" s="188">
        <f>AVERAGE(Q7,V7,AA7,AF7,AK7,AP7,AU7)</f>
        <v>1782.2501293544603</v>
      </c>
      <c r="K7" s="189">
        <f>AVERAGE(R7,W7,AB7,AG7,AL7,AQ7,AV7)</f>
        <v>84.869053778783822</v>
      </c>
      <c r="L7" s="555">
        <f>IFERROR(AVERAGE(K7:K21),"-")</f>
        <v>78.283793886795436</v>
      </c>
      <c r="M7" s="188">
        <f>RANK(K7, K$7:$K$21)</f>
        <v>2</v>
      </c>
      <c r="N7" s="525"/>
      <c r="O7" s="525"/>
      <c r="P7" s="190">
        <v>21</v>
      </c>
      <c r="Q7" s="190">
        <v>1782.1370874682657</v>
      </c>
      <c r="R7" s="187">
        <f>IFERROR(Q7/P7,"")</f>
        <v>84.863670831822176</v>
      </c>
      <c r="S7" s="184">
        <f>RANK(R7, R$7:R$21)</f>
        <v>2</v>
      </c>
      <c r="T7" s="554">
        <f>AVERAGE(R7:R21)</f>
        <v>78.277597482272441</v>
      </c>
      <c r="U7" s="190">
        <v>21</v>
      </c>
      <c r="V7" s="190">
        <v>1782.0848611838658</v>
      </c>
      <c r="W7" s="187">
        <f t="shared" ref="W7:W15" si="11">IFERROR(V7/U7,"")</f>
        <v>84.861183865898369</v>
      </c>
      <c r="X7" s="184">
        <f>RANK(W7, W$7:W$21)</f>
        <v>2</v>
      </c>
      <c r="Y7" s="554">
        <f>AVERAGE(W7:W21)</f>
        <v>78.28152448562733</v>
      </c>
      <c r="Z7" s="190">
        <v>21</v>
      </c>
      <c r="AA7" s="190">
        <v>1781.9787985865735</v>
      </c>
      <c r="AB7" s="187">
        <f t="shared" ref="AB7:AB15" si="12">IFERROR(AA7/Z7,"")</f>
        <v>84.856133266027314</v>
      </c>
      <c r="AC7" s="184">
        <f>RANK(AB7, AB$7:AB$21)</f>
        <v>2</v>
      </c>
      <c r="AD7" s="554">
        <f>AVERAGE(AB7:AB21)</f>
        <v>78.279949926178929</v>
      </c>
      <c r="AE7" s="190">
        <v>21</v>
      </c>
      <c r="AF7" s="190">
        <v>1782.4183226675634</v>
      </c>
      <c r="AG7" s="187">
        <f>IFERROR(AF7/AE7,"")</f>
        <v>84.877062984169683</v>
      </c>
      <c r="AH7" s="184">
        <f>RANK(AG7, AG$7:AG$21)</f>
        <v>2</v>
      </c>
      <c r="AI7" s="554">
        <f>AVERAGE(AG7:AG21)</f>
        <v>78.283937916750489</v>
      </c>
      <c r="AJ7" s="190">
        <v>21</v>
      </c>
      <c r="AK7" s="190">
        <v>1782.3218332913623</v>
      </c>
      <c r="AL7" s="187">
        <f t="shared" ref="AL7:AL14" si="13">IFERROR(AK7/AJ7,"")</f>
        <v>84.872468251969636</v>
      </c>
      <c r="AM7" s="184">
        <f>RANK(AL7, AL$7:AL$21)</f>
        <v>2</v>
      </c>
      <c r="AN7" s="554">
        <f>AVERAGE(AL7:AL21)</f>
        <v>78.77921006425197</v>
      </c>
      <c r="AO7" s="190">
        <v>21</v>
      </c>
      <c r="AP7" s="190">
        <v>1782.4449988659553</v>
      </c>
      <c r="AQ7" s="187">
        <f t="shared" ref="AQ7:AQ14" si="14">IFERROR(AP7/AO7,"")</f>
        <v>84.878333279331201</v>
      </c>
      <c r="AR7" s="184">
        <f>RANK(AQ7, AQ$7:AQ$21)</f>
        <v>2</v>
      </c>
      <c r="AS7" s="554">
        <f>AVERAGE(AQ7:AQ21)</f>
        <v>78.778387013941952</v>
      </c>
      <c r="AT7" s="190">
        <v>21</v>
      </c>
      <c r="AU7" s="190">
        <v>1782.3650034176349</v>
      </c>
      <c r="AV7" s="187">
        <f t="shared" ref="AV7:AV14" si="15">IFERROR(AU7/AT7,"")</f>
        <v>84.874523972268321</v>
      </c>
      <c r="AW7" s="184">
        <f>RANK(AV7, AV$7:AV$21)</f>
        <v>2</v>
      </c>
      <c r="AX7" s="554">
        <f>AVERAGE(AV7:AV21)</f>
        <v>78.783091305553896</v>
      </c>
    </row>
    <row r="8" spans="1:50" ht="14.25" customHeight="1">
      <c r="B8" s="525"/>
      <c r="C8" s="182">
        <v>2</v>
      </c>
      <c r="D8" s="185" t="s">
        <v>362</v>
      </c>
      <c r="E8" s="182">
        <v>25</v>
      </c>
      <c r="F8" s="182">
        <v>2000</v>
      </c>
      <c r="G8" s="187">
        <f t="shared" si="10"/>
        <v>80</v>
      </c>
      <c r="H8" s="554"/>
      <c r="I8" s="188">
        <f t="shared" ref="I8:K15" si="16">AVERAGE(P8,U8,Z8,AE8,AJ8,AO8,AT8)</f>
        <v>25</v>
      </c>
      <c r="J8" s="188">
        <f t="shared" si="16"/>
        <v>1783.4880597698866</v>
      </c>
      <c r="K8" s="189">
        <f t="shared" si="16"/>
        <v>71.339522390795452</v>
      </c>
      <c r="L8" s="555"/>
      <c r="M8" s="188">
        <f>RANK(K8, K$7:$K$21)</f>
        <v>9</v>
      </c>
      <c r="N8" s="525"/>
      <c r="O8" s="525"/>
      <c r="P8" s="190">
        <v>25</v>
      </c>
      <c r="Q8" s="190">
        <v>1783.4730538922161</v>
      </c>
      <c r="R8" s="187">
        <f t="shared" ref="R8:R15" si="17">IFERROR(Q8/P8,"")</f>
        <v>71.338922155688635</v>
      </c>
      <c r="S8" s="184">
        <f t="shared" ref="S8:S15" si="18">RANK(R8, R$7:R$21)</f>
        <v>9</v>
      </c>
      <c r="T8" s="554"/>
      <c r="U8" s="190">
        <v>25</v>
      </c>
      <c r="V8" s="190">
        <v>1783.4555406382328</v>
      </c>
      <c r="W8" s="187">
        <f t="shared" si="11"/>
        <v>71.338221625529314</v>
      </c>
      <c r="X8" s="184">
        <f t="shared" ref="X8:X15" si="19">RANK(W8, W$7:W$21)</f>
        <v>9</v>
      </c>
      <c r="Y8" s="554"/>
      <c r="Z8" s="190">
        <v>25</v>
      </c>
      <c r="AA8" s="190">
        <v>1783.5091615769015</v>
      </c>
      <c r="AB8" s="187">
        <f t="shared" si="12"/>
        <v>71.340366463076066</v>
      </c>
      <c r="AC8" s="184">
        <f t="shared" ref="AC8:AC15" si="20">RANK(AB8, AB$7:AB$21)</f>
        <v>9</v>
      </c>
      <c r="AD8" s="554"/>
      <c r="AE8" s="190">
        <v>25</v>
      </c>
      <c r="AF8" s="190">
        <v>1783.3516225113649</v>
      </c>
      <c r="AG8" s="187">
        <f t="shared" ref="AG8:AG15" si="21">IFERROR(AF8/AE8,"")</f>
        <v>71.334064900454592</v>
      </c>
      <c r="AH8" s="184">
        <f t="shared" ref="AH8:AH15" si="22">RANK(AG8, AG$7:AG$21)</f>
        <v>9</v>
      </c>
      <c r="AI8" s="554"/>
      <c r="AJ8" s="190">
        <v>25</v>
      </c>
      <c r="AK8" s="190">
        <v>1783.5106382978718</v>
      </c>
      <c r="AL8" s="187">
        <f t="shared" si="13"/>
        <v>71.340425531914875</v>
      </c>
      <c r="AM8" s="184">
        <f t="shared" ref="AM8:AM14" si="23">RANK(AL8, AL$7:AL$21)</f>
        <v>8</v>
      </c>
      <c r="AN8" s="554"/>
      <c r="AO8" s="190">
        <v>25</v>
      </c>
      <c r="AP8" s="190">
        <v>1783.4862385321101</v>
      </c>
      <c r="AQ8" s="187">
        <f t="shared" si="14"/>
        <v>71.339449541284409</v>
      </c>
      <c r="AR8" s="184">
        <f t="shared" ref="AR8:AR14" si="24">RANK(AQ8, AQ$7:AQ$21)</f>
        <v>8</v>
      </c>
      <c r="AS8" s="554"/>
      <c r="AT8" s="190">
        <v>25</v>
      </c>
      <c r="AU8" s="190">
        <v>1783.630162940507</v>
      </c>
      <c r="AV8" s="187">
        <f t="shared" si="15"/>
        <v>71.345206517620284</v>
      </c>
      <c r="AW8" s="184">
        <f t="shared" ref="AW8:AW14" si="25">RANK(AV8, AV$7:AV$21)</f>
        <v>8</v>
      </c>
      <c r="AX8" s="554"/>
    </row>
    <row r="9" spans="1:50" ht="14.25" customHeight="1">
      <c r="B9" s="525"/>
      <c r="C9" s="182">
        <v>3</v>
      </c>
      <c r="D9" s="185" t="s">
        <v>363</v>
      </c>
      <c r="E9" s="182">
        <v>23</v>
      </c>
      <c r="F9" s="182">
        <v>2000</v>
      </c>
      <c r="G9" s="187">
        <f t="shared" si="10"/>
        <v>86.956521739130437</v>
      </c>
      <c r="H9" s="554"/>
      <c r="I9" s="188">
        <f t="shared" si="16"/>
        <v>23</v>
      </c>
      <c r="J9" s="188">
        <f t="shared" si="16"/>
        <v>1781.7736633537672</v>
      </c>
      <c r="K9" s="189">
        <f t="shared" si="16"/>
        <v>77.468420145815955</v>
      </c>
      <c r="L9" s="555"/>
      <c r="M9" s="188">
        <f>RANK(K9, K$7:$K$21)</f>
        <v>5</v>
      </c>
      <c r="N9" s="525"/>
      <c r="O9" s="525"/>
      <c r="P9" s="190">
        <v>23</v>
      </c>
      <c r="Q9" s="190">
        <v>1781.5731501878972</v>
      </c>
      <c r="R9" s="187">
        <f t="shared" si="17"/>
        <v>77.459702182082495</v>
      </c>
      <c r="S9" s="184">
        <f t="shared" si="18"/>
        <v>5</v>
      </c>
      <c r="T9" s="554"/>
      <c r="U9" s="190">
        <v>23</v>
      </c>
      <c r="V9" s="190">
        <v>1781.6274454210375</v>
      </c>
      <c r="W9" s="187">
        <f t="shared" si="11"/>
        <v>77.462062844392932</v>
      </c>
      <c r="X9" s="184">
        <f t="shared" si="19"/>
        <v>5</v>
      </c>
      <c r="Y9" s="554"/>
      <c r="Z9" s="190">
        <v>23</v>
      </c>
      <c r="AA9" s="190">
        <v>1781.818181818182</v>
      </c>
      <c r="AB9" s="187">
        <f t="shared" si="12"/>
        <v>77.470355731225297</v>
      </c>
      <c r="AC9" s="184">
        <f t="shared" si="20"/>
        <v>5</v>
      </c>
      <c r="AD9" s="554"/>
      <c r="AE9" s="190">
        <v>23</v>
      </c>
      <c r="AF9" s="190">
        <v>1781.7820996229395</v>
      </c>
      <c r="AG9" s="187">
        <f t="shared" si="21"/>
        <v>77.468786940127799</v>
      </c>
      <c r="AH9" s="184">
        <f t="shared" si="22"/>
        <v>5</v>
      </c>
      <c r="AI9" s="554"/>
      <c r="AJ9" s="190">
        <v>23</v>
      </c>
      <c r="AK9" s="190">
        <v>1781.8181818181822</v>
      </c>
      <c r="AL9" s="187">
        <f t="shared" si="13"/>
        <v>77.470355731225311</v>
      </c>
      <c r="AM9" s="184">
        <f t="shared" si="23"/>
        <v>5</v>
      </c>
      <c r="AN9" s="554"/>
      <c r="AO9" s="190">
        <v>23</v>
      </c>
      <c r="AP9" s="190">
        <v>1781.7802358342901</v>
      </c>
      <c r="AQ9" s="187">
        <f t="shared" si="14"/>
        <v>77.468705905838704</v>
      </c>
      <c r="AR9" s="184">
        <f t="shared" si="24"/>
        <v>5</v>
      </c>
      <c r="AS9" s="554"/>
      <c r="AT9" s="190">
        <v>23</v>
      </c>
      <c r="AU9" s="190">
        <v>1782.0163487738405</v>
      </c>
      <c r="AV9" s="187">
        <f t="shared" si="15"/>
        <v>77.478971685819147</v>
      </c>
      <c r="AW9" s="184">
        <f t="shared" si="25"/>
        <v>5</v>
      </c>
      <c r="AX9" s="554"/>
    </row>
    <row r="10" spans="1:50" ht="14.25" customHeight="1">
      <c r="B10" s="525"/>
      <c r="C10" s="182">
        <v>4</v>
      </c>
      <c r="D10" s="185" t="s">
        <v>364</v>
      </c>
      <c r="E10" s="182">
        <v>24</v>
      </c>
      <c r="F10" s="182">
        <v>2000</v>
      </c>
      <c r="G10" s="187">
        <f t="shared" si="10"/>
        <v>83.333333333333329</v>
      </c>
      <c r="H10" s="554"/>
      <c r="I10" s="188">
        <f t="shared" si="16"/>
        <v>24</v>
      </c>
      <c r="J10" s="188">
        <f t="shared" si="16"/>
        <v>1784.9125193253587</v>
      </c>
      <c r="K10" s="189">
        <f t="shared" si="16"/>
        <v>74.371354971889943</v>
      </c>
      <c r="L10" s="555"/>
      <c r="M10" s="188">
        <f>RANK(K10, K$7:$K$21)</f>
        <v>6</v>
      </c>
      <c r="N10" s="525"/>
      <c r="O10" s="525"/>
      <c r="P10" s="190">
        <v>24</v>
      </c>
      <c r="Q10" s="190">
        <v>1784.5370664969744</v>
      </c>
      <c r="R10" s="187">
        <f t="shared" si="17"/>
        <v>74.355711104040594</v>
      </c>
      <c r="S10" s="184">
        <f t="shared" si="18"/>
        <v>8</v>
      </c>
      <c r="T10" s="554"/>
      <c r="U10" s="190">
        <v>24</v>
      </c>
      <c r="V10" s="190">
        <v>1784.9145155883323</v>
      </c>
      <c r="W10" s="187">
        <f t="shared" si="11"/>
        <v>74.37143814951385</v>
      </c>
      <c r="X10" s="184">
        <f t="shared" si="19"/>
        <v>7</v>
      </c>
      <c r="Y10" s="554"/>
      <c r="Z10" s="190">
        <v>24</v>
      </c>
      <c r="AA10" s="190">
        <v>1785.1239669421477</v>
      </c>
      <c r="AB10" s="187">
        <f t="shared" si="12"/>
        <v>74.380165289256155</v>
      </c>
      <c r="AC10" s="184">
        <f t="shared" si="20"/>
        <v>6</v>
      </c>
      <c r="AD10" s="554"/>
      <c r="AE10" s="190">
        <v>24</v>
      </c>
      <c r="AF10" s="190">
        <v>1785.1393188854527</v>
      </c>
      <c r="AG10" s="187">
        <f t="shared" si="21"/>
        <v>74.380804953560528</v>
      </c>
      <c r="AH10" s="184">
        <f t="shared" si="22"/>
        <v>6</v>
      </c>
      <c r="AI10" s="554"/>
      <c r="AJ10" s="190">
        <v>24</v>
      </c>
      <c r="AK10" s="190">
        <v>1784.8873177198441</v>
      </c>
      <c r="AL10" s="187">
        <f t="shared" si="13"/>
        <v>74.370304904993503</v>
      </c>
      <c r="AM10" s="184">
        <f t="shared" si="23"/>
        <v>6</v>
      </c>
      <c r="AN10" s="554"/>
      <c r="AO10" s="190">
        <v>24</v>
      </c>
      <c r="AP10" s="190">
        <v>1784.7715736040598</v>
      </c>
      <c r="AQ10" s="187">
        <f t="shared" si="14"/>
        <v>74.36548223350249</v>
      </c>
      <c r="AR10" s="184">
        <f t="shared" si="24"/>
        <v>6</v>
      </c>
      <c r="AS10" s="554"/>
      <c r="AT10" s="190">
        <v>24</v>
      </c>
      <c r="AU10" s="190">
        <v>1785.0138760407012</v>
      </c>
      <c r="AV10" s="187">
        <f t="shared" si="15"/>
        <v>74.375578168362551</v>
      </c>
      <c r="AW10" s="184">
        <f t="shared" si="25"/>
        <v>6</v>
      </c>
      <c r="AX10" s="554"/>
    </row>
    <row r="11" spans="1:50" ht="14.25" customHeight="1">
      <c r="B11" s="525"/>
      <c r="C11" s="182">
        <v>5</v>
      </c>
      <c r="D11" s="185" t="s">
        <v>360</v>
      </c>
      <c r="E11" s="182">
        <v>24</v>
      </c>
      <c r="F11" s="182">
        <v>2000</v>
      </c>
      <c r="G11" s="187">
        <f t="shared" si="10"/>
        <v>83.333333333333329</v>
      </c>
      <c r="H11" s="554"/>
      <c r="I11" s="188">
        <f t="shared" si="16"/>
        <v>24</v>
      </c>
      <c r="J11" s="188">
        <f t="shared" si="16"/>
        <v>1784.6338514438482</v>
      </c>
      <c r="K11" s="189">
        <f t="shared" si="16"/>
        <v>74.359743810160339</v>
      </c>
      <c r="L11" s="555"/>
      <c r="M11" s="188">
        <f>RANK(K11, K$7:$K$21)</f>
        <v>7</v>
      </c>
      <c r="N11" s="525"/>
      <c r="O11" s="525"/>
      <c r="P11" s="190">
        <v>24</v>
      </c>
      <c r="Q11" s="190">
        <v>1784.5640781324437</v>
      </c>
      <c r="R11" s="187">
        <f t="shared" si="17"/>
        <v>74.35683658885182</v>
      </c>
      <c r="S11" s="184">
        <f t="shared" si="18"/>
        <v>7</v>
      </c>
      <c r="T11" s="554"/>
      <c r="U11" s="190">
        <v>24</v>
      </c>
      <c r="V11" s="190">
        <v>1784.6385542168657</v>
      </c>
      <c r="W11" s="187">
        <f t="shared" si="11"/>
        <v>74.359939759036067</v>
      </c>
      <c r="X11" s="184">
        <f t="shared" si="19"/>
        <v>8</v>
      </c>
      <c r="Y11" s="554"/>
      <c r="Z11" s="190">
        <v>24</v>
      </c>
      <c r="AA11" s="190">
        <v>1784.7557003257291</v>
      </c>
      <c r="AB11" s="187">
        <f t="shared" si="12"/>
        <v>74.364820846905374</v>
      </c>
      <c r="AC11" s="184">
        <f t="shared" si="20"/>
        <v>7</v>
      </c>
      <c r="AD11" s="554"/>
      <c r="AE11" s="190">
        <v>24</v>
      </c>
      <c r="AF11" s="190">
        <v>1784.4452125820956</v>
      </c>
      <c r="AG11" s="187">
        <f t="shared" si="21"/>
        <v>74.35188385758731</v>
      </c>
      <c r="AH11" s="184">
        <f t="shared" si="22"/>
        <v>7</v>
      </c>
      <c r="AI11" s="554"/>
      <c r="AJ11" s="190">
        <v>24</v>
      </c>
      <c r="AK11" s="190">
        <v>1784.6251186333448</v>
      </c>
      <c r="AL11" s="187">
        <f t="shared" si="13"/>
        <v>74.359379943056027</v>
      </c>
      <c r="AM11" s="184">
        <f t="shared" si="23"/>
        <v>7</v>
      </c>
      <c r="AN11" s="554"/>
      <c r="AO11" s="190">
        <v>24</v>
      </c>
      <c r="AP11" s="190">
        <v>1784.6153846153843</v>
      </c>
      <c r="AQ11" s="187">
        <f t="shared" si="14"/>
        <v>74.358974358974351</v>
      </c>
      <c r="AR11" s="184">
        <f t="shared" si="24"/>
        <v>7</v>
      </c>
      <c r="AS11" s="554"/>
      <c r="AT11" s="190">
        <v>24</v>
      </c>
      <c r="AU11" s="190">
        <v>1784.7929116010737</v>
      </c>
      <c r="AV11" s="187">
        <f t="shared" si="15"/>
        <v>74.366371316711408</v>
      </c>
      <c r="AW11" s="184">
        <f t="shared" si="25"/>
        <v>7</v>
      </c>
      <c r="AX11" s="554"/>
    </row>
    <row r="12" spans="1:50" ht="14.25" customHeight="1">
      <c r="B12" s="525"/>
      <c r="C12" s="182">
        <v>6</v>
      </c>
      <c r="D12" s="185" t="s">
        <v>472</v>
      </c>
      <c r="E12" s="182">
        <v>23</v>
      </c>
      <c r="F12" s="182">
        <v>2000</v>
      </c>
      <c r="G12" s="187">
        <f t="shared" si="10"/>
        <v>86.956521739130437</v>
      </c>
      <c r="H12" s="554"/>
      <c r="I12" s="188">
        <f t="shared" si="16"/>
        <v>23</v>
      </c>
      <c r="J12" s="188">
        <f t="shared" si="16"/>
        <v>1782.2096298160304</v>
      </c>
      <c r="K12" s="189">
        <f t="shared" si="16"/>
        <v>77.487375209392638</v>
      </c>
      <c r="L12" s="555"/>
      <c r="M12" s="188">
        <f>RANK(K12, K$7:$K$21)</f>
        <v>4</v>
      </c>
      <c r="N12" s="525"/>
      <c r="O12" s="525"/>
      <c r="P12" s="190">
        <v>23</v>
      </c>
      <c r="Q12" s="190">
        <v>1781.9799777530595</v>
      </c>
      <c r="R12" s="187">
        <f t="shared" si="17"/>
        <v>77.477390337089545</v>
      </c>
      <c r="S12" s="184">
        <f t="shared" si="18"/>
        <v>4</v>
      </c>
      <c r="T12" s="554"/>
      <c r="U12" s="190">
        <v>23</v>
      </c>
      <c r="V12" s="190">
        <v>1782.0895522388053</v>
      </c>
      <c r="W12" s="187">
        <f t="shared" si="11"/>
        <v>77.482154445165449</v>
      </c>
      <c r="X12" s="184">
        <f t="shared" si="19"/>
        <v>4</v>
      </c>
      <c r="Y12" s="554"/>
      <c r="Z12" s="190">
        <v>23</v>
      </c>
      <c r="AA12" s="190">
        <v>1782.1646341463409</v>
      </c>
      <c r="AB12" s="187">
        <f t="shared" si="12"/>
        <v>77.485418875927863</v>
      </c>
      <c r="AC12" s="184">
        <f t="shared" si="20"/>
        <v>4</v>
      </c>
      <c r="AD12" s="554"/>
      <c r="AE12" s="190">
        <v>23</v>
      </c>
      <c r="AF12" s="190">
        <v>1782.3199251637029</v>
      </c>
      <c r="AG12" s="187">
        <f t="shared" si="21"/>
        <v>77.492170659291432</v>
      </c>
      <c r="AH12" s="184">
        <f t="shared" si="22"/>
        <v>4</v>
      </c>
      <c r="AI12" s="554"/>
      <c r="AJ12" s="190">
        <v>23</v>
      </c>
      <c r="AK12" s="190">
        <v>1782.2580645161281</v>
      </c>
      <c r="AL12" s="187">
        <f t="shared" si="13"/>
        <v>77.489481065918611</v>
      </c>
      <c r="AM12" s="184">
        <f t="shared" si="23"/>
        <v>4</v>
      </c>
      <c r="AN12" s="554"/>
      <c r="AO12" s="190">
        <v>23</v>
      </c>
      <c r="AP12" s="190">
        <v>1782.2562979189488</v>
      </c>
      <c r="AQ12" s="187">
        <f t="shared" si="14"/>
        <v>77.489404257345598</v>
      </c>
      <c r="AR12" s="184">
        <f t="shared" si="24"/>
        <v>4</v>
      </c>
      <c r="AS12" s="554"/>
      <c r="AT12" s="190">
        <v>23</v>
      </c>
      <c r="AU12" s="190">
        <v>1782.3989569752277</v>
      </c>
      <c r="AV12" s="187">
        <f t="shared" si="15"/>
        <v>77.495606825009901</v>
      </c>
      <c r="AW12" s="184">
        <f t="shared" si="25"/>
        <v>4</v>
      </c>
      <c r="AX12" s="554"/>
    </row>
    <row r="13" spans="1:50" ht="14.25" customHeight="1">
      <c r="B13" s="525"/>
      <c r="C13" s="182">
        <v>7</v>
      </c>
      <c r="D13" s="185" t="s">
        <v>476</v>
      </c>
      <c r="E13" s="182">
        <v>22</v>
      </c>
      <c r="F13" s="182">
        <v>2000</v>
      </c>
      <c r="G13" s="187">
        <f t="shared" si="10"/>
        <v>90.909090909090907</v>
      </c>
      <c r="H13" s="554"/>
      <c r="I13" s="188">
        <f t="shared" si="16"/>
        <v>22</v>
      </c>
      <c r="J13" s="188">
        <f t="shared" si="16"/>
        <v>1784.1206429340968</v>
      </c>
      <c r="K13" s="189">
        <f t="shared" si="16"/>
        <v>81.096392860640748</v>
      </c>
      <c r="L13" s="555"/>
      <c r="M13" s="188">
        <f>RANK(K13, K$7:$K$21)</f>
        <v>3</v>
      </c>
      <c r="N13" s="525"/>
      <c r="O13" s="525"/>
      <c r="P13" s="190">
        <v>22</v>
      </c>
      <c r="Q13" s="190">
        <v>1784.0836012861739</v>
      </c>
      <c r="R13" s="187">
        <f t="shared" si="17"/>
        <v>81.094709149371539</v>
      </c>
      <c r="S13" s="184">
        <f t="shared" si="18"/>
        <v>3</v>
      </c>
      <c r="T13" s="554"/>
      <c r="U13" s="190">
        <v>22</v>
      </c>
      <c r="V13" s="190">
        <v>1784.0166257320993</v>
      </c>
      <c r="W13" s="187">
        <f t="shared" si="11"/>
        <v>81.091664806004516</v>
      </c>
      <c r="X13" s="184">
        <f t="shared" si="19"/>
        <v>3</v>
      </c>
      <c r="Y13" s="554"/>
      <c r="Z13" s="190">
        <v>22</v>
      </c>
      <c r="AA13" s="190">
        <v>1784.0919133893078</v>
      </c>
      <c r="AB13" s="187">
        <f t="shared" si="12"/>
        <v>81.095086972241262</v>
      </c>
      <c r="AC13" s="184">
        <f t="shared" si="20"/>
        <v>3</v>
      </c>
      <c r="AD13" s="554"/>
      <c r="AE13" s="190">
        <v>22</v>
      </c>
      <c r="AF13" s="190">
        <v>1784.0251932436295</v>
      </c>
      <c r="AG13" s="187">
        <f t="shared" si="21"/>
        <v>81.09205423834679</v>
      </c>
      <c r="AH13" s="184">
        <f t="shared" si="22"/>
        <v>3</v>
      </c>
      <c r="AI13" s="554"/>
      <c r="AJ13" s="190">
        <v>22</v>
      </c>
      <c r="AK13" s="190">
        <v>1784.2649006622507</v>
      </c>
      <c r="AL13" s="187">
        <f t="shared" si="13"/>
        <v>81.102950030102306</v>
      </c>
      <c r="AM13" s="184">
        <f t="shared" si="23"/>
        <v>3</v>
      </c>
      <c r="AN13" s="554"/>
      <c r="AO13" s="190">
        <v>22</v>
      </c>
      <c r="AP13" s="190">
        <v>1784.1240875912404</v>
      </c>
      <c r="AQ13" s="187">
        <f t="shared" si="14"/>
        <v>81.096549435965471</v>
      </c>
      <c r="AR13" s="184">
        <f t="shared" si="24"/>
        <v>3</v>
      </c>
      <c r="AS13" s="554"/>
      <c r="AT13" s="190">
        <v>22</v>
      </c>
      <c r="AU13" s="190">
        <v>1784.2381786339747</v>
      </c>
      <c r="AV13" s="187">
        <f t="shared" si="15"/>
        <v>81.101735392453392</v>
      </c>
      <c r="AW13" s="184">
        <f t="shared" si="25"/>
        <v>3</v>
      </c>
      <c r="AX13" s="554"/>
    </row>
    <row r="14" spans="1:50" ht="14.25" customHeight="1">
      <c r="B14" s="525"/>
      <c r="C14" s="182">
        <v>8</v>
      </c>
      <c r="D14" s="185" t="s">
        <v>480</v>
      </c>
      <c r="E14" s="182">
        <v>20</v>
      </c>
      <c r="F14" s="182">
        <v>2000</v>
      </c>
      <c r="G14" s="187">
        <f t="shared" si="10"/>
        <v>100</v>
      </c>
      <c r="H14" s="554"/>
      <c r="I14" s="188">
        <f t="shared" si="16"/>
        <v>20</v>
      </c>
      <c r="J14" s="188">
        <f t="shared" si="16"/>
        <v>1784.2695062691528</v>
      </c>
      <c r="K14" s="189">
        <f t="shared" si="16"/>
        <v>89.213475313457636</v>
      </c>
      <c r="L14" s="555"/>
      <c r="M14" s="188">
        <f>RANK(K14, K$7:$K$21)</f>
        <v>1</v>
      </c>
      <c r="N14" s="525"/>
      <c r="O14" s="525"/>
      <c r="P14" s="190">
        <v>20</v>
      </c>
      <c r="Q14" s="190">
        <v>1783.8805970149256</v>
      </c>
      <c r="R14" s="187">
        <f t="shared" si="17"/>
        <v>89.194029850746276</v>
      </c>
      <c r="S14" s="184">
        <f t="shared" si="18"/>
        <v>1</v>
      </c>
      <c r="T14" s="554"/>
      <c r="U14" s="190">
        <v>20</v>
      </c>
      <c r="V14" s="190">
        <v>1783.9109299043446</v>
      </c>
      <c r="W14" s="187">
        <f t="shared" si="11"/>
        <v>89.195546495217229</v>
      </c>
      <c r="X14" s="184">
        <f t="shared" si="19"/>
        <v>1</v>
      </c>
      <c r="Y14" s="554"/>
      <c r="Z14" s="190">
        <v>20</v>
      </c>
      <c r="AA14" s="190">
        <v>1784.0982546864893</v>
      </c>
      <c r="AB14" s="187">
        <f t="shared" si="12"/>
        <v>89.204912734324466</v>
      </c>
      <c r="AC14" s="184">
        <f t="shared" si="20"/>
        <v>1</v>
      </c>
      <c r="AD14" s="554"/>
      <c r="AE14" s="190">
        <v>20</v>
      </c>
      <c r="AF14" s="190">
        <v>1784.2917878720084</v>
      </c>
      <c r="AG14" s="187">
        <f t="shared" si="21"/>
        <v>89.21458939360042</v>
      </c>
      <c r="AH14" s="184">
        <f t="shared" si="22"/>
        <v>1</v>
      </c>
      <c r="AI14" s="554"/>
      <c r="AJ14" s="190">
        <v>20</v>
      </c>
      <c r="AK14" s="190">
        <v>1784.5663010967114</v>
      </c>
      <c r="AL14" s="187">
        <f t="shared" si="13"/>
        <v>89.228315054835576</v>
      </c>
      <c r="AM14" s="184">
        <f t="shared" si="23"/>
        <v>1</v>
      </c>
      <c r="AN14" s="554"/>
      <c r="AO14" s="190">
        <v>20</v>
      </c>
      <c r="AP14" s="190">
        <v>1784.6039419858685</v>
      </c>
      <c r="AQ14" s="187">
        <f t="shared" si="14"/>
        <v>89.23019709929342</v>
      </c>
      <c r="AR14" s="184">
        <f t="shared" si="24"/>
        <v>1</v>
      </c>
      <c r="AS14" s="554"/>
      <c r="AT14" s="190">
        <v>20</v>
      </c>
      <c r="AU14" s="190">
        <v>1784.5347313237223</v>
      </c>
      <c r="AV14" s="187">
        <f t="shared" si="15"/>
        <v>89.226736566186119</v>
      </c>
      <c r="AW14" s="184">
        <f t="shared" si="25"/>
        <v>1</v>
      </c>
      <c r="AX14" s="554"/>
    </row>
    <row r="15" spans="1:50" ht="14.25" customHeight="1">
      <c r="B15" s="525"/>
      <c r="C15" s="182">
        <v>9</v>
      </c>
      <c r="D15" s="185" t="s">
        <v>549</v>
      </c>
      <c r="E15" s="182">
        <v>24</v>
      </c>
      <c r="F15" s="182">
        <v>2000</v>
      </c>
      <c r="G15" s="187">
        <f t="shared" si="10"/>
        <v>83.333333333333329</v>
      </c>
      <c r="H15" s="554"/>
      <c r="I15" s="188">
        <f t="shared" si="16"/>
        <v>24</v>
      </c>
      <c r="J15" s="188">
        <f t="shared" si="16"/>
        <v>1784.3713560053361</v>
      </c>
      <c r="K15" s="189">
        <f t="shared" si="16"/>
        <v>74.348806500222338</v>
      </c>
      <c r="L15" s="555"/>
      <c r="M15" s="188">
        <f>RANK(K15, K$7:$K$21)</f>
        <v>8</v>
      </c>
      <c r="N15" s="525"/>
      <c r="O15" s="525"/>
      <c r="P15" s="190">
        <v>24</v>
      </c>
      <c r="Q15" s="190">
        <v>1784.5777233782135</v>
      </c>
      <c r="R15" s="187">
        <f t="shared" si="17"/>
        <v>74.3574051407589</v>
      </c>
      <c r="S15" s="184">
        <f t="shared" si="18"/>
        <v>6</v>
      </c>
      <c r="T15" s="554"/>
      <c r="U15" s="190">
        <v>24</v>
      </c>
      <c r="V15" s="190">
        <v>1784.9162011173185</v>
      </c>
      <c r="W15" s="187">
        <f t="shared" si="11"/>
        <v>74.371508379888269</v>
      </c>
      <c r="X15" s="184">
        <f t="shared" si="19"/>
        <v>6</v>
      </c>
      <c r="Y15" s="554"/>
      <c r="Z15" s="190">
        <v>24</v>
      </c>
      <c r="AA15" s="190">
        <v>1783.7349397590365</v>
      </c>
      <c r="AB15" s="187">
        <f t="shared" si="12"/>
        <v>74.322289156626525</v>
      </c>
      <c r="AC15" s="184">
        <f t="shared" si="20"/>
        <v>8</v>
      </c>
      <c r="AD15" s="554"/>
      <c r="AE15" s="190">
        <v>24</v>
      </c>
      <c r="AF15" s="190">
        <v>1784.256559766776</v>
      </c>
      <c r="AG15" s="187">
        <f t="shared" si="21"/>
        <v>74.344023323615673</v>
      </c>
      <c r="AH15" s="184">
        <f t="shared" si="22"/>
        <v>8</v>
      </c>
      <c r="AI15" s="554"/>
      <c r="AJ15" s="190"/>
      <c r="AK15" s="190"/>
      <c r="AL15" s="187"/>
      <c r="AM15" s="184"/>
      <c r="AN15" s="554"/>
      <c r="AO15" s="190"/>
      <c r="AP15" s="190"/>
      <c r="AQ15" s="187"/>
      <c r="AR15" s="184"/>
      <c r="AS15" s="554"/>
      <c r="AT15" s="190"/>
      <c r="AU15" s="190"/>
      <c r="AV15" s="187"/>
      <c r="AW15" s="184"/>
      <c r="AX15" s="554"/>
    </row>
    <row r="16" spans="1:50" ht="14.25" customHeight="1">
      <c r="B16" s="525"/>
      <c r="C16" s="182">
        <v>10</v>
      </c>
      <c r="D16" s="185"/>
      <c r="E16" s="182"/>
      <c r="F16" s="182"/>
      <c r="G16" s="187"/>
      <c r="H16" s="554"/>
      <c r="I16" s="188"/>
      <c r="J16" s="188"/>
      <c r="K16" s="189"/>
      <c r="L16" s="555"/>
      <c r="M16" s="188"/>
      <c r="N16" s="525"/>
      <c r="O16" s="525"/>
      <c r="P16" s="190"/>
      <c r="Q16" s="190"/>
      <c r="R16" s="187"/>
      <c r="S16" s="184"/>
      <c r="T16" s="554"/>
      <c r="U16" s="190"/>
      <c r="V16" s="190"/>
      <c r="W16" s="187"/>
      <c r="X16" s="184"/>
      <c r="Y16" s="554"/>
      <c r="Z16" s="190"/>
      <c r="AA16" s="190"/>
      <c r="AB16" s="187"/>
      <c r="AC16" s="184"/>
      <c r="AD16" s="554"/>
      <c r="AE16" s="190"/>
      <c r="AF16" s="190"/>
      <c r="AG16" s="187"/>
      <c r="AH16" s="184"/>
      <c r="AI16" s="554"/>
      <c r="AJ16" s="190"/>
      <c r="AK16" s="190"/>
      <c r="AL16" s="187"/>
      <c r="AM16" s="184"/>
      <c r="AN16" s="554"/>
      <c r="AO16" s="190"/>
      <c r="AP16" s="190"/>
      <c r="AQ16" s="187"/>
      <c r="AR16" s="184"/>
      <c r="AS16" s="554"/>
      <c r="AT16" s="190"/>
      <c r="AU16" s="190"/>
      <c r="AV16" s="187"/>
      <c r="AW16" s="184"/>
      <c r="AX16" s="554"/>
    </row>
    <row r="17" spans="2:50" ht="14.25" customHeight="1">
      <c r="B17" s="525"/>
      <c r="C17" s="182">
        <v>11</v>
      </c>
      <c r="D17" s="185"/>
      <c r="E17" s="182"/>
      <c r="F17" s="182"/>
      <c r="G17" s="187"/>
      <c r="H17" s="554"/>
      <c r="I17" s="188"/>
      <c r="J17" s="188"/>
      <c r="K17" s="189"/>
      <c r="L17" s="555"/>
      <c r="M17" s="188"/>
      <c r="N17" s="525"/>
      <c r="O17" s="525"/>
      <c r="P17" s="190"/>
      <c r="Q17" s="190"/>
      <c r="R17" s="187"/>
      <c r="S17" s="184"/>
      <c r="T17" s="554"/>
      <c r="U17" s="190"/>
      <c r="V17" s="190"/>
      <c r="W17" s="187"/>
      <c r="X17" s="184"/>
      <c r="Y17" s="554"/>
      <c r="Z17" s="190"/>
      <c r="AA17" s="190"/>
      <c r="AB17" s="187"/>
      <c r="AC17" s="184"/>
      <c r="AD17" s="554"/>
      <c r="AE17" s="190"/>
      <c r="AF17" s="190"/>
      <c r="AG17" s="187"/>
      <c r="AH17" s="184"/>
      <c r="AI17" s="554"/>
      <c r="AJ17" s="190"/>
      <c r="AK17" s="190"/>
      <c r="AL17" s="187"/>
      <c r="AM17" s="184"/>
      <c r="AN17" s="554"/>
      <c r="AO17" s="190"/>
      <c r="AP17" s="190"/>
      <c r="AQ17" s="187"/>
      <c r="AR17" s="184"/>
      <c r="AS17" s="554"/>
      <c r="AT17" s="190"/>
      <c r="AU17" s="190"/>
      <c r="AV17" s="187"/>
      <c r="AW17" s="184"/>
      <c r="AX17" s="554"/>
    </row>
    <row r="18" spans="2:50" ht="14.25" customHeight="1">
      <c r="B18" s="525"/>
      <c r="C18" s="182">
        <v>12</v>
      </c>
      <c r="D18" s="185"/>
      <c r="E18" s="182"/>
      <c r="F18" s="182"/>
      <c r="G18" s="187"/>
      <c r="H18" s="554"/>
      <c r="I18" s="188"/>
      <c r="J18" s="188"/>
      <c r="K18" s="189"/>
      <c r="L18" s="555"/>
      <c r="M18" s="188"/>
      <c r="N18" s="525"/>
      <c r="O18" s="525"/>
      <c r="P18" s="190"/>
      <c r="Q18" s="190"/>
      <c r="R18" s="187"/>
      <c r="S18" s="184"/>
      <c r="T18" s="554"/>
      <c r="U18" s="190"/>
      <c r="V18" s="190"/>
      <c r="W18" s="187"/>
      <c r="X18" s="184"/>
      <c r="Y18" s="554"/>
      <c r="Z18" s="190"/>
      <c r="AA18" s="190"/>
      <c r="AB18" s="187"/>
      <c r="AC18" s="184"/>
      <c r="AD18" s="554"/>
      <c r="AE18" s="190"/>
      <c r="AF18" s="190"/>
      <c r="AG18" s="187"/>
      <c r="AH18" s="184"/>
      <c r="AI18" s="554"/>
      <c r="AJ18" s="190"/>
      <c r="AK18" s="190"/>
      <c r="AL18" s="187"/>
      <c r="AM18" s="184"/>
      <c r="AN18" s="554"/>
      <c r="AO18" s="190"/>
      <c r="AP18" s="190"/>
      <c r="AQ18" s="187"/>
      <c r="AR18" s="184"/>
      <c r="AS18" s="554"/>
      <c r="AT18" s="190"/>
      <c r="AU18" s="190"/>
      <c r="AV18" s="187"/>
      <c r="AW18" s="184"/>
      <c r="AX18" s="554"/>
    </row>
    <row r="19" spans="2:50" ht="14.25" customHeight="1">
      <c r="B19" s="525"/>
      <c r="C19" s="182">
        <v>13</v>
      </c>
      <c r="D19" s="185"/>
      <c r="E19" s="182"/>
      <c r="F19" s="182"/>
      <c r="G19" s="187"/>
      <c r="H19" s="554"/>
      <c r="I19" s="188"/>
      <c r="J19" s="188"/>
      <c r="K19" s="189"/>
      <c r="L19" s="555"/>
      <c r="M19" s="188"/>
      <c r="N19" s="525"/>
      <c r="O19" s="525"/>
      <c r="P19" s="190"/>
      <c r="Q19" s="190"/>
      <c r="R19" s="187"/>
      <c r="S19" s="184"/>
      <c r="T19" s="554"/>
      <c r="U19" s="190"/>
      <c r="V19" s="190"/>
      <c r="W19" s="187"/>
      <c r="X19" s="184"/>
      <c r="Y19" s="554"/>
      <c r="Z19" s="190"/>
      <c r="AA19" s="190"/>
      <c r="AB19" s="187"/>
      <c r="AC19" s="184"/>
      <c r="AD19" s="554"/>
      <c r="AE19" s="190"/>
      <c r="AF19" s="190"/>
      <c r="AG19" s="187"/>
      <c r="AH19" s="184"/>
      <c r="AI19" s="554"/>
      <c r="AJ19" s="190"/>
      <c r="AK19" s="190"/>
      <c r="AL19" s="187"/>
      <c r="AM19" s="184"/>
      <c r="AN19" s="554"/>
      <c r="AO19" s="190"/>
      <c r="AP19" s="190"/>
      <c r="AQ19" s="187"/>
      <c r="AR19" s="184"/>
      <c r="AS19" s="554"/>
      <c r="AT19" s="190"/>
      <c r="AU19" s="190"/>
      <c r="AV19" s="187"/>
      <c r="AW19" s="184"/>
      <c r="AX19" s="554"/>
    </row>
    <row r="20" spans="2:50" ht="14.25" customHeight="1">
      <c r="B20" s="525"/>
      <c r="C20" s="182">
        <v>14</v>
      </c>
      <c r="D20" s="185"/>
      <c r="E20" s="182"/>
      <c r="F20" s="182"/>
      <c r="G20" s="187"/>
      <c r="H20" s="554"/>
      <c r="I20" s="188"/>
      <c r="J20" s="188"/>
      <c r="K20" s="189"/>
      <c r="L20" s="555"/>
      <c r="M20" s="188"/>
      <c r="N20" s="525"/>
      <c r="O20" s="525"/>
      <c r="P20" s="190"/>
      <c r="Q20" s="190"/>
      <c r="R20" s="187"/>
      <c r="S20" s="184"/>
      <c r="T20" s="554"/>
      <c r="U20" s="190"/>
      <c r="V20" s="190"/>
      <c r="W20" s="187"/>
      <c r="X20" s="184"/>
      <c r="Y20" s="554"/>
      <c r="Z20" s="190"/>
      <c r="AA20" s="190"/>
      <c r="AB20" s="187"/>
      <c r="AC20" s="184"/>
      <c r="AD20" s="554"/>
      <c r="AE20" s="190"/>
      <c r="AF20" s="190"/>
      <c r="AG20" s="187"/>
      <c r="AH20" s="184"/>
      <c r="AI20" s="554"/>
      <c r="AJ20" s="190"/>
      <c r="AK20" s="190"/>
      <c r="AL20" s="187"/>
      <c r="AM20" s="184"/>
      <c r="AN20" s="554"/>
      <c r="AO20" s="190"/>
      <c r="AP20" s="190"/>
      <c r="AQ20" s="187"/>
      <c r="AR20" s="184"/>
      <c r="AS20" s="554"/>
      <c r="AT20" s="190"/>
      <c r="AU20" s="190"/>
      <c r="AV20" s="187"/>
      <c r="AW20" s="184"/>
      <c r="AX20" s="554"/>
    </row>
    <row r="21" spans="2:50" ht="14.25" customHeight="1">
      <c r="B21" s="525"/>
      <c r="C21" s="182">
        <v>15</v>
      </c>
      <c r="D21" s="185"/>
      <c r="E21" s="182"/>
      <c r="F21" s="182"/>
      <c r="G21" s="187"/>
      <c r="H21" s="554"/>
      <c r="I21" s="188"/>
      <c r="J21" s="188"/>
      <c r="K21" s="189"/>
      <c r="L21" s="555"/>
      <c r="M21" s="188"/>
      <c r="N21" s="525"/>
      <c r="O21" s="525"/>
      <c r="P21" s="190"/>
      <c r="Q21" s="190"/>
      <c r="R21" s="187"/>
      <c r="S21" s="184"/>
      <c r="T21" s="554"/>
      <c r="U21" s="190"/>
      <c r="V21" s="190"/>
      <c r="W21" s="187"/>
      <c r="X21" s="184"/>
      <c r="Y21" s="554"/>
      <c r="Z21" s="190"/>
      <c r="AA21" s="190"/>
      <c r="AB21" s="187"/>
      <c r="AC21" s="184"/>
      <c r="AD21" s="554"/>
      <c r="AE21" s="190"/>
      <c r="AF21" s="190"/>
      <c r="AG21" s="187"/>
      <c r="AH21" s="184"/>
      <c r="AI21" s="554"/>
      <c r="AJ21" s="190"/>
      <c r="AK21" s="190"/>
      <c r="AL21" s="187"/>
      <c r="AM21" s="184"/>
      <c r="AN21" s="554"/>
      <c r="AO21" s="190"/>
      <c r="AP21" s="190"/>
      <c r="AQ21" s="187"/>
      <c r="AR21" s="184"/>
      <c r="AS21" s="554"/>
      <c r="AT21" s="190"/>
      <c r="AU21" s="190"/>
      <c r="AV21" s="187"/>
      <c r="AW21" s="184"/>
      <c r="AX21" s="554"/>
    </row>
    <row r="22" spans="2:50" ht="14.25" customHeight="1">
      <c r="B22" s="552" t="s">
        <v>645</v>
      </c>
      <c r="C22" s="535"/>
      <c r="D22" s="535"/>
      <c r="E22" s="535"/>
      <c r="F22" s="535"/>
      <c r="G22" s="535"/>
      <c r="H22" s="535"/>
      <c r="I22" s="535"/>
      <c r="J22" s="535"/>
      <c r="K22" s="535"/>
      <c r="L22" s="535"/>
      <c r="M22" s="536"/>
      <c r="N22" s="564" t="s">
        <v>378</v>
      </c>
      <c r="O22" s="564" t="s">
        <v>105</v>
      </c>
      <c r="P22" s="566">
        <v>46084</v>
      </c>
      <c r="Q22" s="567"/>
      <c r="R22" s="567"/>
      <c r="S22" s="567"/>
      <c r="T22" s="567"/>
      <c r="U22" s="568">
        <v>46085</v>
      </c>
      <c r="V22" s="569"/>
      <c r="W22" s="569"/>
      <c r="X22" s="569"/>
      <c r="Y22" s="569"/>
      <c r="Z22" s="566">
        <v>46086</v>
      </c>
      <c r="AA22" s="567"/>
      <c r="AB22" s="567"/>
      <c r="AC22" s="567"/>
      <c r="AD22" s="567"/>
      <c r="AE22" s="568">
        <v>46087</v>
      </c>
      <c r="AF22" s="569"/>
      <c r="AG22" s="569"/>
      <c r="AH22" s="569"/>
      <c r="AI22" s="569"/>
      <c r="AJ22" s="556">
        <v>46088</v>
      </c>
      <c r="AK22" s="557"/>
      <c r="AL22" s="557"/>
      <c r="AM22" s="557"/>
      <c r="AN22" s="558"/>
      <c r="AO22" s="568">
        <v>46089</v>
      </c>
      <c r="AP22" s="569"/>
      <c r="AQ22" s="569"/>
      <c r="AR22" s="569"/>
      <c r="AS22" s="569"/>
      <c r="AT22" s="556">
        <v>46090</v>
      </c>
      <c r="AU22" s="557"/>
      <c r="AV22" s="557"/>
      <c r="AW22" s="557"/>
      <c r="AX22" s="558"/>
    </row>
    <row r="23" spans="2:50" ht="14.25" customHeight="1">
      <c r="B23" s="537"/>
      <c r="C23" s="537"/>
      <c r="D23" s="537"/>
      <c r="E23" s="537"/>
      <c r="F23" s="537"/>
      <c r="G23" s="537"/>
      <c r="H23" s="537"/>
      <c r="I23" s="537"/>
      <c r="J23" s="537"/>
      <c r="K23" s="537"/>
      <c r="L23" s="537"/>
      <c r="M23" s="538"/>
      <c r="N23" s="565"/>
      <c r="O23" s="565"/>
      <c r="P23" s="559">
        <v>46084</v>
      </c>
      <c r="Q23" s="559"/>
      <c r="R23" s="559"/>
      <c r="S23" s="559"/>
      <c r="T23" s="559"/>
      <c r="U23" s="560">
        <v>46085</v>
      </c>
      <c r="V23" s="560"/>
      <c r="W23" s="560"/>
      <c r="X23" s="560"/>
      <c r="Y23" s="560"/>
      <c r="Z23" s="559">
        <v>46086</v>
      </c>
      <c r="AA23" s="559"/>
      <c r="AB23" s="559"/>
      <c r="AC23" s="559"/>
      <c r="AD23" s="559"/>
      <c r="AE23" s="560">
        <v>46087</v>
      </c>
      <c r="AF23" s="560"/>
      <c r="AG23" s="560"/>
      <c r="AH23" s="560"/>
      <c r="AI23" s="560"/>
      <c r="AJ23" s="561">
        <v>46088</v>
      </c>
      <c r="AK23" s="562"/>
      <c r="AL23" s="562"/>
      <c r="AM23" s="562"/>
      <c r="AN23" s="563"/>
      <c r="AO23" s="560">
        <v>46089</v>
      </c>
      <c r="AP23" s="560"/>
      <c r="AQ23" s="560"/>
      <c r="AR23" s="560"/>
      <c r="AS23" s="560"/>
      <c r="AT23" s="561">
        <v>46090</v>
      </c>
      <c r="AU23" s="562"/>
      <c r="AV23" s="562"/>
      <c r="AW23" s="562"/>
      <c r="AX23" s="563"/>
    </row>
    <row r="24" spans="2:50" ht="14.25" customHeight="1">
      <c r="B24" s="525" t="s">
        <v>164</v>
      </c>
      <c r="C24" s="525" t="s">
        <v>159</v>
      </c>
      <c r="D24" s="525"/>
      <c r="E24" s="525" t="s">
        <v>160</v>
      </c>
      <c r="F24" s="525"/>
      <c r="G24" s="525"/>
      <c r="H24" s="525" t="s">
        <v>165</v>
      </c>
      <c r="I24" s="544" t="s">
        <v>379</v>
      </c>
      <c r="J24" s="544"/>
      <c r="K24" s="544"/>
      <c r="L24" s="544" t="s">
        <v>165</v>
      </c>
      <c r="M24" s="544" t="s">
        <v>167</v>
      </c>
      <c r="N24" s="525"/>
      <c r="O24" s="525" t="s">
        <v>166</v>
      </c>
      <c r="P24" s="525" t="s">
        <v>162</v>
      </c>
      <c r="Q24" s="525"/>
      <c r="R24" s="525"/>
      <c r="S24" s="525"/>
      <c r="T24" s="525" t="s">
        <v>165</v>
      </c>
      <c r="U24" s="525" t="s">
        <v>162</v>
      </c>
      <c r="V24" s="525"/>
      <c r="W24" s="525"/>
      <c r="X24" s="525"/>
      <c r="Y24" s="525" t="s">
        <v>165</v>
      </c>
      <c r="Z24" s="525" t="s">
        <v>162</v>
      </c>
      <c r="AA24" s="525"/>
      <c r="AB24" s="525"/>
      <c r="AC24" s="525"/>
      <c r="AD24" s="525" t="s">
        <v>165</v>
      </c>
      <c r="AE24" s="525" t="s">
        <v>162</v>
      </c>
      <c r="AF24" s="525"/>
      <c r="AG24" s="525"/>
      <c r="AH24" s="525"/>
      <c r="AI24" s="525" t="s">
        <v>165</v>
      </c>
      <c r="AJ24" s="525" t="s">
        <v>162</v>
      </c>
      <c r="AK24" s="525"/>
      <c r="AL24" s="525"/>
      <c r="AM24" s="525"/>
      <c r="AN24" s="525" t="s">
        <v>165</v>
      </c>
      <c r="AO24" s="525" t="s">
        <v>162</v>
      </c>
      <c r="AP24" s="525"/>
      <c r="AQ24" s="525"/>
      <c r="AR24" s="525"/>
      <c r="AS24" s="525" t="s">
        <v>165</v>
      </c>
      <c r="AT24" s="525" t="s">
        <v>162</v>
      </c>
      <c r="AU24" s="525"/>
      <c r="AV24" s="525"/>
      <c r="AW24" s="525"/>
      <c r="AX24" s="525" t="s">
        <v>165</v>
      </c>
    </row>
    <row r="25" spans="2:50" ht="14.25" customHeight="1">
      <c r="B25" s="525"/>
      <c r="C25" s="525"/>
      <c r="D25" s="525"/>
      <c r="E25" s="525" t="s">
        <v>380</v>
      </c>
      <c r="F25" s="525"/>
      <c r="G25" s="525"/>
      <c r="H25" s="525"/>
      <c r="I25" s="544" t="s">
        <v>380</v>
      </c>
      <c r="J25" s="544"/>
      <c r="K25" s="544"/>
      <c r="L25" s="544"/>
      <c r="M25" s="544"/>
      <c r="N25" s="525"/>
      <c r="O25" s="525"/>
      <c r="P25" s="525" t="s">
        <v>381</v>
      </c>
      <c r="Q25" s="525"/>
      <c r="R25" s="525"/>
      <c r="S25" s="525"/>
      <c r="T25" s="525"/>
      <c r="U25" s="525" t="s">
        <v>381</v>
      </c>
      <c r="V25" s="525"/>
      <c r="W25" s="525"/>
      <c r="X25" s="525"/>
      <c r="Y25" s="525"/>
      <c r="Z25" s="525" t="s">
        <v>381</v>
      </c>
      <c r="AA25" s="525"/>
      <c r="AB25" s="525"/>
      <c r="AC25" s="525"/>
      <c r="AD25" s="525"/>
      <c r="AE25" s="525" t="s">
        <v>381</v>
      </c>
      <c r="AF25" s="525"/>
      <c r="AG25" s="525"/>
      <c r="AH25" s="525"/>
      <c r="AI25" s="525"/>
      <c r="AJ25" s="525" t="s">
        <v>381</v>
      </c>
      <c r="AK25" s="525"/>
      <c r="AL25" s="525"/>
      <c r="AM25" s="525"/>
      <c r="AN25" s="525"/>
      <c r="AO25" s="525" t="s">
        <v>381</v>
      </c>
      <c r="AP25" s="525"/>
      <c r="AQ25" s="525"/>
      <c r="AR25" s="525"/>
      <c r="AS25" s="525"/>
      <c r="AT25" s="525" t="s">
        <v>381</v>
      </c>
      <c r="AU25" s="525"/>
      <c r="AV25" s="525"/>
      <c r="AW25" s="525"/>
      <c r="AX25" s="525"/>
    </row>
    <row r="26" spans="2:50" ht="14.25" customHeight="1">
      <c r="B26" s="525"/>
      <c r="C26" s="525"/>
      <c r="D26" s="525"/>
      <c r="E26" s="182" t="s">
        <v>161</v>
      </c>
      <c r="F26" s="182" t="s">
        <v>382</v>
      </c>
      <c r="G26" s="182" t="s">
        <v>163</v>
      </c>
      <c r="H26" s="525"/>
      <c r="I26" s="183" t="s">
        <v>161</v>
      </c>
      <c r="J26" s="183" t="s">
        <v>382</v>
      </c>
      <c r="K26" s="183" t="s">
        <v>163</v>
      </c>
      <c r="L26" s="544"/>
      <c r="M26" s="544"/>
      <c r="N26" s="525"/>
      <c r="O26" s="525"/>
      <c r="P26" s="182" t="s">
        <v>161</v>
      </c>
      <c r="Q26" s="182" t="s">
        <v>382</v>
      </c>
      <c r="R26" s="182" t="s">
        <v>163</v>
      </c>
      <c r="S26" s="184" t="s">
        <v>167</v>
      </c>
      <c r="T26" s="525"/>
      <c r="U26" s="182" t="s">
        <v>161</v>
      </c>
      <c r="V26" s="182" t="s">
        <v>382</v>
      </c>
      <c r="W26" s="182" t="s">
        <v>163</v>
      </c>
      <c r="X26" s="184" t="s">
        <v>167</v>
      </c>
      <c r="Y26" s="525"/>
      <c r="Z26" s="182" t="s">
        <v>161</v>
      </c>
      <c r="AA26" s="182" t="s">
        <v>382</v>
      </c>
      <c r="AB26" s="182" t="s">
        <v>163</v>
      </c>
      <c r="AC26" s="184" t="s">
        <v>167</v>
      </c>
      <c r="AD26" s="525"/>
      <c r="AE26" s="182" t="s">
        <v>161</v>
      </c>
      <c r="AF26" s="182" t="s">
        <v>382</v>
      </c>
      <c r="AG26" s="182" t="s">
        <v>163</v>
      </c>
      <c r="AH26" s="184" t="s">
        <v>167</v>
      </c>
      <c r="AI26" s="525"/>
      <c r="AJ26" s="182" t="s">
        <v>161</v>
      </c>
      <c r="AK26" s="182" t="s">
        <v>382</v>
      </c>
      <c r="AL26" s="182" t="s">
        <v>163</v>
      </c>
      <c r="AM26" s="184" t="s">
        <v>167</v>
      </c>
      <c r="AN26" s="525"/>
      <c r="AO26" s="182" t="s">
        <v>161</v>
      </c>
      <c r="AP26" s="182" t="s">
        <v>382</v>
      </c>
      <c r="AQ26" s="182" t="s">
        <v>163</v>
      </c>
      <c r="AR26" s="184" t="s">
        <v>167</v>
      </c>
      <c r="AS26" s="525"/>
      <c r="AT26" s="182" t="s">
        <v>161</v>
      </c>
      <c r="AU26" s="182" t="s">
        <v>382</v>
      </c>
      <c r="AV26" s="182" t="s">
        <v>163</v>
      </c>
      <c r="AW26" s="184" t="s">
        <v>167</v>
      </c>
      <c r="AX26" s="525"/>
    </row>
    <row r="27" spans="2:50" ht="14.25" customHeight="1">
      <c r="B27" s="525" t="s">
        <v>138</v>
      </c>
      <c r="C27" s="182">
        <v>1</v>
      </c>
      <c r="D27" s="185" t="s">
        <v>361</v>
      </c>
      <c r="E27" s="182">
        <v>21</v>
      </c>
      <c r="F27" s="182">
        <v>2000</v>
      </c>
      <c r="G27" s="187">
        <f t="shared" ref="G27:G34" si="26">F27/E27</f>
        <v>95.238095238095241</v>
      </c>
      <c r="H27" s="554">
        <f>AVERAGE(G27:G41)</f>
        <v>88.340862036514196</v>
      </c>
      <c r="I27" s="188">
        <f>AVERAGE(P27,U27,Z27,AE27,AJ27,AO27,AT27)</f>
        <v>22</v>
      </c>
      <c r="J27" s="188">
        <f>AVERAGE(Q27,V27,AA27,AF27,AK27,AP27,AU27)</f>
        <v>1783.0670487844661</v>
      </c>
      <c r="K27" s="189">
        <f>AVERAGE(R27,W27,AB27,AG27,AL27,AQ27,AV27)</f>
        <v>81.048502217475729</v>
      </c>
      <c r="L27" s="555">
        <f>IFERROR(AVERAGE(K27:K41),"-")</f>
        <v>76.642721185599854</v>
      </c>
      <c r="M27" s="188">
        <f>RANK(K27, K$27:$K$41)</f>
        <v>3</v>
      </c>
      <c r="N27" s="525"/>
      <c r="O27" s="525"/>
      <c r="P27" s="190">
        <v>22</v>
      </c>
      <c r="Q27" s="190">
        <v>1782.6106492922945</v>
      </c>
      <c r="R27" s="187">
        <f>IFERROR(Q27/P27,"")</f>
        <v>81.027756786013384</v>
      </c>
      <c r="S27" s="184">
        <f>RANK(R27, R$27:R$41)</f>
        <v>3</v>
      </c>
      <c r="T27" s="554">
        <f>AVERAGE(R27:R41)</f>
        <v>76.250340186847524</v>
      </c>
      <c r="U27" s="190">
        <v>22</v>
      </c>
      <c r="V27" s="190">
        <v>1782.9735629396077</v>
      </c>
      <c r="W27" s="187">
        <f t="shared" ref="W27:W34" si="27">IFERROR(V27/U27,"")</f>
        <v>81.044252860891262</v>
      </c>
      <c r="X27" s="184">
        <f>RANK(W27, W$27:W$41)</f>
        <v>3</v>
      </c>
      <c r="Y27" s="554">
        <f>AVERAGE(W27:W41)</f>
        <v>76.251307517619296</v>
      </c>
      <c r="Z27" s="190">
        <v>22</v>
      </c>
      <c r="AA27" s="190">
        <v>1783.3424060968962</v>
      </c>
      <c r="AB27" s="187">
        <f t="shared" ref="AB27:AB34" si="28">IFERROR(AA27/Z27,"")</f>
        <v>81.061018458949832</v>
      </c>
      <c r="AC27" s="184">
        <f>RANK(AB27, AB$27:AB$41)</f>
        <v>3</v>
      </c>
      <c r="AD27" s="554">
        <f>AVERAGE(AB27:AB41)</f>
        <v>76.796916215304577</v>
      </c>
      <c r="AE27" s="190">
        <v>22</v>
      </c>
      <c r="AF27" s="190">
        <v>1783.2817337461308</v>
      </c>
      <c r="AG27" s="187">
        <f>IFERROR(AF27/AE27,"")</f>
        <v>81.058260624824129</v>
      </c>
      <c r="AH27" s="184">
        <f>RANK(AG27, AG$27:AG$41)</f>
        <v>3</v>
      </c>
      <c r="AI27" s="554">
        <f>AVERAGE(AG27:AG41)</f>
        <v>76.794838228996781</v>
      </c>
      <c r="AJ27" s="190">
        <v>22</v>
      </c>
      <c r="AK27" s="190">
        <v>1783.1868131868134</v>
      </c>
      <c r="AL27" s="187">
        <f t="shared" ref="AL27:AL34" si="29">IFERROR(AK27/AJ27,"")</f>
        <v>81.053946053946063</v>
      </c>
      <c r="AM27" s="184">
        <f>RANK(AL27, AL$27:AL$41)</f>
        <v>3</v>
      </c>
      <c r="AN27" s="554">
        <f>AVERAGE(AL27:AL41)</f>
        <v>76.800742287396133</v>
      </c>
      <c r="AO27" s="190">
        <v>22</v>
      </c>
      <c r="AP27" s="190">
        <v>1782.8889404127051</v>
      </c>
      <c r="AQ27" s="187">
        <f t="shared" ref="AQ27:AQ34" si="30">IFERROR(AP27/AO27,"")</f>
        <v>81.040406382395688</v>
      </c>
      <c r="AR27" s="184">
        <f>RANK(AQ27, AQ$27:AQ$41)</f>
        <v>3</v>
      </c>
      <c r="AS27" s="554">
        <f>AVERAGE(AQ27:AQ41)</f>
        <v>76.800937135504128</v>
      </c>
      <c r="AT27" s="190">
        <v>22</v>
      </c>
      <c r="AU27" s="190">
        <v>1783.1852358168146</v>
      </c>
      <c r="AV27" s="187">
        <f t="shared" ref="AV27:AV34" si="31">IFERROR(AU27/AT27,"")</f>
        <v>81.053874355309759</v>
      </c>
      <c r="AW27" s="184">
        <f>RANK(AV27, AV$27:AV$41)</f>
        <v>3</v>
      </c>
      <c r="AX27" s="554">
        <f>AVERAGE(AV27:AV41)</f>
        <v>76.803966727530621</v>
      </c>
    </row>
    <row r="28" spans="2:50" ht="14.25" customHeight="1">
      <c r="B28" s="525"/>
      <c r="C28" s="182">
        <v>2</v>
      </c>
      <c r="D28" s="185" t="s">
        <v>362</v>
      </c>
      <c r="E28" s="182">
        <v>25</v>
      </c>
      <c r="F28" s="182">
        <v>2000</v>
      </c>
      <c r="G28" s="187">
        <f t="shared" si="26"/>
        <v>80</v>
      </c>
      <c r="H28" s="554"/>
      <c r="I28" s="188">
        <f t="shared" ref="I28:K34" si="32">AVERAGE(P28,U28,Z28,AE28,AJ28,AO28,AT28)</f>
        <v>26</v>
      </c>
      <c r="J28" s="188">
        <f t="shared" si="32"/>
        <v>1783.8554768179031</v>
      </c>
      <c r="K28" s="189">
        <f t="shared" si="32"/>
        <v>68.6098260314578</v>
      </c>
      <c r="L28" s="555"/>
      <c r="M28" s="188">
        <f>RANK(K28, K$27:$K$41)</f>
        <v>8</v>
      </c>
      <c r="N28" s="525"/>
      <c r="O28" s="525"/>
      <c r="P28" s="190">
        <v>26</v>
      </c>
      <c r="Q28" s="190">
        <v>1783.6627364492324</v>
      </c>
      <c r="R28" s="187">
        <f t="shared" ref="R28:R34" si="33">IFERROR(Q28/P28,"")</f>
        <v>68.602412940355094</v>
      </c>
      <c r="S28" s="184">
        <f t="shared" ref="S28:S34" si="34">RANK(R28, R$27:R$41)</f>
        <v>8</v>
      </c>
      <c r="T28" s="554"/>
      <c r="U28" s="190">
        <v>26</v>
      </c>
      <c r="V28" s="190">
        <v>1783.6825141015311</v>
      </c>
      <c r="W28" s="187">
        <f t="shared" si="27"/>
        <v>68.603173619289663</v>
      </c>
      <c r="X28" s="184">
        <f t="shared" ref="X28:X34" si="35">RANK(W28, W$27:W$41)</f>
        <v>8</v>
      </c>
      <c r="Y28" s="554"/>
      <c r="Z28" s="190">
        <v>26</v>
      </c>
      <c r="AA28" s="190">
        <v>1783.9762611275964</v>
      </c>
      <c r="AB28" s="187">
        <f t="shared" si="28"/>
        <v>68.614471581830628</v>
      </c>
      <c r="AC28" s="184">
        <f t="shared" ref="AC28:AC34" si="36">RANK(AB28, AB$27:AB$41)</f>
        <v>8</v>
      </c>
      <c r="AD28" s="554"/>
      <c r="AE28" s="190">
        <v>26</v>
      </c>
      <c r="AF28" s="190">
        <v>1783.98249452954</v>
      </c>
      <c r="AG28" s="187">
        <f t="shared" ref="AG28:AG34" si="37">IFERROR(AF28/AE28,"")</f>
        <v>68.614711328059229</v>
      </c>
      <c r="AH28" s="184">
        <f t="shared" ref="AH28:AH34" si="38">RANK(AG28, AG$27:AG$41)</f>
        <v>8</v>
      </c>
      <c r="AI28" s="554"/>
      <c r="AJ28" s="190">
        <v>26</v>
      </c>
      <c r="AK28" s="190">
        <v>1783.91356542617</v>
      </c>
      <c r="AL28" s="187">
        <f t="shared" si="29"/>
        <v>68.61206020869885</v>
      </c>
      <c r="AM28" s="184">
        <f t="shared" ref="AM28:AM34" si="39">RANK(AL28, AL$27:AL$41)</f>
        <v>8</v>
      </c>
      <c r="AN28" s="554"/>
      <c r="AO28" s="190">
        <v>26</v>
      </c>
      <c r="AP28" s="190">
        <v>1783.9098328799064</v>
      </c>
      <c r="AQ28" s="187">
        <f t="shared" si="30"/>
        <v>68.611916649227169</v>
      </c>
      <c r="AR28" s="184">
        <f t="shared" ref="AR28:AR34" si="40">RANK(AQ28, AQ$27:AQ$41)</f>
        <v>8</v>
      </c>
      <c r="AS28" s="554"/>
      <c r="AT28" s="190">
        <v>26</v>
      </c>
      <c r="AU28" s="190">
        <v>1783.8609332113444</v>
      </c>
      <c r="AV28" s="187">
        <f t="shared" si="31"/>
        <v>68.610035892744023</v>
      </c>
      <c r="AW28" s="184">
        <f t="shared" ref="AW28:AW34" si="41">RANK(AV28, AV$27:AV$41)</f>
        <v>8</v>
      </c>
      <c r="AX28" s="554"/>
    </row>
    <row r="29" spans="2:50" ht="14.25" customHeight="1">
      <c r="B29" s="525"/>
      <c r="C29" s="182">
        <v>3</v>
      </c>
      <c r="D29" s="185" t="s">
        <v>363</v>
      </c>
      <c r="E29" s="182">
        <v>23</v>
      </c>
      <c r="F29" s="182">
        <v>2000</v>
      </c>
      <c r="G29" s="187">
        <f t="shared" si="26"/>
        <v>86.956521739130437</v>
      </c>
      <c r="H29" s="554"/>
      <c r="I29" s="188">
        <f t="shared" si="32"/>
        <v>24</v>
      </c>
      <c r="J29" s="188">
        <f t="shared" si="32"/>
        <v>1782.012160607881</v>
      </c>
      <c r="K29" s="189">
        <f t="shared" si="32"/>
        <v>74.250506691995028</v>
      </c>
      <c r="L29" s="555"/>
      <c r="M29" s="188">
        <f>RANK(K29, K$27:$K$41)</f>
        <v>6</v>
      </c>
      <c r="N29" s="525"/>
      <c r="O29" s="525"/>
      <c r="P29" s="190">
        <v>24</v>
      </c>
      <c r="Q29" s="190">
        <v>1781.9999999999998</v>
      </c>
      <c r="R29" s="187">
        <f t="shared" si="33"/>
        <v>74.249999999999986</v>
      </c>
      <c r="S29" s="184">
        <f t="shared" si="34"/>
        <v>6</v>
      </c>
      <c r="T29" s="554"/>
      <c r="U29" s="190">
        <v>24</v>
      </c>
      <c r="V29" s="190">
        <v>1781.9140919366987</v>
      </c>
      <c r="W29" s="187">
        <f t="shared" si="27"/>
        <v>74.24642049736245</v>
      </c>
      <c r="X29" s="184">
        <f t="shared" si="35"/>
        <v>6</v>
      </c>
      <c r="Y29" s="554"/>
      <c r="Z29" s="190">
        <v>24</v>
      </c>
      <c r="AA29" s="190">
        <v>1781.83368869936</v>
      </c>
      <c r="AB29" s="187">
        <f t="shared" si="28"/>
        <v>74.243070362473333</v>
      </c>
      <c r="AC29" s="184">
        <f t="shared" si="36"/>
        <v>6</v>
      </c>
      <c r="AD29" s="554"/>
      <c r="AE29" s="190">
        <v>24</v>
      </c>
      <c r="AF29" s="190">
        <v>1781.8791946308711</v>
      </c>
      <c r="AG29" s="187">
        <f t="shared" si="37"/>
        <v>74.244966442952958</v>
      </c>
      <c r="AH29" s="184">
        <f t="shared" si="38"/>
        <v>6</v>
      </c>
      <c r="AI29" s="554"/>
      <c r="AJ29" s="190">
        <v>24</v>
      </c>
      <c r="AK29" s="190">
        <v>1782.1132825438895</v>
      </c>
      <c r="AL29" s="187">
        <f t="shared" si="29"/>
        <v>74.254720105995389</v>
      </c>
      <c r="AM29" s="184">
        <f t="shared" si="39"/>
        <v>6</v>
      </c>
      <c r="AN29" s="554"/>
      <c r="AO29" s="190">
        <v>24</v>
      </c>
      <c r="AP29" s="190">
        <v>1782.2033898305083</v>
      </c>
      <c r="AQ29" s="187">
        <f t="shared" si="30"/>
        <v>74.258474576271183</v>
      </c>
      <c r="AR29" s="184">
        <f t="shared" si="40"/>
        <v>6</v>
      </c>
      <c r="AS29" s="554"/>
      <c r="AT29" s="190">
        <v>24</v>
      </c>
      <c r="AU29" s="190">
        <v>1782.1414766138384</v>
      </c>
      <c r="AV29" s="187">
        <f t="shared" si="31"/>
        <v>74.25589485890994</v>
      </c>
      <c r="AW29" s="184">
        <f t="shared" si="41"/>
        <v>6</v>
      </c>
      <c r="AX29" s="554"/>
    </row>
    <row r="30" spans="2:50" ht="14.25" customHeight="1">
      <c r="B30" s="525"/>
      <c r="C30" s="182">
        <v>4</v>
      </c>
      <c r="D30" s="185" t="s">
        <v>364</v>
      </c>
      <c r="E30" s="182">
        <v>24</v>
      </c>
      <c r="F30" s="182">
        <v>2000</v>
      </c>
      <c r="G30" s="187">
        <f t="shared" si="26"/>
        <v>83.333333333333329</v>
      </c>
      <c r="H30" s="554"/>
      <c r="I30" s="188">
        <f t="shared" si="32"/>
        <v>25</v>
      </c>
      <c r="J30" s="188">
        <f t="shared" si="32"/>
        <v>1785.1416155732684</v>
      </c>
      <c r="K30" s="189">
        <f t="shared" si="32"/>
        <v>71.405664622930743</v>
      </c>
      <c r="L30" s="555"/>
      <c r="M30" s="188">
        <f>RANK(K30, K$27:$K$41)</f>
        <v>7</v>
      </c>
      <c r="N30" s="525"/>
      <c r="O30" s="525"/>
      <c r="P30" s="190">
        <v>25</v>
      </c>
      <c r="Q30" s="190">
        <v>1785.1603053435106</v>
      </c>
      <c r="R30" s="187">
        <f t="shared" si="33"/>
        <v>71.406412213740424</v>
      </c>
      <c r="S30" s="184">
        <f t="shared" si="34"/>
        <v>7</v>
      </c>
      <c r="T30" s="554"/>
      <c r="U30" s="190">
        <v>25</v>
      </c>
      <c r="V30" s="190">
        <v>1785.114854517609</v>
      </c>
      <c r="W30" s="187">
        <f t="shared" si="27"/>
        <v>71.404594180704365</v>
      </c>
      <c r="X30" s="184">
        <f t="shared" si="35"/>
        <v>7</v>
      </c>
      <c r="Y30" s="554"/>
      <c r="Z30" s="190">
        <v>25</v>
      </c>
      <c r="AA30" s="190">
        <v>1785.0595452905088</v>
      </c>
      <c r="AB30" s="187">
        <f t="shared" si="28"/>
        <v>71.402381811620359</v>
      </c>
      <c r="AC30" s="184">
        <f t="shared" si="36"/>
        <v>7</v>
      </c>
      <c r="AD30" s="554"/>
      <c r="AE30" s="190">
        <v>25</v>
      </c>
      <c r="AF30" s="190">
        <v>1784.9214659685867</v>
      </c>
      <c r="AG30" s="187">
        <f t="shared" si="37"/>
        <v>71.396858638743467</v>
      </c>
      <c r="AH30" s="184">
        <f t="shared" si="38"/>
        <v>7</v>
      </c>
      <c r="AI30" s="554"/>
      <c r="AJ30" s="190">
        <v>25</v>
      </c>
      <c r="AK30" s="190">
        <v>1785.1362510322074</v>
      </c>
      <c r="AL30" s="187">
        <f t="shared" si="29"/>
        <v>71.40545004128829</v>
      </c>
      <c r="AM30" s="184">
        <f t="shared" si="39"/>
        <v>7</v>
      </c>
      <c r="AN30" s="554"/>
      <c r="AO30" s="190">
        <v>25</v>
      </c>
      <c r="AP30" s="190">
        <v>1785.2861035422343</v>
      </c>
      <c r="AQ30" s="187">
        <f t="shared" si="30"/>
        <v>71.411444141689373</v>
      </c>
      <c r="AR30" s="184">
        <f t="shared" si="40"/>
        <v>7</v>
      </c>
      <c r="AS30" s="554"/>
      <c r="AT30" s="190">
        <v>25</v>
      </c>
      <c r="AU30" s="190">
        <v>1785.3127833182232</v>
      </c>
      <c r="AV30" s="187">
        <f t="shared" si="31"/>
        <v>71.412511332728926</v>
      </c>
      <c r="AW30" s="184">
        <f t="shared" si="41"/>
        <v>7</v>
      </c>
      <c r="AX30" s="554"/>
    </row>
    <row r="31" spans="2:50" ht="14.25" customHeight="1">
      <c r="B31" s="525"/>
      <c r="C31" s="182">
        <v>5</v>
      </c>
      <c r="D31" s="185" t="s">
        <v>360</v>
      </c>
      <c r="E31" s="182">
        <v>24</v>
      </c>
      <c r="F31" s="182">
        <v>2000</v>
      </c>
      <c r="G31" s="187">
        <f t="shared" si="26"/>
        <v>83.333333333333329</v>
      </c>
      <c r="H31" s="554"/>
      <c r="I31" s="188">
        <f t="shared" si="32"/>
        <v>24</v>
      </c>
      <c r="J31" s="188">
        <f t="shared" si="32"/>
        <v>1785.1305013372028</v>
      </c>
      <c r="K31" s="189">
        <f t="shared" si="32"/>
        <v>74.380437555716782</v>
      </c>
      <c r="L31" s="555"/>
      <c r="M31" s="188">
        <f>RANK(K31, K$27:$K$41)</f>
        <v>4</v>
      </c>
      <c r="N31" s="525"/>
      <c r="O31" s="525"/>
      <c r="P31" s="190">
        <v>24</v>
      </c>
      <c r="Q31" s="190">
        <v>1784.8623853211</v>
      </c>
      <c r="R31" s="187">
        <f t="shared" si="33"/>
        <v>74.369266055045827</v>
      </c>
      <c r="S31" s="184">
        <f t="shared" si="34"/>
        <v>4</v>
      </c>
      <c r="T31" s="554"/>
      <c r="U31" s="190">
        <v>24</v>
      </c>
      <c r="V31" s="190">
        <v>1784.7780126849898</v>
      </c>
      <c r="W31" s="187">
        <f t="shared" si="27"/>
        <v>74.365750528541241</v>
      </c>
      <c r="X31" s="184">
        <f t="shared" si="35"/>
        <v>4</v>
      </c>
      <c r="Y31" s="554"/>
      <c r="Z31" s="190">
        <v>24</v>
      </c>
      <c r="AA31" s="190">
        <v>1785.0370703212766</v>
      </c>
      <c r="AB31" s="187">
        <f t="shared" si="28"/>
        <v>74.376544596719853</v>
      </c>
      <c r="AC31" s="184">
        <f t="shared" si="36"/>
        <v>4</v>
      </c>
      <c r="AD31" s="554"/>
      <c r="AE31" s="190">
        <v>24</v>
      </c>
      <c r="AF31" s="190">
        <v>1784.8633496846521</v>
      </c>
      <c r="AG31" s="187">
        <f t="shared" si="37"/>
        <v>74.36930623686051</v>
      </c>
      <c r="AH31" s="184">
        <f t="shared" si="38"/>
        <v>4</v>
      </c>
      <c r="AI31" s="554"/>
      <c r="AJ31" s="190">
        <v>24</v>
      </c>
      <c r="AK31" s="190">
        <v>1785.2950075642955</v>
      </c>
      <c r="AL31" s="187">
        <f t="shared" si="29"/>
        <v>74.38729198184565</v>
      </c>
      <c r="AM31" s="184">
        <f t="shared" si="39"/>
        <v>4</v>
      </c>
      <c r="AN31" s="554"/>
      <c r="AO31" s="190">
        <v>24</v>
      </c>
      <c r="AP31" s="190">
        <v>1785.3896103896104</v>
      </c>
      <c r="AQ31" s="187">
        <f t="shared" si="30"/>
        <v>74.391233766233768</v>
      </c>
      <c r="AR31" s="184">
        <f t="shared" si="40"/>
        <v>4</v>
      </c>
      <c r="AS31" s="554"/>
      <c r="AT31" s="190">
        <v>24</v>
      </c>
      <c r="AU31" s="190">
        <v>1785.6880733944956</v>
      </c>
      <c r="AV31" s="187">
        <f t="shared" si="31"/>
        <v>74.403669724770651</v>
      </c>
      <c r="AW31" s="184">
        <f t="shared" si="41"/>
        <v>4</v>
      </c>
      <c r="AX31" s="554"/>
    </row>
    <row r="32" spans="2:50" ht="14.25" customHeight="1">
      <c r="B32" s="525"/>
      <c r="C32" s="182">
        <v>6</v>
      </c>
      <c r="D32" s="185" t="s">
        <v>472</v>
      </c>
      <c r="E32" s="182">
        <v>23</v>
      </c>
      <c r="F32" s="182">
        <v>2000</v>
      </c>
      <c r="G32" s="187">
        <f t="shared" si="26"/>
        <v>86.956521739130437</v>
      </c>
      <c r="H32" s="554"/>
      <c r="I32" s="188">
        <f t="shared" si="32"/>
        <v>24</v>
      </c>
      <c r="J32" s="188">
        <f t="shared" si="32"/>
        <v>1783.0739687201949</v>
      </c>
      <c r="K32" s="189">
        <f t="shared" si="32"/>
        <v>74.294748696674787</v>
      </c>
      <c r="L32" s="555"/>
      <c r="M32" s="188">
        <f>RANK(K32, K$27:$K$41)</f>
        <v>5</v>
      </c>
      <c r="N32" s="525"/>
      <c r="O32" s="525"/>
      <c r="P32" s="190">
        <v>24</v>
      </c>
      <c r="Q32" s="190">
        <v>1782.5145711906735</v>
      </c>
      <c r="R32" s="187">
        <f t="shared" si="33"/>
        <v>74.271440466278065</v>
      </c>
      <c r="S32" s="184">
        <f t="shared" si="34"/>
        <v>5</v>
      </c>
      <c r="T32" s="554"/>
      <c r="U32" s="190">
        <v>24</v>
      </c>
      <c r="V32" s="190">
        <v>1782.4824075460385</v>
      </c>
      <c r="W32" s="187">
        <f t="shared" si="27"/>
        <v>74.270100314418272</v>
      </c>
      <c r="X32" s="184">
        <f t="shared" si="35"/>
        <v>5</v>
      </c>
      <c r="Y32" s="554"/>
      <c r="Z32" s="190">
        <v>24</v>
      </c>
      <c r="AA32" s="190">
        <v>1783.0016863406411</v>
      </c>
      <c r="AB32" s="187">
        <f t="shared" si="28"/>
        <v>74.29173693086004</v>
      </c>
      <c r="AC32" s="184">
        <f t="shared" si="36"/>
        <v>5</v>
      </c>
      <c r="AD32" s="554"/>
      <c r="AE32" s="190">
        <v>24</v>
      </c>
      <c r="AF32" s="190">
        <v>1783.3480176211451</v>
      </c>
      <c r="AG32" s="187">
        <f t="shared" si="37"/>
        <v>74.306167400881051</v>
      </c>
      <c r="AH32" s="184">
        <f t="shared" si="38"/>
        <v>5</v>
      </c>
      <c r="AI32" s="554"/>
      <c r="AJ32" s="190">
        <v>24</v>
      </c>
      <c r="AK32" s="190">
        <v>1783.4050399508296</v>
      </c>
      <c r="AL32" s="187">
        <f t="shared" si="29"/>
        <v>74.308543331284568</v>
      </c>
      <c r="AM32" s="184">
        <f t="shared" si="39"/>
        <v>5</v>
      </c>
      <c r="AN32" s="554"/>
      <c r="AO32" s="190">
        <v>24</v>
      </c>
      <c r="AP32" s="190">
        <v>1783.4462729912884</v>
      </c>
      <c r="AQ32" s="187">
        <f t="shared" si="30"/>
        <v>74.310261374637022</v>
      </c>
      <c r="AR32" s="184">
        <f t="shared" si="40"/>
        <v>5</v>
      </c>
      <c r="AS32" s="554"/>
      <c r="AT32" s="190">
        <v>24</v>
      </c>
      <c r="AU32" s="190">
        <v>1783.3197854007481</v>
      </c>
      <c r="AV32" s="187">
        <f t="shared" si="31"/>
        <v>74.304991058364507</v>
      </c>
      <c r="AW32" s="184">
        <f t="shared" si="41"/>
        <v>5</v>
      </c>
      <c r="AX32" s="554"/>
    </row>
    <row r="33" spans="2:50" ht="14.25" customHeight="1">
      <c r="B33" s="525"/>
      <c r="C33" s="182">
        <v>7</v>
      </c>
      <c r="D33" s="185" t="s">
        <v>476</v>
      </c>
      <c r="E33" s="182">
        <v>22</v>
      </c>
      <c r="F33" s="182">
        <v>2000</v>
      </c>
      <c r="G33" s="187">
        <f t="shared" si="26"/>
        <v>90.909090909090907</v>
      </c>
      <c r="H33" s="554"/>
      <c r="I33" s="188">
        <f t="shared" si="32"/>
        <v>22</v>
      </c>
      <c r="J33" s="188">
        <f t="shared" si="32"/>
        <v>1784.6364090540408</v>
      </c>
      <c r="K33" s="189">
        <f t="shared" si="32"/>
        <v>81.119836775183686</v>
      </c>
      <c r="L33" s="555"/>
      <c r="M33" s="188">
        <f>RANK(K33, K$27:$K$41)</f>
        <v>2</v>
      </c>
      <c r="N33" s="525"/>
      <c r="O33" s="525"/>
      <c r="P33" s="190">
        <v>22</v>
      </c>
      <c r="Q33" s="190">
        <v>1784.3014645384237</v>
      </c>
      <c r="R33" s="187">
        <f t="shared" si="33"/>
        <v>81.104612024473809</v>
      </c>
      <c r="S33" s="184">
        <f t="shared" si="34"/>
        <v>2</v>
      </c>
      <c r="T33" s="554"/>
      <c r="U33" s="190">
        <v>22</v>
      </c>
      <c r="V33" s="190">
        <v>1784.3589288881017</v>
      </c>
      <c r="W33" s="187">
        <f t="shared" si="27"/>
        <v>81.107224040368251</v>
      </c>
      <c r="X33" s="184">
        <f t="shared" si="35"/>
        <v>2</v>
      </c>
      <c r="Y33" s="554"/>
      <c r="Z33" s="190">
        <v>22</v>
      </c>
      <c r="AA33" s="190">
        <v>1784.5312499999991</v>
      </c>
      <c r="AB33" s="187">
        <f t="shared" si="28"/>
        <v>81.11505681818177</v>
      </c>
      <c r="AC33" s="184">
        <f t="shared" si="36"/>
        <v>2</v>
      </c>
      <c r="AD33" s="554"/>
      <c r="AE33" s="190">
        <v>22</v>
      </c>
      <c r="AF33" s="190">
        <v>1784.780157835402</v>
      </c>
      <c r="AG33" s="187">
        <f t="shared" si="37"/>
        <v>81.126370810700095</v>
      </c>
      <c r="AH33" s="184">
        <f t="shared" si="38"/>
        <v>2</v>
      </c>
      <c r="AI33" s="554"/>
      <c r="AJ33" s="190">
        <v>22</v>
      </c>
      <c r="AK33" s="190">
        <v>1784.8430722122987</v>
      </c>
      <c r="AL33" s="187">
        <f t="shared" si="29"/>
        <v>81.129230555104485</v>
      </c>
      <c r="AM33" s="184">
        <f t="shared" si="39"/>
        <v>2</v>
      </c>
      <c r="AN33" s="554"/>
      <c r="AO33" s="190">
        <v>22</v>
      </c>
      <c r="AP33" s="190">
        <v>1784.7842206732917</v>
      </c>
      <c r="AQ33" s="187">
        <f t="shared" si="30"/>
        <v>81.126555485149623</v>
      </c>
      <c r="AR33" s="184">
        <f t="shared" si="40"/>
        <v>2</v>
      </c>
      <c r="AS33" s="554"/>
      <c r="AT33" s="190">
        <v>22</v>
      </c>
      <c r="AU33" s="190">
        <v>1784.8557692307697</v>
      </c>
      <c r="AV33" s="187">
        <f t="shared" si="31"/>
        <v>81.129807692307722</v>
      </c>
      <c r="AW33" s="184">
        <f t="shared" si="41"/>
        <v>2</v>
      </c>
      <c r="AX33" s="554"/>
    </row>
    <row r="34" spans="2:50" ht="14.25" customHeight="1">
      <c r="B34" s="525"/>
      <c r="C34" s="182">
        <v>8</v>
      </c>
      <c r="D34" s="185" t="s">
        <v>480</v>
      </c>
      <c r="E34" s="182">
        <v>20</v>
      </c>
      <c r="F34" s="182">
        <v>2000</v>
      </c>
      <c r="G34" s="187">
        <f t="shared" si="26"/>
        <v>100</v>
      </c>
      <c r="H34" s="554"/>
      <c r="I34" s="188">
        <f t="shared" si="32"/>
        <v>20.285714285714285</v>
      </c>
      <c r="J34" s="188">
        <f t="shared" si="32"/>
        <v>1784.9220471684655</v>
      </c>
      <c r="K34" s="189">
        <f t="shared" si="32"/>
        <v>88.032246893364331</v>
      </c>
      <c r="L34" s="555"/>
      <c r="M34" s="188">
        <f>RANK(K34, K$27:$K$41)</f>
        <v>1</v>
      </c>
      <c r="N34" s="525"/>
      <c r="O34" s="525"/>
      <c r="P34" s="190">
        <v>21</v>
      </c>
      <c r="Q34" s="190">
        <v>1784.3872411863438</v>
      </c>
      <c r="R34" s="187">
        <f t="shared" si="33"/>
        <v>84.970821008873514</v>
      </c>
      <c r="S34" s="184">
        <f t="shared" si="34"/>
        <v>1</v>
      </c>
      <c r="T34" s="554"/>
      <c r="U34" s="190">
        <v>21</v>
      </c>
      <c r="V34" s="190">
        <v>1784.3478260869563</v>
      </c>
      <c r="W34" s="187">
        <f t="shared" si="27"/>
        <v>84.968944099378874</v>
      </c>
      <c r="X34" s="184">
        <f t="shared" si="35"/>
        <v>1</v>
      </c>
      <c r="Y34" s="554"/>
      <c r="Z34" s="190">
        <v>20</v>
      </c>
      <c r="AA34" s="190">
        <v>1785.420983236015</v>
      </c>
      <c r="AB34" s="187">
        <f t="shared" si="28"/>
        <v>89.271049161800747</v>
      </c>
      <c r="AC34" s="184">
        <f t="shared" si="36"/>
        <v>1</v>
      </c>
      <c r="AD34" s="554"/>
      <c r="AE34" s="190">
        <v>20</v>
      </c>
      <c r="AF34" s="190">
        <v>1784.8412869790548</v>
      </c>
      <c r="AG34" s="187">
        <f t="shared" si="37"/>
        <v>89.242064348952738</v>
      </c>
      <c r="AH34" s="184">
        <f t="shared" si="38"/>
        <v>1</v>
      </c>
      <c r="AI34" s="554"/>
      <c r="AJ34" s="190">
        <v>20</v>
      </c>
      <c r="AK34" s="190">
        <v>1785.0939204201159</v>
      </c>
      <c r="AL34" s="187">
        <f t="shared" si="29"/>
        <v>89.254696021005799</v>
      </c>
      <c r="AM34" s="184">
        <f t="shared" si="39"/>
        <v>1</v>
      </c>
      <c r="AN34" s="554"/>
      <c r="AO34" s="190">
        <v>20</v>
      </c>
      <c r="AP34" s="190">
        <v>1785.1440941685828</v>
      </c>
      <c r="AQ34" s="187">
        <f t="shared" si="30"/>
        <v>89.257204708429143</v>
      </c>
      <c r="AR34" s="184">
        <f t="shared" si="40"/>
        <v>1</v>
      </c>
      <c r="AS34" s="554"/>
      <c r="AT34" s="190">
        <v>20</v>
      </c>
      <c r="AU34" s="190">
        <v>1785.2189781021893</v>
      </c>
      <c r="AV34" s="187">
        <f t="shared" si="31"/>
        <v>89.260948905109473</v>
      </c>
      <c r="AW34" s="184">
        <f t="shared" si="41"/>
        <v>1</v>
      </c>
      <c r="AX34" s="554"/>
    </row>
    <row r="35" spans="2:50" ht="14.25" customHeight="1">
      <c r="B35" s="525"/>
      <c r="C35" s="182">
        <v>9</v>
      </c>
      <c r="D35" s="185"/>
      <c r="E35" s="182"/>
      <c r="F35" s="182"/>
      <c r="G35" s="187"/>
      <c r="H35" s="554"/>
      <c r="I35" s="188"/>
      <c r="J35" s="188"/>
      <c r="K35" s="189"/>
      <c r="L35" s="555"/>
      <c r="M35" s="188"/>
      <c r="N35" s="525"/>
      <c r="O35" s="525"/>
      <c r="P35" s="190"/>
      <c r="Q35" s="190"/>
      <c r="R35" s="187"/>
      <c r="S35" s="184"/>
      <c r="T35" s="554"/>
      <c r="U35" s="190"/>
      <c r="V35" s="190"/>
      <c r="W35" s="187"/>
      <c r="X35" s="184"/>
      <c r="Y35" s="554"/>
      <c r="Z35" s="190"/>
      <c r="AA35" s="190"/>
      <c r="AB35" s="187"/>
      <c r="AC35" s="184"/>
      <c r="AD35" s="554"/>
      <c r="AE35" s="190"/>
      <c r="AF35" s="190"/>
      <c r="AG35" s="187"/>
      <c r="AH35" s="184"/>
      <c r="AI35" s="554"/>
      <c r="AJ35" s="190"/>
      <c r="AK35" s="190"/>
      <c r="AL35" s="187"/>
      <c r="AM35" s="184"/>
      <c r="AN35" s="554"/>
      <c r="AO35" s="190"/>
      <c r="AP35" s="190"/>
      <c r="AQ35" s="187"/>
      <c r="AR35" s="184"/>
      <c r="AS35" s="554"/>
      <c r="AT35" s="190"/>
      <c r="AU35" s="190"/>
      <c r="AV35" s="187"/>
      <c r="AW35" s="184"/>
      <c r="AX35" s="554"/>
    </row>
    <row r="36" spans="2:50" ht="14.25" customHeight="1">
      <c r="B36" s="525"/>
      <c r="C36" s="182">
        <v>10</v>
      </c>
      <c r="D36" s="185"/>
      <c r="E36" s="182"/>
      <c r="F36" s="182"/>
      <c r="G36" s="187"/>
      <c r="H36" s="554"/>
      <c r="I36" s="188"/>
      <c r="J36" s="188"/>
      <c r="K36" s="189"/>
      <c r="L36" s="555"/>
      <c r="M36" s="188"/>
      <c r="N36" s="525"/>
      <c r="O36" s="525"/>
      <c r="P36" s="190"/>
      <c r="Q36" s="190"/>
      <c r="R36" s="187"/>
      <c r="S36" s="184"/>
      <c r="T36" s="554"/>
      <c r="U36" s="190"/>
      <c r="V36" s="190"/>
      <c r="W36" s="187"/>
      <c r="X36" s="184"/>
      <c r="Y36" s="554"/>
      <c r="Z36" s="190"/>
      <c r="AA36" s="190"/>
      <c r="AB36" s="187"/>
      <c r="AC36" s="184"/>
      <c r="AD36" s="554"/>
      <c r="AE36" s="190"/>
      <c r="AF36" s="190"/>
      <c r="AG36" s="187"/>
      <c r="AH36" s="184"/>
      <c r="AI36" s="554"/>
      <c r="AJ36" s="190"/>
      <c r="AK36" s="190"/>
      <c r="AL36" s="187"/>
      <c r="AM36" s="184"/>
      <c r="AN36" s="554"/>
      <c r="AO36" s="190"/>
      <c r="AP36" s="190"/>
      <c r="AQ36" s="187"/>
      <c r="AR36" s="184"/>
      <c r="AS36" s="554"/>
      <c r="AT36" s="190"/>
      <c r="AU36" s="190"/>
      <c r="AV36" s="187"/>
      <c r="AW36" s="184"/>
      <c r="AX36" s="554"/>
    </row>
    <row r="37" spans="2:50" ht="14.25" customHeight="1">
      <c r="B37" s="525"/>
      <c r="C37" s="182">
        <v>11</v>
      </c>
      <c r="D37" s="185"/>
      <c r="E37" s="182"/>
      <c r="F37" s="182"/>
      <c r="G37" s="187"/>
      <c r="H37" s="554"/>
      <c r="I37" s="188"/>
      <c r="J37" s="188"/>
      <c r="K37" s="189"/>
      <c r="L37" s="555"/>
      <c r="M37" s="188"/>
      <c r="N37" s="525"/>
      <c r="O37" s="525"/>
      <c r="P37" s="190"/>
      <c r="Q37" s="190"/>
      <c r="R37" s="187"/>
      <c r="S37" s="184"/>
      <c r="T37" s="554"/>
      <c r="U37" s="190"/>
      <c r="V37" s="190"/>
      <c r="W37" s="187"/>
      <c r="X37" s="184"/>
      <c r="Y37" s="554"/>
      <c r="Z37" s="190"/>
      <c r="AA37" s="190"/>
      <c r="AB37" s="187"/>
      <c r="AC37" s="184"/>
      <c r="AD37" s="554"/>
      <c r="AE37" s="190"/>
      <c r="AF37" s="190"/>
      <c r="AG37" s="187"/>
      <c r="AH37" s="184"/>
      <c r="AI37" s="554"/>
      <c r="AJ37" s="190"/>
      <c r="AK37" s="190"/>
      <c r="AL37" s="187"/>
      <c r="AM37" s="184"/>
      <c r="AN37" s="554"/>
      <c r="AO37" s="190"/>
      <c r="AP37" s="190"/>
      <c r="AQ37" s="187"/>
      <c r="AR37" s="184"/>
      <c r="AS37" s="554"/>
      <c r="AT37" s="190"/>
      <c r="AU37" s="190"/>
      <c r="AV37" s="187"/>
      <c r="AW37" s="184"/>
      <c r="AX37" s="554"/>
    </row>
    <row r="38" spans="2:50" ht="14.25" customHeight="1">
      <c r="B38" s="525"/>
      <c r="C38" s="182">
        <v>12</v>
      </c>
      <c r="D38" s="185"/>
      <c r="E38" s="182"/>
      <c r="F38" s="182"/>
      <c r="G38" s="187"/>
      <c r="H38" s="554"/>
      <c r="I38" s="188"/>
      <c r="J38" s="188"/>
      <c r="K38" s="189"/>
      <c r="L38" s="555"/>
      <c r="M38" s="188"/>
      <c r="N38" s="525"/>
      <c r="O38" s="525"/>
      <c r="P38" s="190"/>
      <c r="Q38" s="190"/>
      <c r="R38" s="187"/>
      <c r="S38" s="184"/>
      <c r="T38" s="554"/>
      <c r="U38" s="190"/>
      <c r="V38" s="190"/>
      <c r="W38" s="187"/>
      <c r="X38" s="184"/>
      <c r="Y38" s="554"/>
      <c r="Z38" s="190"/>
      <c r="AA38" s="190"/>
      <c r="AB38" s="187"/>
      <c r="AC38" s="184"/>
      <c r="AD38" s="554"/>
      <c r="AE38" s="190"/>
      <c r="AF38" s="190"/>
      <c r="AG38" s="187"/>
      <c r="AH38" s="184"/>
      <c r="AI38" s="554"/>
      <c r="AJ38" s="190"/>
      <c r="AK38" s="190"/>
      <c r="AL38" s="187"/>
      <c r="AM38" s="184"/>
      <c r="AN38" s="554"/>
      <c r="AO38" s="190"/>
      <c r="AP38" s="190"/>
      <c r="AQ38" s="187"/>
      <c r="AR38" s="184"/>
      <c r="AS38" s="554"/>
      <c r="AT38" s="190"/>
      <c r="AU38" s="190"/>
      <c r="AV38" s="187"/>
      <c r="AW38" s="184"/>
      <c r="AX38" s="554"/>
    </row>
    <row r="39" spans="2:50" ht="14.25" customHeight="1">
      <c r="B39" s="525"/>
      <c r="C39" s="182">
        <v>13</v>
      </c>
      <c r="D39" s="185"/>
      <c r="E39" s="182"/>
      <c r="F39" s="182"/>
      <c r="G39" s="187"/>
      <c r="H39" s="554"/>
      <c r="I39" s="188"/>
      <c r="J39" s="188"/>
      <c r="K39" s="189"/>
      <c r="L39" s="555"/>
      <c r="M39" s="188"/>
      <c r="N39" s="525"/>
      <c r="O39" s="525"/>
      <c r="P39" s="190"/>
      <c r="Q39" s="190"/>
      <c r="R39" s="187"/>
      <c r="S39" s="184"/>
      <c r="T39" s="554"/>
      <c r="U39" s="190"/>
      <c r="V39" s="190"/>
      <c r="W39" s="187"/>
      <c r="X39" s="184"/>
      <c r="Y39" s="554"/>
      <c r="Z39" s="190"/>
      <c r="AA39" s="190"/>
      <c r="AB39" s="187"/>
      <c r="AC39" s="184"/>
      <c r="AD39" s="554"/>
      <c r="AE39" s="190"/>
      <c r="AF39" s="190"/>
      <c r="AG39" s="187"/>
      <c r="AH39" s="184"/>
      <c r="AI39" s="554"/>
      <c r="AJ39" s="190"/>
      <c r="AK39" s="190"/>
      <c r="AL39" s="187"/>
      <c r="AM39" s="184"/>
      <c r="AN39" s="554"/>
      <c r="AO39" s="190"/>
      <c r="AP39" s="190"/>
      <c r="AQ39" s="187"/>
      <c r="AR39" s="184"/>
      <c r="AS39" s="554"/>
      <c r="AT39" s="190"/>
      <c r="AU39" s="190"/>
      <c r="AV39" s="187"/>
      <c r="AW39" s="184"/>
      <c r="AX39" s="554"/>
    </row>
    <row r="40" spans="2:50" ht="14.25" customHeight="1">
      <c r="B40" s="525"/>
      <c r="C40" s="182">
        <v>14</v>
      </c>
      <c r="D40" s="185"/>
      <c r="E40" s="182"/>
      <c r="F40" s="182"/>
      <c r="G40" s="187"/>
      <c r="H40" s="554"/>
      <c r="I40" s="188"/>
      <c r="J40" s="188"/>
      <c r="K40" s="189"/>
      <c r="L40" s="555"/>
      <c r="M40" s="188"/>
      <c r="N40" s="525"/>
      <c r="O40" s="525"/>
      <c r="P40" s="190"/>
      <c r="Q40" s="190"/>
      <c r="R40" s="187"/>
      <c r="S40" s="184"/>
      <c r="T40" s="554"/>
      <c r="U40" s="190"/>
      <c r="V40" s="190"/>
      <c r="W40" s="187"/>
      <c r="X40" s="184"/>
      <c r="Y40" s="554"/>
      <c r="Z40" s="190"/>
      <c r="AA40" s="190"/>
      <c r="AB40" s="187"/>
      <c r="AC40" s="184"/>
      <c r="AD40" s="554"/>
      <c r="AE40" s="190"/>
      <c r="AF40" s="190"/>
      <c r="AG40" s="187"/>
      <c r="AH40" s="184"/>
      <c r="AI40" s="554"/>
      <c r="AJ40" s="190"/>
      <c r="AK40" s="190"/>
      <c r="AL40" s="187"/>
      <c r="AM40" s="184"/>
      <c r="AN40" s="554"/>
      <c r="AO40" s="190"/>
      <c r="AP40" s="190"/>
      <c r="AQ40" s="187"/>
      <c r="AR40" s="184"/>
      <c r="AS40" s="554"/>
      <c r="AT40" s="190"/>
      <c r="AU40" s="190"/>
      <c r="AV40" s="187"/>
      <c r="AW40" s="184"/>
      <c r="AX40" s="554"/>
    </row>
    <row r="41" spans="2:50" ht="14.25" customHeight="1">
      <c r="B41" s="525"/>
      <c r="C41" s="182">
        <v>15</v>
      </c>
      <c r="D41" s="185"/>
      <c r="E41" s="182"/>
      <c r="F41" s="182"/>
      <c r="G41" s="187"/>
      <c r="H41" s="554"/>
      <c r="I41" s="188"/>
      <c r="J41" s="188"/>
      <c r="K41" s="189"/>
      <c r="L41" s="555"/>
      <c r="M41" s="188"/>
      <c r="N41" s="525"/>
      <c r="O41" s="525"/>
      <c r="P41" s="190"/>
      <c r="Q41" s="190"/>
      <c r="R41" s="187"/>
      <c r="S41" s="184"/>
      <c r="T41" s="554"/>
      <c r="U41" s="190"/>
      <c r="V41" s="190"/>
      <c r="W41" s="187"/>
      <c r="X41" s="184"/>
      <c r="Y41" s="554"/>
      <c r="Z41" s="190"/>
      <c r="AA41" s="190"/>
      <c r="AB41" s="187"/>
      <c r="AC41" s="184"/>
      <c r="AD41" s="554"/>
      <c r="AE41" s="190"/>
      <c r="AF41" s="190"/>
      <c r="AG41" s="187"/>
      <c r="AH41" s="184"/>
      <c r="AI41" s="554"/>
      <c r="AJ41" s="190"/>
      <c r="AK41" s="190"/>
      <c r="AL41" s="187"/>
      <c r="AM41" s="184"/>
      <c r="AN41" s="554"/>
      <c r="AO41" s="190"/>
      <c r="AP41" s="190"/>
      <c r="AQ41" s="187"/>
      <c r="AR41" s="184"/>
      <c r="AS41" s="554"/>
      <c r="AT41" s="190"/>
      <c r="AU41" s="190"/>
      <c r="AV41" s="187"/>
      <c r="AW41" s="184"/>
      <c r="AX41" s="554"/>
    </row>
    <row r="42" spans="2:50" ht="14.25" customHeight="1" collapsed="1">
      <c r="B42" s="552" t="s">
        <v>646</v>
      </c>
      <c r="C42" s="535"/>
      <c r="D42" s="535"/>
      <c r="E42" s="535"/>
      <c r="F42" s="535"/>
      <c r="G42" s="535"/>
      <c r="H42" s="535"/>
      <c r="I42" s="535"/>
      <c r="J42" s="535"/>
      <c r="K42" s="535"/>
      <c r="L42" s="535"/>
      <c r="M42" s="536"/>
      <c r="N42" s="564" t="s">
        <v>378</v>
      </c>
      <c r="O42" s="564" t="s">
        <v>105</v>
      </c>
      <c r="P42" s="566">
        <f>AT22+1</f>
        <v>46091</v>
      </c>
      <c r="Q42" s="567"/>
      <c r="R42" s="567"/>
      <c r="S42" s="567"/>
      <c r="T42" s="567"/>
      <c r="U42" s="568">
        <f>P42+1</f>
        <v>46092</v>
      </c>
      <c r="V42" s="569"/>
      <c r="W42" s="569"/>
      <c r="X42" s="569"/>
      <c r="Y42" s="569"/>
      <c r="Z42" s="566">
        <f t="shared" ref="Z42" si="42">U42+1</f>
        <v>46093</v>
      </c>
      <c r="AA42" s="567"/>
      <c r="AB42" s="567"/>
      <c r="AC42" s="567"/>
      <c r="AD42" s="567"/>
      <c r="AE42" s="568">
        <f t="shared" ref="AE42" si="43">Z42+1</f>
        <v>46094</v>
      </c>
      <c r="AF42" s="569"/>
      <c r="AG42" s="569"/>
      <c r="AH42" s="569"/>
      <c r="AI42" s="569"/>
      <c r="AJ42" s="556">
        <f t="shared" ref="AJ42" si="44">AE42+1</f>
        <v>46095</v>
      </c>
      <c r="AK42" s="557"/>
      <c r="AL42" s="557"/>
      <c r="AM42" s="557"/>
      <c r="AN42" s="558"/>
      <c r="AO42" s="568">
        <f t="shared" ref="AO42" si="45">AJ42+1</f>
        <v>46096</v>
      </c>
      <c r="AP42" s="569"/>
      <c r="AQ42" s="569"/>
      <c r="AR42" s="569"/>
      <c r="AS42" s="569"/>
      <c r="AT42" s="556">
        <f t="shared" ref="AT42" si="46">AO42+1</f>
        <v>46097</v>
      </c>
      <c r="AU42" s="557"/>
      <c r="AV42" s="557"/>
      <c r="AW42" s="557"/>
      <c r="AX42" s="558"/>
    </row>
    <row r="43" spans="2:50" ht="14.25" customHeight="1">
      <c r="B43" s="537"/>
      <c r="C43" s="537"/>
      <c r="D43" s="537"/>
      <c r="E43" s="537"/>
      <c r="F43" s="537"/>
      <c r="G43" s="537"/>
      <c r="H43" s="537"/>
      <c r="I43" s="537"/>
      <c r="J43" s="537"/>
      <c r="K43" s="537"/>
      <c r="L43" s="537"/>
      <c r="M43" s="538"/>
      <c r="N43" s="565"/>
      <c r="O43" s="565"/>
      <c r="P43" s="559">
        <f>P42</f>
        <v>46091</v>
      </c>
      <c r="Q43" s="559"/>
      <c r="R43" s="559"/>
      <c r="S43" s="559"/>
      <c r="T43" s="559"/>
      <c r="U43" s="560">
        <f>U42</f>
        <v>46092</v>
      </c>
      <c r="V43" s="560"/>
      <c r="W43" s="560"/>
      <c r="X43" s="560"/>
      <c r="Y43" s="560"/>
      <c r="Z43" s="559">
        <f t="shared" ref="Z43" si="47">Z42</f>
        <v>46093</v>
      </c>
      <c r="AA43" s="559"/>
      <c r="AB43" s="559"/>
      <c r="AC43" s="559"/>
      <c r="AD43" s="559"/>
      <c r="AE43" s="560">
        <f t="shared" ref="AE43" si="48">AE42</f>
        <v>46094</v>
      </c>
      <c r="AF43" s="560"/>
      <c r="AG43" s="560"/>
      <c r="AH43" s="560"/>
      <c r="AI43" s="560"/>
      <c r="AJ43" s="561">
        <f t="shared" ref="AJ43" si="49">AJ42</f>
        <v>46095</v>
      </c>
      <c r="AK43" s="562"/>
      <c r="AL43" s="562"/>
      <c r="AM43" s="562"/>
      <c r="AN43" s="563"/>
      <c r="AO43" s="560">
        <f t="shared" ref="AO43" si="50">AO42</f>
        <v>46096</v>
      </c>
      <c r="AP43" s="560"/>
      <c r="AQ43" s="560"/>
      <c r="AR43" s="560"/>
      <c r="AS43" s="560"/>
      <c r="AT43" s="561">
        <f t="shared" ref="AT43" si="51">AT42</f>
        <v>46097</v>
      </c>
      <c r="AU43" s="562"/>
      <c r="AV43" s="562"/>
      <c r="AW43" s="562"/>
      <c r="AX43" s="563"/>
    </row>
    <row r="44" spans="2:50" ht="14.25" customHeight="1">
      <c r="B44" s="525" t="s">
        <v>164</v>
      </c>
      <c r="C44" s="525" t="s">
        <v>159</v>
      </c>
      <c r="D44" s="525"/>
      <c r="E44" s="525" t="s">
        <v>160</v>
      </c>
      <c r="F44" s="525"/>
      <c r="G44" s="525"/>
      <c r="H44" s="525" t="s">
        <v>165</v>
      </c>
      <c r="I44" s="544" t="s">
        <v>379</v>
      </c>
      <c r="J44" s="544"/>
      <c r="K44" s="544"/>
      <c r="L44" s="544" t="s">
        <v>165</v>
      </c>
      <c r="M44" s="544" t="s">
        <v>167</v>
      </c>
      <c r="N44" s="525"/>
      <c r="O44" s="525" t="s">
        <v>166</v>
      </c>
      <c r="P44" s="525" t="s">
        <v>162</v>
      </c>
      <c r="Q44" s="525"/>
      <c r="R44" s="525"/>
      <c r="S44" s="525"/>
      <c r="T44" s="525" t="s">
        <v>165</v>
      </c>
      <c r="U44" s="525" t="s">
        <v>162</v>
      </c>
      <c r="V44" s="525"/>
      <c r="W44" s="525"/>
      <c r="X44" s="525"/>
      <c r="Y44" s="525" t="s">
        <v>165</v>
      </c>
      <c r="Z44" s="525" t="s">
        <v>162</v>
      </c>
      <c r="AA44" s="525"/>
      <c r="AB44" s="525"/>
      <c r="AC44" s="525"/>
      <c r="AD44" s="525" t="s">
        <v>165</v>
      </c>
      <c r="AE44" s="525" t="s">
        <v>162</v>
      </c>
      <c r="AF44" s="525"/>
      <c r="AG44" s="525"/>
      <c r="AH44" s="525"/>
      <c r="AI44" s="525" t="s">
        <v>165</v>
      </c>
      <c r="AJ44" s="525" t="s">
        <v>162</v>
      </c>
      <c r="AK44" s="525"/>
      <c r="AL44" s="525"/>
      <c r="AM44" s="525"/>
      <c r="AN44" s="525" t="s">
        <v>165</v>
      </c>
      <c r="AO44" s="525" t="s">
        <v>162</v>
      </c>
      <c r="AP44" s="525"/>
      <c r="AQ44" s="525"/>
      <c r="AR44" s="525"/>
      <c r="AS44" s="525" t="s">
        <v>165</v>
      </c>
      <c r="AT44" s="525" t="s">
        <v>162</v>
      </c>
      <c r="AU44" s="525"/>
      <c r="AV44" s="525"/>
      <c r="AW44" s="525"/>
      <c r="AX44" s="525" t="s">
        <v>165</v>
      </c>
    </row>
    <row r="45" spans="2:50" ht="14.25" customHeight="1">
      <c r="B45" s="525"/>
      <c r="C45" s="525"/>
      <c r="D45" s="525"/>
      <c r="E45" s="525" t="s">
        <v>380</v>
      </c>
      <c r="F45" s="525"/>
      <c r="G45" s="525"/>
      <c r="H45" s="525"/>
      <c r="I45" s="544" t="s">
        <v>380</v>
      </c>
      <c r="J45" s="544"/>
      <c r="K45" s="544"/>
      <c r="L45" s="544"/>
      <c r="M45" s="544"/>
      <c r="N45" s="525"/>
      <c r="O45" s="525"/>
      <c r="P45" s="525" t="s">
        <v>381</v>
      </c>
      <c r="Q45" s="525"/>
      <c r="R45" s="525"/>
      <c r="S45" s="525"/>
      <c r="T45" s="525"/>
      <c r="U45" s="525" t="s">
        <v>381</v>
      </c>
      <c r="V45" s="525"/>
      <c r="W45" s="525"/>
      <c r="X45" s="525"/>
      <c r="Y45" s="525"/>
      <c r="Z45" s="525" t="s">
        <v>381</v>
      </c>
      <c r="AA45" s="525"/>
      <c r="AB45" s="525"/>
      <c r="AC45" s="525"/>
      <c r="AD45" s="525"/>
      <c r="AE45" s="525" t="s">
        <v>381</v>
      </c>
      <c r="AF45" s="525"/>
      <c r="AG45" s="525"/>
      <c r="AH45" s="525"/>
      <c r="AI45" s="525"/>
      <c r="AJ45" s="525" t="s">
        <v>381</v>
      </c>
      <c r="AK45" s="525"/>
      <c r="AL45" s="525"/>
      <c r="AM45" s="525"/>
      <c r="AN45" s="525"/>
      <c r="AO45" s="525" t="s">
        <v>381</v>
      </c>
      <c r="AP45" s="525"/>
      <c r="AQ45" s="525"/>
      <c r="AR45" s="525"/>
      <c r="AS45" s="525"/>
      <c r="AT45" s="525" t="s">
        <v>381</v>
      </c>
      <c r="AU45" s="525"/>
      <c r="AV45" s="525"/>
      <c r="AW45" s="525"/>
      <c r="AX45" s="525"/>
    </row>
    <row r="46" spans="2:50" ht="14.25" customHeight="1">
      <c r="B46" s="525"/>
      <c r="C46" s="525"/>
      <c r="D46" s="525"/>
      <c r="E46" s="182" t="s">
        <v>161</v>
      </c>
      <c r="F46" s="182" t="s">
        <v>382</v>
      </c>
      <c r="G46" s="182" t="s">
        <v>163</v>
      </c>
      <c r="H46" s="525"/>
      <c r="I46" s="183" t="s">
        <v>161</v>
      </c>
      <c r="J46" s="183" t="s">
        <v>382</v>
      </c>
      <c r="K46" s="183" t="s">
        <v>163</v>
      </c>
      <c r="L46" s="544"/>
      <c r="M46" s="544"/>
      <c r="N46" s="525"/>
      <c r="O46" s="525"/>
      <c r="P46" s="182" t="s">
        <v>161</v>
      </c>
      <c r="Q46" s="182" t="s">
        <v>382</v>
      </c>
      <c r="R46" s="182" t="s">
        <v>163</v>
      </c>
      <c r="S46" s="184" t="s">
        <v>167</v>
      </c>
      <c r="T46" s="525"/>
      <c r="U46" s="182" t="s">
        <v>161</v>
      </c>
      <c r="V46" s="182" t="s">
        <v>382</v>
      </c>
      <c r="W46" s="182" t="s">
        <v>163</v>
      </c>
      <c r="X46" s="184" t="s">
        <v>167</v>
      </c>
      <c r="Y46" s="525"/>
      <c r="Z46" s="182" t="s">
        <v>161</v>
      </c>
      <c r="AA46" s="182" t="s">
        <v>382</v>
      </c>
      <c r="AB46" s="182" t="s">
        <v>163</v>
      </c>
      <c r="AC46" s="184" t="s">
        <v>167</v>
      </c>
      <c r="AD46" s="525"/>
      <c r="AE46" s="182" t="s">
        <v>161</v>
      </c>
      <c r="AF46" s="182" t="s">
        <v>382</v>
      </c>
      <c r="AG46" s="182" t="s">
        <v>163</v>
      </c>
      <c r="AH46" s="184" t="s">
        <v>167</v>
      </c>
      <c r="AI46" s="525"/>
      <c r="AJ46" s="182" t="s">
        <v>161</v>
      </c>
      <c r="AK46" s="182" t="s">
        <v>382</v>
      </c>
      <c r="AL46" s="182" t="s">
        <v>163</v>
      </c>
      <c r="AM46" s="184" t="s">
        <v>167</v>
      </c>
      <c r="AN46" s="525"/>
      <c r="AO46" s="182" t="s">
        <v>161</v>
      </c>
      <c r="AP46" s="182" t="s">
        <v>382</v>
      </c>
      <c r="AQ46" s="182" t="s">
        <v>163</v>
      </c>
      <c r="AR46" s="184" t="s">
        <v>167</v>
      </c>
      <c r="AS46" s="525"/>
      <c r="AT46" s="182" t="s">
        <v>161</v>
      </c>
      <c r="AU46" s="182" t="s">
        <v>382</v>
      </c>
      <c r="AV46" s="182" t="s">
        <v>163</v>
      </c>
      <c r="AW46" s="184" t="s">
        <v>167</v>
      </c>
      <c r="AX46" s="525"/>
    </row>
    <row r="47" spans="2:50" ht="14.25" customHeight="1">
      <c r="B47" s="525" t="s">
        <v>138</v>
      </c>
      <c r="C47" s="182">
        <v>1</v>
      </c>
      <c r="D47" s="185"/>
      <c r="E47" s="182"/>
      <c r="F47" s="182"/>
      <c r="G47" s="187"/>
      <c r="H47" s="554"/>
      <c r="I47" s="188"/>
      <c r="J47" s="188"/>
      <c r="K47" s="189"/>
      <c r="L47" s="555" t="str">
        <f>IFERROR(AVERAGE(K47:K61),"-")</f>
        <v>-</v>
      </c>
      <c r="M47" s="188" t="e">
        <f>RANK(K47, K$47:$K$61)</f>
        <v>#N/A</v>
      </c>
      <c r="N47" s="525"/>
      <c r="O47" s="525"/>
      <c r="P47" s="190"/>
      <c r="Q47" s="190"/>
      <c r="R47" s="187"/>
      <c r="S47" s="184"/>
      <c r="T47" s="554"/>
      <c r="U47" s="190"/>
      <c r="V47" s="190"/>
      <c r="W47" s="187"/>
      <c r="X47" s="184"/>
      <c r="Y47" s="554"/>
      <c r="Z47" s="190"/>
      <c r="AA47" s="190"/>
      <c r="AB47" s="187"/>
      <c r="AC47" s="184"/>
      <c r="AD47" s="554"/>
      <c r="AE47" s="190"/>
      <c r="AF47" s="190"/>
      <c r="AG47" s="187"/>
      <c r="AH47" s="184"/>
      <c r="AI47" s="554"/>
      <c r="AJ47" s="190"/>
      <c r="AK47" s="190"/>
      <c r="AL47" s="187"/>
      <c r="AM47" s="184"/>
      <c r="AN47" s="554"/>
      <c r="AO47" s="190"/>
      <c r="AP47" s="190"/>
      <c r="AQ47" s="187"/>
      <c r="AR47" s="184"/>
      <c r="AS47" s="554"/>
      <c r="AT47" s="190"/>
      <c r="AU47" s="190"/>
      <c r="AV47" s="187"/>
      <c r="AW47" s="184"/>
      <c r="AX47" s="554"/>
    </row>
    <row r="48" spans="2:50" ht="14.25" customHeight="1">
      <c r="B48" s="525"/>
      <c r="C48" s="182">
        <v>2</v>
      </c>
      <c r="D48" s="185"/>
      <c r="E48" s="182"/>
      <c r="F48" s="182"/>
      <c r="G48" s="187"/>
      <c r="H48" s="554"/>
      <c r="I48" s="188"/>
      <c r="J48" s="188"/>
      <c r="K48" s="189"/>
      <c r="L48" s="555"/>
      <c r="M48" s="188"/>
      <c r="N48" s="525"/>
      <c r="O48" s="525"/>
      <c r="P48" s="190"/>
      <c r="Q48" s="190"/>
      <c r="R48" s="187"/>
      <c r="S48" s="184"/>
      <c r="T48" s="554"/>
      <c r="U48" s="190"/>
      <c r="V48" s="190"/>
      <c r="W48" s="187"/>
      <c r="X48" s="184"/>
      <c r="Y48" s="554"/>
      <c r="Z48" s="190"/>
      <c r="AA48" s="190"/>
      <c r="AB48" s="187"/>
      <c r="AC48" s="184"/>
      <c r="AD48" s="554"/>
      <c r="AE48" s="190"/>
      <c r="AF48" s="190"/>
      <c r="AG48" s="187"/>
      <c r="AH48" s="184"/>
      <c r="AI48" s="554"/>
      <c r="AJ48" s="190"/>
      <c r="AK48" s="190"/>
      <c r="AL48" s="187"/>
      <c r="AM48" s="184"/>
      <c r="AN48" s="554"/>
      <c r="AO48" s="190"/>
      <c r="AP48" s="190"/>
      <c r="AQ48" s="187"/>
      <c r="AR48" s="184"/>
      <c r="AS48" s="554"/>
      <c r="AT48" s="190"/>
      <c r="AU48" s="190"/>
      <c r="AV48" s="187"/>
      <c r="AW48" s="184"/>
      <c r="AX48" s="554"/>
    </row>
    <row r="49" spans="2:50" ht="14.25" customHeight="1">
      <c r="B49" s="525"/>
      <c r="C49" s="182">
        <v>3</v>
      </c>
      <c r="D49" s="185"/>
      <c r="E49" s="182"/>
      <c r="F49" s="182"/>
      <c r="G49" s="187"/>
      <c r="H49" s="554"/>
      <c r="I49" s="188"/>
      <c r="J49" s="188"/>
      <c r="K49" s="189"/>
      <c r="L49" s="555"/>
      <c r="M49" s="188"/>
      <c r="N49" s="525"/>
      <c r="O49" s="525"/>
      <c r="P49" s="190"/>
      <c r="Q49" s="190"/>
      <c r="R49" s="187"/>
      <c r="S49" s="184"/>
      <c r="T49" s="554"/>
      <c r="U49" s="190"/>
      <c r="V49" s="190"/>
      <c r="W49" s="187"/>
      <c r="X49" s="184"/>
      <c r="Y49" s="554"/>
      <c r="Z49" s="190"/>
      <c r="AA49" s="190"/>
      <c r="AB49" s="187"/>
      <c r="AC49" s="184"/>
      <c r="AD49" s="554"/>
      <c r="AE49" s="190"/>
      <c r="AF49" s="190"/>
      <c r="AG49" s="187"/>
      <c r="AH49" s="184"/>
      <c r="AI49" s="554"/>
      <c r="AJ49" s="190"/>
      <c r="AK49" s="190"/>
      <c r="AL49" s="187"/>
      <c r="AM49" s="184"/>
      <c r="AN49" s="554"/>
      <c r="AO49" s="190"/>
      <c r="AP49" s="190"/>
      <c r="AQ49" s="187"/>
      <c r="AR49" s="184"/>
      <c r="AS49" s="554"/>
      <c r="AT49" s="190"/>
      <c r="AU49" s="190"/>
      <c r="AV49" s="187"/>
      <c r="AW49" s="184"/>
      <c r="AX49" s="554"/>
    </row>
    <row r="50" spans="2:50" ht="14.25" customHeight="1">
      <c r="B50" s="525"/>
      <c r="C50" s="182">
        <v>4</v>
      </c>
      <c r="D50" s="185"/>
      <c r="E50" s="182"/>
      <c r="F50" s="182"/>
      <c r="G50" s="187"/>
      <c r="H50" s="554"/>
      <c r="I50" s="188"/>
      <c r="J50" s="188"/>
      <c r="K50" s="189"/>
      <c r="L50" s="555"/>
      <c r="M50" s="188"/>
      <c r="N50" s="525"/>
      <c r="O50" s="525"/>
      <c r="P50" s="190"/>
      <c r="Q50" s="190"/>
      <c r="R50" s="187"/>
      <c r="S50" s="184"/>
      <c r="T50" s="554"/>
      <c r="U50" s="190"/>
      <c r="V50" s="190"/>
      <c r="W50" s="187"/>
      <c r="X50" s="184"/>
      <c r="Y50" s="554"/>
      <c r="Z50" s="190"/>
      <c r="AA50" s="190"/>
      <c r="AB50" s="187"/>
      <c r="AC50" s="184"/>
      <c r="AD50" s="554"/>
      <c r="AE50" s="190"/>
      <c r="AF50" s="190"/>
      <c r="AG50" s="187"/>
      <c r="AH50" s="184"/>
      <c r="AI50" s="554"/>
      <c r="AJ50" s="190"/>
      <c r="AK50" s="190"/>
      <c r="AL50" s="187"/>
      <c r="AM50" s="184"/>
      <c r="AN50" s="554"/>
      <c r="AO50" s="190"/>
      <c r="AP50" s="190"/>
      <c r="AQ50" s="187"/>
      <c r="AR50" s="184"/>
      <c r="AS50" s="554"/>
      <c r="AT50" s="190"/>
      <c r="AU50" s="190"/>
      <c r="AV50" s="187"/>
      <c r="AW50" s="184"/>
      <c r="AX50" s="554"/>
    </row>
    <row r="51" spans="2:50" ht="14.25" customHeight="1">
      <c r="B51" s="525"/>
      <c r="C51" s="182">
        <v>5</v>
      </c>
      <c r="D51" s="185"/>
      <c r="E51" s="182"/>
      <c r="F51" s="182"/>
      <c r="G51" s="187"/>
      <c r="H51" s="554"/>
      <c r="I51" s="188"/>
      <c r="J51" s="188"/>
      <c r="K51" s="189"/>
      <c r="L51" s="555"/>
      <c r="M51" s="188"/>
      <c r="N51" s="525"/>
      <c r="O51" s="525"/>
      <c r="P51" s="190"/>
      <c r="Q51" s="190"/>
      <c r="R51" s="187"/>
      <c r="S51" s="184"/>
      <c r="T51" s="554"/>
      <c r="U51" s="190"/>
      <c r="V51" s="190"/>
      <c r="W51" s="187"/>
      <c r="X51" s="184"/>
      <c r="Y51" s="554"/>
      <c r="Z51" s="190"/>
      <c r="AA51" s="190"/>
      <c r="AB51" s="187"/>
      <c r="AC51" s="184"/>
      <c r="AD51" s="554"/>
      <c r="AE51" s="190"/>
      <c r="AF51" s="190"/>
      <c r="AG51" s="187"/>
      <c r="AH51" s="184"/>
      <c r="AI51" s="554"/>
      <c r="AJ51" s="190"/>
      <c r="AK51" s="190"/>
      <c r="AL51" s="187"/>
      <c r="AM51" s="184"/>
      <c r="AN51" s="554"/>
      <c r="AO51" s="190"/>
      <c r="AP51" s="190"/>
      <c r="AQ51" s="187"/>
      <c r="AR51" s="184"/>
      <c r="AS51" s="554"/>
      <c r="AT51" s="190"/>
      <c r="AU51" s="190"/>
      <c r="AV51" s="187"/>
      <c r="AW51" s="184"/>
      <c r="AX51" s="554"/>
    </row>
    <row r="52" spans="2:50" ht="14.25" customHeight="1">
      <c r="B52" s="525"/>
      <c r="C52" s="182">
        <v>6</v>
      </c>
      <c r="D52" s="185"/>
      <c r="E52" s="182"/>
      <c r="F52" s="182"/>
      <c r="G52" s="187"/>
      <c r="H52" s="554"/>
      <c r="I52" s="188"/>
      <c r="J52" s="188"/>
      <c r="K52" s="189"/>
      <c r="L52" s="555"/>
      <c r="M52" s="188"/>
      <c r="N52" s="525"/>
      <c r="O52" s="525"/>
      <c r="P52" s="190"/>
      <c r="Q52" s="190"/>
      <c r="R52" s="187"/>
      <c r="S52" s="184"/>
      <c r="T52" s="554"/>
      <c r="U52" s="190"/>
      <c r="V52" s="190"/>
      <c r="W52" s="187"/>
      <c r="X52" s="184"/>
      <c r="Y52" s="554"/>
      <c r="Z52" s="190"/>
      <c r="AA52" s="190"/>
      <c r="AB52" s="187"/>
      <c r="AC52" s="184"/>
      <c r="AD52" s="554"/>
      <c r="AE52" s="190"/>
      <c r="AF52" s="190"/>
      <c r="AG52" s="187"/>
      <c r="AH52" s="184"/>
      <c r="AI52" s="554"/>
      <c r="AJ52" s="190"/>
      <c r="AK52" s="190"/>
      <c r="AL52" s="187"/>
      <c r="AM52" s="184"/>
      <c r="AN52" s="554"/>
      <c r="AO52" s="190"/>
      <c r="AP52" s="190"/>
      <c r="AQ52" s="187"/>
      <c r="AR52" s="184"/>
      <c r="AS52" s="554"/>
      <c r="AT52" s="190"/>
      <c r="AU52" s="190"/>
      <c r="AV52" s="187"/>
      <c r="AW52" s="184"/>
      <c r="AX52" s="554"/>
    </row>
    <row r="53" spans="2:50" ht="14.25" customHeight="1">
      <c r="B53" s="525"/>
      <c r="C53" s="182">
        <v>7</v>
      </c>
      <c r="D53" s="185"/>
      <c r="E53" s="182"/>
      <c r="F53" s="182"/>
      <c r="G53" s="187"/>
      <c r="H53" s="554"/>
      <c r="I53" s="188"/>
      <c r="J53" s="188"/>
      <c r="K53" s="189"/>
      <c r="L53" s="555"/>
      <c r="M53" s="188"/>
      <c r="N53" s="525"/>
      <c r="O53" s="525"/>
      <c r="P53" s="190"/>
      <c r="Q53" s="190"/>
      <c r="R53" s="187"/>
      <c r="S53" s="184"/>
      <c r="T53" s="554"/>
      <c r="U53" s="190"/>
      <c r="V53" s="190"/>
      <c r="W53" s="187"/>
      <c r="X53" s="184"/>
      <c r="Y53" s="554"/>
      <c r="Z53" s="190"/>
      <c r="AA53" s="190"/>
      <c r="AB53" s="187"/>
      <c r="AC53" s="184"/>
      <c r="AD53" s="554"/>
      <c r="AE53" s="190"/>
      <c r="AF53" s="190"/>
      <c r="AG53" s="187"/>
      <c r="AH53" s="184"/>
      <c r="AI53" s="554"/>
      <c r="AJ53" s="190"/>
      <c r="AK53" s="190"/>
      <c r="AL53" s="187"/>
      <c r="AM53" s="184"/>
      <c r="AN53" s="554"/>
      <c r="AO53" s="190"/>
      <c r="AP53" s="190"/>
      <c r="AQ53" s="187"/>
      <c r="AR53" s="184"/>
      <c r="AS53" s="554"/>
      <c r="AT53" s="190"/>
      <c r="AU53" s="190"/>
      <c r="AV53" s="187"/>
      <c r="AW53" s="184"/>
      <c r="AX53" s="554"/>
    </row>
    <row r="54" spans="2:50" ht="14.25" customHeight="1">
      <c r="B54" s="525"/>
      <c r="C54" s="182">
        <v>8</v>
      </c>
      <c r="D54" s="185"/>
      <c r="E54" s="182"/>
      <c r="F54" s="182"/>
      <c r="G54" s="187"/>
      <c r="H54" s="554"/>
      <c r="I54" s="188"/>
      <c r="J54" s="188"/>
      <c r="K54" s="189"/>
      <c r="L54" s="555"/>
      <c r="M54" s="188"/>
      <c r="N54" s="525"/>
      <c r="O54" s="525"/>
      <c r="P54" s="190"/>
      <c r="Q54" s="190"/>
      <c r="R54" s="187"/>
      <c r="S54" s="184"/>
      <c r="T54" s="554"/>
      <c r="U54" s="190"/>
      <c r="V54" s="190"/>
      <c r="W54" s="187"/>
      <c r="X54" s="184"/>
      <c r="Y54" s="554"/>
      <c r="Z54" s="190"/>
      <c r="AA54" s="190"/>
      <c r="AB54" s="187"/>
      <c r="AC54" s="184"/>
      <c r="AD54" s="554"/>
      <c r="AE54" s="190"/>
      <c r="AF54" s="190"/>
      <c r="AG54" s="187"/>
      <c r="AH54" s="184"/>
      <c r="AI54" s="554"/>
      <c r="AJ54" s="190"/>
      <c r="AK54" s="190"/>
      <c r="AL54" s="187"/>
      <c r="AM54" s="184"/>
      <c r="AN54" s="554"/>
      <c r="AO54" s="190"/>
      <c r="AP54" s="190"/>
      <c r="AQ54" s="187"/>
      <c r="AR54" s="184"/>
      <c r="AS54" s="554"/>
      <c r="AT54" s="190"/>
      <c r="AU54" s="190"/>
      <c r="AV54" s="187"/>
      <c r="AW54" s="184"/>
      <c r="AX54" s="554"/>
    </row>
    <row r="55" spans="2:50" ht="14.25" customHeight="1">
      <c r="B55" s="525"/>
      <c r="C55" s="182">
        <v>9</v>
      </c>
      <c r="D55" s="185"/>
      <c r="E55" s="182"/>
      <c r="F55" s="182"/>
      <c r="G55" s="187"/>
      <c r="H55" s="554"/>
      <c r="I55" s="188"/>
      <c r="J55" s="188"/>
      <c r="K55" s="189"/>
      <c r="L55" s="555"/>
      <c r="M55" s="188"/>
      <c r="N55" s="525"/>
      <c r="O55" s="525"/>
      <c r="P55" s="190"/>
      <c r="Q55" s="190"/>
      <c r="R55" s="187"/>
      <c r="S55" s="184"/>
      <c r="T55" s="554"/>
      <c r="U55" s="190"/>
      <c r="V55" s="190"/>
      <c r="W55" s="187"/>
      <c r="X55" s="184"/>
      <c r="Y55" s="554"/>
      <c r="Z55" s="190"/>
      <c r="AA55" s="190"/>
      <c r="AB55" s="187"/>
      <c r="AC55" s="184"/>
      <c r="AD55" s="554"/>
      <c r="AE55" s="190"/>
      <c r="AF55" s="190"/>
      <c r="AG55" s="187"/>
      <c r="AH55" s="184"/>
      <c r="AI55" s="554"/>
      <c r="AJ55" s="190"/>
      <c r="AK55" s="190"/>
      <c r="AL55" s="187"/>
      <c r="AM55" s="184"/>
      <c r="AN55" s="554"/>
      <c r="AO55" s="190"/>
      <c r="AP55" s="190"/>
      <c r="AQ55" s="187"/>
      <c r="AR55" s="184"/>
      <c r="AS55" s="554"/>
      <c r="AT55" s="190"/>
      <c r="AU55" s="190"/>
      <c r="AV55" s="187"/>
      <c r="AW55" s="184"/>
      <c r="AX55" s="554"/>
    </row>
    <row r="56" spans="2:50" ht="14.25" customHeight="1">
      <c r="B56" s="525"/>
      <c r="C56" s="182">
        <v>10</v>
      </c>
      <c r="D56" s="185"/>
      <c r="E56" s="182"/>
      <c r="F56" s="182"/>
      <c r="G56" s="187"/>
      <c r="H56" s="554"/>
      <c r="I56" s="188"/>
      <c r="J56" s="188"/>
      <c r="K56" s="189"/>
      <c r="L56" s="555"/>
      <c r="M56" s="188"/>
      <c r="N56" s="525"/>
      <c r="O56" s="525"/>
      <c r="P56" s="190"/>
      <c r="Q56" s="190"/>
      <c r="R56" s="187"/>
      <c r="S56" s="184"/>
      <c r="T56" s="554"/>
      <c r="U56" s="190"/>
      <c r="V56" s="190"/>
      <c r="W56" s="187"/>
      <c r="X56" s="184"/>
      <c r="Y56" s="554"/>
      <c r="Z56" s="190"/>
      <c r="AA56" s="190"/>
      <c r="AB56" s="187"/>
      <c r="AC56" s="184"/>
      <c r="AD56" s="554"/>
      <c r="AE56" s="190"/>
      <c r="AF56" s="190"/>
      <c r="AG56" s="187"/>
      <c r="AH56" s="184"/>
      <c r="AI56" s="554"/>
      <c r="AJ56" s="190"/>
      <c r="AK56" s="190"/>
      <c r="AL56" s="187"/>
      <c r="AM56" s="184"/>
      <c r="AN56" s="554"/>
      <c r="AO56" s="190"/>
      <c r="AP56" s="190"/>
      <c r="AQ56" s="187"/>
      <c r="AR56" s="184"/>
      <c r="AS56" s="554"/>
      <c r="AT56" s="190"/>
      <c r="AU56" s="190"/>
      <c r="AV56" s="187"/>
      <c r="AW56" s="184"/>
      <c r="AX56" s="554"/>
    </row>
    <row r="57" spans="2:50" ht="14.25" customHeight="1">
      <c r="B57" s="525"/>
      <c r="C57" s="182">
        <v>11</v>
      </c>
      <c r="D57" s="185"/>
      <c r="E57" s="182"/>
      <c r="F57" s="182"/>
      <c r="G57" s="187"/>
      <c r="H57" s="554"/>
      <c r="I57" s="188"/>
      <c r="J57" s="188"/>
      <c r="K57" s="189"/>
      <c r="L57" s="555"/>
      <c r="M57" s="188"/>
      <c r="N57" s="525"/>
      <c r="O57" s="525"/>
      <c r="P57" s="190"/>
      <c r="Q57" s="190"/>
      <c r="R57" s="187"/>
      <c r="S57" s="184"/>
      <c r="T57" s="554"/>
      <c r="U57" s="190"/>
      <c r="V57" s="190"/>
      <c r="W57" s="187"/>
      <c r="X57" s="184"/>
      <c r="Y57" s="554"/>
      <c r="Z57" s="190"/>
      <c r="AA57" s="190"/>
      <c r="AB57" s="187"/>
      <c r="AC57" s="184"/>
      <c r="AD57" s="554"/>
      <c r="AE57" s="190"/>
      <c r="AF57" s="190"/>
      <c r="AG57" s="187"/>
      <c r="AH57" s="184"/>
      <c r="AI57" s="554"/>
      <c r="AJ57" s="190"/>
      <c r="AK57" s="190"/>
      <c r="AL57" s="187"/>
      <c r="AM57" s="184"/>
      <c r="AN57" s="554"/>
      <c r="AO57" s="190"/>
      <c r="AP57" s="190"/>
      <c r="AQ57" s="187"/>
      <c r="AR57" s="184"/>
      <c r="AS57" s="554"/>
      <c r="AT57" s="190"/>
      <c r="AU57" s="190"/>
      <c r="AV57" s="187"/>
      <c r="AW57" s="184"/>
      <c r="AX57" s="554"/>
    </row>
    <row r="58" spans="2:50" ht="14.25" customHeight="1">
      <c r="B58" s="525"/>
      <c r="C58" s="182">
        <v>12</v>
      </c>
      <c r="D58" s="185"/>
      <c r="E58" s="182"/>
      <c r="F58" s="182"/>
      <c r="G58" s="187"/>
      <c r="H58" s="554"/>
      <c r="I58" s="188"/>
      <c r="J58" s="188"/>
      <c r="K58" s="189"/>
      <c r="L58" s="555"/>
      <c r="M58" s="188"/>
      <c r="N58" s="525"/>
      <c r="O58" s="525"/>
      <c r="P58" s="190"/>
      <c r="Q58" s="190"/>
      <c r="R58" s="187"/>
      <c r="S58" s="184"/>
      <c r="T58" s="554"/>
      <c r="U58" s="190"/>
      <c r="V58" s="190"/>
      <c r="W58" s="187"/>
      <c r="X58" s="184"/>
      <c r="Y58" s="554"/>
      <c r="Z58" s="190"/>
      <c r="AA58" s="190"/>
      <c r="AB58" s="187"/>
      <c r="AC58" s="184"/>
      <c r="AD58" s="554"/>
      <c r="AE58" s="190"/>
      <c r="AF58" s="190"/>
      <c r="AG58" s="187"/>
      <c r="AH58" s="184"/>
      <c r="AI58" s="554"/>
      <c r="AJ58" s="190"/>
      <c r="AK58" s="190"/>
      <c r="AL58" s="187"/>
      <c r="AM58" s="184"/>
      <c r="AN58" s="554"/>
      <c r="AO58" s="190"/>
      <c r="AP58" s="190"/>
      <c r="AQ58" s="187"/>
      <c r="AR58" s="184"/>
      <c r="AS58" s="554"/>
      <c r="AT58" s="190"/>
      <c r="AU58" s="190"/>
      <c r="AV58" s="187"/>
      <c r="AW58" s="184"/>
      <c r="AX58" s="554"/>
    </row>
    <row r="59" spans="2:50" ht="14.25" customHeight="1">
      <c r="B59" s="525"/>
      <c r="C59" s="182">
        <v>13</v>
      </c>
      <c r="D59" s="185"/>
      <c r="E59" s="182"/>
      <c r="F59" s="182"/>
      <c r="G59" s="187"/>
      <c r="H59" s="554"/>
      <c r="I59" s="188"/>
      <c r="J59" s="188"/>
      <c r="K59" s="189"/>
      <c r="L59" s="555"/>
      <c r="M59" s="188"/>
      <c r="N59" s="525"/>
      <c r="O59" s="525"/>
      <c r="P59" s="190"/>
      <c r="Q59" s="190"/>
      <c r="R59" s="187"/>
      <c r="S59" s="184"/>
      <c r="T59" s="554"/>
      <c r="U59" s="190"/>
      <c r="V59" s="190"/>
      <c r="W59" s="187"/>
      <c r="X59" s="184"/>
      <c r="Y59" s="554"/>
      <c r="Z59" s="190"/>
      <c r="AA59" s="190"/>
      <c r="AB59" s="187"/>
      <c r="AC59" s="184"/>
      <c r="AD59" s="554"/>
      <c r="AE59" s="190"/>
      <c r="AF59" s="190"/>
      <c r="AG59" s="187"/>
      <c r="AH59" s="184"/>
      <c r="AI59" s="554"/>
      <c r="AJ59" s="190"/>
      <c r="AK59" s="190"/>
      <c r="AL59" s="187"/>
      <c r="AM59" s="184"/>
      <c r="AN59" s="554"/>
      <c r="AO59" s="190"/>
      <c r="AP59" s="190"/>
      <c r="AQ59" s="187"/>
      <c r="AR59" s="184"/>
      <c r="AS59" s="554"/>
      <c r="AT59" s="190"/>
      <c r="AU59" s="190"/>
      <c r="AV59" s="187"/>
      <c r="AW59" s="184"/>
      <c r="AX59" s="554"/>
    </row>
    <row r="60" spans="2:50" ht="14.25" customHeight="1">
      <c r="B60" s="525"/>
      <c r="C60" s="182">
        <v>14</v>
      </c>
      <c r="D60" s="185"/>
      <c r="E60" s="182"/>
      <c r="F60" s="182"/>
      <c r="G60" s="187"/>
      <c r="H60" s="554"/>
      <c r="I60" s="188"/>
      <c r="J60" s="188"/>
      <c r="K60" s="189"/>
      <c r="L60" s="555"/>
      <c r="M60" s="188"/>
      <c r="N60" s="525"/>
      <c r="O60" s="525"/>
      <c r="P60" s="190"/>
      <c r="Q60" s="190"/>
      <c r="R60" s="187"/>
      <c r="S60" s="184"/>
      <c r="T60" s="554"/>
      <c r="U60" s="190"/>
      <c r="V60" s="190"/>
      <c r="W60" s="187"/>
      <c r="X60" s="184"/>
      <c r="Y60" s="554"/>
      <c r="Z60" s="190"/>
      <c r="AA60" s="190"/>
      <c r="AB60" s="187"/>
      <c r="AC60" s="184"/>
      <c r="AD60" s="554"/>
      <c r="AE60" s="190"/>
      <c r="AF60" s="190"/>
      <c r="AG60" s="187"/>
      <c r="AH60" s="184"/>
      <c r="AI60" s="554"/>
      <c r="AJ60" s="190"/>
      <c r="AK60" s="190"/>
      <c r="AL60" s="187"/>
      <c r="AM60" s="184"/>
      <c r="AN60" s="554"/>
      <c r="AO60" s="190"/>
      <c r="AP60" s="190"/>
      <c r="AQ60" s="187"/>
      <c r="AR60" s="184"/>
      <c r="AS60" s="554"/>
      <c r="AT60" s="190"/>
      <c r="AU60" s="190"/>
      <c r="AV60" s="187"/>
      <c r="AW60" s="184"/>
      <c r="AX60" s="554"/>
    </row>
    <row r="61" spans="2:50" ht="14.25" customHeight="1">
      <c r="B61" s="525"/>
      <c r="C61" s="182">
        <v>15</v>
      </c>
      <c r="D61" s="185"/>
      <c r="E61" s="182"/>
      <c r="F61" s="182"/>
      <c r="G61" s="187"/>
      <c r="H61" s="554"/>
      <c r="I61" s="188"/>
      <c r="J61" s="188"/>
      <c r="K61" s="189"/>
      <c r="L61" s="555"/>
      <c r="M61" s="188"/>
      <c r="N61" s="525"/>
      <c r="O61" s="525"/>
      <c r="P61" s="190"/>
      <c r="Q61" s="190"/>
      <c r="R61" s="187"/>
      <c r="S61" s="184"/>
      <c r="T61" s="554"/>
      <c r="U61" s="190"/>
      <c r="V61" s="190"/>
      <c r="W61" s="187"/>
      <c r="X61" s="184"/>
      <c r="Y61" s="554"/>
      <c r="Z61" s="190"/>
      <c r="AA61" s="190"/>
      <c r="AB61" s="187"/>
      <c r="AC61" s="184"/>
      <c r="AD61" s="554"/>
      <c r="AE61" s="190"/>
      <c r="AF61" s="190"/>
      <c r="AG61" s="187"/>
      <c r="AH61" s="184"/>
      <c r="AI61" s="554"/>
      <c r="AJ61" s="190"/>
      <c r="AK61" s="190"/>
      <c r="AL61" s="187"/>
      <c r="AM61" s="184"/>
      <c r="AN61" s="554"/>
      <c r="AO61" s="190"/>
      <c r="AP61" s="190"/>
      <c r="AQ61" s="187"/>
      <c r="AR61" s="184"/>
      <c r="AS61" s="554"/>
      <c r="AT61" s="190"/>
      <c r="AU61" s="190"/>
      <c r="AV61" s="187"/>
      <c r="AW61" s="184"/>
      <c r="AX61" s="554"/>
    </row>
    <row r="62" spans="2:50" ht="14.25" customHeight="1" collapsed="1">
      <c r="B62" s="534" t="s">
        <v>648</v>
      </c>
      <c r="C62" s="535"/>
      <c r="D62" s="535"/>
      <c r="E62" s="535"/>
      <c r="F62" s="535"/>
      <c r="G62" s="535"/>
      <c r="H62" s="535"/>
      <c r="I62" s="535"/>
      <c r="J62" s="535"/>
      <c r="K62" s="535"/>
      <c r="L62" s="535"/>
      <c r="M62" s="536"/>
      <c r="N62" s="564" t="s">
        <v>378</v>
      </c>
      <c r="O62" s="564" t="s">
        <v>105</v>
      </c>
      <c r="P62" s="566">
        <f>AT42+1</f>
        <v>46098</v>
      </c>
      <c r="Q62" s="567"/>
      <c r="R62" s="567"/>
      <c r="S62" s="567"/>
      <c r="T62" s="567"/>
      <c r="U62" s="568">
        <f>P62+1</f>
        <v>46099</v>
      </c>
      <c r="V62" s="569"/>
      <c r="W62" s="569"/>
      <c r="X62" s="569"/>
      <c r="Y62" s="569"/>
      <c r="Z62" s="566">
        <f t="shared" ref="Z62" si="52">U62+1</f>
        <v>46100</v>
      </c>
      <c r="AA62" s="567"/>
      <c r="AB62" s="567"/>
      <c r="AC62" s="567"/>
      <c r="AD62" s="567"/>
      <c r="AE62" s="568">
        <f t="shared" ref="AE62" si="53">Z62+1</f>
        <v>46101</v>
      </c>
      <c r="AF62" s="569"/>
      <c r="AG62" s="569"/>
      <c r="AH62" s="569"/>
      <c r="AI62" s="569"/>
      <c r="AJ62" s="556">
        <f t="shared" ref="AJ62" si="54">AE62+1</f>
        <v>46102</v>
      </c>
      <c r="AK62" s="557"/>
      <c r="AL62" s="557"/>
      <c r="AM62" s="557"/>
      <c r="AN62" s="558"/>
      <c r="AO62" s="568">
        <f t="shared" ref="AO62" si="55">AJ62+1</f>
        <v>46103</v>
      </c>
      <c r="AP62" s="569"/>
      <c r="AQ62" s="569"/>
      <c r="AR62" s="569"/>
      <c r="AS62" s="569"/>
      <c r="AT62" s="556">
        <f t="shared" ref="AT62" si="56">AO62+1</f>
        <v>46104</v>
      </c>
      <c r="AU62" s="557"/>
      <c r="AV62" s="557"/>
      <c r="AW62" s="557"/>
      <c r="AX62" s="558"/>
    </row>
    <row r="63" spans="2:50" ht="14.25" customHeight="1">
      <c r="B63" s="537"/>
      <c r="C63" s="537"/>
      <c r="D63" s="537"/>
      <c r="E63" s="537"/>
      <c r="F63" s="537"/>
      <c r="G63" s="537"/>
      <c r="H63" s="537"/>
      <c r="I63" s="537"/>
      <c r="J63" s="537"/>
      <c r="K63" s="537"/>
      <c r="L63" s="537"/>
      <c r="M63" s="538"/>
      <c r="N63" s="565"/>
      <c r="O63" s="565"/>
      <c r="P63" s="559">
        <f>P62</f>
        <v>46098</v>
      </c>
      <c r="Q63" s="559"/>
      <c r="R63" s="559"/>
      <c r="S63" s="559"/>
      <c r="T63" s="559"/>
      <c r="U63" s="560">
        <f>U62</f>
        <v>46099</v>
      </c>
      <c r="V63" s="560"/>
      <c r="W63" s="560"/>
      <c r="X63" s="560"/>
      <c r="Y63" s="560"/>
      <c r="Z63" s="559">
        <f t="shared" ref="Z63" si="57">Z62</f>
        <v>46100</v>
      </c>
      <c r="AA63" s="559"/>
      <c r="AB63" s="559"/>
      <c r="AC63" s="559"/>
      <c r="AD63" s="559"/>
      <c r="AE63" s="560">
        <f t="shared" ref="AE63" si="58">AE62</f>
        <v>46101</v>
      </c>
      <c r="AF63" s="560"/>
      <c r="AG63" s="560"/>
      <c r="AH63" s="560"/>
      <c r="AI63" s="560"/>
      <c r="AJ63" s="561">
        <f t="shared" ref="AJ63" si="59">AJ62</f>
        <v>46102</v>
      </c>
      <c r="AK63" s="562"/>
      <c r="AL63" s="562"/>
      <c r="AM63" s="562"/>
      <c r="AN63" s="563"/>
      <c r="AO63" s="560">
        <f t="shared" ref="AO63" si="60">AO62</f>
        <v>46103</v>
      </c>
      <c r="AP63" s="560"/>
      <c r="AQ63" s="560"/>
      <c r="AR63" s="560"/>
      <c r="AS63" s="560"/>
      <c r="AT63" s="561">
        <f t="shared" ref="AT63" si="61">AT62</f>
        <v>46104</v>
      </c>
      <c r="AU63" s="562"/>
      <c r="AV63" s="562"/>
      <c r="AW63" s="562"/>
      <c r="AX63" s="563"/>
    </row>
    <row r="64" spans="2:50" ht="14.25" customHeight="1">
      <c r="B64" s="525" t="s">
        <v>164</v>
      </c>
      <c r="C64" s="525" t="s">
        <v>159</v>
      </c>
      <c r="D64" s="525"/>
      <c r="E64" s="525" t="s">
        <v>160</v>
      </c>
      <c r="F64" s="525"/>
      <c r="G64" s="525"/>
      <c r="H64" s="525" t="s">
        <v>165</v>
      </c>
      <c r="I64" s="544" t="s">
        <v>379</v>
      </c>
      <c r="J64" s="544"/>
      <c r="K64" s="544"/>
      <c r="L64" s="544" t="s">
        <v>165</v>
      </c>
      <c r="M64" s="544" t="s">
        <v>167</v>
      </c>
      <c r="N64" s="525"/>
      <c r="O64" s="525" t="s">
        <v>166</v>
      </c>
      <c r="P64" s="525" t="s">
        <v>162</v>
      </c>
      <c r="Q64" s="525"/>
      <c r="R64" s="525"/>
      <c r="S64" s="525"/>
      <c r="T64" s="525" t="s">
        <v>165</v>
      </c>
      <c r="U64" s="525" t="s">
        <v>162</v>
      </c>
      <c r="V64" s="525"/>
      <c r="W64" s="525"/>
      <c r="X64" s="525"/>
      <c r="Y64" s="525" t="s">
        <v>165</v>
      </c>
      <c r="Z64" s="525" t="s">
        <v>162</v>
      </c>
      <c r="AA64" s="525"/>
      <c r="AB64" s="525"/>
      <c r="AC64" s="525"/>
      <c r="AD64" s="525" t="s">
        <v>165</v>
      </c>
      <c r="AE64" s="525" t="s">
        <v>162</v>
      </c>
      <c r="AF64" s="525"/>
      <c r="AG64" s="525"/>
      <c r="AH64" s="525"/>
      <c r="AI64" s="525" t="s">
        <v>165</v>
      </c>
      <c r="AJ64" s="525" t="s">
        <v>162</v>
      </c>
      <c r="AK64" s="525"/>
      <c r="AL64" s="525"/>
      <c r="AM64" s="525"/>
      <c r="AN64" s="525" t="s">
        <v>165</v>
      </c>
      <c r="AO64" s="525" t="s">
        <v>162</v>
      </c>
      <c r="AP64" s="525"/>
      <c r="AQ64" s="525"/>
      <c r="AR64" s="525"/>
      <c r="AS64" s="525" t="s">
        <v>165</v>
      </c>
      <c r="AT64" s="525" t="s">
        <v>162</v>
      </c>
      <c r="AU64" s="525"/>
      <c r="AV64" s="525"/>
      <c r="AW64" s="525"/>
      <c r="AX64" s="525" t="s">
        <v>165</v>
      </c>
    </row>
    <row r="65" spans="2:50" ht="14.25" customHeight="1">
      <c r="B65" s="525"/>
      <c r="C65" s="525"/>
      <c r="D65" s="525"/>
      <c r="E65" s="525" t="s">
        <v>380</v>
      </c>
      <c r="F65" s="525"/>
      <c r="G65" s="525"/>
      <c r="H65" s="525"/>
      <c r="I65" s="544" t="s">
        <v>380</v>
      </c>
      <c r="J65" s="544"/>
      <c r="K65" s="544"/>
      <c r="L65" s="544"/>
      <c r="M65" s="544"/>
      <c r="N65" s="525"/>
      <c r="O65" s="525"/>
      <c r="P65" s="525" t="s">
        <v>381</v>
      </c>
      <c r="Q65" s="525"/>
      <c r="R65" s="525"/>
      <c r="S65" s="525"/>
      <c r="T65" s="525"/>
      <c r="U65" s="525" t="s">
        <v>381</v>
      </c>
      <c r="V65" s="525"/>
      <c r="W65" s="525"/>
      <c r="X65" s="525"/>
      <c r="Y65" s="525"/>
      <c r="Z65" s="525" t="s">
        <v>381</v>
      </c>
      <c r="AA65" s="525"/>
      <c r="AB65" s="525"/>
      <c r="AC65" s="525"/>
      <c r="AD65" s="525"/>
      <c r="AE65" s="525" t="s">
        <v>381</v>
      </c>
      <c r="AF65" s="525"/>
      <c r="AG65" s="525"/>
      <c r="AH65" s="525"/>
      <c r="AI65" s="525"/>
      <c r="AJ65" s="525" t="s">
        <v>381</v>
      </c>
      <c r="AK65" s="525"/>
      <c r="AL65" s="525"/>
      <c r="AM65" s="525"/>
      <c r="AN65" s="525"/>
      <c r="AO65" s="525" t="s">
        <v>381</v>
      </c>
      <c r="AP65" s="525"/>
      <c r="AQ65" s="525"/>
      <c r="AR65" s="525"/>
      <c r="AS65" s="525"/>
      <c r="AT65" s="525" t="s">
        <v>381</v>
      </c>
      <c r="AU65" s="525"/>
      <c r="AV65" s="525"/>
      <c r="AW65" s="525"/>
      <c r="AX65" s="525"/>
    </row>
    <row r="66" spans="2:50" ht="14.25" customHeight="1">
      <c r="B66" s="525"/>
      <c r="C66" s="525"/>
      <c r="D66" s="525"/>
      <c r="E66" s="182" t="s">
        <v>161</v>
      </c>
      <c r="F66" s="182" t="s">
        <v>382</v>
      </c>
      <c r="G66" s="182" t="s">
        <v>163</v>
      </c>
      <c r="H66" s="525"/>
      <c r="I66" s="183" t="s">
        <v>161</v>
      </c>
      <c r="J66" s="183" t="s">
        <v>382</v>
      </c>
      <c r="K66" s="183" t="s">
        <v>163</v>
      </c>
      <c r="L66" s="544"/>
      <c r="M66" s="544"/>
      <c r="N66" s="525"/>
      <c r="O66" s="525"/>
      <c r="P66" s="182" t="s">
        <v>161</v>
      </c>
      <c r="Q66" s="182" t="s">
        <v>382</v>
      </c>
      <c r="R66" s="182" t="s">
        <v>163</v>
      </c>
      <c r="S66" s="184" t="s">
        <v>167</v>
      </c>
      <c r="T66" s="525"/>
      <c r="U66" s="182" t="s">
        <v>161</v>
      </c>
      <c r="V66" s="182" t="s">
        <v>382</v>
      </c>
      <c r="W66" s="182" t="s">
        <v>163</v>
      </c>
      <c r="X66" s="184" t="s">
        <v>167</v>
      </c>
      <c r="Y66" s="525"/>
      <c r="Z66" s="182" t="s">
        <v>161</v>
      </c>
      <c r="AA66" s="182" t="s">
        <v>382</v>
      </c>
      <c r="AB66" s="182" t="s">
        <v>163</v>
      </c>
      <c r="AC66" s="184" t="s">
        <v>167</v>
      </c>
      <c r="AD66" s="525"/>
      <c r="AE66" s="182" t="s">
        <v>161</v>
      </c>
      <c r="AF66" s="182" t="s">
        <v>382</v>
      </c>
      <c r="AG66" s="182" t="s">
        <v>163</v>
      </c>
      <c r="AH66" s="184" t="s">
        <v>167</v>
      </c>
      <c r="AI66" s="525"/>
      <c r="AJ66" s="182" t="s">
        <v>161</v>
      </c>
      <c r="AK66" s="182" t="s">
        <v>382</v>
      </c>
      <c r="AL66" s="182" t="s">
        <v>163</v>
      </c>
      <c r="AM66" s="184" t="s">
        <v>167</v>
      </c>
      <c r="AN66" s="525"/>
      <c r="AO66" s="182" t="s">
        <v>161</v>
      </c>
      <c r="AP66" s="182" t="s">
        <v>382</v>
      </c>
      <c r="AQ66" s="182" t="s">
        <v>163</v>
      </c>
      <c r="AR66" s="184" t="s">
        <v>167</v>
      </c>
      <c r="AS66" s="525"/>
      <c r="AT66" s="182" t="s">
        <v>161</v>
      </c>
      <c r="AU66" s="182" t="s">
        <v>382</v>
      </c>
      <c r="AV66" s="182" t="s">
        <v>163</v>
      </c>
      <c r="AW66" s="184" t="s">
        <v>167</v>
      </c>
      <c r="AX66" s="525"/>
    </row>
    <row r="67" spans="2:50" ht="14.25" customHeight="1">
      <c r="B67" s="525" t="s">
        <v>138</v>
      </c>
      <c r="C67" s="182">
        <v>1</v>
      </c>
      <c r="D67" s="185"/>
      <c r="E67" s="182"/>
      <c r="F67" s="182"/>
      <c r="G67" s="187"/>
      <c r="H67" s="554"/>
      <c r="I67" s="188"/>
      <c r="J67" s="188"/>
      <c r="K67" s="189"/>
      <c r="L67" s="555" t="str">
        <f>IFERROR(AVERAGE(K67:K81),"-")</f>
        <v>-</v>
      </c>
      <c r="M67" s="188" t="e">
        <f>RANK(K67, K$67:$K$81)</f>
        <v>#N/A</v>
      </c>
      <c r="N67" s="525"/>
      <c r="O67" s="525"/>
      <c r="P67" s="190"/>
      <c r="Q67" s="190"/>
      <c r="R67" s="187"/>
      <c r="S67" s="184"/>
      <c r="T67" s="554"/>
      <c r="U67" s="190"/>
      <c r="V67" s="190"/>
      <c r="W67" s="187"/>
      <c r="X67" s="184"/>
      <c r="Y67" s="554"/>
      <c r="Z67" s="190"/>
      <c r="AA67" s="190"/>
      <c r="AB67" s="187"/>
      <c r="AC67" s="184"/>
      <c r="AD67" s="554"/>
      <c r="AE67" s="190"/>
      <c r="AF67" s="190"/>
      <c r="AG67" s="187"/>
      <c r="AH67" s="184"/>
      <c r="AI67" s="554"/>
      <c r="AJ67" s="190"/>
      <c r="AK67" s="190"/>
      <c r="AL67" s="187"/>
      <c r="AM67" s="184"/>
      <c r="AN67" s="554"/>
      <c r="AO67" s="190"/>
      <c r="AP67" s="190"/>
      <c r="AQ67" s="187"/>
      <c r="AR67" s="184"/>
      <c r="AS67" s="571"/>
      <c r="AT67" s="190"/>
      <c r="AU67" s="190"/>
      <c r="AV67" s="187"/>
      <c r="AW67" s="184"/>
      <c r="AX67" s="554"/>
    </row>
    <row r="68" spans="2:50" ht="14.25" customHeight="1">
      <c r="B68" s="525"/>
      <c r="C68" s="182">
        <v>2</v>
      </c>
      <c r="D68" s="185"/>
      <c r="E68" s="182"/>
      <c r="F68" s="182"/>
      <c r="G68" s="187"/>
      <c r="H68" s="554"/>
      <c r="I68" s="188"/>
      <c r="J68" s="188"/>
      <c r="K68" s="189"/>
      <c r="L68" s="555"/>
      <c r="M68" s="188"/>
      <c r="N68" s="525"/>
      <c r="O68" s="525"/>
      <c r="P68" s="190"/>
      <c r="Q68" s="190"/>
      <c r="R68" s="187"/>
      <c r="S68" s="184"/>
      <c r="T68" s="554"/>
      <c r="U68" s="190"/>
      <c r="V68" s="190"/>
      <c r="W68" s="187"/>
      <c r="X68" s="184"/>
      <c r="Y68" s="554"/>
      <c r="Z68" s="190"/>
      <c r="AA68" s="190"/>
      <c r="AB68" s="187"/>
      <c r="AC68" s="184"/>
      <c r="AD68" s="554"/>
      <c r="AE68" s="190"/>
      <c r="AF68" s="190"/>
      <c r="AG68" s="187"/>
      <c r="AH68" s="184"/>
      <c r="AI68" s="554"/>
      <c r="AJ68" s="190"/>
      <c r="AK68" s="190"/>
      <c r="AL68" s="187"/>
      <c r="AM68" s="184"/>
      <c r="AN68" s="554"/>
      <c r="AO68" s="190"/>
      <c r="AP68" s="190"/>
      <c r="AQ68" s="187"/>
      <c r="AR68" s="184"/>
      <c r="AS68" s="572"/>
      <c r="AT68" s="190"/>
      <c r="AU68" s="190"/>
      <c r="AV68" s="187"/>
      <c r="AW68" s="184"/>
      <c r="AX68" s="554"/>
    </row>
    <row r="69" spans="2:50" ht="14.25" customHeight="1">
      <c r="B69" s="525"/>
      <c r="C69" s="182">
        <v>3</v>
      </c>
      <c r="D69" s="185"/>
      <c r="E69" s="182"/>
      <c r="F69" s="182"/>
      <c r="G69" s="187"/>
      <c r="H69" s="554"/>
      <c r="I69" s="188"/>
      <c r="J69" s="188"/>
      <c r="K69" s="189"/>
      <c r="L69" s="555"/>
      <c r="M69" s="188"/>
      <c r="N69" s="525"/>
      <c r="O69" s="525"/>
      <c r="P69" s="190"/>
      <c r="Q69" s="190"/>
      <c r="R69" s="187"/>
      <c r="S69" s="184"/>
      <c r="T69" s="554"/>
      <c r="U69" s="190"/>
      <c r="V69" s="190"/>
      <c r="W69" s="187"/>
      <c r="X69" s="184"/>
      <c r="Y69" s="554"/>
      <c r="Z69" s="190"/>
      <c r="AA69" s="190"/>
      <c r="AB69" s="187"/>
      <c r="AC69" s="184"/>
      <c r="AD69" s="554"/>
      <c r="AE69" s="190"/>
      <c r="AF69" s="190"/>
      <c r="AG69" s="187"/>
      <c r="AH69" s="184"/>
      <c r="AI69" s="554"/>
      <c r="AJ69" s="190"/>
      <c r="AK69" s="190"/>
      <c r="AL69" s="187"/>
      <c r="AM69" s="184"/>
      <c r="AN69" s="554"/>
      <c r="AO69" s="190"/>
      <c r="AP69" s="190"/>
      <c r="AQ69" s="187"/>
      <c r="AR69" s="184"/>
      <c r="AS69" s="572"/>
      <c r="AT69" s="190"/>
      <c r="AU69" s="190"/>
      <c r="AV69" s="187"/>
      <c r="AW69" s="184"/>
      <c r="AX69" s="554"/>
    </row>
    <row r="70" spans="2:50" ht="14.25" customHeight="1">
      <c r="B70" s="525"/>
      <c r="C70" s="182">
        <v>4</v>
      </c>
      <c r="D70" s="185"/>
      <c r="E70" s="182"/>
      <c r="F70" s="182"/>
      <c r="G70" s="187"/>
      <c r="H70" s="554"/>
      <c r="I70" s="188"/>
      <c r="J70" s="188"/>
      <c r="K70" s="189"/>
      <c r="L70" s="555"/>
      <c r="M70" s="188"/>
      <c r="N70" s="525"/>
      <c r="O70" s="525"/>
      <c r="P70" s="190"/>
      <c r="Q70" s="190"/>
      <c r="R70" s="187"/>
      <c r="S70" s="184"/>
      <c r="T70" s="554"/>
      <c r="U70" s="190"/>
      <c r="V70" s="190"/>
      <c r="W70" s="187"/>
      <c r="X70" s="184"/>
      <c r="Y70" s="554"/>
      <c r="Z70" s="190"/>
      <c r="AA70" s="190"/>
      <c r="AB70" s="187"/>
      <c r="AC70" s="184"/>
      <c r="AD70" s="554"/>
      <c r="AE70" s="190"/>
      <c r="AF70" s="190"/>
      <c r="AG70" s="187"/>
      <c r="AH70" s="184"/>
      <c r="AI70" s="554"/>
      <c r="AJ70" s="190"/>
      <c r="AK70" s="190"/>
      <c r="AL70" s="187"/>
      <c r="AM70" s="184"/>
      <c r="AN70" s="554"/>
      <c r="AO70" s="190"/>
      <c r="AP70" s="190"/>
      <c r="AQ70" s="187"/>
      <c r="AR70" s="184"/>
      <c r="AS70" s="572"/>
      <c r="AT70" s="190"/>
      <c r="AU70" s="190"/>
      <c r="AV70" s="187"/>
      <c r="AW70" s="184"/>
      <c r="AX70" s="554"/>
    </row>
    <row r="71" spans="2:50" ht="14.25" customHeight="1">
      <c r="B71" s="525"/>
      <c r="C71" s="182">
        <v>5</v>
      </c>
      <c r="D71" s="185"/>
      <c r="E71" s="182"/>
      <c r="F71" s="182"/>
      <c r="G71" s="187"/>
      <c r="H71" s="554"/>
      <c r="I71" s="188"/>
      <c r="J71" s="188"/>
      <c r="K71" s="189"/>
      <c r="L71" s="555"/>
      <c r="M71" s="188"/>
      <c r="N71" s="525"/>
      <c r="O71" s="525"/>
      <c r="P71" s="190"/>
      <c r="Q71" s="190"/>
      <c r="R71" s="187"/>
      <c r="S71" s="184"/>
      <c r="T71" s="554"/>
      <c r="U71" s="190"/>
      <c r="V71" s="190"/>
      <c r="W71" s="187"/>
      <c r="X71" s="184"/>
      <c r="Y71" s="554"/>
      <c r="Z71" s="190"/>
      <c r="AA71" s="190"/>
      <c r="AB71" s="187"/>
      <c r="AC71" s="184"/>
      <c r="AD71" s="554"/>
      <c r="AE71" s="190"/>
      <c r="AF71" s="190"/>
      <c r="AG71" s="187"/>
      <c r="AH71" s="184"/>
      <c r="AI71" s="554"/>
      <c r="AJ71" s="190"/>
      <c r="AK71" s="190"/>
      <c r="AL71" s="187"/>
      <c r="AM71" s="184"/>
      <c r="AN71" s="554"/>
      <c r="AO71" s="190"/>
      <c r="AP71" s="190"/>
      <c r="AQ71" s="187"/>
      <c r="AR71" s="184"/>
      <c r="AS71" s="572"/>
      <c r="AT71" s="190"/>
      <c r="AU71" s="190"/>
      <c r="AV71" s="187"/>
      <c r="AW71" s="184"/>
      <c r="AX71" s="554"/>
    </row>
    <row r="72" spans="2:50" ht="14.25" customHeight="1">
      <c r="B72" s="525"/>
      <c r="C72" s="182">
        <v>6</v>
      </c>
      <c r="D72" s="185"/>
      <c r="E72" s="182"/>
      <c r="F72" s="182"/>
      <c r="G72" s="187"/>
      <c r="H72" s="554"/>
      <c r="I72" s="188"/>
      <c r="J72" s="188"/>
      <c r="K72" s="189"/>
      <c r="L72" s="555"/>
      <c r="M72" s="188"/>
      <c r="N72" s="525"/>
      <c r="O72" s="525"/>
      <c r="P72" s="190"/>
      <c r="Q72" s="190"/>
      <c r="R72" s="187"/>
      <c r="S72" s="184"/>
      <c r="T72" s="554"/>
      <c r="U72" s="190"/>
      <c r="V72" s="190"/>
      <c r="W72" s="187"/>
      <c r="X72" s="184"/>
      <c r="Y72" s="554"/>
      <c r="Z72" s="190"/>
      <c r="AA72" s="190"/>
      <c r="AB72" s="187"/>
      <c r="AC72" s="184"/>
      <c r="AD72" s="554"/>
      <c r="AE72" s="190"/>
      <c r="AF72" s="190"/>
      <c r="AG72" s="187"/>
      <c r="AH72" s="184"/>
      <c r="AI72" s="554"/>
      <c r="AJ72" s="190"/>
      <c r="AK72" s="190"/>
      <c r="AL72" s="187"/>
      <c r="AM72" s="184"/>
      <c r="AN72" s="554"/>
      <c r="AO72" s="190"/>
      <c r="AP72" s="190"/>
      <c r="AQ72" s="187"/>
      <c r="AR72" s="184"/>
      <c r="AS72" s="572"/>
      <c r="AT72" s="190"/>
      <c r="AU72" s="190"/>
      <c r="AV72" s="187"/>
      <c r="AW72" s="184"/>
      <c r="AX72" s="554"/>
    </row>
    <row r="73" spans="2:50" ht="14.25" customHeight="1">
      <c r="B73" s="525"/>
      <c r="C73" s="182">
        <v>7</v>
      </c>
      <c r="D73" s="185"/>
      <c r="E73" s="182"/>
      <c r="F73" s="182"/>
      <c r="G73" s="187"/>
      <c r="H73" s="554"/>
      <c r="I73" s="188"/>
      <c r="J73" s="188"/>
      <c r="K73" s="189"/>
      <c r="L73" s="555"/>
      <c r="M73" s="188"/>
      <c r="N73" s="525"/>
      <c r="O73" s="525"/>
      <c r="P73" s="190"/>
      <c r="Q73" s="190"/>
      <c r="R73" s="187"/>
      <c r="S73" s="184"/>
      <c r="T73" s="554"/>
      <c r="U73" s="190"/>
      <c r="V73" s="190"/>
      <c r="W73" s="187"/>
      <c r="X73" s="184"/>
      <c r="Y73" s="554"/>
      <c r="Z73" s="190"/>
      <c r="AA73" s="190"/>
      <c r="AB73" s="187"/>
      <c r="AC73" s="184"/>
      <c r="AD73" s="554"/>
      <c r="AE73" s="190"/>
      <c r="AF73" s="190"/>
      <c r="AG73" s="187"/>
      <c r="AH73" s="184"/>
      <c r="AI73" s="554"/>
      <c r="AJ73" s="190"/>
      <c r="AK73" s="190"/>
      <c r="AL73" s="187"/>
      <c r="AM73" s="184"/>
      <c r="AN73" s="554"/>
      <c r="AO73" s="190"/>
      <c r="AP73" s="190"/>
      <c r="AQ73" s="187"/>
      <c r="AR73" s="184"/>
      <c r="AS73" s="572"/>
      <c r="AT73" s="190"/>
      <c r="AU73" s="190"/>
      <c r="AV73" s="187"/>
      <c r="AW73" s="184"/>
      <c r="AX73" s="554"/>
    </row>
    <row r="74" spans="2:50" ht="14.25" customHeight="1">
      <c r="B74" s="525"/>
      <c r="C74" s="182">
        <v>8</v>
      </c>
      <c r="D74" s="185"/>
      <c r="E74" s="182"/>
      <c r="F74" s="182"/>
      <c r="G74" s="187"/>
      <c r="H74" s="554"/>
      <c r="I74" s="188"/>
      <c r="J74" s="188"/>
      <c r="K74" s="189"/>
      <c r="L74" s="555"/>
      <c r="M74" s="188"/>
      <c r="N74" s="525"/>
      <c r="O74" s="525"/>
      <c r="P74" s="190"/>
      <c r="Q74" s="190"/>
      <c r="R74" s="187"/>
      <c r="S74" s="184"/>
      <c r="T74" s="554"/>
      <c r="U74" s="190"/>
      <c r="V74" s="190"/>
      <c r="W74" s="187"/>
      <c r="X74" s="184"/>
      <c r="Y74" s="554"/>
      <c r="Z74" s="190"/>
      <c r="AA74" s="190"/>
      <c r="AB74" s="187"/>
      <c r="AC74" s="184"/>
      <c r="AD74" s="554"/>
      <c r="AE74" s="190"/>
      <c r="AF74" s="190"/>
      <c r="AG74" s="187"/>
      <c r="AH74" s="184"/>
      <c r="AI74" s="554"/>
      <c r="AJ74" s="190"/>
      <c r="AK74" s="190"/>
      <c r="AL74" s="187"/>
      <c r="AM74" s="184"/>
      <c r="AN74" s="554"/>
      <c r="AO74" s="190"/>
      <c r="AP74" s="190"/>
      <c r="AQ74" s="187"/>
      <c r="AR74" s="184"/>
      <c r="AS74" s="572"/>
      <c r="AT74" s="190"/>
      <c r="AU74" s="190"/>
      <c r="AV74" s="187"/>
      <c r="AW74" s="184"/>
      <c r="AX74" s="554"/>
    </row>
    <row r="75" spans="2:50" ht="14.25" customHeight="1">
      <c r="B75" s="525"/>
      <c r="C75" s="182">
        <v>9</v>
      </c>
      <c r="D75" s="185"/>
      <c r="E75" s="182"/>
      <c r="F75" s="182"/>
      <c r="G75" s="187"/>
      <c r="H75" s="554"/>
      <c r="I75" s="188"/>
      <c r="J75" s="188"/>
      <c r="K75" s="189"/>
      <c r="L75" s="555"/>
      <c r="M75" s="188"/>
      <c r="N75" s="525"/>
      <c r="O75" s="525"/>
      <c r="P75" s="190"/>
      <c r="Q75" s="190"/>
      <c r="R75" s="187"/>
      <c r="S75" s="184"/>
      <c r="T75" s="554"/>
      <c r="U75" s="190"/>
      <c r="V75" s="190"/>
      <c r="W75" s="187"/>
      <c r="X75" s="184"/>
      <c r="Y75" s="554"/>
      <c r="Z75" s="190"/>
      <c r="AA75" s="190"/>
      <c r="AB75" s="187"/>
      <c r="AC75" s="184"/>
      <c r="AD75" s="554"/>
      <c r="AE75" s="190"/>
      <c r="AF75" s="190"/>
      <c r="AG75" s="187"/>
      <c r="AH75" s="184"/>
      <c r="AI75" s="554"/>
      <c r="AJ75" s="190"/>
      <c r="AK75" s="190"/>
      <c r="AL75" s="187"/>
      <c r="AM75" s="184"/>
      <c r="AN75" s="554"/>
      <c r="AO75" s="190"/>
      <c r="AP75" s="190"/>
      <c r="AQ75" s="187"/>
      <c r="AR75" s="184"/>
      <c r="AS75" s="572"/>
      <c r="AT75" s="190"/>
      <c r="AU75" s="190"/>
      <c r="AV75" s="187"/>
      <c r="AW75" s="184"/>
      <c r="AX75" s="554"/>
    </row>
    <row r="76" spans="2:50" ht="14.25" customHeight="1">
      <c r="B76" s="525"/>
      <c r="C76" s="182">
        <v>10</v>
      </c>
      <c r="D76" s="185"/>
      <c r="E76" s="182"/>
      <c r="F76" s="182"/>
      <c r="G76" s="187"/>
      <c r="H76" s="554"/>
      <c r="I76" s="188"/>
      <c r="J76" s="188"/>
      <c r="K76" s="189"/>
      <c r="L76" s="555"/>
      <c r="M76" s="188"/>
      <c r="N76" s="525"/>
      <c r="O76" s="525"/>
      <c r="P76" s="190"/>
      <c r="Q76" s="190"/>
      <c r="R76" s="187"/>
      <c r="S76" s="184"/>
      <c r="T76" s="554"/>
      <c r="U76" s="190"/>
      <c r="V76" s="190"/>
      <c r="W76" s="187"/>
      <c r="X76" s="184"/>
      <c r="Y76" s="554"/>
      <c r="Z76" s="190"/>
      <c r="AA76" s="190"/>
      <c r="AB76" s="187"/>
      <c r="AC76" s="184"/>
      <c r="AD76" s="554"/>
      <c r="AE76" s="190"/>
      <c r="AF76" s="190"/>
      <c r="AG76" s="187"/>
      <c r="AH76" s="184"/>
      <c r="AI76" s="554"/>
      <c r="AJ76" s="190"/>
      <c r="AK76" s="190"/>
      <c r="AL76" s="187"/>
      <c r="AM76" s="184"/>
      <c r="AN76" s="554"/>
      <c r="AO76" s="190"/>
      <c r="AP76" s="190"/>
      <c r="AQ76" s="187"/>
      <c r="AR76" s="184"/>
      <c r="AS76" s="572"/>
      <c r="AT76" s="190"/>
      <c r="AU76" s="190"/>
      <c r="AV76" s="187"/>
      <c r="AW76" s="184"/>
      <c r="AX76" s="554"/>
    </row>
    <row r="77" spans="2:50" ht="14.25" customHeight="1">
      <c r="B77" s="525"/>
      <c r="C77" s="182">
        <v>11</v>
      </c>
      <c r="D77" s="185"/>
      <c r="E77" s="182"/>
      <c r="F77" s="182"/>
      <c r="G77" s="187"/>
      <c r="H77" s="554"/>
      <c r="I77" s="188"/>
      <c r="J77" s="188"/>
      <c r="K77" s="189"/>
      <c r="L77" s="555"/>
      <c r="M77" s="188"/>
      <c r="N77" s="525"/>
      <c r="O77" s="525"/>
      <c r="P77" s="190"/>
      <c r="Q77" s="190"/>
      <c r="R77" s="187"/>
      <c r="S77" s="184"/>
      <c r="T77" s="554"/>
      <c r="U77" s="190"/>
      <c r="V77" s="190"/>
      <c r="W77" s="187"/>
      <c r="X77" s="184"/>
      <c r="Y77" s="554"/>
      <c r="Z77" s="190"/>
      <c r="AA77" s="190"/>
      <c r="AB77" s="187"/>
      <c r="AC77" s="184"/>
      <c r="AD77" s="554"/>
      <c r="AE77" s="190"/>
      <c r="AF77" s="190"/>
      <c r="AG77" s="187"/>
      <c r="AH77" s="184"/>
      <c r="AI77" s="554"/>
      <c r="AJ77" s="190"/>
      <c r="AK77" s="190"/>
      <c r="AL77" s="187"/>
      <c r="AM77" s="184"/>
      <c r="AN77" s="554"/>
      <c r="AO77" s="190"/>
      <c r="AP77" s="190"/>
      <c r="AQ77" s="187"/>
      <c r="AR77" s="184"/>
      <c r="AS77" s="572"/>
      <c r="AT77" s="190"/>
      <c r="AU77" s="190"/>
      <c r="AV77" s="187"/>
      <c r="AW77" s="184"/>
      <c r="AX77" s="554"/>
    </row>
    <row r="78" spans="2:50" ht="14.25" customHeight="1">
      <c r="B78" s="525"/>
      <c r="C78" s="182">
        <v>12</v>
      </c>
      <c r="D78" s="185"/>
      <c r="E78" s="182"/>
      <c r="F78" s="182"/>
      <c r="G78" s="187"/>
      <c r="H78" s="554"/>
      <c r="I78" s="188"/>
      <c r="J78" s="188"/>
      <c r="K78" s="189"/>
      <c r="L78" s="555"/>
      <c r="M78" s="188"/>
      <c r="N78" s="525"/>
      <c r="O78" s="525"/>
      <c r="P78" s="190"/>
      <c r="Q78" s="190"/>
      <c r="R78" s="187"/>
      <c r="S78" s="184"/>
      <c r="T78" s="554"/>
      <c r="U78" s="190"/>
      <c r="V78" s="190"/>
      <c r="W78" s="187"/>
      <c r="X78" s="184"/>
      <c r="Y78" s="554"/>
      <c r="Z78" s="190"/>
      <c r="AA78" s="190"/>
      <c r="AB78" s="187"/>
      <c r="AC78" s="184"/>
      <c r="AD78" s="554"/>
      <c r="AE78" s="190"/>
      <c r="AF78" s="190"/>
      <c r="AG78" s="187"/>
      <c r="AH78" s="184"/>
      <c r="AI78" s="554"/>
      <c r="AJ78" s="190"/>
      <c r="AK78" s="190"/>
      <c r="AL78" s="187"/>
      <c r="AM78" s="184"/>
      <c r="AN78" s="554"/>
      <c r="AO78" s="190"/>
      <c r="AP78" s="190"/>
      <c r="AQ78" s="187"/>
      <c r="AR78" s="184"/>
      <c r="AS78" s="572"/>
      <c r="AT78" s="190"/>
      <c r="AU78" s="190"/>
      <c r="AV78" s="187"/>
      <c r="AW78" s="184"/>
      <c r="AX78" s="554"/>
    </row>
    <row r="79" spans="2:50" ht="14.25" customHeight="1">
      <c r="B79" s="525"/>
      <c r="C79" s="182">
        <v>13</v>
      </c>
      <c r="D79" s="185"/>
      <c r="E79" s="182"/>
      <c r="F79" s="182"/>
      <c r="G79" s="187"/>
      <c r="H79" s="554"/>
      <c r="I79" s="188"/>
      <c r="J79" s="188"/>
      <c r="K79" s="189"/>
      <c r="L79" s="555"/>
      <c r="M79" s="188"/>
      <c r="N79" s="525"/>
      <c r="O79" s="525"/>
      <c r="P79" s="190"/>
      <c r="Q79" s="190"/>
      <c r="R79" s="187"/>
      <c r="S79" s="184"/>
      <c r="T79" s="554"/>
      <c r="U79" s="190"/>
      <c r="V79" s="190"/>
      <c r="W79" s="187"/>
      <c r="X79" s="184"/>
      <c r="Y79" s="554"/>
      <c r="Z79" s="190"/>
      <c r="AA79" s="190"/>
      <c r="AB79" s="187"/>
      <c r="AC79" s="184"/>
      <c r="AD79" s="554"/>
      <c r="AE79" s="190"/>
      <c r="AF79" s="190"/>
      <c r="AG79" s="187"/>
      <c r="AH79" s="184"/>
      <c r="AI79" s="554"/>
      <c r="AJ79" s="190"/>
      <c r="AK79" s="190"/>
      <c r="AL79" s="187"/>
      <c r="AM79" s="184"/>
      <c r="AN79" s="554"/>
      <c r="AO79" s="190"/>
      <c r="AP79" s="190"/>
      <c r="AQ79" s="187"/>
      <c r="AR79" s="184"/>
      <c r="AS79" s="572"/>
      <c r="AT79" s="190"/>
      <c r="AU79" s="190"/>
      <c r="AV79" s="187"/>
      <c r="AW79" s="184"/>
      <c r="AX79" s="554"/>
    </row>
    <row r="80" spans="2:50" ht="14.25" customHeight="1">
      <c r="B80" s="525"/>
      <c r="C80" s="182">
        <v>14</v>
      </c>
      <c r="D80" s="185"/>
      <c r="E80" s="182"/>
      <c r="F80" s="182"/>
      <c r="G80" s="187"/>
      <c r="H80" s="554"/>
      <c r="I80" s="188"/>
      <c r="J80" s="188"/>
      <c r="K80" s="189"/>
      <c r="L80" s="555"/>
      <c r="M80" s="188"/>
      <c r="N80" s="525"/>
      <c r="O80" s="525"/>
      <c r="P80" s="190"/>
      <c r="Q80" s="190"/>
      <c r="R80" s="187"/>
      <c r="S80" s="184"/>
      <c r="T80" s="554"/>
      <c r="U80" s="190"/>
      <c r="V80" s="190"/>
      <c r="W80" s="187"/>
      <c r="X80" s="184"/>
      <c r="Y80" s="554"/>
      <c r="Z80" s="190"/>
      <c r="AA80" s="190"/>
      <c r="AB80" s="187"/>
      <c r="AC80" s="184"/>
      <c r="AD80" s="554"/>
      <c r="AE80" s="190"/>
      <c r="AF80" s="190"/>
      <c r="AG80" s="187"/>
      <c r="AH80" s="184"/>
      <c r="AI80" s="554"/>
      <c r="AJ80" s="190"/>
      <c r="AK80" s="190"/>
      <c r="AL80" s="187"/>
      <c r="AM80" s="184"/>
      <c r="AN80" s="554"/>
      <c r="AO80" s="190"/>
      <c r="AP80" s="190"/>
      <c r="AQ80" s="187"/>
      <c r="AR80" s="184"/>
      <c r="AS80" s="572"/>
      <c r="AT80" s="190"/>
      <c r="AU80" s="190"/>
      <c r="AV80" s="187"/>
      <c r="AW80" s="184"/>
      <c r="AX80" s="554"/>
    </row>
    <row r="81" spans="2:50" ht="14.25" customHeight="1">
      <c r="B81" s="525"/>
      <c r="C81" s="182">
        <v>15</v>
      </c>
      <c r="D81" s="185"/>
      <c r="E81" s="182"/>
      <c r="F81" s="182"/>
      <c r="G81" s="187"/>
      <c r="H81" s="554"/>
      <c r="I81" s="188"/>
      <c r="J81" s="188"/>
      <c r="K81" s="189"/>
      <c r="L81" s="555"/>
      <c r="M81" s="188"/>
      <c r="N81" s="525"/>
      <c r="O81" s="525"/>
      <c r="P81" s="190"/>
      <c r="Q81" s="190"/>
      <c r="R81" s="187"/>
      <c r="S81" s="184"/>
      <c r="T81" s="554"/>
      <c r="U81" s="190"/>
      <c r="V81" s="190"/>
      <c r="W81" s="187"/>
      <c r="X81" s="184"/>
      <c r="Y81" s="554"/>
      <c r="Z81" s="190"/>
      <c r="AA81" s="190"/>
      <c r="AB81" s="187"/>
      <c r="AC81" s="184"/>
      <c r="AD81" s="554"/>
      <c r="AE81" s="190"/>
      <c r="AF81" s="190"/>
      <c r="AG81" s="187"/>
      <c r="AH81" s="184"/>
      <c r="AI81" s="554"/>
      <c r="AJ81" s="190"/>
      <c r="AK81" s="190"/>
      <c r="AL81" s="187"/>
      <c r="AM81" s="184"/>
      <c r="AN81" s="554"/>
      <c r="AO81" s="190"/>
      <c r="AP81" s="190"/>
      <c r="AQ81" s="187"/>
      <c r="AR81" s="184"/>
      <c r="AS81" s="573"/>
      <c r="AT81" s="190"/>
      <c r="AU81" s="190"/>
      <c r="AV81" s="187"/>
      <c r="AW81" s="184"/>
      <c r="AX81" s="554"/>
    </row>
    <row r="82" spans="2:50" ht="14.25" customHeight="1" collapsed="1">
      <c r="B82" s="534" t="s">
        <v>649</v>
      </c>
      <c r="C82" s="535"/>
      <c r="D82" s="535"/>
      <c r="E82" s="535"/>
      <c r="F82" s="535"/>
      <c r="G82" s="535"/>
      <c r="H82" s="535"/>
      <c r="I82" s="535"/>
      <c r="J82" s="535"/>
      <c r="K82" s="535"/>
      <c r="L82" s="535"/>
      <c r="M82" s="536"/>
      <c r="N82" s="564" t="s">
        <v>378</v>
      </c>
      <c r="O82" s="564" t="s">
        <v>105</v>
      </c>
      <c r="P82" s="566">
        <f>AT62+1</f>
        <v>46105</v>
      </c>
      <c r="Q82" s="567"/>
      <c r="R82" s="567"/>
      <c r="S82" s="567"/>
      <c r="T82" s="567"/>
      <c r="U82" s="568">
        <f>P82+1</f>
        <v>46106</v>
      </c>
      <c r="V82" s="569"/>
      <c r="W82" s="569"/>
      <c r="X82" s="569"/>
      <c r="Y82" s="569"/>
      <c r="Z82" s="566">
        <f t="shared" ref="Z82" si="62">U82+1</f>
        <v>46107</v>
      </c>
      <c r="AA82" s="567"/>
      <c r="AB82" s="567"/>
      <c r="AC82" s="567"/>
      <c r="AD82" s="567"/>
      <c r="AE82" s="568">
        <f t="shared" ref="AE82" si="63">Z82+1</f>
        <v>46108</v>
      </c>
      <c r="AF82" s="569"/>
      <c r="AG82" s="569"/>
      <c r="AH82" s="569"/>
      <c r="AI82" s="569"/>
      <c r="AJ82" s="556">
        <f t="shared" ref="AJ82" si="64">AE82+1</f>
        <v>46109</v>
      </c>
      <c r="AK82" s="557"/>
      <c r="AL82" s="557"/>
      <c r="AM82" s="557"/>
      <c r="AN82" s="558"/>
      <c r="AO82" s="568">
        <f t="shared" ref="AO82" si="65">AJ82+1</f>
        <v>46110</v>
      </c>
      <c r="AP82" s="569"/>
      <c r="AQ82" s="569"/>
      <c r="AR82" s="569"/>
      <c r="AS82" s="569"/>
      <c r="AT82" s="556">
        <f t="shared" ref="AT82" si="66">AO82+1</f>
        <v>46111</v>
      </c>
      <c r="AU82" s="557"/>
      <c r="AV82" s="557"/>
      <c r="AW82" s="557"/>
      <c r="AX82" s="558"/>
    </row>
    <row r="83" spans="2:50" ht="14.25" customHeight="1">
      <c r="B83" s="537"/>
      <c r="C83" s="537"/>
      <c r="D83" s="537"/>
      <c r="E83" s="537"/>
      <c r="F83" s="537"/>
      <c r="G83" s="537"/>
      <c r="H83" s="537"/>
      <c r="I83" s="537"/>
      <c r="J83" s="537"/>
      <c r="K83" s="537"/>
      <c r="L83" s="537"/>
      <c r="M83" s="538"/>
      <c r="N83" s="565"/>
      <c r="O83" s="565"/>
      <c r="P83" s="559">
        <f>P82</f>
        <v>46105</v>
      </c>
      <c r="Q83" s="559"/>
      <c r="R83" s="559"/>
      <c r="S83" s="559"/>
      <c r="T83" s="559"/>
      <c r="U83" s="560">
        <f>U82</f>
        <v>46106</v>
      </c>
      <c r="V83" s="560"/>
      <c r="W83" s="560"/>
      <c r="X83" s="560"/>
      <c r="Y83" s="560"/>
      <c r="Z83" s="559">
        <f t="shared" ref="Z83" si="67">Z82</f>
        <v>46107</v>
      </c>
      <c r="AA83" s="559"/>
      <c r="AB83" s="559"/>
      <c r="AC83" s="559"/>
      <c r="AD83" s="559"/>
      <c r="AE83" s="560">
        <f t="shared" ref="AE83" si="68">AE82</f>
        <v>46108</v>
      </c>
      <c r="AF83" s="560"/>
      <c r="AG83" s="560"/>
      <c r="AH83" s="560"/>
      <c r="AI83" s="560"/>
      <c r="AJ83" s="561">
        <f t="shared" ref="AJ83" si="69">AJ82</f>
        <v>46109</v>
      </c>
      <c r="AK83" s="562"/>
      <c r="AL83" s="562"/>
      <c r="AM83" s="562"/>
      <c r="AN83" s="563"/>
      <c r="AO83" s="560">
        <f t="shared" ref="AO83" si="70">AO82</f>
        <v>46110</v>
      </c>
      <c r="AP83" s="560"/>
      <c r="AQ83" s="560"/>
      <c r="AR83" s="560"/>
      <c r="AS83" s="560"/>
      <c r="AT83" s="561">
        <f t="shared" ref="AT83" si="71">AT82</f>
        <v>46111</v>
      </c>
      <c r="AU83" s="562"/>
      <c r="AV83" s="562"/>
      <c r="AW83" s="562"/>
      <c r="AX83" s="563"/>
    </row>
    <row r="84" spans="2:50" ht="14.25" customHeight="1">
      <c r="B84" s="525" t="s">
        <v>164</v>
      </c>
      <c r="C84" s="525" t="s">
        <v>159</v>
      </c>
      <c r="D84" s="525"/>
      <c r="E84" s="525" t="s">
        <v>160</v>
      </c>
      <c r="F84" s="525"/>
      <c r="G84" s="525"/>
      <c r="H84" s="525" t="s">
        <v>165</v>
      </c>
      <c r="I84" s="544" t="s">
        <v>379</v>
      </c>
      <c r="J84" s="544"/>
      <c r="K84" s="544"/>
      <c r="L84" s="544" t="s">
        <v>165</v>
      </c>
      <c r="M84" s="544" t="s">
        <v>167</v>
      </c>
      <c r="N84" s="525"/>
      <c r="O84" s="525" t="s">
        <v>166</v>
      </c>
      <c r="P84" s="525" t="s">
        <v>162</v>
      </c>
      <c r="Q84" s="525"/>
      <c r="R84" s="525"/>
      <c r="S84" s="525"/>
      <c r="T84" s="525" t="s">
        <v>165</v>
      </c>
      <c r="U84" s="525" t="s">
        <v>162</v>
      </c>
      <c r="V84" s="525"/>
      <c r="W84" s="525"/>
      <c r="X84" s="525"/>
      <c r="Y84" s="525" t="s">
        <v>165</v>
      </c>
      <c r="Z84" s="525" t="s">
        <v>162</v>
      </c>
      <c r="AA84" s="525"/>
      <c r="AB84" s="525"/>
      <c r="AC84" s="525"/>
      <c r="AD84" s="525" t="s">
        <v>165</v>
      </c>
      <c r="AE84" s="525" t="s">
        <v>162</v>
      </c>
      <c r="AF84" s="525"/>
      <c r="AG84" s="525"/>
      <c r="AH84" s="525"/>
      <c r="AI84" s="525" t="s">
        <v>165</v>
      </c>
      <c r="AJ84" s="525" t="s">
        <v>162</v>
      </c>
      <c r="AK84" s="525"/>
      <c r="AL84" s="525"/>
      <c r="AM84" s="525"/>
      <c r="AN84" s="525" t="s">
        <v>165</v>
      </c>
      <c r="AO84" s="525" t="s">
        <v>162</v>
      </c>
      <c r="AP84" s="525"/>
      <c r="AQ84" s="525"/>
      <c r="AR84" s="525"/>
      <c r="AS84" s="525" t="s">
        <v>165</v>
      </c>
      <c r="AT84" s="525" t="s">
        <v>162</v>
      </c>
      <c r="AU84" s="525"/>
      <c r="AV84" s="525"/>
      <c r="AW84" s="525"/>
      <c r="AX84" s="525" t="s">
        <v>165</v>
      </c>
    </row>
    <row r="85" spans="2:50" ht="14.25" customHeight="1">
      <c r="B85" s="525"/>
      <c r="C85" s="525"/>
      <c r="D85" s="525"/>
      <c r="E85" s="525" t="s">
        <v>380</v>
      </c>
      <c r="F85" s="525"/>
      <c r="G85" s="525"/>
      <c r="H85" s="525"/>
      <c r="I85" s="544" t="s">
        <v>380</v>
      </c>
      <c r="J85" s="544"/>
      <c r="K85" s="544"/>
      <c r="L85" s="544"/>
      <c r="M85" s="544"/>
      <c r="N85" s="525"/>
      <c r="O85" s="525"/>
      <c r="P85" s="525" t="s">
        <v>381</v>
      </c>
      <c r="Q85" s="525"/>
      <c r="R85" s="525"/>
      <c r="S85" s="525"/>
      <c r="T85" s="525"/>
      <c r="U85" s="525" t="s">
        <v>381</v>
      </c>
      <c r="V85" s="525"/>
      <c r="W85" s="525"/>
      <c r="X85" s="525"/>
      <c r="Y85" s="525"/>
      <c r="Z85" s="525" t="s">
        <v>381</v>
      </c>
      <c r="AA85" s="525"/>
      <c r="AB85" s="525"/>
      <c r="AC85" s="525"/>
      <c r="AD85" s="525"/>
      <c r="AE85" s="525" t="s">
        <v>381</v>
      </c>
      <c r="AF85" s="525"/>
      <c r="AG85" s="525"/>
      <c r="AH85" s="525"/>
      <c r="AI85" s="525"/>
      <c r="AJ85" s="525" t="s">
        <v>381</v>
      </c>
      <c r="AK85" s="525"/>
      <c r="AL85" s="525"/>
      <c r="AM85" s="525"/>
      <c r="AN85" s="525"/>
      <c r="AO85" s="525" t="s">
        <v>381</v>
      </c>
      <c r="AP85" s="525"/>
      <c r="AQ85" s="525"/>
      <c r="AR85" s="525"/>
      <c r="AS85" s="525"/>
      <c r="AT85" s="525" t="s">
        <v>381</v>
      </c>
      <c r="AU85" s="525"/>
      <c r="AV85" s="525"/>
      <c r="AW85" s="525"/>
      <c r="AX85" s="525"/>
    </row>
    <row r="86" spans="2:50" ht="14.25" customHeight="1">
      <c r="B86" s="525"/>
      <c r="C86" s="525"/>
      <c r="D86" s="525"/>
      <c r="E86" s="182" t="s">
        <v>161</v>
      </c>
      <c r="F86" s="182" t="s">
        <v>382</v>
      </c>
      <c r="G86" s="182" t="s">
        <v>163</v>
      </c>
      <c r="H86" s="525"/>
      <c r="I86" s="183" t="s">
        <v>161</v>
      </c>
      <c r="J86" s="183" t="s">
        <v>382</v>
      </c>
      <c r="K86" s="183" t="s">
        <v>163</v>
      </c>
      <c r="L86" s="544"/>
      <c r="M86" s="544"/>
      <c r="N86" s="525"/>
      <c r="O86" s="525"/>
      <c r="P86" s="182" t="s">
        <v>161</v>
      </c>
      <c r="Q86" s="182" t="s">
        <v>382</v>
      </c>
      <c r="R86" s="182" t="s">
        <v>163</v>
      </c>
      <c r="S86" s="184" t="s">
        <v>167</v>
      </c>
      <c r="T86" s="525"/>
      <c r="U86" s="182" t="s">
        <v>161</v>
      </c>
      <c r="V86" s="182" t="s">
        <v>382</v>
      </c>
      <c r="W86" s="182" t="s">
        <v>163</v>
      </c>
      <c r="X86" s="184" t="s">
        <v>167</v>
      </c>
      <c r="Y86" s="525"/>
      <c r="Z86" s="182" t="s">
        <v>161</v>
      </c>
      <c r="AA86" s="182" t="s">
        <v>382</v>
      </c>
      <c r="AB86" s="182" t="s">
        <v>163</v>
      </c>
      <c r="AC86" s="184" t="s">
        <v>167</v>
      </c>
      <c r="AD86" s="525"/>
      <c r="AE86" s="182" t="s">
        <v>161</v>
      </c>
      <c r="AF86" s="182" t="s">
        <v>382</v>
      </c>
      <c r="AG86" s="182" t="s">
        <v>163</v>
      </c>
      <c r="AH86" s="184" t="s">
        <v>167</v>
      </c>
      <c r="AI86" s="525"/>
      <c r="AJ86" s="182" t="s">
        <v>161</v>
      </c>
      <c r="AK86" s="182" t="s">
        <v>382</v>
      </c>
      <c r="AL86" s="182" t="s">
        <v>163</v>
      </c>
      <c r="AM86" s="184" t="s">
        <v>167</v>
      </c>
      <c r="AN86" s="525"/>
      <c r="AO86" s="182" t="s">
        <v>161</v>
      </c>
      <c r="AP86" s="182" t="s">
        <v>382</v>
      </c>
      <c r="AQ86" s="182" t="s">
        <v>163</v>
      </c>
      <c r="AR86" s="184" t="s">
        <v>167</v>
      </c>
      <c r="AS86" s="525"/>
      <c r="AT86" s="182" t="s">
        <v>161</v>
      </c>
      <c r="AU86" s="182" t="s">
        <v>382</v>
      </c>
      <c r="AV86" s="182" t="s">
        <v>163</v>
      </c>
      <c r="AW86" s="184" t="s">
        <v>167</v>
      </c>
      <c r="AX86" s="525"/>
    </row>
    <row r="87" spans="2:50" ht="14.25" customHeight="1">
      <c r="B87" s="525" t="s">
        <v>138</v>
      </c>
      <c r="C87" s="182">
        <v>1</v>
      </c>
      <c r="D87" s="185"/>
      <c r="E87" s="182"/>
      <c r="F87" s="182"/>
      <c r="G87" s="187"/>
      <c r="H87" s="554"/>
      <c r="I87" s="188"/>
      <c r="J87" s="188"/>
      <c r="K87" s="189"/>
      <c r="L87" s="555" t="str">
        <f>IFERROR(AVERAGE(K87:K101),"-")</f>
        <v>-</v>
      </c>
      <c r="M87" s="188" t="e">
        <f>RANK(K87, K$87:$K$101)</f>
        <v>#N/A</v>
      </c>
      <c r="N87" s="525"/>
      <c r="O87" s="525"/>
      <c r="P87" s="190"/>
      <c r="Q87" s="190"/>
      <c r="R87" s="187"/>
      <c r="S87" s="184"/>
      <c r="T87" s="554"/>
      <c r="U87" s="190"/>
      <c r="V87" s="190"/>
      <c r="W87" s="187"/>
      <c r="X87" s="184"/>
      <c r="Y87" s="554"/>
      <c r="Z87" s="190"/>
      <c r="AA87" s="190"/>
      <c r="AB87" s="187"/>
      <c r="AC87" s="184"/>
      <c r="AD87" s="554"/>
      <c r="AE87" s="190"/>
      <c r="AF87" s="190"/>
      <c r="AG87" s="187"/>
      <c r="AH87" s="184"/>
      <c r="AI87" s="554"/>
      <c r="AJ87" s="190"/>
      <c r="AK87" s="190"/>
      <c r="AL87" s="187"/>
      <c r="AM87" s="184"/>
      <c r="AN87" s="554"/>
      <c r="AO87" s="190"/>
      <c r="AP87" s="190"/>
      <c r="AQ87" s="187"/>
      <c r="AR87" s="184"/>
      <c r="AS87" s="554"/>
      <c r="AT87" s="190"/>
      <c r="AU87" s="190"/>
      <c r="AV87" s="187"/>
      <c r="AW87" s="184"/>
      <c r="AX87" s="554"/>
    </row>
    <row r="88" spans="2:50" ht="14.25" customHeight="1">
      <c r="B88" s="525"/>
      <c r="C88" s="182">
        <v>2</v>
      </c>
      <c r="D88" s="185"/>
      <c r="E88" s="182"/>
      <c r="F88" s="182"/>
      <c r="G88" s="187"/>
      <c r="H88" s="554"/>
      <c r="I88" s="188"/>
      <c r="J88" s="188"/>
      <c r="K88" s="189"/>
      <c r="L88" s="555"/>
      <c r="M88" s="188" t="e">
        <f>RANK(K88, K$87:$K$101)</f>
        <v>#N/A</v>
      </c>
      <c r="N88" s="525"/>
      <c r="O88" s="525"/>
      <c r="P88" s="190"/>
      <c r="Q88" s="190"/>
      <c r="R88" s="187"/>
      <c r="S88" s="184"/>
      <c r="T88" s="554"/>
      <c r="U88" s="190"/>
      <c r="V88" s="190"/>
      <c r="W88" s="187"/>
      <c r="X88" s="184"/>
      <c r="Y88" s="554"/>
      <c r="Z88" s="190"/>
      <c r="AA88" s="190"/>
      <c r="AB88" s="187"/>
      <c r="AC88" s="184"/>
      <c r="AD88" s="554"/>
      <c r="AE88" s="190"/>
      <c r="AF88" s="190"/>
      <c r="AG88" s="187"/>
      <c r="AH88" s="184"/>
      <c r="AI88" s="554"/>
      <c r="AJ88" s="190"/>
      <c r="AK88" s="190"/>
      <c r="AL88" s="187"/>
      <c r="AM88" s="184"/>
      <c r="AN88" s="554"/>
      <c r="AO88" s="190"/>
      <c r="AP88" s="190"/>
      <c r="AQ88" s="187"/>
      <c r="AR88" s="184"/>
      <c r="AS88" s="554"/>
      <c r="AT88" s="190"/>
      <c r="AU88" s="190"/>
      <c r="AV88" s="187"/>
      <c r="AW88" s="184"/>
      <c r="AX88" s="554"/>
    </row>
    <row r="89" spans="2:50" ht="14.25" customHeight="1">
      <c r="B89" s="525"/>
      <c r="C89" s="182">
        <v>3</v>
      </c>
      <c r="D89" s="185"/>
      <c r="E89" s="182"/>
      <c r="F89" s="182"/>
      <c r="G89" s="187"/>
      <c r="H89" s="554"/>
      <c r="I89" s="188"/>
      <c r="J89" s="188"/>
      <c r="K89" s="189"/>
      <c r="L89" s="555"/>
      <c r="M89" s="188"/>
      <c r="N89" s="525"/>
      <c r="O89" s="525"/>
      <c r="P89" s="190"/>
      <c r="Q89" s="190"/>
      <c r="R89" s="187"/>
      <c r="S89" s="184"/>
      <c r="T89" s="554"/>
      <c r="U89" s="190"/>
      <c r="V89" s="190"/>
      <c r="W89" s="187"/>
      <c r="X89" s="184"/>
      <c r="Y89" s="554"/>
      <c r="Z89" s="190"/>
      <c r="AA89" s="190"/>
      <c r="AB89" s="187"/>
      <c r="AC89" s="184"/>
      <c r="AD89" s="554"/>
      <c r="AE89" s="190"/>
      <c r="AF89" s="190"/>
      <c r="AG89" s="187"/>
      <c r="AH89" s="184"/>
      <c r="AI89" s="554"/>
      <c r="AJ89" s="190"/>
      <c r="AK89" s="190"/>
      <c r="AL89" s="187"/>
      <c r="AM89" s="184"/>
      <c r="AN89" s="554"/>
      <c r="AO89" s="190"/>
      <c r="AP89" s="190"/>
      <c r="AQ89" s="187"/>
      <c r="AR89" s="184"/>
      <c r="AS89" s="554"/>
      <c r="AT89" s="190"/>
      <c r="AU89" s="190"/>
      <c r="AV89" s="187"/>
      <c r="AW89" s="184"/>
      <c r="AX89" s="554"/>
    </row>
    <row r="90" spans="2:50" ht="14.25" customHeight="1">
      <c r="B90" s="525"/>
      <c r="C90" s="182">
        <v>4</v>
      </c>
      <c r="D90" s="185"/>
      <c r="E90" s="182"/>
      <c r="F90" s="182"/>
      <c r="G90" s="187"/>
      <c r="H90" s="554"/>
      <c r="I90" s="188"/>
      <c r="J90" s="188"/>
      <c r="K90" s="189"/>
      <c r="L90" s="555"/>
      <c r="M90" s="188"/>
      <c r="N90" s="525"/>
      <c r="O90" s="525"/>
      <c r="P90" s="190"/>
      <c r="Q90" s="190"/>
      <c r="R90" s="187"/>
      <c r="S90" s="184"/>
      <c r="T90" s="554"/>
      <c r="U90" s="190"/>
      <c r="V90" s="190"/>
      <c r="W90" s="187"/>
      <c r="X90" s="184"/>
      <c r="Y90" s="554"/>
      <c r="Z90" s="190"/>
      <c r="AA90" s="190"/>
      <c r="AB90" s="187"/>
      <c r="AC90" s="184"/>
      <c r="AD90" s="554"/>
      <c r="AE90" s="190"/>
      <c r="AF90" s="190"/>
      <c r="AG90" s="187"/>
      <c r="AH90" s="184"/>
      <c r="AI90" s="554"/>
      <c r="AJ90" s="190"/>
      <c r="AK90" s="190"/>
      <c r="AL90" s="187"/>
      <c r="AM90" s="184"/>
      <c r="AN90" s="554"/>
      <c r="AO90" s="190"/>
      <c r="AP90" s="190"/>
      <c r="AQ90" s="187"/>
      <c r="AR90" s="184"/>
      <c r="AS90" s="554"/>
      <c r="AT90" s="190"/>
      <c r="AU90" s="190"/>
      <c r="AV90" s="187"/>
      <c r="AW90" s="184"/>
      <c r="AX90" s="554"/>
    </row>
    <row r="91" spans="2:50" ht="14.25" customHeight="1">
      <c r="B91" s="525"/>
      <c r="C91" s="182">
        <v>5</v>
      </c>
      <c r="D91" s="185"/>
      <c r="E91" s="182"/>
      <c r="F91" s="182"/>
      <c r="G91" s="187"/>
      <c r="H91" s="554"/>
      <c r="I91" s="188"/>
      <c r="J91" s="188"/>
      <c r="K91" s="189"/>
      <c r="L91" s="555"/>
      <c r="M91" s="188"/>
      <c r="N91" s="525"/>
      <c r="O91" s="525"/>
      <c r="P91" s="190"/>
      <c r="Q91" s="190"/>
      <c r="R91" s="187"/>
      <c r="S91" s="184"/>
      <c r="T91" s="554"/>
      <c r="U91" s="190"/>
      <c r="V91" s="190"/>
      <c r="W91" s="187"/>
      <c r="X91" s="184"/>
      <c r="Y91" s="554"/>
      <c r="Z91" s="190"/>
      <c r="AA91" s="190"/>
      <c r="AB91" s="187"/>
      <c r="AC91" s="184"/>
      <c r="AD91" s="554"/>
      <c r="AE91" s="190"/>
      <c r="AF91" s="190"/>
      <c r="AG91" s="187"/>
      <c r="AH91" s="184"/>
      <c r="AI91" s="554"/>
      <c r="AJ91" s="190"/>
      <c r="AK91" s="190"/>
      <c r="AL91" s="187"/>
      <c r="AM91" s="184"/>
      <c r="AN91" s="554"/>
      <c r="AO91" s="190"/>
      <c r="AP91" s="190"/>
      <c r="AQ91" s="187"/>
      <c r="AR91" s="184"/>
      <c r="AS91" s="554"/>
      <c r="AT91" s="190"/>
      <c r="AU91" s="190"/>
      <c r="AV91" s="187"/>
      <c r="AW91" s="184"/>
      <c r="AX91" s="554"/>
    </row>
    <row r="92" spans="2:50" ht="14.25" customHeight="1">
      <c r="B92" s="525"/>
      <c r="C92" s="182">
        <v>6</v>
      </c>
      <c r="D92" s="185"/>
      <c r="E92" s="182"/>
      <c r="F92" s="182"/>
      <c r="G92" s="187"/>
      <c r="H92" s="554"/>
      <c r="I92" s="188"/>
      <c r="J92" s="188"/>
      <c r="K92" s="189"/>
      <c r="L92" s="555"/>
      <c r="M92" s="188"/>
      <c r="N92" s="525"/>
      <c r="O92" s="525"/>
      <c r="P92" s="190"/>
      <c r="Q92" s="190"/>
      <c r="R92" s="187"/>
      <c r="S92" s="184"/>
      <c r="T92" s="554"/>
      <c r="U92" s="190"/>
      <c r="V92" s="190"/>
      <c r="W92" s="187"/>
      <c r="X92" s="184"/>
      <c r="Y92" s="554"/>
      <c r="Z92" s="190"/>
      <c r="AA92" s="190"/>
      <c r="AB92" s="187"/>
      <c r="AC92" s="184"/>
      <c r="AD92" s="554"/>
      <c r="AE92" s="190"/>
      <c r="AF92" s="190"/>
      <c r="AG92" s="187"/>
      <c r="AH92" s="184"/>
      <c r="AI92" s="554"/>
      <c r="AJ92" s="190"/>
      <c r="AK92" s="190"/>
      <c r="AL92" s="187"/>
      <c r="AM92" s="184"/>
      <c r="AN92" s="554"/>
      <c r="AO92" s="190"/>
      <c r="AP92" s="190"/>
      <c r="AQ92" s="187"/>
      <c r="AR92" s="184"/>
      <c r="AS92" s="554"/>
      <c r="AT92" s="190"/>
      <c r="AU92" s="190"/>
      <c r="AV92" s="187"/>
      <c r="AW92" s="184"/>
      <c r="AX92" s="554"/>
    </row>
    <row r="93" spans="2:50" ht="14.25" customHeight="1">
      <c r="B93" s="525"/>
      <c r="C93" s="182">
        <v>7</v>
      </c>
      <c r="D93" s="185"/>
      <c r="E93" s="182"/>
      <c r="F93" s="182"/>
      <c r="G93" s="187"/>
      <c r="H93" s="554"/>
      <c r="I93" s="188"/>
      <c r="J93" s="188"/>
      <c r="K93" s="189"/>
      <c r="L93" s="555"/>
      <c r="M93" s="188"/>
      <c r="N93" s="525"/>
      <c r="O93" s="525"/>
      <c r="P93" s="190"/>
      <c r="Q93" s="190"/>
      <c r="R93" s="187"/>
      <c r="S93" s="184"/>
      <c r="T93" s="554"/>
      <c r="U93" s="190"/>
      <c r="V93" s="190"/>
      <c r="W93" s="187"/>
      <c r="X93" s="184"/>
      <c r="Y93" s="554"/>
      <c r="Z93" s="190"/>
      <c r="AA93" s="190"/>
      <c r="AB93" s="187"/>
      <c r="AC93" s="184"/>
      <c r="AD93" s="554"/>
      <c r="AE93" s="190"/>
      <c r="AF93" s="190"/>
      <c r="AG93" s="187"/>
      <c r="AH93" s="184"/>
      <c r="AI93" s="554"/>
      <c r="AJ93" s="190"/>
      <c r="AK93" s="190"/>
      <c r="AL93" s="187"/>
      <c r="AM93" s="184"/>
      <c r="AN93" s="554"/>
      <c r="AO93" s="190"/>
      <c r="AP93" s="190"/>
      <c r="AQ93" s="187"/>
      <c r="AR93" s="184"/>
      <c r="AS93" s="554"/>
      <c r="AT93" s="190"/>
      <c r="AU93" s="190"/>
      <c r="AV93" s="187"/>
      <c r="AW93" s="184"/>
      <c r="AX93" s="554"/>
    </row>
    <row r="94" spans="2:50" ht="14.25" customHeight="1">
      <c r="B94" s="525"/>
      <c r="C94" s="182">
        <v>8</v>
      </c>
      <c r="D94" s="185"/>
      <c r="E94" s="182"/>
      <c r="F94" s="182"/>
      <c r="G94" s="187"/>
      <c r="H94" s="554"/>
      <c r="I94" s="188"/>
      <c r="J94" s="188"/>
      <c r="K94" s="189"/>
      <c r="L94" s="555"/>
      <c r="M94" s="188"/>
      <c r="N94" s="525"/>
      <c r="O94" s="525"/>
      <c r="P94" s="190"/>
      <c r="Q94" s="190"/>
      <c r="R94" s="187"/>
      <c r="S94" s="184"/>
      <c r="T94" s="554"/>
      <c r="U94" s="190"/>
      <c r="V94" s="190"/>
      <c r="W94" s="187"/>
      <c r="X94" s="184"/>
      <c r="Y94" s="554"/>
      <c r="Z94" s="190"/>
      <c r="AA94" s="190"/>
      <c r="AB94" s="187"/>
      <c r="AC94" s="184"/>
      <c r="AD94" s="554"/>
      <c r="AE94" s="190"/>
      <c r="AF94" s="190"/>
      <c r="AG94" s="187"/>
      <c r="AH94" s="184"/>
      <c r="AI94" s="554"/>
      <c r="AJ94" s="190"/>
      <c r="AK94" s="190"/>
      <c r="AL94" s="187"/>
      <c r="AM94" s="184"/>
      <c r="AN94" s="554"/>
      <c r="AO94" s="190"/>
      <c r="AP94" s="190"/>
      <c r="AQ94" s="187"/>
      <c r="AR94" s="184"/>
      <c r="AS94" s="554"/>
      <c r="AT94" s="190"/>
      <c r="AU94" s="190"/>
      <c r="AV94" s="187"/>
      <c r="AW94" s="184"/>
      <c r="AX94" s="554"/>
    </row>
    <row r="95" spans="2:50" ht="14.25" customHeight="1">
      <c r="B95" s="525"/>
      <c r="C95" s="182">
        <v>9</v>
      </c>
      <c r="D95" s="185"/>
      <c r="E95" s="182"/>
      <c r="F95" s="182"/>
      <c r="G95" s="187"/>
      <c r="H95" s="554"/>
      <c r="I95" s="188"/>
      <c r="J95" s="188"/>
      <c r="K95" s="189"/>
      <c r="L95" s="555"/>
      <c r="M95" s="188"/>
      <c r="N95" s="525"/>
      <c r="O95" s="525"/>
      <c r="P95" s="190"/>
      <c r="Q95" s="190"/>
      <c r="R95" s="187"/>
      <c r="S95" s="184"/>
      <c r="T95" s="554"/>
      <c r="U95" s="190"/>
      <c r="V95" s="190"/>
      <c r="W95" s="187"/>
      <c r="X95" s="184"/>
      <c r="Y95" s="554"/>
      <c r="Z95" s="190"/>
      <c r="AA95" s="190"/>
      <c r="AB95" s="187"/>
      <c r="AC95" s="184"/>
      <c r="AD95" s="554"/>
      <c r="AE95" s="190"/>
      <c r="AF95" s="190"/>
      <c r="AG95" s="187"/>
      <c r="AH95" s="184"/>
      <c r="AI95" s="554"/>
      <c r="AJ95" s="190"/>
      <c r="AK95" s="190"/>
      <c r="AL95" s="187"/>
      <c r="AM95" s="184"/>
      <c r="AN95" s="554"/>
      <c r="AO95" s="190"/>
      <c r="AP95" s="190"/>
      <c r="AQ95" s="187"/>
      <c r="AR95" s="184"/>
      <c r="AS95" s="554"/>
      <c r="AT95" s="190"/>
      <c r="AU95" s="190"/>
      <c r="AV95" s="187"/>
      <c r="AW95" s="184"/>
      <c r="AX95" s="554"/>
    </row>
    <row r="96" spans="2:50" ht="14.25" customHeight="1">
      <c r="B96" s="525"/>
      <c r="C96" s="182">
        <v>10</v>
      </c>
      <c r="D96" s="185"/>
      <c r="E96" s="182"/>
      <c r="F96" s="182"/>
      <c r="G96" s="187"/>
      <c r="H96" s="554"/>
      <c r="I96" s="188"/>
      <c r="J96" s="188"/>
      <c r="K96" s="189"/>
      <c r="L96" s="555"/>
      <c r="M96" s="188"/>
      <c r="N96" s="525"/>
      <c r="O96" s="525"/>
      <c r="P96" s="190"/>
      <c r="Q96" s="190"/>
      <c r="R96" s="187"/>
      <c r="S96" s="184"/>
      <c r="T96" s="554"/>
      <c r="U96" s="190"/>
      <c r="V96" s="190"/>
      <c r="W96" s="187"/>
      <c r="X96" s="184"/>
      <c r="Y96" s="554"/>
      <c r="Z96" s="190"/>
      <c r="AA96" s="190"/>
      <c r="AB96" s="187"/>
      <c r="AC96" s="184"/>
      <c r="AD96" s="554"/>
      <c r="AE96" s="190"/>
      <c r="AF96" s="190"/>
      <c r="AG96" s="187"/>
      <c r="AH96" s="184"/>
      <c r="AI96" s="554"/>
      <c r="AJ96" s="190"/>
      <c r="AK96" s="190"/>
      <c r="AL96" s="187"/>
      <c r="AM96" s="184"/>
      <c r="AN96" s="554"/>
      <c r="AO96" s="190"/>
      <c r="AP96" s="190"/>
      <c r="AQ96" s="187"/>
      <c r="AR96" s="184"/>
      <c r="AS96" s="554"/>
      <c r="AT96" s="190"/>
      <c r="AU96" s="190"/>
      <c r="AV96" s="187"/>
      <c r="AW96" s="184"/>
      <c r="AX96" s="554"/>
    </row>
    <row r="97" spans="2:50" ht="14.25" customHeight="1">
      <c r="B97" s="525"/>
      <c r="C97" s="182">
        <v>11</v>
      </c>
      <c r="D97" s="185"/>
      <c r="E97" s="182"/>
      <c r="F97" s="182"/>
      <c r="G97" s="187"/>
      <c r="H97" s="554"/>
      <c r="I97" s="188"/>
      <c r="J97" s="188"/>
      <c r="K97" s="189"/>
      <c r="L97" s="555"/>
      <c r="M97" s="188"/>
      <c r="N97" s="525"/>
      <c r="O97" s="525"/>
      <c r="P97" s="190"/>
      <c r="Q97" s="190"/>
      <c r="R97" s="187"/>
      <c r="S97" s="184"/>
      <c r="T97" s="554"/>
      <c r="U97" s="190"/>
      <c r="V97" s="190"/>
      <c r="W97" s="187"/>
      <c r="X97" s="184"/>
      <c r="Y97" s="554"/>
      <c r="Z97" s="190"/>
      <c r="AA97" s="190"/>
      <c r="AB97" s="187"/>
      <c r="AC97" s="184"/>
      <c r="AD97" s="554"/>
      <c r="AE97" s="190"/>
      <c r="AF97" s="190"/>
      <c r="AG97" s="187"/>
      <c r="AH97" s="184"/>
      <c r="AI97" s="554"/>
      <c r="AJ97" s="190"/>
      <c r="AK97" s="190"/>
      <c r="AL97" s="187"/>
      <c r="AM97" s="184"/>
      <c r="AN97" s="554"/>
      <c r="AO97" s="190"/>
      <c r="AP97" s="190"/>
      <c r="AQ97" s="187"/>
      <c r="AR97" s="184"/>
      <c r="AS97" s="554"/>
      <c r="AT97" s="190"/>
      <c r="AU97" s="190"/>
      <c r="AV97" s="187"/>
      <c r="AW97" s="184"/>
      <c r="AX97" s="554"/>
    </row>
    <row r="98" spans="2:50" ht="14.25" customHeight="1">
      <c r="B98" s="525"/>
      <c r="C98" s="182">
        <v>12</v>
      </c>
      <c r="D98" s="185"/>
      <c r="E98" s="182"/>
      <c r="F98" s="182"/>
      <c r="G98" s="187"/>
      <c r="H98" s="554"/>
      <c r="I98" s="188"/>
      <c r="J98" s="188"/>
      <c r="K98" s="189"/>
      <c r="L98" s="555"/>
      <c r="M98" s="188"/>
      <c r="N98" s="525"/>
      <c r="O98" s="525"/>
      <c r="P98" s="190"/>
      <c r="Q98" s="190"/>
      <c r="R98" s="187"/>
      <c r="S98" s="184"/>
      <c r="T98" s="554"/>
      <c r="U98" s="190"/>
      <c r="V98" s="190"/>
      <c r="W98" s="187"/>
      <c r="X98" s="184"/>
      <c r="Y98" s="554"/>
      <c r="Z98" s="190"/>
      <c r="AA98" s="190"/>
      <c r="AB98" s="187"/>
      <c r="AC98" s="184"/>
      <c r="AD98" s="554"/>
      <c r="AE98" s="190"/>
      <c r="AF98" s="190"/>
      <c r="AG98" s="187"/>
      <c r="AH98" s="184"/>
      <c r="AI98" s="554"/>
      <c r="AJ98" s="190"/>
      <c r="AK98" s="190"/>
      <c r="AL98" s="187"/>
      <c r="AM98" s="184"/>
      <c r="AN98" s="554"/>
      <c r="AO98" s="190"/>
      <c r="AP98" s="190"/>
      <c r="AQ98" s="187"/>
      <c r="AR98" s="184"/>
      <c r="AS98" s="554"/>
      <c r="AT98" s="190"/>
      <c r="AU98" s="190"/>
      <c r="AV98" s="187"/>
      <c r="AW98" s="184"/>
      <c r="AX98" s="554"/>
    </row>
    <row r="99" spans="2:50" ht="14.25" customHeight="1">
      <c r="B99" s="525"/>
      <c r="C99" s="182">
        <v>13</v>
      </c>
      <c r="D99" s="185"/>
      <c r="E99" s="182"/>
      <c r="F99" s="182"/>
      <c r="G99" s="187"/>
      <c r="H99" s="554"/>
      <c r="I99" s="188"/>
      <c r="J99" s="188"/>
      <c r="K99" s="189"/>
      <c r="L99" s="555"/>
      <c r="M99" s="188"/>
      <c r="N99" s="525"/>
      <c r="O99" s="525"/>
      <c r="P99" s="190"/>
      <c r="Q99" s="190"/>
      <c r="R99" s="187"/>
      <c r="S99" s="184"/>
      <c r="T99" s="554"/>
      <c r="U99" s="190"/>
      <c r="V99" s="190"/>
      <c r="W99" s="187"/>
      <c r="X99" s="184"/>
      <c r="Y99" s="554"/>
      <c r="Z99" s="190"/>
      <c r="AA99" s="190"/>
      <c r="AB99" s="187"/>
      <c r="AC99" s="184"/>
      <c r="AD99" s="554"/>
      <c r="AE99" s="190"/>
      <c r="AF99" s="190"/>
      <c r="AG99" s="187"/>
      <c r="AH99" s="184"/>
      <c r="AI99" s="554"/>
      <c r="AJ99" s="190"/>
      <c r="AK99" s="190"/>
      <c r="AL99" s="187"/>
      <c r="AM99" s="184"/>
      <c r="AN99" s="554"/>
      <c r="AO99" s="190"/>
      <c r="AP99" s="190"/>
      <c r="AQ99" s="187"/>
      <c r="AR99" s="184"/>
      <c r="AS99" s="554"/>
      <c r="AT99" s="190"/>
      <c r="AU99" s="190"/>
      <c r="AV99" s="187"/>
      <c r="AW99" s="184"/>
      <c r="AX99" s="554"/>
    </row>
    <row r="100" spans="2:50" ht="14.25" customHeight="1">
      <c r="B100" s="525"/>
      <c r="C100" s="182">
        <v>14</v>
      </c>
      <c r="D100" s="185"/>
      <c r="E100" s="182"/>
      <c r="F100" s="182"/>
      <c r="G100" s="187"/>
      <c r="H100" s="554"/>
      <c r="I100" s="188"/>
      <c r="J100" s="188"/>
      <c r="K100" s="189"/>
      <c r="L100" s="555"/>
      <c r="M100" s="188"/>
      <c r="N100" s="525"/>
      <c r="O100" s="525"/>
      <c r="P100" s="190"/>
      <c r="Q100" s="190"/>
      <c r="R100" s="187"/>
      <c r="S100" s="184"/>
      <c r="T100" s="554"/>
      <c r="U100" s="190"/>
      <c r="V100" s="190"/>
      <c r="W100" s="187"/>
      <c r="X100" s="184"/>
      <c r="Y100" s="554"/>
      <c r="Z100" s="190"/>
      <c r="AA100" s="190"/>
      <c r="AB100" s="187"/>
      <c r="AC100" s="184"/>
      <c r="AD100" s="554"/>
      <c r="AE100" s="190"/>
      <c r="AF100" s="190"/>
      <c r="AG100" s="187"/>
      <c r="AH100" s="184"/>
      <c r="AI100" s="554"/>
      <c r="AJ100" s="190"/>
      <c r="AK100" s="190"/>
      <c r="AL100" s="187"/>
      <c r="AM100" s="184"/>
      <c r="AN100" s="554"/>
      <c r="AO100" s="190"/>
      <c r="AP100" s="190"/>
      <c r="AQ100" s="187"/>
      <c r="AR100" s="184"/>
      <c r="AS100" s="554"/>
      <c r="AT100" s="190"/>
      <c r="AU100" s="190"/>
      <c r="AV100" s="187"/>
      <c r="AW100" s="184"/>
      <c r="AX100" s="554"/>
    </row>
    <row r="101" spans="2:50" ht="14.25" customHeight="1">
      <c r="B101" s="525"/>
      <c r="C101" s="182">
        <v>15</v>
      </c>
      <c r="D101" s="185"/>
      <c r="E101" s="182"/>
      <c r="F101" s="182"/>
      <c r="G101" s="187"/>
      <c r="H101" s="554"/>
      <c r="I101" s="188"/>
      <c r="J101" s="188"/>
      <c r="K101" s="189"/>
      <c r="L101" s="555"/>
      <c r="M101" s="188"/>
      <c r="N101" s="525"/>
      <c r="O101" s="525"/>
      <c r="P101" s="190"/>
      <c r="Q101" s="190"/>
      <c r="R101" s="187"/>
      <c r="S101" s="184"/>
      <c r="T101" s="554"/>
      <c r="U101" s="190"/>
      <c r="V101" s="190"/>
      <c r="W101" s="187"/>
      <c r="X101" s="184"/>
      <c r="Y101" s="554"/>
      <c r="Z101" s="190"/>
      <c r="AA101" s="190"/>
      <c r="AB101" s="187"/>
      <c r="AC101" s="184"/>
      <c r="AD101" s="554"/>
      <c r="AE101" s="190"/>
      <c r="AF101" s="190"/>
      <c r="AG101" s="187"/>
      <c r="AH101" s="184"/>
      <c r="AI101" s="554"/>
      <c r="AJ101" s="190"/>
      <c r="AK101" s="190"/>
      <c r="AL101" s="187"/>
      <c r="AM101" s="184"/>
      <c r="AN101" s="554"/>
      <c r="AO101" s="190"/>
      <c r="AP101" s="190"/>
      <c r="AQ101" s="187"/>
      <c r="AR101" s="184"/>
      <c r="AS101" s="554"/>
      <c r="AT101" s="190"/>
      <c r="AU101" s="190"/>
      <c r="AV101" s="187"/>
      <c r="AW101" s="184"/>
      <c r="AX101" s="554"/>
    </row>
    <row r="102" spans="2:50" ht="14.25" customHeight="1" collapsed="1">
      <c r="B102" s="534" t="s">
        <v>650</v>
      </c>
      <c r="C102" s="535"/>
      <c r="D102" s="535"/>
      <c r="E102" s="535"/>
      <c r="F102" s="535"/>
      <c r="G102" s="535"/>
      <c r="H102" s="535"/>
      <c r="I102" s="535"/>
      <c r="J102" s="535"/>
      <c r="K102" s="535"/>
      <c r="L102" s="535"/>
      <c r="M102" s="536"/>
      <c r="N102" s="564" t="s">
        <v>378</v>
      </c>
      <c r="O102" s="564" t="s">
        <v>105</v>
      </c>
      <c r="P102" s="566">
        <f>AT82+1</f>
        <v>46112</v>
      </c>
      <c r="Q102" s="567"/>
      <c r="R102" s="567"/>
      <c r="S102" s="567"/>
      <c r="T102" s="567"/>
      <c r="U102" s="568">
        <f>P102+1</f>
        <v>46113</v>
      </c>
      <c r="V102" s="569"/>
      <c r="W102" s="569"/>
      <c r="X102" s="569"/>
      <c r="Y102" s="569"/>
      <c r="Z102" s="566">
        <f t="shared" ref="Z102" si="72">U102+1</f>
        <v>46114</v>
      </c>
      <c r="AA102" s="567"/>
      <c r="AB102" s="567"/>
      <c r="AC102" s="567"/>
      <c r="AD102" s="567"/>
      <c r="AE102" s="568">
        <f t="shared" ref="AE102" si="73">Z102+1</f>
        <v>46115</v>
      </c>
      <c r="AF102" s="569"/>
      <c r="AG102" s="569"/>
      <c r="AH102" s="569"/>
      <c r="AI102" s="569"/>
      <c r="AJ102" s="556">
        <f t="shared" ref="AJ102" si="74">AE102+1</f>
        <v>46116</v>
      </c>
      <c r="AK102" s="557"/>
      <c r="AL102" s="557"/>
      <c r="AM102" s="557"/>
      <c r="AN102" s="558"/>
      <c r="AO102" s="568">
        <f t="shared" ref="AO102" si="75">AJ102+1</f>
        <v>46117</v>
      </c>
      <c r="AP102" s="569"/>
      <c r="AQ102" s="569"/>
      <c r="AR102" s="569"/>
      <c r="AS102" s="569"/>
      <c r="AT102" s="556">
        <f t="shared" ref="AT102" si="76">AO102+1</f>
        <v>46118</v>
      </c>
      <c r="AU102" s="557"/>
      <c r="AV102" s="557"/>
      <c r="AW102" s="557"/>
      <c r="AX102" s="558"/>
    </row>
    <row r="103" spans="2:50" ht="14.25" customHeight="1">
      <c r="B103" s="537"/>
      <c r="C103" s="537"/>
      <c r="D103" s="537"/>
      <c r="E103" s="537"/>
      <c r="F103" s="537"/>
      <c r="G103" s="537"/>
      <c r="H103" s="537"/>
      <c r="I103" s="537"/>
      <c r="J103" s="537"/>
      <c r="K103" s="537"/>
      <c r="L103" s="537"/>
      <c r="M103" s="538"/>
      <c r="N103" s="565"/>
      <c r="O103" s="565"/>
      <c r="P103" s="559">
        <f>P102</f>
        <v>46112</v>
      </c>
      <c r="Q103" s="559"/>
      <c r="R103" s="559"/>
      <c r="S103" s="559"/>
      <c r="T103" s="559"/>
      <c r="U103" s="560">
        <f>U102</f>
        <v>46113</v>
      </c>
      <c r="V103" s="560"/>
      <c r="W103" s="560"/>
      <c r="X103" s="560"/>
      <c r="Y103" s="560"/>
      <c r="Z103" s="559">
        <f t="shared" ref="Z103" si="77">Z102</f>
        <v>46114</v>
      </c>
      <c r="AA103" s="559"/>
      <c r="AB103" s="559"/>
      <c r="AC103" s="559"/>
      <c r="AD103" s="559"/>
      <c r="AE103" s="560">
        <f t="shared" ref="AE103" si="78">AE102</f>
        <v>46115</v>
      </c>
      <c r="AF103" s="560"/>
      <c r="AG103" s="560"/>
      <c r="AH103" s="560"/>
      <c r="AI103" s="560"/>
      <c r="AJ103" s="561">
        <f t="shared" ref="AJ103" si="79">AJ102</f>
        <v>46116</v>
      </c>
      <c r="AK103" s="562"/>
      <c r="AL103" s="562"/>
      <c r="AM103" s="562"/>
      <c r="AN103" s="563"/>
      <c r="AO103" s="560">
        <f t="shared" ref="AO103" si="80">AO102</f>
        <v>46117</v>
      </c>
      <c r="AP103" s="560"/>
      <c r="AQ103" s="560"/>
      <c r="AR103" s="560"/>
      <c r="AS103" s="560"/>
      <c r="AT103" s="561">
        <f t="shared" ref="AT103" si="81">AT102</f>
        <v>46118</v>
      </c>
      <c r="AU103" s="562"/>
      <c r="AV103" s="562"/>
      <c r="AW103" s="562"/>
      <c r="AX103" s="563"/>
    </row>
    <row r="104" spans="2:50" ht="14.25" customHeight="1">
      <c r="B104" s="525" t="s">
        <v>164</v>
      </c>
      <c r="C104" s="525" t="s">
        <v>159</v>
      </c>
      <c r="D104" s="525"/>
      <c r="E104" s="525" t="s">
        <v>160</v>
      </c>
      <c r="F104" s="525"/>
      <c r="G104" s="525"/>
      <c r="H104" s="525" t="s">
        <v>165</v>
      </c>
      <c r="I104" s="544" t="s">
        <v>379</v>
      </c>
      <c r="J104" s="544"/>
      <c r="K104" s="544"/>
      <c r="L104" s="544" t="s">
        <v>165</v>
      </c>
      <c r="M104" s="544" t="s">
        <v>167</v>
      </c>
      <c r="N104" s="525"/>
      <c r="O104" s="525" t="s">
        <v>166</v>
      </c>
      <c r="P104" s="525" t="s">
        <v>162</v>
      </c>
      <c r="Q104" s="525"/>
      <c r="R104" s="525"/>
      <c r="S104" s="525"/>
      <c r="T104" s="525" t="s">
        <v>165</v>
      </c>
      <c r="U104" s="525" t="s">
        <v>162</v>
      </c>
      <c r="V104" s="525"/>
      <c r="W104" s="525"/>
      <c r="X104" s="525"/>
      <c r="Y104" s="525" t="s">
        <v>165</v>
      </c>
      <c r="Z104" s="525" t="s">
        <v>162</v>
      </c>
      <c r="AA104" s="525"/>
      <c r="AB104" s="525"/>
      <c r="AC104" s="525"/>
      <c r="AD104" s="525" t="s">
        <v>165</v>
      </c>
      <c r="AE104" s="525" t="s">
        <v>162</v>
      </c>
      <c r="AF104" s="525"/>
      <c r="AG104" s="525"/>
      <c r="AH104" s="525"/>
      <c r="AI104" s="525" t="s">
        <v>165</v>
      </c>
      <c r="AJ104" s="525" t="s">
        <v>162</v>
      </c>
      <c r="AK104" s="525"/>
      <c r="AL104" s="525"/>
      <c r="AM104" s="525"/>
      <c r="AN104" s="525" t="s">
        <v>165</v>
      </c>
      <c r="AO104" s="525" t="s">
        <v>162</v>
      </c>
      <c r="AP104" s="525"/>
      <c r="AQ104" s="525"/>
      <c r="AR104" s="525"/>
      <c r="AS104" s="525" t="s">
        <v>165</v>
      </c>
      <c r="AT104" s="525" t="s">
        <v>162</v>
      </c>
      <c r="AU104" s="525"/>
      <c r="AV104" s="525"/>
      <c r="AW104" s="525"/>
      <c r="AX104" s="525" t="s">
        <v>165</v>
      </c>
    </row>
    <row r="105" spans="2:50" ht="14.25" customHeight="1">
      <c r="B105" s="525"/>
      <c r="C105" s="525"/>
      <c r="D105" s="525"/>
      <c r="E105" s="525" t="s">
        <v>380</v>
      </c>
      <c r="F105" s="525"/>
      <c r="G105" s="525"/>
      <c r="H105" s="525"/>
      <c r="I105" s="544" t="s">
        <v>380</v>
      </c>
      <c r="J105" s="544"/>
      <c r="K105" s="544"/>
      <c r="L105" s="544"/>
      <c r="M105" s="544"/>
      <c r="N105" s="525"/>
      <c r="O105" s="525"/>
      <c r="P105" s="525" t="s">
        <v>381</v>
      </c>
      <c r="Q105" s="525"/>
      <c r="R105" s="525"/>
      <c r="S105" s="525"/>
      <c r="T105" s="525"/>
      <c r="U105" s="525" t="s">
        <v>381</v>
      </c>
      <c r="V105" s="525"/>
      <c r="W105" s="525"/>
      <c r="X105" s="525"/>
      <c r="Y105" s="525"/>
      <c r="Z105" s="525" t="s">
        <v>381</v>
      </c>
      <c r="AA105" s="525"/>
      <c r="AB105" s="525"/>
      <c r="AC105" s="525"/>
      <c r="AD105" s="525"/>
      <c r="AE105" s="525" t="s">
        <v>381</v>
      </c>
      <c r="AF105" s="525"/>
      <c r="AG105" s="525"/>
      <c r="AH105" s="525"/>
      <c r="AI105" s="525"/>
      <c r="AJ105" s="525" t="s">
        <v>381</v>
      </c>
      <c r="AK105" s="525"/>
      <c r="AL105" s="525"/>
      <c r="AM105" s="525"/>
      <c r="AN105" s="525"/>
      <c r="AO105" s="525" t="s">
        <v>381</v>
      </c>
      <c r="AP105" s="525"/>
      <c r="AQ105" s="525"/>
      <c r="AR105" s="525"/>
      <c r="AS105" s="525"/>
      <c r="AT105" s="525" t="s">
        <v>381</v>
      </c>
      <c r="AU105" s="525"/>
      <c r="AV105" s="525"/>
      <c r="AW105" s="525"/>
      <c r="AX105" s="525"/>
    </row>
    <row r="106" spans="2:50" ht="14.25" customHeight="1">
      <c r="B106" s="525"/>
      <c r="C106" s="525"/>
      <c r="D106" s="525"/>
      <c r="E106" s="182" t="s">
        <v>161</v>
      </c>
      <c r="F106" s="182" t="s">
        <v>382</v>
      </c>
      <c r="G106" s="182" t="s">
        <v>163</v>
      </c>
      <c r="H106" s="525"/>
      <c r="I106" s="183" t="s">
        <v>161</v>
      </c>
      <c r="J106" s="183" t="s">
        <v>382</v>
      </c>
      <c r="K106" s="183" t="s">
        <v>163</v>
      </c>
      <c r="L106" s="544"/>
      <c r="M106" s="544"/>
      <c r="N106" s="525"/>
      <c r="O106" s="525"/>
      <c r="P106" s="182" t="s">
        <v>161</v>
      </c>
      <c r="Q106" s="182" t="s">
        <v>382</v>
      </c>
      <c r="R106" s="182" t="s">
        <v>163</v>
      </c>
      <c r="S106" s="184" t="s">
        <v>167</v>
      </c>
      <c r="T106" s="525"/>
      <c r="U106" s="182" t="s">
        <v>161</v>
      </c>
      <c r="V106" s="182" t="s">
        <v>382</v>
      </c>
      <c r="W106" s="182" t="s">
        <v>163</v>
      </c>
      <c r="X106" s="184" t="s">
        <v>167</v>
      </c>
      <c r="Y106" s="525"/>
      <c r="Z106" s="182" t="s">
        <v>161</v>
      </c>
      <c r="AA106" s="182" t="s">
        <v>382</v>
      </c>
      <c r="AB106" s="182" t="s">
        <v>163</v>
      </c>
      <c r="AC106" s="184" t="s">
        <v>167</v>
      </c>
      <c r="AD106" s="525"/>
      <c r="AE106" s="182" t="s">
        <v>161</v>
      </c>
      <c r="AF106" s="182" t="s">
        <v>382</v>
      </c>
      <c r="AG106" s="182" t="s">
        <v>163</v>
      </c>
      <c r="AH106" s="184" t="s">
        <v>167</v>
      </c>
      <c r="AI106" s="525"/>
      <c r="AJ106" s="182" t="s">
        <v>161</v>
      </c>
      <c r="AK106" s="182" t="s">
        <v>382</v>
      </c>
      <c r="AL106" s="182" t="s">
        <v>163</v>
      </c>
      <c r="AM106" s="184" t="s">
        <v>167</v>
      </c>
      <c r="AN106" s="525"/>
      <c r="AO106" s="182" t="s">
        <v>161</v>
      </c>
      <c r="AP106" s="182" t="s">
        <v>382</v>
      </c>
      <c r="AQ106" s="182" t="s">
        <v>163</v>
      </c>
      <c r="AR106" s="184" t="s">
        <v>167</v>
      </c>
      <c r="AS106" s="525"/>
      <c r="AT106" s="182" t="s">
        <v>161</v>
      </c>
      <c r="AU106" s="182" t="s">
        <v>382</v>
      </c>
      <c r="AV106" s="182" t="s">
        <v>163</v>
      </c>
      <c r="AW106" s="184" t="s">
        <v>167</v>
      </c>
      <c r="AX106" s="525"/>
    </row>
    <row r="107" spans="2:50" ht="14.25" customHeight="1">
      <c r="B107" s="525" t="s">
        <v>138</v>
      </c>
      <c r="C107" s="182">
        <v>1</v>
      </c>
      <c r="D107" s="185"/>
      <c r="E107" s="182"/>
      <c r="F107" s="182"/>
      <c r="G107" s="187"/>
      <c r="H107" s="554"/>
      <c r="I107" s="188"/>
      <c r="J107" s="188"/>
      <c r="K107" s="189"/>
      <c r="L107" s="555" t="str">
        <f>IFERROR(AVERAGE(K107:K121),"-")</f>
        <v>-</v>
      </c>
      <c r="M107" s="188" t="e">
        <f>RANK(K107, K$87:$K$101)</f>
        <v>#N/A</v>
      </c>
      <c r="N107" s="525"/>
      <c r="O107" s="525"/>
      <c r="P107" s="190"/>
      <c r="Q107" s="190"/>
      <c r="R107" s="187"/>
      <c r="S107" s="184"/>
      <c r="T107" s="554"/>
      <c r="U107" s="190"/>
      <c r="V107" s="190"/>
      <c r="W107" s="187"/>
      <c r="X107" s="184"/>
      <c r="Y107" s="554"/>
      <c r="Z107" s="190"/>
      <c r="AA107" s="190"/>
      <c r="AB107" s="187"/>
      <c r="AC107" s="184"/>
      <c r="AD107" s="554"/>
      <c r="AE107" s="190"/>
      <c r="AF107" s="190"/>
      <c r="AG107" s="187"/>
      <c r="AH107" s="184"/>
      <c r="AI107" s="554"/>
      <c r="AJ107" s="190"/>
      <c r="AK107" s="190"/>
      <c r="AL107" s="187"/>
      <c r="AM107" s="184"/>
      <c r="AN107" s="554"/>
      <c r="AO107" s="190"/>
      <c r="AP107" s="190"/>
      <c r="AQ107" s="187"/>
      <c r="AR107" s="184"/>
      <c r="AS107" s="554"/>
      <c r="AT107" s="190"/>
      <c r="AU107" s="190"/>
      <c r="AV107" s="187"/>
      <c r="AW107" s="184"/>
      <c r="AX107" s="554"/>
    </row>
    <row r="108" spans="2:50" ht="14.25" customHeight="1">
      <c r="B108" s="525"/>
      <c r="C108" s="182">
        <v>2</v>
      </c>
      <c r="D108" s="185"/>
      <c r="E108" s="182"/>
      <c r="F108" s="182"/>
      <c r="G108" s="187"/>
      <c r="H108" s="554"/>
      <c r="I108" s="188"/>
      <c r="J108" s="188"/>
      <c r="K108" s="189"/>
      <c r="L108" s="555"/>
      <c r="M108" s="188" t="e">
        <f>RANK(K108, K$87:$K$101)</f>
        <v>#N/A</v>
      </c>
      <c r="N108" s="525"/>
      <c r="O108" s="525"/>
      <c r="P108" s="190"/>
      <c r="Q108" s="190"/>
      <c r="R108" s="187"/>
      <c r="S108" s="184"/>
      <c r="T108" s="554"/>
      <c r="U108" s="190"/>
      <c r="V108" s="190"/>
      <c r="W108" s="187"/>
      <c r="X108" s="184"/>
      <c r="Y108" s="554"/>
      <c r="Z108" s="190"/>
      <c r="AA108" s="190"/>
      <c r="AB108" s="187"/>
      <c r="AC108" s="184"/>
      <c r="AD108" s="554"/>
      <c r="AE108" s="190"/>
      <c r="AF108" s="190"/>
      <c r="AG108" s="187"/>
      <c r="AH108" s="184"/>
      <c r="AI108" s="554"/>
      <c r="AJ108" s="190"/>
      <c r="AK108" s="190"/>
      <c r="AL108" s="187"/>
      <c r="AM108" s="184"/>
      <c r="AN108" s="554"/>
      <c r="AO108" s="190"/>
      <c r="AP108" s="190"/>
      <c r="AQ108" s="187"/>
      <c r="AR108" s="184"/>
      <c r="AS108" s="554"/>
      <c r="AT108" s="190"/>
      <c r="AU108" s="190"/>
      <c r="AV108" s="187"/>
      <c r="AW108" s="184"/>
      <c r="AX108" s="554"/>
    </row>
    <row r="109" spans="2:50" ht="14.25" customHeight="1">
      <c r="B109" s="525"/>
      <c r="C109" s="182">
        <v>3</v>
      </c>
      <c r="D109" s="185"/>
      <c r="E109" s="182"/>
      <c r="F109" s="182"/>
      <c r="G109" s="187"/>
      <c r="H109" s="554"/>
      <c r="I109" s="188"/>
      <c r="J109" s="188"/>
      <c r="K109" s="189"/>
      <c r="L109" s="555"/>
      <c r="M109" s="188"/>
      <c r="N109" s="525"/>
      <c r="O109" s="525"/>
      <c r="P109" s="190"/>
      <c r="Q109" s="190"/>
      <c r="R109" s="187"/>
      <c r="S109" s="184"/>
      <c r="T109" s="554"/>
      <c r="U109" s="190"/>
      <c r="V109" s="190"/>
      <c r="W109" s="187"/>
      <c r="X109" s="184"/>
      <c r="Y109" s="554"/>
      <c r="Z109" s="190"/>
      <c r="AA109" s="190"/>
      <c r="AB109" s="187"/>
      <c r="AC109" s="184"/>
      <c r="AD109" s="554"/>
      <c r="AE109" s="190"/>
      <c r="AF109" s="190"/>
      <c r="AG109" s="187"/>
      <c r="AH109" s="184"/>
      <c r="AI109" s="554"/>
      <c r="AJ109" s="190"/>
      <c r="AK109" s="190"/>
      <c r="AL109" s="187"/>
      <c r="AM109" s="184"/>
      <c r="AN109" s="554"/>
      <c r="AO109" s="190"/>
      <c r="AP109" s="190"/>
      <c r="AQ109" s="187"/>
      <c r="AR109" s="184"/>
      <c r="AS109" s="554"/>
      <c r="AT109" s="190"/>
      <c r="AU109" s="190"/>
      <c r="AV109" s="187"/>
      <c r="AW109" s="184"/>
      <c r="AX109" s="554"/>
    </row>
    <row r="110" spans="2:50" ht="14.25" customHeight="1">
      <c r="B110" s="525"/>
      <c r="C110" s="182">
        <v>4</v>
      </c>
      <c r="D110" s="185"/>
      <c r="E110" s="182"/>
      <c r="F110" s="182"/>
      <c r="G110" s="187"/>
      <c r="H110" s="554"/>
      <c r="I110" s="188"/>
      <c r="J110" s="188"/>
      <c r="K110" s="189"/>
      <c r="L110" s="555"/>
      <c r="M110" s="188"/>
      <c r="N110" s="525"/>
      <c r="O110" s="525"/>
      <c r="P110" s="190"/>
      <c r="Q110" s="190"/>
      <c r="R110" s="187"/>
      <c r="S110" s="184"/>
      <c r="T110" s="554"/>
      <c r="U110" s="190"/>
      <c r="V110" s="190"/>
      <c r="W110" s="187"/>
      <c r="X110" s="184"/>
      <c r="Y110" s="554"/>
      <c r="Z110" s="190"/>
      <c r="AA110" s="190"/>
      <c r="AB110" s="187"/>
      <c r="AC110" s="184"/>
      <c r="AD110" s="554"/>
      <c r="AE110" s="190"/>
      <c r="AF110" s="190"/>
      <c r="AG110" s="187"/>
      <c r="AH110" s="184"/>
      <c r="AI110" s="554"/>
      <c r="AJ110" s="190"/>
      <c r="AK110" s="190"/>
      <c r="AL110" s="187"/>
      <c r="AM110" s="184"/>
      <c r="AN110" s="554"/>
      <c r="AO110" s="190"/>
      <c r="AP110" s="190"/>
      <c r="AQ110" s="187"/>
      <c r="AR110" s="184"/>
      <c r="AS110" s="554"/>
      <c r="AT110" s="190"/>
      <c r="AU110" s="190"/>
      <c r="AV110" s="187"/>
      <c r="AW110" s="184"/>
      <c r="AX110" s="554"/>
    </row>
    <row r="111" spans="2:50" ht="14.25" customHeight="1">
      <c r="B111" s="525"/>
      <c r="C111" s="182">
        <v>5</v>
      </c>
      <c r="D111" s="185"/>
      <c r="E111" s="182"/>
      <c r="F111" s="182"/>
      <c r="G111" s="187"/>
      <c r="H111" s="554"/>
      <c r="I111" s="188"/>
      <c r="J111" s="188"/>
      <c r="K111" s="189"/>
      <c r="L111" s="555"/>
      <c r="M111" s="188"/>
      <c r="N111" s="525"/>
      <c r="O111" s="525"/>
      <c r="P111" s="190"/>
      <c r="Q111" s="190"/>
      <c r="R111" s="187"/>
      <c r="S111" s="184"/>
      <c r="T111" s="554"/>
      <c r="U111" s="190"/>
      <c r="V111" s="190"/>
      <c r="W111" s="187"/>
      <c r="X111" s="184"/>
      <c r="Y111" s="554"/>
      <c r="Z111" s="190"/>
      <c r="AA111" s="190"/>
      <c r="AB111" s="187"/>
      <c r="AC111" s="184"/>
      <c r="AD111" s="554"/>
      <c r="AE111" s="190"/>
      <c r="AF111" s="190"/>
      <c r="AG111" s="187"/>
      <c r="AH111" s="184"/>
      <c r="AI111" s="554"/>
      <c r="AJ111" s="190"/>
      <c r="AK111" s="190"/>
      <c r="AL111" s="187"/>
      <c r="AM111" s="184"/>
      <c r="AN111" s="554"/>
      <c r="AO111" s="190"/>
      <c r="AP111" s="190"/>
      <c r="AQ111" s="187"/>
      <c r="AR111" s="184"/>
      <c r="AS111" s="554"/>
      <c r="AT111" s="190"/>
      <c r="AU111" s="190"/>
      <c r="AV111" s="187"/>
      <c r="AW111" s="184"/>
      <c r="AX111" s="554"/>
    </row>
    <row r="112" spans="2:50" ht="14.25" customHeight="1">
      <c r="B112" s="525"/>
      <c r="C112" s="182">
        <v>6</v>
      </c>
      <c r="D112" s="185"/>
      <c r="E112" s="182"/>
      <c r="F112" s="182"/>
      <c r="G112" s="187"/>
      <c r="H112" s="554"/>
      <c r="I112" s="188"/>
      <c r="J112" s="188"/>
      <c r="K112" s="189"/>
      <c r="L112" s="555"/>
      <c r="M112" s="188"/>
      <c r="N112" s="525"/>
      <c r="O112" s="525"/>
      <c r="P112" s="190"/>
      <c r="Q112" s="190"/>
      <c r="R112" s="187"/>
      <c r="S112" s="184"/>
      <c r="T112" s="554"/>
      <c r="U112" s="190"/>
      <c r="V112" s="190"/>
      <c r="W112" s="187"/>
      <c r="X112" s="184"/>
      <c r="Y112" s="554"/>
      <c r="Z112" s="190"/>
      <c r="AA112" s="190"/>
      <c r="AB112" s="187"/>
      <c r="AC112" s="184"/>
      <c r="AD112" s="554"/>
      <c r="AE112" s="190"/>
      <c r="AF112" s="190"/>
      <c r="AG112" s="187"/>
      <c r="AH112" s="184"/>
      <c r="AI112" s="554"/>
      <c r="AJ112" s="190"/>
      <c r="AK112" s="190"/>
      <c r="AL112" s="187"/>
      <c r="AM112" s="184"/>
      <c r="AN112" s="554"/>
      <c r="AO112" s="190"/>
      <c r="AP112" s="190"/>
      <c r="AQ112" s="187"/>
      <c r="AR112" s="184"/>
      <c r="AS112" s="554"/>
      <c r="AT112" s="190"/>
      <c r="AU112" s="190"/>
      <c r="AV112" s="187"/>
      <c r="AW112" s="184"/>
      <c r="AX112" s="554"/>
    </row>
    <row r="113" spans="2:50" ht="14.25" customHeight="1">
      <c r="B113" s="525"/>
      <c r="C113" s="182">
        <v>7</v>
      </c>
      <c r="D113" s="185"/>
      <c r="E113" s="182"/>
      <c r="F113" s="182"/>
      <c r="G113" s="187"/>
      <c r="H113" s="554"/>
      <c r="I113" s="188"/>
      <c r="J113" s="188"/>
      <c r="K113" s="189"/>
      <c r="L113" s="555"/>
      <c r="M113" s="188"/>
      <c r="N113" s="525"/>
      <c r="O113" s="525"/>
      <c r="P113" s="190"/>
      <c r="Q113" s="190"/>
      <c r="R113" s="187"/>
      <c r="S113" s="184"/>
      <c r="T113" s="554"/>
      <c r="U113" s="190"/>
      <c r="V113" s="190"/>
      <c r="W113" s="187"/>
      <c r="X113" s="184"/>
      <c r="Y113" s="554"/>
      <c r="Z113" s="190"/>
      <c r="AA113" s="190"/>
      <c r="AB113" s="187"/>
      <c r="AC113" s="184"/>
      <c r="AD113" s="554"/>
      <c r="AE113" s="190"/>
      <c r="AF113" s="190"/>
      <c r="AG113" s="187"/>
      <c r="AH113" s="184"/>
      <c r="AI113" s="554"/>
      <c r="AJ113" s="190"/>
      <c r="AK113" s="190"/>
      <c r="AL113" s="187"/>
      <c r="AM113" s="184"/>
      <c r="AN113" s="554"/>
      <c r="AO113" s="190"/>
      <c r="AP113" s="190"/>
      <c r="AQ113" s="187"/>
      <c r="AR113" s="184"/>
      <c r="AS113" s="554"/>
      <c r="AT113" s="190"/>
      <c r="AU113" s="190"/>
      <c r="AV113" s="187"/>
      <c r="AW113" s="184"/>
      <c r="AX113" s="554"/>
    </row>
    <row r="114" spans="2:50" ht="14.25" customHeight="1">
      <c r="B114" s="525"/>
      <c r="C114" s="182">
        <v>8</v>
      </c>
      <c r="D114" s="185"/>
      <c r="E114" s="182"/>
      <c r="F114" s="182"/>
      <c r="G114" s="187"/>
      <c r="H114" s="554"/>
      <c r="I114" s="188"/>
      <c r="J114" s="188"/>
      <c r="K114" s="189"/>
      <c r="L114" s="555"/>
      <c r="M114" s="188"/>
      <c r="N114" s="525"/>
      <c r="O114" s="525"/>
      <c r="P114" s="190"/>
      <c r="Q114" s="190"/>
      <c r="R114" s="187"/>
      <c r="S114" s="184"/>
      <c r="T114" s="554"/>
      <c r="U114" s="190"/>
      <c r="V114" s="190"/>
      <c r="W114" s="187"/>
      <c r="X114" s="184"/>
      <c r="Y114" s="554"/>
      <c r="Z114" s="190"/>
      <c r="AA114" s="190"/>
      <c r="AB114" s="187"/>
      <c r="AC114" s="184"/>
      <c r="AD114" s="554"/>
      <c r="AE114" s="190"/>
      <c r="AF114" s="190"/>
      <c r="AG114" s="187"/>
      <c r="AH114" s="184"/>
      <c r="AI114" s="554"/>
      <c r="AJ114" s="190"/>
      <c r="AK114" s="190"/>
      <c r="AL114" s="187"/>
      <c r="AM114" s="184"/>
      <c r="AN114" s="554"/>
      <c r="AO114" s="190"/>
      <c r="AP114" s="190"/>
      <c r="AQ114" s="187"/>
      <c r="AR114" s="184"/>
      <c r="AS114" s="554"/>
      <c r="AT114" s="190"/>
      <c r="AU114" s="190"/>
      <c r="AV114" s="187"/>
      <c r="AW114" s="184"/>
      <c r="AX114" s="554"/>
    </row>
    <row r="115" spans="2:50" ht="14.25" customHeight="1">
      <c r="B115" s="525"/>
      <c r="C115" s="182">
        <v>9</v>
      </c>
      <c r="D115" s="185"/>
      <c r="E115" s="182"/>
      <c r="F115" s="182"/>
      <c r="G115" s="187"/>
      <c r="H115" s="554"/>
      <c r="I115" s="188"/>
      <c r="J115" s="188"/>
      <c r="K115" s="189"/>
      <c r="L115" s="555"/>
      <c r="M115" s="188"/>
      <c r="N115" s="525"/>
      <c r="O115" s="525"/>
      <c r="P115" s="190"/>
      <c r="Q115" s="190"/>
      <c r="R115" s="187"/>
      <c r="S115" s="184"/>
      <c r="T115" s="554"/>
      <c r="U115" s="190"/>
      <c r="V115" s="190"/>
      <c r="W115" s="187"/>
      <c r="X115" s="184"/>
      <c r="Y115" s="554"/>
      <c r="Z115" s="190"/>
      <c r="AA115" s="190"/>
      <c r="AB115" s="187"/>
      <c r="AC115" s="184"/>
      <c r="AD115" s="554"/>
      <c r="AE115" s="190"/>
      <c r="AF115" s="190"/>
      <c r="AG115" s="187"/>
      <c r="AH115" s="184"/>
      <c r="AI115" s="554"/>
      <c r="AJ115" s="190"/>
      <c r="AK115" s="190"/>
      <c r="AL115" s="187"/>
      <c r="AM115" s="184"/>
      <c r="AN115" s="554"/>
      <c r="AO115" s="190"/>
      <c r="AP115" s="190"/>
      <c r="AQ115" s="187"/>
      <c r="AR115" s="184"/>
      <c r="AS115" s="554"/>
      <c r="AT115" s="190"/>
      <c r="AU115" s="190"/>
      <c r="AV115" s="187"/>
      <c r="AW115" s="184"/>
      <c r="AX115" s="554"/>
    </row>
    <row r="116" spans="2:50" ht="14.25" customHeight="1">
      <c r="B116" s="525"/>
      <c r="C116" s="182">
        <v>10</v>
      </c>
      <c r="D116" s="185"/>
      <c r="E116" s="182"/>
      <c r="F116" s="182"/>
      <c r="G116" s="187"/>
      <c r="H116" s="554"/>
      <c r="I116" s="188"/>
      <c r="J116" s="188"/>
      <c r="K116" s="189"/>
      <c r="L116" s="555"/>
      <c r="M116" s="188"/>
      <c r="N116" s="525"/>
      <c r="O116" s="525"/>
      <c r="P116" s="190"/>
      <c r="Q116" s="190"/>
      <c r="R116" s="187"/>
      <c r="S116" s="184"/>
      <c r="T116" s="554"/>
      <c r="U116" s="190"/>
      <c r="V116" s="190"/>
      <c r="W116" s="187"/>
      <c r="X116" s="184"/>
      <c r="Y116" s="554"/>
      <c r="Z116" s="190"/>
      <c r="AA116" s="190"/>
      <c r="AB116" s="187"/>
      <c r="AC116" s="184"/>
      <c r="AD116" s="554"/>
      <c r="AE116" s="190"/>
      <c r="AF116" s="190"/>
      <c r="AG116" s="187"/>
      <c r="AH116" s="184"/>
      <c r="AI116" s="554"/>
      <c r="AJ116" s="190"/>
      <c r="AK116" s="190"/>
      <c r="AL116" s="187"/>
      <c r="AM116" s="184"/>
      <c r="AN116" s="554"/>
      <c r="AO116" s="190"/>
      <c r="AP116" s="190"/>
      <c r="AQ116" s="187"/>
      <c r="AR116" s="184"/>
      <c r="AS116" s="554"/>
      <c r="AT116" s="190"/>
      <c r="AU116" s="190"/>
      <c r="AV116" s="187"/>
      <c r="AW116" s="184"/>
      <c r="AX116" s="554"/>
    </row>
    <row r="117" spans="2:50" ht="14.25" customHeight="1">
      <c r="B117" s="525"/>
      <c r="C117" s="182">
        <v>11</v>
      </c>
      <c r="D117" s="185"/>
      <c r="E117" s="182"/>
      <c r="F117" s="182"/>
      <c r="G117" s="187"/>
      <c r="H117" s="554"/>
      <c r="I117" s="188"/>
      <c r="J117" s="188"/>
      <c r="K117" s="189"/>
      <c r="L117" s="555"/>
      <c r="M117" s="188"/>
      <c r="N117" s="525"/>
      <c r="O117" s="525"/>
      <c r="P117" s="190"/>
      <c r="Q117" s="190"/>
      <c r="R117" s="187"/>
      <c r="S117" s="184"/>
      <c r="T117" s="554"/>
      <c r="U117" s="190"/>
      <c r="V117" s="190"/>
      <c r="W117" s="187"/>
      <c r="X117" s="184"/>
      <c r="Y117" s="554"/>
      <c r="Z117" s="190"/>
      <c r="AA117" s="190"/>
      <c r="AB117" s="187"/>
      <c r="AC117" s="184"/>
      <c r="AD117" s="554"/>
      <c r="AE117" s="190"/>
      <c r="AF117" s="190"/>
      <c r="AG117" s="187"/>
      <c r="AH117" s="184"/>
      <c r="AI117" s="554"/>
      <c r="AJ117" s="190"/>
      <c r="AK117" s="190"/>
      <c r="AL117" s="187"/>
      <c r="AM117" s="184"/>
      <c r="AN117" s="554"/>
      <c r="AO117" s="190"/>
      <c r="AP117" s="190"/>
      <c r="AQ117" s="187"/>
      <c r="AR117" s="184"/>
      <c r="AS117" s="554"/>
      <c r="AT117" s="190"/>
      <c r="AU117" s="190"/>
      <c r="AV117" s="187"/>
      <c r="AW117" s="184"/>
      <c r="AX117" s="554"/>
    </row>
    <row r="118" spans="2:50" ht="14.25" customHeight="1">
      <c r="B118" s="525"/>
      <c r="C118" s="182">
        <v>12</v>
      </c>
      <c r="D118" s="185"/>
      <c r="E118" s="182"/>
      <c r="F118" s="182"/>
      <c r="G118" s="187"/>
      <c r="H118" s="554"/>
      <c r="I118" s="188"/>
      <c r="J118" s="188"/>
      <c r="K118" s="189"/>
      <c r="L118" s="555"/>
      <c r="M118" s="188"/>
      <c r="N118" s="525"/>
      <c r="O118" s="525"/>
      <c r="P118" s="190"/>
      <c r="Q118" s="190"/>
      <c r="R118" s="187"/>
      <c r="S118" s="184"/>
      <c r="T118" s="554"/>
      <c r="U118" s="190"/>
      <c r="V118" s="190"/>
      <c r="W118" s="187"/>
      <c r="X118" s="184"/>
      <c r="Y118" s="554"/>
      <c r="Z118" s="190"/>
      <c r="AA118" s="190"/>
      <c r="AB118" s="187"/>
      <c r="AC118" s="184"/>
      <c r="AD118" s="554"/>
      <c r="AE118" s="190"/>
      <c r="AF118" s="190"/>
      <c r="AG118" s="187"/>
      <c r="AH118" s="184"/>
      <c r="AI118" s="554"/>
      <c r="AJ118" s="190"/>
      <c r="AK118" s="190"/>
      <c r="AL118" s="187"/>
      <c r="AM118" s="184"/>
      <c r="AN118" s="554"/>
      <c r="AO118" s="190"/>
      <c r="AP118" s="190"/>
      <c r="AQ118" s="187"/>
      <c r="AR118" s="184"/>
      <c r="AS118" s="554"/>
      <c r="AT118" s="190"/>
      <c r="AU118" s="190"/>
      <c r="AV118" s="187"/>
      <c r="AW118" s="184"/>
      <c r="AX118" s="554"/>
    </row>
    <row r="119" spans="2:50" ht="14.25" customHeight="1">
      <c r="B119" s="525"/>
      <c r="C119" s="182">
        <v>13</v>
      </c>
      <c r="D119" s="185"/>
      <c r="E119" s="182"/>
      <c r="F119" s="182"/>
      <c r="G119" s="187"/>
      <c r="H119" s="554"/>
      <c r="I119" s="188"/>
      <c r="J119" s="188"/>
      <c r="K119" s="189"/>
      <c r="L119" s="555"/>
      <c r="M119" s="188"/>
      <c r="N119" s="525"/>
      <c r="O119" s="525"/>
      <c r="P119" s="190"/>
      <c r="Q119" s="190"/>
      <c r="R119" s="187"/>
      <c r="S119" s="184"/>
      <c r="T119" s="554"/>
      <c r="U119" s="190"/>
      <c r="V119" s="190"/>
      <c r="W119" s="187"/>
      <c r="X119" s="184"/>
      <c r="Y119" s="554"/>
      <c r="Z119" s="190"/>
      <c r="AA119" s="190"/>
      <c r="AB119" s="187"/>
      <c r="AC119" s="184"/>
      <c r="AD119" s="554"/>
      <c r="AE119" s="190"/>
      <c r="AF119" s="190"/>
      <c r="AG119" s="187"/>
      <c r="AH119" s="184"/>
      <c r="AI119" s="554"/>
      <c r="AJ119" s="190"/>
      <c r="AK119" s="190"/>
      <c r="AL119" s="187"/>
      <c r="AM119" s="184"/>
      <c r="AN119" s="554"/>
      <c r="AO119" s="190"/>
      <c r="AP119" s="190"/>
      <c r="AQ119" s="187"/>
      <c r="AR119" s="184"/>
      <c r="AS119" s="554"/>
      <c r="AT119" s="190"/>
      <c r="AU119" s="190"/>
      <c r="AV119" s="187"/>
      <c r="AW119" s="184"/>
      <c r="AX119" s="554"/>
    </row>
    <row r="120" spans="2:50" ht="14.25" customHeight="1">
      <c r="B120" s="525"/>
      <c r="C120" s="182">
        <v>14</v>
      </c>
      <c r="D120" s="185"/>
      <c r="E120" s="182"/>
      <c r="F120" s="182"/>
      <c r="G120" s="187"/>
      <c r="H120" s="554"/>
      <c r="I120" s="188"/>
      <c r="J120" s="188"/>
      <c r="K120" s="189"/>
      <c r="L120" s="555"/>
      <c r="M120" s="188"/>
      <c r="N120" s="525"/>
      <c r="O120" s="525"/>
      <c r="P120" s="190"/>
      <c r="Q120" s="190"/>
      <c r="R120" s="187"/>
      <c r="S120" s="184"/>
      <c r="T120" s="554"/>
      <c r="U120" s="190"/>
      <c r="V120" s="190"/>
      <c r="W120" s="187"/>
      <c r="X120" s="184"/>
      <c r="Y120" s="554"/>
      <c r="Z120" s="190"/>
      <c r="AA120" s="190"/>
      <c r="AB120" s="187"/>
      <c r="AC120" s="184"/>
      <c r="AD120" s="554"/>
      <c r="AE120" s="190"/>
      <c r="AF120" s="190"/>
      <c r="AG120" s="187"/>
      <c r="AH120" s="184"/>
      <c r="AI120" s="554"/>
      <c r="AJ120" s="190"/>
      <c r="AK120" s="190"/>
      <c r="AL120" s="187"/>
      <c r="AM120" s="184"/>
      <c r="AN120" s="554"/>
      <c r="AO120" s="190"/>
      <c r="AP120" s="190"/>
      <c r="AQ120" s="187"/>
      <c r="AR120" s="184"/>
      <c r="AS120" s="554"/>
      <c r="AT120" s="190"/>
      <c r="AU120" s="190"/>
      <c r="AV120" s="187"/>
      <c r="AW120" s="184"/>
      <c r="AX120" s="554"/>
    </row>
    <row r="121" spans="2:50" ht="14.25" customHeight="1">
      <c r="B121" s="525"/>
      <c r="C121" s="182">
        <v>15</v>
      </c>
      <c r="D121" s="185"/>
      <c r="E121" s="182"/>
      <c r="F121" s="182"/>
      <c r="G121" s="187"/>
      <c r="H121" s="554"/>
      <c r="I121" s="188"/>
      <c r="J121" s="188"/>
      <c r="K121" s="189"/>
      <c r="L121" s="555"/>
      <c r="M121" s="188"/>
      <c r="N121" s="525"/>
      <c r="O121" s="525"/>
      <c r="P121" s="190"/>
      <c r="Q121" s="190"/>
      <c r="R121" s="187"/>
      <c r="S121" s="184"/>
      <c r="T121" s="554"/>
      <c r="U121" s="190"/>
      <c r="V121" s="190"/>
      <c r="W121" s="187"/>
      <c r="X121" s="184"/>
      <c r="Y121" s="554"/>
      <c r="Z121" s="190"/>
      <c r="AA121" s="190"/>
      <c r="AB121" s="187"/>
      <c r="AC121" s="184"/>
      <c r="AD121" s="554"/>
      <c r="AE121" s="190"/>
      <c r="AF121" s="190"/>
      <c r="AG121" s="187"/>
      <c r="AH121" s="184"/>
      <c r="AI121" s="554"/>
      <c r="AJ121" s="190"/>
      <c r="AK121" s="190"/>
      <c r="AL121" s="187"/>
      <c r="AM121" s="184"/>
      <c r="AN121" s="554"/>
      <c r="AO121" s="190"/>
      <c r="AP121" s="190"/>
      <c r="AQ121" s="187"/>
      <c r="AR121" s="184"/>
      <c r="AS121" s="554"/>
      <c r="AT121" s="190"/>
      <c r="AU121" s="190"/>
      <c r="AV121" s="187"/>
      <c r="AW121" s="184"/>
      <c r="AX121" s="554"/>
    </row>
  </sheetData>
  <mergeCells count="354">
    <mergeCell ref="AX44:AX46"/>
    <mergeCell ref="AX47:AX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I47:AI61"/>
    <mergeCell ref="B47:B61"/>
    <mergeCell ref="H47:H61"/>
    <mergeCell ref="L47:L61"/>
    <mergeCell ref="T47:T61"/>
    <mergeCell ref="Y47:Y61"/>
    <mergeCell ref="AD47:AD61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P24:S24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Z3:AD3"/>
    <mergeCell ref="AE3:AI3"/>
    <mergeCell ref="AJ3:AN3"/>
    <mergeCell ref="AO3:AS3"/>
    <mergeCell ref="AT3:AX3"/>
    <mergeCell ref="AO64:AR64"/>
    <mergeCell ref="AS64:AS66"/>
    <mergeCell ref="AT64:AW64"/>
    <mergeCell ref="AX64:AX66"/>
    <mergeCell ref="AT23:AX23"/>
    <mergeCell ref="AT22:AX22"/>
    <mergeCell ref="AT43:AX43"/>
    <mergeCell ref="AS24:AS26"/>
    <mergeCell ref="AT24:AW24"/>
    <mergeCell ref="AX24:AX26"/>
    <mergeCell ref="AX27:AX41"/>
    <mergeCell ref="AT25:AW25"/>
    <mergeCell ref="AN47:AN61"/>
    <mergeCell ref="AS47:AS61"/>
    <mergeCell ref="AJ44:AM44"/>
    <mergeCell ref="AN44:AN46"/>
    <mergeCell ref="AO44:AR44"/>
    <mergeCell ref="AS44:AS46"/>
    <mergeCell ref="AT44:AW44"/>
    <mergeCell ref="L7:L21"/>
    <mergeCell ref="T7:T21"/>
    <mergeCell ref="Y7:Y21"/>
    <mergeCell ref="AS7:AS21"/>
    <mergeCell ref="AX7:AX21"/>
    <mergeCell ref="AO5:AR5"/>
    <mergeCell ref="AT5:AW5"/>
    <mergeCell ref="AO4:AR4"/>
    <mergeCell ref="AS4:AS6"/>
    <mergeCell ref="AT4:AW4"/>
    <mergeCell ref="AX4:AX6"/>
    <mergeCell ref="AJ5:AM5"/>
    <mergeCell ref="AN7:AN21"/>
    <mergeCell ref="AN4:AN6"/>
    <mergeCell ref="AJ4:AM4"/>
    <mergeCell ref="AD4:AD6"/>
    <mergeCell ref="AE4:AH4"/>
    <mergeCell ref="AI4:AI6"/>
    <mergeCell ref="AE5:AH5"/>
    <mergeCell ref="Z5:AC5"/>
    <mergeCell ref="Y4:Y6"/>
    <mergeCell ref="Z4:AC4"/>
    <mergeCell ref="AN64:AN66"/>
    <mergeCell ref="B7:B21"/>
    <mergeCell ref="C4:D6"/>
    <mergeCell ref="E4:G4"/>
    <mergeCell ref="H4:H6"/>
    <mergeCell ref="I4:K4"/>
    <mergeCell ref="L4:L6"/>
    <mergeCell ref="B4:B6"/>
    <mergeCell ref="P3:T3"/>
    <mergeCell ref="U3:Y3"/>
    <mergeCell ref="B2:M3"/>
    <mergeCell ref="AD7:AD21"/>
    <mergeCell ref="AI7:AI21"/>
    <mergeCell ref="P4:S4"/>
    <mergeCell ref="T4:T6"/>
    <mergeCell ref="U4:X4"/>
    <mergeCell ref="E5:G5"/>
    <mergeCell ref="I5:K5"/>
    <mergeCell ref="P5:S5"/>
    <mergeCell ref="U5:X5"/>
    <mergeCell ref="M4:M6"/>
    <mergeCell ref="N4:N21"/>
    <mergeCell ref="O4:O21"/>
    <mergeCell ref="H7:H21"/>
    <mergeCell ref="E65:G65"/>
    <mergeCell ref="AX67:AX81"/>
    <mergeCell ref="N2:N3"/>
    <mergeCell ref="O2:O3"/>
    <mergeCell ref="P2:T2"/>
    <mergeCell ref="U2:Y2"/>
    <mergeCell ref="Z2:AD2"/>
    <mergeCell ref="AE2:AI2"/>
    <mergeCell ref="AJ2:AN2"/>
    <mergeCell ref="AS67:AS81"/>
    <mergeCell ref="H64:H66"/>
    <mergeCell ref="I64:K64"/>
    <mergeCell ref="L64:L66"/>
    <mergeCell ref="E64:G64"/>
    <mergeCell ref="AO65:AR65"/>
    <mergeCell ref="AT65:AW65"/>
    <mergeCell ref="M64:M66"/>
    <mergeCell ref="N64:N81"/>
    <mergeCell ref="O64:O81"/>
    <mergeCell ref="P64:S64"/>
    <mergeCell ref="T64:T66"/>
    <mergeCell ref="U64:X64"/>
    <mergeCell ref="AI67:AI81"/>
    <mergeCell ref="AN67:AN81"/>
    <mergeCell ref="B67:B81"/>
    <mergeCell ref="H67:H81"/>
    <mergeCell ref="L67:L81"/>
    <mergeCell ref="T67:T81"/>
    <mergeCell ref="Y67:Y81"/>
    <mergeCell ref="AD67:AD81"/>
    <mergeCell ref="AO2:AS2"/>
    <mergeCell ref="AT2:AX2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C64:D66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7:AX101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87:B101"/>
    <mergeCell ref="H87:H101"/>
    <mergeCell ref="L87:L101"/>
    <mergeCell ref="T87:T101"/>
    <mergeCell ref="Y87:Y101"/>
    <mergeCell ref="AD87:AD10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B107:B121"/>
    <mergeCell ref="H107:H121"/>
    <mergeCell ref="L107:L121"/>
    <mergeCell ref="E105:G105"/>
    <mergeCell ref="I105:K105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P105:S105"/>
    <mergeCell ref="U105:X105"/>
    <mergeCell ref="Z105:AC105"/>
    <mergeCell ref="AE105:AH105"/>
    <mergeCell ref="AJ105:AM105"/>
    <mergeCell ref="AO105:AR105"/>
    <mergeCell ref="AT105:AW105"/>
    <mergeCell ref="T107:T121"/>
    <mergeCell ref="Y107:Y121"/>
    <mergeCell ref="AD107:AD121"/>
    <mergeCell ref="AI107:AI121"/>
    <mergeCell ref="AN107:AN121"/>
    <mergeCell ref="AS107:AS121"/>
    <mergeCell ref="AX107:AX121"/>
    <mergeCell ref="AN104:AN106"/>
    <mergeCell ref="AO104:AR104"/>
    <mergeCell ref="AS104:AS106"/>
    <mergeCell ref="AT104:AW104"/>
    <mergeCell ref="AX104:AX106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21"/>
  <sheetViews>
    <sheetView zoomScaleNormal="100" workbookViewId="0">
      <pane xSplit="13" ySplit="1" topLeftCell="N82" activePane="bottomRight" state="frozen"/>
      <selection activeCell="L95" sqref="L95"/>
      <selection pane="topRight" activeCell="L95" sqref="L95"/>
      <selection pane="bottomLeft" activeCell="L95" sqref="L95"/>
      <selection pane="bottomRight" activeCell="L64" sqref="L64:L66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9" bestFit="1" customWidth="1"/>
    <col min="4" max="4" width="26.453125" style="178" customWidth="1"/>
    <col min="5" max="5" width="7.7265625" style="179" customWidth="1"/>
    <col min="6" max="7" width="8.7265625" style="179" customWidth="1"/>
    <col min="8" max="8" width="10.7265625" style="179" customWidth="1"/>
    <col min="9" max="9" width="7.7265625" style="180" customWidth="1"/>
    <col min="10" max="11" width="8.7265625" style="180" customWidth="1"/>
    <col min="12" max="12" width="10.7265625" style="180" customWidth="1"/>
    <col min="13" max="13" width="5.7265625" style="180" customWidth="1"/>
    <col min="14" max="14" width="9.81640625" style="179" customWidth="1"/>
    <col min="15" max="15" width="7.1796875" style="179" customWidth="1"/>
    <col min="16" max="16" width="7.7265625" style="179" customWidth="1"/>
    <col min="17" max="18" width="8.7265625" style="179" customWidth="1"/>
    <col min="19" max="19" width="5.7265625" style="180" customWidth="1"/>
    <col min="20" max="20" width="10.7265625" style="179" customWidth="1"/>
    <col min="21" max="21" width="7.7265625" style="78" customWidth="1"/>
    <col min="22" max="23" width="8.7265625" style="78" customWidth="1"/>
    <col min="24" max="24" width="5.453125" style="180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80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80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80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81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81" customWidth="1"/>
    <col min="50" max="50" width="10.7265625" style="78" customWidth="1"/>
    <col min="51" max="16384" width="8.81640625" style="78"/>
  </cols>
  <sheetData>
    <row r="1" spans="1:50" ht="24.5">
      <c r="A1" s="74"/>
      <c r="B1" s="370" t="s">
        <v>651</v>
      </c>
      <c r="C1" s="177">
        <f>AVERAGE(L27,L47,L67,L87)</f>
        <v>0</v>
      </c>
    </row>
    <row r="2" spans="1:50" ht="14.25" customHeight="1" collapsed="1">
      <c r="B2" s="534" t="s">
        <v>559</v>
      </c>
      <c r="C2" s="535"/>
      <c r="D2" s="535"/>
      <c r="E2" s="535"/>
      <c r="F2" s="535"/>
      <c r="G2" s="535"/>
      <c r="H2" s="535"/>
      <c r="I2" s="535"/>
      <c r="J2" s="535"/>
      <c r="K2" s="535"/>
      <c r="L2" s="535"/>
      <c r="M2" s="536"/>
      <c r="N2" s="564" t="s">
        <v>378</v>
      </c>
      <c r="O2" s="564" t="s">
        <v>105</v>
      </c>
      <c r="P2" s="566">
        <v>46077</v>
      </c>
      <c r="Q2" s="567"/>
      <c r="R2" s="567"/>
      <c r="S2" s="567"/>
      <c r="T2" s="567"/>
      <c r="U2" s="568">
        <f>P2+1</f>
        <v>46078</v>
      </c>
      <c r="V2" s="569"/>
      <c r="W2" s="569"/>
      <c r="X2" s="569"/>
      <c r="Y2" s="569"/>
      <c r="Z2" s="566">
        <f t="shared" ref="Z2" si="0">U2+1</f>
        <v>46079</v>
      </c>
      <c r="AA2" s="567"/>
      <c r="AB2" s="567"/>
      <c r="AC2" s="567"/>
      <c r="AD2" s="567"/>
      <c r="AE2" s="568">
        <f t="shared" ref="AE2" si="1">Z2+1</f>
        <v>46080</v>
      </c>
      <c r="AF2" s="569"/>
      <c r="AG2" s="569"/>
      <c r="AH2" s="569"/>
      <c r="AI2" s="569"/>
      <c r="AJ2" s="556">
        <f t="shared" ref="AJ2" si="2">AE2+1</f>
        <v>46081</v>
      </c>
      <c r="AK2" s="557"/>
      <c r="AL2" s="557"/>
      <c r="AM2" s="557"/>
      <c r="AN2" s="558"/>
      <c r="AO2" s="568">
        <f t="shared" ref="AO2" si="3">AJ2+1</f>
        <v>46082</v>
      </c>
      <c r="AP2" s="569"/>
      <c r="AQ2" s="569"/>
      <c r="AR2" s="569"/>
      <c r="AS2" s="569"/>
      <c r="AT2" s="556">
        <f t="shared" ref="AT2" si="4">AO2+1</f>
        <v>46083</v>
      </c>
      <c r="AU2" s="557"/>
      <c r="AV2" s="557"/>
      <c r="AW2" s="557"/>
      <c r="AX2" s="558"/>
    </row>
    <row r="3" spans="1:50" ht="14.25" customHeight="1"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8"/>
      <c r="N3" s="565"/>
      <c r="O3" s="565"/>
      <c r="P3" s="559">
        <f>P2</f>
        <v>46077</v>
      </c>
      <c r="Q3" s="559"/>
      <c r="R3" s="559"/>
      <c r="S3" s="559"/>
      <c r="T3" s="559"/>
      <c r="U3" s="560">
        <f>U2</f>
        <v>46078</v>
      </c>
      <c r="V3" s="560"/>
      <c r="W3" s="560"/>
      <c r="X3" s="560"/>
      <c r="Y3" s="560"/>
      <c r="Z3" s="559">
        <f t="shared" ref="Z3" si="5">Z2</f>
        <v>46079</v>
      </c>
      <c r="AA3" s="559"/>
      <c r="AB3" s="559"/>
      <c r="AC3" s="559"/>
      <c r="AD3" s="559"/>
      <c r="AE3" s="560">
        <f t="shared" ref="AE3" si="6">AE2</f>
        <v>46080</v>
      </c>
      <c r="AF3" s="560"/>
      <c r="AG3" s="560"/>
      <c r="AH3" s="560"/>
      <c r="AI3" s="560"/>
      <c r="AJ3" s="561">
        <f t="shared" ref="AJ3" si="7">AJ2</f>
        <v>46081</v>
      </c>
      <c r="AK3" s="562"/>
      <c r="AL3" s="562"/>
      <c r="AM3" s="562"/>
      <c r="AN3" s="563"/>
      <c r="AO3" s="560">
        <f t="shared" ref="AO3" si="8">AO2</f>
        <v>46082</v>
      </c>
      <c r="AP3" s="560"/>
      <c r="AQ3" s="560"/>
      <c r="AR3" s="560"/>
      <c r="AS3" s="560"/>
      <c r="AT3" s="561">
        <f t="shared" ref="AT3" si="9">AT2</f>
        <v>46083</v>
      </c>
      <c r="AU3" s="562"/>
      <c r="AV3" s="562"/>
      <c r="AW3" s="562"/>
      <c r="AX3" s="563"/>
    </row>
    <row r="4" spans="1:50" ht="14.25" customHeight="1">
      <c r="B4" s="525" t="s">
        <v>164</v>
      </c>
      <c r="C4" s="525" t="s">
        <v>159</v>
      </c>
      <c r="D4" s="525"/>
      <c r="E4" s="525" t="s">
        <v>160</v>
      </c>
      <c r="F4" s="525"/>
      <c r="G4" s="525"/>
      <c r="H4" s="525" t="s">
        <v>165</v>
      </c>
      <c r="I4" s="544" t="s">
        <v>379</v>
      </c>
      <c r="J4" s="544"/>
      <c r="K4" s="544"/>
      <c r="L4" s="544" t="s">
        <v>165</v>
      </c>
      <c r="M4" s="544" t="s">
        <v>167</v>
      </c>
      <c r="N4" s="525"/>
      <c r="O4" s="525" t="s">
        <v>166</v>
      </c>
      <c r="P4" s="525" t="s">
        <v>162</v>
      </c>
      <c r="Q4" s="525"/>
      <c r="R4" s="525"/>
      <c r="S4" s="525"/>
      <c r="T4" s="525" t="s">
        <v>165</v>
      </c>
      <c r="U4" s="525" t="s">
        <v>162</v>
      </c>
      <c r="V4" s="525"/>
      <c r="W4" s="525"/>
      <c r="X4" s="525"/>
      <c r="Y4" s="525" t="s">
        <v>165</v>
      </c>
      <c r="Z4" s="525" t="s">
        <v>162</v>
      </c>
      <c r="AA4" s="525"/>
      <c r="AB4" s="525"/>
      <c r="AC4" s="525"/>
      <c r="AD4" s="525" t="s">
        <v>165</v>
      </c>
      <c r="AE4" s="525" t="s">
        <v>162</v>
      </c>
      <c r="AF4" s="525"/>
      <c r="AG4" s="525"/>
      <c r="AH4" s="525"/>
      <c r="AI4" s="525" t="s">
        <v>165</v>
      </c>
      <c r="AJ4" s="525" t="s">
        <v>162</v>
      </c>
      <c r="AK4" s="525"/>
      <c r="AL4" s="525"/>
      <c r="AM4" s="525"/>
      <c r="AN4" s="525" t="s">
        <v>165</v>
      </c>
      <c r="AO4" s="525" t="s">
        <v>162</v>
      </c>
      <c r="AP4" s="525"/>
      <c r="AQ4" s="525"/>
      <c r="AR4" s="525"/>
      <c r="AS4" s="525" t="s">
        <v>165</v>
      </c>
      <c r="AT4" s="525" t="s">
        <v>162</v>
      </c>
      <c r="AU4" s="525"/>
      <c r="AV4" s="525"/>
      <c r="AW4" s="525"/>
      <c r="AX4" s="525" t="s">
        <v>165</v>
      </c>
    </row>
    <row r="5" spans="1:50" ht="14.25" customHeight="1">
      <c r="B5" s="525"/>
      <c r="C5" s="525"/>
      <c r="D5" s="525"/>
      <c r="E5" s="525" t="s">
        <v>380</v>
      </c>
      <c r="F5" s="525"/>
      <c r="G5" s="525"/>
      <c r="H5" s="525"/>
      <c r="I5" s="544" t="s">
        <v>380</v>
      </c>
      <c r="J5" s="544"/>
      <c r="K5" s="544"/>
      <c r="L5" s="544"/>
      <c r="M5" s="544"/>
      <c r="N5" s="525"/>
      <c r="O5" s="525"/>
      <c r="P5" s="525" t="s">
        <v>381</v>
      </c>
      <c r="Q5" s="525"/>
      <c r="R5" s="525"/>
      <c r="S5" s="525"/>
      <c r="T5" s="525"/>
      <c r="U5" s="525" t="s">
        <v>381</v>
      </c>
      <c r="V5" s="525"/>
      <c r="W5" s="525"/>
      <c r="X5" s="525"/>
      <c r="Y5" s="525"/>
      <c r="Z5" s="525" t="s">
        <v>381</v>
      </c>
      <c r="AA5" s="525"/>
      <c r="AB5" s="525"/>
      <c r="AC5" s="525"/>
      <c r="AD5" s="525"/>
      <c r="AE5" s="525" t="s">
        <v>381</v>
      </c>
      <c r="AF5" s="525"/>
      <c r="AG5" s="525"/>
      <c r="AH5" s="525"/>
      <c r="AI5" s="525"/>
      <c r="AJ5" s="525" t="s">
        <v>381</v>
      </c>
      <c r="AK5" s="525"/>
      <c r="AL5" s="525"/>
      <c r="AM5" s="525"/>
      <c r="AN5" s="525"/>
      <c r="AO5" s="525" t="s">
        <v>381</v>
      </c>
      <c r="AP5" s="525"/>
      <c r="AQ5" s="525"/>
      <c r="AR5" s="525"/>
      <c r="AS5" s="525"/>
      <c r="AT5" s="525" t="s">
        <v>381</v>
      </c>
      <c r="AU5" s="525"/>
      <c r="AV5" s="525"/>
      <c r="AW5" s="525"/>
      <c r="AX5" s="525"/>
    </row>
    <row r="6" spans="1:50" ht="14.25" customHeight="1">
      <c r="B6" s="525"/>
      <c r="C6" s="525"/>
      <c r="D6" s="525"/>
      <c r="E6" s="182" t="s">
        <v>161</v>
      </c>
      <c r="F6" s="182" t="s">
        <v>382</v>
      </c>
      <c r="G6" s="182" t="s">
        <v>163</v>
      </c>
      <c r="H6" s="525"/>
      <c r="I6" s="183" t="s">
        <v>161</v>
      </c>
      <c r="J6" s="183" t="s">
        <v>382</v>
      </c>
      <c r="K6" s="183" t="s">
        <v>163</v>
      </c>
      <c r="L6" s="544"/>
      <c r="M6" s="544"/>
      <c r="N6" s="525"/>
      <c r="O6" s="525"/>
      <c r="P6" s="182" t="s">
        <v>161</v>
      </c>
      <c r="Q6" s="182" t="s">
        <v>382</v>
      </c>
      <c r="R6" s="182" t="s">
        <v>163</v>
      </c>
      <c r="S6" s="184" t="s">
        <v>167</v>
      </c>
      <c r="T6" s="525"/>
      <c r="U6" s="182" t="s">
        <v>161</v>
      </c>
      <c r="V6" s="182" t="s">
        <v>382</v>
      </c>
      <c r="W6" s="182" t="s">
        <v>163</v>
      </c>
      <c r="X6" s="184" t="s">
        <v>167</v>
      </c>
      <c r="Y6" s="525"/>
      <c r="Z6" s="182" t="s">
        <v>161</v>
      </c>
      <c r="AA6" s="182" t="s">
        <v>382</v>
      </c>
      <c r="AB6" s="182" t="s">
        <v>163</v>
      </c>
      <c r="AC6" s="184" t="s">
        <v>167</v>
      </c>
      <c r="AD6" s="525"/>
      <c r="AE6" s="182" t="s">
        <v>161</v>
      </c>
      <c r="AF6" s="182" t="s">
        <v>382</v>
      </c>
      <c r="AG6" s="182" t="s">
        <v>163</v>
      </c>
      <c r="AH6" s="184" t="s">
        <v>167</v>
      </c>
      <c r="AI6" s="525"/>
      <c r="AJ6" s="182" t="s">
        <v>161</v>
      </c>
      <c r="AK6" s="182" t="s">
        <v>382</v>
      </c>
      <c r="AL6" s="182" t="s">
        <v>163</v>
      </c>
      <c r="AM6" s="184" t="s">
        <v>167</v>
      </c>
      <c r="AN6" s="525"/>
      <c r="AO6" s="182" t="s">
        <v>161</v>
      </c>
      <c r="AP6" s="182" t="s">
        <v>382</v>
      </c>
      <c r="AQ6" s="182" t="s">
        <v>163</v>
      </c>
      <c r="AR6" s="184" t="s">
        <v>167</v>
      </c>
      <c r="AS6" s="525"/>
      <c r="AT6" s="182" t="s">
        <v>161</v>
      </c>
      <c r="AU6" s="182" t="s">
        <v>382</v>
      </c>
      <c r="AV6" s="182" t="s">
        <v>163</v>
      </c>
      <c r="AW6" s="184" t="s">
        <v>167</v>
      </c>
      <c r="AX6" s="525"/>
    </row>
    <row r="7" spans="1:50" ht="14.25" customHeight="1">
      <c r="B7" s="525" t="s">
        <v>458</v>
      </c>
      <c r="C7" s="182">
        <v>1</v>
      </c>
      <c r="D7" s="185"/>
      <c r="E7" s="182"/>
      <c r="F7" s="182"/>
      <c r="G7" s="187"/>
      <c r="H7" s="554"/>
      <c r="I7" s="188"/>
      <c r="J7" s="188"/>
      <c r="K7" s="189"/>
      <c r="L7" s="555" t="str">
        <f>IFERROR(AVERAGE(K7:K21),"-")</f>
        <v>-</v>
      </c>
      <c r="M7" s="188"/>
      <c r="N7" s="525"/>
      <c r="O7" s="525"/>
      <c r="P7" s="190"/>
      <c r="Q7" s="190"/>
      <c r="R7" s="187"/>
      <c r="S7" s="184"/>
      <c r="T7" s="554"/>
      <c r="U7" s="190"/>
      <c r="V7" s="190"/>
      <c r="W7" s="187"/>
      <c r="X7" s="184"/>
      <c r="Y7" s="554"/>
      <c r="Z7" s="190"/>
      <c r="AA7" s="190"/>
      <c r="AB7" s="187"/>
      <c r="AC7" s="184"/>
      <c r="AD7" s="554"/>
      <c r="AE7" s="190"/>
      <c r="AF7" s="190"/>
      <c r="AG7" s="187"/>
      <c r="AH7" s="184"/>
      <c r="AI7" s="554"/>
      <c r="AJ7" s="190"/>
      <c r="AK7" s="190"/>
      <c r="AL7" s="187"/>
      <c r="AM7" s="184"/>
      <c r="AN7" s="554"/>
      <c r="AO7" s="190"/>
      <c r="AP7" s="190"/>
      <c r="AQ7" s="187"/>
      <c r="AR7" s="184"/>
      <c r="AS7" s="554"/>
      <c r="AT7" s="190"/>
      <c r="AU7" s="190"/>
      <c r="AV7" s="187"/>
      <c r="AW7" s="184"/>
      <c r="AX7" s="554"/>
    </row>
    <row r="8" spans="1:50" ht="14.25" customHeight="1">
      <c r="B8" s="525"/>
      <c r="C8" s="182">
        <v>2</v>
      </c>
      <c r="D8" s="185"/>
      <c r="E8" s="182"/>
      <c r="F8" s="182"/>
      <c r="G8" s="187"/>
      <c r="H8" s="554"/>
      <c r="I8" s="188"/>
      <c r="J8" s="188"/>
      <c r="K8" s="189"/>
      <c r="L8" s="555"/>
      <c r="M8" s="188"/>
      <c r="N8" s="525"/>
      <c r="O8" s="525"/>
      <c r="P8" s="190"/>
      <c r="Q8" s="190"/>
      <c r="R8" s="187"/>
      <c r="S8" s="184"/>
      <c r="T8" s="554"/>
      <c r="U8" s="190"/>
      <c r="V8" s="190"/>
      <c r="W8" s="187"/>
      <c r="X8" s="184"/>
      <c r="Y8" s="554"/>
      <c r="Z8" s="190"/>
      <c r="AA8" s="190"/>
      <c r="AB8" s="187"/>
      <c r="AC8" s="184"/>
      <c r="AD8" s="554"/>
      <c r="AE8" s="190"/>
      <c r="AF8" s="190"/>
      <c r="AG8" s="187"/>
      <c r="AH8" s="184"/>
      <c r="AI8" s="554"/>
      <c r="AJ8" s="190"/>
      <c r="AK8" s="190"/>
      <c r="AL8" s="187"/>
      <c r="AM8" s="184"/>
      <c r="AN8" s="554"/>
      <c r="AO8" s="190"/>
      <c r="AP8" s="190"/>
      <c r="AQ8" s="187"/>
      <c r="AR8" s="184"/>
      <c r="AS8" s="554"/>
      <c r="AT8" s="190"/>
      <c r="AU8" s="190"/>
      <c r="AV8" s="187"/>
      <c r="AW8" s="184"/>
      <c r="AX8" s="554"/>
    </row>
    <row r="9" spans="1:50" ht="14.25" customHeight="1">
      <c r="B9" s="525"/>
      <c r="C9" s="182">
        <v>3</v>
      </c>
      <c r="D9" s="185"/>
      <c r="E9" s="182"/>
      <c r="F9" s="182"/>
      <c r="G9" s="187"/>
      <c r="H9" s="554"/>
      <c r="I9" s="188"/>
      <c r="J9" s="188"/>
      <c r="K9" s="189"/>
      <c r="L9" s="555"/>
      <c r="M9" s="188"/>
      <c r="N9" s="525"/>
      <c r="O9" s="525"/>
      <c r="P9" s="190"/>
      <c r="Q9" s="190"/>
      <c r="R9" s="187"/>
      <c r="S9" s="184"/>
      <c r="T9" s="554"/>
      <c r="U9" s="190"/>
      <c r="V9" s="190"/>
      <c r="W9" s="187"/>
      <c r="X9" s="184"/>
      <c r="Y9" s="554"/>
      <c r="Z9" s="190"/>
      <c r="AA9" s="190"/>
      <c r="AB9" s="187"/>
      <c r="AC9" s="184"/>
      <c r="AD9" s="554"/>
      <c r="AE9" s="190"/>
      <c r="AF9" s="190"/>
      <c r="AG9" s="187"/>
      <c r="AH9" s="184"/>
      <c r="AI9" s="554"/>
      <c r="AJ9" s="190"/>
      <c r="AK9" s="190"/>
      <c r="AL9" s="187"/>
      <c r="AM9" s="184"/>
      <c r="AN9" s="554"/>
      <c r="AO9" s="190"/>
      <c r="AP9" s="190"/>
      <c r="AQ9" s="187"/>
      <c r="AR9" s="184"/>
      <c r="AS9" s="554"/>
      <c r="AT9" s="190"/>
      <c r="AU9" s="190"/>
      <c r="AV9" s="187"/>
      <c r="AW9" s="184"/>
      <c r="AX9" s="554"/>
    </row>
    <row r="10" spans="1:50" ht="14.25" customHeight="1">
      <c r="B10" s="525"/>
      <c r="C10" s="182">
        <v>4</v>
      </c>
      <c r="D10" s="185"/>
      <c r="E10" s="182"/>
      <c r="F10" s="182"/>
      <c r="G10" s="187"/>
      <c r="H10" s="554"/>
      <c r="I10" s="188"/>
      <c r="J10" s="188"/>
      <c r="K10" s="189"/>
      <c r="L10" s="555"/>
      <c r="M10" s="188"/>
      <c r="N10" s="525"/>
      <c r="O10" s="525"/>
      <c r="P10" s="190"/>
      <c r="Q10" s="190"/>
      <c r="R10" s="187"/>
      <c r="S10" s="184"/>
      <c r="T10" s="554"/>
      <c r="U10" s="190"/>
      <c r="V10" s="190"/>
      <c r="W10" s="187"/>
      <c r="X10" s="184"/>
      <c r="Y10" s="554"/>
      <c r="Z10" s="190"/>
      <c r="AA10" s="190"/>
      <c r="AB10" s="187"/>
      <c r="AC10" s="184"/>
      <c r="AD10" s="554"/>
      <c r="AE10" s="190"/>
      <c r="AF10" s="190"/>
      <c r="AG10" s="187"/>
      <c r="AH10" s="184"/>
      <c r="AI10" s="554"/>
      <c r="AJ10" s="190"/>
      <c r="AK10" s="190"/>
      <c r="AL10" s="187"/>
      <c r="AM10" s="184"/>
      <c r="AN10" s="554"/>
      <c r="AO10" s="190"/>
      <c r="AP10" s="190"/>
      <c r="AQ10" s="187"/>
      <c r="AR10" s="184"/>
      <c r="AS10" s="554"/>
      <c r="AT10" s="190"/>
      <c r="AU10" s="190"/>
      <c r="AV10" s="187"/>
      <c r="AW10" s="184"/>
      <c r="AX10" s="554"/>
    </row>
    <row r="11" spans="1:50" ht="14.25" customHeight="1">
      <c r="B11" s="525"/>
      <c r="C11" s="182">
        <v>5</v>
      </c>
      <c r="D11" s="185"/>
      <c r="E11" s="182"/>
      <c r="F11" s="182"/>
      <c r="G11" s="187"/>
      <c r="H11" s="554"/>
      <c r="I11" s="188"/>
      <c r="J11" s="188"/>
      <c r="K11" s="189"/>
      <c r="L11" s="555"/>
      <c r="M11" s="188"/>
      <c r="N11" s="525"/>
      <c r="O11" s="525"/>
      <c r="P11" s="190"/>
      <c r="Q11" s="190"/>
      <c r="R11" s="187"/>
      <c r="S11" s="184"/>
      <c r="T11" s="554"/>
      <c r="U11" s="190"/>
      <c r="V11" s="190"/>
      <c r="W11" s="187"/>
      <c r="X11" s="184"/>
      <c r="Y11" s="554"/>
      <c r="Z11" s="190"/>
      <c r="AA11" s="190"/>
      <c r="AB11" s="187"/>
      <c r="AC11" s="184"/>
      <c r="AD11" s="554"/>
      <c r="AE11" s="190"/>
      <c r="AF11" s="190"/>
      <c r="AG11" s="187"/>
      <c r="AH11" s="184"/>
      <c r="AI11" s="554"/>
      <c r="AJ11" s="190"/>
      <c r="AK11" s="190"/>
      <c r="AL11" s="187"/>
      <c r="AM11" s="184"/>
      <c r="AN11" s="554"/>
      <c r="AO11" s="190"/>
      <c r="AP11" s="190"/>
      <c r="AQ11" s="187"/>
      <c r="AR11" s="184"/>
      <c r="AS11" s="554"/>
      <c r="AT11" s="190"/>
      <c r="AU11" s="190"/>
      <c r="AV11" s="187"/>
      <c r="AW11" s="184"/>
      <c r="AX11" s="554"/>
    </row>
    <row r="12" spans="1:50" ht="14.25" customHeight="1">
      <c r="B12" s="525"/>
      <c r="C12" s="182">
        <v>6</v>
      </c>
      <c r="D12" s="185"/>
      <c r="E12" s="182"/>
      <c r="F12" s="182"/>
      <c r="G12" s="187"/>
      <c r="H12" s="554"/>
      <c r="I12" s="188"/>
      <c r="J12" s="188"/>
      <c r="K12" s="189"/>
      <c r="L12" s="555"/>
      <c r="M12" s="188"/>
      <c r="N12" s="525"/>
      <c r="O12" s="525"/>
      <c r="P12" s="190"/>
      <c r="Q12" s="190"/>
      <c r="R12" s="187"/>
      <c r="S12" s="184"/>
      <c r="T12" s="554"/>
      <c r="U12" s="190"/>
      <c r="V12" s="190"/>
      <c r="W12" s="187"/>
      <c r="X12" s="184"/>
      <c r="Y12" s="554"/>
      <c r="Z12" s="190"/>
      <c r="AA12" s="190"/>
      <c r="AB12" s="187"/>
      <c r="AC12" s="184"/>
      <c r="AD12" s="554"/>
      <c r="AE12" s="190"/>
      <c r="AF12" s="190"/>
      <c r="AG12" s="187"/>
      <c r="AH12" s="184"/>
      <c r="AI12" s="554"/>
      <c r="AJ12" s="190"/>
      <c r="AK12" s="190"/>
      <c r="AL12" s="187"/>
      <c r="AM12" s="184"/>
      <c r="AN12" s="554"/>
      <c r="AO12" s="190"/>
      <c r="AP12" s="190"/>
      <c r="AQ12" s="187"/>
      <c r="AR12" s="184"/>
      <c r="AS12" s="554"/>
      <c r="AT12" s="190"/>
      <c r="AU12" s="190"/>
      <c r="AV12" s="187"/>
      <c r="AW12" s="184"/>
      <c r="AX12" s="554"/>
    </row>
    <row r="13" spans="1:50" ht="14.25" customHeight="1">
      <c r="B13" s="525"/>
      <c r="C13" s="182">
        <v>7</v>
      </c>
      <c r="D13" s="185"/>
      <c r="E13" s="182"/>
      <c r="F13" s="182"/>
      <c r="G13" s="187"/>
      <c r="H13" s="554"/>
      <c r="I13" s="188"/>
      <c r="J13" s="188"/>
      <c r="K13" s="189"/>
      <c r="L13" s="555"/>
      <c r="M13" s="188"/>
      <c r="N13" s="525"/>
      <c r="O13" s="525"/>
      <c r="P13" s="190"/>
      <c r="Q13" s="190"/>
      <c r="R13" s="187"/>
      <c r="S13" s="184"/>
      <c r="T13" s="554"/>
      <c r="U13" s="190"/>
      <c r="V13" s="190"/>
      <c r="W13" s="187"/>
      <c r="X13" s="184"/>
      <c r="Y13" s="554"/>
      <c r="Z13" s="190"/>
      <c r="AA13" s="190"/>
      <c r="AB13" s="187"/>
      <c r="AC13" s="184"/>
      <c r="AD13" s="554"/>
      <c r="AE13" s="190"/>
      <c r="AF13" s="190"/>
      <c r="AG13" s="187"/>
      <c r="AH13" s="184"/>
      <c r="AI13" s="554"/>
      <c r="AJ13" s="190"/>
      <c r="AK13" s="190"/>
      <c r="AL13" s="187"/>
      <c r="AM13" s="184"/>
      <c r="AN13" s="554"/>
      <c r="AO13" s="190"/>
      <c r="AP13" s="190"/>
      <c r="AQ13" s="187"/>
      <c r="AR13" s="184"/>
      <c r="AS13" s="554"/>
      <c r="AT13" s="190"/>
      <c r="AU13" s="190"/>
      <c r="AV13" s="187"/>
      <c r="AW13" s="184"/>
      <c r="AX13" s="554"/>
    </row>
    <row r="14" spans="1:50" ht="14.25" customHeight="1">
      <c r="B14" s="525"/>
      <c r="C14" s="182">
        <v>8</v>
      </c>
      <c r="D14" s="185"/>
      <c r="E14" s="182"/>
      <c r="F14" s="182"/>
      <c r="G14" s="187"/>
      <c r="H14" s="554"/>
      <c r="I14" s="188"/>
      <c r="J14" s="188"/>
      <c r="K14" s="189"/>
      <c r="L14" s="555"/>
      <c r="M14" s="188"/>
      <c r="N14" s="525"/>
      <c r="O14" s="525"/>
      <c r="P14" s="190"/>
      <c r="Q14" s="190"/>
      <c r="R14" s="187"/>
      <c r="S14" s="184"/>
      <c r="T14" s="554"/>
      <c r="U14" s="190"/>
      <c r="V14" s="190"/>
      <c r="W14" s="187"/>
      <c r="X14" s="184"/>
      <c r="Y14" s="554"/>
      <c r="Z14" s="190"/>
      <c r="AA14" s="190"/>
      <c r="AB14" s="187"/>
      <c r="AC14" s="184"/>
      <c r="AD14" s="554"/>
      <c r="AE14" s="190"/>
      <c r="AF14" s="190"/>
      <c r="AG14" s="187"/>
      <c r="AH14" s="184"/>
      <c r="AI14" s="554"/>
      <c r="AJ14" s="190"/>
      <c r="AK14" s="190"/>
      <c r="AL14" s="187"/>
      <c r="AM14" s="184"/>
      <c r="AN14" s="554"/>
      <c r="AO14" s="190"/>
      <c r="AP14" s="190"/>
      <c r="AQ14" s="187"/>
      <c r="AR14" s="184"/>
      <c r="AS14" s="554"/>
      <c r="AT14" s="190"/>
      <c r="AU14" s="190"/>
      <c r="AV14" s="187"/>
      <c r="AW14" s="184"/>
      <c r="AX14" s="554"/>
    </row>
    <row r="15" spans="1:50" ht="14.25" customHeight="1">
      <c r="B15" s="525"/>
      <c r="C15" s="182">
        <v>9</v>
      </c>
      <c r="D15" s="185"/>
      <c r="E15" s="182"/>
      <c r="F15" s="182"/>
      <c r="G15" s="187"/>
      <c r="H15" s="554"/>
      <c r="I15" s="188"/>
      <c r="J15" s="188"/>
      <c r="K15" s="189"/>
      <c r="L15" s="555"/>
      <c r="M15" s="188"/>
      <c r="N15" s="525"/>
      <c r="O15" s="525"/>
      <c r="P15" s="190"/>
      <c r="Q15" s="190"/>
      <c r="R15" s="187"/>
      <c r="S15" s="184"/>
      <c r="T15" s="554"/>
      <c r="U15" s="190"/>
      <c r="V15" s="190"/>
      <c r="W15" s="187"/>
      <c r="X15" s="184"/>
      <c r="Y15" s="554"/>
      <c r="Z15" s="190"/>
      <c r="AA15" s="190"/>
      <c r="AB15" s="187"/>
      <c r="AC15" s="184"/>
      <c r="AD15" s="554"/>
      <c r="AE15" s="190"/>
      <c r="AF15" s="190"/>
      <c r="AG15" s="187"/>
      <c r="AH15" s="184"/>
      <c r="AI15" s="554"/>
      <c r="AJ15" s="190"/>
      <c r="AK15" s="190"/>
      <c r="AL15" s="187"/>
      <c r="AM15" s="184"/>
      <c r="AN15" s="554"/>
      <c r="AO15" s="190"/>
      <c r="AP15" s="190"/>
      <c r="AQ15" s="187"/>
      <c r="AR15" s="184"/>
      <c r="AS15" s="554"/>
      <c r="AT15" s="190"/>
      <c r="AU15" s="190"/>
      <c r="AV15" s="187"/>
      <c r="AW15" s="184"/>
      <c r="AX15" s="554"/>
    </row>
    <row r="16" spans="1:50" ht="14.25" customHeight="1">
      <c r="B16" s="525"/>
      <c r="C16" s="182">
        <v>10</v>
      </c>
      <c r="D16" s="185"/>
      <c r="E16" s="182"/>
      <c r="F16" s="182"/>
      <c r="G16" s="187"/>
      <c r="H16" s="554"/>
      <c r="I16" s="188"/>
      <c r="J16" s="188"/>
      <c r="K16" s="189"/>
      <c r="L16" s="555"/>
      <c r="M16" s="188"/>
      <c r="N16" s="525"/>
      <c r="O16" s="525"/>
      <c r="P16" s="190"/>
      <c r="Q16" s="190"/>
      <c r="R16" s="187"/>
      <c r="S16" s="184"/>
      <c r="T16" s="554"/>
      <c r="U16" s="190"/>
      <c r="V16" s="190"/>
      <c r="W16" s="187"/>
      <c r="X16" s="184"/>
      <c r="Y16" s="554"/>
      <c r="Z16" s="190"/>
      <c r="AA16" s="190"/>
      <c r="AB16" s="187"/>
      <c r="AC16" s="184"/>
      <c r="AD16" s="554"/>
      <c r="AE16" s="190"/>
      <c r="AF16" s="190"/>
      <c r="AG16" s="187"/>
      <c r="AH16" s="184"/>
      <c r="AI16" s="554"/>
      <c r="AJ16" s="190"/>
      <c r="AK16" s="190"/>
      <c r="AL16" s="187"/>
      <c r="AM16" s="184"/>
      <c r="AN16" s="554"/>
      <c r="AO16" s="190"/>
      <c r="AP16" s="190"/>
      <c r="AQ16" s="187"/>
      <c r="AR16" s="184"/>
      <c r="AS16" s="554"/>
      <c r="AT16" s="190"/>
      <c r="AU16" s="190"/>
      <c r="AV16" s="187"/>
      <c r="AW16" s="184"/>
      <c r="AX16" s="554"/>
    </row>
    <row r="17" spans="2:50" ht="14.25" customHeight="1">
      <c r="B17" s="525"/>
      <c r="C17" s="182">
        <v>11</v>
      </c>
      <c r="D17" s="185"/>
      <c r="E17" s="182"/>
      <c r="F17" s="182"/>
      <c r="G17" s="187"/>
      <c r="H17" s="554"/>
      <c r="I17" s="188"/>
      <c r="J17" s="188"/>
      <c r="K17" s="189"/>
      <c r="L17" s="555"/>
      <c r="M17" s="188"/>
      <c r="N17" s="525"/>
      <c r="O17" s="525"/>
      <c r="P17" s="190"/>
      <c r="Q17" s="190"/>
      <c r="R17" s="187"/>
      <c r="S17" s="184"/>
      <c r="T17" s="554"/>
      <c r="U17" s="190"/>
      <c r="V17" s="190"/>
      <c r="W17" s="187"/>
      <c r="X17" s="184"/>
      <c r="Y17" s="554"/>
      <c r="Z17" s="190"/>
      <c r="AA17" s="190"/>
      <c r="AB17" s="187"/>
      <c r="AC17" s="184"/>
      <c r="AD17" s="554"/>
      <c r="AE17" s="190"/>
      <c r="AF17" s="190"/>
      <c r="AG17" s="187"/>
      <c r="AH17" s="184"/>
      <c r="AI17" s="554"/>
      <c r="AJ17" s="190"/>
      <c r="AK17" s="190"/>
      <c r="AL17" s="187"/>
      <c r="AM17" s="184"/>
      <c r="AN17" s="554"/>
      <c r="AO17" s="190"/>
      <c r="AP17" s="190"/>
      <c r="AQ17" s="187"/>
      <c r="AR17" s="184"/>
      <c r="AS17" s="554"/>
      <c r="AT17" s="190"/>
      <c r="AU17" s="190"/>
      <c r="AV17" s="187"/>
      <c r="AW17" s="184"/>
      <c r="AX17" s="554"/>
    </row>
    <row r="18" spans="2:50" ht="14.25" customHeight="1">
      <c r="B18" s="525"/>
      <c r="C18" s="182">
        <v>12</v>
      </c>
      <c r="D18" s="185"/>
      <c r="E18" s="182"/>
      <c r="F18" s="182"/>
      <c r="G18" s="187"/>
      <c r="H18" s="554"/>
      <c r="I18" s="188"/>
      <c r="J18" s="188"/>
      <c r="K18" s="189"/>
      <c r="L18" s="555"/>
      <c r="M18" s="188"/>
      <c r="N18" s="525"/>
      <c r="O18" s="525"/>
      <c r="P18" s="190"/>
      <c r="Q18" s="190"/>
      <c r="R18" s="187"/>
      <c r="S18" s="184"/>
      <c r="T18" s="554"/>
      <c r="U18" s="190"/>
      <c r="V18" s="190"/>
      <c r="W18" s="187"/>
      <c r="X18" s="184"/>
      <c r="Y18" s="554"/>
      <c r="Z18" s="190"/>
      <c r="AA18" s="190"/>
      <c r="AB18" s="187"/>
      <c r="AC18" s="184"/>
      <c r="AD18" s="554"/>
      <c r="AE18" s="190"/>
      <c r="AF18" s="190"/>
      <c r="AG18" s="187"/>
      <c r="AH18" s="184"/>
      <c r="AI18" s="554"/>
      <c r="AJ18" s="190"/>
      <c r="AK18" s="190"/>
      <c r="AL18" s="187"/>
      <c r="AM18" s="184"/>
      <c r="AN18" s="554"/>
      <c r="AO18" s="190"/>
      <c r="AP18" s="190"/>
      <c r="AQ18" s="187"/>
      <c r="AR18" s="184"/>
      <c r="AS18" s="554"/>
      <c r="AT18" s="190"/>
      <c r="AU18" s="190"/>
      <c r="AV18" s="187"/>
      <c r="AW18" s="184"/>
      <c r="AX18" s="554"/>
    </row>
    <row r="19" spans="2:50" ht="14.25" customHeight="1">
      <c r="B19" s="525"/>
      <c r="C19" s="182">
        <v>13</v>
      </c>
      <c r="D19" s="185"/>
      <c r="E19" s="182"/>
      <c r="F19" s="182"/>
      <c r="G19" s="187"/>
      <c r="H19" s="554"/>
      <c r="I19" s="188"/>
      <c r="J19" s="188"/>
      <c r="K19" s="189"/>
      <c r="L19" s="555"/>
      <c r="M19" s="188"/>
      <c r="N19" s="525"/>
      <c r="O19" s="525"/>
      <c r="P19" s="190"/>
      <c r="Q19" s="190"/>
      <c r="R19" s="187"/>
      <c r="S19" s="184"/>
      <c r="T19" s="554"/>
      <c r="U19" s="190"/>
      <c r="V19" s="190"/>
      <c r="W19" s="187"/>
      <c r="X19" s="184"/>
      <c r="Y19" s="554"/>
      <c r="Z19" s="190"/>
      <c r="AA19" s="190"/>
      <c r="AB19" s="187"/>
      <c r="AC19" s="184"/>
      <c r="AD19" s="554"/>
      <c r="AE19" s="190"/>
      <c r="AF19" s="190"/>
      <c r="AG19" s="187"/>
      <c r="AH19" s="184"/>
      <c r="AI19" s="554"/>
      <c r="AJ19" s="190"/>
      <c r="AK19" s="190"/>
      <c r="AL19" s="187"/>
      <c r="AM19" s="184"/>
      <c r="AN19" s="554"/>
      <c r="AO19" s="190"/>
      <c r="AP19" s="190"/>
      <c r="AQ19" s="187"/>
      <c r="AR19" s="184"/>
      <c r="AS19" s="554"/>
      <c r="AT19" s="190"/>
      <c r="AU19" s="190"/>
      <c r="AV19" s="187"/>
      <c r="AW19" s="184"/>
      <c r="AX19" s="554"/>
    </row>
    <row r="20" spans="2:50" ht="14.25" customHeight="1">
      <c r="B20" s="525"/>
      <c r="C20" s="182">
        <v>14</v>
      </c>
      <c r="D20" s="185"/>
      <c r="E20" s="182"/>
      <c r="F20" s="182"/>
      <c r="G20" s="187"/>
      <c r="H20" s="554"/>
      <c r="I20" s="188"/>
      <c r="J20" s="188"/>
      <c r="K20" s="189"/>
      <c r="L20" s="555"/>
      <c r="M20" s="188"/>
      <c r="N20" s="525"/>
      <c r="O20" s="525"/>
      <c r="P20" s="190"/>
      <c r="Q20" s="190"/>
      <c r="R20" s="187"/>
      <c r="S20" s="184"/>
      <c r="T20" s="554"/>
      <c r="U20" s="190"/>
      <c r="V20" s="190"/>
      <c r="W20" s="187"/>
      <c r="X20" s="184"/>
      <c r="Y20" s="554"/>
      <c r="Z20" s="190"/>
      <c r="AA20" s="190"/>
      <c r="AB20" s="187"/>
      <c r="AC20" s="184"/>
      <c r="AD20" s="554"/>
      <c r="AE20" s="190"/>
      <c r="AF20" s="190"/>
      <c r="AG20" s="187"/>
      <c r="AH20" s="184"/>
      <c r="AI20" s="554"/>
      <c r="AJ20" s="190"/>
      <c r="AK20" s="190"/>
      <c r="AL20" s="187"/>
      <c r="AM20" s="184"/>
      <c r="AN20" s="554"/>
      <c r="AO20" s="190"/>
      <c r="AP20" s="190"/>
      <c r="AQ20" s="187"/>
      <c r="AR20" s="184"/>
      <c r="AS20" s="554"/>
      <c r="AT20" s="190"/>
      <c r="AU20" s="190"/>
      <c r="AV20" s="187"/>
      <c r="AW20" s="184"/>
      <c r="AX20" s="554"/>
    </row>
    <row r="21" spans="2:50" ht="14.25" customHeight="1">
      <c r="B21" s="525"/>
      <c r="C21" s="182">
        <v>15</v>
      </c>
      <c r="D21" s="185"/>
      <c r="E21" s="182"/>
      <c r="F21" s="182"/>
      <c r="G21" s="187"/>
      <c r="H21" s="554"/>
      <c r="I21" s="188"/>
      <c r="J21" s="188"/>
      <c r="K21" s="189"/>
      <c r="L21" s="555"/>
      <c r="M21" s="188"/>
      <c r="N21" s="525"/>
      <c r="O21" s="525"/>
      <c r="P21" s="190"/>
      <c r="Q21" s="190"/>
      <c r="R21" s="187"/>
      <c r="S21" s="184"/>
      <c r="T21" s="554"/>
      <c r="U21" s="190"/>
      <c r="V21" s="190"/>
      <c r="W21" s="187"/>
      <c r="X21" s="184"/>
      <c r="Y21" s="554"/>
      <c r="Z21" s="190"/>
      <c r="AA21" s="190"/>
      <c r="AB21" s="187"/>
      <c r="AC21" s="184"/>
      <c r="AD21" s="554"/>
      <c r="AE21" s="190"/>
      <c r="AF21" s="190"/>
      <c r="AG21" s="187"/>
      <c r="AH21" s="184"/>
      <c r="AI21" s="554"/>
      <c r="AJ21" s="190"/>
      <c r="AK21" s="190"/>
      <c r="AL21" s="187"/>
      <c r="AM21" s="184"/>
      <c r="AN21" s="554"/>
      <c r="AO21" s="190"/>
      <c r="AP21" s="190"/>
      <c r="AQ21" s="187"/>
      <c r="AR21" s="184"/>
      <c r="AS21" s="554"/>
      <c r="AT21" s="190"/>
      <c r="AU21" s="190"/>
      <c r="AV21" s="187"/>
      <c r="AW21" s="184"/>
      <c r="AX21" s="554"/>
    </row>
    <row r="22" spans="2:50" ht="14.25" customHeight="1">
      <c r="B22" s="552" t="s">
        <v>645</v>
      </c>
      <c r="C22" s="535"/>
      <c r="D22" s="535"/>
      <c r="E22" s="535"/>
      <c r="F22" s="535"/>
      <c r="G22" s="535"/>
      <c r="H22" s="535"/>
      <c r="I22" s="535"/>
      <c r="J22" s="535"/>
      <c r="K22" s="535"/>
      <c r="L22" s="535"/>
      <c r="M22" s="536"/>
      <c r="N22" s="564" t="s">
        <v>378</v>
      </c>
      <c r="O22" s="564" t="s">
        <v>105</v>
      </c>
      <c r="P22" s="566">
        <v>46084</v>
      </c>
      <c r="Q22" s="567"/>
      <c r="R22" s="567"/>
      <c r="S22" s="567"/>
      <c r="T22" s="567"/>
      <c r="U22" s="568">
        <f>P22+1</f>
        <v>46085</v>
      </c>
      <c r="V22" s="569"/>
      <c r="W22" s="569"/>
      <c r="X22" s="569"/>
      <c r="Y22" s="569"/>
      <c r="Z22" s="566">
        <f t="shared" ref="Z22" si="10">U22+1</f>
        <v>46086</v>
      </c>
      <c r="AA22" s="567"/>
      <c r="AB22" s="567"/>
      <c r="AC22" s="567"/>
      <c r="AD22" s="567"/>
      <c r="AE22" s="568">
        <f t="shared" ref="AE22" si="11">Z22+1</f>
        <v>46087</v>
      </c>
      <c r="AF22" s="569"/>
      <c r="AG22" s="569"/>
      <c r="AH22" s="569"/>
      <c r="AI22" s="569"/>
      <c r="AJ22" s="556">
        <f t="shared" ref="AJ22" si="12">AE22+1</f>
        <v>46088</v>
      </c>
      <c r="AK22" s="557"/>
      <c r="AL22" s="557"/>
      <c r="AM22" s="557"/>
      <c r="AN22" s="558"/>
      <c r="AO22" s="568">
        <f t="shared" ref="AO22" si="13">AJ22+1</f>
        <v>46089</v>
      </c>
      <c r="AP22" s="569"/>
      <c r="AQ22" s="569"/>
      <c r="AR22" s="569"/>
      <c r="AS22" s="569"/>
      <c r="AT22" s="556">
        <f t="shared" ref="AT22" si="14">AO22+1</f>
        <v>46090</v>
      </c>
      <c r="AU22" s="557"/>
      <c r="AV22" s="557"/>
      <c r="AW22" s="557"/>
      <c r="AX22" s="558"/>
    </row>
    <row r="23" spans="2:50" ht="14.25" customHeight="1">
      <c r="B23" s="537"/>
      <c r="C23" s="537"/>
      <c r="D23" s="537"/>
      <c r="E23" s="537"/>
      <c r="F23" s="537"/>
      <c r="G23" s="537"/>
      <c r="H23" s="537"/>
      <c r="I23" s="537"/>
      <c r="J23" s="537"/>
      <c r="K23" s="537"/>
      <c r="L23" s="537"/>
      <c r="M23" s="538"/>
      <c r="N23" s="565"/>
      <c r="O23" s="565"/>
      <c r="P23" s="559">
        <v>46084</v>
      </c>
      <c r="Q23" s="559"/>
      <c r="R23" s="559"/>
      <c r="S23" s="559"/>
      <c r="T23" s="559"/>
      <c r="U23" s="560">
        <f>U22</f>
        <v>46085</v>
      </c>
      <c r="V23" s="560"/>
      <c r="W23" s="560"/>
      <c r="X23" s="560"/>
      <c r="Y23" s="560"/>
      <c r="Z23" s="559">
        <f t="shared" ref="Z23" si="15">Z22</f>
        <v>46086</v>
      </c>
      <c r="AA23" s="559"/>
      <c r="AB23" s="559"/>
      <c r="AC23" s="559"/>
      <c r="AD23" s="559"/>
      <c r="AE23" s="560">
        <f t="shared" ref="AE23" si="16">AE22</f>
        <v>46087</v>
      </c>
      <c r="AF23" s="560"/>
      <c r="AG23" s="560"/>
      <c r="AH23" s="560"/>
      <c r="AI23" s="560"/>
      <c r="AJ23" s="561">
        <f t="shared" ref="AJ23" si="17">AJ22</f>
        <v>46088</v>
      </c>
      <c r="AK23" s="562"/>
      <c r="AL23" s="562"/>
      <c r="AM23" s="562"/>
      <c r="AN23" s="563"/>
      <c r="AO23" s="560">
        <f t="shared" ref="AO23" si="18">AO22</f>
        <v>46089</v>
      </c>
      <c r="AP23" s="560"/>
      <c r="AQ23" s="560"/>
      <c r="AR23" s="560"/>
      <c r="AS23" s="560"/>
      <c r="AT23" s="561">
        <f t="shared" ref="AT23" si="19">AT22</f>
        <v>46090</v>
      </c>
      <c r="AU23" s="562"/>
      <c r="AV23" s="562"/>
      <c r="AW23" s="562"/>
      <c r="AX23" s="563"/>
    </row>
    <row r="24" spans="2:50" ht="14.25" customHeight="1">
      <c r="B24" s="525" t="s">
        <v>164</v>
      </c>
      <c r="C24" s="525" t="s">
        <v>159</v>
      </c>
      <c r="D24" s="525"/>
      <c r="E24" s="525" t="s">
        <v>160</v>
      </c>
      <c r="F24" s="525"/>
      <c r="G24" s="525"/>
      <c r="H24" s="525" t="s">
        <v>165</v>
      </c>
      <c r="I24" s="544" t="s">
        <v>379</v>
      </c>
      <c r="J24" s="544"/>
      <c r="K24" s="544"/>
      <c r="L24" s="544" t="s">
        <v>165</v>
      </c>
      <c r="M24" s="544" t="s">
        <v>167</v>
      </c>
      <c r="N24" s="525"/>
      <c r="O24" s="525" t="s">
        <v>166</v>
      </c>
      <c r="P24" s="525" t="s">
        <v>162</v>
      </c>
      <c r="Q24" s="525"/>
      <c r="R24" s="525"/>
      <c r="S24" s="525"/>
      <c r="T24" s="525" t="s">
        <v>165</v>
      </c>
      <c r="U24" s="525" t="s">
        <v>162</v>
      </c>
      <c r="V24" s="525"/>
      <c r="W24" s="525"/>
      <c r="X24" s="525"/>
      <c r="Y24" s="525" t="s">
        <v>165</v>
      </c>
      <c r="Z24" s="525" t="s">
        <v>162</v>
      </c>
      <c r="AA24" s="525"/>
      <c r="AB24" s="525"/>
      <c r="AC24" s="525"/>
      <c r="AD24" s="525" t="s">
        <v>165</v>
      </c>
      <c r="AE24" s="525" t="s">
        <v>162</v>
      </c>
      <c r="AF24" s="525"/>
      <c r="AG24" s="525"/>
      <c r="AH24" s="525"/>
      <c r="AI24" s="525" t="s">
        <v>165</v>
      </c>
      <c r="AJ24" s="525" t="s">
        <v>162</v>
      </c>
      <c r="AK24" s="525"/>
      <c r="AL24" s="525"/>
      <c r="AM24" s="525"/>
      <c r="AN24" s="525" t="s">
        <v>165</v>
      </c>
      <c r="AO24" s="525" t="s">
        <v>162</v>
      </c>
      <c r="AP24" s="525"/>
      <c r="AQ24" s="525"/>
      <c r="AR24" s="525"/>
      <c r="AS24" s="525" t="s">
        <v>165</v>
      </c>
      <c r="AT24" s="525" t="s">
        <v>162</v>
      </c>
      <c r="AU24" s="525"/>
      <c r="AV24" s="525"/>
      <c r="AW24" s="525"/>
      <c r="AX24" s="525" t="s">
        <v>165</v>
      </c>
    </row>
    <row r="25" spans="2:50" ht="14.25" customHeight="1">
      <c r="B25" s="525"/>
      <c r="C25" s="525"/>
      <c r="D25" s="525"/>
      <c r="E25" s="525" t="s">
        <v>380</v>
      </c>
      <c r="F25" s="525"/>
      <c r="G25" s="525"/>
      <c r="H25" s="525"/>
      <c r="I25" s="544" t="s">
        <v>380</v>
      </c>
      <c r="J25" s="544"/>
      <c r="K25" s="544"/>
      <c r="L25" s="544"/>
      <c r="M25" s="544"/>
      <c r="N25" s="525"/>
      <c r="O25" s="525"/>
      <c r="P25" s="525" t="s">
        <v>381</v>
      </c>
      <c r="Q25" s="525"/>
      <c r="R25" s="525"/>
      <c r="S25" s="525"/>
      <c r="T25" s="525"/>
      <c r="U25" s="525" t="s">
        <v>381</v>
      </c>
      <c r="V25" s="525"/>
      <c r="W25" s="525"/>
      <c r="X25" s="525"/>
      <c r="Y25" s="525"/>
      <c r="Z25" s="525" t="s">
        <v>381</v>
      </c>
      <c r="AA25" s="525"/>
      <c r="AB25" s="525"/>
      <c r="AC25" s="525"/>
      <c r="AD25" s="525"/>
      <c r="AE25" s="525" t="s">
        <v>381</v>
      </c>
      <c r="AF25" s="525"/>
      <c r="AG25" s="525"/>
      <c r="AH25" s="525"/>
      <c r="AI25" s="525"/>
      <c r="AJ25" s="525" t="s">
        <v>381</v>
      </c>
      <c r="AK25" s="525"/>
      <c r="AL25" s="525"/>
      <c r="AM25" s="525"/>
      <c r="AN25" s="525"/>
      <c r="AO25" s="525" t="s">
        <v>381</v>
      </c>
      <c r="AP25" s="525"/>
      <c r="AQ25" s="525"/>
      <c r="AR25" s="525"/>
      <c r="AS25" s="525"/>
      <c r="AT25" s="525" t="s">
        <v>381</v>
      </c>
      <c r="AU25" s="525"/>
      <c r="AV25" s="525"/>
      <c r="AW25" s="525"/>
      <c r="AX25" s="525"/>
    </row>
    <row r="26" spans="2:50" ht="14.25" customHeight="1">
      <c r="B26" s="525"/>
      <c r="C26" s="525"/>
      <c r="D26" s="525"/>
      <c r="E26" s="182" t="s">
        <v>161</v>
      </c>
      <c r="F26" s="182" t="s">
        <v>382</v>
      </c>
      <c r="G26" s="182" t="s">
        <v>163</v>
      </c>
      <c r="H26" s="525"/>
      <c r="I26" s="183" t="s">
        <v>161</v>
      </c>
      <c r="J26" s="183" t="s">
        <v>382</v>
      </c>
      <c r="K26" s="183" t="s">
        <v>163</v>
      </c>
      <c r="L26" s="544"/>
      <c r="M26" s="544"/>
      <c r="N26" s="525"/>
      <c r="O26" s="525"/>
      <c r="P26" s="182" t="s">
        <v>161</v>
      </c>
      <c r="Q26" s="182" t="s">
        <v>382</v>
      </c>
      <c r="R26" s="182" t="s">
        <v>163</v>
      </c>
      <c r="S26" s="184" t="s">
        <v>167</v>
      </c>
      <c r="T26" s="525"/>
      <c r="U26" s="182" t="s">
        <v>161</v>
      </c>
      <c r="V26" s="182" t="s">
        <v>382</v>
      </c>
      <c r="W26" s="182" t="s">
        <v>163</v>
      </c>
      <c r="X26" s="184" t="s">
        <v>167</v>
      </c>
      <c r="Y26" s="525"/>
      <c r="Z26" s="182" t="s">
        <v>161</v>
      </c>
      <c r="AA26" s="182" t="s">
        <v>382</v>
      </c>
      <c r="AB26" s="182" t="s">
        <v>163</v>
      </c>
      <c r="AC26" s="184" t="s">
        <v>167</v>
      </c>
      <c r="AD26" s="525"/>
      <c r="AE26" s="182" t="s">
        <v>161</v>
      </c>
      <c r="AF26" s="182" t="s">
        <v>382</v>
      </c>
      <c r="AG26" s="182" t="s">
        <v>163</v>
      </c>
      <c r="AH26" s="184" t="s">
        <v>167</v>
      </c>
      <c r="AI26" s="525"/>
      <c r="AJ26" s="182" t="s">
        <v>161</v>
      </c>
      <c r="AK26" s="182" t="s">
        <v>382</v>
      </c>
      <c r="AL26" s="182" t="s">
        <v>163</v>
      </c>
      <c r="AM26" s="184" t="s">
        <v>167</v>
      </c>
      <c r="AN26" s="525"/>
      <c r="AO26" s="182" t="s">
        <v>161</v>
      </c>
      <c r="AP26" s="182" t="s">
        <v>382</v>
      </c>
      <c r="AQ26" s="182" t="s">
        <v>163</v>
      </c>
      <c r="AR26" s="184" t="s">
        <v>167</v>
      </c>
      <c r="AS26" s="525"/>
      <c r="AT26" s="182" t="s">
        <v>161</v>
      </c>
      <c r="AU26" s="182" t="s">
        <v>382</v>
      </c>
      <c r="AV26" s="182" t="s">
        <v>163</v>
      </c>
      <c r="AW26" s="184" t="s">
        <v>167</v>
      </c>
      <c r="AX26" s="525"/>
    </row>
    <row r="27" spans="2:50" ht="14.25" customHeight="1">
      <c r="B27" s="525" t="s">
        <v>458</v>
      </c>
      <c r="C27" s="182">
        <v>1</v>
      </c>
      <c r="D27" s="185"/>
      <c r="E27" s="182"/>
      <c r="F27" s="182"/>
      <c r="G27" s="187"/>
      <c r="H27" s="554"/>
      <c r="I27" s="188"/>
      <c r="J27" s="188"/>
      <c r="K27" s="189"/>
      <c r="L27" s="555"/>
      <c r="M27" s="188"/>
      <c r="N27" s="525"/>
      <c r="O27" s="525"/>
      <c r="P27" s="190"/>
      <c r="Q27" s="190"/>
      <c r="R27" s="187"/>
      <c r="S27" s="184"/>
      <c r="T27" s="554"/>
      <c r="U27" s="190"/>
      <c r="V27" s="190"/>
      <c r="W27" s="187"/>
      <c r="X27" s="184"/>
      <c r="Y27" s="554"/>
      <c r="Z27" s="190"/>
      <c r="AA27" s="190"/>
      <c r="AB27" s="187"/>
      <c r="AC27" s="184"/>
      <c r="AD27" s="554"/>
      <c r="AE27" s="190"/>
      <c r="AF27" s="190"/>
      <c r="AG27" s="187"/>
      <c r="AH27" s="184"/>
      <c r="AI27" s="554"/>
      <c r="AJ27" s="190"/>
      <c r="AK27" s="190"/>
      <c r="AL27" s="187"/>
      <c r="AM27" s="184"/>
      <c r="AN27" s="554"/>
      <c r="AO27" s="190"/>
      <c r="AP27" s="190"/>
      <c r="AQ27" s="187"/>
      <c r="AR27" s="184"/>
      <c r="AS27" s="554"/>
      <c r="AT27" s="190"/>
      <c r="AU27" s="190"/>
      <c r="AV27" s="187"/>
      <c r="AW27" s="184"/>
      <c r="AX27" s="554"/>
    </row>
    <row r="28" spans="2:50" ht="14.25" customHeight="1">
      <c r="B28" s="525"/>
      <c r="C28" s="182">
        <v>2</v>
      </c>
      <c r="D28" s="185"/>
      <c r="E28" s="182"/>
      <c r="F28" s="182"/>
      <c r="G28" s="187"/>
      <c r="H28" s="554"/>
      <c r="I28" s="188"/>
      <c r="J28" s="188"/>
      <c r="K28" s="189"/>
      <c r="L28" s="555"/>
      <c r="M28" s="188"/>
      <c r="N28" s="525"/>
      <c r="O28" s="525"/>
      <c r="P28" s="190"/>
      <c r="Q28" s="190"/>
      <c r="R28" s="187"/>
      <c r="S28" s="184"/>
      <c r="T28" s="554"/>
      <c r="U28" s="190"/>
      <c r="V28" s="190"/>
      <c r="W28" s="187"/>
      <c r="X28" s="184"/>
      <c r="Y28" s="554"/>
      <c r="Z28" s="190"/>
      <c r="AA28" s="190"/>
      <c r="AB28" s="187"/>
      <c r="AC28" s="184"/>
      <c r="AD28" s="554"/>
      <c r="AE28" s="190"/>
      <c r="AF28" s="190"/>
      <c r="AG28" s="187"/>
      <c r="AH28" s="184"/>
      <c r="AI28" s="554"/>
      <c r="AJ28" s="190"/>
      <c r="AK28" s="190"/>
      <c r="AL28" s="187"/>
      <c r="AM28" s="184"/>
      <c r="AN28" s="554"/>
      <c r="AO28" s="190"/>
      <c r="AP28" s="190"/>
      <c r="AQ28" s="187"/>
      <c r="AR28" s="184"/>
      <c r="AS28" s="554"/>
      <c r="AT28" s="190"/>
      <c r="AU28" s="190"/>
      <c r="AV28" s="187"/>
      <c r="AW28" s="184"/>
      <c r="AX28" s="554"/>
    </row>
    <row r="29" spans="2:50" ht="14.25" customHeight="1">
      <c r="B29" s="525"/>
      <c r="C29" s="182">
        <v>3</v>
      </c>
      <c r="D29" s="185"/>
      <c r="E29" s="182"/>
      <c r="F29" s="182"/>
      <c r="G29" s="187"/>
      <c r="H29" s="554"/>
      <c r="I29" s="188"/>
      <c r="J29" s="188"/>
      <c r="K29" s="189"/>
      <c r="L29" s="555"/>
      <c r="M29" s="188"/>
      <c r="N29" s="525"/>
      <c r="O29" s="525"/>
      <c r="P29" s="190"/>
      <c r="Q29" s="190"/>
      <c r="R29" s="187"/>
      <c r="S29" s="184"/>
      <c r="T29" s="554"/>
      <c r="U29" s="190"/>
      <c r="V29" s="190"/>
      <c r="W29" s="187"/>
      <c r="X29" s="184"/>
      <c r="Y29" s="554"/>
      <c r="Z29" s="190"/>
      <c r="AA29" s="190"/>
      <c r="AB29" s="187"/>
      <c r="AC29" s="184"/>
      <c r="AD29" s="554"/>
      <c r="AE29" s="190"/>
      <c r="AF29" s="190"/>
      <c r="AG29" s="187"/>
      <c r="AH29" s="184"/>
      <c r="AI29" s="554"/>
      <c r="AJ29" s="190"/>
      <c r="AK29" s="190"/>
      <c r="AL29" s="187"/>
      <c r="AM29" s="184"/>
      <c r="AN29" s="554"/>
      <c r="AO29" s="190"/>
      <c r="AP29" s="190"/>
      <c r="AQ29" s="187"/>
      <c r="AR29" s="184"/>
      <c r="AS29" s="554"/>
      <c r="AT29" s="190"/>
      <c r="AU29" s="190"/>
      <c r="AV29" s="187"/>
      <c r="AW29" s="184"/>
      <c r="AX29" s="554"/>
    </row>
    <row r="30" spans="2:50" ht="14.25" customHeight="1">
      <c r="B30" s="525"/>
      <c r="C30" s="182">
        <v>4</v>
      </c>
      <c r="D30" s="185"/>
      <c r="E30" s="182"/>
      <c r="F30" s="182"/>
      <c r="G30" s="187"/>
      <c r="H30" s="554"/>
      <c r="I30" s="188"/>
      <c r="J30" s="188"/>
      <c r="K30" s="189"/>
      <c r="L30" s="555"/>
      <c r="M30" s="188"/>
      <c r="N30" s="525"/>
      <c r="O30" s="525"/>
      <c r="P30" s="190"/>
      <c r="Q30" s="190"/>
      <c r="R30" s="187"/>
      <c r="S30" s="184"/>
      <c r="T30" s="554"/>
      <c r="U30" s="190"/>
      <c r="V30" s="190"/>
      <c r="W30" s="187"/>
      <c r="X30" s="184"/>
      <c r="Y30" s="554"/>
      <c r="Z30" s="190"/>
      <c r="AA30" s="190"/>
      <c r="AB30" s="187"/>
      <c r="AC30" s="184"/>
      <c r="AD30" s="554"/>
      <c r="AE30" s="190"/>
      <c r="AF30" s="190"/>
      <c r="AG30" s="187"/>
      <c r="AH30" s="184"/>
      <c r="AI30" s="554"/>
      <c r="AJ30" s="190"/>
      <c r="AK30" s="190"/>
      <c r="AL30" s="187"/>
      <c r="AM30" s="184"/>
      <c r="AN30" s="554"/>
      <c r="AO30" s="190"/>
      <c r="AP30" s="190"/>
      <c r="AQ30" s="187"/>
      <c r="AR30" s="184"/>
      <c r="AS30" s="554"/>
      <c r="AT30" s="190"/>
      <c r="AU30" s="190"/>
      <c r="AV30" s="187"/>
      <c r="AW30" s="184"/>
      <c r="AX30" s="554"/>
    </row>
    <row r="31" spans="2:50" ht="14.25" customHeight="1">
      <c r="B31" s="525"/>
      <c r="C31" s="182">
        <v>5</v>
      </c>
      <c r="D31" s="185"/>
      <c r="E31" s="182"/>
      <c r="F31" s="182"/>
      <c r="G31" s="187"/>
      <c r="H31" s="554"/>
      <c r="I31" s="188"/>
      <c r="J31" s="188"/>
      <c r="K31" s="189"/>
      <c r="L31" s="555"/>
      <c r="M31" s="188"/>
      <c r="N31" s="525"/>
      <c r="O31" s="525"/>
      <c r="P31" s="190"/>
      <c r="Q31" s="190"/>
      <c r="R31" s="187"/>
      <c r="S31" s="184"/>
      <c r="T31" s="554"/>
      <c r="U31" s="190"/>
      <c r="V31" s="190"/>
      <c r="W31" s="187"/>
      <c r="X31" s="184"/>
      <c r="Y31" s="554"/>
      <c r="Z31" s="190"/>
      <c r="AA31" s="190"/>
      <c r="AB31" s="187"/>
      <c r="AC31" s="184"/>
      <c r="AD31" s="554"/>
      <c r="AE31" s="190"/>
      <c r="AF31" s="190"/>
      <c r="AG31" s="187"/>
      <c r="AH31" s="184"/>
      <c r="AI31" s="554"/>
      <c r="AJ31" s="190"/>
      <c r="AK31" s="190"/>
      <c r="AL31" s="187"/>
      <c r="AM31" s="184"/>
      <c r="AN31" s="554"/>
      <c r="AO31" s="190"/>
      <c r="AP31" s="190"/>
      <c r="AQ31" s="187"/>
      <c r="AR31" s="184"/>
      <c r="AS31" s="554"/>
      <c r="AT31" s="190"/>
      <c r="AU31" s="190"/>
      <c r="AV31" s="187"/>
      <c r="AW31" s="184"/>
      <c r="AX31" s="554"/>
    </row>
    <row r="32" spans="2:50" ht="14.25" customHeight="1">
      <c r="B32" s="525"/>
      <c r="C32" s="182">
        <v>6</v>
      </c>
      <c r="D32" s="185"/>
      <c r="E32" s="182"/>
      <c r="F32" s="182"/>
      <c r="G32" s="187"/>
      <c r="H32" s="554"/>
      <c r="I32" s="188"/>
      <c r="J32" s="188"/>
      <c r="K32" s="189"/>
      <c r="L32" s="555"/>
      <c r="M32" s="188"/>
      <c r="N32" s="525"/>
      <c r="O32" s="525"/>
      <c r="P32" s="190"/>
      <c r="Q32" s="190"/>
      <c r="R32" s="187"/>
      <c r="S32" s="184"/>
      <c r="T32" s="554"/>
      <c r="U32" s="190"/>
      <c r="V32" s="190"/>
      <c r="W32" s="187"/>
      <c r="X32" s="184"/>
      <c r="Y32" s="554"/>
      <c r="Z32" s="190"/>
      <c r="AA32" s="190"/>
      <c r="AB32" s="187"/>
      <c r="AC32" s="184"/>
      <c r="AD32" s="554"/>
      <c r="AE32" s="190"/>
      <c r="AF32" s="190"/>
      <c r="AG32" s="187"/>
      <c r="AH32" s="184"/>
      <c r="AI32" s="554"/>
      <c r="AJ32" s="190"/>
      <c r="AK32" s="190"/>
      <c r="AL32" s="187"/>
      <c r="AM32" s="184"/>
      <c r="AN32" s="554"/>
      <c r="AO32" s="190"/>
      <c r="AP32" s="190"/>
      <c r="AQ32" s="187"/>
      <c r="AR32" s="184"/>
      <c r="AS32" s="554"/>
      <c r="AT32" s="190"/>
      <c r="AU32" s="190"/>
      <c r="AV32" s="187"/>
      <c r="AW32" s="184"/>
      <c r="AX32" s="554"/>
    </row>
    <row r="33" spans="2:50" ht="14.25" customHeight="1">
      <c r="B33" s="525"/>
      <c r="C33" s="182">
        <v>7</v>
      </c>
      <c r="D33" s="185"/>
      <c r="E33" s="182"/>
      <c r="F33" s="182"/>
      <c r="G33" s="187"/>
      <c r="H33" s="554"/>
      <c r="I33" s="188"/>
      <c r="J33" s="188"/>
      <c r="K33" s="189"/>
      <c r="L33" s="555"/>
      <c r="M33" s="188"/>
      <c r="N33" s="525"/>
      <c r="O33" s="525"/>
      <c r="P33" s="190"/>
      <c r="Q33" s="190"/>
      <c r="R33" s="187"/>
      <c r="S33" s="184"/>
      <c r="T33" s="554"/>
      <c r="U33" s="190"/>
      <c r="V33" s="190"/>
      <c r="W33" s="187"/>
      <c r="X33" s="184"/>
      <c r="Y33" s="554"/>
      <c r="Z33" s="190"/>
      <c r="AA33" s="190"/>
      <c r="AB33" s="187"/>
      <c r="AC33" s="184"/>
      <c r="AD33" s="554"/>
      <c r="AE33" s="190"/>
      <c r="AF33" s="190"/>
      <c r="AG33" s="187"/>
      <c r="AH33" s="184"/>
      <c r="AI33" s="554"/>
      <c r="AJ33" s="190"/>
      <c r="AK33" s="190"/>
      <c r="AL33" s="187"/>
      <c r="AM33" s="184"/>
      <c r="AN33" s="554"/>
      <c r="AO33" s="190"/>
      <c r="AP33" s="190"/>
      <c r="AQ33" s="187"/>
      <c r="AR33" s="184"/>
      <c r="AS33" s="554"/>
      <c r="AT33" s="190"/>
      <c r="AU33" s="190"/>
      <c r="AV33" s="187"/>
      <c r="AW33" s="184"/>
      <c r="AX33" s="554"/>
    </row>
    <row r="34" spans="2:50" ht="14.25" customHeight="1">
      <c r="B34" s="525"/>
      <c r="C34" s="182">
        <v>8</v>
      </c>
      <c r="D34" s="185"/>
      <c r="E34" s="182"/>
      <c r="F34" s="182"/>
      <c r="G34" s="187"/>
      <c r="H34" s="554"/>
      <c r="I34" s="188"/>
      <c r="J34" s="188"/>
      <c r="K34" s="189"/>
      <c r="L34" s="555"/>
      <c r="M34" s="188"/>
      <c r="N34" s="525"/>
      <c r="O34" s="525"/>
      <c r="P34" s="190"/>
      <c r="Q34" s="190"/>
      <c r="R34" s="187"/>
      <c r="S34" s="184"/>
      <c r="T34" s="554"/>
      <c r="U34" s="190"/>
      <c r="V34" s="190"/>
      <c r="W34" s="187"/>
      <c r="X34" s="184"/>
      <c r="Y34" s="554"/>
      <c r="Z34" s="190"/>
      <c r="AA34" s="190"/>
      <c r="AB34" s="187"/>
      <c r="AC34" s="184"/>
      <c r="AD34" s="554"/>
      <c r="AE34" s="190"/>
      <c r="AF34" s="190"/>
      <c r="AG34" s="187"/>
      <c r="AH34" s="184"/>
      <c r="AI34" s="554"/>
      <c r="AJ34" s="190"/>
      <c r="AK34" s="190"/>
      <c r="AL34" s="187"/>
      <c r="AM34" s="184"/>
      <c r="AN34" s="554"/>
      <c r="AO34" s="190"/>
      <c r="AP34" s="190"/>
      <c r="AQ34" s="187"/>
      <c r="AR34" s="184"/>
      <c r="AS34" s="554"/>
      <c r="AT34" s="190"/>
      <c r="AU34" s="190"/>
      <c r="AV34" s="187"/>
      <c r="AW34" s="184"/>
      <c r="AX34" s="554"/>
    </row>
    <row r="35" spans="2:50" ht="14.25" customHeight="1">
      <c r="B35" s="525"/>
      <c r="C35" s="182">
        <v>9</v>
      </c>
      <c r="D35" s="185"/>
      <c r="E35" s="182"/>
      <c r="F35" s="182"/>
      <c r="G35" s="187"/>
      <c r="H35" s="554"/>
      <c r="I35" s="188"/>
      <c r="J35" s="188"/>
      <c r="K35" s="189"/>
      <c r="L35" s="555"/>
      <c r="M35" s="188"/>
      <c r="N35" s="525"/>
      <c r="O35" s="525"/>
      <c r="P35" s="190"/>
      <c r="Q35" s="190"/>
      <c r="R35" s="187"/>
      <c r="S35" s="184"/>
      <c r="T35" s="554"/>
      <c r="U35" s="190"/>
      <c r="V35" s="190"/>
      <c r="W35" s="187"/>
      <c r="X35" s="184"/>
      <c r="Y35" s="554"/>
      <c r="Z35" s="190"/>
      <c r="AA35" s="190"/>
      <c r="AB35" s="187"/>
      <c r="AC35" s="184"/>
      <c r="AD35" s="554"/>
      <c r="AE35" s="190"/>
      <c r="AF35" s="190"/>
      <c r="AG35" s="187"/>
      <c r="AH35" s="184"/>
      <c r="AI35" s="554"/>
      <c r="AJ35" s="190"/>
      <c r="AK35" s="190"/>
      <c r="AL35" s="187"/>
      <c r="AM35" s="184"/>
      <c r="AN35" s="554"/>
      <c r="AO35" s="190"/>
      <c r="AP35" s="190"/>
      <c r="AQ35" s="187"/>
      <c r="AR35" s="184"/>
      <c r="AS35" s="554"/>
      <c r="AT35" s="190"/>
      <c r="AU35" s="190"/>
      <c r="AV35" s="187"/>
      <c r="AW35" s="184"/>
      <c r="AX35" s="554"/>
    </row>
    <row r="36" spans="2:50" ht="14.25" customHeight="1">
      <c r="B36" s="525"/>
      <c r="C36" s="182">
        <v>10</v>
      </c>
      <c r="D36" s="185"/>
      <c r="E36" s="182"/>
      <c r="F36" s="182"/>
      <c r="G36" s="187"/>
      <c r="H36" s="554"/>
      <c r="I36" s="188"/>
      <c r="J36" s="188"/>
      <c r="K36" s="189"/>
      <c r="L36" s="555"/>
      <c r="M36" s="188"/>
      <c r="N36" s="525"/>
      <c r="O36" s="525"/>
      <c r="P36" s="190"/>
      <c r="Q36" s="190"/>
      <c r="R36" s="187"/>
      <c r="S36" s="184"/>
      <c r="T36" s="554"/>
      <c r="U36" s="190"/>
      <c r="V36" s="190"/>
      <c r="W36" s="187"/>
      <c r="X36" s="184"/>
      <c r="Y36" s="554"/>
      <c r="Z36" s="190"/>
      <c r="AA36" s="190"/>
      <c r="AB36" s="187"/>
      <c r="AC36" s="184"/>
      <c r="AD36" s="554"/>
      <c r="AE36" s="190"/>
      <c r="AF36" s="190"/>
      <c r="AG36" s="187"/>
      <c r="AH36" s="184"/>
      <c r="AI36" s="554"/>
      <c r="AJ36" s="190"/>
      <c r="AK36" s="190"/>
      <c r="AL36" s="187"/>
      <c r="AM36" s="184"/>
      <c r="AN36" s="554"/>
      <c r="AO36" s="190"/>
      <c r="AP36" s="190"/>
      <c r="AQ36" s="187"/>
      <c r="AR36" s="184"/>
      <c r="AS36" s="554"/>
      <c r="AT36" s="190"/>
      <c r="AU36" s="190"/>
      <c r="AV36" s="187"/>
      <c r="AW36" s="184"/>
      <c r="AX36" s="554"/>
    </row>
    <row r="37" spans="2:50" ht="14.25" customHeight="1">
      <c r="B37" s="525"/>
      <c r="C37" s="182">
        <v>11</v>
      </c>
      <c r="D37" s="185"/>
      <c r="E37" s="182"/>
      <c r="F37" s="182"/>
      <c r="G37" s="187"/>
      <c r="H37" s="554"/>
      <c r="I37" s="188"/>
      <c r="J37" s="188"/>
      <c r="K37" s="189"/>
      <c r="L37" s="555"/>
      <c r="M37" s="188"/>
      <c r="N37" s="525"/>
      <c r="O37" s="525"/>
      <c r="P37" s="190"/>
      <c r="Q37" s="190"/>
      <c r="R37" s="187"/>
      <c r="S37" s="184"/>
      <c r="T37" s="554"/>
      <c r="U37" s="190"/>
      <c r="V37" s="190"/>
      <c r="W37" s="187"/>
      <c r="X37" s="184"/>
      <c r="Y37" s="554"/>
      <c r="Z37" s="190"/>
      <c r="AA37" s="190"/>
      <c r="AB37" s="187"/>
      <c r="AC37" s="184"/>
      <c r="AD37" s="554"/>
      <c r="AE37" s="190"/>
      <c r="AF37" s="190"/>
      <c r="AG37" s="187"/>
      <c r="AH37" s="184"/>
      <c r="AI37" s="554"/>
      <c r="AJ37" s="190"/>
      <c r="AK37" s="190"/>
      <c r="AL37" s="187"/>
      <c r="AM37" s="184"/>
      <c r="AN37" s="554"/>
      <c r="AO37" s="190"/>
      <c r="AP37" s="190"/>
      <c r="AQ37" s="187"/>
      <c r="AR37" s="184"/>
      <c r="AS37" s="554"/>
      <c r="AT37" s="190"/>
      <c r="AU37" s="190"/>
      <c r="AV37" s="187"/>
      <c r="AW37" s="184"/>
      <c r="AX37" s="554"/>
    </row>
    <row r="38" spans="2:50" ht="14.25" customHeight="1">
      <c r="B38" s="525"/>
      <c r="C38" s="182">
        <v>12</v>
      </c>
      <c r="D38" s="185"/>
      <c r="E38" s="182"/>
      <c r="F38" s="182"/>
      <c r="G38" s="187"/>
      <c r="H38" s="554"/>
      <c r="I38" s="188"/>
      <c r="J38" s="188"/>
      <c r="K38" s="189"/>
      <c r="L38" s="555"/>
      <c r="M38" s="188"/>
      <c r="N38" s="525"/>
      <c r="O38" s="525"/>
      <c r="P38" s="190"/>
      <c r="Q38" s="190"/>
      <c r="R38" s="187"/>
      <c r="S38" s="184"/>
      <c r="T38" s="554"/>
      <c r="U38" s="190"/>
      <c r="V38" s="190"/>
      <c r="W38" s="187"/>
      <c r="X38" s="184"/>
      <c r="Y38" s="554"/>
      <c r="Z38" s="190"/>
      <c r="AA38" s="190"/>
      <c r="AB38" s="187"/>
      <c r="AC38" s="184"/>
      <c r="AD38" s="554"/>
      <c r="AE38" s="190"/>
      <c r="AF38" s="190"/>
      <c r="AG38" s="187"/>
      <c r="AH38" s="184"/>
      <c r="AI38" s="554"/>
      <c r="AJ38" s="190"/>
      <c r="AK38" s="190"/>
      <c r="AL38" s="187"/>
      <c r="AM38" s="184"/>
      <c r="AN38" s="554"/>
      <c r="AO38" s="190"/>
      <c r="AP38" s="190"/>
      <c r="AQ38" s="187"/>
      <c r="AR38" s="184"/>
      <c r="AS38" s="554"/>
      <c r="AT38" s="190"/>
      <c r="AU38" s="190"/>
      <c r="AV38" s="187"/>
      <c r="AW38" s="184"/>
      <c r="AX38" s="554"/>
    </row>
    <row r="39" spans="2:50" ht="14.25" customHeight="1">
      <c r="B39" s="525"/>
      <c r="C39" s="182">
        <v>13</v>
      </c>
      <c r="D39" s="185"/>
      <c r="E39" s="182"/>
      <c r="F39" s="182"/>
      <c r="G39" s="187"/>
      <c r="H39" s="554"/>
      <c r="I39" s="188"/>
      <c r="J39" s="188"/>
      <c r="K39" s="189"/>
      <c r="L39" s="555"/>
      <c r="M39" s="188"/>
      <c r="N39" s="525"/>
      <c r="O39" s="525"/>
      <c r="P39" s="190"/>
      <c r="Q39" s="190"/>
      <c r="R39" s="187"/>
      <c r="S39" s="184"/>
      <c r="T39" s="554"/>
      <c r="U39" s="190"/>
      <c r="V39" s="190"/>
      <c r="W39" s="187"/>
      <c r="X39" s="184"/>
      <c r="Y39" s="554"/>
      <c r="Z39" s="190"/>
      <c r="AA39" s="190"/>
      <c r="AB39" s="187"/>
      <c r="AC39" s="184"/>
      <c r="AD39" s="554"/>
      <c r="AE39" s="190"/>
      <c r="AF39" s="190"/>
      <c r="AG39" s="187"/>
      <c r="AH39" s="184"/>
      <c r="AI39" s="554"/>
      <c r="AJ39" s="190"/>
      <c r="AK39" s="190"/>
      <c r="AL39" s="187"/>
      <c r="AM39" s="184"/>
      <c r="AN39" s="554"/>
      <c r="AO39" s="190"/>
      <c r="AP39" s="190"/>
      <c r="AQ39" s="187"/>
      <c r="AR39" s="184"/>
      <c r="AS39" s="554"/>
      <c r="AT39" s="190"/>
      <c r="AU39" s="190"/>
      <c r="AV39" s="187"/>
      <c r="AW39" s="184"/>
      <c r="AX39" s="554"/>
    </row>
    <row r="40" spans="2:50" ht="14.25" customHeight="1">
      <c r="B40" s="525"/>
      <c r="C40" s="182">
        <v>14</v>
      </c>
      <c r="D40" s="185"/>
      <c r="E40" s="182"/>
      <c r="F40" s="182"/>
      <c r="G40" s="187"/>
      <c r="H40" s="554"/>
      <c r="I40" s="188"/>
      <c r="J40" s="188"/>
      <c r="K40" s="189"/>
      <c r="L40" s="555"/>
      <c r="M40" s="188"/>
      <c r="N40" s="525"/>
      <c r="O40" s="525"/>
      <c r="P40" s="190"/>
      <c r="Q40" s="190"/>
      <c r="R40" s="187"/>
      <c r="S40" s="184"/>
      <c r="T40" s="554"/>
      <c r="U40" s="190"/>
      <c r="V40" s="190"/>
      <c r="W40" s="187"/>
      <c r="X40" s="184"/>
      <c r="Y40" s="554"/>
      <c r="Z40" s="190"/>
      <c r="AA40" s="190"/>
      <c r="AB40" s="187"/>
      <c r="AC40" s="184"/>
      <c r="AD40" s="554"/>
      <c r="AE40" s="190"/>
      <c r="AF40" s="190"/>
      <c r="AG40" s="187"/>
      <c r="AH40" s="184"/>
      <c r="AI40" s="554"/>
      <c r="AJ40" s="190"/>
      <c r="AK40" s="190"/>
      <c r="AL40" s="187"/>
      <c r="AM40" s="184"/>
      <c r="AN40" s="554"/>
      <c r="AO40" s="190"/>
      <c r="AP40" s="190"/>
      <c r="AQ40" s="187"/>
      <c r="AR40" s="184"/>
      <c r="AS40" s="554"/>
      <c r="AT40" s="190"/>
      <c r="AU40" s="190"/>
      <c r="AV40" s="187"/>
      <c r="AW40" s="184"/>
      <c r="AX40" s="554"/>
    </row>
    <row r="41" spans="2:50" ht="14.25" customHeight="1">
      <c r="B41" s="525"/>
      <c r="C41" s="182">
        <v>15</v>
      </c>
      <c r="D41" s="185"/>
      <c r="E41" s="182"/>
      <c r="F41" s="182"/>
      <c r="G41" s="187"/>
      <c r="H41" s="554"/>
      <c r="I41" s="188"/>
      <c r="J41" s="188"/>
      <c r="K41" s="189"/>
      <c r="L41" s="555"/>
      <c r="M41" s="188"/>
      <c r="N41" s="525"/>
      <c r="O41" s="525"/>
      <c r="P41" s="190"/>
      <c r="Q41" s="190"/>
      <c r="R41" s="187"/>
      <c r="S41" s="184"/>
      <c r="T41" s="554"/>
      <c r="U41" s="190"/>
      <c r="V41" s="190"/>
      <c r="W41" s="187"/>
      <c r="X41" s="184"/>
      <c r="Y41" s="554"/>
      <c r="Z41" s="190"/>
      <c r="AA41" s="190"/>
      <c r="AB41" s="187"/>
      <c r="AC41" s="184"/>
      <c r="AD41" s="554"/>
      <c r="AE41" s="190"/>
      <c r="AF41" s="190"/>
      <c r="AG41" s="187"/>
      <c r="AH41" s="184"/>
      <c r="AI41" s="554"/>
      <c r="AJ41" s="190"/>
      <c r="AK41" s="190"/>
      <c r="AL41" s="187"/>
      <c r="AM41" s="184"/>
      <c r="AN41" s="554"/>
      <c r="AO41" s="190"/>
      <c r="AP41" s="190"/>
      <c r="AQ41" s="187"/>
      <c r="AR41" s="184"/>
      <c r="AS41" s="554"/>
      <c r="AT41" s="190"/>
      <c r="AU41" s="190"/>
      <c r="AV41" s="187"/>
      <c r="AW41" s="184"/>
      <c r="AX41" s="554"/>
    </row>
    <row r="42" spans="2:50" ht="14.25" customHeight="1" collapsed="1">
      <c r="B42" s="552" t="s">
        <v>646</v>
      </c>
      <c r="C42" s="535"/>
      <c r="D42" s="535"/>
      <c r="E42" s="535"/>
      <c r="F42" s="535"/>
      <c r="G42" s="535"/>
      <c r="H42" s="535"/>
      <c r="I42" s="535"/>
      <c r="J42" s="535"/>
      <c r="K42" s="535"/>
      <c r="L42" s="535"/>
      <c r="M42" s="536"/>
      <c r="N42" s="564" t="s">
        <v>378</v>
      </c>
      <c r="O42" s="564" t="s">
        <v>105</v>
      </c>
      <c r="P42" s="566">
        <f>AT22+1</f>
        <v>46091</v>
      </c>
      <c r="Q42" s="567"/>
      <c r="R42" s="567"/>
      <c r="S42" s="567"/>
      <c r="T42" s="567"/>
      <c r="U42" s="568">
        <f>P42+1</f>
        <v>46092</v>
      </c>
      <c r="V42" s="569"/>
      <c r="W42" s="569"/>
      <c r="X42" s="569"/>
      <c r="Y42" s="569"/>
      <c r="Z42" s="566">
        <f t="shared" ref="Z42" si="20">U42+1</f>
        <v>46093</v>
      </c>
      <c r="AA42" s="567"/>
      <c r="AB42" s="567"/>
      <c r="AC42" s="567"/>
      <c r="AD42" s="567"/>
      <c r="AE42" s="568">
        <f t="shared" ref="AE42" si="21">Z42+1</f>
        <v>46094</v>
      </c>
      <c r="AF42" s="569"/>
      <c r="AG42" s="569"/>
      <c r="AH42" s="569"/>
      <c r="AI42" s="569"/>
      <c r="AJ42" s="556">
        <f t="shared" ref="AJ42" si="22">AE42+1</f>
        <v>46095</v>
      </c>
      <c r="AK42" s="557"/>
      <c r="AL42" s="557"/>
      <c r="AM42" s="557"/>
      <c r="AN42" s="558"/>
      <c r="AO42" s="568">
        <f t="shared" ref="AO42" si="23">AJ42+1</f>
        <v>46096</v>
      </c>
      <c r="AP42" s="569"/>
      <c r="AQ42" s="569"/>
      <c r="AR42" s="569"/>
      <c r="AS42" s="569"/>
      <c r="AT42" s="556">
        <f t="shared" ref="AT42" si="24">AO42+1</f>
        <v>46097</v>
      </c>
      <c r="AU42" s="557"/>
      <c r="AV42" s="557"/>
      <c r="AW42" s="557"/>
      <c r="AX42" s="558"/>
    </row>
    <row r="43" spans="2:50" ht="14.25" customHeight="1">
      <c r="B43" s="537"/>
      <c r="C43" s="537"/>
      <c r="D43" s="537"/>
      <c r="E43" s="537"/>
      <c r="F43" s="537"/>
      <c r="G43" s="537"/>
      <c r="H43" s="537"/>
      <c r="I43" s="537"/>
      <c r="J43" s="537"/>
      <c r="K43" s="537"/>
      <c r="L43" s="537"/>
      <c r="M43" s="538"/>
      <c r="N43" s="565"/>
      <c r="O43" s="565"/>
      <c r="P43" s="559">
        <f>P42</f>
        <v>46091</v>
      </c>
      <c r="Q43" s="559"/>
      <c r="R43" s="559"/>
      <c r="S43" s="559"/>
      <c r="T43" s="559"/>
      <c r="U43" s="560">
        <f>U42</f>
        <v>46092</v>
      </c>
      <c r="V43" s="560"/>
      <c r="W43" s="560"/>
      <c r="X43" s="560"/>
      <c r="Y43" s="560"/>
      <c r="Z43" s="559">
        <f t="shared" ref="Z43" si="25">Z42</f>
        <v>46093</v>
      </c>
      <c r="AA43" s="559"/>
      <c r="AB43" s="559"/>
      <c r="AC43" s="559"/>
      <c r="AD43" s="559"/>
      <c r="AE43" s="560">
        <f t="shared" ref="AE43" si="26">AE42</f>
        <v>46094</v>
      </c>
      <c r="AF43" s="560"/>
      <c r="AG43" s="560"/>
      <c r="AH43" s="560"/>
      <c r="AI43" s="560"/>
      <c r="AJ43" s="561">
        <f t="shared" ref="AJ43" si="27">AJ42</f>
        <v>46095</v>
      </c>
      <c r="AK43" s="562"/>
      <c r="AL43" s="562"/>
      <c r="AM43" s="562"/>
      <c r="AN43" s="563"/>
      <c r="AO43" s="560">
        <f t="shared" ref="AO43" si="28">AO42</f>
        <v>46096</v>
      </c>
      <c r="AP43" s="560"/>
      <c r="AQ43" s="560"/>
      <c r="AR43" s="560"/>
      <c r="AS43" s="560"/>
      <c r="AT43" s="561">
        <f t="shared" ref="AT43" si="29">AT42</f>
        <v>46097</v>
      </c>
      <c r="AU43" s="562"/>
      <c r="AV43" s="562"/>
      <c r="AW43" s="562"/>
      <c r="AX43" s="563"/>
    </row>
    <row r="44" spans="2:50" ht="14.25" customHeight="1">
      <c r="B44" s="525" t="s">
        <v>164</v>
      </c>
      <c r="C44" s="525" t="s">
        <v>159</v>
      </c>
      <c r="D44" s="525"/>
      <c r="E44" s="525" t="s">
        <v>160</v>
      </c>
      <c r="F44" s="525"/>
      <c r="G44" s="525"/>
      <c r="H44" s="525" t="s">
        <v>165</v>
      </c>
      <c r="I44" s="544" t="s">
        <v>379</v>
      </c>
      <c r="J44" s="544"/>
      <c r="K44" s="544"/>
      <c r="L44" s="544" t="s">
        <v>165</v>
      </c>
      <c r="M44" s="544" t="s">
        <v>167</v>
      </c>
      <c r="N44" s="525"/>
      <c r="O44" s="525" t="s">
        <v>166</v>
      </c>
      <c r="P44" s="525" t="s">
        <v>162</v>
      </c>
      <c r="Q44" s="525"/>
      <c r="R44" s="525"/>
      <c r="S44" s="525"/>
      <c r="T44" s="525" t="s">
        <v>165</v>
      </c>
      <c r="U44" s="525" t="s">
        <v>162</v>
      </c>
      <c r="V44" s="525"/>
      <c r="W44" s="525"/>
      <c r="X44" s="525"/>
      <c r="Y44" s="525" t="s">
        <v>165</v>
      </c>
      <c r="Z44" s="525" t="s">
        <v>162</v>
      </c>
      <c r="AA44" s="525"/>
      <c r="AB44" s="525"/>
      <c r="AC44" s="525"/>
      <c r="AD44" s="525" t="s">
        <v>165</v>
      </c>
      <c r="AE44" s="525" t="s">
        <v>162</v>
      </c>
      <c r="AF44" s="525"/>
      <c r="AG44" s="525"/>
      <c r="AH44" s="525"/>
      <c r="AI44" s="525" t="s">
        <v>165</v>
      </c>
      <c r="AJ44" s="525" t="s">
        <v>162</v>
      </c>
      <c r="AK44" s="525"/>
      <c r="AL44" s="525"/>
      <c r="AM44" s="525"/>
      <c r="AN44" s="525" t="s">
        <v>165</v>
      </c>
      <c r="AO44" s="525" t="s">
        <v>162</v>
      </c>
      <c r="AP44" s="525"/>
      <c r="AQ44" s="525"/>
      <c r="AR44" s="525"/>
      <c r="AS44" s="525" t="s">
        <v>165</v>
      </c>
      <c r="AT44" s="525" t="s">
        <v>162</v>
      </c>
      <c r="AU44" s="525"/>
      <c r="AV44" s="525"/>
      <c r="AW44" s="525"/>
      <c r="AX44" s="525" t="s">
        <v>165</v>
      </c>
    </row>
    <row r="45" spans="2:50" ht="14.25" customHeight="1">
      <c r="B45" s="525"/>
      <c r="C45" s="525"/>
      <c r="D45" s="525"/>
      <c r="E45" s="525" t="s">
        <v>380</v>
      </c>
      <c r="F45" s="525"/>
      <c r="G45" s="525"/>
      <c r="H45" s="525"/>
      <c r="I45" s="544" t="s">
        <v>380</v>
      </c>
      <c r="J45" s="544"/>
      <c r="K45" s="544"/>
      <c r="L45" s="544"/>
      <c r="M45" s="544"/>
      <c r="N45" s="525"/>
      <c r="O45" s="525"/>
      <c r="P45" s="525" t="s">
        <v>381</v>
      </c>
      <c r="Q45" s="525"/>
      <c r="R45" s="525"/>
      <c r="S45" s="525"/>
      <c r="T45" s="525"/>
      <c r="U45" s="525" t="s">
        <v>381</v>
      </c>
      <c r="V45" s="525"/>
      <c r="W45" s="525"/>
      <c r="X45" s="525"/>
      <c r="Y45" s="525"/>
      <c r="Z45" s="525" t="s">
        <v>381</v>
      </c>
      <c r="AA45" s="525"/>
      <c r="AB45" s="525"/>
      <c r="AC45" s="525"/>
      <c r="AD45" s="525"/>
      <c r="AE45" s="525" t="s">
        <v>381</v>
      </c>
      <c r="AF45" s="525"/>
      <c r="AG45" s="525"/>
      <c r="AH45" s="525"/>
      <c r="AI45" s="525"/>
      <c r="AJ45" s="525" t="s">
        <v>381</v>
      </c>
      <c r="AK45" s="525"/>
      <c r="AL45" s="525"/>
      <c r="AM45" s="525"/>
      <c r="AN45" s="525"/>
      <c r="AO45" s="525" t="s">
        <v>381</v>
      </c>
      <c r="AP45" s="525"/>
      <c r="AQ45" s="525"/>
      <c r="AR45" s="525"/>
      <c r="AS45" s="525"/>
      <c r="AT45" s="525" t="s">
        <v>381</v>
      </c>
      <c r="AU45" s="525"/>
      <c r="AV45" s="525"/>
      <c r="AW45" s="525"/>
      <c r="AX45" s="525"/>
    </row>
    <row r="46" spans="2:50" ht="14.25" customHeight="1">
      <c r="B46" s="525"/>
      <c r="C46" s="525"/>
      <c r="D46" s="525"/>
      <c r="E46" s="182" t="s">
        <v>161</v>
      </c>
      <c r="F46" s="182" t="s">
        <v>382</v>
      </c>
      <c r="G46" s="182" t="s">
        <v>163</v>
      </c>
      <c r="H46" s="525"/>
      <c r="I46" s="183" t="s">
        <v>161</v>
      </c>
      <c r="J46" s="183" t="s">
        <v>382</v>
      </c>
      <c r="K46" s="183" t="s">
        <v>163</v>
      </c>
      <c r="L46" s="544"/>
      <c r="M46" s="544"/>
      <c r="N46" s="525"/>
      <c r="O46" s="525"/>
      <c r="P46" s="182" t="s">
        <v>161</v>
      </c>
      <c r="Q46" s="182" t="s">
        <v>382</v>
      </c>
      <c r="R46" s="182" t="s">
        <v>163</v>
      </c>
      <c r="S46" s="184" t="s">
        <v>167</v>
      </c>
      <c r="T46" s="525"/>
      <c r="U46" s="182" t="s">
        <v>161</v>
      </c>
      <c r="V46" s="182" t="s">
        <v>382</v>
      </c>
      <c r="W46" s="182" t="s">
        <v>163</v>
      </c>
      <c r="X46" s="184" t="s">
        <v>167</v>
      </c>
      <c r="Y46" s="525"/>
      <c r="Z46" s="182" t="s">
        <v>161</v>
      </c>
      <c r="AA46" s="182" t="s">
        <v>382</v>
      </c>
      <c r="AB46" s="182" t="s">
        <v>163</v>
      </c>
      <c r="AC46" s="184" t="s">
        <v>167</v>
      </c>
      <c r="AD46" s="525"/>
      <c r="AE46" s="182" t="s">
        <v>161</v>
      </c>
      <c r="AF46" s="182" t="s">
        <v>382</v>
      </c>
      <c r="AG46" s="182" t="s">
        <v>163</v>
      </c>
      <c r="AH46" s="184" t="s">
        <v>167</v>
      </c>
      <c r="AI46" s="525"/>
      <c r="AJ46" s="182" t="s">
        <v>161</v>
      </c>
      <c r="AK46" s="182" t="s">
        <v>382</v>
      </c>
      <c r="AL46" s="182" t="s">
        <v>163</v>
      </c>
      <c r="AM46" s="184" t="s">
        <v>167</v>
      </c>
      <c r="AN46" s="525"/>
      <c r="AO46" s="182" t="s">
        <v>161</v>
      </c>
      <c r="AP46" s="182" t="s">
        <v>382</v>
      </c>
      <c r="AQ46" s="182" t="s">
        <v>163</v>
      </c>
      <c r="AR46" s="184" t="s">
        <v>167</v>
      </c>
      <c r="AS46" s="525"/>
      <c r="AT46" s="182" t="s">
        <v>161</v>
      </c>
      <c r="AU46" s="182" t="s">
        <v>382</v>
      </c>
      <c r="AV46" s="182" t="s">
        <v>163</v>
      </c>
      <c r="AW46" s="184" t="s">
        <v>167</v>
      </c>
      <c r="AX46" s="525"/>
    </row>
    <row r="47" spans="2:50" ht="14.25" customHeight="1">
      <c r="B47" s="525" t="s">
        <v>458</v>
      </c>
      <c r="C47" s="182">
        <v>1</v>
      </c>
      <c r="D47" s="185"/>
      <c r="E47" s="182"/>
      <c r="F47" s="182"/>
      <c r="G47" s="187"/>
      <c r="H47" s="554"/>
      <c r="I47" s="188"/>
      <c r="J47" s="188"/>
      <c r="K47" s="189"/>
      <c r="L47" s="555" t="str">
        <f>IFERROR(AVERAGE(K47:K61),"-")</f>
        <v>-</v>
      </c>
      <c r="M47" s="188" t="e">
        <f>RANK(K47, K$47:$K$61)</f>
        <v>#N/A</v>
      </c>
      <c r="N47" s="525"/>
      <c r="O47" s="525"/>
      <c r="P47" s="190"/>
      <c r="Q47" s="190"/>
      <c r="R47" s="187"/>
      <c r="S47" s="184"/>
      <c r="T47" s="554"/>
      <c r="U47" s="190"/>
      <c r="V47" s="190"/>
      <c r="W47" s="187"/>
      <c r="X47" s="184"/>
      <c r="Y47" s="554"/>
      <c r="Z47" s="190"/>
      <c r="AA47" s="190"/>
      <c r="AB47" s="187"/>
      <c r="AC47" s="184"/>
      <c r="AD47" s="554"/>
      <c r="AE47" s="190"/>
      <c r="AF47" s="190"/>
      <c r="AG47" s="187"/>
      <c r="AH47" s="184"/>
      <c r="AI47" s="554"/>
      <c r="AJ47" s="190"/>
      <c r="AK47" s="190"/>
      <c r="AL47" s="187"/>
      <c r="AM47" s="184"/>
      <c r="AN47" s="554"/>
      <c r="AO47" s="190"/>
      <c r="AP47" s="190"/>
      <c r="AQ47" s="187"/>
      <c r="AR47" s="184"/>
      <c r="AS47" s="554"/>
      <c r="AT47" s="190"/>
      <c r="AU47" s="190"/>
      <c r="AV47" s="187"/>
      <c r="AW47" s="184"/>
      <c r="AX47" s="554"/>
    </row>
    <row r="48" spans="2:50" ht="14.25" customHeight="1">
      <c r="B48" s="525"/>
      <c r="C48" s="182">
        <v>2</v>
      </c>
      <c r="D48" s="185"/>
      <c r="E48" s="182"/>
      <c r="F48" s="182"/>
      <c r="G48" s="187"/>
      <c r="H48" s="554"/>
      <c r="I48" s="188"/>
      <c r="J48" s="188"/>
      <c r="K48" s="189"/>
      <c r="L48" s="555"/>
      <c r="M48" s="188"/>
      <c r="N48" s="525"/>
      <c r="O48" s="525"/>
      <c r="P48" s="190"/>
      <c r="Q48" s="190"/>
      <c r="R48" s="187"/>
      <c r="S48" s="184"/>
      <c r="T48" s="554"/>
      <c r="U48" s="190"/>
      <c r="V48" s="190"/>
      <c r="W48" s="187"/>
      <c r="X48" s="184"/>
      <c r="Y48" s="554"/>
      <c r="Z48" s="190"/>
      <c r="AA48" s="190"/>
      <c r="AB48" s="187"/>
      <c r="AC48" s="184"/>
      <c r="AD48" s="554"/>
      <c r="AE48" s="190"/>
      <c r="AF48" s="190"/>
      <c r="AG48" s="187"/>
      <c r="AH48" s="184"/>
      <c r="AI48" s="554"/>
      <c r="AJ48" s="190"/>
      <c r="AK48" s="190"/>
      <c r="AL48" s="187"/>
      <c r="AM48" s="184"/>
      <c r="AN48" s="554"/>
      <c r="AO48" s="190"/>
      <c r="AP48" s="190"/>
      <c r="AQ48" s="187"/>
      <c r="AR48" s="184"/>
      <c r="AS48" s="554"/>
      <c r="AT48" s="190"/>
      <c r="AU48" s="190"/>
      <c r="AV48" s="187"/>
      <c r="AW48" s="184"/>
      <c r="AX48" s="554"/>
    </row>
    <row r="49" spans="2:50" ht="14.25" customHeight="1">
      <c r="B49" s="525"/>
      <c r="C49" s="182">
        <v>3</v>
      </c>
      <c r="D49" s="185"/>
      <c r="E49" s="182"/>
      <c r="F49" s="182"/>
      <c r="G49" s="187"/>
      <c r="H49" s="554"/>
      <c r="I49" s="188"/>
      <c r="J49" s="188"/>
      <c r="K49" s="189"/>
      <c r="L49" s="555"/>
      <c r="M49" s="188"/>
      <c r="N49" s="525"/>
      <c r="O49" s="525"/>
      <c r="P49" s="190"/>
      <c r="Q49" s="190"/>
      <c r="R49" s="187"/>
      <c r="S49" s="184"/>
      <c r="T49" s="554"/>
      <c r="U49" s="190"/>
      <c r="V49" s="190"/>
      <c r="W49" s="187"/>
      <c r="X49" s="184"/>
      <c r="Y49" s="554"/>
      <c r="Z49" s="190"/>
      <c r="AA49" s="190"/>
      <c r="AB49" s="187"/>
      <c r="AC49" s="184"/>
      <c r="AD49" s="554"/>
      <c r="AE49" s="190"/>
      <c r="AF49" s="190"/>
      <c r="AG49" s="187"/>
      <c r="AH49" s="184"/>
      <c r="AI49" s="554"/>
      <c r="AJ49" s="190"/>
      <c r="AK49" s="190"/>
      <c r="AL49" s="187"/>
      <c r="AM49" s="184"/>
      <c r="AN49" s="554"/>
      <c r="AO49" s="190"/>
      <c r="AP49" s="190"/>
      <c r="AQ49" s="187"/>
      <c r="AR49" s="184"/>
      <c r="AS49" s="554"/>
      <c r="AT49" s="190"/>
      <c r="AU49" s="190"/>
      <c r="AV49" s="187"/>
      <c r="AW49" s="184"/>
      <c r="AX49" s="554"/>
    </row>
    <row r="50" spans="2:50" ht="14.25" customHeight="1">
      <c r="B50" s="525"/>
      <c r="C50" s="182">
        <v>4</v>
      </c>
      <c r="D50" s="185"/>
      <c r="E50" s="182"/>
      <c r="F50" s="182"/>
      <c r="G50" s="187"/>
      <c r="H50" s="554"/>
      <c r="I50" s="188"/>
      <c r="J50" s="188"/>
      <c r="K50" s="189"/>
      <c r="L50" s="555"/>
      <c r="M50" s="188"/>
      <c r="N50" s="525"/>
      <c r="O50" s="525"/>
      <c r="P50" s="190"/>
      <c r="Q50" s="190"/>
      <c r="R50" s="187"/>
      <c r="S50" s="184"/>
      <c r="T50" s="554"/>
      <c r="U50" s="190"/>
      <c r="V50" s="190"/>
      <c r="W50" s="187"/>
      <c r="X50" s="184"/>
      <c r="Y50" s="554"/>
      <c r="Z50" s="190"/>
      <c r="AA50" s="190"/>
      <c r="AB50" s="187"/>
      <c r="AC50" s="184"/>
      <c r="AD50" s="554"/>
      <c r="AE50" s="190"/>
      <c r="AF50" s="190"/>
      <c r="AG50" s="187"/>
      <c r="AH50" s="184"/>
      <c r="AI50" s="554"/>
      <c r="AJ50" s="190"/>
      <c r="AK50" s="190"/>
      <c r="AL50" s="187"/>
      <c r="AM50" s="184"/>
      <c r="AN50" s="554"/>
      <c r="AO50" s="190"/>
      <c r="AP50" s="190"/>
      <c r="AQ50" s="187"/>
      <c r="AR50" s="184"/>
      <c r="AS50" s="554"/>
      <c r="AT50" s="190"/>
      <c r="AU50" s="190"/>
      <c r="AV50" s="187"/>
      <c r="AW50" s="184"/>
      <c r="AX50" s="554"/>
    </row>
    <row r="51" spans="2:50" ht="14.25" customHeight="1">
      <c r="B51" s="525"/>
      <c r="C51" s="182">
        <v>5</v>
      </c>
      <c r="D51" s="185"/>
      <c r="E51" s="182"/>
      <c r="F51" s="182"/>
      <c r="G51" s="187"/>
      <c r="H51" s="554"/>
      <c r="I51" s="188"/>
      <c r="J51" s="188"/>
      <c r="K51" s="189"/>
      <c r="L51" s="555"/>
      <c r="M51" s="188"/>
      <c r="N51" s="525"/>
      <c r="O51" s="525"/>
      <c r="P51" s="190"/>
      <c r="Q51" s="190"/>
      <c r="R51" s="187"/>
      <c r="S51" s="184"/>
      <c r="T51" s="554"/>
      <c r="U51" s="190"/>
      <c r="V51" s="190"/>
      <c r="W51" s="187"/>
      <c r="X51" s="184"/>
      <c r="Y51" s="554"/>
      <c r="Z51" s="190"/>
      <c r="AA51" s="190"/>
      <c r="AB51" s="187"/>
      <c r="AC51" s="184"/>
      <c r="AD51" s="554"/>
      <c r="AE51" s="190"/>
      <c r="AF51" s="190"/>
      <c r="AG51" s="187"/>
      <c r="AH51" s="184"/>
      <c r="AI51" s="554"/>
      <c r="AJ51" s="190"/>
      <c r="AK51" s="190"/>
      <c r="AL51" s="187"/>
      <c r="AM51" s="184"/>
      <c r="AN51" s="554"/>
      <c r="AO51" s="190"/>
      <c r="AP51" s="190"/>
      <c r="AQ51" s="187"/>
      <c r="AR51" s="184"/>
      <c r="AS51" s="554"/>
      <c r="AT51" s="190"/>
      <c r="AU51" s="190"/>
      <c r="AV51" s="187"/>
      <c r="AW51" s="184"/>
      <c r="AX51" s="554"/>
    </row>
    <row r="52" spans="2:50" ht="14.25" customHeight="1">
      <c r="B52" s="525"/>
      <c r="C52" s="182">
        <v>6</v>
      </c>
      <c r="D52" s="185"/>
      <c r="E52" s="182"/>
      <c r="F52" s="182"/>
      <c r="G52" s="187"/>
      <c r="H52" s="554"/>
      <c r="I52" s="188"/>
      <c r="J52" s="188"/>
      <c r="K52" s="189"/>
      <c r="L52" s="555"/>
      <c r="M52" s="188"/>
      <c r="N52" s="525"/>
      <c r="O52" s="525"/>
      <c r="P52" s="190"/>
      <c r="Q52" s="190"/>
      <c r="R52" s="187"/>
      <c r="S52" s="184"/>
      <c r="T52" s="554"/>
      <c r="U52" s="190"/>
      <c r="V52" s="190"/>
      <c r="W52" s="187"/>
      <c r="X52" s="184"/>
      <c r="Y52" s="554"/>
      <c r="Z52" s="190"/>
      <c r="AA52" s="190"/>
      <c r="AB52" s="187"/>
      <c r="AC52" s="184"/>
      <c r="AD52" s="554"/>
      <c r="AE52" s="190"/>
      <c r="AF52" s="190"/>
      <c r="AG52" s="187"/>
      <c r="AH52" s="184"/>
      <c r="AI52" s="554"/>
      <c r="AJ52" s="190"/>
      <c r="AK52" s="190"/>
      <c r="AL52" s="187"/>
      <c r="AM52" s="184"/>
      <c r="AN52" s="554"/>
      <c r="AO52" s="190"/>
      <c r="AP52" s="190"/>
      <c r="AQ52" s="187"/>
      <c r="AR52" s="184"/>
      <c r="AS52" s="554"/>
      <c r="AT52" s="190"/>
      <c r="AU52" s="190"/>
      <c r="AV52" s="187"/>
      <c r="AW52" s="184"/>
      <c r="AX52" s="554"/>
    </row>
    <row r="53" spans="2:50" ht="14.25" customHeight="1">
      <c r="B53" s="525"/>
      <c r="C53" s="182">
        <v>7</v>
      </c>
      <c r="D53" s="185"/>
      <c r="E53" s="182"/>
      <c r="F53" s="182"/>
      <c r="G53" s="187"/>
      <c r="H53" s="554"/>
      <c r="I53" s="188"/>
      <c r="J53" s="188"/>
      <c r="K53" s="189"/>
      <c r="L53" s="555"/>
      <c r="M53" s="188"/>
      <c r="N53" s="525"/>
      <c r="O53" s="525"/>
      <c r="P53" s="190"/>
      <c r="Q53" s="190"/>
      <c r="R53" s="187"/>
      <c r="S53" s="184"/>
      <c r="T53" s="554"/>
      <c r="U53" s="190"/>
      <c r="V53" s="190"/>
      <c r="W53" s="187"/>
      <c r="X53" s="184"/>
      <c r="Y53" s="554"/>
      <c r="Z53" s="190"/>
      <c r="AA53" s="190"/>
      <c r="AB53" s="187"/>
      <c r="AC53" s="184"/>
      <c r="AD53" s="554"/>
      <c r="AE53" s="190"/>
      <c r="AF53" s="190"/>
      <c r="AG53" s="187"/>
      <c r="AH53" s="184"/>
      <c r="AI53" s="554"/>
      <c r="AJ53" s="190"/>
      <c r="AK53" s="190"/>
      <c r="AL53" s="187"/>
      <c r="AM53" s="184"/>
      <c r="AN53" s="554"/>
      <c r="AO53" s="190"/>
      <c r="AP53" s="190"/>
      <c r="AQ53" s="187"/>
      <c r="AR53" s="184"/>
      <c r="AS53" s="554"/>
      <c r="AT53" s="190"/>
      <c r="AU53" s="190"/>
      <c r="AV53" s="187"/>
      <c r="AW53" s="184"/>
      <c r="AX53" s="554"/>
    </row>
    <row r="54" spans="2:50" ht="14.25" customHeight="1">
      <c r="B54" s="525"/>
      <c r="C54" s="182">
        <v>8</v>
      </c>
      <c r="D54" s="185"/>
      <c r="E54" s="182"/>
      <c r="F54" s="182"/>
      <c r="G54" s="187"/>
      <c r="H54" s="554"/>
      <c r="I54" s="188"/>
      <c r="J54" s="188"/>
      <c r="K54" s="189"/>
      <c r="L54" s="555"/>
      <c r="M54" s="188"/>
      <c r="N54" s="525"/>
      <c r="O54" s="525"/>
      <c r="P54" s="190"/>
      <c r="Q54" s="190"/>
      <c r="R54" s="187"/>
      <c r="S54" s="184"/>
      <c r="T54" s="554"/>
      <c r="U54" s="190"/>
      <c r="V54" s="190"/>
      <c r="W54" s="187"/>
      <c r="X54" s="184"/>
      <c r="Y54" s="554"/>
      <c r="Z54" s="190"/>
      <c r="AA54" s="190"/>
      <c r="AB54" s="187"/>
      <c r="AC54" s="184"/>
      <c r="AD54" s="554"/>
      <c r="AE54" s="190"/>
      <c r="AF54" s="190"/>
      <c r="AG54" s="187"/>
      <c r="AH54" s="184"/>
      <c r="AI54" s="554"/>
      <c r="AJ54" s="190"/>
      <c r="AK54" s="190"/>
      <c r="AL54" s="187"/>
      <c r="AM54" s="184"/>
      <c r="AN54" s="554"/>
      <c r="AO54" s="190"/>
      <c r="AP54" s="190"/>
      <c r="AQ54" s="187"/>
      <c r="AR54" s="184"/>
      <c r="AS54" s="554"/>
      <c r="AT54" s="190"/>
      <c r="AU54" s="190"/>
      <c r="AV54" s="187"/>
      <c r="AW54" s="184"/>
      <c r="AX54" s="554"/>
    </row>
    <row r="55" spans="2:50" ht="14.25" customHeight="1">
      <c r="B55" s="525"/>
      <c r="C55" s="182">
        <v>9</v>
      </c>
      <c r="D55" s="185"/>
      <c r="E55" s="182"/>
      <c r="F55" s="182"/>
      <c r="G55" s="187"/>
      <c r="H55" s="554"/>
      <c r="I55" s="188"/>
      <c r="J55" s="188"/>
      <c r="K55" s="189"/>
      <c r="L55" s="555"/>
      <c r="M55" s="188"/>
      <c r="N55" s="525"/>
      <c r="O55" s="525"/>
      <c r="P55" s="190"/>
      <c r="Q55" s="190"/>
      <c r="R55" s="187"/>
      <c r="S55" s="184"/>
      <c r="T55" s="554"/>
      <c r="U55" s="190"/>
      <c r="V55" s="190"/>
      <c r="W55" s="187"/>
      <c r="X55" s="184"/>
      <c r="Y55" s="554"/>
      <c r="Z55" s="190"/>
      <c r="AA55" s="190"/>
      <c r="AB55" s="187"/>
      <c r="AC55" s="184"/>
      <c r="AD55" s="554"/>
      <c r="AE55" s="190"/>
      <c r="AF55" s="190"/>
      <c r="AG55" s="187"/>
      <c r="AH55" s="184"/>
      <c r="AI55" s="554"/>
      <c r="AJ55" s="190"/>
      <c r="AK55" s="190"/>
      <c r="AL55" s="187"/>
      <c r="AM55" s="184"/>
      <c r="AN55" s="554"/>
      <c r="AO55" s="190"/>
      <c r="AP55" s="190"/>
      <c r="AQ55" s="187"/>
      <c r="AR55" s="184"/>
      <c r="AS55" s="554"/>
      <c r="AT55" s="190"/>
      <c r="AU55" s="190"/>
      <c r="AV55" s="187"/>
      <c r="AW55" s="184"/>
      <c r="AX55" s="554"/>
    </row>
    <row r="56" spans="2:50" ht="14.25" customHeight="1">
      <c r="B56" s="525"/>
      <c r="C56" s="182">
        <v>10</v>
      </c>
      <c r="D56" s="185"/>
      <c r="E56" s="182"/>
      <c r="F56" s="182"/>
      <c r="G56" s="187"/>
      <c r="H56" s="554"/>
      <c r="I56" s="188"/>
      <c r="J56" s="188"/>
      <c r="K56" s="189"/>
      <c r="L56" s="555"/>
      <c r="M56" s="188"/>
      <c r="N56" s="525"/>
      <c r="O56" s="525"/>
      <c r="P56" s="190"/>
      <c r="Q56" s="190"/>
      <c r="R56" s="187"/>
      <c r="S56" s="184"/>
      <c r="T56" s="554"/>
      <c r="U56" s="190"/>
      <c r="V56" s="190"/>
      <c r="W56" s="187"/>
      <c r="X56" s="184"/>
      <c r="Y56" s="554"/>
      <c r="Z56" s="190"/>
      <c r="AA56" s="190"/>
      <c r="AB56" s="187"/>
      <c r="AC56" s="184"/>
      <c r="AD56" s="554"/>
      <c r="AE56" s="190"/>
      <c r="AF56" s="190"/>
      <c r="AG56" s="187"/>
      <c r="AH56" s="184"/>
      <c r="AI56" s="554"/>
      <c r="AJ56" s="190"/>
      <c r="AK56" s="190"/>
      <c r="AL56" s="187"/>
      <c r="AM56" s="184"/>
      <c r="AN56" s="554"/>
      <c r="AO56" s="190"/>
      <c r="AP56" s="190"/>
      <c r="AQ56" s="187"/>
      <c r="AR56" s="184"/>
      <c r="AS56" s="554"/>
      <c r="AT56" s="190"/>
      <c r="AU56" s="190"/>
      <c r="AV56" s="187"/>
      <c r="AW56" s="184"/>
      <c r="AX56" s="554"/>
    </row>
    <row r="57" spans="2:50" ht="14.25" customHeight="1">
      <c r="B57" s="525"/>
      <c r="C57" s="182">
        <v>11</v>
      </c>
      <c r="D57" s="185"/>
      <c r="E57" s="182"/>
      <c r="F57" s="182"/>
      <c r="G57" s="187"/>
      <c r="H57" s="554"/>
      <c r="I57" s="188"/>
      <c r="J57" s="188"/>
      <c r="K57" s="189"/>
      <c r="L57" s="555"/>
      <c r="M57" s="188"/>
      <c r="N57" s="525"/>
      <c r="O57" s="525"/>
      <c r="P57" s="190"/>
      <c r="Q57" s="190"/>
      <c r="R57" s="187"/>
      <c r="S57" s="184"/>
      <c r="T57" s="554"/>
      <c r="U57" s="190"/>
      <c r="V57" s="190"/>
      <c r="W57" s="187"/>
      <c r="X57" s="184"/>
      <c r="Y57" s="554"/>
      <c r="Z57" s="190"/>
      <c r="AA57" s="190"/>
      <c r="AB57" s="187"/>
      <c r="AC57" s="184"/>
      <c r="AD57" s="554"/>
      <c r="AE57" s="190"/>
      <c r="AF57" s="190"/>
      <c r="AG57" s="187"/>
      <c r="AH57" s="184"/>
      <c r="AI57" s="554"/>
      <c r="AJ57" s="190"/>
      <c r="AK57" s="190"/>
      <c r="AL57" s="187"/>
      <c r="AM57" s="184"/>
      <c r="AN57" s="554"/>
      <c r="AO57" s="190"/>
      <c r="AP57" s="190"/>
      <c r="AQ57" s="187"/>
      <c r="AR57" s="184"/>
      <c r="AS57" s="554"/>
      <c r="AT57" s="190"/>
      <c r="AU57" s="190"/>
      <c r="AV57" s="187"/>
      <c r="AW57" s="184"/>
      <c r="AX57" s="554"/>
    </row>
    <row r="58" spans="2:50" ht="14.25" customHeight="1">
      <c r="B58" s="525"/>
      <c r="C58" s="182">
        <v>12</v>
      </c>
      <c r="D58" s="185"/>
      <c r="E58" s="182"/>
      <c r="F58" s="182"/>
      <c r="G58" s="187"/>
      <c r="H58" s="554"/>
      <c r="I58" s="188"/>
      <c r="J58" s="188"/>
      <c r="K58" s="189"/>
      <c r="L58" s="555"/>
      <c r="M58" s="188"/>
      <c r="N58" s="525"/>
      <c r="O58" s="525"/>
      <c r="P58" s="190"/>
      <c r="Q58" s="190"/>
      <c r="R58" s="187"/>
      <c r="S58" s="184"/>
      <c r="T58" s="554"/>
      <c r="U58" s="190"/>
      <c r="V58" s="190"/>
      <c r="W58" s="187"/>
      <c r="X58" s="184"/>
      <c r="Y58" s="554"/>
      <c r="Z58" s="190"/>
      <c r="AA58" s="190"/>
      <c r="AB58" s="187"/>
      <c r="AC58" s="184"/>
      <c r="AD58" s="554"/>
      <c r="AE58" s="190"/>
      <c r="AF58" s="190"/>
      <c r="AG58" s="187"/>
      <c r="AH58" s="184"/>
      <c r="AI58" s="554"/>
      <c r="AJ58" s="190"/>
      <c r="AK58" s="190"/>
      <c r="AL58" s="187"/>
      <c r="AM58" s="184"/>
      <c r="AN58" s="554"/>
      <c r="AO58" s="190"/>
      <c r="AP58" s="190"/>
      <c r="AQ58" s="187"/>
      <c r="AR58" s="184"/>
      <c r="AS58" s="554"/>
      <c r="AT58" s="190"/>
      <c r="AU58" s="190"/>
      <c r="AV58" s="187"/>
      <c r="AW58" s="184"/>
      <c r="AX58" s="554"/>
    </row>
    <row r="59" spans="2:50" ht="14.25" customHeight="1">
      <c r="B59" s="525"/>
      <c r="C59" s="182">
        <v>13</v>
      </c>
      <c r="D59" s="185"/>
      <c r="E59" s="182"/>
      <c r="F59" s="182"/>
      <c r="G59" s="187"/>
      <c r="H59" s="554"/>
      <c r="I59" s="188"/>
      <c r="J59" s="188"/>
      <c r="K59" s="189"/>
      <c r="L59" s="555"/>
      <c r="M59" s="188"/>
      <c r="N59" s="525"/>
      <c r="O59" s="525"/>
      <c r="P59" s="190"/>
      <c r="Q59" s="190"/>
      <c r="R59" s="187"/>
      <c r="S59" s="184"/>
      <c r="T59" s="554"/>
      <c r="U59" s="190"/>
      <c r="V59" s="190"/>
      <c r="W59" s="187"/>
      <c r="X59" s="184"/>
      <c r="Y59" s="554"/>
      <c r="Z59" s="190"/>
      <c r="AA59" s="190"/>
      <c r="AB59" s="187"/>
      <c r="AC59" s="184"/>
      <c r="AD59" s="554"/>
      <c r="AE59" s="190"/>
      <c r="AF59" s="190"/>
      <c r="AG59" s="187"/>
      <c r="AH59" s="184"/>
      <c r="AI59" s="554"/>
      <c r="AJ59" s="190"/>
      <c r="AK59" s="190"/>
      <c r="AL59" s="187"/>
      <c r="AM59" s="184"/>
      <c r="AN59" s="554"/>
      <c r="AO59" s="190"/>
      <c r="AP59" s="190"/>
      <c r="AQ59" s="187"/>
      <c r="AR59" s="184"/>
      <c r="AS59" s="554"/>
      <c r="AT59" s="190"/>
      <c r="AU59" s="190"/>
      <c r="AV59" s="187"/>
      <c r="AW59" s="184"/>
      <c r="AX59" s="554"/>
    </row>
    <row r="60" spans="2:50" ht="14.25" customHeight="1">
      <c r="B60" s="525"/>
      <c r="C60" s="182">
        <v>14</v>
      </c>
      <c r="D60" s="185"/>
      <c r="E60" s="182"/>
      <c r="F60" s="182"/>
      <c r="G60" s="187"/>
      <c r="H60" s="554"/>
      <c r="I60" s="188"/>
      <c r="J60" s="188"/>
      <c r="K60" s="189"/>
      <c r="L60" s="555"/>
      <c r="M60" s="188"/>
      <c r="N60" s="525"/>
      <c r="O60" s="525"/>
      <c r="P60" s="190"/>
      <c r="Q60" s="190"/>
      <c r="R60" s="187"/>
      <c r="S60" s="184"/>
      <c r="T60" s="554"/>
      <c r="U60" s="190"/>
      <c r="V60" s="190"/>
      <c r="W60" s="187"/>
      <c r="X60" s="184"/>
      <c r="Y60" s="554"/>
      <c r="Z60" s="190"/>
      <c r="AA60" s="190"/>
      <c r="AB60" s="187"/>
      <c r="AC60" s="184"/>
      <c r="AD60" s="554"/>
      <c r="AE60" s="190"/>
      <c r="AF60" s="190"/>
      <c r="AG60" s="187"/>
      <c r="AH60" s="184"/>
      <c r="AI60" s="554"/>
      <c r="AJ60" s="190"/>
      <c r="AK60" s="190"/>
      <c r="AL60" s="187"/>
      <c r="AM60" s="184"/>
      <c r="AN60" s="554"/>
      <c r="AO60" s="190"/>
      <c r="AP60" s="190"/>
      <c r="AQ60" s="187"/>
      <c r="AR60" s="184"/>
      <c r="AS60" s="554"/>
      <c r="AT60" s="190"/>
      <c r="AU60" s="190"/>
      <c r="AV60" s="187"/>
      <c r="AW60" s="184"/>
      <c r="AX60" s="554"/>
    </row>
    <row r="61" spans="2:50" ht="14.25" customHeight="1">
      <c r="B61" s="525"/>
      <c r="C61" s="182">
        <v>15</v>
      </c>
      <c r="D61" s="185"/>
      <c r="E61" s="182"/>
      <c r="F61" s="182"/>
      <c r="G61" s="187"/>
      <c r="H61" s="554"/>
      <c r="I61" s="188"/>
      <c r="J61" s="188"/>
      <c r="K61" s="189"/>
      <c r="L61" s="555"/>
      <c r="M61" s="188"/>
      <c r="N61" s="525"/>
      <c r="O61" s="525"/>
      <c r="P61" s="190"/>
      <c r="Q61" s="190"/>
      <c r="R61" s="187"/>
      <c r="S61" s="184"/>
      <c r="T61" s="554"/>
      <c r="U61" s="190"/>
      <c r="V61" s="190"/>
      <c r="W61" s="187"/>
      <c r="X61" s="184"/>
      <c r="Y61" s="554"/>
      <c r="Z61" s="190"/>
      <c r="AA61" s="190"/>
      <c r="AB61" s="187"/>
      <c r="AC61" s="184"/>
      <c r="AD61" s="554"/>
      <c r="AE61" s="190"/>
      <c r="AF61" s="190"/>
      <c r="AG61" s="187"/>
      <c r="AH61" s="184"/>
      <c r="AI61" s="554"/>
      <c r="AJ61" s="190"/>
      <c r="AK61" s="190"/>
      <c r="AL61" s="187"/>
      <c r="AM61" s="184"/>
      <c r="AN61" s="554"/>
      <c r="AO61" s="190"/>
      <c r="AP61" s="190"/>
      <c r="AQ61" s="187"/>
      <c r="AR61" s="184"/>
      <c r="AS61" s="554"/>
      <c r="AT61" s="190"/>
      <c r="AU61" s="190"/>
      <c r="AV61" s="187"/>
      <c r="AW61" s="184"/>
      <c r="AX61" s="554"/>
    </row>
    <row r="62" spans="2:50" ht="14.25" customHeight="1" collapsed="1">
      <c r="B62" s="534" t="s">
        <v>648</v>
      </c>
      <c r="C62" s="535"/>
      <c r="D62" s="535"/>
      <c r="E62" s="535"/>
      <c r="F62" s="535"/>
      <c r="G62" s="535"/>
      <c r="H62" s="535"/>
      <c r="I62" s="535"/>
      <c r="J62" s="535"/>
      <c r="K62" s="535"/>
      <c r="L62" s="535"/>
      <c r="M62" s="536"/>
      <c r="N62" s="564" t="s">
        <v>378</v>
      </c>
      <c r="O62" s="564" t="s">
        <v>105</v>
      </c>
      <c r="P62" s="566">
        <f>AT42+1</f>
        <v>46098</v>
      </c>
      <c r="Q62" s="567"/>
      <c r="R62" s="567"/>
      <c r="S62" s="567"/>
      <c r="T62" s="567"/>
      <c r="U62" s="568">
        <f>P62+1</f>
        <v>46099</v>
      </c>
      <c r="V62" s="569"/>
      <c r="W62" s="569"/>
      <c r="X62" s="569"/>
      <c r="Y62" s="569"/>
      <c r="Z62" s="566">
        <f t="shared" ref="Z62" si="30">U62+1</f>
        <v>46100</v>
      </c>
      <c r="AA62" s="567"/>
      <c r="AB62" s="567"/>
      <c r="AC62" s="567"/>
      <c r="AD62" s="567"/>
      <c r="AE62" s="568">
        <f t="shared" ref="AE62" si="31">Z62+1</f>
        <v>46101</v>
      </c>
      <c r="AF62" s="569"/>
      <c r="AG62" s="569"/>
      <c r="AH62" s="569"/>
      <c r="AI62" s="569"/>
      <c r="AJ62" s="556">
        <f t="shared" ref="AJ62" si="32">AE62+1</f>
        <v>46102</v>
      </c>
      <c r="AK62" s="557"/>
      <c r="AL62" s="557"/>
      <c r="AM62" s="557"/>
      <c r="AN62" s="558"/>
      <c r="AO62" s="568">
        <f t="shared" ref="AO62" si="33">AJ62+1</f>
        <v>46103</v>
      </c>
      <c r="AP62" s="569"/>
      <c r="AQ62" s="569"/>
      <c r="AR62" s="569"/>
      <c r="AS62" s="569"/>
      <c r="AT62" s="556">
        <f t="shared" ref="AT62" si="34">AO62+1</f>
        <v>46104</v>
      </c>
      <c r="AU62" s="557"/>
      <c r="AV62" s="557"/>
      <c r="AW62" s="557"/>
      <c r="AX62" s="558"/>
    </row>
    <row r="63" spans="2:50" ht="14.25" customHeight="1">
      <c r="B63" s="537"/>
      <c r="C63" s="537"/>
      <c r="D63" s="537"/>
      <c r="E63" s="537"/>
      <c r="F63" s="537"/>
      <c r="G63" s="537"/>
      <c r="H63" s="537"/>
      <c r="I63" s="537"/>
      <c r="J63" s="537"/>
      <c r="K63" s="537"/>
      <c r="L63" s="537"/>
      <c r="M63" s="538"/>
      <c r="N63" s="565"/>
      <c r="O63" s="565"/>
      <c r="P63" s="559">
        <f>P62</f>
        <v>46098</v>
      </c>
      <c r="Q63" s="559"/>
      <c r="R63" s="559"/>
      <c r="S63" s="559"/>
      <c r="T63" s="559"/>
      <c r="U63" s="560">
        <f>U62</f>
        <v>46099</v>
      </c>
      <c r="V63" s="560"/>
      <c r="W63" s="560"/>
      <c r="X63" s="560"/>
      <c r="Y63" s="560"/>
      <c r="Z63" s="559">
        <f t="shared" ref="Z63" si="35">Z62</f>
        <v>46100</v>
      </c>
      <c r="AA63" s="559"/>
      <c r="AB63" s="559"/>
      <c r="AC63" s="559"/>
      <c r="AD63" s="559"/>
      <c r="AE63" s="560">
        <f t="shared" ref="AE63" si="36">AE62</f>
        <v>46101</v>
      </c>
      <c r="AF63" s="560"/>
      <c r="AG63" s="560"/>
      <c r="AH63" s="560"/>
      <c r="AI63" s="560"/>
      <c r="AJ63" s="561">
        <f t="shared" ref="AJ63" si="37">AJ62</f>
        <v>46102</v>
      </c>
      <c r="AK63" s="562"/>
      <c r="AL63" s="562"/>
      <c r="AM63" s="562"/>
      <c r="AN63" s="563"/>
      <c r="AO63" s="560">
        <f t="shared" ref="AO63" si="38">AO62</f>
        <v>46103</v>
      </c>
      <c r="AP63" s="560"/>
      <c r="AQ63" s="560"/>
      <c r="AR63" s="560"/>
      <c r="AS63" s="560"/>
      <c r="AT63" s="561">
        <f t="shared" ref="AT63" si="39">AT62</f>
        <v>46104</v>
      </c>
      <c r="AU63" s="562"/>
      <c r="AV63" s="562"/>
      <c r="AW63" s="562"/>
      <c r="AX63" s="563"/>
    </row>
    <row r="64" spans="2:50" ht="14.25" customHeight="1">
      <c r="B64" s="525" t="s">
        <v>164</v>
      </c>
      <c r="C64" s="525" t="s">
        <v>159</v>
      </c>
      <c r="D64" s="525"/>
      <c r="E64" s="525" t="s">
        <v>160</v>
      </c>
      <c r="F64" s="525"/>
      <c r="G64" s="525"/>
      <c r="H64" s="525" t="s">
        <v>165</v>
      </c>
      <c r="I64" s="544" t="s">
        <v>379</v>
      </c>
      <c r="J64" s="544"/>
      <c r="K64" s="544"/>
      <c r="L64" s="544" t="s">
        <v>165</v>
      </c>
      <c r="M64" s="544" t="s">
        <v>167</v>
      </c>
      <c r="N64" s="525"/>
      <c r="O64" s="525" t="s">
        <v>166</v>
      </c>
      <c r="P64" s="525" t="s">
        <v>162</v>
      </c>
      <c r="Q64" s="525"/>
      <c r="R64" s="525"/>
      <c r="S64" s="525"/>
      <c r="T64" s="525" t="s">
        <v>165</v>
      </c>
      <c r="U64" s="525" t="s">
        <v>162</v>
      </c>
      <c r="V64" s="525"/>
      <c r="W64" s="525"/>
      <c r="X64" s="525"/>
      <c r="Y64" s="525" t="s">
        <v>165</v>
      </c>
      <c r="Z64" s="525" t="s">
        <v>162</v>
      </c>
      <c r="AA64" s="525"/>
      <c r="AB64" s="525"/>
      <c r="AC64" s="525"/>
      <c r="AD64" s="525" t="s">
        <v>165</v>
      </c>
      <c r="AE64" s="525" t="s">
        <v>162</v>
      </c>
      <c r="AF64" s="525"/>
      <c r="AG64" s="525"/>
      <c r="AH64" s="525"/>
      <c r="AI64" s="525" t="s">
        <v>165</v>
      </c>
      <c r="AJ64" s="525" t="s">
        <v>162</v>
      </c>
      <c r="AK64" s="525"/>
      <c r="AL64" s="525"/>
      <c r="AM64" s="525"/>
      <c r="AN64" s="525" t="s">
        <v>165</v>
      </c>
      <c r="AO64" s="525" t="s">
        <v>162</v>
      </c>
      <c r="AP64" s="525"/>
      <c r="AQ64" s="525"/>
      <c r="AR64" s="525"/>
      <c r="AS64" s="525" t="s">
        <v>165</v>
      </c>
      <c r="AT64" s="525" t="s">
        <v>162</v>
      </c>
      <c r="AU64" s="525"/>
      <c r="AV64" s="525"/>
      <c r="AW64" s="525"/>
      <c r="AX64" s="525" t="s">
        <v>165</v>
      </c>
    </row>
    <row r="65" spans="2:50" ht="14.25" customHeight="1">
      <c r="B65" s="525"/>
      <c r="C65" s="525"/>
      <c r="D65" s="525"/>
      <c r="E65" s="525" t="s">
        <v>380</v>
      </c>
      <c r="F65" s="525"/>
      <c r="G65" s="525"/>
      <c r="H65" s="525"/>
      <c r="I65" s="544" t="s">
        <v>380</v>
      </c>
      <c r="J65" s="544"/>
      <c r="K65" s="544"/>
      <c r="L65" s="544"/>
      <c r="M65" s="544"/>
      <c r="N65" s="525"/>
      <c r="O65" s="525"/>
      <c r="P65" s="525" t="s">
        <v>381</v>
      </c>
      <c r="Q65" s="525"/>
      <c r="R65" s="525"/>
      <c r="S65" s="525"/>
      <c r="T65" s="525"/>
      <c r="U65" s="525" t="s">
        <v>381</v>
      </c>
      <c r="V65" s="525"/>
      <c r="W65" s="525"/>
      <c r="X65" s="525"/>
      <c r="Y65" s="525"/>
      <c r="Z65" s="525" t="s">
        <v>381</v>
      </c>
      <c r="AA65" s="525"/>
      <c r="AB65" s="525"/>
      <c r="AC65" s="525"/>
      <c r="AD65" s="525"/>
      <c r="AE65" s="525" t="s">
        <v>381</v>
      </c>
      <c r="AF65" s="525"/>
      <c r="AG65" s="525"/>
      <c r="AH65" s="525"/>
      <c r="AI65" s="525"/>
      <c r="AJ65" s="525" t="s">
        <v>381</v>
      </c>
      <c r="AK65" s="525"/>
      <c r="AL65" s="525"/>
      <c r="AM65" s="525"/>
      <c r="AN65" s="525"/>
      <c r="AO65" s="525" t="s">
        <v>381</v>
      </c>
      <c r="AP65" s="525"/>
      <c r="AQ65" s="525"/>
      <c r="AR65" s="525"/>
      <c r="AS65" s="525"/>
      <c r="AT65" s="525" t="s">
        <v>381</v>
      </c>
      <c r="AU65" s="525"/>
      <c r="AV65" s="525"/>
      <c r="AW65" s="525"/>
      <c r="AX65" s="525"/>
    </row>
    <row r="66" spans="2:50" ht="14.25" customHeight="1">
      <c r="B66" s="525"/>
      <c r="C66" s="525"/>
      <c r="D66" s="525"/>
      <c r="E66" s="182" t="s">
        <v>161</v>
      </c>
      <c r="F66" s="182" t="s">
        <v>382</v>
      </c>
      <c r="G66" s="182" t="s">
        <v>163</v>
      </c>
      <c r="H66" s="525"/>
      <c r="I66" s="183" t="s">
        <v>161</v>
      </c>
      <c r="J66" s="183" t="s">
        <v>382</v>
      </c>
      <c r="K66" s="183" t="s">
        <v>163</v>
      </c>
      <c r="L66" s="544"/>
      <c r="M66" s="544"/>
      <c r="N66" s="525"/>
      <c r="O66" s="525"/>
      <c r="P66" s="182" t="s">
        <v>161</v>
      </c>
      <c r="Q66" s="182" t="s">
        <v>382</v>
      </c>
      <c r="R66" s="182" t="s">
        <v>163</v>
      </c>
      <c r="S66" s="184" t="s">
        <v>167</v>
      </c>
      <c r="T66" s="525"/>
      <c r="U66" s="182" t="s">
        <v>161</v>
      </c>
      <c r="V66" s="182" t="s">
        <v>382</v>
      </c>
      <c r="W66" s="182" t="s">
        <v>163</v>
      </c>
      <c r="X66" s="184" t="s">
        <v>167</v>
      </c>
      <c r="Y66" s="525"/>
      <c r="Z66" s="182" t="s">
        <v>161</v>
      </c>
      <c r="AA66" s="182" t="s">
        <v>382</v>
      </c>
      <c r="AB66" s="182" t="s">
        <v>163</v>
      </c>
      <c r="AC66" s="184" t="s">
        <v>167</v>
      </c>
      <c r="AD66" s="525"/>
      <c r="AE66" s="182" t="s">
        <v>161</v>
      </c>
      <c r="AF66" s="182" t="s">
        <v>382</v>
      </c>
      <c r="AG66" s="182" t="s">
        <v>163</v>
      </c>
      <c r="AH66" s="184" t="s">
        <v>167</v>
      </c>
      <c r="AI66" s="525"/>
      <c r="AJ66" s="182" t="s">
        <v>161</v>
      </c>
      <c r="AK66" s="182" t="s">
        <v>382</v>
      </c>
      <c r="AL66" s="182" t="s">
        <v>163</v>
      </c>
      <c r="AM66" s="184" t="s">
        <v>167</v>
      </c>
      <c r="AN66" s="525"/>
      <c r="AO66" s="182" t="s">
        <v>161</v>
      </c>
      <c r="AP66" s="182" t="s">
        <v>382</v>
      </c>
      <c r="AQ66" s="182" t="s">
        <v>163</v>
      </c>
      <c r="AR66" s="184" t="s">
        <v>167</v>
      </c>
      <c r="AS66" s="525"/>
      <c r="AT66" s="182" t="s">
        <v>161</v>
      </c>
      <c r="AU66" s="182" t="s">
        <v>382</v>
      </c>
      <c r="AV66" s="182" t="s">
        <v>163</v>
      </c>
      <c r="AW66" s="184" t="s">
        <v>167</v>
      </c>
      <c r="AX66" s="525"/>
    </row>
    <row r="67" spans="2:50" ht="14.25" customHeight="1">
      <c r="B67" s="525" t="s">
        <v>458</v>
      </c>
      <c r="C67" s="182">
        <v>1</v>
      </c>
      <c r="D67" s="185"/>
      <c r="E67" s="182"/>
      <c r="F67" s="182"/>
      <c r="G67" s="187"/>
      <c r="H67" s="554"/>
      <c r="I67" s="188"/>
      <c r="J67" s="188"/>
      <c r="K67" s="189"/>
      <c r="L67" s="555">
        <v>0</v>
      </c>
      <c r="M67" s="188" t="e">
        <f>RANK(K67, K$67:$K$81)</f>
        <v>#N/A</v>
      </c>
      <c r="N67" s="525"/>
      <c r="O67" s="525"/>
      <c r="P67" s="190"/>
      <c r="Q67" s="190"/>
      <c r="R67" s="187"/>
      <c r="S67" s="184"/>
      <c r="T67" s="554"/>
      <c r="U67" s="190"/>
      <c r="V67" s="190"/>
      <c r="W67" s="187"/>
      <c r="X67" s="184"/>
      <c r="Y67" s="554"/>
      <c r="Z67" s="190"/>
      <c r="AA67" s="190"/>
      <c r="AB67" s="187"/>
      <c r="AC67" s="184"/>
      <c r="AD67" s="554"/>
      <c r="AE67" s="190"/>
      <c r="AF67" s="190"/>
      <c r="AG67" s="187"/>
      <c r="AH67" s="184"/>
      <c r="AI67" s="554"/>
      <c r="AJ67" s="190"/>
      <c r="AK67" s="190"/>
      <c r="AL67" s="187"/>
      <c r="AM67" s="184"/>
      <c r="AN67" s="554"/>
      <c r="AO67" s="190"/>
      <c r="AP67" s="190"/>
      <c r="AQ67" s="187"/>
      <c r="AR67" s="184"/>
      <c r="AS67" s="571"/>
      <c r="AT67" s="190"/>
      <c r="AU67" s="190"/>
      <c r="AV67" s="187"/>
      <c r="AW67" s="184"/>
      <c r="AX67" s="554"/>
    </row>
    <row r="68" spans="2:50" ht="14.25" customHeight="1">
      <c r="B68" s="525"/>
      <c r="C68" s="182">
        <v>2</v>
      </c>
      <c r="D68" s="185"/>
      <c r="E68" s="182"/>
      <c r="F68" s="182"/>
      <c r="G68" s="187"/>
      <c r="H68" s="554"/>
      <c r="I68" s="188"/>
      <c r="J68" s="188"/>
      <c r="K68" s="189"/>
      <c r="L68" s="555"/>
      <c r="M68" s="188"/>
      <c r="N68" s="525"/>
      <c r="O68" s="525"/>
      <c r="P68" s="190"/>
      <c r="Q68" s="190"/>
      <c r="R68" s="187"/>
      <c r="S68" s="184"/>
      <c r="T68" s="554"/>
      <c r="U68" s="190"/>
      <c r="V68" s="190"/>
      <c r="W68" s="187"/>
      <c r="X68" s="184"/>
      <c r="Y68" s="554"/>
      <c r="Z68" s="190"/>
      <c r="AA68" s="190"/>
      <c r="AB68" s="187"/>
      <c r="AC68" s="184"/>
      <c r="AD68" s="554"/>
      <c r="AE68" s="190"/>
      <c r="AF68" s="190"/>
      <c r="AG68" s="187"/>
      <c r="AH68" s="184"/>
      <c r="AI68" s="554"/>
      <c r="AJ68" s="190"/>
      <c r="AK68" s="190"/>
      <c r="AL68" s="187"/>
      <c r="AM68" s="184"/>
      <c r="AN68" s="554"/>
      <c r="AO68" s="190"/>
      <c r="AP68" s="190"/>
      <c r="AQ68" s="187"/>
      <c r="AR68" s="184"/>
      <c r="AS68" s="572"/>
      <c r="AT68" s="190"/>
      <c r="AU68" s="190"/>
      <c r="AV68" s="187"/>
      <c r="AW68" s="184"/>
      <c r="AX68" s="554"/>
    </row>
    <row r="69" spans="2:50" ht="14.25" customHeight="1">
      <c r="B69" s="525"/>
      <c r="C69" s="182">
        <v>3</v>
      </c>
      <c r="D69" s="185"/>
      <c r="E69" s="182"/>
      <c r="F69" s="182"/>
      <c r="G69" s="187"/>
      <c r="H69" s="554"/>
      <c r="I69" s="188"/>
      <c r="J69" s="188"/>
      <c r="K69" s="189"/>
      <c r="L69" s="555"/>
      <c r="M69" s="188"/>
      <c r="N69" s="525"/>
      <c r="O69" s="525"/>
      <c r="P69" s="190"/>
      <c r="Q69" s="190"/>
      <c r="R69" s="187"/>
      <c r="S69" s="184"/>
      <c r="T69" s="554"/>
      <c r="U69" s="190"/>
      <c r="V69" s="190"/>
      <c r="W69" s="187"/>
      <c r="X69" s="184"/>
      <c r="Y69" s="554"/>
      <c r="Z69" s="190"/>
      <c r="AA69" s="190"/>
      <c r="AB69" s="187"/>
      <c r="AC69" s="184"/>
      <c r="AD69" s="554"/>
      <c r="AE69" s="190"/>
      <c r="AF69" s="190"/>
      <c r="AG69" s="187"/>
      <c r="AH69" s="184"/>
      <c r="AI69" s="554"/>
      <c r="AJ69" s="190"/>
      <c r="AK69" s="190"/>
      <c r="AL69" s="187"/>
      <c r="AM69" s="184"/>
      <c r="AN69" s="554"/>
      <c r="AO69" s="190"/>
      <c r="AP69" s="190"/>
      <c r="AQ69" s="187"/>
      <c r="AR69" s="184"/>
      <c r="AS69" s="572"/>
      <c r="AT69" s="190"/>
      <c r="AU69" s="190"/>
      <c r="AV69" s="187"/>
      <c r="AW69" s="184"/>
      <c r="AX69" s="554"/>
    </row>
    <row r="70" spans="2:50" ht="14.25" customHeight="1">
      <c r="B70" s="525"/>
      <c r="C70" s="182">
        <v>4</v>
      </c>
      <c r="D70" s="185"/>
      <c r="E70" s="182"/>
      <c r="F70" s="182"/>
      <c r="G70" s="187"/>
      <c r="H70" s="554"/>
      <c r="I70" s="188"/>
      <c r="J70" s="188"/>
      <c r="K70" s="189"/>
      <c r="L70" s="555"/>
      <c r="M70" s="188"/>
      <c r="N70" s="525"/>
      <c r="O70" s="525"/>
      <c r="P70" s="190"/>
      <c r="Q70" s="190"/>
      <c r="R70" s="187"/>
      <c r="S70" s="184"/>
      <c r="T70" s="554"/>
      <c r="U70" s="190"/>
      <c r="V70" s="190"/>
      <c r="W70" s="187"/>
      <c r="X70" s="184"/>
      <c r="Y70" s="554"/>
      <c r="Z70" s="190"/>
      <c r="AA70" s="190"/>
      <c r="AB70" s="187"/>
      <c r="AC70" s="184"/>
      <c r="AD70" s="554"/>
      <c r="AE70" s="190"/>
      <c r="AF70" s="190"/>
      <c r="AG70" s="187"/>
      <c r="AH70" s="184"/>
      <c r="AI70" s="554"/>
      <c r="AJ70" s="190"/>
      <c r="AK70" s="190"/>
      <c r="AL70" s="187"/>
      <c r="AM70" s="184"/>
      <c r="AN70" s="554"/>
      <c r="AO70" s="190"/>
      <c r="AP70" s="190"/>
      <c r="AQ70" s="187"/>
      <c r="AR70" s="184"/>
      <c r="AS70" s="572"/>
      <c r="AT70" s="190"/>
      <c r="AU70" s="190"/>
      <c r="AV70" s="187"/>
      <c r="AW70" s="184"/>
      <c r="AX70" s="554"/>
    </row>
    <row r="71" spans="2:50" ht="14.25" customHeight="1">
      <c r="B71" s="525"/>
      <c r="C71" s="182">
        <v>5</v>
      </c>
      <c r="D71" s="185"/>
      <c r="E71" s="182"/>
      <c r="F71" s="182"/>
      <c r="G71" s="187"/>
      <c r="H71" s="554"/>
      <c r="I71" s="188"/>
      <c r="J71" s="188"/>
      <c r="K71" s="189"/>
      <c r="L71" s="555"/>
      <c r="M71" s="188"/>
      <c r="N71" s="525"/>
      <c r="O71" s="525"/>
      <c r="P71" s="190"/>
      <c r="Q71" s="190"/>
      <c r="R71" s="187"/>
      <c r="S71" s="184"/>
      <c r="T71" s="554"/>
      <c r="U71" s="190"/>
      <c r="V71" s="190"/>
      <c r="W71" s="187"/>
      <c r="X71" s="184"/>
      <c r="Y71" s="554"/>
      <c r="Z71" s="190"/>
      <c r="AA71" s="190"/>
      <c r="AB71" s="187"/>
      <c r="AC71" s="184"/>
      <c r="AD71" s="554"/>
      <c r="AE71" s="190"/>
      <c r="AF71" s="190"/>
      <c r="AG71" s="187"/>
      <c r="AH71" s="184"/>
      <c r="AI71" s="554"/>
      <c r="AJ71" s="190"/>
      <c r="AK71" s="190"/>
      <c r="AL71" s="187"/>
      <c r="AM71" s="184"/>
      <c r="AN71" s="554"/>
      <c r="AO71" s="190"/>
      <c r="AP71" s="190"/>
      <c r="AQ71" s="187"/>
      <c r="AR71" s="184"/>
      <c r="AS71" s="572"/>
      <c r="AT71" s="190"/>
      <c r="AU71" s="190"/>
      <c r="AV71" s="187"/>
      <c r="AW71" s="184"/>
      <c r="AX71" s="554"/>
    </row>
    <row r="72" spans="2:50" ht="14.25" customHeight="1">
      <c r="B72" s="525"/>
      <c r="C72" s="182">
        <v>6</v>
      </c>
      <c r="D72" s="185"/>
      <c r="E72" s="182"/>
      <c r="F72" s="182"/>
      <c r="G72" s="187"/>
      <c r="H72" s="554"/>
      <c r="I72" s="188"/>
      <c r="J72" s="188"/>
      <c r="K72" s="189"/>
      <c r="L72" s="555"/>
      <c r="M72" s="188"/>
      <c r="N72" s="525"/>
      <c r="O72" s="525"/>
      <c r="P72" s="190"/>
      <c r="Q72" s="190"/>
      <c r="R72" s="187"/>
      <c r="S72" s="184"/>
      <c r="T72" s="554"/>
      <c r="U72" s="190"/>
      <c r="V72" s="190"/>
      <c r="W72" s="187"/>
      <c r="X72" s="184"/>
      <c r="Y72" s="554"/>
      <c r="Z72" s="190"/>
      <c r="AA72" s="190"/>
      <c r="AB72" s="187"/>
      <c r="AC72" s="184"/>
      <c r="AD72" s="554"/>
      <c r="AE72" s="190"/>
      <c r="AF72" s="190"/>
      <c r="AG72" s="187"/>
      <c r="AH72" s="184"/>
      <c r="AI72" s="554"/>
      <c r="AJ72" s="190"/>
      <c r="AK72" s="190"/>
      <c r="AL72" s="187"/>
      <c r="AM72" s="184"/>
      <c r="AN72" s="554"/>
      <c r="AO72" s="190"/>
      <c r="AP72" s="190"/>
      <c r="AQ72" s="187"/>
      <c r="AR72" s="184"/>
      <c r="AS72" s="572"/>
      <c r="AT72" s="190"/>
      <c r="AU72" s="190"/>
      <c r="AV72" s="187"/>
      <c r="AW72" s="184"/>
      <c r="AX72" s="554"/>
    </row>
    <row r="73" spans="2:50" ht="14.25" customHeight="1">
      <c r="B73" s="525"/>
      <c r="C73" s="182">
        <v>7</v>
      </c>
      <c r="D73" s="185"/>
      <c r="E73" s="182"/>
      <c r="F73" s="182"/>
      <c r="G73" s="187"/>
      <c r="H73" s="554"/>
      <c r="I73" s="188"/>
      <c r="J73" s="188"/>
      <c r="K73" s="189"/>
      <c r="L73" s="555"/>
      <c r="M73" s="188"/>
      <c r="N73" s="525"/>
      <c r="O73" s="525"/>
      <c r="P73" s="190"/>
      <c r="Q73" s="190"/>
      <c r="R73" s="187"/>
      <c r="S73" s="184"/>
      <c r="T73" s="554"/>
      <c r="U73" s="190"/>
      <c r="V73" s="190"/>
      <c r="W73" s="187"/>
      <c r="X73" s="184"/>
      <c r="Y73" s="554"/>
      <c r="Z73" s="190"/>
      <c r="AA73" s="190"/>
      <c r="AB73" s="187"/>
      <c r="AC73" s="184"/>
      <c r="AD73" s="554"/>
      <c r="AE73" s="190"/>
      <c r="AF73" s="190"/>
      <c r="AG73" s="187"/>
      <c r="AH73" s="184"/>
      <c r="AI73" s="554"/>
      <c r="AJ73" s="190"/>
      <c r="AK73" s="190"/>
      <c r="AL73" s="187"/>
      <c r="AM73" s="184"/>
      <c r="AN73" s="554"/>
      <c r="AO73" s="190"/>
      <c r="AP73" s="190"/>
      <c r="AQ73" s="187"/>
      <c r="AR73" s="184"/>
      <c r="AS73" s="572"/>
      <c r="AT73" s="190"/>
      <c r="AU73" s="190"/>
      <c r="AV73" s="187"/>
      <c r="AW73" s="184"/>
      <c r="AX73" s="554"/>
    </row>
    <row r="74" spans="2:50" ht="14.25" customHeight="1">
      <c r="B74" s="525"/>
      <c r="C74" s="182">
        <v>8</v>
      </c>
      <c r="D74" s="185"/>
      <c r="E74" s="182"/>
      <c r="F74" s="182"/>
      <c r="G74" s="187"/>
      <c r="H74" s="554"/>
      <c r="I74" s="188"/>
      <c r="J74" s="188"/>
      <c r="K74" s="189"/>
      <c r="L74" s="555"/>
      <c r="M74" s="188"/>
      <c r="N74" s="525"/>
      <c r="O74" s="525"/>
      <c r="P74" s="190"/>
      <c r="Q74" s="190"/>
      <c r="R74" s="187"/>
      <c r="S74" s="184"/>
      <c r="T74" s="554"/>
      <c r="U74" s="190"/>
      <c r="V74" s="190"/>
      <c r="W74" s="187"/>
      <c r="X74" s="184"/>
      <c r="Y74" s="554"/>
      <c r="Z74" s="190"/>
      <c r="AA74" s="190"/>
      <c r="AB74" s="187"/>
      <c r="AC74" s="184"/>
      <c r="AD74" s="554"/>
      <c r="AE74" s="190"/>
      <c r="AF74" s="190"/>
      <c r="AG74" s="187"/>
      <c r="AH74" s="184"/>
      <c r="AI74" s="554"/>
      <c r="AJ74" s="190"/>
      <c r="AK74" s="190"/>
      <c r="AL74" s="187"/>
      <c r="AM74" s="184"/>
      <c r="AN74" s="554"/>
      <c r="AO74" s="190"/>
      <c r="AP74" s="190"/>
      <c r="AQ74" s="187"/>
      <c r="AR74" s="184"/>
      <c r="AS74" s="572"/>
      <c r="AT74" s="190"/>
      <c r="AU74" s="190"/>
      <c r="AV74" s="187"/>
      <c r="AW74" s="184"/>
      <c r="AX74" s="554"/>
    </row>
    <row r="75" spans="2:50" ht="14.25" customHeight="1">
      <c r="B75" s="525"/>
      <c r="C75" s="182">
        <v>9</v>
      </c>
      <c r="D75" s="185"/>
      <c r="E75" s="182"/>
      <c r="F75" s="182"/>
      <c r="G75" s="187"/>
      <c r="H75" s="554"/>
      <c r="I75" s="188"/>
      <c r="J75" s="188"/>
      <c r="K75" s="189"/>
      <c r="L75" s="555"/>
      <c r="M75" s="188"/>
      <c r="N75" s="525"/>
      <c r="O75" s="525"/>
      <c r="P75" s="190"/>
      <c r="Q75" s="190"/>
      <c r="R75" s="187"/>
      <c r="S75" s="184"/>
      <c r="T75" s="554"/>
      <c r="U75" s="190"/>
      <c r="V75" s="190"/>
      <c r="W75" s="187"/>
      <c r="X75" s="184"/>
      <c r="Y75" s="554"/>
      <c r="Z75" s="190"/>
      <c r="AA75" s="190"/>
      <c r="AB75" s="187"/>
      <c r="AC75" s="184"/>
      <c r="AD75" s="554"/>
      <c r="AE75" s="190"/>
      <c r="AF75" s="190"/>
      <c r="AG75" s="187"/>
      <c r="AH75" s="184"/>
      <c r="AI75" s="554"/>
      <c r="AJ75" s="190"/>
      <c r="AK75" s="190"/>
      <c r="AL75" s="187"/>
      <c r="AM75" s="184"/>
      <c r="AN75" s="554"/>
      <c r="AO75" s="190"/>
      <c r="AP75" s="190"/>
      <c r="AQ75" s="187"/>
      <c r="AR75" s="184"/>
      <c r="AS75" s="572"/>
      <c r="AT75" s="190"/>
      <c r="AU75" s="190"/>
      <c r="AV75" s="187"/>
      <c r="AW75" s="184"/>
      <c r="AX75" s="554"/>
    </row>
    <row r="76" spans="2:50" ht="14.25" customHeight="1">
      <c r="B76" s="525"/>
      <c r="C76" s="182">
        <v>10</v>
      </c>
      <c r="D76" s="185"/>
      <c r="E76" s="182"/>
      <c r="F76" s="182"/>
      <c r="G76" s="187"/>
      <c r="H76" s="554"/>
      <c r="I76" s="188"/>
      <c r="J76" s="188"/>
      <c r="K76" s="189"/>
      <c r="L76" s="555"/>
      <c r="M76" s="188"/>
      <c r="N76" s="525"/>
      <c r="O76" s="525"/>
      <c r="P76" s="190"/>
      <c r="Q76" s="190"/>
      <c r="R76" s="187"/>
      <c r="S76" s="184"/>
      <c r="T76" s="554"/>
      <c r="U76" s="190"/>
      <c r="V76" s="190"/>
      <c r="W76" s="187"/>
      <c r="X76" s="184"/>
      <c r="Y76" s="554"/>
      <c r="Z76" s="190"/>
      <c r="AA76" s="190"/>
      <c r="AB76" s="187"/>
      <c r="AC76" s="184"/>
      <c r="AD76" s="554"/>
      <c r="AE76" s="190"/>
      <c r="AF76" s="190"/>
      <c r="AG76" s="187"/>
      <c r="AH76" s="184"/>
      <c r="AI76" s="554"/>
      <c r="AJ76" s="190"/>
      <c r="AK76" s="190"/>
      <c r="AL76" s="187"/>
      <c r="AM76" s="184"/>
      <c r="AN76" s="554"/>
      <c r="AO76" s="190"/>
      <c r="AP76" s="190"/>
      <c r="AQ76" s="187"/>
      <c r="AR76" s="184"/>
      <c r="AS76" s="572"/>
      <c r="AT76" s="190"/>
      <c r="AU76" s="190"/>
      <c r="AV76" s="187"/>
      <c r="AW76" s="184"/>
      <c r="AX76" s="554"/>
    </row>
    <row r="77" spans="2:50" ht="14.25" customHeight="1">
      <c r="B77" s="525"/>
      <c r="C77" s="182">
        <v>11</v>
      </c>
      <c r="D77" s="185"/>
      <c r="E77" s="182"/>
      <c r="F77" s="182"/>
      <c r="G77" s="187"/>
      <c r="H77" s="554"/>
      <c r="I77" s="188"/>
      <c r="J77" s="188"/>
      <c r="K77" s="189"/>
      <c r="L77" s="555"/>
      <c r="M77" s="188"/>
      <c r="N77" s="525"/>
      <c r="O77" s="525"/>
      <c r="P77" s="190"/>
      <c r="Q77" s="190"/>
      <c r="R77" s="187"/>
      <c r="S77" s="184"/>
      <c r="T77" s="554"/>
      <c r="U77" s="190"/>
      <c r="V77" s="190"/>
      <c r="W77" s="187"/>
      <c r="X77" s="184"/>
      <c r="Y77" s="554"/>
      <c r="Z77" s="190"/>
      <c r="AA77" s="190"/>
      <c r="AB77" s="187"/>
      <c r="AC77" s="184"/>
      <c r="AD77" s="554"/>
      <c r="AE77" s="190"/>
      <c r="AF77" s="190"/>
      <c r="AG77" s="187"/>
      <c r="AH77" s="184"/>
      <c r="AI77" s="554"/>
      <c r="AJ77" s="190"/>
      <c r="AK77" s="190"/>
      <c r="AL77" s="187"/>
      <c r="AM77" s="184"/>
      <c r="AN77" s="554"/>
      <c r="AO77" s="190"/>
      <c r="AP77" s="190"/>
      <c r="AQ77" s="187"/>
      <c r="AR77" s="184"/>
      <c r="AS77" s="572"/>
      <c r="AT77" s="190"/>
      <c r="AU77" s="190"/>
      <c r="AV77" s="187"/>
      <c r="AW77" s="184"/>
      <c r="AX77" s="554"/>
    </row>
    <row r="78" spans="2:50" ht="14.25" customHeight="1">
      <c r="B78" s="525"/>
      <c r="C78" s="182">
        <v>12</v>
      </c>
      <c r="D78" s="185"/>
      <c r="E78" s="182"/>
      <c r="F78" s="182"/>
      <c r="G78" s="187"/>
      <c r="H78" s="554"/>
      <c r="I78" s="188"/>
      <c r="J78" s="188"/>
      <c r="K78" s="189"/>
      <c r="L78" s="555"/>
      <c r="M78" s="188"/>
      <c r="N78" s="525"/>
      <c r="O78" s="525"/>
      <c r="P78" s="190"/>
      <c r="Q78" s="190"/>
      <c r="R78" s="187"/>
      <c r="S78" s="184"/>
      <c r="T78" s="554"/>
      <c r="U78" s="190"/>
      <c r="V78" s="190"/>
      <c r="W78" s="187"/>
      <c r="X78" s="184"/>
      <c r="Y78" s="554"/>
      <c r="Z78" s="190"/>
      <c r="AA78" s="190"/>
      <c r="AB78" s="187"/>
      <c r="AC78" s="184"/>
      <c r="AD78" s="554"/>
      <c r="AE78" s="190"/>
      <c r="AF78" s="190"/>
      <c r="AG78" s="187"/>
      <c r="AH78" s="184"/>
      <c r="AI78" s="554"/>
      <c r="AJ78" s="190"/>
      <c r="AK78" s="190"/>
      <c r="AL78" s="187"/>
      <c r="AM78" s="184"/>
      <c r="AN78" s="554"/>
      <c r="AO78" s="190"/>
      <c r="AP78" s="190"/>
      <c r="AQ78" s="187"/>
      <c r="AR78" s="184"/>
      <c r="AS78" s="572"/>
      <c r="AT78" s="190"/>
      <c r="AU78" s="190"/>
      <c r="AV78" s="187"/>
      <c r="AW78" s="184"/>
      <c r="AX78" s="554"/>
    </row>
    <row r="79" spans="2:50" ht="14.25" customHeight="1">
      <c r="B79" s="525"/>
      <c r="C79" s="182">
        <v>13</v>
      </c>
      <c r="D79" s="185"/>
      <c r="E79" s="182"/>
      <c r="F79" s="182"/>
      <c r="G79" s="187"/>
      <c r="H79" s="554"/>
      <c r="I79" s="188"/>
      <c r="J79" s="188"/>
      <c r="K79" s="189"/>
      <c r="L79" s="555"/>
      <c r="M79" s="188"/>
      <c r="N79" s="525"/>
      <c r="O79" s="525"/>
      <c r="P79" s="190"/>
      <c r="Q79" s="190"/>
      <c r="R79" s="187"/>
      <c r="S79" s="184"/>
      <c r="T79" s="554"/>
      <c r="U79" s="190"/>
      <c r="V79" s="190"/>
      <c r="W79" s="187"/>
      <c r="X79" s="184"/>
      <c r="Y79" s="554"/>
      <c r="Z79" s="190"/>
      <c r="AA79" s="190"/>
      <c r="AB79" s="187"/>
      <c r="AC79" s="184"/>
      <c r="AD79" s="554"/>
      <c r="AE79" s="190"/>
      <c r="AF79" s="190"/>
      <c r="AG79" s="187"/>
      <c r="AH79" s="184"/>
      <c r="AI79" s="554"/>
      <c r="AJ79" s="190"/>
      <c r="AK79" s="190"/>
      <c r="AL79" s="187"/>
      <c r="AM79" s="184"/>
      <c r="AN79" s="554"/>
      <c r="AO79" s="190"/>
      <c r="AP79" s="190"/>
      <c r="AQ79" s="187"/>
      <c r="AR79" s="184"/>
      <c r="AS79" s="572"/>
      <c r="AT79" s="190"/>
      <c r="AU79" s="190"/>
      <c r="AV79" s="187"/>
      <c r="AW79" s="184"/>
      <c r="AX79" s="554"/>
    </row>
    <row r="80" spans="2:50" ht="14.25" customHeight="1">
      <c r="B80" s="525"/>
      <c r="C80" s="182">
        <v>14</v>
      </c>
      <c r="D80" s="185"/>
      <c r="E80" s="182"/>
      <c r="F80" s="182"/>
      <c r="G80" s="187"/>
      <c r="H80" s="554"/>
      <c r="I80" s="188"/>
      <c r="J80" s="188"/>
      <c r="K80" s="189"/>
      <c r="L80" s="555"/>
      <c r="M80" s="188"/>
      <c r="N80" s="525"/>
      <c r="O80" s="525"/>
      <c r="P80" s="190"/>
      <c r="Q80" s="190"/>
      <c r="R80" s="187"/>
      <c r="S80" s="184"/>
      <c r="T80" s="554"/>
      <c r="U80" s="190"/>
      <c r="V80" s="190"/>
      <c r="W80" s="187"/>
      <c r="X80" s="184"/>
      <c r="Y80" s="554"/>
      <c r="Z80" s="190"/>
      <c r="AA80" s="190"/>
      <c r="AB80" s="187"/>
      <c r="AC80" s="184"/>
      <c r="AD80" s="554"/>
      <c r="AE80" s="190"/>
      <c r="AF80" s="190"/>
      <c r="AG80" s="187"/>
      <c r="AH80" s="184"/>
      <c r="AI80" s="554"/>
      <c r="AJ80" s="190"/>
      <c r="AK80" s="190"/>
      <c r="AL80" s="187"/>
      <c r="AM80" s="184"/>
      <c r="AN80" s="554"/>
      <c r="AO80" s="190"/>
      <c r="AP80" s="190"/>
      <c r="AQ80" s="187"/>
      <c r="AR80" s="184"/>
      <c r="AS80" s="572"/>
      <c r="AT80" s="190"/>
      <c r="AU80" s="190"/>
      <c r="AV80" s="187"/>
      <c r="AW80" s="184"/>
      <c r="AX80" s="554"/>
    </row>
    <row r="81" spans="2:50" ht="14.25" customHeight="1">
      <c r="B81" s="525"/>
      <c r="C81" s="182">
        <v>15</v>
      </c>
      <c r="D81" s="185"/>
      <c r="E81" s="182"/>
      <c r="F81" s="182"/>
      <c r="G81" s="187"/>
      <c r="H81" s="554"/>
      <c r="I81" s="188"/>
      <c r="J81" s="188"/>
      <c r="K81" s="189"/>
      <c r="L81" s="555"/>
      <c r="M81" s="188"/>
      <c r="N81" s="525"/>
      <c r="O81" s="525"/>
      <c r="P81" s="190"/>
      <c r="Q81" s="190"/>
      <c r="R81" s="187"/>
      <c r="S81" s="184"/>
      <c r="T81" s="554"/>
      <c r="U81" s="190"/>
      <c r="V81" s="190"/>
      <c r="W81" s="187"/>
      <c r="X81" s="184"/>
      <c r="Y81" s="554"/>
      <c r="Z81" s="190"/>
      <c r="AA81" s="190"/>
      <c r="AB81" s="187"/>
      <c r="AC81" s="184"/>
      <c r="AD81" s="554"/>
      <c r="AE81" s="190"/>
      <c r="AF81" s="190"/>
      <c r="AG81" s="187"/>
      <c r="AH81" s="184"/>
      <c r="AI81" s="554"/>
      <c r="AJ81" s="190"/>
      <c r="AK81" s="190"/>
      <c r="AL81" s="187"/>
      <c r="AM81" s="184"/>
      <c r="AN81" s="554"/>
      <c r="AO81" s="190"/>
      <c r="AP81" s="190"/>
      <c r="AQ81" s="187"/>
      <c r="AR81" s="184"/>
      <c r="AS81" s="573"/>
      <c r="AT81" s="190"/>
      <c r="AU81" s="190"/>
      <c r="AV81" s="187"/>
      <c r="AW81" s="184"/>
      <c r="AX81" s="554"/>
    </row>
    <row r="82" spans="2:50" ht="14.25" customHeight="1" collapsed="1">
      <c r="B82" s="534" t="s">
        <v>649</v>
      </c>
      <c r="C82" s="535"/>
      <c r="D82" s="535"/>
      <c r="E82" s="535"/>
      <c r="F82" s="535"/>
      <c r="G82" s="535"/>
      <c r="H82" s="535"/>
      <c r="I82" s="535"/>
      <c r="J82" s="535"/>
      <c r="K82" s="535"/>
      <c r="L82" s="535"/>
      <c r="M82" s="536"/>
      <c r="N82" s="564" t="s">
        <v>378</v>
      </c>
      <c r="O82" s="564" t="s">
        <v>105</v>
      </c>
      <c r="P82" s="566">
        <f>AT62+1</f>
        <v>46105</v>
      </c>
      <c r="Q82" s="567"/>
      <c r="R82" s="567"/>
      <c r="S82" s="567"/>
      <c r="T82" s="567"/>
      <c r="U82" s="568">
        <f>P82+1</f>
        <v>46106</v>
      </c>
      <c r="V82" s="569"/>
      <c r="W82" s="569"/>
      <c r="X82" s="569"/>
      <c r="Y82" s="569"/>
      <c r="Z82" s="566">
        <f t="shared" ref="Z82" si="40">U82+1</f>
        <v>46107</v>
      </c>
      <c r="AA82" s="567"/>
      <c r="AB82" s="567"/>
      <c r="AC82" s="567"/>
      <c r="AD82" s="567"/>
      <c r="AE82" s="568">
        <f t="shared" ref="AE82" si="41">Z82+1</f>
        <v>46108</v>
      </c>
      <c r="AF82" s="569"/>
      <c r="AG82" s="569"/>
      <c r="AH82" s="569"/>
      <c r="AI82" s="569"/>
      <c r="AJ82" s="556">
        <f t="shared" ref="AJ82" si="42">AE82+1</f>
        <v>46109</v>
      </c>
      <c r="AK82" s="557"/>
      <c r="AL82" s="557"/>
      <c r="AM82" s="557"/>
      <c r="AN82" s="558"/>
      <c r="AO82" s="568">
        <f t="shared" ref="AO82" si="43">AJ82+1</f>
        <v>46110</v>
      </c>
      <c r="AP82" s="569"/>
      <c r="AQ82" s="569"/>
      <c r="AR82" s="569"/>
      <c r="AS82" s="569"/>
      <c r="AT82" s="556">
        <f t="shared" ref="AT82" si="44">AO82+1</f>
        <v>46111</v>
      </c>
      <c r="AU82" s="557"/>
      <c r="AV82" s="557"/>
      <c r="AW82" s="557"/>
      <c r="AX82" s="558"/>
    </row>
    <row r="83" spans="2:50" ht="14.25" customHeight="1">
      <c r="B83" s="537"/>
      <c r="C83" s="537"/>
      <c r="D83" s="537"/>
      <c r="E83" s="537"/>
      <c r="F83" s="537"/>
      <c r="G83" s="537"/>
      <c r="H83" s="537"/>
      <c r="I83" s="537"/>
      <c r="J83" s="537"/>
      <c r="K83" s="537"/>
      <c r="L83" s="537"/>
      <c r="M83" s="538"/>
      <c r="N83" s="565"/>
      <c r="O83" s="565"/>
      <c r="P83" s="559">
        <f>P82</f>
        <v>46105</v>
      </c>
      <c r="Q83" s="559"/>
      <c r="R83" s="559"/>
      <c r="S83" s="559"/>
      <c r="T83" s="559"/>
      <c r="U83" s="560">
        <f>U82</f>
        <v>46106</v>
      </c>
      <c r="V83" s="560"/>
      <c r="W83" s="560"/>
      <c r="X83" s="560"/>
      <c r="Y83" s="560"/>
      <c r="Z83" s="559">
        <f t="shared" ref="Z83" si="45">Z82</f>
        <v>46107</v>
      </c>
      <c r="AA83" s="559"/>
      <c r="AB83" s="559"/>
      <c r="AC83" s="559"/>
      <c r="AD83" s="559"/>
      <c r="AE83" s="560">
        <f t="shared" ref="AE83" si="46">AE82</f>
        <v>46108</v>
      </c>
      <c r="AF83" s="560"/>
      <c r="AG83" s="560"/>
      <c r="AH83" s="560"/>
      <c r="AI83" s="560"/>
      <c r="AJ83" s="561">
        <f t="shared" ref="AJ83" si="47">AJ82</f>
        <v>46109</v>
      </c>
      <c r="AK83" s="562"/>
      <c r="AL83" s="562"/>
      <c r="AM83" s="562"/>
      <c r="AN83" s="563"/>
      <c r="AO83" s="560">
        <f t="shared" ref="AO83" si="48">AO82</f>
        <v>46110</v>
      </c>
      <c r="AP83" s="560"/>
      <c r="AQ83" s="560"/>
      <c r="AR83" s="560"/>
      <c r="AS83" s="560"/>
      <c r="AT83" s="561">
        <f t="shared" ref="AT83" si="49">AT82</f>
        <v>46111</v>
      </c>
      <c r="AU83" s="562"/>
      <c r="AV83" s="562"/>
      <c r="AW83" s="562"/>
      <c r="AX83" s="563"/>
    </row>
    <row r="84" spans="2:50" ht="14.25" customHeight="1">
      <c r="B84" s="525" t="s">
        <v>164</v>
      </c>
      <c r="C84" s="525" t="s">
        <v>159</v>
      </c>
      <c r="D84" s="525"/>
      <c r="E84" s="525" t="s">
        <v>160</v>
      </c>
      <c r="F84" s="525"/>
      <c r="G84" s="525"/>
      <c r="H84" s="525" t="s">
        <v>165</v>
      </c>
      <c r="I84" s="544" t="s">
        <v>379</v>
      </c>
      <c r="J84" s="544"/>
      <c r="K84" s="544"/>
      <c r="L84" s="544" t="s">
        <v>165</v>
      </c>
      <c r="M84" s="544" t="s">
        <v>167</v>
      </c>
      <c r="N84" s="525"/>
      <c r="O84" s="525" t="s">
        <v>166</v>
      </c>
      <c r="P84" s="525" t="s">
        <v>162</v>
      </c>
      <c r="Q84" s="525"/>
      <c r="R84" s="525"/>
      <c r="S84" s="525"/>
      <c r="T84" s="525" t="s">
        <v>165</v>
      </c>
      <c r="U84" s="525" t="s">
        <v>162</v>
      </c>
      <c r="V84" s="525"/>
      <c r="W84" s="525"/>
      <c r="X84" s="525"/>
      <c r="Y84" s="525" t="s">
        <v>165</v>
      </c>
      <c r="Z84" s="525" t="s">
        <v>162</v>
      </c>
      <c r="AA84" s="525"/>
      <c r="AB84" s="525"/>
      <c r="AC84" s="525"/>
      <c r="AD84" s="525" t="s">
        <v>165</v>
      </c>
      <c r="AE84" s="525" t="s">
        <v>162</v>
      </c>
      <c r="AF84" s="525"/>
      <c r="AG84" s="525"/>
      <c r="AH84" s="525"/>
      <c r="AI84" s="525" t="s">
        <v>165</v>
      </c>
      <c r="AJ84" s="525" t="s">
        <v>162</v>
      </c>
      <c r="AK84" s="525"/>
      <c r="AL84" s="525"/>
      <c r="AM84" s="525"/>
      <c r="AN84" s="525" t="s">
        <v>165</v>
      </c>
      <c r="AO84" s="525" t="s">
        <v>162</v>
      </c>
      <c r="AP84" s="525"/>
      <c r="AQ84" s="525"/>
      <c r="AR84" s="525"/>
      <c r="AS84" s="525" t="s">
        <v>165</v>
      </c>
      <c r="AT84" s="525" t="s">
        <v>162</v>
      </c>
      <c r="AU84" s="525"/>
      <c r="AV84" s="525"/>
      <c r="AW84" s="525"/>
      <c r="AX84" s="525" t="s">
        <v>165</v>
      </c>
    </row>
    <row r="85" spans="2:50" ht="14.25" customHeight="1">
      <c r="B85" s="525"/>
      <c r="C85" s="525"/>
      <c r="D85" s="525"/>
      <c r="E85" s="525" t="s">
        <v>380</v>
      </c>
      <c r="F85" s="525"/>
      <c r="G85" s="525"/>
      <c r="H85" s="525"/>
      <c r="I85" s="544" t="s">
        <v>380</v>
      </c>
      <c r="J85" s="544"/>
      <c r="K85" s="544"/>
      <c r="L85" s="544"/>
      <c r="M85" s="544"/>
      <c r="N85" s="525"/>
      <c r="O85" s="525"/>
      <c r="P85" s="525" t="s">
        <v>381</v>
      </c>
      <c r="Q85" s="525"/>
      <c r="R85" s="525"/>
      <c r="S85" s="525"/>
      <c r="T85" s="525"/>
      <c r="U85" s="525" t="s">
        <v>381</v>
      </c>
      <c r="V85" s="525"/>
      <c r="W85" s="525"/>
      <c r="X85" s="525"/>
      <c r="Y85" s="525"/>
      <c r="Z85" s="525" t="s">
        <v>381</v>
      </c>
      <c r="AA85" s="525"/>
      <c r="AB85" s="525"/>
      <c r="AC85" s="525"/>
      <c r="AD85" s="525"/>
      <c r="AE85" s="525" t="s">
        <v>381</v>
      </c>
      <c r="AF85" s="525"/>
      <c r="AG85" s="525"/>
      <c r="AH85" s="525"/>
      <c r="AI85" s="525"/>
      <c r="AJ85" s="525" t="s">
        <v>381</v>
      </c>
      <c r="AK85" s="525"/>
      <c r="AL85" s="525"/>
      <c r="AM85" s="525"/>
      <c r="AN85" s="525"/>
      <c r="AO85" s="525" t="s">
        <v>381</v>
      </c>
      <c r="AP85" s="525"/>
      <c r="AQ85" s="525"/>
      <c r="AR85" s="525"/>
      <c r="AS85" s="525"/>
      <c r="AT85" s="525" t="s">
        <v>381</v>
      </c>
      <c r="AU85" s="525"/>
      <c r="AV85" s="525"/>
      <c r="AW85" s="525"/>
      <c r="AX85" s="525"/>
    </row>
    <row r="86" spans="2:50" ht="14.25" customHeight="1">
      <c r="B86" s="525"/>
      <c r="C86" s="525"/>
      <c r="D86" s="525"/>
      <c r="E86" s="182" t="s">
        <v>161</v>
      </c>
      <c r="F86" s="182" t="s">
        <v>382</v>
      </c>
      <c r="G86" s="182" t="s">
        <v>163</v>
      </c>
      <c r="H86" s="525"/>
      <c r="I86" s="183" t="s">
        <v>161</v>
      </c>
      <c r="J86" s="183" t="s">
        <v>382</v>
      </c>
      <c r="K86" s="183" t="s">
        <v>163</v>
      </c>
      <c r="L86" s="544"/>
      <c r="M86" s="544"/>
      <c r="N86" s="525"/>
      <c r="O86" s="525"/>
      <c r="P86" s="182" t="s">
        <v>161</v>
      </c>
      <c r="Q86" s="182" t="s">
        <v>382</v>
      </c>
      <c r="R86" s="182" t="s">
        <v>163</v>
      </c>
      <c r="S86" s="184" t="s">
        <v>167</v>
      </c>
      <c r="T86" s="525"/>
      <c r="U86" s="182" t="s">
        <v>161</v>
      </c>
      <c r="V86" s="182" t="s">
        <v>382</v>
      </c>
      <c r="W86" s="182" t="s">
        <v>163</v>
      </c>
      <c r="X86" s="184" t="s">
        <v>167</v>
      </c>
      <c r="Y86" s="525"/>
      <c r="Z86" s="182" t="s">
        <v>161</v>
      </c>
      <c r="AA86" s="182" t="s">
        <v>382</v>
      </c>
      <c r="AB86" s="182" t="s">
        <v>163</v>
      </c>
      <c r="AC86" s="184" t="s">
        <v>167</v>
      </c>
      <c r="AD86" s="525"/>
      <c r="AE86" s="182" t="s">
        <v>161</v>
      </c>
      <c r="AF86" s="182" t="s">
        <v>382</v>
      </c>
      <c r="AG86" s="182" t="s">
        <v>163</v>
      </c>
      <c r="AH86" s="184" t="s">
        <v>167</v>
      </c>
      <c r="AI86" s="525"/>
      <c r="AJ86" s="182" t="s">
        <v>161</v>
      </c>
      <c r="AK86" s="182" t="s">
        <v>382</v>
      </c>
      <c r="AL86" s="182" t="s">
        <v>163</v>
      </c>
      <c r="AM86" s="184" t="s">
        <v>167</v>
      </c>
      <c r="AN86" s="525"/>
      <c r="AO86" s="182" t="s">
        <v>161</v>
      </c>
      <c r="AP86" s="182" t="s">
        <v>382</v>
      </c>
      <c r="AQ86" s="182" t="s">
        <v>163</v>
      </c>
      <c r="AR86" s="184" t="s">
        <v>167</v>
      </c>
      <c r="AS86" s="525"/>
      <c r="AT86" s="182" t="s">
        <v>161</v>
      </c>
      <c r="AU86" s="182" t="s">
        <v>382</v>
      </c>
      <c r="AV86" s="182" t="s">
        <v>163</v>
      </c>
      <c r="AW86" s="184" t="s">
        <v>167</v>
      </c>
      <c r="AX86" s="525"/>
    </row>
    <row r="87" spans="2:50" ht="14.25" customHeight="1">
      <c r="B87" s="525" t="s">
        <v>458</v>
      </c>
      <c r="C87" s="182">
        <v>1</v>
      </c>
      <c r="D87" s="185"/>
      <c r="E87" s="182"/>
      <c r="F87" s="182"/>
      <c r="G87" s="187"/>
      <c r="H87" s="554"/>
      <c r="I87" s="188"/>
      <c r="J87" s="188"/>
      <c r="K87" s="189"/>
      <c r="L87" s="555">
        <v>0</v>
      </c>
      <c r="M87" s="188" t="e">
        <f>RANK(K87, K$87:$K$101)</f>
        <v>#N/A</v>
      </c>
      <c r="N87" s="525"/>
      <c r="O87" s="525"/>
      <c r="P87" s="190"/>
      <c r="Q87" s="190"/>
      <c r="R87" s="187"/>
      <c r="S87" s="184"/>
      <c r="T87" s="554"/>
      <c r="U87" s="190"/>
      <c r="V87" s="190"/>
      <c r="W87" s="187"/>
      <c r="X87" s="184"/>
      <c r="Y87" s="554"/>
      <c r="Z87" s="190"/>
      <c r="AA87" s="190"/>
      <c r="AB87" s="187"/>
      <c r="AC87" s="184"/>
      <c r="AD87" s="554"/>
      <c r="AE87" s="190"/>
      <c r="AF87" s="190"/>
      <c r="AG87" s="187"/>
      <c r="AH87" s="184"/>
      <c r="AI87" s="554"/>
      <c r="AJ87" s="190"/>
      <c r="AK87" s="190"/>
      <c r="AL87" s="187"/>
      <c r="AM87" s="184"/>
      <c r="AN87" s="554"/>
      <c r="AO87" s="190"/>
      <c r="AP87" s="190"/>
      <c r="AQ87" s="187"/>
      <c r="AR87" s="184"/>
      <c r="AS87" s="554"/>
      <c r="AT87" s="190"/>
      <c r="AU87" s="190"/>
      <c r="AV87" s="187"/>
      <c r="AW87" s="184"/>
      <c r="AX87" s="554"/>
    </row>
    <row r="88" spans="2:50" ht="14.25" customHeight="1">
      <c r="B88" s="525"/>
      <c r="C88" s="182">
        <v>2</v>
      </c>
      <c r="D88" s="185"/>
      <c r="E88" s="182"/>
      <c r="F88" s="182"/>
      <c r="G88" s="187"/>
      <c r="H88" s="554"/>
      <c r="I88" s="188"/>
      <c r="J88" s="188"/>
      <c r="K88" s="189"/>
      <c r="L88" s="555"/>
      <c r="M88" s="188" t="e">
        <f>RANK(K88, K$87:$K$101)</f>
        <v>#N/A</v>
      </c>
      <c r="N88" s="525"/>
      <c r="O88" s="525"/>
      <c r="P88" s="190"/>
      <c r="Q88" s="190"/>
      <c r="R88" s="187"/>
      <c r="S88" s="184"/>
      <c r="T88" s="554"/>
      <c r="U88" s="190"/>
      <c r="V88" s="190"/>
      <c r="W88" s="187"/>
      <c r="X88" s="184"/>
      <c r="Y88" s="554"/>
      <c r="Z88" s="190"/>
      <c r="AA88" s="190"/>
      <c r="AB88" s="187"/>
      <c r="AC88" s="184"/>
      <c r="AD88" s="554"/>
      <c r="AE88" s="190"/>
      <c r="AF88" s="190"/>
      <c r="AG88" s="187"/>
      <c r="AH88" s="184"/>
      <c r="AI88" s="554"/>
      <c r="AJ88" s="190"/>
      <c r="AK88" s="190"/>
      <c r="AL88" s="187"/>
      <c r="AM88" s="184"/>
      <c r="AN88" s="554"/>
      <c r="AO88" s="190"/>
      <c r="AP88" s="190"/>
      <c r="AQ88" s="187"/>
      <c r="AR88" s="184"/>
      <c r="AS88" s="554"/>
      <c r="AT88" s="190"/>
      <c r="AU88" s="190"/>
      <c r="AV88" s="187"/>
      <c r="AW88" s="184"/>
      <c r="AX88" s="554"/>
    </row>
    <row r="89" spans="2:50" ht="14.25" customHeight="1">
      <c r="B89" s="525"/>
      <c r="C89" s="182">
        <v>3</v>
      </c>
      <c r="D89" s="185"/>
      <c r="E89" s="182"/>
      <c r="F89" s="182"/>
      <c r="G89" s="187"/>
      <c r="H89" s="554"/>
      <c r="I89" s="188"/>
      <c r="J89" s="188"/>
      <c r="K89" s="189"/>
      <c r="L89" s="555"/>
      <c r="M89" s="188"/>
      <c r="N89" s="525"/>
      <c r="O89" s="525"/>
      <c r="P89" s="190"/>
      <c r="Q89" s="190"/>
      <c r="R89" s="187"/>
      <c r="S89" s="184"/>
      <c r="T89" s="554"/>
      <c r="U89" s="190"/>
      <c r="V89" s="190"/>
      <c r="W89" s="187"/>
      <c r="X89" s="184"/>
      <c r="Y89" s="554"/>
      <c r="Z89" s="190"/>
      <c r="AA89" s="190"/>
      <c r="AB89" s="187"/>
      <c r="AC89" s="184"/>
      <c r="AD89" s="554"/>
      <c r="AE89" s="190"/>
      <c r="AF89" s="190"/>
      <c r="AG89" s="187"/>
      <c r="AH89" s="184"/>
      <c r="AI89" s="554"/>
      <c r="AJ89" s="190"/>
      <c r="AK89" s="190"/>
      <c r="AL89" s="187"/>
      <c r="AM89" s="184"/>
      <c r="AN89" s="554"/>
      <c r="AO89" s="190"/>
      <c r="AP89" s="190"/>
      <c r="AQ89" s="187"/>
      <c r="AR89" s="184"/>
      <c r="AS89" s="554"/>
      <c r="AT89" s="190"/>
      <c r="AU89" s="190"/>
      <c r="AV89" s="187"/>
      <c r="AW89" s="184"/>
      <c r="AX89" s="554"/>
    </row>
    <row r="90" spans="2:50" ht="14.25" customHeight="1">
      <c r="B90" s="525"/>
      <c r="C90" s="182">
        <v>4</v>
      </c>
      <c r="D90" s="185"/>
      <c r="E90" s="182"/>
      <c r="F90" s="182"/>
      <c r="G90" s="187"/>
      <c r="H90" s="554"/>
      <c r="I90" s="188"/>
      <c r="J90" s="188"/>
      <c r="K90" s="189"/>
      <c r="L90" s="555"/>
      <c r="M90" s="188"/>
      <c r="N90" s="525"/>
      <c r="O90" s="525"/>
      <c r="P90" s="190"/>
      <c r="Q90" s="190"/>
      <c r="R90" s="187"/>
      <c r="S90" s="184"/>
      <c r="T90" s="554"/>
      <c r="U90" s="190"/>
      <c r="V90" s="190"/>
      <c r="W90" s="187"/>
      <c r="X90" s="184"/>
      <c r="Y90" s="554"/>
      <c r="Z90" s="190"/>
      <c r="AA90" s="190"/>
      <c r="AB90" s="187"/>
      <c r="AC90" s="184"/>
      <c r="AD90" s="554"/>
      <c r="AE90" s="190"/>
      <c r="AF90" s="190"/>
      <c r="AG90" s="187"/>
      <c r="AH90" s="184"/>
      <c r="AI90" s="554"/>
      <c r="AJ90" s="190"/>
      <c r="AK90" s="190"/>
      <c r="AL90" s="187"/>
      <c r="AM90" s="184"/>
      <c r="AN90" s="554"/>
      <c r="AO90" s="190"/>
      <c r="AP90" s="190"/>
      <c r="AQ90" s="187"/>
      <c r="AR90" s="184"/>
      <c r="AS90" s="554"/>
      <c r="AT90" s="190"/>
      <c r="AU90" s="190"/>
      <c r="AV90" s="187"/>
      <c r="AW90" s="184"/>
      <c r="AX90" s="554"/>
    </row>
    <row r="91" spans="2:50" ht="14.25" customHeight="1">
      <c r="B91" s="525"/>
      <c r="C91" s="182">
        <v>5</v>
      </c>
      <c r="D91" s="185"/>
      <c r="E91" s="182"/>
      <c r="F91" s="182"/>
      <c r="G91" s="187"/>
      <c r="H91" s="554"/>
      <c r="I91" s="188"/>
      <c r="J91" s="188"/>
      <c r="K91" s="189"/>
      <c r="L91" s="555"/>
      <c r="M91" s="188"/>
      <c r="N91" s="525"/>
      <c r="O91" s="525"/>
      <c r="P91" s="190"/>
      <c r="Q91" s="190"/>
      <c r="R91" s="187"/>
      <c r="S91" s="184"/>
      <c r="T91" s="554"/>
      <c r="U91" s="190"/>
      <c r="V91" s="190"/>
      <c r="W91" s="187"/>
      <c r="X91" s="184"/>
      <c r="Y91" s="554"/>
      <c r="Z91" s="190"/>
      <c r="AA91" s="190"/>
      <c r="AB91" s="187"/>
      <c r="AC91" s="184"/>
      <c r="AD91" s="554"/>
      <c r="AE91" s="190"/>
      <c r="AF91" s="190"/>
      <c r="AG91" s="187"/>
      <c r="AH91" s="184"/>
      <c r="AI91" s="554"/>
      <c r="AJ91" s="190"/>
      <c r="AK91" s="190"/>
      <c r="AL91" s="187"/>
      <c r="AM91" s="184"/>
      <c r="AN91" s="554"/>
      <c r="AO91" s="190"/>
      <c r="AP91" s="190"/>
      <c r="AQ91" s="187"/>
      <c r="AR91" s="184"/>
      <c r="AS91" s="554"/>
      <c r="AT91" s="190"/>
      <c r="AU91" s="190"/>
      <c r="AV91" s="187"/>
      <c r="AW91" s="184"/>
      <c r="AX91" s="554"/>
    </row>
    <row r="92" spans="2:50" ht="14.25" customHeight="1">
      <c r="B92" s="525"/>
      <c r="C92" s="182">
        <v>6</v>
      </c>
      <c r="D92" s="185"/>
      <c r="E92" s="182"/>
      <c r="F92" s="182"/>
      <c r="G92" s="187"/>
      <c r="H92" s="554"/>
      <c r="I92" s="188"/>
      <c r="J92" s="188"/>
      <c r="K92" s="189"/>
      <c r="L92" s="555"/>
      <c r="M92" s="188"/>
      <c r="N92" s="525"/>
      <c r="O92" s="525"/>
      <c r="P92" s="190"/>
      <c r="Q92" s="190"/>
      <c r="R92" s="187"/>
      <c r="S92" s="184"/>
      <c r="T92" s="554"/>
      <c r="U92" s="190"/>
      <c r="V92" s="190"/>
      <c r="W92" s="187"/>
      <c r="X92" s="184"/>
      <c r="Y92" s="554"/>
      <c r="Z92" s="190"/>
      <c r="AA92" s="190"/>
      <c r="AB92" s="187"/>
      <c r="AC92" s="184"/>
      <c r="AD92" s="554"/>
      <c r="AE92" s="190"/>
      <c r="AF92" s="190"/>
      <c r="AG92" s="187"/>
      <c r="AH92" s="184"/>
      <c r="AI92" s="554"/>
      <c r="AJ92" s="190"/>
      <c r="AK92" s="190"/>
      <c r="AL92" s="187"/>
      <c r="AM92" s="184"/>
      <c r="AN92" s="554"/>
      <c r="AO92" s="190"/>
      <c r="AP92" s="190"/>
      <c r="AQ92" s="187"/>
      <c r="AR92" s="184"/>
      <c r="AS92" s="554"/>
      <c r="AT92" s="190"/>
      <c r="AU92" s="190"/>
      <c r="AV92" s="187"/>
      <c r="AW92" s="184"/>
      <c r="AX92" s="554"/>
    </row>
    <row r="93" spans="2:50" ht="14.25" customHeight="1">
      <c r="B93" s="525"/>
      <c r="C93" s="182">
        <v>7</v>
      </c>
      <c r="D93" s="185"/>
      <c r="E93" s="182"/>
      <c r="F93" s="182"/>
      <c r="G93" s="187"/>
      <c r="H93" s="554"/>
      <c r="I93" s="188"/>
      <c r="J93" s="188"/>
      <c r="K93" s="189"/>
      <c r="L93" s="555"/>
      <c r="M93" s="188"/>
      <c r="N93" s="525"/>
      <c r="O93" s="525"/>
      <c r="P93" s="190"/>
      <c r="Q93" s="190"/>
      <c r="R93" s="187"/>
      <c r="S93" s="184"/>
      <c r="T93" s="554"/>
      <c r="U93" s="190"/>
      <c r="V93" s="190"/>
      <c r="W93" s="187"/>
      <c r="X93" s="184"/>
      <c r="Y93" s="554"/>
      <c r="Z93" s="190"/>
      <c r="AA93" s="190"/>
      <c r="AB93" s="187"/>
      <c r="AC93" s="184"/>
      <c r="AD93" s="554"/>
      <c r="AE93" s="190"/>
      <c r="AF93" s="190"/>
      <c r="AG93" s="187"/>
      <c r="AH93" s="184"/>
      <c r="AI93" s="554"/>
      <c r="AJ93" s="190"/>
      <c r="AK93" s="190"/>
      <c r="AL93" s="187"/>
      <c r="AM93" s="184"/>
      <c r="AN93" s="554"/>
      <c r="AO93" s="190"/>
      <c r="AP93" s="190"/>
      <c r="AQ93" s="187"/>
      <c r="AR93" s="184"/>
      <c r="AS93" s="554"/>
      <c r="AT93" s="190"/>
      <c r="AU93" s="190"/>
      <c r="AV93" s="187"/>
      <c r="AW93" s="184"/>
      <c r="AX93" s="554"/>
    </row>
    <row r="94" spans="2:50" ht="14.25" customHeight="1">
      <c r="B94" s="525"/>
      <c r="C94" s="182">
        <v>8</v>
      </c>
      <c r="D94" s="185"/>
      <c r="E94" s="182"/>
      <c r="F94" s="182"/>
      <c r="G94" s="187"/>
      <c r="H94" s="554"/>
      <c r="I94" s="188"/>
      <c r="J94" s="188"/>
      <c r="K94" s="189"/>
      <c r="L94" s="555"/>
      <c r="M94" s="188"/>
      <c r="N94" s="525"/>
      <c r="O94" s="525"/>
      <c r="P94" s="190"/>
      <c r="Q94" s="190"/>
      <c r="R94" s="187"/>
      <c r="S94" s="184"/>
      <c r="T94" s="554"/>
      <c r="U94" s="190"/>
      <c r="V94" s="190"/>
      <c r="W94" s="187"/>
      <c r="X94" s="184"/>
      <c r="Y94" s="554"/>
      <c r="Z94" s="190"/>
      <c r="AA94" s="190"/>
      <c r="AB94" s="187"/>
      <c r="AC94" s="184"/>
      <c r="AD94" s="554"/>
      <c r="AE94" s="190"/>
      <c r="AF94" s="190"/>
      <c r="AG94" s="187"/>
      <c r="AH94" s="184"/>
      <c r="AI94" s="554"/>
      <c r="AJ94" s="190"/>
      <c r="AK94" s="190"/>
      <c r="AL94" s="187"/>
      <c r="AM94" s="184"/>
      <c r="AN94" s="554"/>
      <c r="AO94" s="190"/>
      <c r="AP94" s="190"/>
      <c r="AQ94" s="187"/>
      <c r="AR94" s="184"/>
      <c r="AS94" s="554"/>
      <c r="AT94" s="190"/>
      <c r="AU94" s="190"/>
      <c r="AV94" s="187"/>
      <c r="AW94" s="184"/>
      <c r="AX94" s="554"/>
    </row>
    <row r="95" spans="2:50" ht="14.25" customHeight="1">
      <c r="B95" s="525"/>
      <c r="C95" s="182">
        <v>9</v>
      </c>
      <c r="D95" s="185"/>
      <c r="E95" s="182"/>
      <c r="F95" s="182"/>
      <c r="G95" s="187"/>
      <c r="H95" s="554"/>
      <c r="I95" s="188"/>
      <c r="J95" s="188"/>
      <c r="K95" s="189"/>
      <c r="L95" s="555"/>
      <c r="M95" s="188"/>
      <c r="N95" s="525"/>
      <c r="O95" s="525"/>
      <c r="P95" s="190"/>
      <c r="Q95" s="190"/>
      <c r="R95" s="187"/>
      <c r="S95" s="184"/>
      <c r="T95" s="554"/>
      <c r="U95" s="190"/>
      <c r="V95" s="190"/>
      <c r="W95" s="187"/>
      <c r="X95" s="184"/>
      <c r="Y95" s="554"/>
      <c r="Z95" s="190"/>
      <c r="AA95" s="190"/>
      <c r="AB95" s="187"/>
      <c r="AC95" s="184"/>
      <c r="AD95" s="554"/>
      <c r="AE95" s="190"/>
      <c r="AF95" s="190"/>
      <c r="AG95" s="187"/>
      <c r="AH95" s="184"/>
      <c r="AI95" s="554"/>
      <c r="AJ95" s="190"/>
      <c r="AK95" s="190"/>
      <c r="AL95" s="187"/>
      <c r="AM95" s="184"/>
      <c r="AN95" s="554"/>
      <c r="AO95" s="190"/>
      <c r="AP95" s="190"/>
      <c r="AQ95" s="187"/>
      <c r="AR95" s="184"/>
      <c r="AS95" s="554"/>
      <c r="AT95" s="190"/>
      <c r="AU95" s="190"/>
      <c r="AV95" s="187"/>
      <c r="AW95" s="184"/>
      <c r="AX95" s="554"/>
    </row>
    <row r="96" spans="2:50" ht="14.25" customHeight="1">
      <c r="B96" s="525"/>
      <c r="C96" s="182">
        <v>10</v>
      </c>
      <c r="D96" s="185"/>
      <c r="E96" s="182"/>
      <c r="F96" s="182"/>
      <c r="G96" s="187"/>
      <c r="H96" s="554"/>
      <c r="I96" s="188"/>
      <c r="J96" s="188"/>
      <c r="K96" s="189"/>
      <c r="L96" s="555"/>
      <c r="M96" s="188"/>
      <c r="N96" s="525"/>
      <c r="O96" s="525"/>
      <c r="P96" s="190"/>
      <c r="Q96" s="190"/>
      <c r="R96" s="187"/>
      <c r="S96" s="184"/>
      <c r="T96" s="554"/>
      <c r="U96" s="190"/>
      <c r="V96" s="190"/>
      <c r="W96" s="187"/>
      <c r="X96" s="184"/>
      <c r="Y96" s="554"/>
      <c r="Z96" s="190"/>
      <c r="AA96" s="190"/>
      <c r="AB96" s="187"/>
      <c r="AC96" s="184"/>
      <c r="AD96" s="554"/>
      <c r="AE96" s="190"/>
      <c r="AF96" s="190"/>
      <c r="AG96" s="187"/>
      <c r="AH96" s="184"/>
      <c r="AI96" s="554"/>
      <c r="AJ96" s="190"/>
      <c r="AK96" s="190"/>
      <c r="AL96" s="187"/>
      <c r="AM96" s="184"/>
      <c r="AN96" s="554"/>
      <c r="AO96" s="190"/>
      <c r="AP96" s="190"/>
      <c r="AQ96" s="187"/>
      <c r="AR96" s="184"/>
      <c r="AS96" s="554"/>
      <c r="AT96" s="190"/>
      <c r="AU96" s="190"/>
      <c r="AV96" s="187"/>
      <c r="AW96" s="184"/>
      <c r="AX96" s="554"/>
    </row>
    <row r="97" spans="2:50" ht="14.25" customHeight="1">
      <c r="B97" s="525"/>
      <c r="C97" s="182">
        <v>11</v>
      </c>
      <c r="D97" s="185"/>
      <c r="E97" s="182"/>
      <c r="F97" s="182"/>
      <c r="G97" s="187"/>
      <c r="H97" s="554"/>
      <c r="I97" s="188"/>
      <c r="J97" s="188"/>
      <c r="K97" s="189"/>
      <c r="L97" s="555"/>
      <c r="M97" s="188"/>
      <c r="N97" s="525"/>
      <c r="O97" s="525"/>
      <c r="P97" s="190"/>
      <c r="Q97" s="190"/>
      <c r="R97" s="187"/>
      <c r="S97" s="184"/>
      <c r="T97" s="554"/>
      <c r="U97" s="190"/>
      <c r="V97" s="190"/>
      <c r="W97" s="187"/>
      <c r="X97" s="184"/>
      <c r="Y97" s="554"/>
      <c r="Z97" s="190"/>
      <c r="AA97" s="190"/>
      <c r="AB97" s="187"/>
      <c r="AC97" s="184"/>
      <c r="AD97" s="554"/>
      <c r="AE97" s="190"/>
      <c r="AF97" s="190"/>
      <c r="AG97" s="187"/>
      <c r="AH97" s="184"/>
      <c r="AI97" s="554"/>
      <c r="AJ97" s="190"/>
      <c r="AK97" s="190"/>
      <c r="AL97" s="187"/>
      <c r="AM97" s="184"/>
      <c r="AN97" s="554"/>
      <c r="AO97" s="190"/>
      <c r="AP97" s="190"/>
      <c r="AQ97" s="187"/>
      <c r="AR97" s="184"/>
      <c r="AS97" s="554"/>
      <c r="AT97" s="190"/>
      <c r="AU97" s="190"/>
      <c r="AV97" s="187"/>
      <c r="AW97" s="184"/>
      <c r="AX97" s="554"/>
    </row>
    <row r="98" spans="2:50" ht="14.25" customHeight="1">
      <c r="B98" s="525"/>
      <c r="C98" s="182">
        <v>12</v>
      </c>
      <c r="D98" s="185"/>
      <c r="E98" s="182"/>
      <c r="F98" s="182"/>
      <c r="G98" s="187"/>
      <c r="H98" s="554"/>
      <c r="I98" s="188"/>
      <c r="J98" s="188"/>
      <c r="K98" s="189"/>
      <c r="L98" s="555"/>
      <c r="M98" s="188"/>
      <c r="N98" s="525"/>
      <c r="O98" s="525"/>
      <c r="P98" s="190"/>
      <c r="Q98" s="190"/>
      <c r="R98" s="187"/>
      <c r="S98" s="184"/>
      <c r="T98" s="554"/>
      <c r="U98" s="190"/>
      <c r="V98" s="190"/>
      <c r="W98" s="187"/>
      <c r="X98" s="184"/>
      <c r="Y98" s="554"/>
      <c r="Z98" s="190"/>
      <c r="AA98" s="190"/>
      <c r="AB98" s="187"/>
      <c r="AC98" s="184"/>
      <c r="AD98" s="554"/>
      <c r="AE98" s="190"/>
      <c r="AF98" s="190"/>
      <c r="AG98" s="187"/>
      <c r="AH98" s="184"/>
      <c r="AI98" s="554"/>
      <c r="AJ98" s="190"/>
      <c r="AK98" s="190"/>
      <c r="AL98" s="187"/>
      <c r="AM98" s="184"/>
      <c r="AN98" s="554"/>
      <c r="AO98" s="190"/>
      <c r="AP98" s="190"/>
      <c r="AQ98" s="187"/>
      <c r="AR98" s="184"/>
      <c r="AS98" s="554"/>
      <c r="AT98" s="190"/>
      <c r="AU98" s="190"/>
      <c r="AV98" s="187"/>
      <c r="AW98" s="184"/>
      <c r="AX98" s="554"/>
    </row>
    <row r="99" spans="2:50" ht="14.25" customHeight="1">
      <c r="B99" s="525"/>
      <c r="C99" s="182">
        <v>13</v>
      </c>
      <c r="D99" s="185"/>
      <c r="E99" s="182"/>
      <c r="F99" s="182"/>
      <c r="G99" s="187"/>
      <c r="H99" s="554"/>
      <c r="I99" s="188"/>
      <c r="J99" s="188"/>
      <c r="K99" s="189"/>
      <c r="L99" s="555"/>
      <c r="M99" s="188"/>
      <c r="N99" s="525"/>
      <c r="O99" s="525"/>
      <c r="P99" s="190"/>
      <c r="Q99" s="190"/>
      <c r="R99" s="187"/>
      <c r="S99" s="184"/>
      <c r="T99" s="554"/>
      <c r="U99" s="190"/>
      <c r="V99" s="190"/>
      <c r="W99" s="187"/>
      <c r="X99" s="184"/>
      <c r="Y99" s="554"/>
      <c r="Z99" s="190"/>
      <c r="AA99" s="190"/>
      <c r="AB99" s="187"/>
      <c r="AC99" s="184"/>
      <c r="AD99" s="554"/>
      <c r="AE99" s="190"/>
      <c r="AF99" s="190"/>
      <c r="AG99" s="187"/>
      <c r="AH99" s="184"/>
      <c r="AI99" s="554"/>
      <c r="AJ99" s="190"/>
      <c r="AK99" s="190"/>
      <c r="AL99" s="187"/>
      <c r="AM99" s="184"/>
      <c r="AN99" s="554"/>
      <c r="AO99" s="190"/>
      <c r="AP99" s="190"/>
      <c r="AQ99" s="187"/>
      <c r="AR99" s="184"/>
      <c r="AS99" s="554"/>
      <c r="AT99" s="190"/>
      <c r="AU99" s="190"/>
      <c r="AV99" s="187"/>
      <c r="AW99" s="184"/>
      <c r="AX99" s="554"/>
    </row>
    <row r="100" spans="2:50" ht="14.25" customHeight="1">
      <c r="B100" s="525"/>
      <c r="C100" s="182">
        <v>14</v>
      </c>
      <c r="D100" s="185"/>
      <c r="E100" s="182"/>
      <c r="F100" s="182"/>
      <c r="G100" s="187"/>
      <c r="H100" s="554"/>
      <c r="I100" s="188"/>
      <c r="J100" s="188"/>
      <c r="K100" s="189"/>
      <c r="L100" s="555"/>
      <c r="M100" s="188"/>
      <c r="N100" s="525"/>
      <c r="O100" s="525"/>
      <c r="P100" s="190"/>
      <c r="Q100" s="190"/>
      <c r="R100" s="187"/>
      <c r="S100" s="184"/>
      <c r="T100" s="554"/>
      <c r="U100" s="190"/>
      <c r="V100" s="190"/>
      <c r="W100" s="187"/>
      <c r="X100" s="184"/>
      <c r="Y100" s="554"/>
      <c r="Z100" s="190"/>
      <c r="AA100" s="190"/>
      <c r="AB100" s="187"/>
      <c r="AC100" s="184"/>
      <c r="AD100" s="554"/>
      <c r="AE100" s="190"/>
      <c r="AF100" s="190"/>
      <c r="AG100" s="187"/>
      <c r="AH100" s="184"/>
      <c r="AI100" s="554"/>
      <c r="AJ100" s="190"/>
      <c r="AK100" s="190"/>
      <c r="AL100" s="187"/>
      <c r="AM100" s="184"/>
      <c r="AN100" s="554"/>
      <c r="AO100" s="190"/>
      <c r="AP100" s="190"/>
      <c r="AQ100" s="187"/>
      <c r="AR100" s="184"/>
      <c r="AS100" s="554"/>
      <c r="AT100" s="190"/>
      <c r="AU100" s="190"/>
      <c r="AV100" s="187"/>
      <c r="AW100" s="184"/>
      <c r="AX100" s="554"/>
    </row>
    <row r="101" spans="2:50" ht="14.25" customHeight="1">
      <c r="B101" s="525"/>
      <c r="C101" s="182">
        <v>15</v>
      </c>
      <c r="D101" s="185"/>
      <c r="E101" s="182"/>
      <c r="F101" s="182"/>
      <c r="G101" s="187"/>
      <c r="H101" s="554"/>
      <c r="I101" s="188"/>
      <c r="J101" s="188"/>
      <c r="K101" s="189"/>
      <c r="L101" s="555"/>
      <c r="M101" s="188"/>
      <c r="N101" s="525"/>
      <c r="O101" s="525"/>
      <c r="P101" s="190"/>
      <c r="Q101" s="190"/>
      <c r="R101" s="187"/>
      <c r="S101" s="184"/>
      <c r="T101" s="554"/>
      <c r="U101" s="190"/>
      <c r="V101" s="190"/>
      <c r="W101" s="187"/>
      <c r="X101" s="184"/>
      <c r="Y101" s="554"/>
      <c r="Z101" s="190"/>
      <c r="AA101" s="190"/>
      <c r="AB101" s="187"/>
      <c r="AC101" s="184"/>
      <c r="AD101" s="554"/>
      <c r="AE101" s="190"/>
      <c r="AF101" s="190"/>
      <c r="AG101" s="187"/>
      <c r="AH101" s="184"/>
      <c r="AI101" s="554"/>
      <c r="AJ101" s="190"/>
      <c r="AK101" s="190"/>
      <c r="AL101" s="187"/>
      <c r="AM101" s="184"/>
      <c r="AN101" s="554"/>
      <c r="AO101" s="190"/>
      <c r="AP101" s="190"/>
      <c r="AQ101" s="187"/>
      <c r="AR101" s="184"/>
      <c r="AS101" s="554"/>
      <c r="AT101" s="190"/>
      <c r="AU101" s="190"/>
      <c r="AV101" s="187"/>
      <c r="AW101" s="184"/>
      <c r="AX101" s="554"/>
    </row>
    <row r="102" spans="2:50" ht="14.25" customHeight="1" collapsed="1">
      <c r="B102" s="534" t="s">
        <v>650</v>
      </c>
      <c r="C102" s="535"/>
      <c r="D102" s="535"/>
      <c r="E102" s="535"/>
      <c r="F102" s="535"/>
      <c r="G102" s="535"/>
      <c r="H102" s="535"/>
      <c r="I102" s="535"/>
      <c r="J102" s="535"/>
      <c r="K102" s="535"/>
      <c r="L102" s="535"/>
      <c r="M102" s="536"/>
      <c r="N102" s="564" t="s">
        <v>378</v>
      </c>
      <c r="O102" s="564" t="s">
        <v>105</v>
      </c>
      <c r="P102" s="566">
        <f>AT82+1</f>
        <v>46112</v>
      </c>
      <c r="Q102" s="567"/>
      <c r="R102" s="567"/>
      <c r="S102" s="567"/>
      <c r="T102" s="567"/>
      <c r="U102" s="568">
        <f>P102+1</f>
        <v>46113</v>
      </c>
      <c r="V102" s="569"/>
      <c r="W102" s="569"/>
      <c r="X102" s="569"/>
      <c r="Y102" s="569"/>
      <c r="Z102" s="566">
        <f t="shared" ref="Z102" si="50">U102+1</f>
        <v>46114</v>
      </c>
      <c r="AA102" s="567"/>
      <c r="AB102" s="567"/>
      <c r="AC102" s="567"/>
      <c r="AD102" s="567"/>
      <c r="AE102" s="568">
        <f t="shared" ref="AE102" si="51">Z102+1</f>
        <v>46115</v>
      </c>
      <c r="AF102" s="569"/>
      <c r="AG102" s="569"/>
      <c r="AH102" s="569"/>
      <c r="AI102" s="569"/>
      <c r="AJ102" s="556">
        <f t="shared" ref="AJ102" si="52">AE102+1</f>
        <v>46116</v>
      </c>
      <c r="AK102" s="557"/>
      <c r="AL102" s="557"/>
      <c r="AM102" s="557"/>
      <c r="AN102" s="558"/>
      <c r="AO102" s="568">
        <f t="shared" ref="AO102" si="53">AJ102+1</f>
        <v>46117</v>
      </c>
      <c r="AP102" s="569"/>
      <c r="AQ102" s="569"/>
      <c r="AR102" s="569"/>
      <c r="AS102" s="569"/>
      <c r="AT102" s="556">
        <f t="shared" ref="AT102" si="54">AO102+1</f>
        <v>46118</v>
      </c>
      <c r="AU102" s="557"/>
      <c r="AV102" s="557"/>
      <c r="AW102" s="557"/>
      <c r="AX102" s="558"/>
    </row>
    <row r="103" spans="2:50" ht="14.25" customHeight="1">
      <c r="B103" s="537"/>
      <c r="C103" s="537"/>
      <c r="D103" s="537"/>
      <c r="E103" s="537"/>
      <c r="F103" s="537"/>
      <c r="G103" s="537"/>
      <c r="H103" s="537"/>
      <c r="I103" s="537"/>
      <c r="J103" s="537"/>
      <c r="K103" s="537"/>
      <c r="L103" s="537"/>
      <c r="M103" s="538"/>
      <c r="N103" s="565"/>
      <c r="O103" s="565"/>
      <c r="P103" s="559">
        <f>P102</f>
        <v>46112</v>
      </c>
      <c r="Q103" s="559"/>
      <c r="R103" s="559"/>
      <c r="S103" s="559"/>
      <c r="T103" s="559"/>
      <c r="U103" s="560">
        <f>U102</f>
        <v>46113</v>
      </c>
      <c r="V103" s="560"/>
      <c r="W103" s="560"/>
      <c r="X103" s="560"/>
      <c r="Y103" s="560"/>
      <c r="Z103" s="559">
        <f t="shared" ref="Z103" si="55">Z102</f>
        <v>46114</v>
      </c>
      <c r="AA103" s="559"/>
      <c r="AB103" s="559"/>
      <c r="AC103" s="559"/>
      <c r="AD103" s="559"/>
      <c r="AE103" s="560">
        <f t="shared" ref="AE103" si="56">AE102</f>
        <v>46115</v>
      </c>
      <c r="AF103" s="560"/>
      <c r="AG103" s="560"/>
      <c r="AH103" s="560"/>
      <c r="AI103" s="560"/>
      <c r="AJ103" s="561">
        <f t="shared" ref="AJ103" si="57">AJ102</f>
        <v>46116</v>
      </c>
      <c r="AK103" s="562"/>
      <c r="AL103" s="562"/>
      <c r="AM103" s="562"/>
      <c r="AN103" s="563"/>
      <c r="AO103" s="560">
        <f t="shared" ref="AO103" si="58">AO102</f>
        <v>46117</v>
      </c>
      <c r="AP103" s="560"/>
      <c r="AQ103" s="560"/>
      <c r="AR103" s="560"/>
      <c r="AS103" s="560"/>
      <c r="AT103" s="561">
        <f t="shared" ref="AT103" si="59">AT102</f>
        <v>46118</v>
      </c>
      <c r="AU103" s="562"/>
      <c r="AV103" s="562"/>
      <c r="AW103" s="562"/>
      <c r="AX103" s="563"/>
    </row>
    <row r="104" spans="2:50" ht="14.25" customHeight="1">
      <c r="B104" s="525" t="s">
        <v>164</v>
      </c>
      <c r="C104" s="525" t="s">
        <v>159</v>
      </c>
      <c r="D104" s="525"/>
      <c r="E104" s="525" t="s">
        <v>160</v>
      </c>
      <c r="F104" s="525"/>
      <c r="G104" s="525"/>
      <c r="H104" s="525" t="s">
        <v>165</v>
      </c>
      <c r="I104" s="544" t="s">
        <v>379</v>
      </c>
      <c r="J104" s="544"/>
      <c r="K104" s="544"/>
      <c r="L104" s="544" t="s">
        <v>165</v>
      </c>
      <c r="M104" s="544" t="s">
        <v>167</v>
      </c>
      <c r="N104" s="525"/>
      <c r="O104" s="525" t="s">
        <v>166</v>
      </c>
      <c r="P104" s="525" t="s">
        <v>162</v>
      </c>
      <c r="Q104" s="525"/>
      <c r="R104" s="525"/>
      <c r="S104" s="525"/>
      <c r="T104" s="525" t="s">
        <v>165</v>
      </c>
      <c r="U104" s="525" t="s">
        <v>162</v>
      </c>
      <c r="V104" s="525"/>
      <c r="W104" s="525"/>
      <c r="X104" s="525"/>
      <c r="Y104" s="525" t="s">
        <v>165</v>
      </c>
      <c r="Z104" s="525" t="s">
        <v>162</v>
      </c>
      <c r="AA104" s="525"/>
      <c r="AB104" s="525"/>
      <c r="AC104" s="525"/>
      <c r="AD104" s="525" t="s">
        <v>165</v>
      </c>
      <c r="AE104" s="525" t="s">
        <v>162</v>
      </c>
      <c r="AF104" s="525"/>
      <c r="AG104" s="525"/>
      <c r="AH104" s="525"/>
      <c r="AI104" s="525" t="s">
        <v>165</v>
      </c>
      <c r="AJ104" s="525" t="s">
        <v>162</v>
      </c>
      <c r="AK104" s="525"/>
      <c r="AL104" s="525"/>
      <c r="AM104" s="525"/>
      <c r="AN104" s="525" t="s">
        <v>165</v>
      </c>
      <c r="AO104" s="525" t="s">
        <v>162</v>
      </c>
      <c r="AP104" s="525"/>
      <c r="AQ104" s="525"/>
      <c r="AR104" s="525"/>
      <c r="AS104" s="525" t="s">
        <v>165</v>
      </c>
      <c r="AT104" s="525" t="s">
        <v>162</v>
      </c>
      <c r="AU104" s="525"/>
      <c r="AV104" s="525"/>
      <c r="AW104" s="525"/>
      <c r="AX104" s="525" t="s">
        <v>165</v>
      </c>
    </row>
    <row r="105" spans="2:50" ht="14.25" customHeight="1">
      <c r="B105" s="525"/>
      <c r="C105" s="525"/>
      <c r="D105" s="525"/>
      <c r="E105" s="525" t="s">
        <v>380</v>
      </c>
      <c r="F105" s="525"/>
      <c r="G105" s="525"/>
      <c r="H105" s="525"/>
      <c r="I105" s="544" t="s">
        <v>380</v>
      </c>
      <c r="J105" s="544"/>
      <c r="K105" s="544"/>
      <c r="L105" s="544"/>
      <c r="M105" s="544"/>
      <c r="N105" s="525"/>
      <c r="O105" s="525"/>
      <c r="P105" s="525" t="s">
        <v>381</v>
      </c>
      <c r="Q105" s="525"/>
      <c r="R105" s="525"/>
      <c r="S105" s="525"/>
      <c r="T105" s="525"/>
      <c r="U105" s="525" t="s">
        <v>381</v>
      </c>
      <c r="V105" s="525"/>
      <c r="W105" s="525"/>
      <c r="X105" s="525"/>
      <c r="Y105" s="525"/>
      <c r="Z105" s="525" t="s">
        <v>381</v>
      </c>
      <c r="AA105" s="525"/>
      <c r="AB105" s="525"/>
      <c r="AC105" s="525"/>
      <c r="AD105" s="525"/>
      <c r="AE105" s="525" t="s">
        <v>381</v>
      </c>
      <c r="AF105" s="525"/>
      <c r="AG105" s="525"/>
      <c r="AH105" s="525"/>
      <c r="AI105" s="525"/>
      <c r="AJ105" s="525" t="s">
        <v>381</v>
      </c>
      <c r="AK105" s="525"/>
      <c r="AL105" s="525"/>
      <c r="AM105" s="525"/>
      <c r="AN105" s="525"/>
      <c r="AO105" s="525" t="s">
        <v>381</v>
      </c>
      <c r="AP105" s="525"/>
      <c r="AQ105" s="525"/>
      <c r="AR105" s="525"/>
      <c r="AS105" s="525"/>
      <c r="AT105" s="525" t="s">
        <v>381</v>
      </c>
      <c r="AU105" s="525"/>
      <c r="AV105" s="525"/>
      <c r="AW105" s="525"/>
      <c r="AX105" s="525"/>
    </row>
    <row r="106" spans="2:50" ht="14.25" customHeight="1">
      <c r="B106" s="525"/>
      <c r="C106" s="525"/>
      <c r="D106" s="525"/>
      <c r="E106" s="182" t="s">
        <v>161</v>
      </c>
      <c r="F106" s="182" t="s">
        <v>382</v>
      </c>
      <c r="G106" s="182" t="s">
        <v>163</v>
      </c>
      <c r="H106" s="525"/>
      <c r="I106" s="183" t="s">
        <v>161</v>
      </c>
      <c r="J106" s="183" t="s">
        <v>382</v>
      </c>
      <c r="K106" s="183" t="s">
        <v>163</v>
      </c>
      <c r="L106" s="544"/>
      <c r="M106" s="544"/>
      <c r="N106" s="525"/>
      <c r="O106" s="525"/>
      <c r="P106" s="182" t="s">
        <v>161</v>
      </c>
      <c r="Q106" s="182" t="s">
        <v>382</v>
      </c>
      <c r="R106" s="182" t="s">
        <v>163</v>
      </c>
      <c r="S106" s="184" t="s">
        <v>167</v>
      </c>
      <c r="T106" s="525"/>
      <c r="U106" s="182" t="s">
        <v>161</v>
      </c>
      <c r="V106" s="182" t="s">
        <v>382</v>
      </c>
      <c r="W106" s="182" t="s">
        <v>163</v>
      </c>
      <c r="X106" s="184" t="s">
        <v>167</v>
      </c>
      <c r="Y106" s="525"/>
      <c r="Z106" s="182" t="s">
        <v>161</v>
      </c>
      <c r="AA106" s="182" t="s">
        <v>382</v>
      </c>
      <c r="AB106" s="182" t="s">
        <v>163</v>
      </c>
      <c r="AC106" s="184" t="s">
        <v>167</v>
      </c>
      <c r="AD106" s="525"/>
      <c r="AE106" s="182" t="s">
        <v>161</v>
      </c>
      <c r="AF106" s="182" t="s">
        <v>382</v>
      </c>
      <c r="AG106" s="182" t="s">
        <v>163</v>
      </c>
      <c r="AH106" s="184" t="s">
        <v>167</v>
      </c>
      <c r="AI106" s="525"/>
      <c r="AJ106" s="182" t="s">
        <v>161</v>
      </c>
      <c r="AK106" s="182" t="s">
        <v>382</v>
      </c>
      <c r="AL106" s="182" t="s">
        <v>163</v>
      </c>
      <c r="AM106" s="184" t="s">
        <v>167</v>
      </c>
      <c r="AN106" s="525"/>
      <c r="AO106" s="182" t="s">
        <v>161</v>
      </c>
      <c r="AP106" s="182" t="s">
        <v>382</v>
      </c>
      <c r="AQ106" s="182" t="s">
        <v>163</v>
      </c>
      <c r="AR106" s="184" t="s">
        <v>167</v>
      </c>
      <c r="AS106" s="525"/>
      <c r="AT106" s="182" t="s">
        <v>161</v>
      </c>
      <c r="AU106" s="182" t="s">
        <v>382</v>
      </c>
      <c r="AV106" s="182" t="s">
        <v>163</v>
      </c>
      <c r="AW106" s="184" t="s">
        <v>167</v>
      </c>
      <c r="AX106" s="525"/>
    </row>
    <row r="107" spans="2:50" ht="14.25" customHeight="1">
      <c r="B107" s="525" t="s">
        <v>458</v>
      </c>
      <c r="C107" s="182">
        <v>1</v>
      </c>
      <c r="D107" s="185"/>
      <c r="E107" s="182"/>
      <c r="F107" s="182"/>
      <c r="G107" s="187"/>
      <c r="H107" s="554"/>
      <c r="I107" s="188"/>
      <c r="J107" s="188"/>
      <c r="K107" s="189"/>
      <c r="L107" s="555">
        <v>0</v>
      </c>
      <c r="M107" s="188" t="e">
        <f>RANK(K107, K$87:$K$101)</f>
        <v>#N/A</v>
      </c>
      <c r="N107" s="525"/>
      <c r="O107" s="525"/>
      <c r="P107" s="190"/>
      <c r="Q107" s="190"/>
      <c r="R107" s="187"/>
      <c r="S107" s="184"/>
      <c r="T107" s="554"/>
      <c r="U107" s="190"/>
      <c r="V107" s="190"/>
      <c r="W107" s="187"/>
      <c r="X107" s="184"/>
      <c r="Y107" s="554"/>
      <c r="Z107" s="190"/>
      <c r="AA107" s="190"/>
      <c r="AB107" s="187"/>
      <c r="AC107" s="184"/>
      <c r="AD107" s="554"/>
      <c r="AE107" s="190"/>
      <c r="AF107" s="190"/>
      <c r="AG107" s="187"/>
      <c r="AH107" s="184"/>
      <c r="AI107" s="554"/>
      <c r="AJ107" s="190"/>
      <c r="AK107" s="190"/>
      <c r="AL107" s="187"/>
      <c r="AM107" s="184"/>
      <c r="AN107" s="554"/>
      <c r="AO107" s="190"/>
      <c r="AP107" s="190"/>
      <c r="AQ107" s="187"/>
      <c r="AR107" s="184"/>
      <c r="AS107" s="554"/>
      <c r="AT107" s="190"/>
      <c r="AU107" s="190"/>
      <c r="AV107" s="187"/>
      <c r="AW107" s="184"/>
      <c r="AX107" s="554"/>
    </row>
    <row r="108" spans="2:50" ht="14.25" customHeight="1">
      <c r="B108" s="525"/>
      <c r="C108" s="182">
        <v>2</v>
      </c>
      <c r="D108" s="185"/>
      <c r="E108" s="182"/>
      <c r="F108" s="182"/>
      <c r="G108" s="187"/>
      <c r="H108" s="554"/>
      <c r="I108" s="188"/>
      <c r="J108" s="188"/>
      <c r="K108" s="189"/>
      <c r="L108" s="555"/>
      <c r="M108" s="188" t="e">
        <f>RANK(K108, K$87:$K$101)</f>
        <v>#N/A</v>
      </c>
      <c r="N108" s="525"/>
      <c r="O108" s="525"/>
      <c r="P108" s="190"/>
      <c r="Q108" s="190"/>
      <c r="R108" s="187"/>
      <c r="S108" s="184"/>
      <c r="T108" s="554"/>
      <c r="U108" s="190"/>
      <c r="V108" s="190"/>
      <c r="W108" s="187"/>
      <c r="X108" s="184"/>
      <c r="Y108" s="554"/>
      <c r="Z108" s="190"/>
      <c r="AA108" s="190"/>
      <c r="AB108" s="187"/>
      <c r="AC108" s="184"/>
      <c r="AD108" s="554"/>
      <c r="AE108" s="190"/>
      <c r="AF108" s="190"/>
      <c r="AG108" s="187"/>
      <c r="AH108" s="184"/>
      <c r="AI108" s="554"/>
      <c r="AJ108" s="190"/>
      <c r="AK108" s="190"/>
      <c r="AL108" s="187"/>
      <c r="AM108" s="184"/>
      <c r="AN108" s="554"/>
      <c r="AO108" s="190"/>
      <c r="AP108" s="190"/>
      <c r="AQ108" s="187"/>
      <c r="AR108" s="184"/>
      <c r="AS108" s="554"/>
      <c r="AT108" s="190"/>
      <c r="AU108" s="190"/>
      <c r="AV108" s="187"/>
      <c r="AW108" s="184"/>
      <c r="AX108" s="554"/>
    </row>
    <row r="109" spans="2:50" ht="14.25" customHeight="1">
      <c r="B109" s="525"/>
      <c r="C109" s="182">
        <v>3</v>
      </c>
      <c r="D109" s="185"/>
      <c r="E109" s="182"/>
      <c r="F109" s="182"/>
      <c r="G109" s="187"/>
      <c r="H109" s="554"/>
      <c r="I109" s="188"/>
      <c r="J109" s="188"/>
      <c r="K109" s="189"/>
      <c r="L109" s="555"/>
      <c r="M109" s="188"/>
      <c r="N109" s="525"/>
      <c r="O109" s="525"/>
      <c r="P109" s="190"/>
      <c r="Q109" s="190"/>
      <c r="R109" s="187"/>
      <c r="S109" s="184"/>
      <c r="T109" s="554"/>
      <c r="U109" s="190"/>
      <c r="V109" s="190"/>
      <c r="W109" s="187"/>
      <c r="X109" s="184"/>
      <c r="Y109" s="554"/>
      <c r="Z109" s="190"/>
      <c r="AA109" s="190"/>
      <c r="AB109" s="187"/>
      <c r="AC109" s="184"/>
      <c r="AD109" s="554"/>
      <c r="AE109" s="190"/>
      <c r="AF109" s="190"/>
      <c r="AG109" s="187"/>
      <c r="AH109" s="184"/>
      <c r="AI109" s="554"/>
      <c r="AJ109" s="190"/>
      <c r="AK109" s="190"/>
      <c r="AL109" s="187"/>
      <c r="AM109" s="184"/>
      <c r="AN109" s="554"/>
      <c r="AO109" s="190"/>
      <c r="AP109" s="190"/>
      <c r="AQ109" s="187"/>
      <c r="AR109" s="184"/>
      <c r="AS109" s="554"/>
      <c r="AT109" s="190"/>
      <c r="AU109" s="190"/>
      <c r="AV109" s="187"/>
      <c r="AW109" s="184"/>
      <c r="AX109" s="554"/>
    </row>
    <row r="110" spans="2:50" ht="14.25" customHeight="1">
      <c r="B110" s="525"/>
      <c r="C110" s="182">
        <v>4</v>
      </c>
      <c r="D110" s="185"/>
      <c r="E110" s="182"/>
      <c r="F110" s="182"/>
      <c r="G110" s="187"/>
      <c r="H110" s="554"/>
      <c r="I110" s="188"/>
      <c r="J110" s="188"/>
      <c r="K110" s="189"/>
      <c r="L110" s="555"/>
      <c r="M110" s="188"/>
      <c r="N110" s="525"/>
      <c r="O110" s="525"/>
      <c r="P110" s="190"/>
      <c r="Q110" s="190"/>
      <c r="R110" s="187"/>
      <c r="S110" s="184"/>
      <c r="T110" s="554"/>
      <c r="U110" s="190"/>
      <c r="V110" s="190"/>
      <c r="W110" s="187"/>
      <c r="X110" s="184"/>
      <c r="Y110" s="554"/>
      <c r="Z110" s="190"/>
      <c r="AA110" s="190"/>
      <c r="AB110" s="187"/>
      <c r="AC110" s="184"/>
      <c r="AD110" s="554"/>
      <c r="AE110" s="190"/>
      <c r="AF110" s="190"/>
      <c r="AG110" s="187"/>
      <c r="AH110" s="184"/>
      <c r="AI110" s="554"/>
      <c r="AJ110" s="190"/>
      <c r="AK110" s="190"/>
      <c r="AL110" s="187"/>
      <c r="AM110" s="184"/>
      <c r="AN110" s="554"/>
      <c r="AO110" s="190"/>
      <c r="AP110" s="190"/>
      <c r="AQ110" s="187"/>
      <c r="AR110" s="184"/>
      <c r="AS110" s="554"/>
      <c r="AT110" s="190"/>
      <c r="AU110" s="190"/>
      <c r="AV110" s="187"/>
      <c r="AW110" s="184"/>
      <c r="AX110" s="554"/>
    </row>
    <row r="111" spans="2:50" ht="14.25" customHeight="1">
      <c r="B111" s="525"/>
      <c r="C111" s="182">
        <v>5</v>
      </c>
      <c r="D111" s="185"/>
      <c r="E111" s="182"/>
      <c r="F111" s="182"/>
      <c r="G111" s="187"/>
      <c r="H111" s="554"/>
      <c r="I111" s="188"/>
      <c r="J111" s="188"/>
      <c r="K111" s="189"/>
      <c r="L111" s="555"/>
      <c r="M111" s="188"/>
      <c r="N111" s="525"/>
      <c r="O111" s="525"/>
      <c r="P111" s="190"/>
      <c r="Q111" s="190"/>
      <c r="R111" s="187"/>
      <c r="S111" s="184"/>
      <c r="T111" s="554"/>
      <c r="U111" s="190"/>
      <c r="V111" s="190"/>
      <c r="W111" s="187"/>
      <c r="X111" s="184"/>
      <c r="Y111" s="554"/>
      <c r="Z111" s="190"/>
      <c r="AA111" s="190"/>
      <c r="AB111" s="187"/>
      <c r="AC111" s="184"/>
      <c r="AD111" s="554"/>
      <c r="AE111" s="190"/>
      <c r="AF111" s="190"/>
      <c r="AG111" s="187"/>
      <c r="AH111" s="184"/>
      <c r="AI111" s="554"/>
      <c r="AJ111" s="190"/>
      <c r="AK111" s="190"/>
      <c r="AL111" s="187"/>
      <c r="AM111" s="184"/>
      <c r="AN111" s="554"/>
      <c r="AO111" s="190"/>
      <c r="AP111" s="190"/>
      <c r="AQ111" s="187"/>
      <c r="AR111" s="184"/>
      <c r="AS111" s="554"/>
      <c r="AT111" s="190"/>
      <c r="AU111" s="190"/>
      <c r="AV111" s="187"/>
      <c r="AW111" s="184"/>
      <c r="AX111" s="554"/>
    </row>
    <row r="112" spans="2:50" ht="14.25" customHeight="1">
      <c r="B112" s="525"/>
      <c r="C112" s="182">
        <v>6</v>
      </c>
      <c r="D112" s="185"/>
      <c r="E112" s="182"/>
      <c r="F112" s="182"/>
      <c r="G112" s="187"/>
      <c r="H112" s="554"/>
      <c r="I112" s="188"/>
      <c r="J112" s="188"/>
      <c r="K112" s="189"/>
      <c r="L112" s="555"/>
      <c r="M112" s="188"/>
      <c r="N112" s="525"/>
      <c r="O112" s="525"/>
      <c r="P112" s="190"/>
      <c r="Q112" s="190"/>
      <c r="R112" s="187"/>
      <c r="S112" s="184"/>
      <c r="T112" s="554"/>
      <c r="U112" s="190"/>
      <c r="V112" s="190"/>
      <c r="W112" s="187"/>
      <c r="X112" s="184"/>
      <c r="Y112" s="554"/>
      <c r="Z112" s="190"/>
      <c r="AA112" s="190"/>
      <c r="AB112" s="187"/>
      <c r="AC112" s="184"/>
      <c r="AD112" s="554"/>
      <c r="AE112" s="190"/>
      <c r="AF112" s="190"/>
      <c r="AG112" s="187"/>
      <c r="AH112" s="184"/>
      <c r="AI112" s="554"/>
      <c r="AJ112" s="190"/>
      <c r="AK112" s="190"/>
      <c r="AL112" s="187"/>
      <c r="AM112" s="184"/>
      <c r="AN112" s="554"/>
      <c r="AO112" s="190"/>
      <c r="AP112" s="190"/>
      <c r="AQ112" s="187"/>
      <c r="AR112" s="184"/>
      <c r="AS112" s="554"/>
      <c r="AT112" s="190"/>
      <c r="AU112" s="190"/>
      <c r="AV112" s="187"/>
      <c r="AW112" s="184"/>
      <c r="AX112" s="554"/>
    </row>
    <row r="113" spans="2:50" ht="14.25" customHeight="1">
      <c r="B113" s="525"/>
      <c r="C113" s="182">
        <v>7</v>
      </c>
      <c r="D113" s="185"/>
      <c r="E113" s="182"/>
      <c r="F113" s="182"/>
      <c r="G113" s="187"/>
      <c r="H113" s="554"/>
      <c r="I113" s="188"/>
      <c r="J113" s="188"/>
      <c r="K113" s="189"/>
      <c r="L113" s="555"/>
      <c r="M113" s="188"/>
      <c r="N113" s="525"/>
      <c r="O113" s="525"/>
      <c r="P113" s="190"/>
      <c r="Q113" s="190"/>
      <c r="R113" s="187"/>
      <c r="S113" s="184"/>
      <c r="T113" s="554"/>
      <c r="U113" s="190"/>
      <c r="V113" s="190"/>
      <c r="W113" s="187"/>
      <c r="X113" s="184"/>
      <c r="Y113" s="554"/>
      <c r="Z113" s="190"/>
      <c r="AA113" s="190"/>
      <c r="AB113" s="187"/>
      <c r="AC113" s="184"/>
      <c r="AD113" s="554"/>
      <c r="AE113" s="190"/>
      <c r="AF113" s="190"/>
      <c r="AG113" s="187"/>
      <c r="AH113" s="184"/>
      <c r="AI113" s="554"/>
      <c r="AJ113" s="190"/>
      <c r="AK113" s="190"/>
      <c r="AL113" s="187"/>
      <c r="AM113" s="184"/>
      <c r="AN113" s="554"/>
      <c r="AO113" s="190"/>
      <c r="AP113" s="190"/>
      <c r="AQ113" s="187"/>
      <c r="AR113" s="184"/>
      <c r="AS113" s="554"/>
      <c r="AT113" s="190"/>
      <c r="AU113" s="190"/>
      <c r="AV113" s="187"/>
      <c r="AW113" s="184"/>
      <c r="AX113" s="554"/>
    </row>
    <row r="114" spans="2:50" ht="14.25" customHeight="1">
      <c r="B114" s="525"/>
      <c r="C114" s="182">
        <v>8</v>
      </c>
      <c r="D114" s="185"/>
      <c r="E114" s="182"/>
      <c r="F114" s="182"/>
      <c r="G114" s="187"/>
      <c r="H114" s="554"/>
      <c r="I114" s="188"/>
      <c r="J114" s="188"/>
      <c r="K114" s="189"/>
      <c r="L114" s="555"/>
      <c r="M114" s="188"/>
      <c r="N114" s="525"/>
      <c r="O114" s="525"/>
      <c r="P114" s="190"/>
      <c r="Q114" s="190"/>
      <c r="R114" s="187"/>
      <c r="S114" s="184"/>
      <c r="T114" s="554"/>
      <c r="U114" s="190"/>
      <c r="V114" s="190"/>
      <c r="W114" s="187"/>
      <c r="X114" s="184"/>
      <c r="Y114" s="554"/>
      <c r="Z114" s="190"/>
      <c r="AA114" s="190"/>
      <c r="AB114" s="187"/>
      <c r="AC114" s="184"/>
      <c r="AD114" s="554"/>
      <c r="AE114" s="190"/>
      <c r="AF114" s="190"/>
      <c r="AG114" s="187"/>
      <c r="AH114" s="184"/>
      <c r="AI114" s="554"/>
      <c r="AJ114" s="190"/>
      <c r="AK114" s="190"/>
      <c r="AL114" s="187"/>
      <c r="AM114" s="184"/>
      <c r="AN114" s="554"/>
      <c r="AO114" s="190"/>
      <c r="AP114" s="190"/>
      <c r="AQ114" s="187"/>
      <c r="AR114" s="184"/>
      <c r="AS114" s="554"/>
      <c r="AT114" s="190"/>
      <c r="AU114" s="190"/>
      <c r="AV114" s="187"/>
      <c r="AW114" s="184"/>
      <c r="AX114" s="554"/>
    </row>
    <row r="115" spans="2:50" ht="14.25" customHeight="1">
      <c r="B115" s="525"/>
      <c r="C115" s="182">
        <v>9</v>
      </c>
      <c r="D115" s="185"/>
      <c r="E115" s="182"/>
      <c r="F115" s="182"/>
      <c r="G115" s="187"/>
      <c r="H115" s="554"/>
      <c r="I115" s="188"/>
      <c r="J115" s="188"/>
      <c r="K115" s="189"/>
      <c r="L115" s="555"/>
      <c r="M115" s="188"/>
      <c r="N115" s="525"/>
      <c r="O115" s="525"/>
      <c r="P115" s="190"/>
      <c r="Q115" s="190"/>
      <c r="R115" s="187"/>
      <c r="S115" s="184"/>
      <c r="T115" s="554"/>
      <c r="U115" s="190"/>
      <c r="V115" s="190"/>
      <c r="W115" s="187"/>
      <c r="X115" s="184"/>
      <c r="Y115" s="554"/>
      <c r="Z115" s="190"/>
      <c r="AA115" s="190"/>
      <c r="AB115" s="187"/>
      <c r="AC115" s="184"/>
      <c r="AD115" s="554"/>
      <c r="AE115" s="190"/>
      <c r="AF115" s="190"/>
      <c r="AG115" s="187"/>
      <c r="AH115" s="184"/>
      <c r="AI115" s="554"/>
      <c r="AJ115" s="190"/>
      <c r="AK115" s="190"/>
      <c r="AL115" s="187"/>
      <c r="AM115" s="184"/>
      <c r="AN115" s="554"/>
      <c r="AO115" s="190"/>
      <c r="AP115" s="190"/>
      <c r="AQ115" s="187"/>
      <c r="AR115" s="184"/>
      <c r="AS115" s="554"/>
      <c r="AT115" s="190"/>
      <c r="AU115" s="190"/>
      <c r="AV115" s="187"/>
      <c r="AW115" s="184"/>
      <c r="AX115" s="554"/>
    </row>
    <row r="116" spans="2:50" ht="14.25" customHeight="1">
      <c r="B116" s="525"/>
      <c r="C116" s="182">
        <v>10</v>
      </c>
      <c r="D116" s="185"/>
      <c r="E116" s="182"/>
      <c r="F116" s="182"/>
      <c r="G116" s="187"/>
      <c r="H116" s="554"/>
      <c r="I116" s="188"/>
      <c r="J116" s="188"/>
      <c r="K116" s="189"/>
      <c r="L116" s="555"/>
      <c r="M116" s="188"/>
      <c r="N116" s="525"/>
      <c r="O116" s="525"/>
      <c r="P116" s="190"/>
      <c r="Q116" s="190"/>
      <c r="R116" s="187"/>
      <c r="S116" s="184"/>
      <c r="T116" s="554"/>
      <c r="U116" s="190"/>
      <c r="V116" s="190"/>
      <c r="W116" s="187"/>
      <c r="X116" s="184"/>
      <c r="Y116" s="554"/>
      <c r="Z116" s="190"/>
      <c r="AA116" s="190"/>
      <c r="AB116" s="187"/>
      <c r="AC116" s="184"/>
      <c r="AD116" s="554"/>
      <c r="AE116" s="190"/>
      <c r="AF116" s="190"/>
      <c r="AG116" s="187"/>
      <c r="AH116" s="184"/>
      <c r="AI116" s="554"/>
      <c r="AJ116" s="190"/>
      <c r="AK116" s="190"/>
      <c r="AL116" s="187"/>
      <c r="AM116" s="184"/>
      <c r="AN116" s="554"/>
      <c r="AO116" s="190"/>
      <c r="AP116" s="190"/>
      <c r="AQ116" s="187"/>
      <c r="AR116" s="184"/>
      <c r="AS116" s="554"/>
      <c r="AT116" s="190"/>
      <c r="AU116" s="190"/>
      <c r="AV116" s="187"/>
      <c r="AW116" s="184"/>
      <c r="AX116" s="554"/>
    </row>
    <row r="117" spans="2:50" ht="14.25" customHeight="1">
      <c r="B117" s="525"/>
      <c r="C117" s="182">
        <v>11</v>
      </c>
      <c r="D117" s="185"/>
      <c r="E117" s="182"/>
      <c r="F117" s="182"/>
      <c r="G117" s="187"/>
      <c r="H117" s="554"/>
      <c r="I117" s="188"/>
      <c r="J117" s="188"/>
      <c r="K117" s="189"/>
      <c r="L117" s="555"/>
      <c r="M117" s="188"/>
      <c r="N117" s="525"/>
      <c r="O117" s="525"/>
      <c r="P117" s="190"/>
      <c r="Q117" s="190"/>
      <c r="R117" s="187"/>
      <c r="S117" s="184"/>
      <c r="T117" s="554"/>
      <c r="U117" s="190"/>
      <c r="V117" s="190"/>
      <c r="W117" s="187"/>
      <c r="X117" s="184"/>
      <c r="Y117" s="554"/>
      <c r="Z117" s="190"/>
      <c r="AA117" s="190"/>
      <c r="AB117" s="187"/>
      <c r="AC117" s="184"/>
      <c r="AD117" s="554"/>
      <c r="AE117" s="190"/>
      <c r="AF117" s="190"/>
      <c r="AG117" s="187"/>
      <c r="AH117" s="184"/>
      <c r="AI117" s="554"/>
      <c r="AJ117" s="190"/>
      <c r="AK117" s="190"/>
      <c r="AL117" s="187"/>
      <c r="AM117" s="184"/>
      <c r="AN117" s="554"/>
      <c r="AO117" s="190"/>
      <c r="AP117" s="190"/>
      <c r="AQ117" s="187"/>
      <c r="AR117" s="184"/>
      <c r="AS117" s="554"/>
      <c r="AT117" s="190"/>
      <c r="AU117" s="190"/>
      <c r="AV117" s="187"/>
      <c r="AW117" s="184"/>
      <c r="AX117" s="554"/>
    </row>
    <row r="118" spans="2:50" ht="14.25" customHeight="1">
      <c r="B118" s="525"/>
      <c r="C118" s="182">
        <v>12</v>
      </c>
      <c r="D118" s="185"/>
      <c r="E118" s="182"/>
      <c r="F118" s="182"/>
      <c r="G118" s="187"/>
      <c r="H118" s="554"/>
      <c r="I118" s="188"/>
      <c r="J118" s="188"/>
      <c r="K118" s="189"/>
      <c r="L118" s="555"/>
      <c r="M118" s="188"/>
      <c r="N118" s="525"/>
      <c r="O118" s="525"/>
      <c r="P118" s="190"/>
      <c r="Q118" s="190"/>
      <c r="R118" s="187"/>
      <c r="S118" s="184"/>
      <c r="T118" s="554"/>
      <c r="U118" s="190"/>
      <c r="V118" s="190"/>
      <c r="W118" s="187"/>
      <c r="X118" s="184"/>
      <c r="Y118" s="554"/>
      <c r="Z118" s="190"/>
      <c r="AA118" s="190"/>
      <c r="AB118" s="187"/>
      <c r="AC118" s="184"/>
      <c r="AD118" s="554"/>
      <c r="AE118" s="190"/>
      <c r="AF118" s="190"/>
      <c r="AG118" s="187"/>
      <c r="AH118" s="184"/>
      <c r="AI118" s="554"/>
      <c r="AJ118" s="190"/>
      <c r="AK118" s="190"/>
      <c r="AL118" s="187"/>
      <c r="AM118" s="184"/>
      <c r="AN118" s="554"/>
      <c r="AO118" s="190"/>
      <c r="AP118" s="190"/>
      <c r="AQ118" s="187"/>
      <c r="AR118" s="184"/>
      <c r="AS118" s="554"/>
      <c r="AT118" s="190"/>
      <c r="AU118" s="190"/>
      <c r="AV118" s="187"/>
      <c r="AW118" s="184"/>
      <c r="AX118" s="554"/>
    </row>
    <row r="119" spans="2:50" ht="14.25" customHeight="1">
      <c r="B119" s="525"/>
      <c r="C119" s="182">
        <v>13</v>
      </c>
      <c r="D119" s="185"/>
      <c r="E119" s="182"/>
      <c r="F119" s="182"/>
      <c r="G119" s="187"/>
      <c r="H119" s="554"/>
      <c r="I119" s="188"/>
      <c r="J119" s="188"/>
      <c r="K119" s="189"/>
      <c r="L119" s="555"/>
      <c r="M119" s="188"/>
      <c r="N119" s="525"/>
      <c r="O119" s="525"/>
      <c r="P119" s="190"/>
      <c r="Q119" s="190"/>
      <c r="R119" s="187"/>
      <c r="S119" s="184"/>
      <c r="T119" s="554"/>
      <c r="U119" s="190"/>
      <c r="V119" s="190"/>
      <c r="W119" s="187"/>
      <c r="X119" s="184"/>
      <c r="Y119" s="554"/>
      <c r="Z119" s="190"/>
      <c r="AA119" s="190"/>
      <c r="AB119" s="187"/>
      <c r="AC119" s="184"/>
      <c r="AD119" s="554"/>
      <c r="AE119" s="190"/>
      <c r="AF119" s="190"/>
      <c r="AG119" s="187"/>
      <c r="AH119" s="184"/>
      <c r="AI119" s="554"/>
      <c r="AJ119" s="190"/>
      <c r="AK119" s="190"/>
      <c r="AL119" s="187"/>
      <c r="AM119" s="184"/>
      <c r="AN119" s="554"/>
      <c r="AO119" s="190"/>
      <c r="AP119" s="190"/>
      <c r="AQ119" s="187"/>
      <c r="AR119" s="184"/>
      <c r="AS119" s="554"/>
      <c r="AT119" s="190"/>
      <c r="AU119" s="190"/>
      <c r="AV119" s="187"/>
      <c r="AW119" s="184"/>
      <c r="AX119" s="554"/>
    </row>
    <row r="120" spans="2:50" ht="14.25" customHeight="1">
      <c r="B120" s="525"/>
      <c r="C120" s="182">
        <v>14</v>
      </c>
      <c r="D120" s="185"/>
      <c r="E120" s="182"/>
      <c r="F120" s="182"/>
      <c r="G120" s="187"/>
      <c r="H120" s="554"/>
      <c r="I120" s="188"/>
      <c r="J120" s="188"/>
      <c r="K120" s="189"/>
      <c r="L120" s="555"/>
      <c r="M120" s="188"/>
      <c r="N120" s="525"/>
      <c r="O120" s="525"/>
      <c r="P120" s="190"/>
      <c r="Q120" s="190"/>
      <c r="R120" s="187"/>
      <c r="S120" s="184"/>
      <c r="T120" s="554"/>
      <c r="U120" s="190"/>
      <c r="V120" s="190"/>
      <c r="W120" s="187"/>
      <c r="X120" s="184"/>
      <c r="Y120" s="554"/>
      <c r="Z120" s="190"/>
      <c r="AA120" s="190"/>
      <c r="AB120" s="187"/>
      <c r="AC120" s="184"/>
      <c r="AD120" s="554"/>
      <c r="AE120" s="190"/>
      <c r="AF120" s="190"/>
      <c r="AG120" s="187"/>
      <c r="AH120" s="184"/>
      <c r="AI120" s="554"/>
      <c r="AJ120" s="190"/>
      <c r="AK120" s="190"/>
      <c r="AL120" s="187"/>
      <c r="AM120" s="184"/>
      <c r="AN120" s="554"/>
      <c r="AO120" s="190"/>
      <c r="AP120" s="190"/>
      <c r="AQ120" s="187"/>
      <c r="AR120" s="184"/>
      <c r="AS120" s="554"/>
      <c r="AT120" s="190"/>
      <c r="AU120" s="190"/>
      <c r="AV120" s="187"/>
      <c r="AW120" s="184"/>
      <c r="AX120" s="554"/>
    </row>
    <row r="121" spans="2:50" ht="14.25" customHeight="1">
      <c r="B121" s="525"/>
      <c r="C121" s="182">
        <v>15</v>
      </c>
      <c r="D121" s="185"/>
      <c r="E121" s="182"/>
      <c r="F121" s="182"/>
      <c r="G121" s="187"/>
      <c r="H121" s="554"/>
      <c r="I121" s="188"/>
      <c r="J121" s="188"/>
      <c r="K121" s="189"/>
      <c r="L121" s="555"/>
      <c r="M121" s="188"/>
      <c r="N121" s="525"/>
      <c r="O121" s="525"/>
      <c r="P121" s="190"/>
      <c r="Q121" s="190"/>
      <c r="R121" s="187"/>
      <c r="S121" s="184"/>
      <c r="T121" s="554"/>
      <c r="U121" s="190"/>
      <c r="V121" s="190"/>
      <c r="W121" s="187"/>
      <c r="X121" s="184"/>
      <c r="Y121" s="554"/>
      <c r="Z121" s="190"/>
      <c r="AA121" s="190"/>
      <c r="AB121" s="187"/>
      <c r="AC121" s="184"/>
      <c r="AD121" s="554"/>
      <c r="AE121" s="190"/>
      <c r="AF121" s="190"/>
      <c r="AG121" s="187"/>
      <c r="AH121" s="184"/>
      <c r="AI121" s="554"/>
      <c r="AJ121" s="190"/>
      <c r="AK121" s="190"/>
      <c r="AL121" s="187"/>
      <c r="AM121" s="184"/>
      <c r="AN121" s="554"/>
      <c r="AO121" s="190"/>
      <c r="AP121" s="190"/>
      <c r="AQ121" s="187"/>
      <c r="AR121" s="184"/>
      <c r="AS121" s="554"/>
      <c r="AT121" s="190"/>
      <c r="AU121" s="190"/>
      <c r="AV121" s="187"/>
      <c r="AW121" s="184"/>
      <c r="AX121" s="554"/>
    </row>
  </sheetData>
  <mergeCells count="354"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N7:AN21"/>
    <mergeCell ref="AS7:AS21"/>
    <mergeCell ref="AJ4:AM4"/>
    <mergeCell ref="AN4:AN6"/>
    <mergeCell ref="AO4:AR4"/>
    <mergeCell ref="AS4:AS6"/>
    <mergeCell ref="AT4:AW4"/>
    <mergeCell ref="AX4:AX6"/>
    <mergeCell ref="AX7:AX21"/>
    <mergeCell ref="P4:S4"/>
    <mergeCell ref="T4:T6"/>
    <mergeCell ref="U4:X4"/>
    <mergeCell ref="Y4:Y6"/>
    <mergeCell ref="Z4:AC4"/>
    <mergeCell ref="AD4:AD6"/>
    <mergeCell ref="AE4:AH4"/>
    <mergeCell ref="AI4:AI6"/>
    <mergeCell ref="B7:B21"/>
    <mergeCell ref="H7:H21"/>
    <mergeCell ref="L7:L21"/>
    <mergeCell ref="T7:T21"/>
    <mergeCell ref="Y7:Y21"/>
    <mergeCell ref="AD7:AD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I7:AI21"/>
    <mergeCell ref="AT3:AX3"/>
    <mergeCell ref="AT2:AX2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P3:T3"/>
    <mergeCell ref="U3:Y3"/>
    <mergeCell ref="Z3:AD3"/>
    <mergeCell ref="AE3:AI3"/>
    <mergeCell ref="AJ3:AN3"/>
    <mergeCell ref="AO3:AS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P64:S64"/>
    <mergeCell ref="T64:T66"/>
    <mergeCell ref="U64:X64"/>
    <mergeCell ref="Y64:Y66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X64:AX66"/>
    <mergeCell ref="AT65:AW65"/>
    <mergeCell ref="T67:T81"/>
    <mergeCell ref="Y67:Y81"/>
    <mergeCell ref="AD67:AD81"/>
    <mergeCell ref="AI67:AI81"/>
    <mergeCell ref="AN67:AN81"/>
    <mergeCell ref="AS67:AS81"/>
    <mergeCell ref="AX67:AX81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7:AX101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87:B101"/>
    <mergeCell ref="H87:H101"/>
    <mergeCell ref="L87:L101"/>
    <mergeCell ref="T87:T101"/>
    <mergeCell ref="Y87:Y101"/>
    <mergeCell ref="AD87:AD10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B107:B121"/>
    <mergeCell ref="H107:H121"/>
    <mergeCell ref="L107:L121"/>
    <mergeCell ref="E105:G105"/>
    <mergeCell ref="I105:K105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P105:S105"/>
    <mergeCell ref="U105:X105"/>
    <mergeCell ref="Z105:AC105"/>
    <mergeCell ref="AE105:AH105"/>
    <mergeCell ref="AJ105:AM105"/>
    <mergeCell ref="AO105:AR105"/>
    <mergeCell ref="AT105:AW105"/>
    <mergeCell ref="T107:T121"/>
    <mergeCell ref="Y107:Y121"/>
    <mergeCell ref="AD107:AD121"/>
    <mergeCell ref="AI107:AI121"/>
    <mergeCell ref="AN107:AN121"/>
    <mergeCell ref="AS107:AS121"/>
    <mergeCell ref="AX107:AX121"/>
    <mergeCell ref="AN104:AN106"/>
    <mergeCell ref="AO104:AR104"/>
    <mergeCell ref="AS104:AS106"/>
    <mergeCell ref="AT104:AW104"/>
    <mergeCell ref="AX104:AX106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21"/>
  <sheetViews>
    <sheetView zoomScaleNormal="100" workbookViewId="0">
      <pane xSplit="13" ySplit="1" topLeftCell="N91" activePane="bottomRight" state="frozen"/>
      <selection activeCell="L95" sqref="L95"/>
      <selection pane="topRight" activeCell="L95" sqref="L95"/>
      <selection pane="bottomLeft" activeCell="L95" sqref="L95"/>
      <selection pane="bottomRight" activeCell="A42" sqref="A42:XFD121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9" bestFit="1" customWidth="1"/>
    <col min="4" max="4" width="26.453125" style="178" customWidth="1"/>
    <col min="5" max="5" width="7.7265625" style="179" customWidth="1"/>
    <col min="6" max="7" width="8.7265625" style="179" customWidth="1"/>
    <col min="8" max="8" width="10.7265625" style="179" customWidth="1"/>
    <col min="9" max="9" width="7.7265625" style="180" customWidth="1"/>
    <col min="10" max="11" width="8.7265625" style="180" customWidth="1"/>
    <col min="12" max="12" width="10.7265625" style="180" customWidth="1"/>
    <col min="13" max="13" width="5.7265625" style="180" customWidth="1"/>
    <col min="14" max="14" width="9.81640625" style="179" customWidth="1"/>
    <col min="15" max="15" width="7.1796875" style="179" customWidth="1"/>
    <col min="16" max="16" width="7.7265625" style="179" customWidth="1"/>
    <col min="17" max="18" width="8.7265625" style="179" customWidth="1"/>
    <col min="19" max="19" width="5.7265625" style="180" customWidth="1"/>
    <col min="20" max="20" width="10.7265625" style="179" customWidth="1"/>
    <col min="21" max="21" width="7.7265625" style="78" customWidth="1"/>
    <col min="22" max="23" width="8.7265625" style="78" customWidth="1"/>
    <col min="24" max="24" width="5.453125" style="180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80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80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80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81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81" customWidth="1"/>
    <col min="50" max="50" width="10.7265625" style="78" customWidth="1"/>
    <col min="51" max="16384" width="8.81640625" style="78"/>
  </cols>
  <sheetData>
    <row r="1" spans="1:50" ht="24.5">
      <c r="A1" s="74"/>
      <c r="B1" s="370" t="s">
        <v>651</v>
      </c>
      <c r="C1" s="177">
        <f>AVERAGE(L27,L47,L67,L87)</f>
        <v>84.60142398436416</v>
      </c>
    </row>
    <row r="2" spans="1:50" ht="14.25" customHeight="1" collapsed="1">
      <c r="B2" s="534" t="s">
        <v>559</v>
      </c>
      <c r="C2" s="535"/>
      <c r="D2" s="535"/>
      <c r="E2" s="535"/>
      <c r="F2" s="535"/>
      <c r="G2" s="535"/>
      <c r="H2" s="535"/>
      <c r="I2" s="535"/>
      <c r="J2" s="535"/>
      <c r="K2" s="535"/>
      <c r="L2" s="535"/>
      <c r="M2" s="536"/>
      <c r="N2" s="564" t="s">
        <v>378</v>
      </c>
      <c r="O2" s="564" t="s">
        <v>105</v>
      </c>
      <c r="P2" s="566">
        <v>46077</v>
      </c>
      <c r="Q2" s="567"/>
      <c r="R2" s="567"/>
      <c r="S2" s="567"/>
      <c r="T2" s="567"/>
      <c r="U2" s="568">
        <f>P2+1</f>
        <v>46078</v>
      </c>
      <c r="V2" s="569"/>
      <c r="W2" s="569"/>
      <c r="X2" s="569"/>
      <c r="Y2" s="569"/>
      <c r="Z2" s="566">
        <f t="shared" ref="Z2" si="0">U2+1</f>
        <v>46079</v>
      </c>
      <c r="AA2" s="567"/>
      <c r="AB2" s="567"/>
      <c r="AC2" s="567"/>
      <c r="AD2" s="567"/>
      <c r="AE2" s="568">
        <f t="shared" ref="AE2" si="1">Z2+1</f>
        <v>46080</v>
      </c>
      <c r="AF2" s="569"/>
      <c r="AG2" s="569"/>
      <c r="AH2" s="569"/>
      <c r="AI2" s="569"/>
      <c r="AJ2" s="556">
        <f t="shared" ref="AJ2" si="2">AE2+1</f>
        <v>46081</v>
      </c>
      <c r="AK2" s="557"/>
      <c r="AL2" s="557"/>
      <c r="AM2" s="557"/>
      <c r="AN2" s="558"/>
      <c r="AO2" s="568">
        <f t="shared" ref="AO2" si="3">AJ2+1</f>
        <v>46082</v>
      </c>
      <c r="AP2" s="569"/>
      <c r="AQ2" s="569"/>
      <c r="AR2" s="569"/>
      <c r="AS2" s="569"/>
      <c r="AT2" s="556">
        <f t="shared" ref="AT2" si="4">AO2+1</f>
        <v>46083</v>
      </c>
      <c r="AU2" s="557"/>
      <c r="AV2" s="557"/>
      <c r="AW2" s="557"/>
      <c r="AX2" s="558"/>
    </row>
    <row r="3" spans="1:50" ht="14.25" customHeight="1"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8"/>
      <c r="N3" s="565"/>
      <c r="O3" s="565"/>
      <c r="P3" s="559">
        <f>P2</f>
        <v>46077</v>
      </c>
      <c r="Q3" s="559"/>
      <c r="R3" s="559"/>
      <c r="S3" s="559"/>
      <c r="T3" s="559"/>
      <c r="U3" s="560">
        <f>U2</f>
        <v>46078</v>
      </c>
      <c r="V3" s="560"/>
      <c r="W3" s="560"/>
      <c r="X3" s="560"/>
      <c r="Y3" s="560"/>
      <c r="Z3" s="559">
        <f t="shared" ref="Z3" si="5">Z2</f>
        <v>46079</v>
      </c>
      <c r="AA3" s="559"/>
      <c r="AB3" s="559"/>
      <c r="AC3" s="559"/>
      <c r="AD3" s="559"/>
      <c r="AE3" s="560">
        <f t="shared" ref="AE3" si="6">AE2</f>
        <v>46080</v>
      </c>
      <c r="AF3" s="560"/>
      <c r="AG3" s="560"/>
      <c r="AH3" s="560"/>
      <c r="AI3" s="560"/>
      <c r="AJ3" s="561">
        <f t="shared" ref="AJ3" si="7">AJ2</f>
        <v>46081</v>
      </c>
      <c r="AK3" s="562"/>
      <c r="AL3" s="562"/>
      <c r="AM3" s="562"/>
      <c r="AN3" s="563"/>
      <c r="AO3" s="560">
        <f t="shared" ref="AO3" si="8">AO2</f>
        <v>46082</v>
      </c>
      <c r="AP3" s="560"/>
      <c r="AQ3" s="560"/>
      <c r="AR3" s="560"/>
      <c r="AS3" s="560"/>
      <c r="AT3" s="561">
        <f t="shared" ref="AT3" si="9">AT2</f>
        <v>46083</v>
      </c>
      <c r="AU3" s="562"/>
      <c r="AV3" s="562"/>
      <c r="AW3" s="562"/>
      <c r="AX3" s="563"/>
    </row>
    <row r="4" spans="1:50" ht="14.25" customHeight="1">
      <c r="B4" s="525" t="s">
        <v>164</v>
      </c>
      <c r="C4" s="525" t="s">
        <v>159</v>
      </c>
      <c r="D4" s="525"/>
      <c r="E4" s="525" t="s">
        <v>160</v>
      </c>
      <c r="F4" s="525"/>
      <c r="G4" s="525"/>
      <c r="H4" s="525" t="s">
        <v>165</v>
      </c>
      <c r="I4" s="544" t="s">
        <v>379</v>
      </c>
      <c r="J4" s="544"/>
      <c r="K4" s="544"/>
      <c r="L4" s="544" t="s">
        <v>165</v>
      </c>
      <c r="M4" s="544" t="s">
        <v>167</v>
      </c>
      <c r="N4" s="525"/>
      <c r="O4" s="525" t="s">
        <v>166</v>
      </c>
      <c r="P4" s="525" t="s">
        <v>162</v>
      </c>
      <c r="Q4" s="525"/>
      <c r="R4" s="525"/>
      <c r="S4" s="525"/>
      <c r="T4" s="525" t="s">
        <v>165</v>
      </c>
      <c r="U4" s="525" t="s">
        <v>162</v>
      </c>
      <c r="V4" s="525"/>
      <c r="W4" s="525"/>
      <c r="X4" s="525"/>
      <c r="Y4" s="525" t="s">
        <v>165</v>
      </c>
      <c r="Z4" s="525" t="s">
        <v>162</v>
      </c>
      <c r="AA4" s="525"/>
      <c r="AB4" s="525"/>
      <c r="AC4" s="525"/>
      <c r="AD4" s="525" t="s">
        <v>165</v>
      </c>
      <c r="AE4" s="525" t="s">
        <v>162</v>
      </c>
      <c r="AF4" s="525"/>
      <c r="AG4" s="525"/>
      <c r="AH4" s="525"/>
      <c r="AI4" s="525" t="s">
        <v>165</v>
      </c>
      <c r="AJ4" s="525" t="s">
        <v>162</v>
      </c>
      <c r="AK4" s="525"/>
      <c r="AL4" s="525"/>
      <c r="AM4" s="525"/>
      <c r="AN4" s="525" t="s">
        <v>165</v>
      </c>
      <c r="AO4" s="525" t="s">
        <v>162</v>
      </c>
      <c r="AP4" s="525"/>
      <c r="AQ4" s="525"/>
      <c r="AR4" s="525"/>
      <c r="AS4" s="525" t="s">
        <v>165</v>
      </c>
      <c r="AT4" s="525" t="s">
        <v>162</v>
      </c>
      <c r="AU4" s="525"/>
      <c r="AV4" s="525"/>
      <c r="AW4" s="525"/>
      <c r="AX4" s="525" t="s">
        <v>165</v>
      </c>
    </row>
    <row r="5" spans="1:50" ht="14.25" customHeight="1">
      <c r="B5" s="525"/>
      <c r="C5" s="525"/>
      <c r="D5" s="525"/>
      <c r="E5" s="525" t="s">
        <v>380</v>
      </c>
      <c r="F5" s="525"/>
      <c r="G5" s="525"/>
      <c r="H5" s="525"/>
      <c r="I5" s="544" t="s">
        <v>380</v>
      </c>
      <c r="J5" s="544"/>
      <c r="K5" s="544"/>
      <c r="L5" s="544"/>
      <c r="M5" s="544"/>
      <c r="N5" s="525"/>
      <c r="O5" s="525"/>
      <c r="P5" s="525" t="s">
        <v>381</v>
      </c>
      <c r="Q5" s="525"/>
      <c r="R5" s="525"/>
      <c r="S5" s="525"/>
      <c r="T5" s="525"/>
      <c r="U5" s="525" t="s">
        <v>381</v>
      </c>
      <c r="V5" s="525"/>
      <c r="W5" s="525"/>
      <c r="X5" s="525"/>
      <c r="Y5" s="525"/>
      <c r="Z5" s="525" t="s">
        <v>381</v>
      </c>
      <c r="AA5" s="525"/>
      <c r="AB5" s="525"/>
      <c r="AC5" s="525"/>
      <c r="AD5" s="525"/>
      <c r="AE5" s="525" t="s">
        <v>381</v>
      </c>
      <c r="AF5" s="525"/>
      <c r="AG5" s="525"/>
      <c r="AH5" s="525"/>
      <c r="AI5" s="525"/>
      <c r="AJ5" s="525" t="s">
        <v>381</v>
      </c>
      <c r="AK5" s="525"/>
      <c r="AL5" s="525"/>
      <c r="AM5" s="525"/>
      <c r="AN5" s="525"/>
      <c r="AO5" s="525" t="s">
        <v>381</v>
      </c>
      <c r="AP5" s="525"/>
      <c r="AQ5" s="525"/>
      <c r="AR5" s="525"/>
      <c r="AS5" s="525"/>
      <c r="AT5" s="525" t="s">
        <v>381</v>
      </c>
      <c r="AU5" s="525"/>
      <c r="AV5" s="525"/>
      <c r="AW5" s="525"/>
      <c r="AX5" s="525"/>
    </row>
    <row r="6" spans="1:50" ht="14.25" customHeight="1">
      <c r="B6" s="525"/>
      <c r="C6" s="525"/>
      <c r="D6" s="525"/>
      <c r="E6" s="182" t="s">
        <v>161</v>
      </c>
      <c r="F6" s="182" t="s">
        <v>382</v>
      </c>
      <c r="G6" s="182" t="s">
        <v>163</v>
      </c>
      <c r="H6" s="525"/>
      <c r="I6" s="183" t="s">
        <v>161</v>
      </c>
      <c r="J6" s="183" t="s">
        <v>382</v>
      </c>
      <c r="K6" s="183" t="s">
        <v>163</v>
      </c>
      <c r="L6" s="544"/>
      <c r="M6" s="544"/>
      <c r="N6" s="525"/>
      <c r="O6" s="525"/>
      <c r="P6" s="182" t="s">
        <v>161</v>
      </c>
      <c r="Q6" s="182" t="s">
        <v>382</v>
      </c>
      <c r="R6" s="182" t="s">
        <v>163</v>
      </c>
      <c r="S6" s="184" t="s">
        <v>167</v>
      </c>
      <c r="T6" s="525"/>
      <c r="U6" s="182" t="s">
        <v>161</v>
      </c>
      <c r="V6" s="182" t="s">
        <v>382</v>
      </c>
      <c r="W6" s="182" t="s">
        <v>163</v>
      </c>
      <c r="X6" s="184" t="s">
        <v>167</v>
      </c>
      <c r="Y6" s="525"/>
      <c r="Z6" s="182" t="s">
        <v>161</v>
      </c>
      <c r="AA6" s="182" t="s">
        <v>382</v>
      </c>
      <c r="AB6" s="182" t="s">
        <v>163</v>
      </c>
      <c r="AC6" s="184" t="s">
        <v>167</v>
      </c>
      <c r="AD6" s="525"/>
      <c r="AE6" s="182" t="s">
        <v>161</v>
      </c>
      <c r="AF6" s="182" t="s">
        <v>382</v>
      </c>
      <c r="AG6" s="182" t="s">
        <v>163</v>
      </c>
      <c r="AH6" s="184" t="s">
        <v>167</v>
      </c>
      <c r="AI6" s="525"/>
      <c r="AJ6" s="182" t="s">
        <v>161</v>
      </c>
      <c r="AK6" s="182" t="s">
        <v>382</v>
      </c>
      <c r="AL6" s="182" t="s">
        <v>163</v>
      </c>
      <c r="AM6" s="184" t="s">
        <v>167</v>
      </c>
      <c r="AN6" s="525"/>
      <c r="AO6" s="182" t="s">
        <v>161</v>
      </c>
      <c r="AP6" s="182" t="s">
        <v>382</v>
      </c>
      <c r="AQ6" s="182" t="s">
        <v>163</v>
      </c>
      <c r="AR6" s="184" t="s">
        <v>167</v>
      </c>
      <c r="AS6" s="525"/>
      <c r="AT6" s="182" t="s">
        <v>161</v>
      </c>
      <c r="AU6" s="182" t="s">
        <v>382</v>
      </c>
      <c r="AV6" s="182" t="s">
        <v>163</v>
      </c>
      <c r="AW6" s="184" t="s">
        <v>167</v>
      </c>
      <c r="AX6" s="525"/>
    </row>
    <row r="7" spans="1:50" ht="14.25" customHeight="1">
      <c r="B7" s="525" t="s">
        <v>386</v>
      </c>
      <c r="C7" s="182">
        <v>1</v>
      </c>
      <c r="D7" s="185" t="s">
        <v>485</v>
      </c>
      <c r="E7" s="182">
        <v>19</v>
      </c>
      <c r="F7" s="182">
        <v>1800</v>
      </c>
      <c r="G7" s="187">
        <f t="shared" ref="G7:G8" si="10">F7/E7</f>
        <v>94.736842105263165</v>
      </c>
      <c r="H7" s="554">
        <f>AVERAGE(G7:G21)</f>
        <v>94.736842105263165</v>
      </c>
      <c r="I7" s="188">
        <f>AVERAGE(P7,U7,Z7,AE7,AJ7,AO7,AT7)</f>
        <v>19</v>
      </c>
      <c r="J7" s="188">
        <f>AVERAGE(Q7,V7,AA7,AF7,AK7,AP7,AU7)</f>
        <v>1607.1357434748982</v>
      </c>
      <c r="K7" s="189">
        <f>AVERAGE(R7,W7,AB7,AG7,AL7,AQ7,AV7)</f>
        <v>84.586091761836741</v>
      </c>
      <c r="L7" s="555">
        <f>IFERROR(AVERAGE(K7:K21),"-")</f>
        <v>84.576459084309448</v>
      </c>
      <c r="M7" s="188">
        <f>RANK(K7, K$7:$K$21)</f>
        <v>1</v>
      </c>
      <c r="N7" s="525"/>
      <c r="O7" s="525"/>
      <c r="P7" s="190">
        <v>19</v>
      </c>
      <c r="Q7" s="190">
        <v>1606.7610781178621</v>
      </c>
      <c r="R7" s="187">
        <f>IFERROR(Q7/P7,"")</f>
        <v>84.566372532519054</v>
      </c>
      <c r="S7" s="184">
        <f>RANK(R7, R$7:R$21)</f>
        <v>1</v>
      </c>
      <c r="T7" s="554">
        <f>AVERAGE(R7:R21)</f>
        <v>84.559887792061048</v>
      </c>
      <c r="U7" s="190">
        <v>19</v>
      </c>
      <c r="V7" s="190">
        <v>1607.0103092783509</v>
      </c>
      <c r="W7" s="187">
        <f t="shared" ref="W7:W8" si="11">IFERROR(V7/U7,"")</f>
        <v>84.579489962018471</v>
      </c>
      <c r="X7" s="184">
        <f>RANK(W7, W$7:W$21)</f>
        <v>1</v>
      </c>
      <c r="Y7" s="554">
        <f>AVERAGE(W7:W21)</f>
        <v>84.573420270928921</v>
      </c>
      <c r="Z7" s="190">
        <v>19</v>
      </c>
      <c r="AA7" s="190">
        <v>1607.2110286320249</v>
      </c>
      <c r="AB7" s="187">
        <f t="shared" ref="AB7:AB8" si="12">IFERROR(AA7/Z7,"")</f>
        <v>84.59005413852762</v>
      </c>
      <c r="AC7" s="184">
        <f>RANK(AB7, AB$7:AB$21)</f>
        <v>1</v>
      </c>
      <c r="AD7" s="554">
        <f>AVERAGE(AB7:AB21)</f>
        <v>84.584400693438283</v>
      </c>
      <c r="AE7" s="190">
        <v>19</v>
      </c>
      <c r="AF7" s="190">
        <v>1607.3513513513517</v>
      </c>
      <c r="AG7" s="187">
        <f>IFERROR(AF7/AE7,"")</f>
        <v>84.597439544807983</v>
      </c>
      <c r="AH7" s="184">
        <f>RANK(AG7, AG$7:AG$21)</f>
        <v>1</v>
      </c>
      <c r="AI7" s="554">
        <f>AVERAGE(AG7:AG21)</f>
        <v>84.582622146072623</v>
      </c>
      <c r="AJ7" s="190">
        <v>19</v>
      </c>
      <c r="AK7" s="190">
        <v>1607.2892938496577</v>
      </c>
      <c r="AL7" s="187">
        <f t="shared" ref="AL7" si="13">IFERROR(AK7/AJ7,"")</f>
        <v>84.594173360508307</v>
      </c>
      <c r="AM7" s="184">
        <f>RANK(AL7, AL$7:AL$21)</f>
        <v>1</v>
      </c>
      <c r="AN7" s="554">
        <f>AVERAGE(AL7:AL21)</f>
        <v>84.594173360508307</v>
      </c>
      <c r="AO7" s="190">
        <v>19</v>
      </c>
      <c r="AP7" s="190">
        <v>1607.1174377224218</v>
      </c>
      <c r="AQ7" s="187">
        <f t="shared" ref="AQ7" si="14">IFERROR(AP7/AO7,"")</f>
        <v>84.585128301180092</v>
      </c>
      <c r="AR7" s="184">
        <f>RANK(AQ7, AQ$7:AQ$21)</f>
        <v>1</v>
      </c>
      <c r="AS7" s="554">
        <f>AVERAGE(AQ7:AQ21)</f>
        <v>84.585128301180092</v>
      </c>
      <c r="AT7" s="190">
        <v>19</v>
      </c>
      <c r="AU7" s="190">
        <v>1607.2097053726179</v>
      </c>
      <c r="AV7" s="187">
        <f t="shared" ref="AV7" si="15">IFERROR(AU7/AT7,"")</f>
        <v>84.589984493295674</v>
      </c>
      <c r="AW7" s="184">
        <f>RANK(AV7, AV$7:AV$21)</f>
        <v>1</v>
      </c>
      <c r="AX7" s="554">
        <f>AVERAGE(AV7:AV21)</f>
        <v>84.589984493295674</v>
      </c>
    </row>
    <row r="8" spans="1:50" ht="14.25" customHeight="1">
      <c r="B8" s="525"/>
      <c r="C8" s="182">
        <v>2</v>
      </c>
      <c r="D8" s="185" t="s">
        <v>550</v>
      </c>
      <c r="E8" s="182">
        <v>19</v>
      </c>
      <c r="F8" s="182">
        <v>1800</v>
      </c>
      <c r="G8" s="187">
        <f t="shared" si="10"/>
        <v>94.736842105263165</v>
      </c>
      <c r="H8" s="554"/>
      <c r="I8" s="188">
        <f t="shared" ref="I8:K8" si="16">AVERAGE(P8,U8,Z8,AE8,AJ8,AO8,AT8)</f>
        <v>19</v>
      </c>
      <c r="J8" s="188">
        <f t="shared" si="16"/>
        <v>1606.769701728861</v>
      </c>
      <c r="K8" s="189">
        <f t="shared" si="16"/>
        <v>84.566826406782155</v>
      </c>
      <c r="L8" s="555"/>
      <c r="M8" s="188">
        <f>RANK(K8, K$7:$K$21)</f>
        <v>2</v>
      </c>
      <c r="N8" s="525"/>
      <c r="O8" s="525"/>
      <c r="P8" s="190">
        <v>19</v>
      </c>
      <c r="Q8" s="190">
        <v>1606.5146579804577</v>
      </c>
      <c r="R8" s="187">
        <f t="shared" ref="R8" si="17">IFERROR(Q8/P8,"")</f>
        <v>84.553403051603041</v>
      </c>
      <c r="S8" s="184">
        <f>RANK(R8, R$7:R$21)</f>
        <v>2</v>
      </c>
      <c r="T8" s="554"/>
      <c r="U8" s="190">
        <v>19</v>
      </c>
      <c r="V8" s="190">
        <v>1606.7796610169482</v>
      </c>
      <c r="W8" s="187">
        <f t="shared" si="11"/>
        <v>84.567350579839385</v>
      </c>
      <c r="X8" s="184">
        <f>RANK(W8, W$7:W$21)</f>
        <v>2</v>
      </c>
      <c r="Y8" s="554"/>
      <c r="Z8" s="190">
        <v>19</v>
      </c>
      <c r="AA8" s="190">
        <v>1606.9961977186301</v>
      </c>
      <c r="AB8" s="187">
        <f t="shared" si="12"/>
        <v>84.578747248348961</v>
      </c>
      <c r="AC8" s="184">
        <f>RANK(AB8, AB$7:AB$21)</f>
        <v>2</v>
      </c>
      <c r="AD8" s="554"/>
      <c r="AE8" s="190">
        <v>19</v>
      </c>
      <c r="AF8" s="190">
        <v>1606.7882901994078</v>
      </c>
      <c r="AG8" s="187">
        <f t="shared" ref="AG8" si="18">IFERROR(AF8/AE8,"")</f>
        <v>84.567804747337249</v>
      </c>
      <c r="AH8" s="184">
        <f>RANK(AG8, AG$7:AG$21)</f>
        <v>2</v>
      </c>
      <c r="AI8" s="554"/>
      <c r="AJ8" s="190"/>
      <c r="AK8" s="190"/>
      <c r="AL8" s="187"/>
      <c r="AM8" s="184"/>
      <c r="AN8" s="554"/>
      <c r="AO8" s="190"/>
      <c r="AP8" s="190"/>
      <c r="AQ8" s="187"/>
      <c r="AR8" s="184"/>
      <c r="AS8" s="554"/>
      <c r="AT8" s="190"/>
      <c r="AU8" s="190"/>
      <c r="AV8" s="187"/>
      <c r="AW8" s="184"/>
      <c r="AX8" s="554"/>
    </row>
    <row r="9" spans="1:50" ht="14.25" customHeight="1">
      <c r="B9" s="525"/>
      <c r="C9" s="182">
        <v>3</v>
      </c>
      <c r="D9" s="185"/>
      <c r="E9" s="182"/>
      <c r="F9" s="182"/>
      <c r="G9" s="187"/>
      <c r="H9" s="554"/>
      <c r="I9" s="188"/>
      <c r="J9" s="188"/>
      <c r="K9" s="189"/>
      <c r="L9" s="555"/>
      <c r="M9" s="188"/>
      <c r="N9" s="525"/>
      <c r="O9" s="525"/>
      <c r="P9" s="190"/>
      <c r="Q9" s="190"/>
      <c r="R9" s="187"/>
      <c r="S9" s="184"/>
      <c r="T9" s="554"/>
      <c r="U9" s="190"/>
      <c r="V9" s="190"/>
      <c r="W9" s="187"/>
      <c r="X9" s="184"/>
      <c r="Y9" s="554"/>
      <c r="Z9" s="190"/>
      <c r="AA9" s="190"/>
      <c r="AB9" s="187"/>
      <c r="AC9" s="184"/>
      <c r="AD9" s="554"/>
      <c r="AE9" s="190"/>
      <c r="AF9" s="190"/>
      <c r="AG9" s="187"/>
      <c r="AH9" s="184"/>
      <c r="AI9" s="554"/>
      <c r="AJ9" s="190"/>
      <c r="AK9" s="190"/>
      <c r="AL9" s="187"/>
      <c r="AM9" s="184"/>
      <c r="AN9" s="554"/>
      <c r="AO9" s="190"/>
      <c r="AP9" s="190"/>
      <c r="AQ9" s="187"/>
      <c r="AR9" s="184"/>
      <c r="AS9" s="554"/>
      <c r="AT9" s="190"/>
      <c r="AU9" s="190"/>
      <c r="AV9" s="187"/>
      <c r="AW9" s="184"/>
      <c r="AX9" s="554"/>
    </row>
    <row r="10" spans="1:50" ht="14.25" customHeight="1">
      <c r="B10" s="525"/>
      <c r="C10" s="182">
        <v>4</v>
      </c>
      <c r="D10" s="185"/>
      <c r="E10" s="182"/>
      <c r="F10" s="182"/>
      <c r="G10" s="187"/>
      <c r="H10" s="554"/>
      <c r="I10" s="188"/>
      <c r="J10" s="188"/>
      <c r="K10" s="189"/>
      <c r="L10" s="555"/>
      <c r="M10" s="188"/>
      <c r="N10" s="525"/>
      <c r="O10" s="525"/>
      <c r="P10" s="190"/>
      <c r="Q10" s="190"/>
      <c r="R10" s="187"/>
      <c r="S10" s="184"/>
      <c r="T10" s="554"/>
      <c r="U10" s="190"/>
      <c r="V10" s="190"/>
      <c r="W10" s="187"/>
      <c r="X10" s="184"/>
      <c r="Y10" s="554"/>
      <c r="Z10" s="190"/>
      <c r="AA10" s="190"/>
      <c r="AB10" s="187"/>
      <c r="AC10" s="184"/>
      <c r="AD10" s="554"/>
      <c r="AE10" s="190"/>
      <c r="AF10" s="190"/>
      <c r="AG10" s="187"/>
      <c r="AH10" s="184"/>
      <c r="AI10" s="554"/>
      <c r="AJ10" s="190"/>
      <c r="AK10" s="190"/>
      <c r="AL10" s="187"/>
      <c r="AM10" s="184"/>
      <c r="AN10" s="554"/>
      <c r="AO10" s="190"/>
      <c r="AP10" s="190"/>
      <c r="AQ10" s="187"/>
      <c r="AR10" s="184"/>
      <c r="AS10" s="554"/>
      <c r="AT10" s="190"/>
      <c r="AU10" s="190"/>
      <c r="AV10" s="187"/>
      <c r="AW10" s="184"/>
      <c r="AX10" s="554"/>
    </row>
    <row r="11" spans="1:50" ht="14.25" customHeight="1">
      <c r="B11" s="525"/>
      <c r="C11" s="182">
        <v>5</v>
      </c>
      <c r="D11" s="185"/>
      <c r="E11" s="182"/>
      <c r="F11" s="182"/>
      <c r="G11" s="187"/>
      <c r="H11" s="554"/>
      <c r="I11" s="188"/>
      <c r="J11" s="188"/>
      <c r="K11" s="189"/>
      <c r="L11" s="555"/>
      <c r="M11" s="188"/>
      <c r="N11" s="525"/>
      <c r="O11" s="525"/>
      <c r="P11" s="190"/>
      <c r="Q11" s="190"/>
      <c r="R11" s="187"/>
      <c r="S11" s="184"/>
      <c r="T11" s="554"/>
      <c r="U11" s="190"/>
      <c r="V11" s="190"/>
      <c r="W11" s="187"/>
      <c r="X11" s="184"/>
      <c r="Y11" s="554"/>
      <c r="Z11" s="190"/>
      <c r="AA11" s="190"/>
      <c r="AB11" s="187"/>
      <c r="AC11" s="184"/>
      <c r="AD11" s="554"/>
      <c r="AE11" s="190"/>
      <c r="AF11" s="190"/>
      <c r="AG11" s="187"/>
      <c r="AH11" s="184"/>
      <c r="AI11" s="554"/>
      <c r="AJ11" s="190"/>
      <c r="AK11" s="190"/>
      <c r="AL11" s="187"/>
      <c r="AM11" s="184"/>
      <c r="AN11" s="554"/>
      <c r="AO11" s="190"/>
      <c r="AP11" s="190"/>
      <c r="AQ11" s="187"/>
      <c r="AR11" s="184"/>
      <c r="AS11" s="554"/>
      <c r="AT11" s="190"/>
      <c r="AU11" s="190"/>
      <c r="AV11" s="187"/>
      <c r="AW11" s="184"/>
      <c r="AX11" s="554"/>
    </row>
    <row r="12" spans="1:50" ht="14.25" customHeight="1">
      <c r="B12" s="525"/>
      <c r="C12" s="182">
        <v>6</v>
      </c>
      <c r="D12" s="185"/>
      <c r="E12" s="182"/>
      <c r="F12" s="182"/>
      <c r="G12" s="187"/>
      <c r="H12" s="554"/>
      <c r="I12" s="188"/>
      <c r="J12" s="188"/>
      <c r="K12" s="189"/>
      <c r="L12" s="555"/>
      <c r="M12" s="188"/>
      <c r="N12" s="525"/>
      <c r="O12" s="525"/>
      <c r="P12" s="190"/>
      <c r="Q12" s="190"/>
      <c r="R12" s="187"/>
      <c r="S12" s="184"/>
      <c r="T12" s="554"/>
      <c r="U12" s="190"/>
      <c r="V12" s="190"/>
      <c r="W12" s="187"/>
      <c r="X12" s="184"/>
      <c r="Y12" s="554"/>
      <c r="Z12" s="190"/>
      <c r="AA12" s="190"/>
      <c r="AB12" s="187"/>
      <c r="AC12" s="184"/>
      <c r="AD12" s="554"/>
      <c r="AE12" s="190"/>
      <c r="AF12" s="190"/>
      <c r="AG12" s="187"/>
      <c r="AH12" s="184"/>
      <c r="AI12" s="554"/>
      <c r="AJ12" s="190"/>
      <c r="AK12" s="190"/>
      <c r="AL12" s="187"/>
      <c r="AM12" s="184"/>
      <c r="AN12" s="554"/>
      <c r="AO12" s="190"/>
      <c r="AP12" s="190"/>
      <c r="AQ12" s="187"/>
      <c r="AR12" s="184"/>
      <c r="AS12" s="554"/>
      <c r="AT12" s="190"/>
      <c r="AU12" s="190"/>
      <c r="AV12" s="187"/>
      <c r="AW12" s="184"/>
      <c r="AX12" s="554"/>
    </row>
    <row r="13" spans="1:50" ht="14.25" customHeight="1">
      <c r="B13" s="525"/>
      <c r="C13" s="182">
        <v>7</v>
      </c>
      <c r="D13" s="185"/>
      <c r="E13" s="182"/>
      <c r="F13" s="182"/>
      <c r="G13" s="187"/>
      <c r="H13" s="554"/>
      <c r="I13" s="188"/>
      <c r="J13" s="188"/>
      <c r="K13" s="189"/>
      <c r="L13" s="555"/>
      <c r="M13" s="188"/>
      <c r="N13" s="525"/>
      <c r="O13" s="525"/>
      <c r="P13" s="190"/>
      <c r="Q13" s="190"/>
      <c r="R13" s="187"/>
      <c r="S13" s="184"/>
      <c r="T13" s="554"/>
      <c r="U13" s="190"/>
      <c r="V13" s="190"/>
      <c r="W13" s="187"/>
      <c r="X13" s="184"/>
      <c r="Y13" s="554"/>
      <c r="Z13" s="190"/>
      <c r="AA13" s="190"/>
      <c r="AB13" s="187"/>
      <c r="AC13" s="184"/>
      <c r="AD13" s="554"/>
      <c r="AE13" s="190"/>
      <c r="AF13" s="190"/>
      <c r="AG13" s="187"/>
      <c r="AH13" s="184"/>
      <c r="AI13" s="554"/>
      <c r="AJ13" s="190"/>
      <c r="AK13" s="190"/>
      <c r="AL13" s="187"/>
      <c r="AM13" s="184"/>
      <c r="AN13" s="554"/>
      <c r="AO13" s="190"/>
      <c r="AP13" s="190"/>
      <c r="AQ13" s="187"/>
      <c r="AR13" s="184"/>
      <c r="AS13" s="554"/>
      <c r="AT13" s="190"/>
      <c r="AU13" s="190"/>
      <c r="AV13" s="187"/>
      <c r="AW13" s="184"/>
      <c r="AX13" s="554"/>
    </row>
    <row r="14" spans="1:50" ht="14.25" customHeight="1">
      <c r="B14" s="525"/>
      <c r="C14" s="182">
        <v>8</v>
      </c>
      <c r="D14" s="185"/>
      <c r="E14" s="182"/>
      <c r="F14" s="182"/>
      <c r="G14" s="187"/>
      <c r="H14" s="554"/>
      <c r="I14" s="188"/>
      <c r="J14" s="188"/>
      <c r="K14" s="189"/>
      <c r="L14" s="555"/>
      <c r="M14" s="188"/>
      <c r="N14" s="525"/>
      <c r="O14" s="525"/>
      <c r="P14" s="190"/>
      <c r="Q14" s="190"/>
      <c r="R14" s="187"/>
      <c r="S14" s="184"/>
      <c r="T14" s="554"/>
      <c r="U14" s="190"/>
      <c r="V14" s="190"/>
      <c r="W14" s="187"/>
      <c r="X14" s="184"/>
      <c r="Y14" s="554"/>
      <c r="Z14" s="190"/>
      <c r="AA14" s="190"/>
      <c r="AB14" s="187"/>
      <c r="AC14" s="184"/>
      <c r="AD14" s="554"/>
      <c r="AE14" s="190"/>
      <c r="AF14" s="190"/>
      <c r="AG14" s="187"/>
      <c r="AH14" s="184"/>
      <c r="AI14" s="554"/>
      <c r="AJ14" s="190"/>
      <c r="AK14" s="190"/>
      <c r="AL14" s="187"/>
      <c r="AM14" s="184"/>
      <c r="AN14" s="554"/>
      <c r="AO14" s="190"/>
      <c r="AP14" s="190"/>
      <c r="AQ14" s="187"/>
      <c r="AR14" s="184"/>
      <c r="AS14" s="554"/>
      <c r="AT14" s="190"/>
      <c r="AU14" s="190"/>
      <c r="AV14" s="187"/>
      <c r="AW14" s="184"/>
      <c r="AX14" s="554"/>
    </row>
    <row r="15" spans="1:50" ht="14.25" customHeight="1">
      <c r="B15" s="525"/>
      <c r="C15" s="182">
        <v>9</v>
      </c>
      <c r="D15" s="185"/>
      <c r="E15" s="182"/>
      <c r="F15" s="182"/>
      <c r="G15" s="187"/>
      <c r="H15" s="554"/>
      <c r="I15" s="188"/>
      <c r="J15" s="188"/>
      <c r="K15" s="189"/>
      <c r="L15" s="555"/>
      <c r="M15" s="188"/>
      <c r="N15" s="525"/>
      <c r="O15" s="525"/>
      <c r="P15" s="190"/>
      <c r="Q15" s="190"/>
      <c r="R15" s="187"/>
      <c r="S15" s="184"/>
      <c r="T15" s="554"/>
      <c r="U15" s="190"/>
      <c r="V15" s="190"/>
      <c r="W15" s="187"/>
      <c r="X15" s="184"/>
      <c r="Y15" s="554"/>
      <c r="Z15" s="190"/>
      <c r="AA15" s="190"/>
      <c r="AB15" s="187"/>
      <c r="AC15" s="184"/>
      <c r="AD15" s="554"/>
      <c r="AE15" s="190"/>
      <c r="AF15" s="190"/>
      <c r="AG15" s="187"/>
      <c r="AH15" s="184"/>
      <c r="AI15" s="554"/>
      <c r="AJ15" s="190"/>
      <c r="AK15" s="190"/>
      <c r="AL15" s="187"/>
      <c r="AM15" s="184"/>
      <c r="AN15" s="554"/>
      <c r="AO15" s="190"/>
      <c r="AP15" s="190"/>
      <c r="AQ15" s="187"/>
      <c r="AR15" s="184"/>
      <c r="AS15" s="554"/>
      <c r="AT15" s="190"/>
      <c r="AU15" s="190"/>
      <c r="AV15" s="187"/>
      <c r="AW15" s="184"/>
      <c r="AX15" s="554"/>
    </row>
    <row r="16" spans="1:50" ht="14.25" customHeight="1">
      <c r="B16" s="525"/>
      <c r="C16" s="182">
        <v>10</v>
      </c>
      <c r="D16" s="185"/>
      <c r="E16" s="182"/>
      <c r="F16" s="182"/>
      <c r="G16" s="187"/>
      <c r="H16" s="554"/>
      <c r="I16" s="188"/>
      <c r="J16" s="188"/>
      <c r="K16" s="189"/>
      <c r="L16" s="555"/>
      <c r="M16" s="188"/>
      <c r="N16" s="525"/>
      <c r="O16" s="525"/>
      <c r="P16" s="190"/>
      <c r="Q16" s="190"/>
      <c r="R16" s="187"/>
      <c r="S16" s="184"/>
      <c r="T16" s="554"/>
      <c r="U16" s="190"/>
      <c r="V16" s="190"/>
      <c r="W16" s="187"/>
      <c r="X16" s="184"/>
      <c r="Y16" s="554"/>
      <c r="Z16" s="190"/>
      <c r="AA16" s="190"/>
      <c r="AB16" s="187"/>
      <c r="AC16" s="184"/>
      <c r="AD16" s="554"/>
      <c r="AE16" s="190"/>
      <c r="AF16" s="190"/>
      <c r="AG16" s="187"/>
      <c r="AH16" s="184"/>
      <c r="AI16" s="554"/>
      <c r="AJ16" s="190"/>
      <c r="AK16" s="190"/>
      <c r="AL16" s="187"/>
      <c r="AM16" s="184"/>
      <c r="AN16" s="554"/>
      <c r="AO16" s="190"/>
      <c r="AP16" s="190"/>
      <c r="AQ16" s="187"/>
      <c r="AR16" s="184"/>
      <c r="AS16" s="554"/>
      <c r="AT16" s="190"/>
      <c r="AU16" s="190"/>
      <c r="AV16" s="187"/>
      <c r="AW16" s="184"/>
      <c r="AX16" s="554"/>
    </row>
    <row r="17" spans="2:50" ht="14.25" customHeight="1">
      <c r="B17" s="525"/>
      <c r="C17" s="182">
        <v>11</v>
      </c>
      <c r="D17" s="185"/>
      <c r="E17" s="182"/>
      <c r="F17" s="182"/>
      <c r="G17" s="187"/>
      <c r="H17" s="554"/>
      <c r="I17" s="188"/>
      <c r="J17" s="188"/>
      <c r="K17" s="189"/>
      <c r="L17" s="555"/>
      <c r="M17" s="188"/>
      <c r="N17" s="525"/>
      <c r="O17" s="525"/>
      <c r="P17" s="190"/>
      <c r="Q17" s="190"/>
      <c r="R17" s="187"/>
      <c r="S17" s="184"/>
      <c r="T17" s="554"/>
      <c r="U17" s="190"/>
      <c r="V17" s="190"/>
      <c r="W17" s="187"/>
      <c r="X17" s="184"/>
      <c r="Y17" s="554"/>
      <c r="Z17" s="190"/>
      <c r="AA17" s="190"/>
      <c r="AB17" s="187"/>
      <c r="AC17" s="184"/>
      <c r="AD17" s="554"/>
      <c r="AE17" s="190"/>
      <c r="AF17" s="190"/>
      <c r="AG17" s="187"/>
      <c r="AH17" s="184"/>
      <c r="AI17" s="554"/>
      <c r="AJ17" s="190"/>
      <c r="AK17" s="190"/>
      <c r="AL17" s="187"/>
      <c r="AM17" s="184"/>
      <c r="AN17" s="554"/>
      <c r="AO17" s="190"/>
      <c r="AP17" s="190"/>
      <c r="AQ17" s="187"/>
      <c r="AR17" s="184"/>
      <c r="AS17" s="554"/>
      <c r="AT17" s="190"/>
      <c r="AU17" s="190"/>
      <c r="AV17" s="187"/>
      <c r="AW17" s="184"/>
      <c r="AX17" s="554"/>
    </row>
    <row r="18" spans="2:50" ht="14.25" customHeight="1">
      <c r="B18" s="525"/>
      <c r="C18" s="182">
        <v>12</v>
      </c>
      <c r="D18" s="185"/>
      <c r="E18" s="182"/>
      <c r="F18" s="182"/>
      <c r="G18" s="187"/>
      <c r="H18" s="554"/>
      <c r="I18" s="188"/>
      <c r="J18" s="188"/>
      <c r="K18" s="189"/>
      <c r="L18" s="555"/>
      <c r="M18" s="188"/>
      <c r="N18" s="525"/>
      <c r="O18" s="525"/>
      <c r="P18" s="190"/>
      <c r="Q18" s="190"/>
      <c r="R18" s="187"/>
      <c r="S18" s="184"/>
      <c r="T18" s="554"/>
      <c r="U18" s="190"/>
      <c r="V18" s="190"/>
      <c r="W18" s="187"/>
      <c r="X18" s="184"/>
      <c r="Y18" s="554"/>
      <c r="Z18" s="190"/>
      <c r="AA18" s="190"/>
      <c r="AB18" s="187"/>
      <c r="AC18" s="184"/>
      <c r="AD18" s="554"/>
      <c r="AE18" s="190"/>
      <c r="AF18" s="190"/>
      <c r="AG18" s="187"/>
      <c r="AH18" s="184"/>
      <c r="AI18" s="554"/>
      <c r="AJ18" s="190"/>
      <c r="AK18" s="190"/>
      <c r="AL18" s="187"/>
      <c r="AM18" s="184"/>
      <c r="AN18" s="554"/>
      <c r="AO18" s="190"/>
      <c r="AP18" s="190"/>
      <c r="AQ18" s="187"/>
      <c r="AR18" s="184"/>
      <c r="AS18" s="554"/>
      <c r="AT18" s="190"/>
      <c r="AU18" s="190"/>
      <c r="AV18" s="187"/>
      <c r="AW18" s="184"/>
      <c r="AX18" s="554"/>
    </row>
    <row r="19" spans="2:50" ht="14.25" customHeight="1">
      <c r="B19" s="525"/>
      <c r="C19" s="182">
        <v>13</v>
      </c>
      <c r="D19" s="185"/>
      <c r="E19" s="182"/>
      <c r="F19" s="182"/>
      <c r="G19" s="187"/>
      <c r="H19" s="554"/>
      <c r="I19" s="188"/>
      <c r="J19" s="188"/>
      <c r="K19" s="189"/>
      <c r="L19" s="555"/>
      <c r="M19" s="188"/>
      <c r="N19" s="525"/>
      <c r="O19" s="525"/>
      <c r="P19" s="190"/>
      <c r="Q19" s="190"/>
      <c r="R19" s="187"/>
      <c r="S19" s="184"/>
      <c r="T19" s="554"/>
      <c r="U19" s="190"/>
      <c r="V19" s="190"/>
      <c r="W19" s="187"/>
      <c r="X19" s="184"/>
      <c r="Y19" s="554"/>
      <c r="Z19" s="190"/>
      <c r="AA19" s="190"/>
      <c r="AB19" s="187"/>
      <c r="AC19" s="184"/>
      <c r="AD19" s="554"/>
      <c r="AE19" s="190"/>
      <c r="AF19" s="190"/>
      <c r="AG19" s="187"/>
      <c r="AH19" s="184"/>
      <c r="AI19" s="554"/>
      <c r="AJ19" s="190"/>
      <c r="AK19" s="190"/>
      <c r="AL19" s="187"/>
      <c r="AM19" s="184"/>
      <c r="AN19" s="554"/>
      <c r="AO19" s="190"/>
      <c r="AP19" s="190"/>
      <c r="AQ19" s="187"/>
      <c r="AR19" s="184"/>
      <c r="AS19" s="554"/>
      <c r="AT19" s="190"/>
      <c r="AU19" s="190"/>
      <c r="AV19" s="187"/>
      <c r="AW19" s="184"/>
      <c r="AX19" s="554"/>
    </row>
    <row r="20" spans="2:50" ht="14.25" customHeight="1">
      <c r="B20" s="525"/>
      <c r="C20" s="182">
        <v>14</v>
      </c>
      <c r="D20" s="185"/>
      <c r="E20" s="182"/>
      <c r="F20" s="182"/>
      <c r="G20" s="187"/>
      <c r="H20" s="554"/>
      <c r="I20" s="188"/>
      <c r="J20" s="188"/>
      <c r="K20" s="189"/>
      <c r="L20" s="555"/>
      <c r="M20" s="188"/>
      <c r="N20" s="525"/>
      <c r="O20" s="525"/>
      <c r="P20" s="190"/>
      <c r="Q20" s="190"/>
      <c r="R20" s="187"/>
      <c r="S20" s="184"/>
      <c r="T20" s="554"/>
      <c r="U20" s="190"/>
      <c r="V20" s="190"/>
      <c r="W20" s="187"/>
      <c r="X20" s="184"/>
      <c r="Y20" s="554"/>
      <c r="Z20" s="190"/>
      <c r="AA20" s="190"/>
      <c r="AB20" s="187"/>
      <c r="AC20" s="184"/>
      <c r="AD20" s="554"/>
      <c r="AE20" s="190"/>
      <c r="AF20" s="190"/>
      <c r="AG20" s="187"/>
      <c r="AH20" s="184"/>
      <c r="AI20" s="554"/>
      <c r="AJ20" s="190"/>
      <c r="AK20" s="190"/>
      <c r="AL20" s="187"/>
      <c r="AM20" s="184"/>
      <c r="AN20" s="554"/>
      <c r="AO20" s="190"/>
      <c r="AP20" s="190"/>
      <c r="AQ20" s="187"/>
      <c r="AR20" s="184"/>
      <c r="AS20" s="554"/>
      <c r="AT20" s="190"/>
      <c r="AU20" s="190"/>
      <c r="AV20" s="187"/>
      <c r="AW20" s="184"/>
      <c r="AX20" s="554"/>
    </row>
    <row r="21" spans="2:50" ht="14.25" customHeight="1">
      <c r="B21" s="525"/>
      <c r="C21" s="182">
        <v>15</v>
      </c>
      <c r="D21" s="185"/>
      <c r="E21" s="182"/>
      <c r="F21" s="182"/>
      <c r="G21" s="187"/>
      <c r="H21" s="554"/>
      <c r="I21" s="188"/>
      <c r="J21" s="188"/>
      <c r="K21" s="189"/>
      <c r="L21" s="555"/>
      <c r="M21" s="188"/>
      <c r="N21" s="525"/>
      <c r="O21" s="525"/>
      <c r="P21" s="190"/>
      <c r="Q21" s="190"/>
      <c r="R21" s="187"/>
      <c r="S21" s="184"/>
      <c r="T21" s="554"/>
      <c r="U21" s="190"/>
      <c r="V21" s="190"/>
      <c r="W21" s="187"/>
      <c r="X21" s="184"/>
      <c r="Y21" s="554"/>
      <c r="Z21" s="190"/>
      <c r="AA21" s="190"/>
      <c r="AB21" s="187"/>
      <c r="AC21" s="184"/>
      <c r="AD21" s="554"/>
      <c r="AE21" s="190"/>
      <c r="AF21" s="190"/>
      <c r="AG21" s="187"/>
      <c r="AH21" s="184"/>
      <c r="AI21" s="554"/>
      <c r="AJ21" s="190"/>
      <c r="AK21" s="190"/>
      <c r="AL21" s="187"/>
      <c r="AM21" s="184"/>
      <c r="AN21" s="554"/>
      <c r="AO21" s="190"/>
      <c r="AP21" s="190"/>
      <c r="AQ21" s="187"/>
      <c r="AR21" s="184"/>
      <c r="AS21" s="554"/>
      <c r="AT21" s="190"/>
      <c r="AU21" s="190"/>
      <c r="AV21" s="187"/>
      <c r="AW21" s="184"/>
      <c r="AX21" s="554"/>
    </row>
    <row r="22" spans="2:50" ht="14.25" customHeight="1">
      <c r="B22" s="552" t="s">
        <v>645</v>
      </c>
      <c r="C22" s="535"/>
      <c r="D22" s="535"/>
      <c r="E22" s="535"/>
      <c r="F22" s="535"/>
      <c r="G22" s="535"/>
      <c r="H22" s="535"/>
      <c r="I22" s="535"/>
      <c r="J22" s="535"/>
      <c r="K22" s="535"/>
      <c r="L22" s="535"/>
      <c r="M22" s="536"/>
      <c r="N22" s="564" t="s">
        <v>378</v>
      </c>
      <c r="O22" s="564" t="s">
        <v>105</v>
      </c>
      <c r="P22" s="566">
        <v>46084</v>
      </c>
      <c r="Q22" s="567"/>
      <c r="R22" s="567"/>
      <c r="S22" s="567"/>
      <c r="T22" s="567"/>
      <c r="U22" s="568">
        <f>P22+1</f>
        <v>46085</v>
      </c>
      <c r="V22" s="569"/>
      <c r="W22" s="569"/>
      <c r="X22" s="569"/>
      <c r="Y22" s="569"/>
      <c r="Z22" s="566">
        <f t="shared" ref="Z22" si="19">U22+1</f>
        <v>46086</v>
      </c>
      <c r="AA22" s="567"/>
      <c r="AB22" s="567"/>
      <c r="AC22" s="567"/>
      <c r="AD22" s="567"/>
      <c r="AE22" s="568">
        <f t="shared" ref="AE22" si="20">Z22+1</f>
        <v>46087</v>
      </c>
      <c r="AF22" s="569"/>
      <c r="AG22" s="569"/>
      <c r="AH22" s="569"/>
      <c r="AI22" s="569"/>
      <c r="AJ22" s="556">
        <f t="shared" ref="AJ22" si="21">AE22+1</f>
        <v>46088</v>
      </c>
      <c r="AK22" s="557"/>
      <c r="AL22" s="557"/>
      <c r="AM22" s="557"/>
      <c r="AN22" s="558"/>
      <c r="AO22" s="568">
        <f t="shared" ref="AO22" si="22">AJ22+1</f>
        <v>46089</v>
      </c>
      <c r="AP22" s="569"/>
      <c r="AQ22" s="569"/>
      <c r="AR22" s="569"/>
      <c r="AS22" s="569"/>
      <c r="AT22" s="556">
        <f t="shared" ref="AT22" si="23">AO22+1</f>
        <v>46090</v>
      </c>
      <c r="AU22" s="557"/>
      <c r="AV22" s="557"/>
      <c r="AW22" s="557"/>
      <c r="AX22" s="558"/>
    </row>
    <row r="23" spans="2:50" ht="14.25" customHeight="1">
      <c r="B23" s="537"/>
      <c r="C23" s="537"/>
      <c r="D23" s="537"/>
      <c r="E23" s="537"/>
      <c r="F23" s="537"/>
      <c r="G23" s="537"/>
      <c r="H23" s="537"/>
      <c r="I23" s="537"/>
      <c r="J23" s="537"/>
      <c r="K23" s="537"/>
      <c r="L23" s="537"/>
      <c r="M23" s="538"/>
      <c r="N23" s="565"/>
      <c r="O23" s="565"/>
      <c r="P23" s="559">
        <v>46084</v>
      </c>
      <c r="Q23" s="559"/>
      <c r="R23" s="559"/>
      <c r="S23" s="559"/>
      <c r="T23" s="559"/>
      <c r="U23" s="560">
        <f>U22</f>
        <v>46085</v>
      </c>
      <c r="V23" s="560"/>
      <c r="W23" s="560"/>
      <c r="X23" s="560"/>
      <c r="Y23" s="560"/>
      <c r="Z23" s="559">
        <f t="shared" ref="Z23" si="24">Z22</f>
        <v>46086</v>
      </c>
      <c r="AA23" s="559"/>
      <c r="AB23" s="559"/>
      <c r="AC23" s="559"/>
      <c r="AD23" s="559"/>
      <c r="AE23" s="560">
        <f t="shared" ref="AE23" si="25">AE22</f>
        <v>46087</v>
      </c>
      <c r="AF23" s="560"/>
      <c r="AG23" s="560"/>
      <c r="AH23" s="560"/>
      <c r="AI23" s="560"/>
      <c r="AJ23" s="561">
        <f t="shared" ref="AJ23" si="26">AJ22</f>
        <v>46088</v>
      </c>
      <c r="AK23" s="562"/>
      <c r="AL23" s="562"/>
      <c r="AM23" s="562"/>
      <c r="AN23" s="563"/>
      <c r="AO23" s="560">
        <f t="shared" ref="AO23" si="27">AO22</f>
        <v>46089</v>
      </c>
      <c r="AP23" s="560"/>
      <c r="AQ23" s="560"/>
      <c r="AR23" s="560"/>
      <c r="AS23" s="560"/>
      <c r="AT23" s="561">
        <f t="shared" ref="AT23" si="28">AT22</f>
        <v>46090</v>
      </c>
      <c r="AU23" s="562"/>
      <c r="AV23" s="562"/>
      <c r="AW23" s="562"/>
      <c r="AX23" s="563"/>
    </row>
    <row r="24" spans="2:50" ht="14.25" customHeight="1">
      <c r="B24" s="525" t="s">
        <v>164</v>
      </c>
      <c r="C24" s="525" t="s">
        <v>159</v>
      </c>
      <c r="D24" s="525"/>
      <c r="E24" s="525" t="s">
        <v>160</v>
      </c>
      <c r="F24" s="525"/>
      <c r="G24" s="525"/>
      <c r="H24" s="525" t="s">
        <v>165</v>
      </c>
      <c r="I24" s="544" t="s">
        <v>379</v>
      </c>
      <c r="J24" s="544"/>
      <c r="K24" s="544"/>
      <c r="L24" s="544" t="s">
        <v>165</v>
      </c>
      <c r="M24" s="544" t="s">
        <v>167</v>
      </c>
      <c r="N24" s="525"/>
      <c r="O24" s="525" t="s">
        <v>166</v>
      </c>
      <c r="P24" s="525" t="s">
        <v>162</v>
      </c>
      <c r="Q24" s="525"/>
      <c r="R24" s="525"/>
      <c r="S24" s="525"/>
      <c r="T24" s="525" t="s">
        <v>165</v>
      </c>
      <c r="U24" s="525" t="s">
        <v>162</v>
      </c>
      <c r="V24" s="525"/>
      <c r="W24" s="525"/>
      <c r="X24" s="525"/>
      <c r="Y24" s="525" t="s">
        <v>165</v>
      </c>
      <c r="Z24" s="525" t="s">
        <v>162</v>
      </c>
      <c r="AA24" s="525"/>
      <c r="AB24" s="525"/>
      <c r="AC24" s="525"/>
      <c r="AD24" s="525" t="s">
        <v>165</v>
      </c>
      <c r="AE24" s="525" t="s">
        <v>162</v>
      </c>
      <c r="AF24" s="525"/>
      <c r="AG24" s="525"/>
      <c r="AH24" s="525"/>
      <c r="AI24" s="525" t="s">
        <v>165</v>
      </c>
      <c r="AJ24" s="525" t="s">
        <v>162</v>
      </c>
      <c r="AK24" s="525"/>
      <c r="AL24" s="525"/>
      <c r="AM24" s="525"/>
      <c r="AN24" s="525" t="s">
        <v>165</v>
      </c>
      <c r="AO24" s="525" t="s">
        <v>162</v>
      </c>
      <c r="AP24" s="525"/>
      <c r="AQ24" s="525"/>
      <c r="AR24" s="525"/>
      <c r="AS24" s="525" t="s">
        <v>165</v>
      </c>
      <c r="AT24" s="525" t="s">
        <v>162</v>
      </c>
      <c r="AU24" s="525"/>
      <c r="AV24" s="525"/>
      <c r="AW24" s="525"/>
      <c r="AX24" s="525" t="s">
        <v>165</v>
      </c>
    </row>
    <row r="25" spans="2:50" ht="14.25" customHeight="1">
      <c r="B25" s="525"/>
      <c r="C25" s="525"/>
      <c r="D25" s="525"/>
      <c r="E25" s="525" t="s">
        <v>380</v>
      </c>
      <c r="F25" s="525"/>
      <c r="G25" s="525"/>
      <c r="H25" s="525"/>
      <c r="I25" s="544" t="s">
        <v>380</v>
      </c>
      <c r="J25" s="544"/>
      <c r="K25" s="544"/>
      <c r="L25" s="544"/>
      <c r="M25" s="544"/>
      <c r="N25" s="525"/>
      <c r="O25" s="525"/>
      <c r="P25" s="525" t="s">
        <v>381</v>
      </c>
      <c r="Q25" s="525"/>
      <c r="R25" s="525"/>
      <c r="S25" s="525"/>
      <c r="T25" s="525"/>
      <c r="U25" s="525" t="s">
        <v>381</v>
      </c>
      <c r="V25" s="525"/>
      <c r="W25" s="525"/>
      <c r="X25" s="525"/>
      <c r="Y25" s="525"/>
      <c r="Z25" s="525" t="s">
        <v>381</v>
      </c>
      <c r="AA25" s="525"/>
      <c r="AB25" s="525"/>
      <c r="AC25" s="525"/>
      <c r="AD25" s="525"/>
      <c r="AE25" s="525" t="s">
        <v>381</v>
      </c>
      <c r="AF25" s="525"/>
      <c r="AG25" s="525"/>
      <c r="AH25" s="525"/>
      <c r="AI25" s="525"/>
      <c r="AJ25" s="525" t="s">
        <v>381</v>
      </c>
      <c r="AK25" s="525"/>
      <c r="AL25" s="525"/>
      <c r="AM25" s="525"/>
      <c r="AN25" s="525"/>
      <c r="AO25" s="525" t="s">
        <v>381</v>
      </c>
      <c r="AP25" s="525"/>
      <c r="AQ25" s="525"/>
      <c r="AR25" s="525"/>
      <c r="AS25" s="525"/>
      <c r="AT25" s="525" t="s">
        <v>381</v>
      </c>
      <c r="AU25" s="525"/>
      <c r="AV25" s="525"/>
      <c r="AW25" s="525"/>
      <c r="AX25" s="525"/>
    </row>
    <row r="26" spans="2:50" ht="14.25" customHeight="1">
      <c r="B26" s="525"/>
      <c r="C26" s="525"/>
      <c r="D26" s="525"/>
      <c r="E26" s="182" t="s">
        <v>161</v>
      </c>
      <c r="F26" s="182" t="s">
        <v>382</v>
      </c>
      <c r="G26" s="182" t="s">
        <v>163</v>
      </c>
      <c r="H26" s="525"/>
      <c r="I26" s="183" t="s">
        <v>161</v>
      </c>
      <c r="J26" s="183" t="s">
        <v>382</v>
      </c>
      <c r="K26" s="183" t="s">
        <v>163</v>
      </c>
      <c r="L26" s="544"/>
      <c r="M26" s="544"/>
      <c r="N26" s="525"/>
      <c r="O26" s="525"/>
      <c r="P26" s="182" t="s">
        <v>161</v>
      </c>
      <c r="Q26" s="182" t="s">
        <v>382</v>
      </c>
      <c r="R26" s="182" t="s">
        <v>163</v>
      </c>
      <c r="S26" s="184" t="s">
        <v>167</v>
      </c>
      <c r="T26" s="525"/>
      <c r="U26" s="182" t="s">
        <v>161</v>
      </c>
      <c r="V26" s="182" t="s">
        <v>382</v>
      </c>
      <c r="W26" s="182" t="s">
        <v>163</v>
      </c>
      <c r="X26" s="184" t="s">
        <v>167</v>
      </c>
      <c r="Y26" s="525"/>
      <c r="Z26" s="182" t="s">
        <v>161</v>
      </c>
      <c r="AA26" s="182" t="s">
        <v>382</v>
      </c>
      <c r="AB26" s="182" t="s">
        <v>163</v>
      </c>
      <c r="AC26" s="184" t="s">
        <v>167</v>
      </c>
      <c r="AD26" s="525"/>
      <c r="AE26" s="182" t="s">
        <v>161</v>
      </c>
      <c r="AF26" s="182" t="s">
        <v>382</v>
      </c>
      <c r="AG26" s="182" t="s">
        <v>163</v>
      </c>
      <c r="AH26" s="184" t="s">
        <v>167</v>
      </c>
      <c r="AI26" s="525"/>
      <c r="AJ26" s="182" t="s">
        <v>161</v>
      </c>
      <c r="AK26" s="182" t="s">
        <v>382</v>
      </c>
      <c r="AL26" s="182" t="s">
        <v>163</v>
      </c>
      <c r="AM26" s="184" t="s">
        <v>167</v>
      </c>
      <c r="AN26" s="525"/>
      <c r="AO26" s="182" t="s">
        <v>161</v>
      </c>
      <c r="AP26" s="182" t="s">
        <v>382</v>
      </c>
      <c r="AQ26" s="182" t="s">
        <v>163</v>
      </c>
      <c r="AR26" s="184" t="s">
        <v>167</v>
      </c>
      <c r="AS26" s="525"/>
      <c r="AT26" s="182" t="s">
        <v>161</v>
      </c>
      <c r="AU26" s="182" t="s">
        <v>382</v>
      </c>
      <c r="AV26" s="182" t="s">
        <v>163</v>
      </c>
      <c r="AW26" s="184" t="s">
        <v>167</v>
      </c>
      <c r="AX26" s="525"/>
    </row>
    <row r="27" spans="2:50" ht="14.25" customHeight="1">
      <c r="B27" s="525" t="s">
        <v>386</v>
      </c>
      <c r="C27" s="182">
        <v>1</v>
      </c>
      <c r="D27" s="185" t="s">
        <v>485</v>
      </c>
      <c r="E27" s="182">
        <v>19</v>
      </c>
      <c r="F27" s="182">
        <v>1800</v>
      </c>
      <c r="G27" s="187">
        <f t="shared" ref="G27" si="29">F27/E27</f>
        <v>94.736842105263165</v>
      </c>
      <c r="H27" s="554">
        <f>AVERAGE(G27:G41)</f>
        <v>94.736842105263165</v>
      </c>
      <c r="I27" s="188">
        <f>AVERAGE(P27,U27,Z27,AE27,AJ27,AO27,AT27)</f>
        <v>19</v>
      </c>
      <c r="J27" s="188">
        <f>AVERAGE(Q27,V27,AA27,AF27,AK27,AP27,AU27)</f>
        <v>1607.427055702919</v>
      </c>
      <c r="K27" s="189">
        <f>AVERAGE(R27,W27,AB27,AG27,AL27,AQ27,AV27)</f>
        <v>84.60142398436416</v>
      </c>
      <c r="L27" s="555">
        <f>IFERROR(AVERAGE(K27:K41),"-")</f>
        <v>84.60142398436416</v>
      </c>
      <c r="M27" s="188">
        <f>RANK(K27, K$27:$K$41)</f>
        <v>1</v>
      </c>
      <c r="N27" s="525"/>
      <c r="O27" s="525"/>
      <c r="P27" s="190">
        <v>19</v>
      </c>
      <c r="Q27" s="190">
        <v>1607.427055702919</v>
      </c>
      <c r="R27" s="187">
        <f>IFERROR(Q27/P27,"")</f>
        <v>84.60142398436416</v>
      </c>
      <c r="S27" s="184">
        <f>RANK(R27, R$27:R$41)</f>
        <v>1</v>
      </c>
      <c r="T27" s="554">
        <f>AVERAGE(R27:R41)</f>
        <v>84.60142398436416</v>
      </c>
      <c r="U27" s="190"/>
      <c r="V27" s="190"/>
      <c r="W27" s="187"/>
      <c r="X27" s="184"/>
      <c r="Y27" s="554"/>
      <c r="Z27" s="190"/>
      <c r="AA27" s="190"/>
      <c r="AB27" s="187"/>
      <c r="AC27" s="184"/>
      <c r="AD27" s="554"/>
      <c r="AE27" s="190"/>
      <c r="AF27" s="190"/>
      <c r="AG27" s="187"/>
      <c r="AH27" s="184"/>
      <c r="AI27" s="554"/>
      <c r="AJ27" s="190"/>
      <c r="AK27" s="190"/>
      <c r="AL27" s="187"/>
      <c r="AM27" s="184"/>
      <c r="AN27" s="554"/>
      <c r="AO27" s="190"/>
      <c r="AP27" s="190"/>
      <c r="AQ27" s="187"/>
      <c r="AR27" s="184"/>
      <c r="AS27" s="554"/>
      <c r="AT27" s="190"/>
      <c r="AU27" s="190"/>
      <c r="AV27" s="187"/>
      <c r="AW27" s="184"/>
      <c r="AX27" s="554"/>
    </row>
    <row r="28" spans="2:50" ht="14.25" customHeight="1">
      <c r="B28" s="525"/>
      <c r="C28" s="182">
        <v>2</v>
      </c>
      <c r="D28" s="185"/>
      <c r="E28" s="182"/>
      <c r="F28" s="182"/>
      <c r="G28" s="187"/>
      <c r="H28" s="554"/>
      <c r="I28" s="188"/>
      <c r="J28" s="188"/>
      <c r="K28" s="189"/>
      <c r="L28" s="555"/>
      <c r="M28" s="188"/>
      <c r="N28" s="525"/>
      <c r="O28" s="525"/>
      <c r="P28" s="190"/>
      <c r="Q28" s="190"/>
      <c r="R28" s="187"/>
      <c r="S28" s="184"/>
      <c r="T28" s="554"/>
      <c r="U28" s="190"/>
      <c r="V28" s="190"/>
      <c r="W28" s="187"/>
      <c r="X28" s="184"/>
      <c r="Y28" s="554"/>
      <c r="Z28" s="190"/>
      <c r="AA28" s="190"/>
      <c r="AB28" s="187"/>
      <c r="AC28" s="184"/>
      <c r="AD28" s="554"/>
      <c r="AE28" s="190"/>
      <c r="AF28" s="190"/>
      <c r="AG28" s="187"/>
      <c r="AH28" s="184"/>
      <c r="AI28" s="554"/>
      <c r="AJ28" s="190"/>
      <c r="AK28" s="190"/>
      <c r="AL28" s="187"/>
      <c r="AM28" s="184"/>
      <c r="AN28" s="554"/>
      <c r="AO28" s="190"/>
      <c r="AP28" s="190"/>
      <c r="AQ28" s="187"/>
      <c r="AR28" s="184"/>
      <c r="AS28" s="554"/>
      <c r="AT28" s="190"/>
      <c r="AU28" s="190"/>
      <c r="AV28" s="187"/>
      <c r="AW28" s="184"/>
      <c r="AX28" s="554"/>
    </row>
    <row r="29" spans="2:50" ht="14.25" customHeight="1">
      <c r="B29" s="525"/>
      <c r="C29" s="182">
        <v>3</v>
      </c>
      <c r="D29" s="185"/>
      <c r="E29" s="182"/>
      <c r="F29" s="182"/>
      <c r="G29" s="187"/>
      <c r="H29" s="554"/>
      <c r="I29" s="188"/>
      <c r="J29" s="188"/>
      <c r="K29" s="189"/>
      <c r="L29" s="555"/>
      <c r="M29" s="188"/>
      <c r="N29" s="525"/>
      <c r="O29" s="525"/>
      <c r="P29" s="190"/>
      <c r="Q29" s="190"/>
      <c r="R29" s="187"/>
      <c r="S29" s="184"/>
      <c r="T29" s="554"/>
      <c r="U29" s="190"/>
      <c r="V29" s="190"/>
      <c r="W29" s="187"/>
      <c r="X29" s="184"/>
      <c r="Y29" s="554"/>
      <c r="Z29" s="190"/>
      <c r="AA29" s="190"/>
      <c r="AB29" s="187"/>
      <c r="AC29" s="184"/>
      <c r="AD29" s="554"/>
      <c r="AE29" s="190"/>
      <c r="AF29" s="190"/>
      <c r="AG29" s="187"/>
      <c r="AH29" s="184"/>
      <c r="AI29" s="554"/>
      <c r="AJ29" s="190"/>
      <c r="AK29" s="190"/>
      <c r="AL29" s="187"/>
      <c r="AM29" s="184"/>
      <c r="AN29" s="554"/>
      <c r="AO29" s="190"/>
      <c r="AP29" s="190"/>
      <c r="AQ29" s="187"/>
      <c r="AR29" s="184"/>
      <c r="AS29" s="554"/>
      <c r="AT29" s="190"/>
      <c r="AU29" s="190"/>
      <c r="AV29" s="187"/>
      <c r="AW29" s="184"/>
      <c r="AX29" s="554"/>
    </row>
    <row r="30" spans="2:50" ht="14.25" customHeight="1">
      <c r="B30" s="525"/>
      <c r="C30" s="182">
        <v>4</v>
      </c>
      <c r="D30" s="185"/>
      <c r="E30" s="182"/>
      <c r="F30" s="182"/>
      <c r="G30" s="187"/>
      <c r="H30" s="554"/>
      <c r="I30" s="188"/>
      <c r="J30" s="188"/>
      <c r="K30" s="189"/>
      <c r="L30" s="555"/>
      <c r="M30" s="188"/>
      <c r="N30" s="525"/>
      <c r="O30" s="525"/>
      <c r="P30" s="190"/>
      <c r="Q30" s="190"/>
      <c r="R30" s="187"/>
      <c r="S30" s="184"/>
      <c r="T30" s="554"/>
      <c r="U30" s="190"/>
      <c r="V30" s="190"/>
      <c r="W30" s="187"/>
      <c r="X30" s="184"/>
      <c r="Y30" s="554"/>
      <c r="Z30" s="190"/>
      <c r="AA30" s="190"/>
      <c r="AB30" s="187"/>
      <c r="AC30" s="184"/>
      <c r="AD30" s="554"/>
      <c r="AE30" s="190"/>
      <c r="AF30" s="190"/>
      <c r="AG30" s="187"/>
      <c r="AH30" s="184"/>
      <c r="AI30" s="554"/>
      <c r="AJ30" s="190"/>
      <c r="AK30" s="190"/>
      <c r="AL30" s="187"/>
      <c r="AM30" s="184"/>
      <c r="AN30" s="554"/>
      <c r="AO30" s="190"/>
      <c r="AP30" s="190"/>
      <c r="AQ30" s="187"/>
      <c r="AR30" s="184"/>
      <c r="AS30" s="554"/>
      <c r="AT30" s="190"/>
      <c r="AU30" s="190"/>
      <c r="AV30" s="187"/>
      <c r="AW30" s="184"/>
      <c r="AX30" s="554"/>
    </row>
    <row r="31" spans="2:50" ht="14.25" customHeight="1">
      <c r="B31" s="525"/>
      <c r="C31" s="182">
        <v>5</v>
      </c>
      <c r="D31" s="185"/>
      <c r="E31" s="182"/>
      <c r="F31" s="182"/>
      <c r="G31" s="187"/>
      <c r="H31" s="554"/>
      <c r="I31" s="188"/>
      <c r="J31" s="188"/>
      <c r="K31" s="189"/>
      <c r="L31" s="555"/>
      <c r="M31" s="188"/>
      <c r="N31" s="525"/>
      <c r="O31" s="525"/>
      <c r="P31" s="190"/>
      <c r="Q31" s="190"/>
      <c r="R31" s="187"/>
      <c r="S31" s="184"/>
      <c r="T31" s="554"/>
      <c r="U31" s="190"/>
      <c r="V31" s="190"/>
      <c r="W31" s="187"/>
      <c r="X31" s="184"/>
      <c r="Y31" s="554"/>
      <c r="Z31" s="190"/>
      <c r="AA31" s="190"/>
      <c r="AB31" s="187"/>
      <c r="AC31" s="184"/>
      <c r="AD31" s="554"/>
      <c r="AE31" s="190"/>
      <c r="AF31" s="190"/>
      <c r="AG31" s="187"/>
      <c r="AH31" s="184"/>
      <c r="AI31" s="554"/>
      <c r="AJ31" s="190"/>
      <c r="AK31" s="190"/>
      <c r="AL31" s="187"/>
      <c r="AM31" s="184"/>
      <c r="AN31" s="554"/>
      <c r="AO31" s="190"/>
      <c r="AP31" s="190"/>
      <c r="AQ31" s="187"/>
      <c r="AR31" s="184"/>
      <c r="AS31" s="554"/>
      <c r="AT31" s="190"/>
      <c r="AU31" s="190"/>
      <c r="AV31" s="187"/>
      <c r="AW31" s="184"/>
      <c r="AX31" s="554"/>
    </row>
    <row r="32" spans="2:50" ht="14.25" customHeight="1">
      <c r="B32" s="525"/>
      <c r="C32" s="182">
        <v>6</v>
      </c>
      <c r="D32" s="185"/>
      <c r="E32" s="182"/>
      <c r="F32" s="182"/>
      <c r="G32" s="187"/>
      <c r="H32" s="554"/>
      <c r="I32" s="188"/>
      <c r="J32" s="188"/>
      <c r="K32" s="189"/>
      <c r="L32" s="555"/>
      <c r="M32" s="188"/>
      <c r="N32" s="525"/>
      <c r="O32" s="525"/>
      <c r="P32" s="190"/>
      <c r="Q32" s="190"/>
      <c r="R32" s="187"/>
      <c r="S32" s="184"/>
      <c r="T32" s="554"/>
      <c r="U32" s="190"/>
      <c r="V32" s="190"/>
      <c r="W32" s="187"/>
      <c r="X32" s="184"/>
      <c r="Y32" s="554"/>
      <c r="Z32" s="190"/>
      <c r="AA32" s="190"/>
      <c r="AB32" s="187"/>
      <c r="AC32" s="184"/>
      <c r="AD32" s="554"/>
      <c r="AE32" s="190"/>
      <c r="AF32" s="190"/>
      <c r="AG32" s="187"/>
      <c r="AH32" s="184"/>
      <c r="AI32" s="554"/>
      <c r="AJ32" s="190"/>
      <c r="AK32" s="190"/>
      <c r="AL32" s="187"/>
      <c r="AM32" s="184"/>
      <c r="AN32" s="554"/>
      <c r="AO32" s="190"/>
      <c r="AP32" s="190"/>
      <c r="AQ32" s="187"/>
      <c r="AR32" s="184"/>
      <c r="AS32" s="554"/>
      <c r="AT32" s="190"/>
      <c r="AU32" s="190"/>
      <c r="AV32" s="187"/>
      <c r="AW32" s="184"/>
      <c r="AX32" s="554"/>
    </row>
    <row r="33" spans="2:50" ht="14.25" customHeight="1">
      <c r="B33" s="525"/>
      <c r="C33" s="182">
        <v>7</v>
      </c>
      <c r="D33" s="185"/>
      <c r="E33" s="182"/>
      <c r="F33" s="182"/>
      <c r="G33" s="187"/>
      <c r="H33" s="554"/>
      <c r="I33" s="188"/>
      <c r="J33" s="188"/>
      <c r="K33" s="189"/>
      <c r="L33" s="555"/>
      <c r="M33" s="188"/>
      <c r="N33" s="525"/>
      <c r="O33" s="525"/>
      <c r="P33" s="190"/>
      <c r="Q33" s="190"/>
      <c r="R33" s="187"/>
      <c r="S33" s="184"/>
      <c r="T33" s="554"/>
      <c r="U33" s="190"/>
      <c r="V33" s="190"/>
      <c r="W33" s="187"/>
      <c r="X33" s="184"/>
      <c r="Y33" s="554"/>
      <c r="Z33" s="190"/>
      <c r="AA33" s="190"/>
      <c r="AB33" s="187"/>
      <c r="AC33" s="184"/>
      <c r="AD33" s="554"/>
      <c r="AE33" s="190"/>
      <c r="AF33" s="190"/>
      <c r="AG33" s="187"/>
      <c r="AH33" s="184"/>
      <c r="AI33" s="554"/>
      <c r="AJ33" s="190"/>
      <c r="AK33" s="190"/>
      <c r="AL33" s="187"/>
      <c r="AM33" s="184"/>
      <c r="AN33" s="554"/>
      <c r="AO33" s="190"/>
      <c r="AP33" s="190"/>
      <c r="AQ33" s="187"/>
      <c r="AR33" s="184"/>
      <c r="AS33" s="554"/>
      <c r="AT33" s="190"/>
      <c r="AU33" s="190"/>
      <c r="AV33" s="187"/>
      <c r="AW33" s="184"/>
      <c r="AX33" s="554"/>
    </row>
    <row r="34" spans="2:50" ht="14.25" customHeight="1">
      <c r="B34" s="525"/>
      <c r="C34" s="182">
        <v>8</v>
      </c>
      <c r="D34" s="185"/>
      <c r="E34" s="182"/>
      <c r="F34" s="182"/>
      <c r="G34" s="187"/>
      <c r="H34" s="554"/>
      <c r="I34" s="188"/>
      <c r="J34" s="188"/>
      <c r="K34" s="189"/>
      <c r="L34" s="555"/>
      <c r="M34" s="188"/>
      <c r="N34" s="525"/>
      <c r="O34" s="525"/>
      <c r="P34" s="190"/>
      <c r="Q34" s="190"/>
      <c r="R34" s="187"/>
      <c r="S34" s="184"/>
      <c r="T34" s="554"/>
      <c r="U34" s="190"/>
      <c r="V34" s="190"/>
      <c r="W34" s="187"/>
      <c r="X34" s="184"/>
      <c r="Y34" s="554"/>
      <c r="Z34" s="190"/>
      <c r="AA34" s="190"/>
      <c r="AB34" s="187"/>
      <c r="AC34" s="184"/>
      <c r="AD34" s="554"/>
      <c r="AE34" s="190"/>
      <c r="AF34" s="190"/>
      <c r="AG34" s="187"/>
      <c r="AH34" s="184"/>
      <c r="AI34" s="554"/>
      <c r="AJ34" s="190"/>
      <c r="AK34" s="190"/>
      <c r="AL34" s="187"/>
      <c r="AM34" s="184"/>
      <c r="AN34" s="554"/>
      <c r="AO34" s="190"/>
      <c r="AP34" s="190"/>
      <c r="AQ34" s="187"/>
      <c r="AR34" s="184"/>
      <c r="AS34" s="554"/>
      <c r="AT34" s="190"/>
      <c r="AU34" s="190"/>
      <c r="AV34" s="187"/>
      <c r="AW34" s="184"/>
      <c r="AX34" s="554"/>
    </row>
    <row r="35" spans="2:50" ht="14.25" customHeight="1">
      <c r="B35" s="525"/>
      <c r="C35" s="182">
        <v>9</v>
      </c>
      <c r="D35" s="185"/>
      <c r="E35" s="182"/>
      <c r="F35" s="182"/>
      <c r="G35" s="187"/>
      <c r="H35" s="554"/>
      <c r="I35" s="188"/>
      <c r="J35" s="188"/>
      <c r="K35" s="189"/>
      <c r="L35" s="555"/>
      <c r="M35" s="188"/>
      <c r="N35" s="525"/>
      <c r="O35" s="525"/>
      <c r="P35" s="190"/>
      <c r="Q35" s="190"/>
      <c r="R35" s="187"/>
      <c r="S35" s="184"/>
      <c r="T35" s="554"/>
      <c r="U35" s="190"/>
      <c r="V35" s="190"/>
      <c r="W35" s="187"/>
      <c r="X35" s="184"/>
      <c r="Y35" s="554"/>
      <c r="Z35" s="190"/>
      <c r="AA35" s="190"/>
      <c r="AB35" s="187"/>
      <c r="AC35" s="184"/>
      <c r="AD35" s="554"/>
      <c r="AE35" s="190"/>
      <c r="AF35" s="190"/>
      <c r="AG35" s="187"/>
      <c r="AH35" s="184"/>
      <c r="AI35" s="554"/>
      <c r="AJ35" s="190"/>
      <c r="AK35" s="190"/>
      <c r="AL35" s="187"/>
      <c r="AM35" s="184"/>
      <c r="AN35" s="554"/>
      <c r="AO35" s="190"/>
      <c r="AP35" s="190"/>
      <c r="AQ35" s="187"/>
      <c r="AR35" s="184"/>
      <c r="AS35" s="554"/>
      <c r="AT35" s="190"/>
      <c r="AU35" s="190"/>
      <c r="AV35" s="187"/>
      <c r="AW35" s="184"/>
      <c r="AX35" s="554"/>
    </row>
    <row r="36" spans="2:50" ht="14.25" customHeight="1">
      <c r="B36" s="525"/>
      <c r="C36" s="182">
        <v>10</v>
      </c>
      <c r="D36" s="185"/>
      <c r="E36" s="182"/>
      <c r="F36" s="182"/>
      <c r="G36" s="187"/>
      <c r="H36" s="554"/>
      <c r="I36" s="188"/>
      <c r="J36" s="188"/>
      <c r="K36" s="189"/>
      <c r="L36" s="555"/>
      <c r="M36" s="188"/>
      <c r="N36" s="525"/>
      <c r="O36" s="525"/>
      <c r="P36" s="190"/>
      <c r="Q36" s="190"/>
      <c r="R36" s="187"/>
      <c r="S36" s="184"/>
      <c r="T36" s="554"/>
      <c r="U36" s="190"/>
      <c r="V36" s="190"/>
      <c r="W36" s="187"/>
      <c r="X36" s="184"/>
      <c r="Y36" s="554"/>
      <c r="Z36" s="190"/>
      <c r="AA36" s="190"/>
      <c r="AB36" s="187"/>
      <c r="AC36" s="184"/>
      <c r="AD36" s="554"/>
      <c r="AE36" s="190"/>
      <c r="AF36" s="190"/>
      <c r="AG36" s="187"/>
      <c r="AH36" s="184"/>
      <c r="AI36" s="554"/>
      <c r="AJ36" s="190"/>
      <c r="AK36" s="190"/>
      <c r="AL36" s="187"/>
      <c r="AM36" s="184"/>
      <c r="AN36" s="554"/>
      <c r="AO36" s="190"/>
      <c r="AP36" s="190"/>
      <c r="AQ36" s="187"/>
      <c r="AR36" s="184"/>
      <c r="AS36" s="554"/>
      <c r="AT36" s="190"/>
      <c r="AU36" s="190"/>
      <c r="AV36" s="187"/>
      <c r="AW36" s="184"/>
      <c r="AX36" s="554"/>
    </row>
    <row r="37" spans="2:50" ht="14.25" customHeight="1">
      <c r="B37" s="525"/>
      <c r="C37" s="182">
        <v>11</v>
      </c>
      <c r="D37" s="185"/>
      <c r="E37" s="182"/>
      <c r="F37" s="182"/>
      <c r="G37" s="187"/>
      <c r="H37" s="554"/>
      <c r="I37" s="188"/>
      <c r="J37" s="188"/>
      <c r="K37" s="189"/>
      <c r="L37" s="555"/>
      <c r="M37" s="188"/>
      <c r="N37" s="525"/>
      <c r="O37" s="525"/>
      <c r="P37" s="190"/>
      <c r="Q37" s="190"/>
      <c r="R37" s="187"/>
      <c r="S37" s="184"/>
      <c r="T37" s="554"/>
      <c r="U37" s="190"/>
      <c r="V37" s="190"/>
      <c r="W37" s="187"/>
      <c r="X37" s="184"/>
      <c r="Y37" s="554"/>
      <c r="Z37" s="190"/>
      <c r="AA37" s="190"/>
      <c r="AB37" s="187"/>
      <c r="AC37" s="184"/>
      <c r="AD37" s="554"/>
      <c r="AE37" s="190"/>
      <c r="AF37" s="190"/>
      <c r="AG37" s="187"/>
      <c r="AH37" s="184"/>
      <c r="AI37" s="554"/>
      <c r="AJ37" s="190"/>
      <c r="AK37" s="190"/>
      <c r="AL37" s="187"/>
      <c r="AM37" s="184"/>
      <c r="AN37" s="554"/>
      <c r="AO37" s="190"/>
      <c r="AP37" s="190"/>
      <c r="AQ37" s="187"/>
      <c r="AR37" s="184"/>
      <c r="AS37" s="554"/>
      <c r="AT37" s="190"/>
      <c r="AU37" s="190"/>
      <c r="AV37" s="187"/>
      <c r="AW37" s="184"/>
      <c r="AX37" s="554"/>
    </row>
    <row r="38" spans="2:50" ht="14.25" customHeight="1">
      <c r="B38" s="525"/>
      <c r="C38" s="182">
        <v>12</v>
      </c>
      <c r="D38" s="185"/>
      <c r="E38" s="182"/>
      <c r="F38" s="182"/>
      <c r="G38" s="187"/>
      <c r="H38" s="554"/>
      <c r="I38" s="188"/>
      <c r="J38" s="188"/>
      <c r="K38" s="189"/>
      <c r="L38" s="555"/>
      <c r="M38" s="188"/>
      <c r="N38" s="525"/>
      <c r="O38" s="525"/>
      <c r="P38" s="190"/>
      <c r="Q38" s="190"/>
      <c r="R38" s="187"/>
      <c r="S38" s="184"/>
      <c r="T38" s="554"/>
      <c r="U38" s="190"/>
      <c r="V38" s="190"/>
      <c r="W38" s="187"/>
      <c r="X38" s="184"/>
      <c r="Y38" s="554"/>
      <c r="Z38" s="190"/>
      <c r="AA38" s="190"/>
      <c r="AB38" s="187"/>
      <c r="AC38" s="184"/>
      <c r="AD38" s="554"/>
      <c r="AE38" s="190"/>
      <c r="AF38" s="190"/>
      <c r="AG38" s="187"/>
      <c r="AH38" s="184"/>
      <c r="AI38" s="554"/>
      <c r="AJ38" s="190"/>
      <c r="AK38" s="190"/>
      <c r="AL38" s="187"/>
      <c r="AM38" s="184"/>
      <c r="AN38" s="554"/>
      <c r="AO38" s="190"/>
      <c r="AP38" s="190"/>
      <c r="AQ38" s="187"/>
      <c r="AR38" s="184"/>
      <c r="AS38" s="554"/>
      <c r="AT38" s="190"/>
      <c r="AU38" s="190"/>
      <c r="AV38" s="187"/>
      <c r="AW38" s="184"/>
      <c r="AX38" s="554"/>
    </row>
    <row r="39" spans="2:50" ht="14.25" customHeight="1">
      <c r="B39" s="525"/>
      <c r="C39" s="182">
        <v>13</v>
      </c>
      <c r="D39" s="185"/>
      <c r="E39" s="182"/>
      <c r="F39" s="182"/>
      <c r="G39" s="187"/>
      <c r="H39" s="554"/>
      <c r="I39" s="188"/>
      <c r="J39" s="188"/>
      <c r="K39" s="189"/>
      <c r="L39" s="555"/>
      <c r="M39" s="188"/>
      <c r="N39" s="525"/>
      <c r="O39" s="525"/>
      <c r="P39" s="190"/>
      <c r="Q39" s="190"/>
      <c r="R39" s="187"/>
      <c r="S39" s="184"/>
      <c r="T39" s="554"/>
      <c r="U39" s="190"/>
      <c r="V39" s="190"/>
      <c r="W39" s="187"/>
      <c r="X39" s="184"/>
      <c r="Y39" s="554"/>
      <c r="Z39" s="190"/>
      <c r="AA39" s="190"/>
      <c r="AB39" s="187"/>
      <c r="AC39" s="184"/>
      <c r="AD39" s="554"/>
      <c r="AE39" s="190"/>
      <c r="AF39" s="190"/>
      <c r="AG39" s="187"/>
      <c r="AH39" s="184"/>
      <c r="AI39" s="554"/>
      <c r="AJ39" s="190"/>
      <c r="AK39" s="190"/>
      <c r="AL39" s="187"/>
      <c r="AM39" s="184"/>
      <c r="AN39" s="554"/>
      <c r="AO39" s="190"/>
      <c r="AP39" s="190"/>
      <c r="AQ39" s="187"/>
      <c r="AR39" s="184"/>
      <c r="AS39" s="554"/>
      <c r="AT39" s="190"/>
      <c r="AU39" s="190"/>
      <c r="AV39" s="187"/>
      <c r="AW39" s="184"/>
      <c r="AX39" s="554"/>
    </row>
    <row r="40" spans="2:50" ht="14.25" customHeight="1">
      <c r="B40" s="525"/>
      <c r="C40" s="182">
        <v>14</v>
      </c>
      <c r="D40" s="185"/>
      <c r="E40" s="182"/>
      <c r="F40" s="182"/>
      <c r="G40" s="187"/>
      <c r="H40" s="554"/>
      <c r="I40" s="188"/>
      <c r="J40" s="188"/>
      <c r="K40" s="189"/>
      <c r="L40" s="555"/>
      <c r="M40" s="188"/>
      <c r="N40" s="525"/>
      <c r="O40" s="525"/>
      <c r="P40" s="190"/>
      <c r="Q40" s="190"/>
      <c r="R40" s="187"/>
      <c r="S40" s="184"/>
      <c r="T40" s="554"/>
      <c r="U40" s="190"/>
      <c r="V40" s="190"/>
      <c r="W40" s="187"/>
      <c r="X40" s="184"/>
      <c r="Y40" s="554"/>
      <c r="Z40" s="190"/>
      <c r="AA40" s="190"/>
      <c r="AB40" s="187"/>
      <c r="AC40" s="184"/>
      <c r="AD40" s="554"/>
      <c r="AE40" s="190"/>
      <c r="AF40" s="190"/>
      <c r="AG40" s="187"/>
      <c r="AH40" s="184"/>
      <c r="AI40" s="554"/>
      <c r="AJ40" s="190"/>
      <c r="AK40" s="190"/>
      <c r="AL40" s="187"/>
      <c r="AM40" s="184"/>
      <c r="AN40" s="554"/>
      <c r="AO40" s="190"/>
      <c r="AP40" s="190"/>
      <c r="AQ40" s="187"/>
      <c r="AR40" s="184"/>
      <c r="AS40" s="554"/>
      <c r="AT40" s="190"/>
      <c r="AU40" s="190"/>
      <c r="AV40" s="187"/>
      <c r="AW40" s="184"/>
      <c r="AX40" s="554"/>
    </row>
    <row r="41" spans="2:50" ht="14.25" customHeight="1">
      <c r="B41" s="525"/>
      <c r="C41" s="182">
        <v>15</v>
      </c>
      <c r="D41" s="185"/>
      <c r="E41" s="182"/>
      <c r="F41" s="182"/>
      <c r="G41" s="187"/>
      <c r="H41" s="554"/>
      <c r="I41" s="188"/>
      <c r="J41" s="188"/>
      <c r="K41" s="189"/>
      <c r="L41" s="555"/>
      <c r="M41" s="188"/>
      <c r="N41" s="525"/>
      <c r="O41" s="525"/>
      <c r="P41" s="190"/>
      <c r="Q41" s="190"/>
      <c r="R41" s="187"/>
      <c r="S41" s="184"/>
      <c r="T41" s="554"/>
      <c r="U41" s="190"/>
      <c r="V41" s="190"/>
      <c r="W41" s="187"/>
      <c r="X41" s="184"/>
      <c r="Y41" s="554"/>
      <c r="Z41" s="190"/>
      <c r="AA41" s="190"/>
      <c r="AB41" s="187"/>
      <c r="AC41" s="184"/>
      <c r="AD41" s="554"/>
      <c r="AE41" s="190"/>
      <c r="AF41" s="190"/>
      <c r="AG41" s="187"/>
      <c r="AH41" s="184"/>
      <c r="AI41" s="554"/>
      <c r="AJ41" s="190"/>
      <c r="AK41" s="190"/>
      <c r="AL41" s="187"/>
      <c r="AM41" s="184"/>
      <c r="AN41" s="554"/>
      <c r="AO41" s="190"/>
      <c r="AP41" s="190"/>
      <c r="AQ41" s="187"/>
      <c r="AR41" s="184"/>
      <c r="AS41" s="554"/>
      <c r="AT41" s="190"/>
      <c r="AU41" s="190"/>
      <c r="AV41" s="187"/>
      <c r="AW41" s="184"/>
      <c r="AX41" s="554"/>
    </row>
    <row r="42" spans="2:50" ht="14.25" customHeight="1" collapsed="1">
      <c r="B42" s="552" t="s">
        <v>646</v>
      </c>
      <c r="C42" s="535"/>
      <c r="D42" s="535"/>
      <c r="E42" s="535"/>
      <c r="F42" s="535"/>
      <c r="G42" s="535"/>
      <c r="H42" s="535"/>
      <c r="I42" s="535"/>
      <c r="J42" s="535"/>
      <c r="K42" s="535"/>
      <c r="L42" s="535"/>
      <c r="M42" s="536"/>
      <c r="N42" s="564" t="s">
        <v>378</v>
      </c>
      <c r="O42" s="564" t="s">
        <v>105</v>
      </c>
      <c r="P42" s="566">
        <f>AT22+1</f>
        <v>46091</v>
      </c>
      <c r="Q42" s="567"/>
      <c r="R42" s="567"/>
      <c r="S42" s="567"/>
      <c r="T42" s="567"/>
      <c r="U42" s="568">
        <f>P42+1</f>
        <v>46092</v>
      </c>
      <c r="V42" s="569"/>
      <c r="W42" s="569"/>
      <c r="X42" s="569"/>
      <c r="Y42" s="569"/>
      <c r="Z42" s="566">
        <f t="shared" ref="Z42" si="30">U42+1</f>
        <v>46093</v>
      </c>
      <c r="AA42" s="567"/>
      <c r="AB42" s="567"/>
      <c r="AC42" s="567"/>
      <c r="AD42" s="567"/>
      <c r="AE42" s="568">
        <f t="shared" ref="AE42" si="31">Z42+1</f>
        <v>46094</v>
      </c>
      <c r="AF42" s="569"/>
      <c r="AG42" s="569"/>
      <c r="AH42" s="569"/>
      <c r="AI42" s="569"/>
      <c r="AJ42" s="556">
        <f t="shared" ref="AJ42" si="32">AE42+1</f>
        <v>46095</v>
      </c>
      <c r="AK42" s="557"/>
      <c r="AL42" s="557"/>
      <c r="AM42" s="557"/>
      <c r="AN42" s="558"/>
      <c r="AO42" s="568">
        <f t="shared" ref="AO42" si="33">AJ42+1</f>
        <v>46096</v>
      </c>
      <c r="AP42" s="569"/>
      <c r="AQ42" s="569"/>
      <c r="AR42" s="569"/>
      <c r="AS42" s="569"/>
      <c r="AT42" s="556">
        <f t="shared" ref="AT42" si="34">AO42+1</f>
        <v>46097</v>
      </c>
      <c r="AU42" s="557"/>
      <c r="AV42" s="557"/>
      <c r="AW42" s="557"/>
      <c r="AX42" s="558"/>
    </row>
    <row r="43" spans="2:50" ht="14.25" customHeight="1">
      <c r="B43" s="537"/>
      <c r="C43" s="537"/>
      <c r="D43" s="537"/>
      <c r="E43" s="537"/>
      <c r="F43" s="537"/>
      <c r="G43" s="537"/>
      <c r="H43" s="537"/>
      <c r="I43" s="537"/>
      <c r="J43" s="537"/>
      <c r="K43" s="537"/>
      <c r="L43" s="537"/>
      <c r="M43" s="538"/>
      <c r="N43" s="565"/>
      <c r="O43" s="565"/>
      <c r="P43" s="559">
        <f>P42</f>
        <v>46091</v>
      </c>
      <c r="Q43" s="559"/>
      <c r="R43" s="559"/>
      <c r="S43" s="559"/>
      <c r="T43" s="559"/>
      <c r="U43" s="560">
        <f>U42</f>
        <v>46092</v>
      </c>
      <c r="V43" s="560"/>
      <c r="W43" s="560"/>
      <c r="X43" s="560"/>
      <c r="Y43" s="560"/>
      <c r="Z43" s="559">
        <f t="shared" ref="Z43" si="35">Z42</f>
        <v>46093</v>
      </c>
      <c r="AA43" s="559"/>
      <c r="AB43" s="559"/>
      <c r="AC43" s="559"/>
      <c r="AD43" s="559"/>
      <c r="AE43" s="560">
        <f t="shared" ref="AE43" si="36">AE42</f>
        <v>46094</v>
      </c>
      <c r="AF43" s="560"/>
      <c r="AG43" s="560"/>
      <c r="AH43" s="560"/>
      <c r="AI43" s="560"/>
      <c r="AJ43" s="561">
        <f t="shared" ref="AJ43" si="37">AJ42</f>
        <v>46095</v>
      </c>
      <c r="AK43" s="562"/>
      <c r="AL43" s="562"/>
      <c r="AM43" s="562"/>
      <c r="AN43" s="563"/>
      <c r="AO43" s="560">
        <f t="shared" ref="AO43" si="38">AO42</f>
        <v>46096</v>
      </c>
      <c r="AP43" s="560"/>
      <c r="AQ43" s="560"/>
      <c r="AR43" s="560"/>
      <c r="AS43" s="560"/>
      <c r="AT43" s="561">
        <f t="shared" ref="AT43" si="39">AT42</f>
        <v>46097</v>
      </c>
      <c r="AU43" s="562"/>
      <c r="AV43" s="562"/>
      <c r="AW43" s="562"/>
      <c r="AX43" s="563"/>
    </row>
    <row r="44" spans="2:50" ht="14.25" customHeight="1">
      <c r="B44" s="525" t="s">
        <v>164</v>
      </c>
      <c r="C44" s="525" t="s">
        <v>159</v>
      </c>
      <c r="D44" s="525"/>
      <c r="E44" s="525" t="s">
        <v>160</v>
      </c>
      <c r="F44" s="525"/>
      <c r="G44" s="525"/>
      <c r="H44" s="525" t="s">
        <v>165</v>
      </c>
      <c r="I44" s="544" t="s">
        <v>379</v>
      </c>
      <c r="J44" s="544"/>
      <c r="K44" s="544"/>
      <c r="L44" s="544" t="s">
        <v>165</v>
      </c>
      <c r="M44" s="544" t="s">
        <v>167</v>
      </c>
      <c r="N44" s="525"/>
      <c r="O44" s="525" t="s">
        <v>166</v>
      </c>
      <c r="P44" s="525" t="s">
        <v>162</v>
      </c>
      <c r="Q44" s="525"/>
      <c r="R44" s="525"/>
      <c r="S44" s="525"/>
      <c r="T44" s="525" t="s">
        <v>165</v>
      </c>
      <c r="U44" s="525" t="s">
        <v>162</v>
      </c>
      <c r="V44" s="525"/>
      <c r="W44" s="525"/>
      <c r="X44" s="525"/>
      <c r="Y44" s="525" t="s">
        <v>165</v>
      </c>
      <c r="Z44" s="525" t="s">
        <v>162</v>
      </c>
      <c r="AA44" s="525"/>
      <c r="AB44" s="525"/>
      <c r="AC44" s="525"/>
      <c r="AD44" s="525" t="s">
        <v>165</v>
      </c>
      <c r="AE44" s="525" t="s">
        <v>162</v>
      </c>
      <c r="AF44" s="525"/>
      <c r="AG44" s="525"/>
      <c r="AH44" s="525"/>
      <c r="AI44" s="525" t="s">
        <v>165</v>
      </c>
      <c r="AJ44" s="525" t="s">
        <v>162</v>
      </c>
      <c r="AK44" s="525"/>
      <c r="AL44" s="525"/>
      <c r="AM44" s="525"/>
      <c r="AN44" s="525" t="s">
        <v>165</v>
      </c>
      <c r="AO44" s="525" t="s">
        <v>162</v>
      </c>
      <c r="AP44" s="525"/>
      <c r="AQ44" s="525"/>
      <c r="AR44" s="525"/>
      <c r="AS44" s="525" t="s">
        <v>165</v>
      </c>
      <c r="AT44" s="525" t="s">
        <v>162</v>
      </c>
      <c r="AU44" s="525"/>
      <c r="AV44" s="525"/>
      <c r="AW44" s="525"/>
      <c r="AX44" s="525" t="s">
        <v>165</v>
      </c>
    </row>
    <row r="45" spans="2:50" ht="14.25" customHeight="1">
      <c r="B45" s="525"/>
      <c r="C45" s="525"/>
      <c r="D45" s="525"/>
      <c r="E45" s="525" t="s">
        <v>380</v>
      </c>
      <c r="F45" s="525"/>
      <c r="G45" s="525"/>
      <c r="H45" s="525"/>
      <c r="I45" s="544" t="s">
        <v>380</v>
      </c>
      <c r="J45" s="544"/>
      <c r="K45" s="544"/>
      <c r="L45" s="544"/>
      <c r="M45" s="544"/>
      <c r="N45" s="525"/>
      <c r="O45" s="525"/>
      <c r="P45" s="525" t="s">
        <v>381</v>
      </c>
      <c r="Q45" s="525"/>
      <c r="R45" s="525"/>
      <c r="S45" s="525"/>
      <c r="T45" s="525"/>
      <c r="U45" s="525" t="s">
        <v>381</v>
      </c>
      <c r="V45" s="525"/>
      <c r="W45" s="525"/>
      <c r="X45" s="525"/>
      <c r="Y45" s="525"/>
      <c r="Z45" s="525" t="s">
        <v>381</v>
      </c>
      <c r="AA45" s="525"/>
      <c r="AB45" s="525"/>
      <c r="AC45" s="525"/>
      <c r="AD45" s="525"/>
      <c r="AE45" s="525" t="s">
        <v>381</v>
      </c>
      <c r="AF45" s="525"/>
      <c r="AG45" s="525"/>
      <c r="AH45" s="525"/>
      <c r="AI45" s="525"/>
      <c r="AJ45" s="525" t="s">
        <v>381</v>
      </c>
      <c r="AK45" s="525"/>
      <c r="AL45" s="525"/>
      <c r="AM45" s="525"/>
      <c r="AN45" s="525"/>
      <c r="AO45" s="525" t="s">
        <v>381</v>
      </c>
      <c r="AP45" s="525"/>
      <c r="AQ45" s="525"/>
      <c r="AR45" s="525"/>
      <c r="AS45" s="525"/>
      <c r="AT45" s="525" t="s">
        <v>381</v>
      </c>
      <c r="AU45" s="525"/>
      <c r="AV45" s="525"/>
      <c r="AW45" s="525"/>
      <c r="AX45" s="525"/>
    </row>
    <row r="46" spans="2:50" ht="14.25" customHeight="1">
      <c r="B46" s="525"/>
      <c r="C46" s="525"/>
      <c r="D46" s="525"/>
      <c r="E46" s="182" t="s">
        <v>161</v>
      </c>
      <c r="F46" s="182" t="s">
        <v>382</v>
      </c>
      <c r="G46" s="182" t="s">
        <v>163</v>
      </c>
      <c r="H46" s="525"/>
      <c r="I46" s="183" t="s">
        <v>161</v>
      </c>
      <c r="J46" s="183" t="s">
        <v>382</v>
      </c>
      <c r="K46" s="183" t="s">
        <v>163</v>
      </c>
      <c r="L46" s="544"/>
      <c r="M46" s="544"/>
      <c r="N46" s="525"/>
      <c r="O46" s="525"/>
      <c r="P46" s="182" t="s">
        <v>161</v>
      </c>
      <c r="Q46" s="182" t="s">
        <v>382</v>
      </c>
      <c r="R46" s="182" t="s">
        <v>163</v>
      </c>
      <c r="S46" s="184" t="s">
        <v>167</v>
      </c>
      <c r="T46" s="525"/>
      <c r="U46" s="182" t="s">
        <v>161</v>
      </c>
      <c r="V46" s="182" t="s">
        <v>382</v>
      </c>
      <c r="W46" s="182" t="s">
        <v>163</v>
      </c>
      <c r="X46" s="184" t="s">
        <v>167</v>
      </c>
      <c r="Y46" s="525"/>
      <c r="Z46" s="182" t="s">
        <v>161</v>
      </c>
      <c r="AA46" s="182" t="s">
        <v>382</v>
      </c>
      <c r="AB46" s="182" t="s">
        <v>163</v>
      </c>
      <c r="AC46" s="184" t="s">
        <v>167</v>
      </c>
      <c r="AD46" s="525"/>
      <c r="AE46" s="182" t="s">
        <v>161</v>
      </c>
      <c r="AF46" s="182" t="s">
        <v>382</v>
      </c>
      <c r="AG46" s="182" t="s">
        <v>163</v>
      </c>
      <c r="AH46" s="184" t="s">
        <v>167</v>
      </c>
      <c r="AI46" s="525"/>
      <c r="AJ46" s="182" t="s">
        <v>161</v>
      </c>
      <c r="AK46" s="182" t="s">
        <v>382</v>
      </c>
      <c r="AL46" s="182" t="s">
        <v>163</v>
      </c>
      <c r="AM46" s="184" t="s">
        <v>167</v>
      </c>
      <c r="AN46" s="525"/>
      <c r="AO46" s="182" t="s">
        <v>161</v>
      </c>
      <c r="AP46" s="182" t="s">
        <v>382</v>
      </c>
      <c r="AQ46" s="182" t="s">
        <v>163</v>
      </c>
      <c r="AR46" s="184" t="s">
        <v>167</v>
      </c>
      <c r="AS46" s="525"/>
      <c r="AT46" s="182" t="s">
        <v>161</v>
      </c>
      <c r="AU46" s="182" t="s">
        <v>382</v>
      </c>
      <c r="AV46" s="182" t="s">
        <v>163</v>
      </c>
      <c r="AW46" s="184" t="s">
        <v>167</v>
      </c>
      <c r="AX46" s="525"/>
    </row>
    <row r="47" spans="2:50" ht="14.25" customHeight="1">
      <c r="B47" s="525" t="s">
        <v>386</v>
      </c>
      <c r="C47" s="182">
        <v>1</v>
      </c>
      <c r="D47" s="185"/>
      <c r="E47" s="182"/>
      <c r="F47" s="182"/>
      <c r="G47" s="187"/>
      <c r="H47" s="554"/>
      <c r="I47" s="188"/>
      <c r="J47" s="188"/>
      <c r="K47" s="189"/>
      <c r="L47" s="555" t="str">
        <f>IFERROR(AVERAGE(K47:K61),"-")</f>
        <v>-</v>
      </c>
      <c r="M47" s="188" t="e">
        <f>RANK(K47, K$47:$K$61)</f>
        <v>#N/A</v>
      </c>
      <c r="N47" s="525"/>
      <c r="O47" s="525"/>
      <c r="P47" s="190"/>
      <c r="Q47" s="190"/>
      <c r="R47" s="187"/>
      <c r="S47" s="184"/>
      <c r="T47" s="554"/>
      <c r="U47" s="190"/>
      <c r="V47" s="190"/>
      <c r="W47" s="187"/>
      <c r="X47" s="184"/>
      <c r="Y47" s="554"/>
      <c r="Z47" s="190"/>
      <c r="AA47" s="190"/>
      <c r="AB47" s="187"/>
      <c r="AC47" s="184"/>
      <c r="AD47" s="554"/>
      <c r="AE47" s="190"/>
      <c r="AF47" s="190"/>
      <c r="AG47" s="187"/>
      <c r="AH47" s="184"/>
      <c r="AI47" s="554"/>
      <c r="AJ47" s="190"/>
      <c r="AK47" s="190"/>
      <c r="AL47" s="187"/>
      <c r="AM47" s="184"/>
      <c r="AN47" s="554"/>
      <c r="AO47" s="190"/>
      <c r="AP47" s="190"/>
      <c r="AQ47" s="187"/>
      <c r="AR47" s="184"/>
      <c r="AS47" s="554"/>
      <c r="AT47" s="190"/>
      <c r="AU47" s="190"/>
      <c r="AV47" s="187"/>
      <c r="AW47" s="184"/>
      <c r="AX47" s="554"/>
    </row>
    <row r="48" spans="2:50" ht="14.25" customHeight="1">
      <c r="B48" s="525"/>
      <c r="C48" s="182">
        <v>2</v>
      </c>
      <c r="D48" s="185"/>
      <c r="E48" s="182"/>
      <c r="F48" s="182"/>
      <c r="G48" s="187"/>
      <c r="H48" s="554"/>
      <c r="I48" s="188"/>
      <c r="J48" s="188"/>
      <c r="K48" s="189"/>
      <c r="L48" s="555"/>
      <c r="M48" s="188"/>
      <c r="N48" s="525"/>
      <c r="O48" s="525"/>
      <c r="P48" s="190"/>
      <c r="Q48" s="190"/>
      <c r="R48" s="187"/>
      <c r="S48" s="184"/>
      <c r="T48" s="554"/>
      <c r="U48" s="190"/>
      <c r="V48" s="190"/>
      <c r="W48" s="187"/>
      <c r="X48" s="184"/>
      <c r="Y48" s="554"/>
      <c r="Z48" s="190"/>
      <c r="AA48" s="190"/>
      <c r="AB48" s="187"/>
      <c r="AC48" s="184"/>
      <c r="AD48" s="554"/>
      <c r="AE48" s="190"/>
      <c r="AF48" s="190"/>
      <c r="AG48" s="187"/>
      <c r="AH48" s="184"/>
      <c r="AI48" s="554"/>
      <c r="AJ48" s="190"/>
      <c r="AK48" s="190"/>
      <c r="AL48" s="187"/>
      <c r="AM48" s="184"/>
      <c r="AN48" s="554"/>
      <c r="AO48" s="190"/>
      <c r="AP48" s="190"/>
      <c r="AQ48" s="187"/>
      <c r="AR48" s="184"/>
      <c r="AS48" s="554"/>
      <c r="AT48" s="190"/>
      <c r="AU48" s="190"/>
      <c r="AV48" s="187"/>
      <c r="AW48" s="184"/>
      <c r="AX48" s="554"/>
    </row>
    <row r="49" spans="2:50" ht="14.25" customHeight="1">
      <c r="B49" s="525"/>
      <c r="C49" s="182">
        <v>3</v>
      </c>
      <c r="D49" s="185"/>
      <c r="E49" s="182"/>
      <c r="F49" s="182"/>
      <c r="G49" s="187"/>
      <c r="H49" s="554"/>
      <c r="I49" s="188"/>
      <c r="J49" s="188"/>
      <c r="K49" s="189"/>
      <c r="L49" s="555"/>
      <c r="M49" s="188"/>
      <c r="N49" s="525"/>
      <c r="O49" s="525"/>
      <c r="P49" s="190"/>
      <c r="Q49" s="190"/>
      <c r="R49" s="187"/>
      <c r="S49" s="184"/>
      <c r="T49" s="554"/>
      <c r="U49" s="190"/>
      <c r="V49" s="190"/>
      <c r="W49" s="187"/>
      <c r="X49" s="184"/>
      <c r="Y49" s="554"/>
      <c r="Z49" s="190"/>
      <c r="AA49" s="190"/>
      <c r="AB49" s="187"/>
      <c r="AC49" s="184"/>
      <c r="AD49" s="554"/>
      <c r="AE49" s="190"/>
      <c r="AF49" s="190"/>
      <c r="AG49" s="187"/>
      <c r="AH49" s="184"/>
      <c r="AI49" s="554"/>
      <c r="AJ49" s="190"/>
      <c r="AK49" s="190"/>
      <c r="AL49" s="187"/>
      <c r="AM49" s="184"/>
      <c r="AN49" s="554"/>
      <c r="AO49" s="190"/>
      <c r="AP49" s="190"/>
      <c r="AQ49" s="187"/>
      <c r="AR49" s="184"/>
      <c r="AS49" s="554"/>
      <c r="AT49" s="190"/>
      <c r="AU49" s="190"/>
      <c r="AV49" s="187"/>
      <c r="AW49" s="184"/>
      <c r="AX49" s="554"/>
    </row>
    <row r="50" spans="2:50" ht="14.25" customHeight="1">
      <c r="B50" s="525"/>
      <c r="C50" s="182">
        <v>4</v>
      </c>
      <c r="D50" s="185"/>
      <c r="E50" s="182"/>
      <c r="F50" s="182"/>
      <c r="G50" s="187"/>
      <c r="H50" s="554"/>
      <c r="I50" s="188"/>
      <c r="J50" s="188"/>
      <c r="K50" s="189"/>
      <c r="L50" s="555"/>
      <c r="M50" s="188"/>
      <c r="N50" s="525"/>
      <c r="O50" s="525"/>
      <c r="P50" s="190"/>
      <c r="Q50" s="190"/>
      <c r="R50" s="187"/>
      <c r="S50" s="184"/>
      <c r="T50" s="554"/>
      <c r="U50" s="190"/>
      <c r="V50" s="190"/>
      <c r="W50" s="187"/>
      <c r="X50" s="184"/>
      <c r="Y50" s="554"/>
      <c r="Z50" s="190"/>
      <c r="AA50" s="190"/>
      <c r="AB50" s="187"/>
      <c r="AC50" s="184"/>
      <c r="AD50" s="554"/>
      <c r="AE50" s="190"/>
      <c r="AF50" s="190"/>
      <c r="AG50" s="187"/>
      <c r="AH50" s="184"/>
      <c r="AI50" s="554"/>
      <c r="AJ50" s="190"/>
      <c r="AK50" s="190"/>
      <c r="AL50" s="187"/>
      <c r="AM50" s="184"/>
      <c r="AN50" s="554"/>
      <c r="AO50" s="190"/>
      <c r="AP50" s="190"/>
      <c r="AQ50" s="187"/>
      <c r="AR50" s="184"/>
      <c r="AS50" s="554"/>
      <c r="AT50" s="190"/>
      <c r="AU50" s="190"/>
      <c r="AV50" s="187"/>
      <c r="AW50" s="184"/>
      <c r="AX50" s="554"/>
    </row>
    <row r="51" spans="2:50" ht="14.25" customHeight="1">
      <c r="B51" s="525"/>
      <c r="C51" s="182">
        <v>5</v>
      </c>
      <c r="D51" s="185"/>
      <c r="E51" s="182"/>
      <c r="F51" s="182"/>
      <c r="G51" s="187"/>
      <c r="H51" s="554"/>
      <c r="I51" s="188"/>
      <c r="J51" s="188"/>
      <c r="K51" s="189"/>
      <c r="L51" s="555"/>
      <c r="M51" s="188"/>
      <c r="N51" s="525"/>
      <c r="O51" s="525"/>
      <c r="P51" s="190"/>
      <c r="Q51" s="190"/>
      <c r="R51" s="187"/>
      <c r="S51" s="184"/>
      <c r="T51" s="554"/>
      <c r="U51" s="190"/>
      <c r="V51" s="190"/>
      <c r="W51" s="187"/>
      <c r="X51" s="184"/>
      <c r="Y51" s="554"/>
      <c r="Z51" s="190"/>
      <c r="AA51" s="190"/>
      <c r="AB51" s="187"/>
      <c r="AC51" s="184"/>
      <c r="AD51" s="554"/>
      <c r="AE51" s="190"/>
      <c r="AF51" s="190"/>
      <c r="AG51" s="187"/>
      <c r="AH51" s="184"/>
      <c r="AI51" s="554"/>
      <c r="AJ51" s="190"/>
      <c r="AK51" s="190"/>
      <c r="AL51" s="187"/>
      <c r="AM51" s="184"/>
      <c r="AN51" s="554"/>
      <c r="AO51" s="190"/>
      <c r="AP51" s="190"/>
      <c r="AQ51" s="187"/>
      <c r="AR51" s="184"/>
      <c r="AS51" s="554"/>
      <c r="AT51" s="190"/>
      <c r="AU51" s="190"/>
      <c r="AV51" s="187"/>
      <c r="AW51" s="184"/>
      <c r="AX51" s="554"/>
    </row>
    <row r="52" spans="2:50" ht="14.25" customHeight="1">
      <c r="B52" s="525"/>
      <c r="C52" s="182">
        <v>6</v>
      </c>
      <c r="D52" s="185"/>
      <c r="E52" s="182"/>
      <c r="F52" s="182"/>
      <c r="G52" s="187"/>
      <c r="H52" s="554"/>
      <c r="I52" s="188"/>
      <c r="J52" s="188"/>
      <c r="K52" s="189"/>
      <c r="L52" s="555"/>
      <c r="M52" s="188"/>
      <c r="N52" s="525"/>
      <c r="O52" s="525"/>
      <c r="P52" s="190"/>
      <c r="Q52" s="190"/>
      <c r="R52" s="187"/>
      <c r="S52" s="184"/>
      <c r="T52" s="554"/>
      <c r="U52" s="190"/>
      <c r="V52" s="190"/>
      <c r="W52" s="187"/>
      <c r="X52" s="184"/>
      <c r="Y52" s="554"/>
      <c r="Z52" s="190"/>
      <c r="AA52" s="190"/>
      <c r="AB52" s="187"/>
      <c r="AC52" s="184"/>
      <c r="AD52" s="554"/>
      <c r="AE52" s="190"/>
      <c r="AF52" s="190"/>
      <c r="AG52" s="187"/>
      <c r="AH52" s="184"/>
      <c r="AI52" s="554"/>
      <c r="AJ52" s="190"/>
      <c r="AK52" s="190"/>
      <c r="AL52" s="187"/>
      <c r="AM52" s="184"/>
      <c r="AN52" s="554"/>
      <c r="AO52" s="190"/>
      <c r="AP52" s="190"/>
      <c r="AQ52" s="187"/>
      <c r="AR52" s="184"/>
      <c r="AS52" s="554"/>
      <c r="AT52" s="190"/>
      <c r="AU52" s="190"/>
      <c r="AV52" s="187"/>
      <c r="AW52" s="184"/>
      <c r="AX52" s="554"/>
    </row>
    <row r="53" spans="2:50" ht="14.25" customHeight="1">
      <c r="B53" s="525"/>
      <c r="C53" s="182">
        <v>7</v>
      </c>
      <c r="D53" s="185"/>
      <c r="E53" s="182"/>
      <c r="F53" s="182"/>
      <c r="G53" s="187"/>
      <c r="H53" s="554"/>
      <c r="I53" s="188"/>
      <c r="J53" s="188"/>
      <c r="K53" s="189"/>
      <c r="L53" s="555"/>
      <c r="M53" s="188"/>
      <c r="N53" s="525"/>
      <c r="O53" s="525"/>
      <c r="P53" s="190"/>
      <c r="Q53" s="190"/>
      <c r="R53" s="187"/>
      <c r="S53" s="184"/>
      <c r="T53" s="554"/>
      <c r="U53" s="190"/>
      <c r="V53" s="190"/>
      <c r="W53" s="187"/>
      <c r="X53" s="184"/>
      <c r="Y53" s="554"/>
      <c r="Z53" s="190"/>
      <c r="AA53" s="190"/>
      <c r="AB53" s="187"/>
      <c r="AC53" s="184"/>
      <c r="AD53" s="554"/>
      <c r="AE53" s="190"/>
      <c r="AF53" s="190"/>
      <c r="AG53" s="187"/>
      <c r="AH53" s="184"/>
      <c r="AI53" s="554"/>
      <c r="AJ53" s="190"/>
      <c r="AK53" s="190"/>
      <c r="AL53" s="187"/>
      <c r="AM53" s="184"/>
      <c r="AN53" s="554"/>
      <c r="AO53" s="190"/>
      <c r="AP53" s="190"/>
      <c r="AQ53" s="187"/>
      <c r="AR53" s="184"/>
      <c r="AS53" s="554"/>
      <c r="AT53" s="190"/>
      <c r="AU53" s="190"/>
      <c r="AV53" s="187"/>
      <c r="AW53" s="184"/>
      <c r="AX53" s="554"/>
    </row>
    <row r="54" spans="2:50" ht="14.25" customHeight="1">
      <c r="B54" s="525"/>
      <c r="C54" s="182">
        <v>8</v>
      </c>
      <c r="D54" s="185"/>
      <c r="E54" s="182"/>
      <c r="F54" s="182"/>
      <c r="G54" s="187"/>
      <c r="H54" s="554"/>
      <c r="I54" s="188"/>
      <c r="J54" s="188"/>
      <c r="K54" s="189"/>
      <c r="L54" s="555"/>
      <c r="M54" s="188"/>
      <c r="N54" s="525"/>
      <c r="O54" s="525"/>
      <c r="P54" s="190"/>
      <c r="Q54" s="190"/>
      <c r="R54" s="187"/>
      <c r="S54" s="184"/>
      <c r="T54" s="554"/>
      <c r="U54" s="190"/>
      <c r="V54" s="190"/>
      <c r="W54" s="187"/>
      <c r="X54" s="184"/>
      <c r="Y54" s="554"/>
      <c r="Z54" s="190"/>
      <c r="AA54" s="190"/>
      <c r="AB54" s="187"/>
      <c r="AC54" s="184"/>
      <c r="AD54" s="554"/>
      <c r="AE54" s="190"/>
      <c r="AF54" s="190"/>
      <c r="AG54" s="187"/>
      <c r="AH54" s="184"/>
      <c r="AI54" s="554"/>
      <c r="AJ54" s="190"/>
      <c r="AK54" s="190"/>
      <c r="AL54" s="187"/>
      <c r="AM54" s="184"/>
      <c r="AN54" s="554"/>
      <c r="AO54" s="190"/>
      <c r="AP54" s="190"/>
      <c r="AQ54" s="187"/>
      <c r="AR54" s="184"/>
      <c r="AS54" s="554"/>
      <c r="AT54" s="190"/>
      <c r="AU54" s="190"/>
      <c r="AV54" s="187"/>
      <c r="AW54" s="184"/>
      <c r="AX54" s="554"/>
    </row>
    <row r="55" spans="2:50" ht="14.25" customHeight="1">
      <c r="B55" s="525"/>
      <c r="C55" s="182">
        <v>9</v>
      </c>
      <c r="D55" s="185"/>
      <c r="E55" s="182"/>
      <c r="F55" s="182"/>
      <c r="G55" s="187"/>
      <c r="H55" s="554"/>
      <c r="I55" s="188"/>
      <c r="J55" s="188"/>
      <c r="K55" s="189"/>
      <c r="L55" s="555"/>
      <c r="M55" s="188"/>
      <c r="N55" s="525"/>
      <c r="O55" s="525"/>
      <c r="P55" s="190"/>
      <c r="Q55" s="190"/>
      <c r="R55" s="187"/>
      <c r="S55" s="184"/>
      <c r="T55" s="554"/>
      <c r="U55" s="190"/>
      <c r="V55" s="190"/>
      <c r="W55" s="187"/>
      <c r="X55" s="184"/>
      <c r="Y55" s="554"/>
      <c r="Z55" s="190"/>
      <c r="AA55" s="190"/>
      <c r="AB55" s="187"/>
      <c r="AC55" s="184"/>
      <c r="AD55" s="554"/>
      <c r="AE55" s="190"/>
      <c r="AF55" s="190"/>
      <c r="AG55" s="187"/>
      <c r="AH55" s="184"/>
      <c r="AI55" s="554"/>
      <c r="AJ55" s="190"/>
      <c r="AK55" s="190"/>
      <c r="AL55" s="187"/>
      <c r="AM55" s="184"/>
      <c r="AN55" s="554"/>
      <c r="AO55" s="190"/>
      <c r="AP55" s="190"/>
      <c r="AQ55" s="187"/>
      <c r="AR55" s="184"/>
      <c r="AS55" s="554"/>
      <c r="AT55" s="190"/>
      <c r="AU55" s="190"/>
      <c r="AV55" s="187"/>
      <c r="AW55" s="184"/>
      <c r="AX55" s="554"/>
    </row>
    <row r="56" spans="2:50" ht="14.25" customHeight="1">
      <c r="B56" s="525"/>
      <c r="C56" s="182">
        <v>10</v>
      </c>
      <c r="D56" s="185"/>
      <c r="E56" s="182"/>
      <c r="F56" s="182"/>
      <c r="G56" s="187"/>
      <c r="H56" s="554"/>
      <c r="I56" s="188"/>
      <c r="J56" s="188"/>
      <c r="K56" s="189"/>
      <c r="L56" s="555"/>
      <c r="M56" s="188"/>
      <c r="N56" s="525"/>
      <c r="O56" s="525"/>
      <c r="P56" s="190"/>
      <c r="Q56" s="190"/>
      <c r="R56" s="187"/>
      <c r="S56" s="184"/>
      <c r="T56" s="554"/>
      <c r="U56" s="190"/>
      <c r="V56" s="190"/>
      <c r="W56" s="187"/>
      <c r="X56" s="184"/>
      <c r="Y56" s="554"/>
      <c r="Z56" s="190"/>
      <c r="AA56" s="190"/>
      <c r="AB56" s="187"/>
      <c r="AC56" s="184"/>
      <c r="AD56" s="554"/>
      <c r="AE56" s="190"/>
      <c r="AF56" s="190"/>
      <c r="AG56" s="187"/>
      <c r="AH56" s="184"/>
      <c r="AI56" s="554"/>
      <c r="AJ56" s="190"/>
      <c r="AK56" s="190"/>
      <c r="AL56" s="187"/>
      <c r="AM56" s="184"/>
      <c r="AN56" s="554"/>
      <c r="AO56" s="190"/>
      <c r="AP56" s="190"/>
      <c r="AQ56" s="187"/>
      <c r="AR56" s="184"/>
      <c r="AS56" s="554"/>
      <c r="AT56" s="190"/>
      <c r="AU56" s="190"/>
      <c r="AV56" s="187"/>
      <c r="AW56" s="184"/>
      <c r="AX56" s="554"/>
    </row>
    <row r="57" spans="2:50" ht="14.25" customHeight="1">
      <c r="B57" s="525"/>
      <c r="C57" s="182">
        <v>11</v>
      </c>
      <c r="D57" s="185"/>
      <c r="E57" s="182"/>
      <c r="F57" s="182"/>
      <c r="G57" s="187"/>
      <c r="H57" s="554"/>
      <c r="I57" s="188"/>
      <c r="J57" s="188"/>
      <c r="K57" s="189"/>
      <c r="L57" s="555"/>
      <c r="M57" s="188"/>
      <c r="N57" s="525"/>
      <c r="O57" s="525"/>
      <c r="P57" s="190"/>
      <c r="Q57" s="190"/>
      <c r="R57" s="187"/>
      <c r="S57" s="184"/>
      <c r="T57" s="554"/>
      <c r="U57" s="190"/>
      <c r="V57" s="190"/>
      <c r="W57" s="187"/>
      <c r="X57" s="184"/>
      <c r="Y57" s="554"/>
      <c r="Z57" s="190"/>
      <c r="AA57" s="190"/>
      <c r="AB57" s="187"/>
      <c r="AC57" s="184"/>
      <c r="AD57" s="554"/>
      <c r="AE57" s="190"/>
      <c r="AF57" s="190"/>
      <c r="AG57" s="187"/>
      <c r="AH57" s="184"/>
      <c r="AI57" s="554"/>
      <c r="AJ57" s="190"/>
      <c r="AK57" s="190"/>
      <c r="AL57" s="187"/>
      <c r="AM57" s="184"/>
      <c r="AN57" s="554"/>
      <c r="AO57" s="190"/>
      <c r="AP57" s="190"/>
      <c r="AQ57" s="187"/>
      <c r="AR57" s="184"/>
      <c r="AS57" s="554"/>
      <c r="AT57" s="190"/>
      <c r="AU57" s="190"/>
      <c r="AV57" s="187"/>
      <c r="AW57" s="184"/>
      <c r="AX57" s="554"/>
    </row>
    <row r="58" spans="2:50" ht="14.25" customHeight="1">
      <c r="B58" s="525"/>
      <c r="C58" s="182">
        <v>12</v>
      </c>
      <c r="D58" s="185"/>
      <c r="E58" s="182"/>
      <c r="F58" s="182"/>
      <c r="G58" s="187"/>
      <c r="H58" s="554"/>
      <c r="I58" s="188"/>
      <c r="J58" s="188"/>
      <c r="K58" s="189"/>
      <c r="L58" s="555"/>
      <c r="M58" s="188"/>
      <c r="N58" s="525"/>
      <c r="O58" s="525"/>
      <c r="P58" s="190"/>
      <c r="Q58" s="190"/>
      <c r="R58" s="187"/>
      <c r="S58" s="184"/>
      <c r="T58" s="554"/>
      <c r="U58" s="190"/>
      <c r="V58" s="190"/>
      <c r="W58" s="187"/>
      <c r="X58" s="184"/>
      <c r="Y58" s="554"/>
      <c r="Z58" s="190"/>
      <c r="AA58" s="190"/>
      <c r="AB58" s="187"/>
      <c r="AC58" s="184"/>
      <c r="AD58" s="554"/>
      <c r="AE58" s="190"/>
      <c r="AF58" s="190"/>
      <c r="AG58" s="187"/>
      <c r="AH58" s="184"/>
      <c r="AI58" s="554"/>
      <c r="AJ58" s="190"/>
      <c r="AK58" s="190"/>
      <c r="AL58" s="187"/>
      <c r="AM58" s="184"/>
      <c r="AN58" s="554"/>
      <c r="AO58" s="190"/>
      <c r="AP58" s="190"/>
      <c r="AQ58" s="187"/>
      <c r="AR58" s="184"/>
      <c r="AS58" s="554"/>
      <c r="AT58" s="190"/>
      <c r="AU58" s="190"/>
      <c r="AV58" s="187"/>
      <c r="AW58" s="184"/>
      <c r="AX58" s="554"/>
    </row>
    <row r="59" spans="2:50" ht="14.25" customHeight="1">
      <c r="B59" s="525"/>
      <c r="C59" s="182">
        <v>13</v>
      </c>
      <c r="D59" s="185"/>
      <c r="E59" s="182"/>
      <c r="F59" s="182"/>
      <c r="G59" s="187"/>
      <c r="H59" s="554"/>
      <c r="I59" s="188"/>
      <c r="J59" s="188"/>
      <c r="K59" s="189"/>
      <c r="L59" s="555"/>
      <c r="M59" s="188"/>
      <c r="N59" s="525"/>
      <c r="O59" s="525"/>
      <c r="P59" s="190"/>
      <c r="Q59" s="190"/>
      <c r="R59" s="187"/>
      <c r="S59" s="184"/>
      <c r="T59" s="554"/>
      <c r="U59" s="190"/>
      <c r="V59" s="190"/>
      <c r="W59" s="187"/>
      <c r="X59" s="184"/>
      <c r="Y59" s="554"/>
      <c r="Z59" s="190"/>
      <c r="AA59" s="190"/>
      <c r="AB59" s="187"/>
      <c r="AC59" s="184"/>
      <c r="AD59" s="554"/>
      <c r="AE59" s="190"/>
      <c r="AF59" s="190"/>
      <c r="AG59" s="187"/>
      <c r="AH59" s="184"/>
      <c r="AI59" s="554"/>
      <c r="AJ59" s="190"/>
      <c r="AK59" s="190"/>
      <c r="AL59" s="187"/>
      <c r="AM59" s="184"/>
      <c r="AN59" s="554"/>
      <c r="AO59" s="190"/>
      <c r="AP59" s="190"/>
      <c r="AQ59" s="187"/>
      <c r="AR59" s="184"/>
      <c r="AS59" s="554"/>
      <c r="AT59" s="190"/>
      <c r="AU59" s="190"/>
      <c r="AV59" s="187"/>
      <c r="AW59" s="184"/>
      <c r="AX59" s="554"/>
    </row>
    <row r="60" spans="2:50" ht="14.25" customHeight="1">
      <c r="B60" s="525"/>
      <c r="C60" s="182">
        <v>14</v>
      </c>
      <c r="D60" s="185"/>
      <c r="E60" s="182"/>
      <c r="F60" s="182"/>
      <c r="G60" s="187"/>
      <c r="H60" s="554"/>
      <c r="I60" s="188"/>
      <c r="J60" s="188"/>
      <c r="K60" s="189"/>
      <c r="L60" s="555"/>
      <c r="M60" s="188"/>
      <c r="N60" s="525"/>
      <c r="O60" s="525"/>
      <c r="P60" s="190"/>
      <c r="Q60" s="190"/>
      <c r="R60" s="187"/>
      <c r="S60" s="184"/>
      <c r="T60" s="554"/>
      <c r="U60" s="190"/>
      <c r="V60" s="190"/>
      <c r="W60" s="187"/>
      <c r="X60" s="184"/>
      <c r="Y60" s="554"/>
      <c r="Z60" s="190"/>
      <c r="AA60" s="190"/>
      <c r="AB60" s="187"/>
      <c r="AC60" s="184"/>
      <c r="AD60" s="554"/>
      <c r="AE60" s="190"/>
      <c r="AF60" s="190"/>
      <c r="AG60" s="187"/>
      <c r="AH60" s="184"/>
      <c r="AI60" s="554"/>
      <c r="AJ60" s="190"/>
      <c r="AK60" s="190"/>
      <c r="AL60" s="187"/>
      <c r="AM60" s="184"/>
      <c r="AN60" s="554"/>
      <c r="AO60" s="190"/>
      <c r="AP60" s="190"/>
      <c r="AQ60" s="187"/>
      <c r="AR60" s="184"/>
      <c r="AS60" s="554"/>
      <c r="AT60" s="190"/>
      <c r="AU60" s="190"/>
      <c r="AV60" s="187"/>
      <c r="AW60" s="184"/>
      <c r="AX60" s="554"/>
    </row>
    <row r="61" spans="2:50" ht="14.25" customHeight="1">
      <c r="B61" s="525"/>
      <c r="C61" s="182">
        <v>15</v>
      </c>
      <c r="D61" s="185"/>
      <c r="E61" s="182"/>
      <c r="F61" s="182"/>
      <c r="G61" s="187"/>
      <c r="H61" s="554"/>
      <c r="I61" s="188"/>
      <c r="J61" s="188"/>
      <c r="K61" s="189"/>
      <c r="L61" s="555"/>
      <c r="M61" s="188"/>
      <c r="N61" s="525"/>
      <c r="O61" s="525"/>
      <c r="P61" s="190"/>
      <c r="Q61" s="190"/>
      <c r="R61" s="187"/>
      <c r="S61" s="184"/>
      <c r="T61" s="554"/>
      <c r="U61" s="190"/>
      <c r="V61" s="190"/>
      <c r="W61" s="187"/>
      <c r="X61" s="184"/>
      <c r="Y61" s="554"/>
      <c r="Z61" s="190"/>
      <c r="AA61" s="190"/>
      <c r="AB61" s="187"/>
      <c r="AC61" s="184"/>
      <c r="AD61" s="554"/>
      <c r="AE61" s="190"/>
      <c r="AF61" s="190"/>
      <c r="AG61" s="187"/>
      <c r="AH61" s="184"/>
      <c r="AI61" s="554"/>
      <c r="AJ61" s="190"/>
      <c r="AK61" s="190"/>
      <c r="AL61" s="187"/>
      <c r="AM61" s="184"/>
      <c r="AN61" s="554"/>
      <c r="AO61" s="190"/>
      <c r="AP61" s="190"/>
      <c r="AQ61" s="187"/>
      <c r="AR61" s="184"/>
      <c r="AS61" s="554"/>
      <c r="AT61" s="190"/>
      <c r="AU61" s="190"/>
      <c r="AV61" s="187"/>
      <c r="AW61" s="184"/>
      <c r="AX61" s="554"/>
    </row>
    <row r="62" spans="2:50" ht="14.25" customHeight="1" collapsed="1">
      <c r="B62" s="534" t="s">
        <v>648</v>
      </c>
      <c r="C62" s="535"/>
      <c r="D62" s="535"/>
      <c r="E62" s="535"/>
      <c r="F62" s="535"/>
      <c r="G62" s="535"/>
      <c r="H62" s="535"/>
      <c r="I62" s="535"/>
      <c r="J62" s="535"/>
      <c r="K62" s="535"/>
      <c r="L62" s="535"/>
      <c r="M62" s="536"/>
      <c r="N62" s="564" t="s">
        <v>378</v>
      </c>
      <c r="O62" s="564" t="s">
        <v>105</v>
      </c>
      <c r="P62" s="566">
        <f>AT42+1</f>
        <v>46098</v>
      </c>
      <c r="Q62" s="567"/>
      <c r="R62" s="567"/>
      <c r="S62" s="567"/>
      <c r="T62" s="567"/>
      <c r="U62" s="568">
        <f>P62+1</f>
        <v>46099</v>
      </c>
      <c r="V62" s="569"/>
      <c r="W62" s="569"/>
      <c r="X62" s="569"/>
      <c r="Y62" s="569"/>
      <c r="Z62" s="566">
        <f t="shared" ref="Z62" si="40">U62+1</f>
        <v>46100</v>
      </c>
      <c r="AA62" s="567"/>
      <c r="AB62" s="567"/>
      <c r="AC62" s="567"/>
      <c r="AD62" s="567"/>
      <c r="AE62" s="568">
        <f t="shared" ref="AE62" si="41">Z62+1</f>
        <v>46101</v>
      </c>
      <c r="AF62" s="569"/>
      <c r="AG62" s="569"/>
      <c r="AH62" s="569"/>
      <c r="AI62" s="569"/>
      <c r="AJ62" s="556">
        <f t="shared" ref="AJ62" si="42">AE62+1</f>
        <v>46102</v>
      </c>
      <c r="AK62" s="557"/>
      <c r="AL62" s="557"/>
      <c r="AM62" s="557"/>
      <c r="AN62" s="558"/>
      <c r="AO62" s="568">
        <f t="shared" ref="AO62" si="43">AJ62+1</f>
        <v>46103</v>
      </c>
      <c r="AP62" s="569"/>
      <c r="AQ62" s="569"/>
      <c r="AR62" s="569"/>
      <c r="AS62" s="569"/>
      <c r="AT62" s="556">
        <f t="shared" ref="AT62" si="44">AO62+1</f>
        <v>46104</v>
      </c>
      <c r="AU62" s="557"/>
      <c r="AV62" s="557"/>
      <c r="AW62" s="557"/>
      <c r="AX62" s="558"/>
    </row>
    <row r="63" spans="2:50" ht="14.25" customHeight="1">
      <c r="B63" s="537"/>
      <c r="C63" s="537"/>
      <c r="D63" s="537"/>
      <c r="E63" s="537"/>
      <c r="F63" s="537"/>
      <c r="G63" s="537"/>
      <c r="H63" s="537"/>
      <c r="I63" s="537"/>
      <c r="J63" s="537"/>
      <c r="K63" s="537"/>
      <c r="L63" s="537"/>
      <c r="M63" s="538"/>
      <c r="N63" s="565"/>
      <c r="O63" s="565"/>
      <c r="P63" s="559">
        <f>P62</f>
        <v>46098</v>
      </c>
      <c r="Q63" s="559"/>
      <c r="R63" s="559"/>
      <c r="S63" s="559"/>
      <c r="T63" s="559"/>
      <c r="U63" s="560">
        <f>U62</f>
        <v>46099</v>
      </c>
      <c r="V63" s="560"/>
      <c r="W63" s="560"/>
      <c r="X63" s="560"/>
      <c r="Y63" s="560"/>
      <c r="Z63" s="559">
        <f t="shared" ref="Z63" si="45">Z62</f>
        <v>46100</v>
      </c>
      <c r="AA63" s="559"/>
      <c r="AB63" s="559"/>
      <c r="AC63" s="559"/>
      <c r="AD63" s="559"/>
      <c r="AE63" s="560">
        <f t="shared" ref="AE63" si="46">AE62</f>
        <v>46101</v>
      </c>
      <c r="AF63" s="560"/>
      <c r="AG63" s="560"/>
      <c r="AH63" s="560"/>
      <c r="AI63" s="560"/>
      <c r="AJ63" s="561">
        <f t="shared" ref="AJ63" si="47">AJ62</f>
        <v>46102</v>
      </c>
      <c r="AK63" s="562"/>
      <c r="AL63" s="562"/>
      <c r="AM63" s="562"/>
      <c r="AN63" s="563"/>
      <c r="AO63" s="560">
        <f t="shared" ref="AO63" si="48">AO62</f>
        <v>46103</v>
      </c>
      <c r="AP63" s="560"/>
      <c r="AQ63" s="560"/>
      <c r="AR63" s="560"/>
      <c r="AS63" s="560"/>
      <c r="AT63" s="561">
        <f t="shared" ref="AT63" si="49">AT62</f>
        <v>46104</v>
      </c>
      <c r="AU63" s="562"/>
      <c r="AV63" s="562"/>
      <c r="AW63" s="562"/>
      <c r="AX63" s="563"/>
    </row>
    <row r="64" spans="2:50" ht="14.25" customHeight="1">
      <c r="B64" s="525" t="s">
        <v>164</v>
      </c>
      <c r="C64" s="525" t="s">
        <v>159</v>
      </c>
      <c r="D64" s="525"/>
      <c r="E64" s="525" t="s">
        <v>160</v>
      </c>
      <c r="F64" s="525"/>
      <c r="G64" s="525"/>
      <c r="H64" s="525" t="s">
        <v>165</v>
      </c>
      <c r="I64" s="544" t="s">
        <v>379</v>
      </c>
      <c r="J64" s="544"/>
      <c r="K64" s="544"/>
      <c r="L64" s="544" t="s">
        <v>165</v>
      </c>
      <c r="M64" s="544" t="s">
        <v>167</v>
      </c>
      <c r="N64" s="525"/>
      <c r="O64" s="525" t="s">
        <v>166</v>
      </c>
      <c r="P64" s="525" t="s">
        <v>162</v>
      </c>
      <c r="Q64" s="525"/>
      <c r="R64" s="525"/>
      <c r="S64" s="525"/>
      <c r="T64" s="525" t="s">
        <v>165</v>
      </c>
      <c r="U64" s="525" t="s">
        <v>162</v>
      </c>
      <c r="V64" s="525"/>
      <c r="W64" s="525"/>
      <c r="X64" s="525"/>
      <c r="Y64" s="525" t="s">
        <v>165</v>
      </c>
      <c r="Z64" s="525" t="s">
        <v>162</v>
      </c>
      <c r="AA64" s="525"/>
      <c r="AB64" s="525"/>
      <c r="AC64" s="525"/>
      <c r="AD64" s="525" t="s">
        <v>165</v>
      </c>
      <c r="AE64" s="525" t="s">
        <v>162</v>
      </c>
      <c r="AF64" s="525"/>
      <c r="AG64" s="525"/>
      <c r="AH64" s="525"/>
      <c r="AI64" s="525" t="s">
        <v>165</v>
      </c>
      <c r="AJ64" s="525" t="s">
        <v>162</v>
      </c>
      <c r="AK64" s="525"/>
      <c r="AL64" s="525"/>
      <c r="AM64" s="525"/>
      <c r="AN64" s="525" t="s">
        <v>165</v>
      </c>
      <c r="AO64" s="525" t="s">
        <v>162</v>
      </c>
      <c r="AP64" s="525"/>
      <c r="AQ64" s="525"/>
      <c r="AR64" s="525"/>
      <c r="AS64" s="525" t="s">
        <v>165</v>
      </c>
      <c r="AT64" s="525" t="s">
        <v>162</v>
      </c>
      <c r="AU64" s="525"/>
      <c r="AV64" s="525"/>
      <c r="AW64" s="525"/>
      <c r="AX64" s="525" t="s">
        <v>165</v>
      </c>
    </row>
    <row r="65" spans="2:50" ht="14.25" customHeight="1">
      <c r="B65" s="525"/>
      <c r="C65" s="525"/>
      <c r="D65" s="525"/>
      <c r="E65" s="525" t="s">
        <v>380</v>
      </c>
      <c r="F65" s="525"/>
      <c r="G65" s="525"/>
      <c r="H65" s="525"/>
      <c r="I65" s="544" t="s">
        <v>380</v>
      </c>
      <c r="J65" s="544"/>
      <c r="K65" s="544"/>
      <c r="L65" s="544"/>
      <c r="M65" s="544"/>
      <c r="N65" s="525"/>
      <c r="O65" s="525"/>
      <c r="P65" s="525" t="s">
        <v>381</v>
      </c>
      <c r="Q65" s="525"/>
      <c r="R65" s="525"/>
      <c r="S65" s="525"/>
      <c r="T65" s="525"/>
      <c r="U65" s="525" t="s">
        <v>381</v>
      </c>
      <c r="V65" s="525"/>
      <c r="W65" s="525"/>
      <c r="X65" s="525"/>
      <c r="Y65" s="525"/>
      <c r="Z65" s="525" t="s">
        <v>381</v>
      </c>
      <c r="AA65" s="525"/>
      <c r="AB65" s="525"/>
      <c r="AC65" s="525"/>
      <c r="AD65" s="525"/>
      <c r="AE65" s="525" t="s">
        <v>381</v>
      </c>
      <c r="AF65" s="525"/>
      <c r="AG65" s="525"/>
      <c r="AH65" s="525"/>
      <c r="AI65" s="525"/>
      <c r="AJ65" s="525" t="s">
        <v>381</v>
      </c>
      <c r="AK65" s="525"/>
      <c r="AL65" s="525"/>
      <c r="AM65" s="525"/>
      <c r="AN65" s="525"/>
      <c r="AO65" s="525" t="s">
        <v>381</v>
      </c>
      <c r="AP65" s="525"/>
      <c r="AQ65" s="525"/>
      <c r="AR65" s="525"/>
      <c r="AS65" s="525"/>
      <c r="AT65" s="525" t="s">
        <v>381</v>
      </c>
      <c r="AU65" s="525"/>
      <c r="AV65" s="525"/>
      <c r="AW65" s="525"/>
      <c r="AX65" s="525"/>
    </row>
    <row r="66" spans="2:50" ht="14.25" customHeight="1">
      <c r="B66" s="525"/>
      <c r="C66" s="525"/>
      <c r="D66" s="525"/>
      <c r="E66" s="182" t="s">
        <v>161</v>
      </c>
      <c r="F66" s="182" t="s">
        <v>382</v>
      </c>
      <c r="G66" s="182" t="s">
        <v>163</v>
      </c>
      <c r="H66" s="525"/>
      <c r="I66" s="183" t="s">
        <v>161</v>
      </c>
      <c r="J66" s="183" t="s">
        <v>382</v>
      </c>
      <c r="K66" s="183" t="s">
        <v>163</v>
      </c>
      <c r="L66" s="544"/>
      <c r="M66" s="544"/>
      <c r="N66" s="525"/>
      <c r="O66" s="525"/>
      <c r="P66" s="182" t="s">
        <v>161</v>
      </c>
      <c r="Q66" s="182" t="s">
        <v>382</v>
      </c>
      <c r="R66" s="182" t="s">
        <v>163</v>
      </c>
      <c r="S66" s="184" t="s">
        <v>167</v>
      </c>
      <c r="T66" s="525"/>
      <c r="U66" s="182" t="s">
        <v>161</v>
      </c>
      <c r="V66" s="182" t="s">
        <v>382</v>
      </c>
      <c r="W66" s="182" t="s">
        <v>163</v>
      </c>
      <c r="X66" s="184" t="s">
        <v>167</v>
      </c>
      <c r="Y66" s="525"/>
      <c r="Z66" s="182" t="s">
        <v>161</v>
      </c>
      <c r="AA66" s="182" t="s">
        <v>382</v>
      </c>
      <c r="AB66" s="182" t="s">
        <v>163</v>
      </c>
      <c r="AC66" s="184" t="s">
        <v>167</v>
      </c>
      <c r="AD66" s="525"/>
      <c r="AE66" s="182" t="s">
        <v>161</v>
      </c>
      <c r="AF66" s="182" t="s">
        <v>382</v>
      </c>
      <c r="AG66" s="182" t="s">
        <v>163</v>
      </c>
      <c r="AH66" s="184" t="s">
        <v>167</v>
      </c>
      <c r="AI66" s="525"/>
      <c r="AJ66" s="182" t="s">
        <v>161</v>
      </c>
      <c r="AK66" s="182" t="s">
        <v>382</v>
      </c>
      <c r="AL66" s="182" t="s">
        <v>163</v>
      </c>
      <c r="AM66" s="184" t="s">
        <v>167</v>
      </c>
      <c r="AN66" s="525"/>
      <c r="AO66" s="182" t="s">
        <v>161</v>
      </c>
      <c r="AP66" s="182" t="s">
        <v>382</v>
      </c>
      <c r="AQ66" s="182" t="s">
        <v>163</v>
      </c>
      <c r="AR66" s="184" t="s">
        <v>167</v>
      </c>
      <c r="AS66" s="525"/>
      <c r="AT66" s="182" t="s">
        <v>161</v>
      </c>
      <c r="AU66" s="182" t="s">
        <v>382</v>
      </c>
      <c r="AV66" s="182" t="s">
        <v>163</v>
      </c>
      <c r="AW66" s="184" t="s">
        <v>167</v>
      </c>
      <c r="AX66" s="525"/>
    </row>
    <row r="67" spans="2:50" ht="14.25" customHeight="1">
      <c r="B67" s="525" t="s">
        <v>386</v>
      </c>
      <c r="C67" s="182">
        <v>1</v>
      </c>
      <c r="D67" s="185"/>
      <c r="E67" s="182"/>
      <c r="F67" s="182"/>
      <c r="G67" s="187"/>
      <c r="H67" s="554"/>
      <c r="I67" s="188"/>
      <c r="J67" s="188"/>
      <c r="K67" s="189"/>
      <c r="L67" s="555" t="str">
        <f>IFERROR(AVERAGE(K67:K81),"-")</f>
        <v>-</v>
      </c>
      <c r="M67" s="188" t="e">
        <f>RANK(K67, K$67:$K$81)</f>
        <v>#N/A</v>
      </c>
      <c r="N67" s="525"/>
      <c r="O67" s="525"/>
      <c r="P67" s="190"/>
      <c r="Q67" s="190"/>
      <c r="R67" s="187"/>
      <c r="S67" s="184"/>
      <c r="T67" s="554"/>
      <c r="U67" s="190"/>
      <c r="V67" s="190"/>
      <c r="W67" s="187"/>
      <c r="X67" s="184"/>
      <c r="Y67" s="554"/>
      <c r="Z67" s="190"/>
      <c r="AA67" s="190"/>
      <c r="AB67" s="187"/>
      <c r="AC67" s="184"/>
      <c r="AD67" s="554"/>
      <c r="AE67" s="190"/>
      <c r="AF67" s="190"/>
      <c r="AG67" s="187"/>
      <c r="AH67" s="184"/>
      <c r="AI67" s="554"/>
      <c r="AJ67" s="190"/>
      <c r="AK67" s="190"/>
      <c r="AL67" s="187"/>
      <c r="AM67" s="184"/>
      <c r="AN67" s="554"/>
      <c r="AO67" s="190"/>
      <c r="AP67" s="190"/>
      <c r="AQ67" s="187"/>
      <c r="AR67" s="184"/>
      <c r="AS67" s="571"/>
      <c r="AT67" s="190"/>
      <c r="AU67" s="190"/>
      <c r="AV67" s="187"/>
      <c r="AW67" s="184"/>
      <c r="AX67" s="554"/>
    </row>
    <row r="68" spans="2:50" ht="14.25" customHeight="1">
      <c r="B68" s="525"/>
      <c r="C68" s="182">
        <v>2</v>
      </c>
      <c r="D68" s="185"/>
      <c r="E68" s="182"/>
      <c r="F68" s="182"/>
      <c r="G68" s="187"/>
      <c r="H68" s="554"/>
      <c r="I68" s="188"/>
      <c r="J68" s="188"/>
      <c r="K68" s="189"/>
      <c r="L68" s="555"/>
      <c r="M68" s="188"/>
      <c r="N68" s="525"/>
      <c r="O68" s="525"/>
      <c r="P68" s="190"/>
      <c r="Q68" s="190"/>
      <c r="R68" s="187"/>
      <c r="S68" s="184"/>
      <c r="T68" s="554"/>
      <c r="U68" s="190"/>
      <c r="V68" s="190"/>
      <c r="W68" s="187"/>
      <c r="X68" s="184"/>
      <c r="Y68" s="554"/>
      <c r="Z68" s="190"/>
      <c r="AA68" s="190"/>
      <c r="AB68" s="187"/>
      <c r="AC68" s="184"/>
      <c r="AD68" s="554"/>
      <c r="AE68" s="190"/>
      <c r="AF68" s="190"/>
      <c r="AG68" s="187"/>
      <c r="AH68" s="184"/>
      <c r="AI68" s="554"/>
      <c r="AJ68" s="190"/>
      <c r="AK68" s="190"/>
      <c r="AL68" s="187"/>
      <c r="AM68" s="184"/>
      <c r="AN68" s="554"/>
      <c r="AO68" s="190"/>
      <c r="AP68" s="190"/>
      <c r="AQ68" s="187"/>
      <c r="AR68" s="184"/>
      <c r="AS68" s="572"/>
      <c r="AT68" s="190"/>
      <c r="AU68" s="190"/>
      <c r="AV68" s="187"/>
      <c r="AW68" s="184"/>
      <c r="AX68" s="554"/>
    </row>
    <row r="69" spans="2:50" ht="14.25" customHeight="1">
      <c r="B69" s="525"/>
      <c r="C69" s="182">
        <v>3</v>
      </c>
      <c r="D69" s="185"/>
      <c r="E69" s="182"/>
      <c r="F69" s="182"/>
      <c r="G69" s="187"/>
      <c r="H69" s="554"/>
      <c r="I69" s="188"/>
      <c r="J69" s="188"/>
      <c r="K69" s="189"/>
      <c r="L69" s="555"/>
      <c r="M69" s="188"/>
      <c r="N69" s="525"/>
      <c r="O69" s="525"/>
      <c r="P69" s="190"/>
      <c r="Q69" s="190"/>
      <c r="R69" s="187"/>
      <c r="S69" s="184"/>
      <c r="T69" s="554"/>
      <c r="U69" s="190"/>
      <c r="V69" s="190"/>
      <c r="W69" s="187"/>
      <c r="X69" s="184"/>
      <c r="Y69" s="554"/>
      <c r="Z69" s="190"/>
      <c r="AA69" s="190"/>
      <c r="AB69" s="187"/>
      <c r="AC69" s="184"/>
      <c r="AD69" s="554"/>
      <c r="AE69" s="190"/>
      <c r="AF69" s="190"/>
      <c r="AG69" s="187"/>
      <c r="AH69" s="184"/>
      <c r="AI69" s="554"/>
      <c r="AJ69" s="190"/>
      <c r="AK69" s="190"/>
      <c r="AL69" s="187"/>
      <c r="AM69" s="184"/>
      <c r="AN69" s="554"/>
      <c r="AO69" s="190"/>
      <c r="AP69" s="190"/>
      <c r="AQ69" s="187"/>
      <c r="AR69" s="184"/>
      <c r="AS69" s="572"/>
      <c r="AT69" s="190"/>
      <c r="AU69" s="190"/>
      <c r="AV69" s="187"/>
      <c r="AW69" s="184"/>
      <c r="AX69" s="554"/>
    </row>
    <row r="70" spans="2:50" ht="14.25" customHeight="1">
      <c r="B70" s="525"/>
      <c r="C70" s="182">
        <v>4</v>
      </c>
      <c r="D70" s="185"/>
      <c r="E70" s="182"/>
      <c r="F70" s="182"/>
      <c r="G70" s="187"/>
      <c r="H70" s="554"/>
      <c r="I70" s="188"/>
      <c r="J70" s="188"/>
      <c r="K70" s="189"/>
      <c r="L70" s="555"/>
      <c r="M70" s="188"/>
      <c r="N70" s="525"/>
      <c r="O70" s="525"/>
      <c r="P70" s="190"/>
      <c r="Q70" s="190"/>
      <c r="R70" s="187"/>
      <c r="S70" s="184"/>
      <c r="T70" s="554"/>
      <c r="U70" s="190"/>
      <c r="V70" s="190"/>
      <c r="W70" s="187"/>
      <c r="X70" s="184"/>
      <c r="Y70" s="554"/>
      <c r="Z70" s="190"/>
      <c r="AA70" s="190"/>
      <c r="AB70" s="187"/>
      <c r="AC70" s="184"/>
      <c r="AD70" s="554"/>
      <c r="AE70" s="190"/>
      <c r="AF70" s="190"/>
      <c r="AG70" s="187"/>
      <c r="AH70" s="184"/>
      <c r="AI70" s="554"/>
      <c r="AJ70" s="190"/>
      <c r="AK70" s="190"/>
      <c r="AL70" s="187"/>
      <c r="AM70" s="184"/>
      <c r="AN70" s="554"/>
      <c r="AO70" s="190"/>
      <c r="AP70" s="190"/>
      <c r="AQ70" s="187"/>
      <c r="AR70" s="184"/>
      <c r="AS70" s="572"/>
      <c r="AT70" s="190"/>
      <c r="AU70" s="190"/>
      <c r="AV70" s="187"/>
      <c r="AW70" s="184"/>
      <c r="AX70" s="554"/>
    </row>
    <row r="71" spans="2:50" ht="14.25" customHeight="1">
      <c r="B71" s="525"/>
      <c r="C71" s="182">
        <v>5</v>
      </c>
      <c r="D71" s="185"/>
      <c r="E71" s="182"/>
      <c r="F71" s="182"/>
      <c r="G71" s="187"/>
      <c r="H71" s="554"/>
      <c r="I71" s="188"/>
      <c r="J71" s="188"/>
      <c r="K71" s="189"/>
      <c r="L71" s="555"/>
      <c r="M71" s="188"/>
      <c r="N71" s="525"/>
      <c r="O71" s="525"/>
      <c r="P71" s="190"/>
      <c r="Q71" s="190"/>
      <c r="R71" s="187"/>
      <c r="S71" s="184"/>
      <c r="T71" s="554"/>
      <c r="U71" s="190"/>
      <c r="V71" s="190"/>
      <c r="W71" s="187"/>
      <c r="X71" s="184"/>
      <c r="Y71" s="554"/>
      <c r="Z71" s="190"/>
      <c r="AA71" s="190"/>
      <c r="AB71" s="187"/>
      <c r="AC71" s="184"/>
      <c r="AD71" s="554"/>
      <c r="AE71" s="190"/>
      <c r="AF71" s="190"/>
      <c r="AG71" s="187"/>
      <c r="AH71" s="184"/>
      <c r="AI71" s="554"/>
      <c r="AJ71" s="190"/>
      <c r="AK71" s="190"/>
      <c r="AL71" s="187"/>
      <c r="AM71" s="184"/>
      <c r="AN71" s="554"/>
      <c r="AO71" s="190"/>
      <c r="AP71" s="190"/>
      <c r="AQ71" s="187"/>
      <c r="AR71" s="184"/>
      <c r="AS71" s="572"/>
      <c r="AT71" s="190"/>
      <c r="AU71" s="190"/>
      <c r="AV71" s="187"/>
      <c r="AW71" s="184"/>
      <c r="AX71" s="554"/>
    </row>
    <row r="72" spans="2:50" ht="14.25" customHeight="1">
      <c r="B72" s="525"/>
      <c r="C72" s="182">
        <v>6</v>
      </c>
      <c r="D72" s="185"/>
      <c r="E72" s="182"/>
      <c r="F72" s="182"/>
      <c r="G72" s="187"/>
      <c r="H72" s="554"/>
      <c r="I72" s="188"/>
      <c r="J72" s="188"/>
      <c r="K72" s="189"/>
      <c r="L72" s="555"/>
      <c r="M72" s="188"/>
      <c r="N72" s="525"/>
      <c r="O72" s="525"/>
      <c r="P72" s="190"/>
      <c r="Q72" s="190"/>
      <c r="R72" s="187"/>
      <c r="S72" s="184"/>
      <c r="T72" s="554"/>
      <c r="U72" s="190"/>
      <c r="V72" s="190"/>
      <c r="W72" s="187"/>
      <c r="X72" s="184"/>
      <c r="Y72" s="554"/>
      <c r="Z72" s="190"/>
      <c r="AA72" s="190"/>
      <c r="AB72" s="187"/>
      <c r="AC72" s="184"/>
      <c r="AD72" s="554"/>
      <c r="AE72" s="190"/>
      <c r="AF72" s="190"/>
      <c r="AG72" s="187"/>
      <c r="AH72" s="184"/>
      <c r="AI72" s="554"/>
      <c r="AJ72" s="190"/>
      <c r="AK72" s="190"/>
      <c r="AL72" s="187"/>
      <c r="AM72" s="184"/>
      <c r="AN72" s="554"/>
      <c r="AO72" s="190"/>
      <c r="AP72" s="190"/>
      <c r="AQ72" s="187"/>
      <c r="AR72" s="184"/>
      <c r="AS72" s="572"/>
      <c r="AT72" s="190"/>
      <c r="AU72" s="190"/>
      <c r="AV72" s="187"/>
      <c r="AW72" s="184"/>
      <c r="AX72" s="554"/>
    </row>
    <row r="73" spans="2:50" ht="14.25" customHeight="1">
      <c r="B73" s="525"/>
      <c r="C73" s="182">
        <v>7</v>
      </c>
      <c r="D73" s="185"/>
      <c r="E73" s="182"/>
      <c r="F73" s="182"/>
      <c r="G73" s="187"/>
      <c r="H73" s="554"/>
      <c r="I73" s="188"/>
      <c r="J73" s="188"/>
      <c r="K73" s="189"/>
      <c r="L73" s="555"/>
      <c r="M73" s="188"/>
      <c r="N73" s="525"/>
      <c r="O73" s="525"/>
      <c r="P73" s="190"/>
      <c r="Q73" s="190"/>
      <c r="R73" s="187"/>
      <c r="S73" s="184"/>
      <c r="T73" s="554"/>
      <c r="U73" s="190"/>
      <c r="V73" s="190"/>
      <c r="W73" s="187"/>
      <c r="X73" s="184"/>
      <c r="Y73" s="554"/>
      <c r="Z73" s="190"/>
      <c r="AA73" s="190"/>
      <c r="AB73" s="187"/>
      <c r="AC73" s="184"/>
      <c r="AD73" s="554"/>
      <c r="AE73" s="190"/>
      <c r="AF73" s="190"/>
      <c r="AG73" s="187"/>
      <c r="AH73" s="184"/>
      <c r="AI73" s="554"/>
      <c r="AJ73" s="190"/>
      <c r="AK73" s="190"/>
      <c r="AL73" s="187"/>
      <c r="AM73" s="184"/>
      <c r="AN73" s="554"/>
      <c r="AO73" s="190"/>
      <c r="AP73" s="190"/>
      <c r="AQ73" s="187"/>
      <c r="AR73" s="184"/>
      <c r="AS73" s="572"/>
      <c r="AT73" s="190"/>
      <c r="AU73" s="190"/>
      <c r="AV73" s="187"/>
      <c r="AW73" s="184"/>
      <c r="AX73" s="554"/>
    </row>
    <row r="74" spans="2:50" ht="14.25" customHeight="1">
      <c r="B74" s="525"/>
      <c r="C74" s="182">
        <v>8</v>
      </c>
      <c r="D74" s="185"/>
      <c r="E74" s="182"/>
      <c r="F74" s="182"/>
      <c r="G74" s="187"/>
      <c r="H74" s="554"/>
      <c r="I74" s="188"/>
      <c r="J74" s="188"/>
      <c r="K74" s="189"/>
      <c r="L74" s="555"/>
      <c r="M74" s="188"/>
      <c r="N74" s="525"/>
      <c r="O74" s="525"/>
      <c r="P74" s="190"/>
      <c r="Q74" s="190"/>
      <c r="R74" s="187"/>
      <c r="S74" s="184"/>
      <c r="T74" s="554"/>
      <c r="U74" s="190"/>
      <c r="V74" s="190"/>
      <c r="W74" s="187"/>
      <c r="X74" s="184"/>
      <c r="Y74" s="554"/>
      <c r="Z74" s="190"/>
      <c r="AA74" s="190"/>
      <c r="AB74" s="187"/>
      <c r="AC74" s="184"/>
      <c r="AD74" s="554"/>
      <c r="AE74" s="190"/>
      <c r="AF74" s="190"/>
      <c r="AG74" s="187"/>
      <c r="AH74" s="184"/>
      <c r="AI74" s="554"/>
      <c r="AJ74" s="190"/>
      <c r="AK74" s="190"/>
      <c r="AL74" s="187"/>
      <c r="AM74" s="184"/>
      <c r="AN74" s="554"/>
      <c r="AO74" s="190"/>
      <c r="AP74" s="190"/>
      <c r="AQ74" s="187"/>
      <c r="AR74" s="184"/>
      <c r="AS74" s="572"/>
      <c r="AT74" s="190"/>
      <c r="AU74" s="190"/>
      <c r="AV74" s="187"/>
      <c r="AW74" s="184"/>
      <c r="AX74" s="554"/>
    </row>
    <row r="75" spans="2:50" ht="14.25" customHeight="1">
      <c r="B75" s="525"/>
      <c r="C75" s="182">
        <v>9</v>
      </c>
      <c r="D75" s="185"/>
      <c r="E75" s="182"/>
      <c r="F75" s="182"/>
      <c r="G75" s="187"/>
      <c r="H75" s="554"/>
      <c r="I75" s="188"/>
      <c r="J75" s="188"/>
      <c r="K75" s="189"/>
      <c r="L75" s="555"/>
      <c r="M75" s="188"/>
      <c r="N75" s="525"/>
      <c r="O75" s="525"/>
      <c r="P75" s="190"/>
      <c r="Q75" s="190"/>
      <c r="R75" s="187"/>
      <c r="S75" s="184"/>
      <c r="T75" s="554"/>
      <c r="U75" s="190"/>
      <c r="V75" s="190"/>
      <c r="W75" s="187"/>
      <c r="X75" s="184"/>
      <c r="Y75" s="554"/>
      <c r="Z75" s="190"/>
      <c r="AA75" s="190"/>
      <c r="AB75" s="187"/>
      <c r="AC75" s="184"/>
      <c r="AD75" s="554"/>
      <c r="AE75" s="190"/>
      <c r="AF75" s="190"/>
      <c r="AG75" s="187"/>
      <c r="AH75" s="184"/>
      <c r="AI75" s="554"/>
      <c r="AJ75" s="190"/>
      <c r="AK75" s="190"/>
      <c r="AL75" s="187"/>
      <c r="AM75" s="184"/>
      <c r="AN75" s="554"/>
      <c r="AO75" s="190"/>
      <c r="AP75" s="190"/>
      <c r="AQ75" s="187"/>
      <c r="AR75" s="184"/>
      <c r="AS75" s="572"/>
      <c r="AT75" s="190"/>
      <c r="AU75" s="190"/>
      <c r="AV75" s="187"/>
      <c r="AW75" s="184"/>
      <c r="AX75" s="554"/>
    </row>
    <row r="76" spans="2:50" ht="14.25" customHeight="1">
      <c r="B76" s="525"/>
      <c r="C76" s="182">
        <v>10</v>
      </c>
      <c r="D76" s="185"/>
      <c r="E76" s="182"/>
      <c r="F76" s="182"/>
      <c r="G76" s="187"/>
      <c r="H76" s="554"/>
      <c r="I76" s="188"/>
      <c r="J76" s="188"/>
      <c r="K76" s="189"/>
      <c r="L76" s="555"/>
      <c r="M76" s="188"/>
      <c r="N76" s="525"/>
      <c r="O76" s="525"/>
      <c r="P76" s="190"/>
      <c r="Q76" s="190"/>
      <c r="R76" s="187"/>
      <c r="S76" s="184"/>
      <c r="T76" s="554"/>
      <c r="U76" s="190"/>
      <c r="V76" s="190"/>
      <c r="W76" s="187"/>
      <c r="X76" s="184"/>
      <c r="Y76" s="554"/>
      <c r="Z76" s="190"/>
      <c r="AA76" s="190"/>
      <c r="AB76" s="187"/>
      <c r="AC76" s="184"/>
      <c r="AD76" s="554"/>
      <c r="AE76" s="190"/>
      <c r="AF76" s="190"/>
      <c r="AG76" s="187"/>
      <c r="AH76" s="184"/>
      <c r="AI76" s="554"/>
      <c r="AJ76" s="190"/>
      <c r="AK76" s="190"/>
      <c r="AL76" s="187"/>
      <c r="AM76" s="184"/>
      <c r="AN76" s="554"/>
      <c r="AO76" s="190"/>
      <c r="AP76" s="190"/>
      <c r="AQ76" s="187"/>
      <c r="AR76" s="184"/>
      <c r="AS76" s="572"/>
      <c r="AT76" s="190"/>
      <c r="AU76" s="190"/>
      <c r="AV76" s="187"/>
      <c r="AW76" s="184"/>
      <c r="AX76" s="554"/>
    </row>
    <row r="77" spans="2:50" ht="14.25" customHeight="1">
      <c r="B77" s="525"/>
      <c r="C77" s="182">
        <v>11</v>
      </c>
      <c r="D77" s="185"/>
      <c r="E77" s="182"/>
      <c r="F77" s="182"/>
      <c r="G77" s="187"/>
      <c r="H77" s="554"/>
      <c r="I77" s="188"/>
      <c r="J77" s="188"/>
      <c r="K77" s="189"/>
      <c r="L77" s="555"/>
      <c r="M77" s="188"/>
      <c r="N77" s="525"/>
      <c r="O77" s="525"/>
      <c r="P77" s="190"/>
      <c r="Q77" s="190"/>
      <c r="R77" s="187"/>
      <c r="S77" s="184"/>
      <c r="T77" s="554"/>
      <c r="U77" s="190"/>
      <c r="V77" s="190"/>
      <c r="W77" s="187"/>
      <c r="X77" s="184"/>
      <c r="Y77" s="554"/>
      <c r="Z77" s="190"/>
      <c r="AA77" s="190"/>
      <c r="AB77" s="187"/>
      <c r="AC77" s="184"/>
      <c r="AD77" s="554"/>
      <c r="AE77" s="190"/>
      <c r="AF77" s="190"/>
      <c r="AG77" s="187"/>
      <c r="AH77" s="184"/>
      <c r="AI77" s="554"/>
      <c r="AJ77" s="190"/>
      <c r="AK77" s="190"/>
      <c r="AL77" s="187"/>
      <c r="AM77" s="184"/>
      <c r="AN77" s="554"/>
      <c r="AO77" s="190"/>
      <c r="AP77" s="190"/>
      <c r="AQ77" s="187"/>
      <c r="AR77" s="184"/>
      <c r="AS77" s="572"/>
      <c r="AT77" s="190"/>
      <c r="AU77" s="190"/>
      <c r="AV77" s="187"/>
      <c r="AW77" s="184"/>
      <c r="AX77" s="554"/>
    </row>
    <row r="78" spans="2:50" ht="14.25" customHeight="1">
      <c r="B78" s="525"/>
      <c r="C78" s="182">
        <v>12</v>
      </c>
      <c r="D78" s="185"/>
      <c r="E78" s="182"/>
      <c r="F78" s="182"/>
      <c r="G78" s="187"/>
      <c r="H78" s="554"/>
      <c r="I78" s="188"/>
      <c r="J78" s="188"/>
      <c r="K78" s="189"/>
      <c r="L78" s="555"/>
      <c r="M78" s="188"/>
      <c r="N78" s="525"/>
      <c r="O78" s="525"/>
      <c r="P78" s="190"/>
      <c r="Q78" s="190"/>
      <c r="R78" s="187"/>
      <c r="S78" s="184"/>
      <c r="T78" s="554"/>
      <c r="U78" s="190"/>
      <c r="V78" s="190"/>
      <c r="W78" s="187"/>
      <c r="X78" s="184"/>
      <c r="Y78" s="554"/>
      <c r="Z78" s="190"/>
      <c r="AA78" s="190"/>
      <c r="AB78" s="187"/>
      <c r="AC78" s="184"/>
      <c r="AD78" s="554"/>
      <c r="AE78" s="190"/>
      <c r="AF78" s="190"/>
      <c r="AG78" s="187"/>
      <c r="AH78" s="184"/>
      <c r="AI78" s="554"/>
      <c r="AJ78" s="190"/>
      <c r="AK78" s="190"/>
      <c r="AL78" s="187"/>
      <c r="AM78" s="184"/>
      <c r="AN78" s="554"/>
      <c r="AO78" s="190"/>
      <c r="AP78" s="190"/>
      <c r="AQ78" s="187"/>
      <c r="AR78" s="184"/>
      <c r="AS78" s="572"/>
      <c r="AT78" s="190"/>
      <c r="AU78" s="190"/>
      <c r="AV78" s="187"/>
      <c r="AW78" s="184"/>
      <c r="AX78" s="554"/>
    </row>
    <row r="79" spans="2:50" ht="14.25" customHeight="1">
      <c r="B79" s="525"/>
      <c r="C79" s="182">
        <v>13</v>
      </c>
      <c r="D79" s="185"/>
      <c r="E79" s="182"/>
      <c r="F79" s="182"/>
      <c r="G79" s="187"/>
      <c r="H79" s="554"/>
      <c r="I79" s="188"/>
      <c r="J79" s="188"/>
      <c r="K79" s="189"/>
      <c r="L79" s="555"/>
      <c r="M79" s="188"/>
      <c r="N79" s="525"/>
      <c r="O79" s="525"/>
      <c r="P79" s="190"/>
      <c r="Q79" s="190"/>
      <c r="R79" s="187"/>
      <c r="S79" s="184"/>
      <c r="T79" s="554"/>
      <c r="U79" s="190"/>
      <c r="V79" s="190"/>
      <c r="W79" s="187"/>
      <c r="X79" s="184"/>
      <c r="Y79" s="554"/>
      <c r="Z79" s="190"/>
      <c r="AA79" s="190"/>
      <c r="AB79" s="187"/>
      <c r="AC79" s="184"/>
      <c r="AD79" s="554"/>
      <c r="AE79" s="190"/>
      <c r="AF79" s="190"/>
      <c r="AG79" s="187"/>
      <c r="AH79" s="184"/>
      <c r="AI79" s="554"/>
      <c r="AJ79" s="190"/>
      <c r="AK79" s="190"/>
      <c r="AL79" s="187"/>
      <c r="AM79" s="184"/>
      <c r="AN79" s="554"/>
      <c r="AO79" s="190"/>
      <c r="AP79" s="190"/>
      <c r="AQ79" s="187"/>
      <c r="AR79" s="184"/>
      <c r="AS79" s="572"/>
      <c r="AT79" s="190"/>
      <c r="AU79" s="190"/>
      <c r="AV79" s="187"/>
      <c r="AW79" s="184"/>
      <c r="AX79" s="554"/>
    </row>
    <row r="80" spans="2:50" ht="14.25" customHeight="1">
      <c r="B80" s="525"/>
      <c r="C80" s="182">
        <v>14</v>
      </c>
      <c r="D80" s="185"/>
      <c r="E80" s="182"/>
      <c r="F80" s="182"/>
      <c r="G80" s="187"/>
      <c r="H80" s="554"/>
      <c r="I80" s="188"/>
      <c r="J80" s="188"/>
      <c r="K80" s="189"/>
      <c r="L80" s="555"/>
      <c r="M80" s="188"/>
      <c r="N80" s="525"/>
      <c r="O80" s="525"/>
      <c r="P80" s="190"/>
      <c r="Q80" s="190"/>
      <c r="R80" s="187"/>
      <c r="S80" s="184"/>
      <c r="T80" s="554"/>
      <c r="U80" s="190"/>
      <c r="V80" s="190"/>
      <c r="W80" s="187"/>
      <c r="X80" s="184"/>
      <c r="Y80" s="554"/>
      <c r="Z80" s="190"/>
      <c r="AA80" s="190"/>
      <c r="AB80" s="187"/>
      <c r="AC80" s="184"/>
      <c r="AD80" s="554"/>
      <c r="AE80" s="190"/>
      <c r="AF80" s="190"/>
      <c r="AG80" s="187"/>
      <c r="AH80" s="184"/>
      <c r="AI80" s="554"/>
      <c r="AJ80" s="190"/>
      <c r="AK80" s="190"/>
      <c r="AL80" s="187"/>
      <c r="AM80" s="184"/>
      <c r="AN80" s="554"/>
      <c r="AO80" s="190"/>
      <c r="AP80" s="190"/>
      <c r="AQ80" s="187"/>
      <c r="AR80" s="184"/>
      <c r="AS80" s="572"/>
      <c r="AT80" s="190"/>
      <c r="AU80" s="190"/>
      <c r="AV80" s="187"/>
      <c r="AW80" s="184"/>
      <c r="AX80" s="554"/>
    </row>
    <row r="81" spans="2:50" ht="14.25" customHeight="1">
      <c r="B81" s="525"/>
      <c r="C81" s="182">
        <v>15</v>
      </c>
      <c r="D81" s="185"/>
      <c r="E81" s="182"/>
      <c r="F81" s="182"/>
      <c r="G81" s="187"/>
      <c r="H81" s="554"/>
      <c r="I81" s="188"/>
      <c r="J81" s="188"/>
      <c r="K81" s="189"/>
      <c r="L81" s="555"/>
      <c r="M81" s="188"/>
      <c r="N81" s="525"/>
      <c r="O81" s="525"/>
      <c r="P81" s="190"/>
      <c r="Q81" s="190"/>
      <c r="R81" s="187"/>
      <c r="S81" s="184"/>
      <c r="T81" s="554"/>
      <c r="U81" s="190"/>
      <c r="V81" s="190"/>
      <c r="W81" s="187"/>
      <c r="X81" s="184"/>
      <c r="Y81" s="554"/>
      <c r="Z81" s="190"/>
      <c r="AA81" s="190"/>
      <c r="AB81" s="187"/>
      <c r="AC81" s="184"/>
      <c r="AD81" s="554"/>
      <c r="AE81" s="190"/>
      <c r="AF81" s="190"/>
      <c r="AG81" s="187"/>
      <c r="AH81" s="184"/>
      <c r="AI81" s="554"/>
      <c r="AJ81" s="190"/>
      <c r="AK81" s="190"/>
      <c r="AL81" s="187"/>
      <c r="AM81" s="184"/>
      <c r="AN81" s="554"/>
      <c r="AO81" s="190"/>
      <c r="AP81" s="190"/>
      <c r="AQ81" s="187"/>
      <c r="AR81" s="184"/>
      <c r="AS81" s="573"/>
      <c r="AT81" s="190"/>
      <c r="AU81" s="190"/>
      <c r="AV81" s="187"/>
      <c r="AW81" s="184"/>
      <c r="AX81" s="554"/>
    </row>
    <row r="82" spans="2:50" ht="14.25" customHeight="1" collapsed="1">
      <c r="B82" s="534" t="s">
        <v>649</v>
      </c>
      <c r="C82" s="535"/>
      <c r="D82" s="535"/>
      <c r="E82" s="535"/>
      <c r="F82" s="535"/>
      <c r="G82" s="535"/>
      <c r="H82" s="535"/>
      <c r="I82" s="535"/>
      <c r="J82" s="535"/>
      <c r="K82" s="535"/>
      <c r="L82" s="535"/>
      <c r="M82" s="536"/>
      <c r="N82" s="564" t="s">
        <v>378</v>
      </c>
      <c r="O82" s="564" t="s">
        <v>105</v>
      </c>
      <c r="P82" s="566">
        <f>AT62+1</f>
        <v>46105</v>
      </c>
      <c r="Q82" s="567"/>
      <c r="R82" s="567"/>
      <c r="S82" s="567"/>
      <c r="T82" s="567"/>
      <c r="U82" s="568">
        <f>P82+1</f>
        <v>46106</v>
      </c>
      <c r="V82" s="569"/>
      <c r="W82" s="569"/>
      <c r="X82" s="569"/>
      <c r="Y82" s="569"/>
      <c r="Z82" s="566">
        <f t="shared" ref="Z82" si="50">U82+1</f>
        <v>46107</v>
      </c>
      <c r="AA82" s="567"/>
      <c r="AB82" s="567"/>
      <c r="AC82" s="567"/>
      <c r="AD82" s="567"/>
      <c r="AE82" s="568">
        <f t="shared" ref="AE82" si="51">Z82+1</f>
        <v>46108</v>
      </c>
      <c r="AF82" s="569"/>
      <c r="AG82" s="569"/>
      <c r="AH82" s="569"/>
      <c r="AI82" s="569"/>
      <c r="AJ82" s="556">
        <f t="shared" ref="AJ82" si="52">AE82+1</f>
        <v>46109</v>
      </c>
      <c r="AK82" s="557"/>
      <c r="AL82" s="557"/>
      <c r="AM82" s="557"/>
      <c r="AN82" s="558"/>
      <c r="AO82" s="568">
        <f t="shared" ref="AO82" si="53">AJ82+1</f>
        <v>46110</v>
      </c>
      <c r="AP82" s="569"/>
      <c r="AQ82" s="569"/>
      <c r="AR82" s="569"/>
      <c r="AS82" s="569"/>
      <c r="AT82" s="556">
        <f t="shared" ref="AT82" si="54">AO82+1</f>
        <v>46111</v>
      </c>
      <c r="AU82" s="557"/>
      <c r="AV82" s="557"/>
      <c r="AW82" s="557"/>
      <c r="AX82" s="558"/>
    </row>
    <row r="83" spans="2:50" ht="14.25" customHeight="1">
      <c r="B83" s="537"/>
      <c r="C83" s="537"/>
      <c r="D83" s="537"/>
      <c r="E83" s="537"/>
      <c r="F83" s="537"/>
      <c r="G83" s="537"/>
      <c r="H83" s="537"/>
      <c r="I83" s="537"/>
      <c r="J83" s="537"/>
      <c r="K83" s="537"/>
      <c r="L83" s="537"/>
      <c r="M83" s="538"/>
      <c r="N83" s="565"/>
      <c r="O83" s="565"/>
      <c r="P83" s="559">
        <f>P82</f>
        <v>46105</v>
      </c>
      <c r="Q83" s="559"/>
      <c r="R83" s="559"/>
      <c r="S83" s="559"/>
      <c r="T83" s="559"/>
      <c r="U83" s="560">
        <f>U82</f>
        <v>46106</v>
      </c>
      <c r="V83" s="560"/>
      <c r="W83" s="560"/>
      <c r="X83" s="560"/>
      <c r="Y83" s="560"/>
      <c r="Z83" s="559">
        <f t="shared" ref="Z83" si="55">Z82</f>
        <v>46107</v>
      </c>
      <c r="AA83" s="559"/>
      <c r="AB83" s="559"/>
      <c r="AC83" s="559"/>
      <c r="AD83" s="559"/>
      <c r="AE83" s="560">
        <f t="shared" ref="AE83" si="56">AE82</f>
        <v>46108</v>
      </c>
      <c r="AF83" s="560"/>
      <c r="AG83" s="560"/>
      <c r="AH83" s="560"/>
      <c r="AI83" s="560"/>
      <c r="AJ83" s="561">
        <f t="shared" ref="AJ83" si="57">AJ82</f>
        <v>46109</v>
      </c>
      <c r="AK83" s="562"/>
      <c r="AL83" s="562"/>
      <c r="AM83" s="562"/>
      <c r="AN83" s="563"/>
      <c r="AO83" s="560">
        <f t="shared" ref="AO83" si="58">AO82</f>
        <v>46110</v>
      </c>
      <c r="AP83" s="560"/>
      <c r="AQ83" s="560"/>
      <c r="AR83" s="560"/>
      <c r="AS83" s="560"/>
      <c r="AT83" s="561">
        <f t="shared" ref="AT83" si="59">AT82</f>
        <v>46111</v>
      </c>
      <c r="AU83" s="562"/>
      <c r="AV83" s="562"/>
      <c r="AW83" s="562"/>
      <c r="AX83" s="563"/>
    </row>
    <row r="84" spans="2:50" ht="14.25" customHeight="1">
      <c r="B84" s="525" t="s">
        <v>164</v>
      </c>
      <c r="C84" s="525" t="s">
        <v>159</v>
      </c>
      <c r="D84" s="525"/>
      <c r="E84" s="525" t="s">
        <v>160</v>
      </c>
      <c r="F84" s="525"/>
      <c r="G84" s="525"/>
      <c r="H84" s="525" t="s">
        <v>165</v>
      </c>
      <c r="I84" s="544" t="s">
        <v>379</v>
      </c>
      <c r="J84" s="544"/>
      <c r="K84" s="544"/>
      <c r="L84" s="544" t="s">
        <v>165</v>
      </c>
      <c r="M84" s="544" t="s">
        <v>167</v>
      </c>
      <c r="N84" s="525"/>
      <c r="O84" s="525" t="s">
        <v>166</v>
      </c>
      <c r="P84" s="525" t="s">
        <v>162</v>
      </c>
      <c r="Q84" s="525"/>
      <c r="R84" s="525"/>
      <c r="S84" s="525"/>
      <c r="T84" s="525" t="s">
        <v>165</v>
      </c>
      <c r="U84" s="525" t="s">
        <v>162</v>
      </c>
      <c r="V84" s="525"/>
      <c r="W84" s="525"/>
      <c r="X84" s="525"/>
      <c r="Y84" s="525" t="s">
        <v>165</v>
      </c>
      <c r="Z84" s="525" t="s">
        <v>162</v>
      </c>
      <c r="AA84" s="525"/>
      <c r="AB84" s="525"/>
      <c r="AC84" s="525"/>
      <c r="AD84" s="525" t="s">
        <v>165</v>
      </c>
      <c r="AE84" s="525" t="s">
        <v>162</v>
      </c>
      <c r="AF84" s="525"/>
      <c r="AG84" s="525"/>
      <c r="AH84" s="525"/>
      <c r="AI84" s="525" t="s">
        <v>165</v>
      </c>
      <c r="AJ84" s="525" t="s">
        <v>162</v>
      </c>
      <c r="AK84" s="525"/>
      <c r="AL84" s="525"/>
      <c r="AM84" s="525"/>
      <c r="AN84" s="525" t="s">
        <v>165</v>
      </c>
      <c r="AO84" s="525" t="s">
        <v>162</v>
      </c>
      <c r="AP84" s="525"/>
      <c r="AQ84" s="525"/>
      <c r="AR84" s="525"/>
      <c r="AS84" s="525" t="s">
        <v>165</v>
      </c>
      <c r="AT84" s="525" t="s">
        <v>162</v>
      </c>
      <c r="AU84" s="525"/>
      <c r="AV84" s="525"/>
      <c r="AW84" s="525"/>
      <c r="AX84" s="525" t="s">
        <v>165</v>
      </c>
    </row>
    <row r="85" spans="2:50" ht="14.25" customHeight="1">
      <c r="B85" s="525"/>
      <c r="C85" s="525"/>
      <c r="D85" s="525"/>
      <c r="E85" s="525" t="s">
        <v>380</v>
      </c>
      <c r="F85" s="525"/>
      <c r="G85" s="525"/>
      <c r="H85" s="525"/>
      <c r="I85" s="544" t="s">
        <v>380</v>
      </c>
      <c r="J85" s="544"/>
      <c r="K85" s="544"/>
      <c r="L85" s="544"/>
      <c r="M85" s="544"/>
      <c r="N85" s="525"/>
      <c r="O85" s="525"/>
      <c r="P85" s="525" t="s">
        <v>381</v>
      </c>
      <c r="Q85" s="525"/>
      <c r="R85" s="525"/>
      <c r="S85" s="525"/>
      <c r="T85" s="525"/>
      <c r="U85" s="525" t="s">
        <v>381</v>
      </c>
      <c r="V85" s="525"/>
      <c r="W85" s="525"/>
      <c r="X85" s="525"/>
      <c r="Y85" s="525"/>
      <c r="Z85" s="525" t="s">
        <v>381</v>
      </c>
      <c r="AA85" s="525"/>
      <c r="AB85" s="525"/>
      <c r="AC85" s="525"/>
      <c r="AD85" s="525"/>
      <c r="AE85" s="525" t="s">
        <v>381</v>
      </c>
      <c r="AF85" s="525"/>
      <c r="AG85" s="525"/>
      <c r="AH85" s="525"/>
      <c r="AI85" s="525"/>
      <c r="AJ85" s="525" t="s">
        <v>381</v>
      </c>
      <c r="AK85" s="525"/>
      <c r="AL85" s="525"/>
      <c r="AM85" s="525"/>
      <c r="AN85" s="525"/>
      <c r="AO85" s="525" t="s">
        <v>381</v>
      </c>
      <c r="AP85" s="525"/>
      <c r="AQ85" s="525"/>
      <c r="AR85" s="525"/>
      <c r="AS85" s="525"/>
      <c r="AT85" s="525" t="s">
        <v>381</v>
      </c>
      <c r="AU85" s="525"/>
      <c r="AV85" s="525"/>
      <c r="AW85" s="525"/>
      <c r="AX85" s="525"/>
    </row>
    <row r="86" spans="2:50" ht="14.25" customHeight="1">
      <c r="B86" s="525"/>
      <c r="C86" s="525"/>
      <c r="D86" s="525"/>
      <c r="E86" s="182" t="s">
        <v>161</v>
      </c>
      <c r="F86" s="182" t="s">
        <v>382</v>
      </c>
      <c r="G86" s="182" t="s">
        <v>163</v>
      </c>
      <c r="H86" s="525"/>
      <c r="I86" s="183" t="s">
        <v>161</v>
      </c>
      <c r="J86" s="183" t="s">
        <v>382</v>
      </c>
      <c r="K86" s="183" t="s">
        <v>163</v>
      </c>
      <c r="L86" s="544"/>
      <c r="M86" s="544"/>
      <c r="N86" s="525"/>
      <c r="O86" s="525"/>
      <c r="P86" s="182" t="s">
        <v>161</v>
      </c>
      <c r="Q86" s="182" t="s">
        <v>382</v>
      </c>
      <c r="R86" s="182" t="s">
        <v>163</v>
      </c>
      <c r="S86" s="184" t="s">
        <v>167</v>
      </c>
      <c r="T86" s="525"/>
      <c r="U86" s="182" t="s">
        <v>161</v>
      </c>
      <c r="V86" s="182" t="s">
        <v>382</v>
      </c>
      <c r="W86" s="182" t="s">
        <v>163</v>
      </c>
      <c r="X86" s="184" t="s">
        <v>167</v>
      </c>
      <c r="Y86" s="525"/>
      <c r="Z86" s="182" t="s">
        <v>161</v>
      </c>
      <c r="AA86" s="182" t="s">
        <v>382</v>
      </c>
      <c r="AB86" s="182" t="s">
        <v>163</v>
      </c>
      <c r="AC86" s="184" t="s">
        <v>167</v>
      </c>
      <c r="AD86" s="525"/>
      <c r="AE86" s="182" t="s">
        <v>161</v>
      </c>
      <c r="AF86" s="182" t="s">
        <v>382</v>
      </c>
      <c r="AG86" s="182" t="s">
        <v>163</v>
      </c>
      <c r="AH86" s="184" t="s">
        <v>167</v>
      </c>
      <c r="AI86" s="525"/>
      <c r="AJ86" s="182" t="s">
        <v>161</v>
      </c>
      <c r="AK86" s="182" t="s">
        <v>382</v>
      </c>
      <c r="AL86" s="182" t="s">
        <v>163</v>
      </c>
      <c r="AM86" s="184" t="s">
        <v>167</v>
      </c>
      <c r="AN86" s="525"/>
      <c r="AO86" s="182" t="s">
        <v>161</v>
      </c>
      <c r="AP86" s="182" t="s">
        <v>382</v>
      </c>
      <c r="AQ86" s="182" t="s">
        <v>163</v>
      </c>
      <c r="AR86" s="184" t="s">
        <v>167</v>
      </c>
      <c r="AS86" s="525"/>
      <c r="AT86" s="182" t="s">
        <v>161</v>
      </c>
      <c r="AU86" s="182" t="s">
        <v>382</v>
      </c>
      <c r="AV86" s="182" t="s">
        <v>163</v>
      </c>
      <c r="AW86" s="184" t="s">
        <v>167</v>
      </c>
      <c r="AX86" s="525"/>
    </row>
    <row r="87" spans="2:50" ht="14.25" customHeight="1">
      <c r="B87" s="525" t="s">
        <v>386</v>
      </c>
      <c r="C87" s="182">
        <v>1</v>
      </c>
      <c r="D87" s="185"/>
      <c r="E87" s="182"/>
      <c r="F87" s="182"/>
      <c r="G87" s="187"/>
      <c r="H87" s="554"/>
      <c r="I87" s="188"/>
      <c r="J87" s="188"/>
      <c r="K87" s="189"/>
      <c r="L87" s="555" t="str">
        <f>IFERROR(AVERAGE(K87:K101),"-")</f>
        <v>-</v>
      </c>
      <c r="M87" s="188" t="e">
        <f>RANK(K87, K$87:$K$101)</f>
        <v>#N/A</v>
      </c>
      <c r="N87" s="525"/>
      <c r="O87" s="525"/>
      <c r="P87" s="190"/>
      <c r="Q87" s="190"/>
      <c r="R87" s="187"/>
      <c r="S87" s="184"/>
      <c r="T87" s="554"/>
      <c r="U87" s="190"/>
      <c r="V87" s="190"/>
      <c r="W87" s="187"/>
      <c r="X87" s="184"/>
      <c r="Y87" s="554"/>
      <c r="Z87" s="190"/>
      <c r="AA87" s="190"/>
      <c r="AB87" s="187"/>
      <c r="AC87" s="184"/>
      <c r="AD87" s="554"/>
      <c r="AE87" s="190"/>
      <c r="AF87" s="190"/>
      <c r="AG87" s="187"/>
      <c r="AH87" s="184"/>
      <c r="AI87" s="554"/>
      <c r="AJ87" s="190"/>
      <c r="AK87" s="190"/>
      <c r="AL87" s="187"/>
      <c r="AM87" s="184"/>
      <c r="AN87" s="554"/>
      <c r="AO87" s="190"/>
      <c r="AP87" s="190"/>
      <c r="AQ87" s="187"/>
      <c r="AR87" s="184"/>
      <c r="AS87" s="554"/>
      <c r="AT87" s="190"/>
      <c r="AU87" s="190"/>
      <c r="AV87" s="187"/>
      <c r="AW87" s="184"/>
      <c r="AX87" s="554"/>
    </row>
    <row r="88" spans="2:50" ht="14.25" customHeight="1">
      <c r="B88" s="525"/>
      <c r="C88" s="182">
        <v>2</v>
      </c>
      <c r="D88" s="185"/>
      <c r="E88" s="182"/>
      <c r="F88" s="182"/>
      <c r="G88" s="187"/>
      <c r="H88" s="554"/>
      <c r="I88" s="188"/>
      <c r="J88" s="188"/>
      <c r="K88" s="189"/>
      <c r="L88" s="555"/>
      <c r="M88" s="188" t="e">
        <f>RANK(K88, K$87:$K$101)</f>
        <v>#N/A</v>
      </c>
      <c r="N88" s="525"/>
      <c r="O88" s="525"/>
      <c r="P88" s="190"/>
      <c r="Q88" s="190"/>
      <c r="R88" s="187"/>
      <c r="S88" s="184"/>
      <c r="T88" s="554"/>
      <c r="U88" s="190"/>
      <c r="V88" s="190"/>
      <c r="W88" s="187"/>
      <c r="X88" s="184"/>
      <c r="Y88" s="554"/>
      <c r="Z88" s="190"/>
      <c r="AA88" s="190"/>
      <c r="AB88" s="187"/>
      <c r="AC88" s="184"/>
      <c r="AD88" s="554"/>
      <c r="AE88" s="190"/>
      <c r="AF88" s="190"/>
      <c r="AG88" s="187"/>
      <c r="AH88" s="184"/>
      <c r="AI88" s="554"/>
      <c r="AJ88" s="190"/>
      <c r="AK88" s="190"/>
      <c r="AL88" s="187"/>
      <c r="AM88" s="184"/>
      <c r="AN88" s="554"/>
      <c r="AO88" s="190"/>
      <c r="AP88" s="190"/>
      <c r="AQ88" s="187"/>
      <c r="AR88" s="184"/>
      <c r="AS88" s="554"/>
      <c r="AT88" s="190"/>
      <c r="AU88" s="190"/>
      <c r="AV88" s="187"/>
      <c r="AW88" s="184"/>
      <c r="AX88" s="554"/>
    </row>
    <row r="89" spans="2:50" ht="14.25" customHeight="1">
      <c r="B89" s="525"/>
      <c r="C89" s="182">
        <v>3</v>
      </c>
      <c r="D89" s="185"/>
      <c r="E89" s="182"/>
      <c r="F89" s="182"/>
      <c r="G89" s="187"/>
      <c r="H89" s="554"/>
      <c r="I89" s="188"/>
      <c r="J89" s="188"/>
      <c r="K89" s="189"/>
      <c r="L89" s="555"/>
      <c r="M89" s="188"/>
      <c r="N89" s="525"/>
      <c r="O89" s="525"/>
      <c r="P89" s="190"/>
      <c r="Q89" s="190"/>
      <c r="R89" s="187"/>
      <c r="S89" s="184"/>
      <c r="T89" s="554"/>
      <c r="U89" s="190"/>
      <c r="V89" s="190"/>
      <c r="W89" s="187"/>
      <c r="X89" s="184"/>
      <c r="Y89" s="554"/>
      <c r="Z89" s="190"/>
      <c r="AA89" s="190"/>
      <c r="AB89" s="187"/>
      <c r="AC89" s="184"/>
      <c r="AD89" s="554"/>
      <c r="AE89" s="190"/>
      <c r="AF89" s="190"/>
      <c r="AG89" s="187"/>
      <c r="AH89" s="184"/>
      <c r="AI89" s="554"/>
      <c r="AJ89" s="190"/>
      <c r="AK89" s="190"/>
      <c r="AL89" s="187"/>
      <c r="AM89" s="184"/>
      <c r="AN89" s="554"/>
      <c r="AO89" s="190"/>
      <c r="AP89" s="190"/>
      <c r="AQ89" s="187"/>
      <c r="AR89" s="184"/>
      <c r="AS89" s="554"/>
      <c r="AT89" s="190"/>
      <c r="AU89" s="190"/>
      <c r="AV89" s="187"/>
      <c r="AW89" s="184"/>
      <c r="AX89" s="554"/>
    </row>
    <row r="90" spans="2:50" ht="14.25" customHeight="1">
      <c r="B90" s="525"/>
      <c r="C90" s="182">
        <v>4</v>
      </c>
      <c r="D90" s="185"/>
      <c r="E90" s="182"/>
      <c r="F90" s="182"/>
      <c r="G90" s="187"/>
      <c r="H90" s="554"/>
      <c r="I90" s="188"/>
      <c r="J90" s="188"/>
      <c r="K90" s="189"/>
      <c r="L90" s="555"/>
      <c r="M90" s="188"/>
      <c r="N90" s="525"/>
      <c r="O90" s="525"/>
      <c r="P90" s="190"/>
      <c r="Q90" s="190"/>
      <c r="R90" s="187"/>
      <c r="S90" s="184"/>
      <c r="T90" s="554"/>
      <c r="U90" s="190"/>
      <c r="V90" s="190"/>
      <c r="W90" s="187"/>
      <c r="X90" s="184"/>
      <c r="Y90" s="554"/>
      <c r="Z90" s="190"/>
      <c r="AA90" s="190"/>
      <c r="AB90" s="187"/>
      <c r="AC90" s="184"/>
      <c r="AD90" s="554"/>
      <c r="AE90" s="190"/>
      <c r="AF90" s="190"/>
      <c r="AG90" s="187"/>
      <c r="AH90" s="184"/>
      <c r="AI90" s="554"/>
      <c r="AJ90" s="190"/>
      <c r="AK90" s="190"/>
      <c r="AL90" s="187"/>
      <c r="AM90" s="184"/>
      <c r="AN90" s="554"/>
      <c r="AO90" s="190"/>
      <c r="AP90" s="190"/>
      <c r="AQ90" s="187"/>
      <c r="AR90" s="184"/>
      <c r="AS90" s="554"/>
      <c r="AT90" s="190"/>
      <c r="AU90" s="190"/>
      <c r="AV90" s="187"/>
      <c r="AW90" s="184"/>
      <c r="AX90" s="554"/>
    </row>
    <row r="91" spans="2:50" ht="14.25" customHeight="1">
      <c r="B91" s="525"/>
      <c r="C91" s="182">
        <v>5</v>
      </c>
      <c r="D91" s="185"/>
      <c r="E91" s="182"/>
      <c r="F91" s="182"/>
      <c r="G91" s="187"/>
      <c r="H91" s="554"/>
      <c r="I91" s="188"/>
      <c r="J91" s="188"/>
      <c r="K91" s="189"/>
      <c r="L91" s="555"/>
      <c r="M91" s="188"/>
      <c r="N91" s="525"/>
      <c r="O91" s="525"/>
      <c r="P91" s="190"/>
      <c r="Q91" s="190"/>
      <c r="R91" s="187"/>
      <c r="S91" s="184"/>
      <c r="T91" s="554"/>
      <c r="U91" s="190"/>
      <c r="V91" s="190"/>
      <c r="W91" s="187"/>
      <c r="X91" s="184"/>
      <c r="Y91" s="554"/>
      <c r="Z91" s="190"/>
      <c r="AA91" s="190"/>
      <c r="AB91" s="187"/>
      <c r="AC91" s="184"/>
      <c r="AD91" s="554"/>
      <c r="AE91" s="190"/>
      <c r="AF91" s="190"/>
      <c r="AG91" s="187"/>
      <c r="AH91" s="184"/>
      <c r="AI91" s="554"/>
      <c r="AJ91" s="190"/>
      <c r="AK91" s="190"/>
      <c r="AL91" s="187"/>
      <c r="AM91" s="184"/>
      <c r="AN91" s="554"/>
      <c r="AO91" s="190"/>
      <c r="AP91" s="190"/>
      <c r="AQ91" s="187"/>
      <c r="AR91" s="184"/>
      <c r="AS91" s="554"/>
      <c r="AT91" s="190"/>
      <c r="AU91" s="190"/>
      <c r="AV91" s="187"/>
      <c r="AW91" s="184"/>
      <c r="AX91" s="554"/>
    </row>
    <row r="92" spans="2:50" ht="14.25" customHeight="1">
      <c r="B92" s="525"/>
      <c r="C92" s="182">
        <v>6</v>
      </c>
      <c r="D92" s="185"/>
      <c r="E92" s="182"/>
      <c r="F92" s="182"/>
      <c r="G92" s="187"/>
      <c r="H92" s="554"/>
      <c r="I92" s="188"/>
      <c r="J92" s="188"/>
      <c r="K92" s="189"/>
      <c r="L92" s="555"/>
      <c r="M92" s="188"/>
      <c r="N92" s="525"/>
      <c r="O92" s="525"/>
      <c r="P92" s="190"/>
      <c r="Q92" s="190"/>
      <c r="R92" s="187"/>
      <c r="S92" s="184"/>
      <c r="T92" s="554"/>
      <c r="U92" s="190"/>
      <c r="V92" s="190"/>
      <c r="W92" s="187"/>
      <c r="X92" s="184"/>
      <c r="Y92" s="554"/>
      <c r="Z92" s="190"/>
      <c r="AA92" s="190"/>
      <c r="AB92" s="187"/>
      <c r="AC92" s="184"/>
      <c r="AD92" s="554"/>
      <c r="AE92" s="190"/>
      <c r="AF92" s="190"/>
      <c r="AG92" s="187"/>
      <c r="AH92" s="184"/>
      <c r="AI92" s="554"/>
      <c r="AJ92" s="190"/>
      <c r="AK92" s="190"/>
      <c r="AL92" s="187"/>
      <c r="AM92" s="184"/>
      <c r="AN92" s="554"/>
      <c r="AO92" s="190"/>
      <c r="AP92" s="190"/>
      <c r="AQ92" s="187"/>
      <c r="AR92" s="184"/>
      <c r="AS92" s="554"/>
      <c r="AT92" s="190"/>
      <c r="AU92" s="190"/>
      <c r="AV92" s="187"/>
      <c r="AW92" s="184"/>
      <c r="AX92" s="554"/>
    </row>
    <row r="93" spans="2:50" ht="14.25" customHeight="1">
      <c r="B93" s="525"/>
      <c r="C93" s="182">
        <v>7</v>
      </c>
      <c r="D93" s="185"/>
      <c r="E93" s="182"/>
      <c r="F93" s="182"/>
      <c r="G93" s="187"/>
      <c r="H93" s="554"/>
      <c r="I93" s="188"/>
      <c r="J93" s="188"/>
      <c r="K93" s="189"/>
      <c r="L93" s="555"/>
      <c r="M93" s="188"/>
      <c r="N93" s="525"/>
      <c r="O93" s="525"/>
      <c r="P93" s="190"/>
      <c r="Q93" s="190"/>
      <c r="R93" s="187"/>
      <c r="S93" s="184"/>
      <c r="T93" s="554"/>
      <c r="U93" s="190"/>
      <c r="V93" s="190"/>
      <c r="W93" s="187"/>
      <c r="X93" s="184"/>
      <c r="Y93" s="554"/>
      <c r="Z93" s="190"/>
      <c r="AA93" s="190"/>
      <c r="AB93" s="187"/>
      <c r="AC93" s="184"/>
      <c r="AD93" s="554"/>
      <c r="AE93" s="190"/>
      <c r="AF93" s="190"/>
      <c r="AG93" s="187"/>
      <c r="AH93" s="184"/>
      <c r="AI93" s="554"/>
      <c r="AJ93" s="190"/>
      <c r="AK93" s="190"/>
      <c r="AL93" s="187"/>
      <c r="AM93" s="184"/>
      <c r="AN93" s="554"/>
      <c r="AO93" s="190"/>
      <c r="AP93" s="190"/>
      <c r="AQ93" s="187"/>
      <c r="AR93" s="184"/>
      <c r="AS93" s="554"/>
      <c r="AT93" s="190"/>
      <c r="AU93" s="190"/>
      <c r="AV93" s="187"/>
      <c r="AW93" s="184"/>
      <c r="AX93" s="554"/>
    </row>
    <row r="94" spans="2:50" ht="14.25" customHeight="1">
      <c r="B94" s="525"/>
      <c r="C94" s="182">
        <v>8</v>
      </c>
      <c r="D94" s="185"/>
      <c r="E94" s="182"/>
      <c r="F94" s="182"/>
      <c r="G94" s="187"/>
      <c r="H94" s="554"/>
      <c r="I94" s="188"/>
      <c r="J94" s="188"/>
      <c r="K94" s="189"/>
      <c r="L94" s="555"/>
      <c r="M94" s="188"/>
      <c r="N94" s="525"/>
      <c r="O94" s="525"/>
      <c r="P94" s="190"/>
      <c r="Q94" s="190"/>
      <c r="R94" s="187"/>
      <c r="S94" s="184"/>
      <c r="T94" s="554"/>
      <c r="U94" s="190"/>
      <c r="V94" s="190"/>
      <c r="W94" s="187"/>
      <c r="X94" s="184"/>
      <c r="Y94" s="554"/>
      <c r="Z94" s="190"/>
      <c r="AA94" s="190"/>
      <c r="AB94" s="187"/>
      <c r="AC94" s="184"/>
      <c r="AD94" s="554"/>
      <c r="AE94" s="190"/>
      <c r="AF94" s="190"/>
      <c r="AG94" s="187"/>
      <c r="AH94" s="184"/>
      <c r="AI94" s="554"/>
      <c r="AJ94" s="190"/>
      <c r="AK94" s="190"/>
      <c r="AL94" s="187"/>
      <c r="AM94" s="184"/>
      <c r="AN94" s="554"/>
      <c r="AO94" s="190"/>
      <c r="AP94" s="190"/>
      <c r="AQ94" s="187"/>
      <c r="AR94" s="184"/>
      <c r="AS94" s="554"/>
      <c r="AT94" s="190"/>
      <c r="AU94" s="190"/>
      <c r="AV94" s="187"/>
      <c r="AW94" s="184"/>
      <c r="AX94" s="554"/>
    </row>
    <row r="95" spans="2:50" ht="14.25" customHeight="1">
      <c r="B95" s="525"/>
      <c r="C95" s="182">
        <v>9</v>
      </c>
      <c r="D95" s="185"/>
      <c r="E95" s="182"/>
      <c r="F95" s="182"/>
      <c r="G95" s="187"/>
      <c r="H95" s="554"/>
      <c r="I95" s="188"/>
      <c r="J95" s="188"/>
      <c r="K95" s="189"/>
      <c r="L95" s="555"/>
      <c r="M95" s="188"/>
      <c r="N95" s="525"/>
      <c r="O95" s="525"/>
      <c r="P95" s="190"/>
      <c r="Q95" s="190"/>
      <c r="R95" s="187"/>
      <c r="S95" s="184"/>
      <c r="T95" s="554"/>
      <c r="U95" s="190"/>
      <c r="V95" s="190"/>
      <c r="W95" s="187"/>
      <c r="X95" s="184"/>
      <c r="Y95" s="554"/>
      <c r="Z95" s="190"/>
      <c r="AA95" s="190"/>
      <c r="AB95" s="187"/>
      <c r="AC95" s="184"/>
      <c r="AD95" s="554"/>
      <c r="AE95" s="190"/>
      <c r="AF95" s="190"/>
      <c r="AG95" s="187"/>
      <c r="AH95" s="184"/>
      <c r="AI95" s="554"/>
      <c r="AJ95" s="190"/>
      <c r="AK95" s="190"/>
      <c r="AL95" s="187"/>
      <c r="AM95" s="184"/>
      <c r="AN95" s="554"/>
      <c r="AO95" s="190"/>
      <c r="AP95" s="190"/>
      <c r="AQ95" s="187"/>
      <c r="AR95" s="184"/>
      <c r="AS95" s="554"/>
      <c r="AT95" s="190"/>
      <c r="AU95" s="190"/>
      <c r="AV95" s="187"/>
      <c r="AW95" s="184"/>
      <c r="AX95" s="554"/>
    </row>
    <row r="96" spans="2:50" ht="14.25" customHeight="1">
      <c r="B96" s="525"/>
      <c r="C96" s="182">
        <v>10</v>
      </c>
      <c r="D96" s="185"/>
      <c r="E96" s="182"/>
      <c r="F96" s="182"/>
      <c r="G96" s="187"/>
      <c r="H96" s="554"/>
      <c r="I96" s="188"/>
      <c r="J96" s="188"/>
      <c r="K96" s="189"/>
      <c r="L96" s="555"/>
      <c r="M96" s="188"/>
      <c r="N96" s="525"/>
      <c r="O96" s="525"/>
      <c r="P96" s="190"/>
      <c r="Q96" s="190"/>
      <c r="R96" s="187"/>
      <c r="S96" s="184"/>
      <c r="T96" s="554"/>
      <c r="U96" s="190"/>
      <c r="V96" s="190"/>
      <c r="W96" s="187"/>
      <c r="X96" s="184"/>
      <c r="Y96" s="554"/>
      <c r="Z96" s="190"/>
      <c r="AA96" s="190"/>
      <c r="AB96" s="187"/>
      <c r="AC96" s="184"/>
      <c r="AD96" s="554"/>
      <c r="AE96" s="190"/>
      <c r="AF96" s="190"/>
      <c r="AG96" s="187"/>
      <c r="AH96" s="184"/>
      <c r="AI96" s="554"/>
      <c r="AJ96" s="190"/>
      <c r="AK96" s="190"/>
      <c r="AL96" s="187"/>
      <c r="AM96" s="184"/>
      <c r="AN96" s="554"/>
      <c r="AO96" s="190"/>
      <c r="AP96" s="190"/>
      <c r="AQ96" s="187"/>
      <c r="AR96" s="184"/>
      <c r="AS96" s="554"/>
      <c r="AT96" s="190"/>
      <c r="AU96" s="190"/>
      <c r="AV96" s="187"/>
      <c r="AW96" s="184"/>
      <c r="AX96" s="554"/>
    </row>
    <row r="97" spans="2:50" ht="14.25" customHeight="1">
      <c r="B97" s="525"/>
      <c r="C97" s="182">
        <v>11</v>
      </c>
      <c r="D97" s="185"/>
      <c r="E97" s="182"/>
      <c r="F97" s="182"/>
      <c r="G97" s="187"/>
      <c r="H97" s="554"/>
      <c r="I97" s="188"/>
      <c r="J97" s="188"/>
      <c r="K97" s="189"/>
      <c r="L97" s="555"/>
      <c r="M97" s="188"/>
      <c r="N97" s="525"/>
      <c r="O97" s="525"/>
      <c r="P97" s="190"/>
      <c r="Q97" s="190"/>
      <c r="R97" s="187"/>
      <c r="S97" s="184"/>
      <c r="T97" s="554"/>
      <c r="U97" s="190"/>
      <c r="V97" s="190"/>
      <c r="W97" s="187"/>
      <c r="X97" s="184"/>
      <c r="Y97" s="554"/>
      <c r="Z97" s="190"/>
      <c r="AA97" s="190"/>
      <c r="AB97" s="187"/>
      <c r="AC97" s="184"/>
      <c r="AD97" s="554"/>
      <c r="AE97" s="190"/>
      <c r="AF97" s="190"/>
      <c r="AG97" s="187"/>
      <c r="AH97" s="184"/>
      <c r="AI97" s="554"/>
      <c r="AJ97" s="190"/>
      <c r="AK97" s="190"/>
      <c r="AL97" s="187"/>
      <c r="AM97" s="184"/>
      <c r="AN97" s="554"/>
      <c r="AO97" s="190"/>
      <c r="AP97" s="190"/>
      <c r="AQ97" s="187"/>
      <c r="AR97" s="184"/>
      <c r="AS97" s="554"/>
      <c r="AT97" s="190"/>
      <c r="AU97" s="190"/>
      <c r="AV97" s="187"/>
      <c r="AW97" s="184"/>
      <c r="AX97" s="554"/>
    </row>
    <row r="98" spans="2:50" ht="14.25" customHeight="1">
      <c r="B98" s="525"/>
      <c r="C98" s="182">
        <v>12</v>
      </c>
      <c r="D98" s="185"/>
      <c r="E98" s="182"/>
      <c r="F98" s="182"/>
      <c r="G98" s="187"/>
      <c r="H98" s="554"/>
      <c r="I98" s="188"/>
      <c r="J98" s="188"/>
      <c r="K98" s="189"/>
      <c r="L98" s="555"/>
      <c r="M98" s="188"/>
      <c r="N98" s="525"/>
      <c r="O98" s="525"/>
      <c r="P98" s="190"/>
      <c r="Q98" s="190"/>
      <c r="R98" s="187"/>
      <c r="S98" s="184"/>
      <c r="T98" s="554"/>
      <c r="U98" s="190"/>
      <c r="V98" s="190"/>
      <c r="W98" s="187"/>
      <c r="X98" s="184"/>
      <c r="Y98" s="554"/>
      <c r="Z98" s="190"/>
      <c r="AA98" s="190"/>
      <c r="AB98" s="187"/>
      <c r="AC98" s="184"/>
      <c r="AD98" s="554"/>
      <c r="AE98" s="190"/>
      <c r="AF98" s="190"/>
      <c r="AG98" s="187"/>
      <c r="AH98" s="184"/>
      <c r="AI98" s="554"/>
      <c r="AJ98" s="190"/>
      <c r="AK98" s="190"/>
      <c r="AL98" s="187"/>
      <c r="AM98" s="184"/>
      <c r="AN98" s="554"/>
      <c r="AO98" s="190"/>
      <c r="AP98" s="190"/>
      <c r="AQ98" s="187"/>
      <c r="AR98" s="184"/>
      <c r="AS98" s="554"/>
      <c r="AT98" s="190"/>
      <c r="AU98" s="190"/>
      <c r="AV98" s="187"/>
      <c r="AW98" s="184"/>
      <c r="AX98" s="554"/>
    </row>
    <row r="99" spans="2:50" ht="14.25" customHeight="1">
      <c r="B99" s="525"/>
      <c r="C99" s="182">
        <v>13</v>
      </c>
      <c r="D99" s="185"/>
      <c r="E99" s="182"/>
      <c r="F99" s="182"/>
      <c r="G99" s="187"/>
      <c r="H99" s="554"/>
      <c r="I99" s="188"/>
      <c r="J99" s="188"/>
      <c r="K99" s="189"/>
      <c r="L99" s="555"/>
      <c r="M99" s="188"/>
      <c r="N99" s="525"/>
      <c r="O99" s="525"/>
      <c r="P99" s="190"/>
      <c r="Q99" s="190"/>
      <c r="R99" s="187"/>
      <c r="S99" s="184"/>
      <c r="T99" s="554"/>
      <c r="U99" s="190"/>
      <c r="V99" s="190"/>
      <c r="W99" s="187"/>
      <c r="X99" s="184"/>
      <c r="Y99" s="554"/>
      <c r="Z99" s="190"/>
      <c r="AA99" s="190"/>
      <c r="AB99" s="187"/>
      <c r="AC99" s="184"/>
      <c r="AD99" s="554"/>
      <c r="AE99" s="190"/>
      <c r="AF99" s="190"/>
      <c r="AG99" s="187"/>
      <c r="AH99" s="184"/>
      <c r="AI99" s="554"/>
      <c r="AJ99" s="190"/>
      <c r="AK99" s="190"/>
      <c r="AL99" s="187"/>
      <c r="AM99" s="184"/>
      <c r="AN99" s="554"/>
      <c r="AO99" s="190"/>
      <c r="AP99" s="190"/>
      <c r="AQ99" s="187"/>
      <c r="AR99" s="184"/>
      <c r="AS99" s="554"/>
      <c r="AT99" s="190"/>
      <c r="AU99" s="190"/>
      <c r="AV99" s="187"/>
      <c r="AW99" s="184"/>
      <c r="AX99" s="554"/>
    </row>
    <row r="100" spans="2:50" ht="14.25" customHeight="1">
      <c r="B100" s="525"/>
      <c r="C100" s="182">
        <v>14</v>
      </c>
      <c r="D100" s="185"/>
      <c r="E100" s="182"/>
      <c r="F100" s="182"/>
      <c r="G100" s="187"/>
      <c r="H100" s="554"/>
      <c r="I100" s="188"/>
      <c r="J100" s="188"/>
      <c r="K100" s="189"/>
      <c r="L100" s="555"/>
      <c r="M100" s="188"/>
      <c r="N100" s="525"/>
      <c r="O100" s="525"/>
      <c r="P100" s="190"/>
      <c r="Q100" s="190"/>
      <c r="R100" s="187"/>
      <c r="S100" s="184"/>
      <c r="T100" s="554"/>
      <c r="U100" s="190"/>
      <c r="V100" s="190"/>
      <c r="W100" s="187"/>
      <c r="X100" s="184"/>
      <c r="Y100" s="554"/>
      <c r="Z100" s="190"/>
      <c r="AA100" s="190"/>
      <c r="AB100" s="187"/>
      <c r="AC100" s="184"/>
      <c r="AD100" s="554"/>
      <c r="AE100" s="190"/>
      <c r="AF100" s="190"/>
      <c r="AG100" s="187"/>
      <c r="AH100" s="184"/>
      <c r="AI100" s="554"/>
      <c r="AJ100" s="190"/>
      <c r="AK100" s="190"/>
      <c r="AL100" s="187"/>
      <c r="AM100" s="184"/>
      <c r="AN100" s="554"/>
      <c r="AO100" s="190"/>
      <c r="AP100" s="190"/>
      <c r="AQ100" s="187"/>
      <c r="AR100" s="184"/>
      <c r="AS100" s="554"/>
      <c r="AT100" s="190"/>
      <c r="AU100" s="190"/>
      <c r="AV100" s="187"/>
      <c r="AW100" s="184"/>
      <c r="AX100" s="554"/>
    </row>
    <row r="101" spans="2:50" ht="14.25" customHeight="1">
      <c r="B101" s="525"/>
      <c r="C101" s="182">
        <v>15</v>
      </c>
      <c r="D101" s="185"/>
      <c r="E101" s="182"/>
      <c r="F101" s="182"/>
      <c r="G101" s="187"/>
      <c r="H101" s="554"/>
      <c r="I101" s="188"/>
      <c r="J101" s="188"/>
      <c r="K101" s="189"/>
      <c r="L101" s="555"/>
      <c r="M101" s="188"/>
      <c r="N101" s="525"/>
      <c r="O101" s="525"/>
      <c r="P101" s="190"/>
      <c r="Q101" s="190"/>
      <c r="R101" s="187"/>
      <c r="S101" s="184"/>
      <c r="T101" s="554"/>
      <c r="U101" s="190"/>
      <c r="V101" s="190"/>
      <c r="W101" s="187"/>
      <c r="X101" s="184"/>
      <c r="Y101" s="554"/>
      <c r="Z101" s="190"/>
      <c r="AA101" s="190"/>
      <c r="AB101" s="187"/>
      <c r="AC101" s="184"/>
      <c r="AD101" s="554"/>
      <c r="AE101" s="190"/>
      <c r="AF101" s="190"/>
      <c r="AG101" s="187"/>
      <c r="AH101" s="184"/>
      <c r="AI101" s="554"/>
      <c r="AJ101" s="190"/>
      <c r="AK101" s="190"/>
      <c r="AL101" s="187"/>
      <c r="AM101" s="184"/>
      <c r="AN101" s="554"/>
      <c r="AO101" s="190"/>
      <c r="AP101" s="190"/>
      <c r="AQ101" s="187"/>
      <c r="AR101" s="184"/>
      <c r="AS101" s="554"/>
      <c r="AT101" s="190"/>
      <c r="AU101" s="190"/>
      <c r="AV101" s="187"/>
      <c r="AW101" s="184"/>
      <c r="AX101" s="554"/>
    </row>
    <row r="102" spans="2:50" ht="14.25" customHeight="1" collapsed="1">
      <c r="B102" s="534" t="s">
        <v>650</v>
      </c>
      <c r="C102" s="535"/>
      <c r="D102" s="535"/>
      <c r="E102" s="535"/>
      <c r="F102" s="535"/>
      <c r="G102" s="535"/>
      <c r="H102" s="535"/>
      <c r="I102" s="535"/>
      <c r="J102" s="535"/>
      <c r="K102" s="535"/>
      <c r="L102" s="535"/>
      <c r="M102" s="536"/>
      <c r="N102" s="564" t="s">
        <v>378</v>
      </c>
      <c r="O102" s="564" t="s">
        <v>105</v>
      </c>
      <c r="P102" s="566">
        <f>AT82+1</f>
        <v>46112</v>
      </c>
      <c r="Q102" s="567"/>
      <c r="R102" s="567"/>
      <c r="S102" s="567"/>
      <c r="T102" s="567"/>
      <c r="U102" s="568">
        <f>P102+1</f>
        <v>46113</v>
      </c>
      <c r="V102" s="569"/>
      <c r="W102" s="569"/>
      <c r="X102" s="569"/>
      <c r="Y102" s="569"/>
      <c r="Z102" s="566">
        <f t="shared" ref="Z102" si="60">U102+1</f>
        <v>46114</v>
      </c>
      <c r="AA102" s="567"/>
      <c r="AB102" s="567"/>
      <c r="AC102" s="567"/>
      <c r="AD102" s="567"/>
      <c r="AE102" s="568">
        <f t="shared" ref="AE102" si="61">Z102+1</f>
        <v>46115</v>
      </c>
      <c r="AF102" s="569"/>
      <c r="AG102" s="569"/>
      <c r="AH102" s="569"/>
      <c r="AI102" s="569"/>
      <c r="AJ102" s="556">
        <f t="shared" ref="AJ102" si="62">AE102+1</f>
        <v>46116</v>
      </c>
      <c r="AK102" s="557"/>
      <c r="AL102" s="557"/>
      <c r="AM102" s="557"/>
      <c r="AN102" s="558"/>
      <c r="AO102" s="568">
        <f t="shared" ref="AO102" si="63">AJ102+1</f>
        <v>46117</v>
      </c>
      <c r="AP102" s="569"/>
      <c r="AQ102" s="569"/>
      <c r="AR102" s="569"/>
      <c r="AS102" s="569"/>
      <c r="AT102" s="556">
        <f t="shared" ref="AT102" si="64">AO102+1</f>
        <v>46118</v>
      </c>
      <c r="AU102" s="557"/>
      <c r="AV102" s="557"/>
      <c r="AW102" s="557"/>
      <c r="AX102" s="558"/>
    </row>
    <row r="103" spans="2:50" ht="14.25" customHeight="1">
      <c r="B103" s="537"/>
      <c r="C103" s="537"/>
      <c r="D103" s="537"/>
      <c r="E103" s="537"/>
      <c r="F103" s="537"/>
      <c r="G103" s="537"/>
      <c r="H103" s="537"/>
      <c r="I103" s="537"/>
      <c r="J103" s="537"/>
      <c r="K103" s="537"/>
      <c r="L103" s="537"/>
      <c r="M103" s="538"/>
      <c r="N103" s="565"/>
      <c r="O103" s="565"/>
      <c r="P103" s="559">
        <f>P102</f>
        <v>46112</v>
      </c>
      <c r="Q103" s="559"/>
      <c r="R103" s="559"/>
      <c r="S103" s="559"/>
      <c r="T103" s="559"/>
      <c r="U103" s="560">
        <f>U102</f>
        <v>46113</v>
      </c>
      <c r="V103" s="560"/>
      <c r="W103" s="560"/>
      <c r="X103" s="560"/>
      <c r="Y103" s="560"/>
      <c r="Z103" s="559">
        <f t="shared" ref="Z103" si="65">Z102</f>
        <v>46114</v>
      </c>
      <c r="AA103" s="559"/>
      <c r="AB103" s="559"/>
      <c r="AC103" s="559"/>
      <c r="AD103" s="559"/>
      <c r="AE103" s="560">
        <f t="shared" ref="AE103" si="66">AE102</f>
        <v>46115</v>
      </c>
      <c r="AF103" s="560"/>
      <c r="AG103" s="560"/>
      <c r="AH103" s="560"/>
      <c r="AI103" s="560"/>
      <c r="AJ103" s="561">
        <f t="shared" ref="AJ103" si="67">AJ102</f>
        <v>46116</v>
      </c>
      <c r="AK103" s="562"/>
      <c r="AL103" s="562"/>
      <c r="AM103" s="562"/>
      <c r="AN103" s="563"/>
      <c r="AO103" s="560">
        <f t="shared" ref="AO103" si="68">AO102</f>
        <v>46117</v>
      </c>
      <c r="AP103" s="560"/>
      <c r="AQ103" s="560"/>
      <c r="AR103" s="560"/>
      <c r="AS103" s="560"/>
      <c r="AT103" s="561">
        <f t="shared" ref="AT103" si="69">AT102</f>
        <v>46118</v>
      </c>
      <c r="AU103" s="562"/>
      <c r="AV103" s="562"/>
      <c r="AW103" s="562"/>
      <c r="AX103" s="563"/>
    </row>
    <row r="104" spans="2:50" ht="14.25" customHeight="1">
      <c r="B104" s="525" t="s">
        <v>164</v>
      </c>
      <c r="C104" s="525" t="s">
        <v>159</v>
      </c>
      <c r="D104" s="525"/>
      <c r="E104" s="525" t="s">
        <v>160</v>
      </c>
      <c r="F104" s="525"/>
      <c r="G104" s="525"/>
      <c r="H104" s="525" t="s">
        <v>165</v>
      </c>
      <c r="I104" s="544" t="s">
        <v>379</v>
      </c>
      <c r="J104" s="544"/>
      <c r="K104" s="544"/>
      <c r="L104" s="544" t="s">
        <v>165</v>
      </c>
      <c r="M104" s="544" t="s">
        <v>167</v>
      </c>
      <c r="N104" s="525"/>
      <c r="O104" s="525" t="s">
        <v>166</v>
      </c>
      <c r="P104" s="525" t="s">
        <v>162</v>
      </c>
      <c r="Q104" s="525"/>
      <c r="R104" s="525"/>
      <c r="S104" s="525"/>
      <c r="T104" s="525" t="s">
        <v>165</v>
      </c>
      <c r="U104" s="525" t="s">
        <v>162</v>
      </c>
      <c r="V104" s="525"/>
      <c r="W104" s="525"/>
      <c r="X104" s="525"/>
      <c r="Y104" s="525" t="s">
        <v>165</v>
      </c>
      <c r="Z104" s="525" t="s">
        <v>162</v>
      </c>
      <c r="AA104" s="525"/>
      <c r="AB104" s="525"/>
      <c r="AC104" s="525"/>
      <c r="AD104" s="525" t="s">
        <v>165</v>
      </c>
      <c r="AE104" s="525" t="s">
        <v>162</v>
      </c>
      <c r="AF104" s="525"/>
      <c r="AG104" s="525"/>
      <c r="AH104" s="525"/>
      <c r="AI104" s="525" t="s">
        <v>165</v>
      </c>
      <c r="AJ104" s="525" t="s">
        <v>162</v>
      </c>
      <c r="AK104" s="525"/>
      <c r="AL104" s="525"/>
      <c r="AM104" s="525"/>
      <c r="AN104" s="525" t="s">
        <v>165</v>
      </c>
      <c r="AO104" s="525" t="s">
        <v>162</v>
      </c>
      <c r="AP104" s="525"/>
      <c r="AQ104" s="525"/>
      <c r="AR104" s="525"/>
      <c r="AS104" s="525" t="s">
        <v>165</v>
      </c>
      <c r="AT104" s="525" t="s">
        <v>162</v>
      </c>
      <c r="AU104" s="525"/>
      <c r="AV104" s="525"/>
      <c r="AW104" s="525"/>
      <c r="AX104" s="525" t="s">
        <v>165</v>
      </c>
    </row>
    <row r="105" spans="2:50" ht="14.25" customHeight="1">
      <c r="B105" s="525"/>
      <c r="C105" s="525"/>
      <c r="D105" s="525"/>
      <c r="E105" s="525" t="s">
        <v>380</v>
      </c>
      <c r="F105" s="525"/>
      <c r="G105" s="525"/>
      <c r="H105" s="525"/>
      <c r="I105" s="544" t="s">
        <v>380</v>
      </c>
      <c r="J105" s="544"/>
      <c r="K105" s="544"/>
      <c r="L105" s="544"/>
      <c r="M105" s="544"/>
      <c r="N105" s="525"/>
      <c r="O105" s="525"/>
      <c r="P105" s="525" t="s">
        <v>381</v>
      </c>
      <c r="Q105" s="525"/>
      <c r="R105" s="525"/>
      <c r="S105" s="525"/>
      <c r="T105" s="525"/>
      <c r="U105" s="525" t="s">
        <v>381</v>
      </c>
      <c r="V105" s="525"/>
      <c r="W105" s="525"/>
      <c r="X105" s="525"/>
      <c r="Y105" s="525"/>
      <c r="Z105" s="525" t="s">
        <v>381</v>
      </c>
      <c r="AA105" s="525"/>
      <c r="AB105" s="525"/>
      <c r="AC105" s="525"/>
      <c r="AD105" s="525"/>
      <c r="AE105" s="525" t="s">
        <v>381</v>
      </c>
      <c r="AF105" s="525"/>
      <c r="AG105" s="525"/>
      <c r="AH105" s="525"/>
      <c r="AI105" s="525"/>
      <c r="AJ105" s="525" t="s">
        <v>381</v>
      </c>
      <c r="AK105" s="525"/>
      <c r="AL105" s="525"/>
      <c r="AM105" s="525"/>
      <c r="AN105" s="525"/>
      <c r="AO105" s="525" t="s">
        <v>381</v>
      </c>
      <c r="AP105" s="525"/>
      <c r="AQ105" s="525"/>
      <c r="AR105" s="525"/>
      <c r="AS105" s="525"/>
      <c r="AT105" s="525" t="s">
        <v>381</v>
      </c>
      <c r="AU105" s="525"/>
      <c r="AV105" s="525"/>
      <c r="AW105" s="525"/>
      <c r="AX105" s="525"/>
    </row>
    <row r="106" spans="2:50" ht="14.25" customHeight="1">
      <c r="B106" s="525"/>
      <c r="C106" s="525"/>
      <c r="D106" s="525"/>
      <c r="E106" s="182" t="s">
        <v>161</v>
      </c>
      <c r="F106" s="182" t="s">
        <v>382</v>
      </c>
      <c r="G106" s="182" t="s">
        <v>163</v>
      </c>
      <c r="H106" s="525"/>
      <c r="I106" s="183" t="s">
        <v>161</v>
      </c>
      <c r="J106" s="183" t="s">
        <v>382</v>
      </c>
      <c r="K106" s="183" t="s">
        <v>163</v>
      </c>
      <c r="L106" s="544"/>
      <c r="M106" s="544"/>
      <c r="N106" s="525"/>
      <c r="O106" s="525"/>
      <c r="P106" s="182" t="s">
        <v>161</v>
      </c>
      <c r="Q106" s="182" t="s">
        <v>382</v>
      </c>
      <c r="R106" s="182" t="s">
        <v>163</v>
      </c>
      <c r="S106" s="184" t="s">
        <v>167</v>
      </c>
      <c r="T106" s="525"/>
      <c r="U106" s="182" t="s">
        <v>161</v>
      </c>
      <c r="V106" s="182" t="s">
        <v>382</v>
      </c>
      <c r="W106" s="182" t="s">
        <v>163</v>
      </c>
      <c r="X106" s="184" t="s">
        <v>167</v>
      </c>
      <c r="Y106" s="525"/>
      <c r="Z106" s="182" t="s">
        <v>161</v>
      </c>
      <c r="AA106" s="182" t="s">
        <v>382</v>
      </c>
      <c r="AB106" s="182" t="s">
        <v>163</v>
      </c>
      <c r="AC106" s="184" t="s">
        <v>167</v>
      </c>
      <c r="AD106" s="525"/>
      <c r="AE106" s="182" t="s">
        <v>161</v>
      </c>
      <c r="AF106" s="182" t="s">
        <v>382</v>
      </c>
      <c r="AG106" s="182" t="s">
        <v>163</v>
      </c>
      <c r="AH106" s="184" t="s">
        <v>167</v>
      </c>
      <c r="AI106" s="525"/>
      <c r="AJ106" s="182" t="s">
        <v>161</v>
      </c>
      <c r="AK106" s="182" t="s">
        <v>382</v>
      </c>
      <c r="AL106" s="182" t="s">
        <v>163</v>
      </c>
      <c r="AM106" s="184" t="s">
        <v>167</v>
      </c>
      <c r="AN106" s="525"/>
      <c r="AO106" s="182" t="s">
        <v>161</v>
      </c>
      <c r="AP106" s="182" t="s">
        <v>382</v>
      </c>
      <c r="AQ106" s="182" t="s">
        <v>163</v>
      </c>
      <c r="AR106" s="184" t="s">
        <v>167</v>
      </c>
      <c r="AS106" s="525"/>
      <c r="AT106" s="182" t="s">
        <v>161</v>
      </c>
      <c r="AU106" s="182" t="s">
        <v>382</v>
      </c>
      <c r="AV106" s="182" t="s">
        <v>163</v>
      </c>
      <c r="AW106" s="184" t="s">
        <v>167</v>
      </c>
      <c r="AX106" s="525"/>
    </row>
    <row r="107" spans="2:50" ht="14.25" customHeight="1">
      <c r="B107" s="525" t="s">
        <v>386</v>
      </c>
      <c r="C107" s="182">
        <v>1</v>
      </c>
      <c r="D107" s="185"/>
      <c r="E107" s="182"/>
      <c r="F107" s="182"/>
      <c r="G107" s="187"/>
      <c r="H107" s="554"/>
      <c r="I107" s="188"/>
      <c r="J107" s="188"/>
      <c r="K107" s="189"/>
      <c r="L107" s="555" t="str">
        <f>IFERROR(AVERAGE(K107:K121),"-")</f>
        <v>-</v>
      </c>
      <c r="M107" s="188" t="e">
        <f>RANK(K107, K$87:$K$101)</f>
        <v>#N/A</v>
      </c>
      <c r="N107" s="525"/>
      <c r="O107" s="525"/>
      <c r="P107" s="190"/>
      <c r="Q107" s="190"/>
      <c r="R107" s="187"/>
      <c r="S107" s="184"/>
      <c r="T107" s="554"/>
      <c r="U107" s="190"/>
      <c r="V107" s="190"/>
      <c r="W107" s="187"/>
      <c r="X107" s="184"/>
      <c r="Y107" s="554"/>
      <c r="Z107" s="190"/>
      <c r="AA107" s="190"/>
      <c r="AB107" s="187"/>
      <c r="AC107" s="184"/>
      <c r="AD107" s="554"/>
      <c r="AE107" s="190"/>
      <c r="AF107" s="190"/>
      <c r="AG107" s="187"/>
      <c r="AH107" s="184"/>
      <c r="AI107" s="554"/>
      <c r="AJ107" s="190"/>
      <c r="AK107" s="190"/>
      <c r="AL107" s="187"/>
      <c r="AM107" s="184"/>
      <c r="AN107" s="554"/>
      <c r="AO107" s="190"/>
      <c r="AP107" s="190"/>
      <c r="AQ107" s="187"/>
      <c r="AR107" s="184"/>
      <c r="AS107" s="554"/>
      <c r="AT107" s="190"/>
      <c r="AU107" s="190"/>
      <c r="AV107" s="187"/>
      <c r="AW107" s="184"/>
      <c r="AX107" s="554"/>
    </row>
    <row r="108" spans="2:50" ht="14.25" customHeight="1">
      <c r="B108" s="525"/>
      <c r="C108" s="182">
        <v>2</v>
      </c>
      <c r="D108" s="185"/>
      <c r="E108" s="182"/>
      <c r="F108" s="182"/>
      <c r="G108" s="187"/>
      <c r="H108" s="554"/>
      <c r="I108" s="188"/>
      <c r="J108" s="188"/>
      <c r="K108" s="189"/>
      <c r="L108" s="555"/>
      <c r="M108" s="188" t="e">
        <f>RANK(K108, K$87:$K$101)</f>
        <v>#N/A</v>
      </c>
      <c r="N108" s="525"/>
      <c r="O108" s="525"/>
      <c r="P108" s="190"/>
      <c r="Q108" s="190"/>
      <c r="R108" s="187"/>
      <c r="S108" s="184"/>
      <c r="T108" s="554"/>
      <c r="U108" s="190"/>
      <c r="V108" s="190"/>
      <c r="W108" s="187"/>
      <c r="X108" s="184"/>
      <c r="Y108" s="554"/>
      <c r="Z108" s="190"/>
      <c r="AA108" s="190"/>
      <c r="AB108" s="187"/>
      <c r="AC108" s="184"/>
      <c r="AD108" s="554"/>
      <c r="AE108" s="190"/>
      <c r="AF108" s="190"/>
      <c r="AG108" s="187"/>
      <c r="AH108" s="184"/>
      <c r="AI108" s="554"/>
      <c r="AJ108" s="190"/>
      <c r="AK108" s="190"/>
      <c r="AL108" s="187"/>
      <c r="AM108" s="184"/>
      <c r="AN108" s="554"/>
      <c r="AO108" s="190"/>
      <c r="AP108" s="190"/>
      <c r="AQ108" s="187"/>
      <c r="AR108" s="184"/>
      <c r="AS108" s="554"/>
      <c r="AT108" s="190"/>
      <c r="AU108" s="190"/>
      <c r="AV108" s="187"/>
      <c r="AW108" s="184"/>
      <c r="AX108" s="554"/>
    </row>
    <row r="109" spans="2:50" ht="14.25" customHeight="1">
      <c r="B109" s="525"/>
      <c r="C109" s="182">
        <v>3</v>
      </c>
      <c r="D109" s="185"/>
      <c r="E109" s="182"/>
      <c r="F109" s="182"/>
      <c r="G109" s="187"/>
      <c r="H109" s="554"/>
      <c r="I109" s="188"/>
      <c r="J109" s="188"/>
      <c r="K109" s="189"/>
      <c r="L109" s="555"/>
      <c r="M109" s="188"/>
      <c r="N109" s="525"/>
      <c r="O109" s="525"/>
      <c r="P109" s="190"/>
      <c r="Q109" s="190"/>
      <c r="R109" s="187"/>
      <c r="S109" s="184"/>
      <c r="T109" s="554"/>
      <c r="U109" s="190"/>
      <c r="V109" s="190"/>
      <c r="W109" s="187"/>
      <c r="X109" s="184"/>
      <c r="Y109" s="554"/>
      <c r="Z109" s="190"/>
      <c r="AA109" s="190"/>
      <c r="AB109" s="187"/>
      <c r="AC109" s="184"/>
      <c r="AD109" s="554"/>
      <c r="AE109" s="190"/>
      <c r="AF109" s="190"/>
      <c r="AG109" s="187"/>
      <c r="AH109" s="184"/>
      <c r="AI109" s="554"/>
      <c r="AJ109" s="190"/>
      <c r="AK109" s="190"/>
      <c r="AL109" s="187"/>
      <c r="AM109" s="184"/>
      <c r="AN109" s="554"/>
      <c r="AO109" s="190"/>
      <c r="AP109" s="190"/>
      <c r="AQ109" s="187"/>
      <c r="AR109" s="184"/>
      <c r="AS109" s="554"/>
      <c r="AT109" s="190"/>
      <c r="AU109" s="190"/>
      <c r="AV109" s="187"/>
      <c r="AW109" s="184"/>
      <c r="AX109" s="554"/>
    </row>
    <row r="110" spans="2:50" ht="14.25" customHeight="1">
      <c r="B110" s="525"/>
      <c r="C110" s="182">
        <v>4</v>
      </c>
      <c r="D110" s="185"/>
      <c r="E110" s="182"/>
      <c r="F110" s="182"/>
      <c r="G110" s="187"/>
      <c r="H110" s="554"/>
      <c r="I110" s="188"/>
      <c r="J110" s="188"/>
      <c r="K110" s="189"/>
      <c r="L110" s="555"/>
      <c r="M110" s="188"/>
      <c r="N110" s="525"/>
      <c r="O110" s="525"/>
      <c r="P110" s="190"/>
      <c r="Q110" s="190"/>
      <c r="R110" s="187"/>
      <c r="S110" s="184"/>
      <c r="T110" s="554"/>
      <c r="U110" s="190"/>
      <c r="V110" s="190"/>
      <c r="W110" s="187"/>
      <c r="X110" s="184"/>
      <c r="Y110" s="554"/>
      <c r="Z110" s="190"/>
      <c r="AA110" s="190"/>
      <c r="AB110" s="187"/>
      <c r="AC110" s="184"/>
      <c r="AD110" s="554"/>
      <c r="AE110" s="190"/>
      <c r="AF110" s="190"/>
      <c r="AG110" s="187"/>
      <c r="AH110" s="184"/>
      <c r="AI110" s="554"/>
      <c r="AJ110" s="190"/>
      <c r="AK110" s="190"/>
      <c r="AL110" s="187"/>
      <c r="AM110" s="184"/>
      <c r="AN110" s="554"/>
      <c r="AO110" s="190"/>
      <c r="AP110" s="190"/>
      <c r="AQ110" s="187"/>
      <c r="AR110" s="184"/>
      <c r="AS110" s="554"/>
      <c r="AT110" s="190"/>
      <c r="AU110" s="190"/>
      <c r="AV110" s="187"/>
      <c r="AW110" s="184"/>
      <c r="AX110" s="554"/>
    </row>
    <row r="111" spans="2:50" ht="14.25" customHeight="1">
      <c r="B111" s="525"/>
      <c r="C111" s="182">
        <v>5</v>
      </c>
      <c r="D111" s="185"/>
      <c r="E111" s="182"/>
      <c r="F111" s="182"/>
      <c r="G111" s="187"/>
      <c r="H111" s="554"/>
      <c r="I111" s="188"/>
      <c r="J111" s="188"/>
      <c r="K111" s="189"/>
      <c r="L111" s="555"/>
      <c r="M111" s="188"/>
      <c r="N111" s="525"/>
      <c r="O111" s="525"/>
      <c r="P111" s="190"/>
      <c r="Q111" s="190"/>
      <c r="R111" s="187"/>
      <c r="S111" s="184"/>
      <c r="T111" s="554"/>
      <c r="U111" s="190"/>
      <c r="V111" s="190"/>
      <c r="W111" s="187"/>
      <c r="X111" s="184"/>
      <c r="Y111" s="554"/>
      <c r="Z111" s="190"/>
      <c r="AA111" s="190"/>
      <c r="AB111" s="187"/>
      <c r="AC111" s="184"/>
      <c r="AD111" s="554"/>
      <c r="AE111" s="190"/>
      <c r="AF111" s="190"/>
      <c r="AG111" s="187"/>
      <c r="AH111" s="184"/>
      <c r="AI111" s="554"/>
      <c r="AJ111" s="190"/>
      <c r="AK111" s="190"/>
      <c r="AL111" s="187"/>
      <c r="AM111" s="184"/>
      <c r="AN111" s="554"/>
      <c r="AO111" s="190"/>
      <c r="AP111" s="190"/>
      <c r="AQ111" s="187"/>
      <c r="AR111" s="184"/>
      <c r="AS111" s="554"/>
      <c r="AT111" s="190"/>
      <c r="AU111" s="190"/>
      <c r="AV111" s="187"/>
      <c r="AW111" s="184"/>
      <c r="AX111" s="554"/>
    </row>
    <row r="112" spans="2:50" ht="14.25" customHeight="1">
      <c r="B112" s="525"/>
      <c r="C112" s="182">
        <v>6</v>
      </c>
      <c r="D112" s="185"/>
      <c r="E112" s="182"/>
      <c r="F112" s="182"/>
      <c r="G112" s="187"/>
      <c r="H112" s="554"/>
      <c r="I112" s="188"/>
      <c r="J112" s="188"/>
      <c r="K112" s="189"/>
      <c r="L112" s="555"/>
      <c r="M112" s="188"/>
      <c r="N112" s="525"/>
      <c r="O112" s="525"/>
      <c r="P112" s="190"/>
      <c r="Q112" s="190"/>
      <c r="R112" s="187"/>
      <c r="S112" s="184"/>
      <c r="T112" s="554"/>
      <c r="U112" s="190"/>
      <c r="V112" s="190"/>
      <c r="W112" s="187"/>
      <c r="X112" s="184"/>
      <c r="Y112" s="554"/>
      <c r="Z112" s="190"/>
      <c r="AA112" s="190"/>
      <c r="AB112" s="187"/>
      <c r="AC112" s="184"/>
      <c r="AD112" s="554"/>
      <c r="AE112" s="190"/>
      <c r="AF112" s="190"/>
      <c r="AG112" s="187"/>
      <c r="AH112" s="184"/>
      <c r="AI112" s="554"/>
      <c r="AJ112" s="190"/>
      <c r="AK112" s="190"/>
      <c r="AL112" s="187"/>
      <c r="AM112" s="184"/>
      <c r="AN112" s="554"/>
      <c r="AO112" s="190"/>
      <c r="AP112" s="190"/>
      <c r="AQ112" s="187"/>
      <c r="AR112" s="184"/>
      <c r="AS112" s="554"/>
      <c r="AT112" s="190"/>
      <c r="AU112" s="190"/>
      <c r="AV112" s="187"/>
      <c r="AW112" s="184"/>
      <c r="AX112" s="554"/>
    </row>
    <row r="113" spans="2:50" ht="14.25" customHeight="1">
      <c r="B113" s="525"/>
      <c r="C113" s="182">
        <v>7</v>
      </c>
      <c r="D113" s="185"/>
      <c r="E113" s="182"/>
      <c r="F113" s="182"/>
      <c r="G113" s="187"/>
      <c r="H113" s="554"/>
      <c r="I113" s="188"/>
      <c r="J113" s="188"/>
      <c r="K113" s="189"/>
      <c r="L113" s="555"/>
      <c r="M113" s="188"/>
      <c r="N113" s="525"/>
      <c r="O113" s="525"/>
      <c r="P113" s="190"/>
      <c r="Q113" s="190"/>
      <c r="R113" s="187"/>
      <c r="S113" s="184"/>
      <c r="T113" s="554"/>
      <c r="U113" s="190"/>
      <c r="V113" s="190"/>
      <c r="W113" s="187"/>
      <c r="X113" s="184"/>
      <c r="Y113" s="554"/>
      <c r="Z113" s="190"/>
      <c r="AA113" s="190"/>
      <c r="AB113" s="187"/>
      <c r="AC113" s="184"/>
      <c r="AD113" s="554"/>
      <c r="AE113" s="190"/>
      <c r="AF113" s="190"/>
      <c r="AG113" s="187"/>
      <c r="AH113" s="184"/>
      <c r="AI113" s="554"/>
      <c r="AJ113" s="190"/>
      <c r="AK113" s="190"/>
      <c r="AL113" s="187"/>
      <c r="AM113" s="184"/>
      <c r="AN113" s="554"/>
      <c r="AO113" s="190"/>
      <c r="AP113" s="190"/>
      <c r="AQ113" s="187"/>
      <c r="AR113" s="184"/>
      <c r="AS113" s="554"/>
      <c r="AT113" s="190"/>
      <c r="AU113" s="190"/>
      <c r="AV113" s="187"/>
      <c r="AW113" s="184"/>
      <c r="AX113" s="554"/>
    </row>
    <row r="114" spans="2:50" ht="14.25" customHeight="1">
      <c r="B114" s="525"/>
      <c r="C114" s="182">
        <v>8</v>
      </c>
      <c r="D114" s="185"/>
      <c r="E114" s="182"/>
      <c r="F114" s="182"/>
      <c r="G114" s="187"/>
      <c r="H114" s="554"/>
      <c r="I114" s="188"/>
      <c r="J114" s="188"/>
      <c r="K114" s="189"/>
      <c r="L114" s="555"/>
      <c r="M114" s="188"/>
      <c r="N114" s="525"/>
      <c r="O114" s="525"/>
      <c r="P114" s="190"/>
      <c r="Q114" s="190"/>
      <c r="R114" s="187"/>
      <c r="S114" s="184"/>
      <c r="T114" s="554"/>
      <c r="U114" s="190"/>
      <c r="V114" s="190"/>
      <c r="W114" s="187"/>
      <c r="X114" s="184"/>
      <c r="Y114" s="554"/>
      <c r="Z114" s="190"/>
      <c r="AA114" s="190"/>
      <c r="AB114" s="187"/>
      <c r="AC114" s="184"/>
      <c r="AD114" s="554"/>
      <c r="AE114" s="190"/>
      <c r="AF114" s="190"/>
      <c r="AG114" s="187"/>
      <c r="AH114" s="184"/>
      <c r="AI114" s="554"/>
      <c r="AJ114" s="190"/>
      <c r="AK114" s="190"/>
      <c r="AL114" s="187"/>
      <c r="AM114" s="184"/>
      <c r="AN114" s="554"/>
      <c r="AO114" s="190"/>
      <c r="AP114" s="190"/>
      <c r="AQ114" s="187"/>
      <c r="AR114" s="184"/>
      <c r="AS114" s="554"/>
      <c r="AT114" s="190"/>
      <c r="AU114" s="190"/>
      <c r="AV114" s="187"/>
      <c r="AW114" s="184"/>
      <c r="AX114" s="554"/>
    </row>
    <row r="115" spans="2:50" ht="14.25" customHeight="1">
      <c r="B115" s="525"/>
      <c r="C115" s="182">
        <v>9</v>
      </c>
      <c r="D115" s="185"/>
      <c r="E115" s="182"/>
      <c r="F115" s="182"/>
      <c r="G115" s="187"/>
      <c r="H115" s="554"/>
      <c r="I115" s="188"/>
      <c r="J115" s="188"/>
      <c r="K115" s="189"/>
      <c r="L115" s="555"/>
      <c r="M115" s="188"/>
      <c r="N115" s="525"/>
      <c r="O115" s="525"/>
      <c r="P115" s="190"/>
      <c r="Q115" s="190"/>
      <c r="R115" s="187"/>
      <c r="S115" s="184"/>
      <c r="T115" s="554"/>
      <c r="U115" s="190"/>
      <c r="V115" s="190"/>
      <c r="W115" s="187"/>
      <c r="X115" s="184"/>
      <c r="Y115" s="554"/>
      <c r="Z115" s="190"/>
      <c r="AA115" s="190"/>
      <c r="AB115" s="187"/>
      <c r="AC115" s="184"/>
      <c r="AD115" s="554"/>
      <c r="AE115" s="190"/>
      <c r="AF115" s="190"/>
      <c r="AG115" s="187"/>
      <c r="AH115" s="184"/>
      <c r="AI115" s="554"/>
      <c r="AJ115" s="190"/>
      <c r="AK115" s="190"/>
      <c r="AL115" s="187"/>
      <c r="AM115" s="184"/>
      <c r="AN115" s="554"/>
      <c r="AO115" s="190"/>
      <c r="AP115" s="190"/>
      <c r="AQ115" s="187"/>
      <c r="AR115" s="184"/>
      <c r="AS115" s="554"/>
      <c r="AT115" s="190"/>
      <c r="AU115" s="190"/>
      <c r="AV115" s="187"/>
      <c r="AW115" s="184"/>
      <c r="AX115" s="554"/>
    </row>
    <row r="116" spans="2:50" ht="14.25" customHeight="1">
      <c r="B116" s="525"/>
      <c r="C116" s="182">
        <v>10</v>
      </c>
      <c r="D116" s="185"/>
      <c r="E116" s="182"/>
      <c r="F116" s="182"/>
      <c r="G116" s="187"/>
      <c r="H116" s="554"/>
      <c r="I116" s="188"/>
      <c r="J116" s="188"/>
      <c r="K116" s="189"/>
      <c r="L116" s="555"/>
      <c r="M116" s="188"/>
      <c r="N116" s="525"/>
      <c r="O116" s="525"/>
      <c r="P116" s="190"/>
      <c r="Q116" s="190"/>
      <c r="R116" s="187"/>
      <c r="S116" s="184"/>
      <c r="T116" s="554"/>
      <c r="U116" s="190"/>
      <c r="V116" s="190"/>
      <c r="W116" s="187"/>
      <c r="X116" s="184"/>
      <c r="Y116" s="554"/>
      <c r="Z116" s="190"/>
      <c r="AA116" s="190"/>
      <c r="AB116" s="187"/>
      <c r="AC116" s="184"/>
      <c r="AD116" s="554"/>
      <c r="AE116" s="190"/>
      <c r="AF116" s="190"/>
      <c r="AG116" s="187"/>
      <c r="AH116" s="184"/>
      <c r="AI116" s="554"/>
      <c r="AJ116" s="190"/>
      <c r="AK116" s="190"/>
      <c r="AL116" s="187"/>
      <c r="AM116" s="184"/>
      <c r="AN116" s="554"/>
      <c r="AO116" s="190"/>
      <c r="AP116" s="190"/>
      <c r="AQ116" s="187"/>
      <c r="AR116" s="184"/>
      <c r="AS116" s="554"/>
      <c r="AT116" s="190"/>
      <c r="AU116" s="190"/>
      <c r="AV116" s="187"/>
      <c r="AW116" s="184"/>
      <c r="AX116" s="554"/>
    </row>
    <row r="117" spans="2:50" ht="14.25" customHeight="1">
      <c r="B117" s="525"/>
      <c r="C117" s="182">
        <v>11</v>
      </c>
      <c r="D117" s="185"/>
      <c r="E117" s="182"/>
      <c r="F117" s="182"/>
      <c r="G117" s="187"/>
      <c r="H117" s="554"/>
      <c r="I117" s="188"/>
      <c r="J117" s="188"/>
      <c r="K117" s="189"/>
      <c r="L117" s="555"/>
      <c r="M117" s="188"/>
      <c r="N117" s="525"/>
      <c r="O117" s="525"/>
      <c r="P117" s="190"/>
      <c r="Q117" s="190"/>
      <c r="R117" s="187"/>
      <c r="S117" s="184"/>
      <c r="T117" s="554"/>
      <c r="U117" s="190"/>
      <c r="V117" s="190"/>
      <c r="W117" s="187"/>
      <c r="X117" s="184"/>
      <c r="Y117" s="554"/>
      <c r="Z117" s="190"/>
      <c r="AA117" s="190"/>
      <c r="AB117" s="187"/>
      <c r="AC117" s="184"/>
      <c r="AD117" s="554"/>
      <c r="AE117" s="190"/>
      <c r="AF117" s="190"/>
      <c r="AG117" s="187"/>
      <c r="AH117" s="184"/>
      <c r="AI117" s="554"/>
      <c r="AJ117" s="190"/>
      <c r="AK117" s="190"/>
      <c r="AL117" s="187"/>
      <c r="AM117" s="184"/>
      <c r="AN117" s="554"/>
      <c r="AO117" s="190"/>
      <c r="AP117" s="190"/>
      <c r="AQ117" s="187"/>
      <c r="AR117" s="184"/>
      <c r="AS117" s="554"/>
      <c r="AT117" s="190"/>
      <c r="AU117" s="190"/>
      <c r="AV117" s="187"/>
      <c r="AW117" s="184"/>
      <c r="AX117" s="554"/>
    </row>
    <row r="118" spans="2:50" ht="14.25" customHeight="1">
      <c r="B118" s="525"/>
      <c r="C118" s="182">
        <v>12</v>
      </c>
      <c r="D118" s="185"/>
      <c r="E118" s="182"/>
      <c r="F118" s="182"/>
      <c r="G118" s="187"/>
      <c r="H118" s="554"/>
      <c r="I118" s="188"/>
      <c r="J118" s="188"/>
      <c r="K118" s="189"/>
      <c r="L118" s="555"/>
      <c r="M118" s="188"/>
      <c r="N118" s="525"/>
      <c r="O118" s="525"/>
      <c r="P118" s="190"/>
      <c r="Q118" s="190"/>
      <c r="R118" s="187"/>
      <c r="S118" s="184"/>
      <c r="T118" s="554"/>
      <c r="U118" s="190"/>
      <c r="V118" s="190"/>
      <c r="W118" s="187"/>
      <c r="X118" s="184"/>
      <c r="Y118" s="554"/>
      <c r="Z118" s="190"/>
      <c r="AA118" s="190"/>
      <c r="AB118" s="187"/>
      <c r="AC118" s="184"/>
      <c r="AD118" s="554"/>
      <c r="AE118" s="190"/>
      <c r="AF118" s="190"/>
      <c r="AG118" s="187"/>
      <c r="AH118" s="184"/>
      <c r="AI118" s="554"/>
      <c r="AJ118" s="190"/>
      <c r="AK118" s="190"/>
      <c r="AL118" s="187"/>
      <c r="AM118" s="184"/>
      <c r="AN118" s="554"/>
      <c r="AO118" s="190"/>
      <c r="AP118" s="190"/>
      <c r="AQ118" s="187"/>
      <c r="AR118" s="184"/>
      <c r="AS118" s="554"/>
      <c r="AT118" s="190"/>
      <c r="AU118" s="190"/>
      <c r="AV118" s="187"/>
      <c r="AW118" s="184"/>
      <c r="AX118" s="554"/>
    </row>
    <row r="119" spans="2:50" ht="14.25" customHeight="1">
      <c r="B119" s="525"/>
      <c r="C119" s="182">
        <v>13</v>
      </c>
      <c r="D119" s="185"/>
      <c r="E119" s="182"/>
      <c r="F119" s="182"/>
      <c r="G119" s="187"/>
      <c r="H119" s="554"/>
      <c r="I119" s="188"/>
      <c r="J119" s="188"/>
      <c r="K119" s="189"/>
      <c r="L119" s="555"/>
      <c r="M119" s="188"/>
      <c r="N119" s="525"/>
      <c r="O119" s="525"/>
      <c r="P119" s="190"/>
      <c r="Q119" s="190"/>
      <c r="R119" s="187"/>
      <c r="S119" s="184"/>
      <c r="T119" s="554"/>
      <c r="U119" s="190"/>
      <c r="V119" s="190"/>
      <c r="W119" s="187"/>
      <c r="X119" s="184"/>
      <c r="Y119" s="554"/>
      <c r="Z119" s="190"/>
      <c r="AA119" s="190"/>
      <c r="AB119" s="187"/>
      <c r="AC119" s="184"/>
      <c r="AD119" s="554"/>
      <c r="AE119" s="190"/>
      <c r="AF119" s="190"/>
      <c r="AG119" s="187"/>
      <c r="AH119" s="184"/>
      <c r="AI119" s="554"/>
      <c r="AJ119" s="190"/>
      <c r="AK119" s="190"/>
      <c r="AL119" s="187"/>
      <c r="AM119" s="184"/>
      <c r="AN119" s="554"/>
      <c r="AO119" s="190"/>
      <c r="AP119" s="190"/>
      <c r="AQ119" s="187"/>
      <c r="AR119" s="184"/>
      <c r="AS119" s="554"/>
      <c r="AT119" s="190"/>
      <c r="AU119" s="190"/>
      <c r="AV119" s="187"/>
      <c r="AW119" s="184"/>
      <c r="AX119" s="554"/>
    </row>
    <row r="120" spans="2:50" ht="14.25" customHeight="1">
      <c r="B120" s="525"/>
      <c r="C120" s="182">
        <v>14</v>
      </c>
      <c r="D120" s="185"/>
      <c r="E120" s="182"/>
      <c r="F120" s="182"/>
      <c r="G120" s="187"/>
      <c r="H120" s="554"/>
      <c r="I120" s="188"/>
      <c r="J120" s="188"/>
      <c r="K120" s="189"/>
      <c r="L120" s="555"/>
      <c r="M120" s="188"/>
      <c r="N120" s="525"/>
      <c r="O120" s="525"/>
      <c r="P120" s="190"/>
      <c r="Q120" s="190"/>
      <c r="R120" s="187"/>
      <c r="S120" s="184"/>
      <c r="T120" s="554"/>
      <c r="U120" s="190"/>
      <c r="V120" s="190"/>
      <c r="W120" s="187"/>
      <c r="X120" s="184"/>
      <c r="Y120" s="554"/>
      <c r="Z120" s="190"/>
      <c r="AA120" s="190"/>
      <c r="AB120" s="187"/>
      <c r="AC120" s="184"/>
      <c r="AD120" s="554"/>
      <c r="AE120" s="190"/>
      <c r="AF120" s="190"/>
      <c r="AG120" s="187"/>
      <c r="AH120" s="184"/>
      <c r="AI120" s="554"/>
      <c r="AJ120" s="190"/>
      <c r="AK120" s="190"/>
      <c r="AL120" s="187"/>
      <c r="AM120" s="184"/>
      <c r="AN120" s="554"/>
      <c r="AO120" s="190"/>
      <c r="AP120" s="190"/>
      <c r="AQ120" s="187"/>
      <c r="AR120" s="184"/>
      <c r="AS120" s="554"/>
      <c r="AT120" s="190"/>
      <c r="AU120" s="190"/>
      <c r="AV120" s="187"/>
      <c r="AW120" s="184"/>
      <c r="AX120" s="554"/>
    </row>
    <row r="121" spans="2:50" ht="14.25" customHeight="1">
      <c r="B121" s="525"/>
      <c r="C121" s="182">
        <v>15</v>
      </c>
      <c r="D121" s="185"/>
      <c r="E121" s="182"/>
      <c r="F121" s="182"/>
      <c r="G121" s="187"/>
      <c r="H121" s="554"/>
      <c r="I121" s="188"/>
      <c r="J121" s="188"/>
      <c r="K121" s="189"/>
      <c r="L121" s="555"/>
      <c r="M121" s="188"/>
      <c r="N121" s="525"/>
      <c r="O121" s="525"/>
      <c r="P121" s="190"/>
      <c r="Q121" s="190"/>
      <c r="R121" s="187"/>
      <c r="S121" s="184"/>
      <c r="T121" s="554"/>
      <c r="U121" s="190"/>
      <c r="V121" s="190"/>
      <c r="W121" s="187"/>
      <c r="X121" s="184"/>
      <c r="Y121" s="554"/>
      <c r="Z121" s="190"/>
      <c r="AA121" s="190"/>
      <c r="AB121" s="187"/>
      <c r="AC121" s="184"/>
      <c r="AD121" s="554"/>
      <c r="AE121" s="190"/>
      <c r="AF121" s="190"/>
      <c r="AG121" s="187"/>
      <c r="AH121" s="184"/>
      <c r="AI121" s="554"/>
      <c r="AJ121" s="190"/>
      <c r="AK121" s="190"/>
      <c r="AL121" s="187"/>
      <c r="AM121" s="184"/>
      <c r="AN121" s="554"/>
      <c r="AO121" s="190"/>
      <c r="AP121" s="190"/>
      <c r="AQ121" s="187"/>
      <c r="AR121" s="184"/>
      <c r="AS121" s="554"/>
      <c r="AT121" s="190"/>
      <c r="AU121" s="190"/>
      <c r="AV121" s="187"/>
      <c r="AW121" s="184"/>
      <c r="AX121" s="554"/>
    </row>
  </sheetData>
  <mergeCells count="354"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N7:AN21"/>
    <mergeCell ref="AS7:AS21"/>
    <mergeCell ref="AJ4:AM4"/>
    <mergeCell ref="AN4:AN6"/>
    <mergeCell ref="AO4:AR4"/>
    <mergeCell ref="AS4:AS6"/>
    <mergeCell ref="AT4:AW4"/>
    <mergeCell ref="AX4:AX6"/>
    <mergeCell ref="AX7:AX21"/>
    <mergeCell ref="P4:S4"/>
    <mergeCell ref="T4:T6"/>
    <mergeCell ref="U4:X4"/>
    <mergeCell ref="Y4:Y6"/>
    <mergeCell ref="Z4:AC4"/>
    <mergeCell ref="AD4:AD6"/>
    <mergeCell ref="AE4:AH4"/>
    <mergeCell ref="AI4:AI6"/>
    <mergeCell ref="B7:B21"/>
    <mergeCell ref="H7:H21"/>
    <mergeCell ref="L7:L21"/>
    <mergeCell ref="T7:T21"/>
    <mergeCell ref="Y7:Y21"/>
    <mergeCell ref="AD7:AD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I7:AI21"/>
    <mergeCell ref="AT3:AX3"/>
    <mergeCell ref="AT2:AX2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P3:T3"/>
    <mergeCell ref="U3:Y3"/>
    <mergeCell ref="Z3:AD3"/>
    <mergeCell ref="AE3:AI3"/>
    <mergeCell ref="AJ3:AN3"/>
    <mergeCell ref="AO3:AS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P64:S64"/>
    <mergeCell ref="T64:T66"/>
    <mergeCell ref="U64:X64"/>
    <mergeCell ref="Y64:Y66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X64:AX66"/>
    <mergeCell ref="AT65:AW65"/>
    <mergeCell ref="T67:T81"/>
    <mergeCell ref="Y67:Y81"/>
    <mergeCell ref="AD67:AD81"/>
    <mergeCell ref="AI67:AI81"/>
    <mergeCell ref="AN67:AN81"/>
    <mergeCell ref="AS67:AS81"/>
    <mergeCell ref="AX67:AX81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7:AX101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87:B101"/>
    <mergeCell ref="H87:H101"/>
    <mergeCell ref="L87:L101"/>
    <mergeCell ref="T87:T101"/>
    <mergeCell ref="Y87:Y101"/>
    <mergeCell ref="AD87:AD10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B107:B121"/>
    <mergeCell ref="H107:H121"/>
    <mergeCell ref="L107:L121"/>
    <mergeCell ref="E105:G105"/>
    <mergeCell ref="I105:K105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P105:S105"/>
    <mergeCell ref="U105:X105"/>
    <mergeCell ref="Z105:AC105"/>
    <mergeCell ref="AE105:AH105"/>
    <mergeCell ref="AJ105:AM105"/>
    <mergeCell ref="AO105:AR105"/>
    <mergeCell ref="AT105:AW105"/>
    <mergeCell ref="T107:T121"/>
    <mergeCell ref="Y107:Y121"/>
    <mergeCell ref="AD107:AD121"/>
    <mergeCell ref="AI107:AI121"/>
    <mergeCell ref="AN107:AN121"/>
    <mergeCell ref="AS107:AS121"/>
    <mergeCell ref="AX107:AX121"/>
    <mergeCell ref="AN104:AN106"/>
    <mergeCell ref="AO104:AR104"/>
    <mergeCell ref="AS104:AS106"/>
    <mergeCell ref="AT104:AW104"/>
    <mergeCell ref="AX104:AX106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21"/>
  <sheetViews>
    <sheetView zoomScaleNormal="100" workbookViewId="0">
      <pane xSplit="13" ySplit="1" topLeftCell="N2" activePane="bottomRight" state="frozen"/>
      <selection activeCell="L95" sqref="L95"/>
      <selection pane="topRight" activeCell="L95" sqref="L95"/>
      <selection pane="bottomLeft" activeCell="L95" sqref="L95"/>
      <selection pane="bottomRight" activeCell="B107" sqref="B107:B121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9" bestFit="1" customWidth="1"/>
    <col min="4" max="4" width="26.453125" style="178" customWidth="1"/>
    <col min="5" max="5" width="7.7265625" style="179" customWidth="1"/>
    <col min="6" max="7" width="8.7265625" style="179" customWidth="1"/>
    <col min="8" max="8" width="10.7265625" style="179" customWidth="1"/>
    <col min="9" max="9" width="7.7265625" style="180" customWidth="1"/>
    <col min="10" max="11" width="8.7265625" style="180" customWidth="1"/>
    <col min="12" max="12" width="10.7265625" style="180" customWidth="1"/>
    <col min="13" max="13" width="5.7265625" style="180" customWidth="1"/>
    <col min="14" max="14" width="9.81640625" style="179" customWidth="1"/>
    <col min="15" max="15" width="7.1796875" style="179" customWidth="1"/>
    <col min="16" max="16" width="7.7265625" style="179" customWidth="1"/>
    <col min="17" max="18" width="8.7265625" style="179" customWidth="1"/>
    <col min="19" max="19" width="5.7265625" style="180" customWidth="1"/>
    <col min="20" max="20" width="10.7265625" style="179" customWidth="1"/>
    <col min="21" max="21" width="7.7265625" style="78" customWidth="1"/>
    <col min="22" max="23" width="8.7265625" style="78" customWidth="1"/>
    <col min="24" max="24" width="5.453125" style="180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80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80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80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81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81" customWidth="1"/>
    <col min="50" max="50" width="10.7265625" style="78" customWidth="1"/>
    <col min="51" max="51" width="9" style="78" customWidth="1"/>
    <col min="52" max="16384" width="8.81640625" style="78"/>
  </cols>
  <sheetData>
    <row r="1" spans="1:50" ht="24.5">
      <c r="A1" s="74"/>
      <c r="B1" s="370" t="s">
        <v>651</v>
      </c>
      <c r="C1" s="177">
        <f>AVERAGE(L27,L47,L67,L87)</f>
        <v>83.048342970011419</v>
      </c>
    </row>
    <row r="2" spans="1:50" collapsed="1">
      <c r="B2" s="534" t="s">
        <v>559</v>
      </c>
      <c r="C2" s="534"/>
      <c r="D2" s="534"/>
      <c r="E2" s="534"/>
      <c r="F2" s="534"/>
      <c r="G2" s="534"/>
      <c r="H2" s="534"/>
      <c r="I2" s="534"/>
      <c r="J2" s="534"/>
      <c r="K2" s="534"/>
      <c r="L2" s="534"/>
      <c r="M2" s="574"/>
      <c r="N2" s="564" t="s">
        <v>378</v>
      </c>
      <c r="O2" s="564" t="s">
        <v>105</v>
      </c>
      <c r="P2" s="556">
        <v>46077</v>
      </c>
      <c r="Q2" s="557"/>
      <c r="R2" s="557"/>
      <c r="S2" s="557"/>
      <c r="T2" s="558"/>
      <c r="U2" s="577">
        <f>P2+1</f>
        <v>46078</v>
      </c>
      <c r="V2" s="578"/>
      <c r="W2" s="578"/>
      <c r="X2" s="578"/>
      <c r="Y2" s="579"/>
      <c r="Z2" s="556">
        <f t="shared" ref="Z2" si="0">U2+1</f>
        <v>46079</v>
      </c>
      <c r="AA2" s="557"/>
      <c r="AB2" s="557"/>
      <c r="AC2" s="557"/>
      <c r="AD2" s="558"/>
      <c r="AE2" s="577">
        <f t="shared" ref="AE2" si="1">Z2+1</f>
        <v>46080</v>
      </c>
      <c r="AF2" s="578"/>
      <c r="AG2" s="578"/>
      <c r="AH2" s="578"/>
      <c r="AI2" s="579"/>
      <c r="AJ2" s="556">
        <f t="shared" ref="AJ2" si="2">AE2+1</f>
        <v>46081</v>
      </c>
      <c r="AK2" s="557"/>
      <c r="AL2" s="557"/>
      <c r="AM2" s="557"/>
      <c r="AN2" s="558"/>
      <c r="AO2" s="577">
        <f t="shared" ref="AO2" si="3">AJ2+1</f>
        <v>46082</v>
      </c>
      <c r="AP2" s="578"/>
      <c r="AQ2" s="578"/>
      <c r="AR2" s="578"/>
      <c r="AS2" s="579"/>
      <c r="AT2" s="556">
        <f t="shared" ref="AT2" si="4">AO2+1</f>
        <v>46083</v>
      </c>
      <c r="AU2" s="557"/>
      <c r="AV2" s="557"/>
      <c r="AW2" s="557"/>
      <c r="AX2" s="558"/>
    </row>
    <row r="3" spans="1:50" ht="14.25" customHeight="1">
      <c r="B3" s="575"/>
      <c r="C3" s="575"/>
      <c r="D3" s="575"/>
      <c r="E3" s="575"/>
      <c r="F3" s="575"/>
      <c r="G3" s="575"/>
      <c r="H3" s="575"/>
      <c r="I3" s="575"/>
      <c r="J3" s="575"/>
      <c r="K3" s="575"/>
      <c r="L3" s="575"/>
      <c r="M3" s="576"/>
      <c r="N3" s="565"/>
      <c r="O3" s="565"/>
      <c r="P3" s="561">
        <f>P2</f>
        <v>46077</v>
      </c>
      <c r="Q3" s="562"/>
      <c r="R3" s="562"/>
      <c r="S3" s="562"/>
      <c r="T3" s="563"/>
      <c r="U3" s="580">
        <f>U2</f>
        <v>46078</v>
      </c>
      <c r="V3" s="581"/>
      <c r="W3" s="581"/>
      <c r="X3" s="581"/>
      <c r="Y3" s="582"/>
      <c r="Z3" s="561">
        <f t="shared" ref="Z3" si="5">Z2</f>
        <v>46079</v>
      </c>
      <c r="AA3" s="562"/>
      <c r="AB3" s="562"/>
      <c r="AC3" s="562"/>
      <c r="AD3" s="563"/>
      <c r="AE3" s="580">
        <f t="shared" ref="AE3" si="6">AE2</f>
        <v>46080</v>
      </c>
      <c r="AF3" s="581"/>
      <c r="AG3" s="581"/>
      <c r="AH3" s="581"/>
      <c r="AI3" s="582"/>
      <c r="AJ3" s="561">
        <f t="shared" ref="AJ3" si="7">AJ2</f>
        <v>46081</v>
      </c>
      <c r="AK3" s="562"/>
      <c r="AL3" s="562"/>
      <c r="AM3" s="562"/>
      <c r="AN3" s="563"/>
      <c r="AO3" s="580">
        <f t="shared" ref="AO3" si="8">AO2</f>
        <v>46082</v>
      </c>
      <c r="AP3" s="581"/>
      <c r="AQ3" s="581"/>
      <c r="AR3" s="581"/>
      <c r="AS3" s="582"/>
      <c r="AT3" s="561">
        <f t="shared" ref="AT3" si="9">AT2</f>
        <v>46083</v>
      </c>
      <c r="AU3" s="562"/>
      <c r="AV3" s="562"/>
      <c r="AW3" s="562"/>
      <c r="AX3" s="563"/>
    </row>
    <row r="4" spans="1:50" ht="14.25" customHeight="1">
      <c r="B4" s="564" t="s">
        <v>164</v>
      </c>
      <c r="C4" s="587" t="s">
        <v>159</v>
      </c>
      <c r="D4" s="588"/>
      <c r="E4" s="583" t="s">
        <v>160</v>
      </c>
      <c r="F4" s="584"/>
      <c r="G4" s="585"/>
      <c r="H4" s="564" t="s">
        <v>165</v>
      </c>
      <c r="I4" s="593" t="s">
        <v>379</v>
      </c>
      <c r="J4" s="594"/>
      <c r="K4" s="595"/>
      <c r="L4" s="596" t="s">
        <v>165</v>
      </c>
      <c r="M4" s="596" t="s">
        <v>167</v>
      </c>
      <c r="N4" s="564"/>
      <c r="O4" s="564" t="s">
        <v>166</v>
      </c>
      <c r="P4" s="583" t="s">
        <v>162</v>
      </c>
      <c r="Q4" s="584"/>
      <c r="R4" s="584"/>
      <c r="S4" s="585"/>
      <c r="T4" s="564" t="s">
        <v>165</v>
      </c>
      <c r="U4" s="583" t="s">
        <v>162</v>
      </c>
      <c r="V4" s="584"/>
      <c r="W4" s="584"/>
      <c r="X4" s="585"/>
      <c r="Y4" s="564" t="s">
        <v>165</v>
      </c>
      <c r="Z4" s="583" t="s">
        <v>162</v>
      </c>
      <c r="AA4" s="584"/>
      <c r="AB4" s="584"/>
      <c r="AC4" s="585"/>
      <c r="AD4" s="564" t="s">
        <v>165</v>
      </c>
      <c r="AE4" s="583" t="s">
        <v>162</v>
      </c>
      <c r="AF4" s="584"/>
      <c r="AG4" s="584"/>
      <c r="AH4" s="585"/>
      <c r="AI4" s="564" t="s">
        <v>165</v>
      </c>
      <c r="AJ4" s="583" t="s">
        <v>162</v>
      </c>
      <c r="AK4" s="584"/>
      <c r="AL4" s="584"/>
      <c r="AM4" s="585"/>
      <c r="AN4" s="564" t="s">
        <v>165</v>
      </c>
      <c r="AO4" s="583" t="s">
        <v>162</v>
      </c>
      <c r="AP4" s="584"/>
      <c r="AQ4" s="584"/>
      <c r="AR4" s="585"/>
      <c r="AS4" s="564" t="s">
        <v>165</v>
      </c>
      <c r="AT4" s="583" t="s">
        <v>162</v>
      </c>
      <c r="AU4" s="584"/>
      <c r="AV4" s="584"/>
      <c r="AW4" s="585"/>
      <c r="AX4" s="564" t="s">
        <v>165</v>
      </c>
    </row>
    <row r="5" spans="1:50" ht="14.25" customHeight="1">
      <c r="B5" s="586"/>
      <c r="C5" s="589"/>
      <c r="D5" s="590"/>
      <c r="E5" s="583" t="s">
        <v>380</v>
      </c>
      <c r="F5" s="584"/>
      <c r="G5" s="585"/>
      <c r="H5" s="586"/>
      <c r="I5" s="593" t="s">
        <v>380</v>
      </c>
      <c r="J5" s="594"/>
      <c r="K5" s="595"/>
      <c r="L5" s="597"/>
      <c r="M5" s="597"/>
      <c r="N5" s="586"/>
      <c r="O5" s="586"/>
      <c r="P5" s="583" t="s">
        <v>381</v>
      </c>
      <c r="Q5" s="584"/>
      <c r="R5" s="584"/>
      <c r="S5" s="585"/>
      <c r="T5" s="586"/>
      <c r="U5" s="583" t="s">
        <v>381</v>
      </c>
      <c r="V5" s="584"/>
      <c r="W5" s="584"/>
      <c r="X5" s="585"/>
      <c r="Y5" s="586"/>
      <c r="Z5" s="583" t="s">
        <v>381</v>
      </c>
      <c r="AA5" s="584"/>
      <c r="AB5" s="584"/>
      <c r="AC5" s="585"/>
      <c r="AD5" s="586"/>
      <c r="AE5" s="583" t="s">
        <v>381</v>
      </c>
      <c r="AF5" s="584"/>
      <c r="AG5" s="584"/>
      <c r="AH5" s="585"/>
      <c r="AI5" s="586"/>
      <c r="AJ5" s="583" t="s">
        <v>381</v>
      </c>
      <c r="AK5" s="584"/>
      <c r="AL5" s="584"/>
      <c r="AM5" s="585"/>
      <c r="AN5" s="586"/>
      <c r="AO5" s="583" t="s">
        <v>381</v>
      </c>
      <c r="AP5" s="584"/>
      <c r="AQ5" s="584"/>
      <c r="AR5" s="585"/>
      <c r="AS5" s="586"/>
      <c r="AT5" s="583" t="s">
        <v>381</v>
      </c>
      <c r="AU5" s="584"/>
      <c r="AV5" s="584"/>
      <c r="AW5" s="585"/>
      <c r="AX5" s="586"/>
    </row>
    <row r="6" spans="1:50" ht="14.25" customHeight="1">
      <c r="B6" s="565"/>
      <c r="C6" s="591"/>
      <c r="D6" s="592"/>
      <c r="E6" s="182" t="s">
        <v>161</v>
      </c>
      <c r="F6" s="182" t="s">
        <v>382</v>
      </c>
      <c r="G6" s="182" t="s">
        <v>163</v>
      </c>
      <c r="H6" s="565"/>
      <c r="I6" s="183" t="s">
        <v>161</v>
      </c>
      <c r="J6" s="183" t="s">
        <v>382</v>
      </c>
      <c r="K6" s="183" t="s">
        <v>163</v>
      </c>
      <c r="L6" s="598"/>
      <c r="M6" s="598"/>
      <c r="N6" s="586"/>
      <c r="O6" s="586"/>
      <c r="P6" s="182" t="s">
        <v>161</v>
      </c>
      <c r="Q6" s="182" t="s">
        <v>382</v>
      </c>
      <c r="R6" s="182" t="s">
        <v>163</v>
      </c>
      <c r="S6" s="184" t="s">
        <v>167</v>
      </c>
      <c r="T6" s="565"/>
      <c r="U6" s="182" t="s">
        <v>161</v>
      </c>
      <c r="V6" s="182" t="s">
        <v>382</v>
      </c>
      <c r="W6" s="182" t="s">
        <v>163</v>
      </c>
      <c r="X6" s="184" t="s">
        <v>167</v>
      </c>
      <c r="Y6" s="565"/>
      <c r="Z6" s="182" t="s">
        <v>161</v>
      </c>
      <c r="AA6" s="182" t="s">
        <v>382</v>
      </c>
      <c r="AB6" s="182" t="s">
        <v>163</v>
      </c>
      <c r="AC6" s="184" t="s">
        <v>167</v>
      </c>
      <c r="AD6" s="565"/>
      <c r="AE6" s="182" t="s">
        <v>161</v>
      </c>
      <c r="AF6" s="182" t="s">
        <v>382</v>
      </c>
      <c r="AG6" s="182" t="s">
        <v>163</v>
      </c>
      <c r="AH6" s="184" t="s">
        <v>167</v>
      </c>
      <c r="AI6" s="565"/>
      <c r="AJ6" s="182" t="s">
        <v>161</v>
      </c>
      <c r="AK6" s="182" t="s">
        <v>382</v>
      </c>
      <c r="AL6" s="182" t="s">
        <v>163</v>
      </c>
      <c r="AM6" s="184" t="s">
        <v>167</v>
      </c>
      <c r="AN6" s="565"/>
      <c r="AO6" s="182" t="s">
        <v>161</v>
      </c>
      <c r="AP6" s="182" t="s">
        <v>382</v>
      </c>
      <c r="AQ6" s="182" t="s">
        <v>163</v>
      </c>
      <c r="AR6" s="184" t="s">
        <v>167</v>
      </c>
      <c r="AS6" s="565"/>
      <c r="AT6" s="182" t="s">
        <v>161</v>
      </c>
      <c r="AU6" s="182" t="s">
        <v>382</v>
      </c>
      <c r="AV6" s="182" t="s">
        <v>163</v>
      </c>
      <c r="AW6" s="184" t="s">
        <v>167</v>
      </c>
      <c r="AX6" s="565"/>
    </row>
    <row r="7" spans="1:50">
      <c r="B7" s="525" t="s">
        <v>144</v>
      </c>
      <c r="C7" s="182">
        <v>1</v>
      </c>
      <c r="D7" s="185" t="s">
        <v>365</v>
      </c>
      <c r="E7" s="182">
        <v>13</v>
      </c>
      <c r="F7" s="182">
        <v>1200</v>
      </c>
      <c r="G7" s="187">
        <f t="shared" ref="G7:G8" si="10">F7/E7</f>
        <v>92.307692307692307</v>
      </c>
      <c r="H7" s="554">
        <f>AVERAGE(G7:G21)</f>
        <v>87.062937062937067</v>
      </c>
      <c r="I7" s="188">
        <f>AVERAGE(P7,U7,Z7,AE7,AJ7,AO7,AT7)</f>
        <v>13</v>
      </c>
      <c r="J7" s="188">
        <f>AVERAGE(Q7,V7,AA7,AF7,AK7,AP7,AU7)</f>
        <v>1079.6038104741228</v>
      </c>
      <c r="K7" s="189">
        <f>AVERAGE(R7,W7,AB7,AG7,AL7,AQ7,AV7)</f>
        <v>83.046446959547907</v>
      </c>
      <c r="L7" s="555">
        <f>IFERROR(AVERAGE(K7:K21),"-")</f>
        <v>78.042646380467062</v>
      </c>
      <c r="M7" s="188">
        <f>RANK(K7, K$7:$K$21)</f>
        <v>1</v>
      </c>
      <c r="N7" s="586"/>
      <c r="O7" s="586"/>
      <c r="P7" s="190">
        <v>13</v>
      </c>
      <c r="Q7" s="190">
        <v>1079.5746356833397</v>
      </c>
      <c r="R7" s="187">
        <f>IFERROR(Q7/P7,"")</f>
        <v>83.04420274487228</v>
      </c>
      <c r="S7" s="184">
        <f>RANK(R7, R$7:R$21)</f>
        <v>1</v>
      </c>
      <c r="T7" s="554">
        <f>AVERAGE(R7:R21)</f>
        <v>78.034160741638317</v>
      </c>
      <c r="U7" s="190">
        <v>13</v>
      </c>
      <c r="V7" s="190">
        <v>1079.5629299878592</v>
      </c>
      <c r="W7" s="187">
        <f t="shared" ref="W7:W8" si="11">IFERROR(V7/U7,"")</f>
        <v>83.043302306758406</v>
      </c>
      <c r="X7" s="184">
        <f>RANK(W7, W$7:W$21)</f>
        <v>1</v>
      </c>
      <c r="Y7" s="554">
        <f>AVERAGE(W7:W21)</f>
        <v>78.035550477195869</v>
      </c>
      <c r="Z7" s="190">
        <v>13</v>
      </c>
      <c r="AA7" s="190">
        <v>1079.596412556054</v>
      </c>
      <c r="AB7" s="187">
        <f t="shared" ref="AB7:AB8" si="12">IFERROR(AA7/Z7,"")</f>
        <v>83.045877888927237</v>
      </c>
      <c r="AC7" s="184">
        <f>RANK(AB7, AB$7:AB$21)</f>
        <v>1</v>
      </c>
      <c r="AD7" s="554">
        <f>AVERAGE(AB7:AB21)</f>
        <v>78.042514259659384</v>
      </c>
      <c r="AE7" s="190">
        <v>13</v>
      </c>
      <c r="AF7" s="190">
        <v>1079.5906765207505</v>
      </c>
      <c r="AG7" s="187">
        <f>IFERROR(AF7/AE7,"")</f>
        <v>83.045436655442344</v>
      </c>
      <c r="AH7" s="184">
        <f>RANK(AG7, AG$7:AG$21)</f>
        <v>1</v>
      </c>
      <c r="AI7" s="554">
        <f>AVERAGE(AG7:AG21)</f>
        <v>78.046805519049002</v>
      </c>
      <c r="AJ7" s="190">
        <v>13</v>
      </c>
      <c r="AK7" s="190">
        <v>1079.6195173507135</v>
      </c>
      <c r="AL7" s="187">
        <f t="shared" ref="AL7:AL8" si="13">IFERROR(AK7/AJ7,"")</f>
        <v>83.047655180824123</v>
      </c>
      <c r="AM7" s="184">
        <f>RANK(AL7, AL$7:AL$21)</f>
        <v>1</v>
      </c>
      <c r="AN7" s="554">
        <f>AVERAGE(AL7:AL21)</f>
        <v>78.051320894335134</v>
      </c>
      <c r="AO7" s="190">
        <v>13</v>
      </c>
      <c r="AP7" s="190">
        <v>1079.6277145811794</v>
      </c>
      <c r="AQ7" s="187">
        <f t="shared" ref="AQ7" si="14">IFERROR(AP7/AO7,"")</f>
        <v>83.048285737013799</v>
      </c>
      <c r="AR7" s="184">
        <f>RANK(AQ7, AQ$7:AQ$21)</f>
        <v>1</v>
      </c>
      <c r="AS7" s="554">
        <f>AVERAGE(AQ7:AQ21)</f>
        <v>83.048285737013799</v>
      </c>
      <c r="AT7" s="190">
        <v>13</v>
      </c>
      <c r="AU7" s="190">
        <v>1079.6547866389644</v>
      </c>
      <c r="AV7" s="187">
        <f t="shared" ref="AV7" si="15">IFERROR(AU7/AT7,"")</f>
        <v>83.050368202997262</v>
      </c>
      <c r="AW7" s="184">
        <f>RANK(AV7, AV$7:AV$21)</f>
        <v>1</v>
      </c>
      <c r="AX7" s="554">
        <f>AVERAGE(AV7:AV21)</f>
        <v>83.050368202997262</v>
      </c>
    </row>
    <row r="8" spans="1:50">
      <c r="B8" s="525"/>
      <c r="C8" s="182">
        <v>2</v>
      </c>
      <c r="D8" s="185" t="s">
        <v>470</v>
      </c>
      <c r="E8" s="182">
        <v>22</v>
      </c>
      <c r="F8" s="182">
        <v>1800</v>
      </c>
      <c r="G8" s="187">
        <f t="shared" si="10"/>
        <v>81.818181818181813</v>
      </c>
      <c r="H8" s="554"/>
      <c r="I8" s="188">
        <f t="shared" ref="I8:K8" si="16">AVERAGE(P8,U8,Z8,AE8,AJ8,AO8,AT8)</f>
        <v>22</v>
      </c>
      <c r="J8" s="188">
        <f t="shared" si="16"/>
        <v>1606.8546076304967</v>
      </c>
      <c r="K8" s="189">
        <f t="shared" si="16"/>
        <v>73.038845801386202</v>
      </c>
      <c r="L8" s="555"/>
      <c r="M8" s="188">
        <f>RANK(K8, K$7:$K$21)</f>
        <v>2</v>
      </c>
      <c r="N8" s="586"/>
      <c r="O8" s="586"/>
      <c r="P8" s="190">
        <v>22</v>
      </c>
      <c r="Q8" s="190">
        <v>1606.530612244896</v>
      </c>
      <c r="R8" s="187">
        <f t="shared" ref="R8" si="17">IFERROR(Q8/P8,"")</f>
        <v>73.024118738404368</v>
      </c>
      <c r="S8" s="184">
        <f>RANK(R8, R$7:R$21)</f>
        <v>2</v>
      </c>
      <c r="T8" s="554"/>
      <c r="U8" s="190">
        <v>22</v>
      </c>
      <c r="V8" s="190">
        <v>1606.6115702479335</v>
      </c>
      <c r="W8" s="187">
        <f t="shared" si="11"/>
        <v>73.027798647633347</v>
      </c>
      <c r="X8" s="184">
        <f>RANK(W8, W$7:W$21)</f>
        <v>2</v>
      </c>
      <c r="Y8" s="554"/>
      <c r="Z8" s="190">
        <v>22</v>
      </c>
      <c r="AA8" s="190">
        <v>1606.8613138686142</v>
      </c>
      <c r="AB8" s="187">
        <f t="shared" si="12"/>
        <v>73.039150630391546</v>
      </c>
      <c r="AC8" s="184">
        <f>RANK(AB8, AB$7:AB$21)</f>
        <v>2</v>
      </c>
      <c r="AD8" s="554"/>
      <c r="AE8" s="190">
        <v>22</v>
      </c>
      <c r="AF8" s="190">
        <v>1607.0598364184243</v>
      </c>
      <c r="AG8" s="187">
        <f t="shared" ref="AG8" si="18">IFERROR(AF8/AE8,"")</f>
        <v>73.048174382655645</v>
      </c>
      <c r="AH8" s="184">
        <f>RANK(AG8, AG$7:AG$21)</f>
        <v>2</v>
      </c>
      <c r="AI8" s="554"/>
      <c r="AJ8" s="190">
        <v>22</v>
      </c>
      <c r="AK8" s="190">
        <v>1607.2097053726152</v>
      </c>
      <c r="AL8" s="187">
        <f t="shared" si="13"/>
        <v>73.054986607846146</v>
      </c>
      <c r="AM8" s="184">
        <f>RANK(AL8, AL$7:AL$21)</f>
        <v>2</v>
      </c>
      <c r="AN8" s="554"/>
      <c r="AO8" s="190"/>
      <c r="AP8" s="190"/>
      <c r="AQ8" s="187"/>
      <c r="AR8" s="184"/>
      <c r="AS8" s="554"/>
      <c r="AT8" s="190"/>
      <c r="AU8" s="190"/>
      <c r="AV8" s="187"/>
      <c r="AW8" s="184"/>
      <c r="AX8" s="554"/>
    </row>
    <row r="9" spans="1:50">
      <c r="B9" s="525"/>
      <c r="C9" s="182">
        <v>3</v>
      </c>
      <c r="D9" s="185"/>
      <c r="E9" s="182"/>
      <c r="F9" s="182"/>
      <c r="G9" s="187"/>
      <c r="H9" s="554"/>
      <c r="I9" s="188"/>
      <c r="J9" s="188"/>
      <c r="K9" s="189"/>
      <c r="L9" s="555"/>
      <c r="M9" s="188"/>
      <c r="N9" s="586"/>
      <c r="O9" s="586"/>
      <c r="P9" s="190"/>
      <c r="Q9" s="190"/>
      <c r="R9" s="187"/>
      <c r="S9" s="184"/>
      <c r="T9" s="554"/>
      <c r="U9" s="190"/>
      <c r="V9" s="190"/>
      <c r="W9" s="187"/>
      <c r="X9" s="184"/>
      <c r="Y9" s="554"/>
      <c r="Z9" s="190"/>
      <c r="AA9" s="190"/>
      <c r="AB9" s="187"/>
      <c r="AC9" s="184"/>
      <c r="AD9" s="554"/>
      <c r="AE9" s="190"/>
      <c r="AF9" s="190"/>
      <c r="AG9" s="187"/>
      <c r="AH9" s="184"/>
      <c r="AI9" s="554"/>
      <c r="AJ9" s="190"/>
      <c r="AK9" s="190"/>
      <c r="AL9" s="187"/>
      <c r="AM9" s="184"/>
      <c r="AN9" s="554"/>
      <c r="AO9" s="190"/>
      <c r="AP9" s="190"/>
      <c r="AQ9" s="187"/>
      <c r="AR9" s="184"/>
      <c r="AS9" s="554"/>
      <c r="AT9" s="190"/>
      <c r="AU9" s="190"/>
      <c r="AV9" s="187"/>
      <c r="AW9" s="184"/>
      <c r="AX9" s="554"/>
    </row>
    <row r="10" spans="1:50">
      <c r="B10" s="525"/>
      <c r="C10" s="182">
        <v>4</v>
      </c>
      <c r="D10" s="185"/>
      <c r="E10" s="182"/>
      <c r="F10" s="182"/>
      <c r="G10" s="187"/>
      <c r="H10" s="554"/>
      <c r="I10" s="188"/>
      <c r="J10" s="188"/>
      <c r="K10" s="189"/>
      <c r="L10" s="555"/>
      <c r="M10" s="188"/>
      <c r="N10" s="586"/>
      <c r="O10" s="586"/>
      <c r="P10" s="190"/>
      <c r="Q10" s="190"/>
      <c r="R10" s="187"/>
      <c r="S10" s="184"/>
      <c r="T10" s="554"/>
      <c r="U10" s="190"/>
      <c r="V10" s="190"/>
      <c r="W10" s="187"/>
      <c r="X10" s="184"/>
      <c r="Y10" s="554"/>
      <c r="Z10" s="190"/>
      <c r="AA10" s="190"/>
      <c r="AB10" s="187"/>
      <c r="AC10" s="184"/>
      <c r="AD10" s="554"/>
      <c r="AE10" s="190"/>
      <c r="AF10" s="190"/>
      <c r="AG10" s="187"/>
      <c r="AH10" s="184"/>
      <c r="AI10" s="554"/>
      <c r="AJ10" s="190"/>
      <c r="AK10" s="190"/>
      <c r="AL10" s="187"/>
      <c r="AM10" s="184"/>
      <c r="AN10" s="554"/>
      <c r="AO10" s="190"/>
      <c r="AP10" s="190"/>
      <c r="AQ10" s="187"/>
      <c r="AR10" s="184"/>
      <c r="AS10" s="554"/>
      <c r="AT10" s="190"/>
      <c r="AU10" s="190"/>
      <c r="AV10" s="187"/>
      <c r="AW10" s="184"/>
      <c r="AX10" s="554"/>
    </row>
    <row r="11" spans="1:50">
      <c r="B11" s="525"/>
      <c r="C11" s="182">
        <v>5</v>
      </c>
      <c r="D11" s="185"/>
      <c r="E11" s="182"/>
      <c r="F11" s="182"/>
      <c r="G11" s="187"/>
      <c r="H11" s="554"/>
      <c r="I11" s="188"/>
      <c r="J11" s="188"/>
      <c r="K11" s="189"/>
      <c r="L11" s="555"/>
      <c r="M11" s="188"/>
      <c r="N11" s="586"/>
      <c r="O11" s="586"/>
      <c r="P11" s="190"/>
      <c r="Q11" s="190"/>
      <c r="R11" s="187"/>
      <c r="S11" s="184"/>
      <c r="T11" s="554"/>
      <c r="U11" s="190"/>
      <c r="V11" s="190"/>
      <c r="W11" s="187"/>
      <c r="X11" s="184"/>
      <c r="Y11" s="554"/>
      <c r="Z11" s="190"/>
      <c r="AA11" s="190"/>
      <c r="AB11" s="187"/>
      <c r="AC11" s="184"/>
      <c r="AD11" s="554"/>
      <c r="AE11" s="190"/>
      <c r="AF11" s="190"/>
      <c r="AG11" s="187"/>
      <c r="AH11" s="184"/>
      <c r="AI11" s="554"/>
      <c r="AJ11" s="190"/>
      <c r="AK11" s="190"/>
      <c r="AL11" s="187"/>
      <c r="AM11" s="184"/>
      <c r="AN11" s="554"/>
      <c r="AO11" s="190"/>
      <c r="AP11" s="190"/>
      <c r="AQ11" s="187"/>
      <c r="AR11" s="184"/>
      <c r="AS11" s="554"/>
      <c r="AT11" s="190"/>
      <c r="AU11" s="190"/>
      <c r="AV11" s="187"/>
      <c r="AW11" s="184"/>
      <c r="AX11" s="554"/>
    </row>
    <row r="12" spans="1:50">
      <c r="B12" s="525"/>
      <c r="C12" s="182">
        <v>6</v>
      </c>
      <c r="D12" s="185"/>
      <c r="E12" s="182"/>
      <c r="F12" s="182"/>
      <c r="G12" s="187"/>
      <c r="H12" s="554"/>
      <c r="I12" s="188"/>
      <c r="J12" s="188"/>
      <c r="K12" s="189"/>
      <c r="L12" s="555"/>
      <c r="M12" s="188"/>
      <c r="N12" s="586"/>
      <c r="O12" s="586"/>
      <c r="P12" s="190"/>
      <c r="Q12" s="190"/>
      <c r="R12" s="187"/>
      <c r="S12" s="184"/>
      <c r="T12" s="554"/>
      <c r="U12" s="190"/>
      <c r="V12" s="190"/>
      <c r="W12" s="187"/>
      <c r="X12" s="184"/>
      <c r="Y12" s="554"/>
      <c r="Z12" s="190"/>
      <c r="AA12" s="190"/>
      <c r="AB12" s="187"/>
      <c r="AC12" s="184"/>
      <c r="AD12" s="554"/>
      <c r="AE12" s="190"/>
      <c r="AF12" s="190"/>
      <c r="AG12" s="187"/>
      <c r="AH12" s="184"/>
      <c r="AI12" s="554"/>
      <c r="AJ12" s="190"/>
      <c r="AK12" s="190"/>
      <c r="AL12" s="187"/>
      <c r="AM12" s="184"/>
      <c r="AN12" s="554"/>
      <c r="AO12" s="190"/>
      <c r="AP12" s="190"/>
      <c r="AQ12" s="187"/>
      <c r="AR12" s="184"/>
      <c r="AS12" s="554"/>
      <c r="AT12" s="190"/>
      <c r="AU12" s="190"/>
      <c r="AV12" s="187"/>
      <c r="AW12" s="184"/>
      <c r="AX12" s="554"/>
    </row>
    <row r="13" spans="1:50">
      <c r="B13" s="525"/>
      <c r="C13" s="182">
        <v>7</v>
      </c>
      <c r="D13" s="185"/>
      <c r="E13" s="182"/>
      <c r="F13" s="182"/>
      <c r="G13" s="187"/>
      <c r="H13" s="554"/>
      <c r="I13" s="188"/>
      <c r="J13" s="188"/>
      <c r="K13" s="189"/>
      <c r="L13" s="555"/>
      <c r="M13" s="188"/>
      <c r="N13" s="586"/>
      <c r="O13" s="586"/>
      <c r="P13" s="190"/>
      <c r="Q13" s="190"/>
      <c r="R13" s="187"/>
      <c r="S13" s="184"/>
      <c r="T13" s="554"/>
      <c r="U13" s="190"/>
      <c r="V13" s="190"/>
      <c r="W13" s="187"/>
      <c r="X13" s="184"/>
      <c r="Y13" s="554"/>
      <c r="Z13" s="190"/>
      <c r="AA13" s="190"/>
      <c r="AB13" s="187"/>
      <c r="AC13" s="184"/>
      <c r="AD13" s="554"/>
      <c r="AE13" s="190"/>
      <c r="AF13" s="190"/>
      <c r="AG13" s="187"/>
      <c r="AH13" s="184"/>
      <c r="AI13" s="554"/>
      <c r="AJ13" s="190"/>
      <c r="AK13" s="190"/>
      <c r="AL13" s="187"/>
      <c r="AM13" s="184"/>
      <c r="AN13" s="554"/>
      <c r="AO13" s="190"/>
      <c r="AP13" s="190"/>
      <c r="AQ13" s="187"/>
      <c r="AR13" s="184"/>
      <c r="AS13" s="554"/>
      <c r="AT13" s="190"/>
      <c r="AU13" s="190"/>
      <c r="AV13" s="187"/>
      <c r="AW13" s="184"/>
      <c r="AX13" s="554"/>
    </row>
    <row r="14" spans="1:50">
      <c r="B14" s="525"/>
      <c r="C14" s="182">
        <v>8</v>
      </c>
      <c r="D14" s="185"/>
      <c r="E14" s="182"/>
      <c r="F14" s="182"/>
      <c r="G14" s="187"/>
      <c r="H14" s="554"/>
      <c r="I14" s="188"/>
      <c r="J14" s="188"/>
      <c r="K14" s="189"/>
      <c r="L14" s="555"/>
      <c r="M14" s="188"/>
      <c r="N14" s="586"/>
      <c r="O14" s="586"/>
      <c r="P14" s="190"/>
      <c r="Q14" s="190"/>
      <c r="R14" s="187"/>
      <c r="S14" s="184"/>
      <c r="T14" s="554"/>
      <c r="U14" s="190"/>
      <c r="V14" s="190"/>
      <c r="W14" s="187"/>
      <c r="X14" s="184"/>
      <c r="Y14" s="554"/>
      <c r="Z14" s="190"/>
      <c r="AA14" s="190"/>
      <c r="AB14" s="187"/>
      <c r="AC14" s="184"/>
      <c r="AD14" s="554"/>
      <c r="AE14" s="190"/>
      <c r="AF14" s="190"/>
      <c r="AG14" s="187"/>
      <c r="AH14" s="184"/>
      <c r="AI14" s="554"/>
      <c r="AJ14" s="190"/>
      <c r="AK14" s="190"/>
      <c r="AL14" s="187"/>
      <c r="AM14" s="184"/>
      <c r="AN14" s="554"/>
      <c r="AO14" s="190"/>
      <c r="AP14" s="190"/>
      <c r="AQ14" s="187"/>
      <c r="AR14" s="184"/>
      <c r="AS14" s="554"/>
      <c r="AT14" s="190"/>
      <c r="AU14" s="190"/>
      <c r="AV14" s="187"/>
      <c r="AW14" s="184"/>
      <c r="AX14" s="554"/>
    </row>
    <row r="15" spans="1:50">
      <c r="B15" s="525"/>
      <c r="C15" s="182">
        <v>9</v>
      </c>
      <c r="D15" s="185"/>
      <c r="E15" s="182"/>
      <c r="F15" s="182"/>
      <c r="G15" s="187"/>
      <c r="H15" s="554"/>
      <c r="I15" s="188"/>
      <c r="J15" s="188"/>
      <c r="K15" s="189"/>
      <c r="L15" s="555"/>
      <c r="M15" s="188"/>
      <c r="N15" s="586"/>
      <c r="O15" s="586"/>
      <c r="P15" s="190"/>
      <c r="Q15" s="190"/>
      <c r="R15" s="187"/>
      <c r="S15" s="184"/>
      <c r="T15" s="554"/>
      <c r="U15" s="190"/>
      <c r="V15" s="190"/>
      <c r="W15" s="187"/>
      <c r="X15" s="184"/>
      <c r="Y15" s="554"/>
      <c r="Z15" s="190"/>
      <c r="AA15" s="190"/>
      <c r="AB15" s="187"/>
      <c r="AC15" s="184"/>
      <c r="AD15" s="554"/>
      <c r="AE15" s="190"/>
      <c r="AF15" s="190"/>
      <c r="AG15" s="187"/>
      <c r="AH15" s="184"/>
      <c r="AI15" s="554"/>
      <c r="AJ15" s="190"/>
      <c r="AK15" s="190"/>
      <c r="AL15" s="187"/>
      <c r="AM15" s="184"/>
      <c r="AN15" s="554"/>
      <c r="AO15" s="190"/>
      <c r="AP15" s="190"/>
      <c r="AQ15" s="187"/>
      <c r="AR15" s="184"/>
      <c r="AS15" s="554"/>
      <c r="AT15" s="190"/>
      <c r="AU15" s="190"/>
      <c r="AV15" s="187"/>
      <c r="AW15" s="184"/>
      <c r="AX15" s="554"/>
    </row>
    <row r="16" spans="1:50">
      <c r="B16" s="525"/>
      <c r="C16" s="182">
        <v>10</v>
      </c>
      <c r="D16" s="185"/>
      <c r="E16" s="182"/>
      <c r="F16" s="182"/>
      <c r="G16" s="187"/>
      <c r="H16" s="554"/>
      <c r="I16" s="188"/>
      <c r="J16" s="188"/>
      <c r="K16" s="189"/>
      <c r="L16" s="555"/>
      <c r="M16" s="188"/>
      <c r="N16" s="586"/>
      <c r="O16" s="586"/>
      <c r="P16" s="190"/>
      <c r="Q16" s="190"/>
      <c r="R16" s="187"/>
      <c r="S16" s="184"/>
      <c r="T16" s="554"/>
      <c r="U16" s="190"/>
      <c r="V16" s="190"/>
      <c r="W16" s="187"/>
      <c r="X16" s="184"/>
      <c r="Y16" s="554"/>
      <c r="Z16" s="190"/>
      <c r="AA16" s="190"/>
      <c r="AB16" s="187"/>
      <c r="AC16" s="184"/>
      <c r="AD16" s="554"/>
      <c r="AE16" s="190"/>
      <c r="AF16" s="190"/>
      <c r="AG16" s="187"/>
      <c r="AH16" s="184"/>
      <c r="AI16" s="554"/>
      <c r="AJ16" s="190"/>
      <c r="AK16" s="190"/>
      <c r="AL16" s="187"/>
      <c r="AM16" s="184"/>
      <c r="AN16" s="554"/>
      <c r="AO16" s="190"/>
      <c r="AP16" s="190"/>
      <c r="AQ16" s="187"/>
      <c r="AR16" s="184"/>
      <c r="AS16" s="554"/>
      <c r="AT16" s="190"/>
      <c r="AU16" s="190"/>
      <c r="AV16" s="187"/>
      <c r="AW16" s="184"/>
      <c r="AX16" s="554"/>
    </row>
    <row r="17" spans="2:50">
      <c r="B17" s="525"/>
      <c r="C17" s="182">
        <v>11</v>
      </c>
      <c r="D17" s="185"/>
      <c r="E17" s="182"/>
      <c r="F17" s="182"/>
      <c r="G17" s="187"/>
      <c r="H17" s="554"/>
      <c r="I17" s="188"/>
      <c r="J17" s="188"/>
      <c r="K17" s="189"/>
      <c r="L17" s="555"/>
      <c r="M17" s="188"/>
      <c r="N17" s="586"/>
      <c r="O17" s="586"/>
      <c r="P17" s="190"/>
      <c r="Q17" s="190"/>
      <c r="R17" s="187"/>
      <c r="S17" s="184"/>
      <c r="T17" s="554"/>
      <c r="U17" s="190"/>
      <c r="V17" s="190"/>
      <c r="W17" s="187"/>
      <c r="X17" s="184"/>
      <c r="Y17" s="554"/>
      <c r="Z17" s="190"/>
      <c r="AA17" s="190"/>
      <c r="AB17" s="187"/>
      <c r="AC17" s="184"/>
      <c r="AD17" s="554"/>
      <c r="AE17" s="190"/>
      <c r="AF17" s="190"/>
      <c r="AG17" s="187"/>
      <c r="AH17" s="184"/>
      <c r="AI17" s="554"/>
      <c r="AJ17" s="190"/>
      <c r="AK17" s="190"/>
      <c r="AL17" s="187"/>
      <c r="AM17" s="184"/>
      <c r="AN17" s="554"/>
      <c r="AO17" s="190"/>
      <c r="AP17" s="190"/>
      <c r="AQ17" s="187"/>
      <c r="AR17" s="184"/>
      <c r="AS17" s="554"/>
      <c r="AT17" s="190"/>
      <c r="AU17" s="190"/>
      <c r="AV17" s="187"/>
      <c r="AW17" s="184"/>
      <c r="AX17" s="554"/>
    </row>
    <row r="18" spans="2:50">
      <c r="B18" s="525"/>
      <c r="C18" s="182">
        <v>12</v>
      </c>
      <c r="D18" s="185"/>
      <c r="E18" s="182"/>
      <c r="F18" s="182"/>
      <c r="G18" s="187"/>
      <c r="H18" s="554"/>
      <c r="I18" s="188"/>
      <c r="J18" s="188"/>
      <c r="K18" s="189"/>
      <c r="L18" s="555"/>
      <c r="M18" s="188"/>
      <c r="N18" s="586"/>
      <c r="O18" s="586"/>
      <c r="P18" s="190"/>
      <c r="Q18" s="190"/>
      <c r="R18" s="187"/>
      <c r="S18" s="184"/>
      <c r="T18" s="554"/>
      <c r="U18" s="190"/>
      <c r="V18" s="190"/>
      <c r="W18" s="187"/>
      <c r="X18" s="184"/>
      <c r="Y18" s="554"/>
      <c r="Z18" s="190"/>
      <c r="AA18" s="190"/>
      <c r="AB18" s="187"/>
      <c r="AC18" s="184"/>
      <c r="AD18" s="554"/>
      <c r="AE18" s="190"/>
      <c r="AF18" s="190"/>
      <c r="AG18" s="187"/>
      <c r="AH18" s="184"/>
      <c r="AI18" s="554"/>
      <c r="AJ18" s="190"/>
      <c r="AK18" s="190"/>
      <c r="AL18" s="187"/>
      <c r="AM18" s="184"/>
      <c r="AN18" s="554"/>
      <c r="AO18" s="190"/>
      <c r="AP18" s="190"/>
      <c r="AQ18" s="187"/>
      <c r="AR18" s="184"/>
      <c r="AS18" s="554"/>
      <c r="AT18" s="190"/>
      <c r="AU18" s="190"/>
      <c r="AV18" s="187"/>
      <c r="AW18" s="184"/>
      <c r="AX18" s="554"/>
    </row>
    <row r="19" spans="2:50">
      <c r="B19" s="525"/>
      <c r="C19" s="182">
        <v>13</v>
      </c>
      <c r="D19" s="185"/>
      <c r="E19" s="182"/>
      <c r="F19" s="182"/>
      <c r="G19" s="187"/>
      <c r="H19" s="554"/>
      <c r="I19" s="188"/>
      <c r="J19" s="188"/>
      <c r="K19" s="189"/>
      <c r="L19" s="555"/>
      <c r="M19" s="188"/>
      <c r="N19" s="586"/>
      <c r="O19" s="586"/>
      <c r="P19" s="190"/>
      <c r="Q19" s="190"/>
      <c r="R19" s="187"/>
      <c r="S19" s="184"/>
      <c r="T19" s="554"/>
      <c r="U19" s="190"/>
      <c r="V19" s="190"/>
      <c r="W19" s="187"/>
      <c r="X19" s="184"/>
      <c r="Y19" s="554"/>
      <c r="Z19" s="190"/>
      <c r="AA19" s="190"/>
      <c r="AB19" s="187"/>
      <c r="AC19" s="184"/>
      <c r="AD19" s="554"/>
      <c r="AE19" s="190"/>
      <c r="AF19" s="190"/>
      <c r="AG19" s="187"/>
      <c r="AH19" s="184"/>
      <c r="AI19" s="554"/>
      <c r="AJ19" s="190"/>
      <c r="AK19" s="190"/>
      <c r="AL19" s="187"/>
      <c r="AM19" s="184"/>
      <c r="AN19" s="554"/>
      <c r="AO19" s="190"/>
      <c r="AP19" s="190"/>
      <c r="AQ19" s="187"/>
      <c r="AR19" s="184"/>
      <c r="AS19" s="554"/>
      <c r="AT19" s="190"/>
      <c r="AU19" s="190"/>
      <c r="AV19" s="187"/>
      <c r="AW19" s="184"/>
      <c r="AX19" s="554"/>
    </row>
    <row r="20" spans="2:50">
      <c r="B20" s="525"/>
      <c r="C20" s="182">
        <v>14</v>
      </c>
      <c r="D20" s="185"/>
      <c r="E20" s="182"/>
      <c r="F20" s="182"/>
      <c r="G20" s="187"/>
      <c r="H20" s="554"/>
      <c r="I20" s="188"/>
      <c r="J20" s="188"/>
      <c r="K20" s="189"/>
      <c r="L20" s="555"/>
      <c r="M20" s="188"/>
      <c r="N20" s="586"/>
      <c r="O20" s="586"/>
      <c r="P20" s="190"/>
      <c r="Q20" s="190"/>
      <c r="R20" s="187"/>
      <c r="S20" s="184"/>
      <c r="T20" s="554"/>
      <c r="U20" s="190"/>
      <c r="V20" s="190"/>
      <c r="W20" s="187"/>
      <c r="X20" s="184"/>
      <c r="Y20" s="554"/>
      <c r="Z20" s="190"/>
      <c r="AA20" s="190"/>
      <c r="AB20" s="187"/>
      <c r="AC20" s="184"/>
      <c r="AD20" s="554"/>
      <c r="AE20" s="190"/>
      <c r="AF20" s="190"/>
      <c r="AG20" s="187"/>
      <c r="AH20" s="184"/>
      <c r="AI20" s="554"/>
      <c r="AJ20" s="190"/>
      <c r="AK20" s="190"/>
      <c r="AL20" s="187"/>
      <c r="AM20" s="184"/>
      <c r="AN20" s="554"/>
      <c r="AO20" s="190"/>
      <c r="AP20" s="190"/>
      <c r="AQ20" s="187"/>
      <c r="AR20" s="184"/>
      <c r="AS20" s="554"/>
      <c r="AT20" s="190"/>
      <c r="AU20" s="190"/>
      <c r="AV20" s="187"/>
      <c r="AW20" s="184"/>
      <c r="AX20" s="554"/>
    </row>
    <row r="21" spans="2:50">
      <c r="B21" s="525"/>
      <c r="C21" s="182">
        <v>15</v>
      </c>
      <c r="D21" s="185"/>
      <c r="E21" s="182"/>
      <c r="F21" s="182"/>
      <c r="G21" s="187"/>
      <c r="H21" s="554"/>
      <c r="I21" s="188"/>
      <c r="J21" s="188"/>
      <c r="K21" s="189"/>
      <c r="L21" s="555"/>
      <c r="M21" s="188"/>
      <c r="N21" s="565"/>
      <c r="O21" s="565"/>
      <c r="P21" s="190"/>
      <c r="Q21" s="190"/>
      <c r="R21" s="187"/>
      <c r="S21" s="184"/>
      <c r="T21" s="554"/>
      <c r="U21" s="190"/>
      <c r="V21" s="190"/>
      <c r="W21" s="187"/>
      <c r="X21" s="184"/>
      <c r="Y21" s="554"/>
      <c r="Z21" s="190"/>
      <c r="AA21" s="190"/>
      <c r="AB21" s="187"/>
      <c r="AC21" s="184"/>
      <c r="AD21" s="554"/>
      <c r="AE21" s="190"/>
      <c r="AF21" s="190"/>
      <c r="AG21" s="187"/>
      <c r="AH21" s="184"/>
      <c r="AI21" s="554"/>
      <c r="AJ21" s="190"/>
      <c r="AK21" s="190"/>
      <c r="AL21" s="187"/>
      <c r="AM21" s="184"/>
      <c r="AN21" s="554"/>
      <c r="AO21" s="190"/>
      <c r="AP21" s="190"/>
      <c r="AQ21" s="187"/>
      <c r="AR21" s="184"/>
      <c r="AS21" s="554"/>
      <c r="AT21" s="190"/>
      <c r="AU21" s="190"/>
      <c r="AV21" s="187"/>
      <c r="AW21" s="184"/>
      <c r="AX21" s="554"/>
    </row>
    <row r="22" spans="2:50" ht="14.25" customHeight="1">
      <c r="B22" s="552" t="s">
        <v>645</v>
      </c>
      <c r="C22" s="535"/>
      <c r="D22" s="535"/>
      <c r="E22" s="535"/>
      <c r="F22" s="535"/>
      <c r="G22" s="535"/>
      <c r="H22" s="535"/>
      <c r="I22" s="535"/>
      <c r="J22" s="535"/>
      <c r="K22" s="535"/>
      <c r="L22" s="535"/>
      <c r="M22" s="536"/>
      <c r="N22" s="564" t="s">
        <v>378</v>
      </c>
      <c r="O22" s="564" t="s">
        <v>105</v>
      </c>
      <c r="P22" s="566">
        <v>46084</v>
      </c>
      <c r="Q22" s="567"/>
      <c r="R22" s="567"/>
      <c r="S22" s="567"/>
      <c r="T22" s="567"/>
      <c r="U22" s="568">
        <v>46085</v>
      </c>
      <c r="V22" s="569"/>
      <c r="W22" s="569"/>
      <c r="X22" s="569"/>
      <c r="Y22" s="569"/>
      <c r="Z22" s="566">
        <v>46086</v>
      </c>
      <c r="AA22" s="567"/>
      <c r="AB22" s="567"/>
      <c r="AC22" s="567"/>
      <c r="AD22" s="567"/>
      <c r="AE22" s="568">
        <v>46087</v>
      </c>
      <c r="AF22" s="569"/>
      <c r="AG22" s="569"/>
      <c r="AH22" s="569"/>
      <c r="AI22" s="569"/>
      <c r="AJ22" s="556">
        <v>46088</v>
      </c>
      <c r="AK22" s="557"/>
      <c r="AL22" s="557"/>
      <c r="AM22" s="557"/>
      <c r="AN22" s="558"/>
      <c r="AO22" s="568">
        <v>46089</v>
      </c>
      <c r="AP22" s="569"/>
      <c r="AQ22" s="569"/>
      <c r="AR22" s="569"/>
      <c r="AS22" s="569"/>
      <c r="AT22" s="556">
        <v>46090</v>
      </c>
      <c r="AU22" s="557"/>
      <c r="AV22" s="557"/>
      <c r="AW22" s="557"/>
      <c r="AX22" s="558"/>
    </row>
    <row r="23" spans="2:50" ht="14.25" customHeight="1">
      <c r="B23" s="537"/>
      <c r="C23" s="537"/>
      <c r="D23" s="537"/>
      <c r="E23" s="537"/>
      <c r="F23" s="537"/>
      <c r="G23" s="537"/>
      <c r="H23" s="537"/>
      <c r="I23" s="537"/>
      <c r="J23" s="537"/>
      <c r="K23" s="537"/>
      <c r="L23" s="537"/>
      <c r="M23" s="538"/>
      <c r="N23" s="565"/>
      <c r="O23" s="565"/>
      <c r="P23" s="559">
        <v>46084</v>
      </c>
      <c r="Q23" s="559"/>
      <c r="R23" s="559"/>
      <c r="S23" s="559"/>
      <c r="T23" s="559"/>
      <c r="U23" s="560">
        <v>46085</v>
      </c>
      <c r="V23" s="560"/>
      <c r="W23" s="560"/>
      <c r="X23" s="560"/>
      <c r="Y23" s="560"/>
      <c r="Z23" s="559">
        <v>46086</v>
      </c>
      <c r="AA23" s="559"/>
      <c r="AB23" s="559"/>
      <c r="AC23" s="559"/>
      <c r="AD23" s="559"/>
      <c r="AE23" s="560">
        <v>46087</v>
      </c>
      <c r="AF23" s="560"/>
      <c r="AG23" s="560"/>
      <c r="AH23" s="560"/>
      <c r="AI23" s="560"/>
      <c r="AJ23" s="561">
        <v>46088</v>
      </c>
      <c r="AK23" s="562"/>
      <c r="AL23" s="562"/>
      <c r="AM23" s="562"/>
      <c r="AN23" s="563"/>
      <c r="AO23" s="560">
        <v>46089</v>
      </c>
      <c r="AP23" s="560"/>
      <c r="AQ23" s="560"/>
      <c r="AR23" s="560"/>
      <c r="AS23" s="560"/>
      <c r="AT23" s="561">
        <v>46090</v>
      </c>
      <c r="AU23" s="562"/>
      <c r="AV23" s="562"/>
      <c r="AW23" s="562"/>
      <c r="AX23" s="563"/>
    </row>
    <row r="24" spans="2:50" ht="14.25" customHeight="1">
      <c r="B24" s="525" t="s">
        <v>164</v>
      </c>
      <c r="C24" s="525" t="s">
        <v>159</v>
      </c>
      <c r="D24" s="525"/>
      <c r="E24" s="525" t="s">
        <v>160</v>
      </c>
      <c r="F24" s="525"/>
      <c r="G24" s="525"/>
      <c r="H24" s="525" t="s">
        <v>165</v>
      </c>
      <c r="I24" s="544" t="s">
        <v>379</v>
      </c>
      <c r="J24" s="544"/>
      <c r="K24" s="544"/>
      <c r="L24" s="544" t="s">
        <v>165</v>
      </c>
      <c r="M24" s="544" t="s">
        <v>167</v>
      </c>
      <c r="N24" s="525"/>
      <c r="O24" s="525" t="s">
        <v>166</v>
      </c>
      <c r="P24" s="525" t="s">
        <v>162</v>
      </c>
      <c r="Q24" s="525"/>
      <c r="R24" s="525"/>
      <c r="S24" s="525"/>
      <c r="T24" s="525" t="s">
        <v>165</v>
      </c>
      <c r="U24" s="525" t="s">
        <v>162</v>
      </c>
      <c r="V24" s="525"/>
      <c r="W24" s="525"/>
      <c r="X24" s="525"/>
      <c r="Y24" s="525" t="s">
        <v>165</v>
      </c>
      <c r="Z24" s="525" t="s">
        <v>162</v>
      </c>
      <c r="AA24" s="525"/>
      <c r="AB24" s="525"/>
      <c r="AC24" s="525"/>
      <c r="AD24" s="525" t="s">
        <v>165</v>
      </c>
      <c r="AE24" s="525" t="s">
        <v>162</v>
      </c>
      <c r="AF24" s="525"/>
      <c r="AG24" s="525"/>
      <c r="AH24" s="525"/>
      <c r="AI24" s="525" t="s">
        <v>165</v>
      </c>
      <c r="AJ24" s="525" t="s">
        <v>162</v>
      </c>
      <c r="AK24" s="525"/>
      <c r="AL24" s="525"/>
      <c r="AM24" s="525"/>
      <c r="AN24" s="525" t="s">
        <v>165</v>
      </c>
      <c r="AO24" s="525" t="s">
        <v>162</v>
      </c>
      <c r="AP24" s="525"/>
      <c r="AQ24" s="525"/>
      <c r="AR24" s="525"/>
      <c r="AS24" s="525" t="s">
        <v>165</v>
      </c>
      <c r="AT24" s="525" t="s">
        <v>162</v>
      </c>
      <c r="AU24" s="525"/>
      <c r="AV24" s="525"/>
      <c r="AW24" s="525"/>
      <c r="AX24" s="525" t="s">
        <v>165</v>
      </c>
    </row>
    <row r="25" spans="2:50" ht="14.25" customHeight="1">
      <c r="B25" s="525"/>
      <c r="C25" s="525"/>
      <c r="D25" s="525"/>
      <c r="E25" s="525" t="s">
        <v>380</v>
      </c>
      <c r="F25" s="525"/>
      <c r="G25" s="525"/>
      <c r="H25" s="525"/>
      <c r="I25" s="544" t="s">
        <v>380</v>
      </c>
      <c r="J25" s="544"/>
      <c r="K25" s="544"/>
      <c r="L25" s="544"/>
      <c r="M25" s="544"/>
      <c r="N25" s="525"/>
      <c r="O25" s="525"/>
      <c r="P25" s="525" t="s">
        <v>381</v>
      </c>
      <c r="Q25" s="525"/>
      <c r="R25" s="525"/>
      <c r="S25" s="525"/>
      <c r="T25" s="525"/>
      <c r="U25" s="525" t="s">
        <v>381</v>
      </c>
      <c r="V25" s="525"/>
      <c r="W25" s="525"/>
      <c r="X25" s="525"/>
      <c r="Y25" s="525"/>
      <c r="Z25" s="525" t="s">
        <v>381</v>
      </c>
      <c r="AA25" s="525"/>
      <c r="AB25" s="525"/>
      <c r="AC25" s="525"/>
      <c r="AD25" s="525"/>
      <c r="AE25" s="525" t="s">
        <v>381</v>
      </c>
      <c r="AF25" s="525"/>
      <c r="AG25" s="525"/>
      <c r="AH25" s="525"/>
      <c r="AI25" s="525"/>
      <c r="AJ25" s="525" t="s">
        <v>381</v>
      </c>
      <c r="AK25" s="525"/>
      <c r="AL25" s="525"/>
      <c r="AM25" s="525"/>
      <c r="AN25" s="525"/>
      <c r="AO25" s="525" t="s">
        <v>381</v>
      </c>
      <c r="AP25" s="525"/>
      <c r="AQ25" s="525"/>
      <c r="AR25" s="525"/>
      <c r="AS25" s="525"/>
      <c r="AT25" s="525" t="s">
        <v>381</v>
      </c>
      <c r="AU25" s="525"/>
      <c r="AV25" s="525"/>
      <c r="AW25" s="525"/>
      <c r="AX25" s="525"/>
    </row>
    <row r="26" spans="2:50" ht="14.25" customHeight="1">
      <c r="B26" s="525"/>
      <c r="C26" s="525"/>
      <c r="D26" s="525"/>
      <c r="E26" s="182" t="s">
        <v>161</v>
      </c>
      <c r="F26" s="182" t="s">
        <v>382</v>
      </c>
      <c r="G26" s="182" t="s">
        <v>163</v>
      </c>
      <c r="H26" s="525"/>
      <c r="I26" s="183" t="s">
        <v>161</v>
      </c>
      <c r="J26" s="183" t="s">
        <v>382</v>
      </c>
      <c r="K26" s="183" t="s">
        <v>163</v>
      </c>
      <c r="L26" s="544"/>
      <c r="M26" s="544"/>
      <c r="N26" s="525"/>
      <c r="O26" s="525"/>
      <c r="P26" s="182" t="s">
        <v>161</v>
      </c>
      <c r="Q26" s="182" t="s">
        <v>382</v>
      </c>
      <c r="R26" s="182" t="s">
        <v>163</v>
      </c>
      <c r="S26" s="184" t="s">
        <v>167</v>
      </c>
      <c r="T26" s="525"/>
      <c r="U26" s="182" t="s">
        <v>161</v>
      </c>
      <c r="V26" s="182" t="s">
        <v>382</v>
      </c>
      <c r="W26" s="182" t="s">
        <v>163</v>
      </c>
      <c r="X26" s="184" t="s">
        <v>167</v>
      </c>
      <c r="Y26" s="525"/>
      <c r="Z26" s="182" t="s">
        <v>161</v>
      </c>
      <c r="AA26" s="182" t="s">
        <v>382</v>
      </c>
      <c r="AB26" s="182" t="s">
        <v>163</v>
      </c>
      <c r="AC26" s="184" t="s">
        <v>167</v>
      </c>
      <c r="AD26" s="525"/>
      <c r="AE26" s="182" t="s">
        <v>161</v>
      </c>
      <c r="AF26" s="182" t="s">
        <v>382</v>
      </c>
      <c r="AG26" s="182" t="s">
        <v>163</v>
      </c>
      <c r="AH26" s="184" t="s">
        <v>167</v>
      </c>
      <c r="AI26" s="525"/>
      <c r="AJ26" s="182" t="s">
        <v>161</v>
      </c>
      <c r="AK26" s="182" t="s">
        <v>382</v>
      </c>
      <c r="AL26" s="182" t="s">
        <v>163</v>
      </c>
      <c r="AM26" s="184" t="s">
        <v>167</v>
      </c>
      <c r="AN26" s="525"/>
      <c r="AO26" s="182" t="s">
        <v>161</v>
      </c>
      <c r="AP26" s="182" t="s">
        <v>382</v>
      </c>
      <c r="AQ26" s="182" t="s">
        <v>163</v>
      </c>
      <c r="AR26" s="184" t="s">
        <v>167</v>
      </c>
      <c r="AS26" s="525"/>
      <c r="AT26" s="182" t="s">
        <v>161</v>
      </c>
      <c r="AU26" s="182" t="s">
        <v>382</v>
      </c>
      <c r="AV26" s="182" t="s">
        <v>163</v>
      </c>
      <c r="AW26" s="184" t="s">
        <v>167</v>
      </c>
      <c r="AX26" s="525"/>
    </row>
    <row r="27" spans="2:50" ht="14.25" customHeight="1">
      <c r="B27" s="525" t="s">
        <v>144</v>
      </c>
      <c r="C27" s="182">
        <v>1</v>
      </c>
      <c r="D27" s="185" t="s">
        <v>365</v>
      </c>
      <c r="E27" s="182">
        <v>13</v>
      </c>
      <c r="F27" s="182">
        <v>1200</v>
      </c>
      <c r="G27" s="187">
        <f t="shared" ref="G27" si="19">F27/E27</f>
        <v>92.307692307692307</v>
      </c>
      <c r="H27" s="554">
        <f>AVERAGE(G27:G41)</f>
        <v>92.307692307692307</v>
      </c>
      <c r="I27" s="188">
        <f>AVERAGE(P27,U27,Z27,AE27,AJ27,AO27,AT27)</f>
        <v>13</v>
      </c>
      <c r="J27" s="188">
        <f>AVERAGE(Q27,V27,AA27,AF27,AK27,AP27,AU27)</f>
        <v>1079.6284586101483</v>
      </c>
      <c r="K27" s="189">
        <f>AVERAGE(R27,W27,AB27,AG27,AL27,AQ27,AV27)</f>
        <v>83.048342970011419</v>
      </c>
      <c r="L27" s="555">
        <f>IFERROR(AVERAGE(K27:K41),"-")</f>
        <v>83.048342970011419</v>
      </c>
      <c r="M27" s="188">
        <f>RANK(K27, K$27:$K$41)</f>
        <v>1</v>
      </c>
      <c r="N27" s="525"/>
      <c r="O27" s="525"/>
      <c r="P27" s="190">
        <v>13</v>
      </c>
      <c r="Q27" s="190">
        <v>1079.6318391000511</v>
      </c>
      <c r="R27" s="187">
        <f>IFERROR(Q27/P27,"")</f>
        <v>83.048603007696244</v>
      </c>
      <c r="S27" s="184">
        <f>RANK(R27, R$27:R$41)</f>
        <v>1</v>
      </c>
      <c r="T27" s="554">
        <f>AVERAGE(R27:R41)</f>
        <v>83.048603007696244</v>
      </c>
      <c r="U27" s="190">
        <v>13</v>
      </c>
      <c r="V27" s="190">
        <v>1079.6591447056967</v>
      </c>
      <c r="W27" s="187">
        <f t="shared" ref="W27" si="20">IFERROR(V27/U27,"")</f>
        <v>83.050703438899745</v>
      </c>
      <c r="X27" s="184">
        <f>RANK(W27, W$27:W$41)</f>
        <v>1</v>
      </c>
      <c r="Y27" s="554">
        <f>AVERAGE(W27:W41)</f>
        <v>83.050703438899745</v>
      </c>
      <c r="Z27" s="190">
        <v>13</v>
      </c>
      <c r="AA27" s="190">
        <v>1079.6377054679638</v>
      </c>
      <c r="AB27" s="187">
        <f t="shared" ref="AB27" si="21">IFERROR(AA27/Z27,"")</f>
        <v>83.049054266766447</v>
      </c>
      <c r="AC27" s="184">
        <f>RANK(AB27, AB$27:AB$41)</f>
        <v>1</v>
      </c>
      <c r="AD27" s="554">
        <f>AVERAGE(AB27:AB41)</f>
        <v>83.049054266766447</v>
      </c>
      <c r="AE27" s="190">
        <v>13</v>
      </c>
      <c r="AF27" s="190">
        <v>1079.6264268419231</v>
      </c>
      <c r="AG27" s="187">
        <f>IFERROR(AF27/AE27,"")</f>
        <v>83.048186680147936</v>
      </c>
      <c r="AH27" s="184">
        <f>RANK(AG27, AG$27:AG$41)</f>
        <v>1</v>
      </c>
      <c r="AI27" s="554">
        <f>AVERAGE(AG27:AG41)</f>
        <v>83.048186680147936</v>
      </c>
      <c r="AJ27" s="190">
        <v>13</v>
      </c>
      <c r="AK27" s="190">
        <v>1079.6367916596603</v>
      </c>
      <c r="AL27" s="187">
        <f t="shared" ref="AL27" si="22">IFERROR(AK27/AJ27,"")</f>
        <v>83.048983973820015</v>
      </c>
      <c r="AM27" s="184">
        <f>RANK(AL27, AL$27:AL$41)</f>
        <v>1</v>
      </c>
      <c r="AN27" s="554">
        <f>AVERAGE(AL27:AL41)</f>
        <v>83.048983973820015</v>
      </c>
      <c r="AO27" s="190">
        <v>13</v>
      </c>
      <c r="AP27" s="190">
        <v>1079.6283551273229</v>
      </c>
      <c r="AQ27" s="187">
        <f t="shared" ref="AQ27" si="23">IFERROR(AP27/AO27,"")</f>
        <v>83.048335009794073</v>
      </c>
      <c r="AR27" s="184">
        <f>RANK(AQ27, AQ$27:AQ$41)</f>
        <v>1</v>
      </c>
      <c r="AS27" s="554">
        <f>AVERAGE(AQ27:AQ41)</f>
        <v>83.048335009794073</v>
      </c>
      <c r="AT27" s="190">
        <v>13</v>
      </c>
      <c r="AU27" s="190">
        <v>1079.578947368421</v>
      </c>
      <c r="AV27" s="187">
        <f t="shared" ref="AV27" si="24">IFERROR(AU27/AT27,"")</f>
        <v>83.044534412955471</v>
      </c>
      <c r="AW27" s="184">
        <f>RANK(AV27, AV$27:AV$41)</f>
        <v>1</v>
      </c>
      <c r="AX27" s="554">
        <f>AVERAGE(AV27:AV41)</f>
        <v>83.044534412955471</v>
      </c>
    </row>
    <row r="28" spans="2:50" ht="14.25" customHeight="1">
      <c r="B28" s="525"/>
      <c r="C28" s="182">
        <v>2</v>
      </c>
      <c r="D28" s="185"/>
      <c r="E28" s="182"/>
      <c r="F28" s="182"/>
      <c r="G28" s="187"/>
      <c r="H28" s="554"/>
      <c r="I28" s="188"/>
      <c r="J28" s="188"/>
      <c r="K28" s="189"/>
      <c r="L28" s="555"/>
      <c r="M28" s="188"/>
      <c r="N28" s="525"/>
      <c r="O28" s="525"/>
      <c r="P28" s="190"/>
      <c r="Q28" s="190"/>
      <c r="R28" s="187"/>
      <c r="S28" s="184"/>
      <c r="T28" s="554"/>
      <c r="U28" s="190"/>
      <c r="V28" s="190"/>
      <c r="W28" s="187"/>
      <c r="X28" s="184"/>
      <c r="Y28" s="554"/>
      <c r="Z28" s="190"/>
      <c r="AA28" s="190"/>
      <c r="AB28" s="187"/>
      <c r="AC28" s="184"/>
      <c r="AD28" s="554"/>
      <c r="AE28" s="190"/>
      <c r="AF28" s="190"/>
      <c r="AG28" s="187"/>
      <c r="AH28" s="184"/>
      <c r="AI28" s="554"/>
      <c r="AJ28" s="190"/>
      <c r="AK28" s="190"/>
      <c r="AL28" s="187"/>
      <c r="AM28" s="184"/>
      <c r="AN28" s="554"/>
      <c r="AO28" s="190"/>
      <c r="AP28" s="190"/>
      <c r="AQ28" s="187"/>
      <c r="AR28" s="184"/>
      <c r="AS28" s="554"/>
      <c r="AT28" s="190"/>
      <c r="AU28" s="190"/>
      <c r="AV28" s="187"/>
      <c r="AW28" s="184"/>
      <c r="AX28" s="554"/>
    </row>
    <row r="29" spans="2:50" ht="14.25" customHeight="1">
      <c r="B29" s="525"/>
      <c r="C29" s="182">
        <v>3</v>
      </c>
      <c r="D29" s="185"/>
      <c r="E29" s="182"/>
      <c r="F29" s="182"/>
      <c r="G29" s="187"/>
      <c r="H29" s="554"/>
      <c r="I29" s="188"/>
      <c r="J29" s="188"/>
      <c r="K29" s="189"/>
      <c r="L29" s="555"/>
      <c r="M29" s="188"/>
      <c r="N29" s="525"/>
      <c r="O29" s="525"/>
      <c r="P29" s="190"/>
      <c r="Q29" s="190"/>
      <c r="R29" s="187"/>
      <c r="S29" s="184"/>
      <c r="T29" s="554"/>
      <c r="U29" s="190"/>
      <c r="V29" s="190"/>
      <c r="W29" s="187"/>
      <c r="X29" s="184"/>
      <c r="Y29" s="554"/>
      <c r="Z29" s="190"/>
      <c r="AA29" s="190"/>
      <c r="AB29" s="187"/>
      <c r="AC29" s="184"/>
      <c r="AD29" s="554"/>
      <c r="AE29" s="190"/>
      <c r="AF29" s="190"/>
      <c r="AG29" s="187"/>
      <c r="AH29" s="184"/>
      <c r="AI29" s="554"/>
      <c r="AJ29" s="190"/>
      <c r="AK29" s="190"/>
      <c r="AL29" s="187"/>
      <c r="AM29" s="184"/>
      <c r="AN29" s="554"/>
      <c r="AO29" s="190"/>
      <c r="AP29" s="190"/>
      <c r="AQ29" s="187"/>
      <c r="AR29" s="184"/>
      <c r="AS29" s="554"/>
      <c r="AT29" s="190"/>
      <c r="AU29" s="190"/>
      <c r="AV29" s="187"/>
      <c r="AW29" s="184"/>
      <c r="AX29" s="554"/>
    </row>
    <row r="30" spans="2:50" ht="14.25" customHeight="1">
      <c r="B30" s="525"/>
      <c r="C30" s="182">
        <v>4</v>
      </c>
      <c r="D30" s="185"/>
      <c r="E30" s="182"/>
      <c r="F30" s="182"/>
      <c r="G30" s="187"/>
      <c r="H30" s="554"/>
      <c r="I30" s="188"/>
      <c r="J30" s="188"/>
      <c r="K30" s="189"/>
      <c r="L30" s="555"/>
      <c r="M30" s="188"/>
      <c r="N30" s="525"/>
      <c r="O30" s="525"/>
      <c r="P30" s="190"/>
      <c r="Q30" s="190"/>
      <c r="R30" s="187"/>
      <c r="S30" s="184"/>
      <c r="T30" s="554"/>
      <c r="U30" s="190"/>
      <c r="V30" s="190"/>
      <c r="W30" s="187"/>
      <c r="X30" s="184"/>
      <c r="Y30" s="554"/>
      <c r="Z30" s="190"/>
      <c r="AA30" s="190"/>
      <c r="AB30" s="187"/>
      <c r="AC30" s="184"/>
      <c r="AD30" s="554"/>
      <c r="AE30" s="190"/>
      <c r="AF30" s="190"/>
      <c r="AG30" s="187"/>
      <c r="AH30" s="184"/>
      <c r="AI30" s="554"/>
      <c r="AJ30" s="190"/>
      <c r="AK30" s="190"/>
      <c r="AL30" s="187"/>
      <c r="AM30" s="184"/>
      <c r="AN30" s="554"/>
      <c r="AO30" s="190"/>
      <c r="AP30" s="190"/>
      <c r="AQ30" s="187"/>
      <c r="AR30" s="184"/>
      <c r="AS30" s="554"/>
      <c r="AT30" s="190"/>
      <c r="AU30" s="190"/>
      <c r="AV30" s="187"/>
      <c r="AW30" s="184"/>
      <c r="AX30" s="554"/>
    </row>
    <row r="31" spans="2:50" ht="14.25" customHeight="1">
      <c r="B31" s="525"/>
      <c r="C31" s="182">
        <v>5</v>
      </c>
      <c r="D31" s="185"/>
      <c r="E31" s="182"/>
      <c r="F31" s="182"/>
      <c r="G31" s="187"/>
      <c r="H31" s="554"/>
      <c r="I31" s="188"/>
      <c r="J31" s="188"/>
      <c r="K31" s="189"/>
      <c r="L31" s="555"/>
      <c r="M31" s="188"/>
      <c r="N31" s="525"/>
      <c r="O31" s="525"/>
      <c r="P31" s="190"/>
      <c r="Q31" s="190"/>
      <c r="R31" s="187"/>
      <c r="S31" s="184"/>
      <c r="T31" s="554"/>
      <c r="U31" s="190"/>
      <c r="V31" s="190"/>
      <c r="W31" s="187"/>
      <c r="X31" s="184"/>
      <c r="Y31" s="554"/>
      <c r="Z31" s="190"/>
      <c r="AA31" s="190"/>
      <c r="AB31" s="187"/>
      <c r="AC31" s="184"/>
      <c r="AD31" s="554"/>
      <c r="AE31" s="190"/>
      <c r="AF31" s="190"/>
      <c r="AG31" s="187"/>
      <c r="AH31" s="184"/>
      <c r="AI31" s="554"/>
      <c r="AJ31" s="190"/>
      <c r="AK31" s="190"/>
      <c r="AL31" s="187"/>
      <c r="AM31" s="184"/>
      <c r="AN31" s="554"/>
      <c r="AO31" s="190"/>
      <c r="AP31" s="190"/>
      <c r="AQ31" s="187"/>
      <c r="AR31" s="184"/>
      <c r="AS31" s="554"/>
      <c r="AT31" s="190"/>
      <c r="AU31" s="190"/>
      <c r="AV31" s="187"/>
      <c r="AW31" s="184"/>
      <c r="AX31" s="554"/>
    </row>
    <row r="32" spans="2:50" ht="14.25" customHeight="1">
      <c r="B32" s="525"/>
      <c r="C32" s="182">
        <v>6</v>
      </c>
      <c r="D32" s="185"/>
      <c r="E32" s="182"/>
      <c r="F32" s="182"/>
      <c r="G32" s="187"/>
      <c r="H32" s="554"/>
      <c r="I32" s="188"/>
      <c r="J32" s="188"/>
      <c r="K32" s="189"/>
      <c r="L32" s="555"/>
      <c r="M32" s="188"/>
      <c r="N32" s="525"/>
      <c r="O32" s="525"/>
      <c r="P32" s="190"/>
      <c r="Q32" s="190"/>
      <c r="R32" s="187"/>
      <c r="S32" s="184"/>
      <c r="T32" s="554"/>
      <c r="U32" s="190"/>
      <c r="V32" s="190"/>
      <c r="W32" s="187"/>
      <c r="X32" s="184"/>
      <c r="Y32" s="554"/>
      <c r="Z32" s="190"/>
      <c r="AA32" s="190"/>
      <c r="AB32" s="187"/>
      <c r="AC32" s="184"/>
      <c r="AD32" s="554"/>
      <c r="AE32" s="190"/>
      <c r="AF32" s="190"/>
      <c r="AG32" s="187"/>
      <c r="AH32" s="184"/>
      <c r="AI32" s="554"/>
      <c r="AJ32" s="190"/>
      <c r="AK32" s="190"/>
      <c r="AL32" s="187"/>
      <c r="AM32" s="184"/>
      <c r="AN32" s="554"/>
      <c r="AO32" s="190"/>
      <c r="AP32" s="190"/>
      <c r="AQ32" s="187"/>
      <c r="AR32" s="184"/>
      <c r="AS32" s="554"/>
      <c r="AT32" s="190"/>
      <c r="AU32" s="190"/>
      <c r="AV32" s="187"/>
      <c r="AW32" s="184"/>
      <c r="AX32" s="554"/>
    </row>
    <row r="33" spans="2:50" ht="14.25" customHeight="1">
      <c r="B33" s="525"/>
      <c r="C33" s="182">
        <v>7</v>
      </c>
      <c r="D33" s="185"/>
      <c r="E33" s="182"/>
      <c r="F33" s="182"/>
      <c r="G33" s="187"/>
      <c r="H33" s="554"/>
      <c r="I33" s="188"/>
      <c r="J33" s="188"/>
      <c r="K33" s="189"/>
      <c r="L33" s="555"/>
      <c r="M33" s="188"/>
      <c r="N33" s="525"/>
      <c r="O33" s="525"/>
      <c r="P33" s="190"/>
      <c r="Q33" s="190"/>
      <c r="R33" s="187"/>
      <c r="S33" s="184"/>
      <c r="T33" s="554"/>
      <c r="U33" s="190"/>
      <c r="V33" s="190"/>
      <c r="W33" s="187"/>
      <c r="X33" s="184"/>
      <c r="Y33" s="554"/>
      <c r="Z33" s="190"/>
      <c r="AA33" s="190"/>
      <c r="AB33" s="187"/>
      <c r="AC33" s="184"/>
      <c r="AD33" s="554"/>
      <c r="AE33" s="190"/>
      <c r="AF33" s="190"/>
      <c r="AG33" s="187"/>
      <c r="AH33" s="184"/>
      <c r="AI33" s="554"/>
      <c r="AJ33" s="190"/>
      <c r="AK33" s="190"/>
      <c r="AL33" s="187"/>
      <c r="AM33" s="184"/>
      <c r="AN33" s="554"/>
      <c r="AO33" s="190"/>
      <c r="AP33" s="190"/>
      <c r="AQ33" s="187"/>
      <c r="AR33" s="184"/>
      <c r="AS33" s="554"/>
      <c r="AT33" s="190"/>
      <c r="AU33" s="190"/>
      <c r="AV33" s="187"/>
      <c r="AW33" s="184"/>
      <c r="AX33" s="554"/>
    </row>
    <row r="34" spans="2:50" ht="14.25" customHeight="1">
      <c r="B34" s="525"/>
      <c r="C34" s="182">
        <v>8</v>
      </c>
      <c r="D34" s="185"/>
      <c r="E34" s="182"/>
      <c r="F34" s="182"/>
      <c r="G34" s="187"/>
      <c r="H34" s="554"/>
      <c r="I34" s="188"/>
      <c r="J34" s="188"/>
      <c r="K34" s="189"/>
      <c r="L34" s="555"/>
      <c r="M34" s="188"/>
      <c r="N34" s="525"/>
      <c r="O34" s="525"/>
      <c r="P34" s="190"/>
      <c r="Q34" s="190"/>
      <c r="R34" s="187"/>
      <c r="S34" s="184"/>
      <c r="T34" s="554"/>
      <c r="U34" s="190"/>
      <c r="V34" s="190"/>
      <c r="W34" s="187"/>
      <c r="X34" s="184"/>
      <c r="Y34" s="554"/>
      <c r="Z34" s="190"/>
      <c r="AA34" s="190"/>
      <c r="AB34" s="187"/>
      <c r="AC34" s="184"/>
      <c r="AD34" s="554"/>
      <c r="AE34" s="190"/>
      <c r="AF34" s="190"/>
      <c r="AG34" s="187"/>
      <c r="AH34" s="184"/>
      <c r="AI34" s="554"/>
      <c r="AJ34" s="190"/>
      <c r="AK34" s="190"/>
      <c r="AL34" s="187"/>
      <c r="AM34" s="184"/>
      <c r="AN34" s="554"/>
      <c r="AO34" s="190"/>
      <c r="AP34" s="190"/>
      <c r="AQ34" s="187"/>
      <c r="AR34" s="184"/>
      <c r="AS34" s="554"/>
      <c r="AT34" s="190"/>
      <c r="AU34" s="190"/>
      <c r="AV34" s="187"/>
      <c r="AW34" s="184"/>
      <c r="AX34" s="554"/>
    </row>
    <row r="35" spans="2:50" ht="14.25" customHeight="1">
      <c r="B35" s="525"/>
      <c r="C35" s="182">
        <v>9</v>
      </c>
      <c r="D35" s="185"/>
      <c r="E35" s="182"/>
      <c r="F35" s="182"/>
      <c r="G35" s="187"/>
      <c r="H35" s="554"/>
      <c r="I35" s="188"/>
      <c r="J35" s="188"/>
      <c r="K35" s="189"/>
      <c r="L35" s="555"/>
      <c r="M35" s="188"/>
      <c r="N35" s="525"/>
      <c r="O35" s="525"/>
      <c r="P35" s="190"/>
      <c r="Q35" s="190"/>
      <c r="R35" s="187"/>
      <c r="S35" s="184"/>
      <c r="T35" s="554"/>
      <c r="U35" s="190"/>
      <c r="V35" s="190"/>
      <c r="W35" s="187"/>
      <c r="X35" s="184"/>
      <c r="Y35" s="554"/>
      <c r="Z35" s="190"/>
      <c r="AA35" s="190"/>
      <c r="AB35" s="187"/>
      <c r="AC35" s="184"/>
      <c r="AD35" s="554"/>
      <c r="AE35" s="190"/>
      <c r="AF35" s="190"/>
      <c r="AG35" s="187"/>
      <c r="AH35" s="184"/>
      <c r="AI35" s="554"/>
      <c r="AJ35" s="190"/>
      <c r="AK35" s="190"/>
      <c r="AL35" s="187"/>
      <c r="AM35" s="184"/>
      <c r="AN35" s="554"/>
      <c r="AO35" s="190"/>
      <c r="AP35" s="190"/>
      <c r="AQ35" s="187"/>
      <c r="AR35" s="184"/>
      <c r="AS35" s="554"/>
      <c r="AT35" s="190"/>
      <c r="AU35" s="190"/>
      <c r="AV35" s="187"/>
      <c r="AW35" s="184"/>
      <c r="AX35" s="554"/>
    </row>
    <row r="36" spans="2:50" ht="14.25" customHeight="1">
      <c r="B36" s="525"/>
      <c r="C36" s="182">
        <v>10</v>
      </c>
      <c r="D36" s="185"/>
      <c r="E36" s="182"/>
      <c r="F36" s="182"/>
      <c r="G36" s="187"/>
      <c r="H36" s="554"/>
      <c r="I36" s="188"/>
      <c r="J36" s="188"/>
      <c r="K36" s="189"/>
      <c r="L36" s="555"/>
      <c r="M36" s="188"/>
      <c r="N36" s="525"/>
      <c r="O36" s="525"/>
      <c r="P36" s="190"/>
      <c r="Q36" s="190"/>
      <c r="R36" s="187"/>
      <c r="S36" s="184"/>
      <c r="T36" s="554"/>
      <c r="U36" s="190"/>
      <c r="V36" s="190"/>
      <c r="W36" s="187"/>
      <c r="X36" s="184"/>
      <c r="Y36" s="554"/>
      <c r="Z36" s="190"/>
      <c r="AA36" s="190"/>
      <c r="AB36" s="187"/>
      <c r="AC36" s="184"/>
      <c r="AD36" s="554"/>
      <c r="AE36" s="190"/>
      <c r="AF36" s="190"/>
      <c r="AG36" s="187"/>
      <c r="AH36" s="184"/>
      <c r="AI36" s="554"/>
      <c r="AJ36" s="190"/>
      <c r="AK36" s="190"/>
      <c r="AL36" s="187"/>
      <c r="AM36" s="184"/>
      <c r="AN36" s="554"/>
      <c r="AO36" s="190"/>
      <c r="AP36" s="190"/>
      <c r="AQ36" s="187"/>
      <c r="AR36" s="184"/>
      <c r="AS36" s="554"/>
      <c r="AT36" s="190"/>
      <c r="AU36" s="190"/>
      <c r="AV36" s="187"/>
      <c r="AW36" s="184"/>
      <c r="AX36" s="554"/>
    </row>
    <row r="37" spans="2:50" ht="14.25" customHeight="1">
      <c r="B37" s="525"/>
      <c r="C37" s="182">
        <v>11</v>
      </c>
      <c r="D37" s="185"/>
      <c r="E37" s="182"/>
      <c r="F37" s="182"/>
      <c r="G37" s="187"/>
      <c r="H37" s="554"/>
      <c r="I37" s="188"/>
      <c r="J37" s="188"/>
      <c r="K37" s="189"/>
      <c r="L37" s="555"/>
      <c r="M37" s="188"/>
      <c r="N37" s="525"/>
      <c r="O37" s="525"/>
      <c r="P37" s="190"/>
      <c r="Q37" s="190"/>
      <c r="R37" s="187"/>
      <c r="S37" s="184"/>
      <c r="T37" s="554"/>
      <c r="U37" s="190"/>
      <c r="V37" s="190"/>
      <c r="W37" s="187"/>
      <c r="X37" s="184"/>
      <c r="Y37" s="554"/>
      <c r="Z37" s="190"/>
      <c r="AA37" s="190"/>
      <c r="AB37" s="187"/>
      <c r="AC37" s="184"/>
      <c r="AD37" s="554"/>
      <c r="AE37" s="190"/>
      <c r="AF37" s="190"/>
      <c r="AG37" s="187"/>
      <c r="AH37" s="184"/>
      <c r="AI37" s="554"/>
      <c r="AJ37" s="190"/>
      <c r="AK37" s="190"/>
      <c r="AL37" s="187"/>
      <c r="AM37" s="184"/>
      <c r="AN37" s="554"/>
      <c r="AO37" s="190"/>
      <c r="AP37" s="190"/>
      <c r="AQ37" s="187"/>
      <c r="AR37" s="184"/>
      <c r="AS37" s="554"/>
      <c r="AT37" s="190"/>
      <c r="AU37" s="190"/>
      <c r="AV37" s="187"/>
      <c r="AW37" s="184"/>
      <c r="AX37" s="554"/>
    </row>
    <row r="38" spans="2:50" ht="14.25" customHeight="1">
      <c r="B38" s="525"/>
      <c r="C38" s="182">
        <v>12</v>
      </c>
      <c r="D38" s="185"/>
      <c r="E38" s="182"/>
      <c r="F38" s="182"/>
      <c r="G38" s="187"/>
      <c r="H38" s="554"/>
      <c r="I38" s="188"/>
      <c r="J38" s="188"/>
      <c r="K38" s="189"/>
      <c r="L38" s="555"/>
      <c r="M38" s="188"/>
      <c r="N38" s="525"/>
      <c r="O38" s="525"/>
      <c r="P38" s="190"/>
      <c r="Q38" s="190"/>
      <c r="R38" s="187"/>
      <c r="S38" s="184"/>
      <c r="T38" s="554"/>
      <c r="U38" s="190"/>
      <c r="V38" s="190"/>
      <c r="W38" s="187"/>
      <c r="X38" s="184"/>
      <c r="Y38" s="554"/>
      <c r="Z38" s="190"/>
      <c r="AA38" s="190"/>
      <c r="AB38" s="187"/>
      <c r="AC38" s="184"/>
      <c r="AD38" s="554"/>
      <c r="AE38" s="190"/>
      <c r="AF38" s="190"/>
      <c r="AG38" s="187"/>
      <c r="AH38" s="184"/>
      <c r="AI38" s="554"/>
      <c r="AJ38" s="190"/>
      <c r="AK38" s="190"/>
      <c r="AL38" s="187"/>
      <c r="AM38" s="184"/>
      <c r="AN38" s="554"/>
      <c r="AO38" s="190"/>
      <c r="AP38" s="190"/>
      <c r="AQ38" s="187"/>
      <c r="AR38" s="184"/>
      <c r="AS38" s="554"/>
      <c r="AT38" s="190"/>
      <c r="AU38" s="190"/>
      <c r="AV38" s="187"/>
      <c r="AW38" s="184"/>
      <c r="AX38" s="554"/>
    </row>
    <row r="39" spans="2:50" ht="14.25" customHeight="1">
      <c r="B39" s="525"/>
      <c r="C39" s="182">
        <v>13</v>
      </c>
      <c r="D39" s="185"/>
      <c r="E39" s="182"/>
      <c r="F39" s="182"/>
      <c r="G39" s="187"/>
      <c r="H39" s="554"/>
      <c r="I39" s="188"/>
      <c r="J39" s="188"/>
      <c r="K39" s="189"/>
      <c r="L39" s="555"/>
      <c r="M39" s="188"/>
      <c r="N39" s="525"/>
      <c r="O39" s="525"/>
      <c r="P39" s="190"/>
      <c r="Q39" s="190"/>
      <c r="R39" s="187"/>
      <c r="S39" s="184"/>
      <c r="T39" s="554"/>
      <c r="U39" s="190"/>
      <c r="V39" s="190"/>
      <c r="W39" s="187"/>
      <c r="X39" s="184"/>
      <c r="Y39" s="554"/>
      <c r="Z39" s="190"/>
      <c r="AA39" s="190"/>
      <c r="AB39" s="187"/>
      <c r="AC39" s="184"/>
      <c r="AD39" s="554"/>
      <c r="AE39" s="190"/>
      <c r="AF39" s="190"/>
      <c r="AG39" s="187"/>
      <c r="AH39" s="184"/>
      <c r="AI39" s="554"/>
      <c r="AJ39" s="190"/>
      <c r="AK39" s="190"/>
      <c r="AL39" s="187"/>
      <c r="AM39" s="184"/>
      <c r="AN39" s="554"/>
      <c r="AO39" s="190"/>
      <c r="AP39" s="190"/>
      <c r="AQ39" s="187"/>
      <c r="AR39" s="184"/>
      <c r="AS39" s="554"/>
      <c r="AT39" s="190"/>
      <c r="AU39" s="190"/>
      <c r="AV39" s="187"/>
      <c r="AW39" s="184"/>
      <c r="AX39" s="554"/>
    </row>
    <row r="40" spans="2:50" ht="14.25" customHeight="1">
      <c r="B40" s="525"/>
      <c r="C40" s="182">
        <v>14</v>
      </c>
      <c r="D40" s="185"/>
      <c r="E40" s="182"/>
      <c r="F40" s="182"/>
      <c r="G40" s="187"/>
      <c r="H40" s="554"/>
      <c r="I40" s="188"/>
      <c r="J40" s="188"/>
      <c r="K40" s="189"/>
      <c r="L40" s="555"/>
      <c r="M40" s="188"/>
      <c r="N40" s="525"/>
      <c r="O40" s="525"/>
      <c r="P40" s="190"/>
      <c r="Q40" s="190"/>
      <c r="R40" s="187"/>
      <c r="S40" s="184"/>
      <c r="T40" s="554"/>
      <c r="U40" s="190"/>
      <c r="V40" s="190"/>
      <c r="W40" s="187"/>
      <c r="X40" s="184"/>
      <c r="Y40" s="554"/>
      <c r="Z40" s="190"/>
      <c r="AA40" s="190"/>
      <c r="AB40" s="187"/>
      <c r="AC40" s="184"/>
      <c r="AD40" s="554"/>
      <c r="AE40" s="190"/>
      <c r="AF40" s="190"/>
      <c r="AG40" s="187"/>
      <c r="AH40" s="184"/>
      <c r="AI40" s="554"/>
      <c r="AJ40" s="190"/>
      <c r="AK40" s="190"/>
      <c r="AL40" s="187"/>
      <c r="AM40" s="184"/>
      <c r="AN40" s="554"/>
      <c r="AO40" s="190"/>
      <c r="AP40" s="190"/>
      <c r="AQ40" s="187"/>
      <c r="AR40" s="184"/>
      <c r="AS40" s="554"/>
      <c r="AT40" s="190"/>
      <c r="AU40" s="190"/>
      <c r="AV40" s="187"/>
      <c r="AW40" s="184"/>
      <c r="AX40" s="554"/>
    </row>
    <row r="41" spans="2:50" ht="14.25" customHeight="1">
      <c r="B41" s="525"/>
      <c r="C41" s="182">
        <v>15</v>
      </c>
      <c r="D41" s="185"/>
      <c r="E41" s="182"/>
      <c r="F41" s="182"/>
      <c r="G41" s="187"/>
      <c r="H41" s="554"/>
      <c r="I41" s="188"/>
      <c r="J41" s="188"/>
      <c r="K41" s="189"/>
      <c r="L41" s="555"/>
      <c r="M41" s="188"/>
      <c r="N41" s="525"/>
      <c r="O41" s="525"/>
      <c r="P41" s="190"/>
      <c r="Q41" s="190"/>
      <c r="R41" s="187"/>
      <c r="S41" s="184"/>
      <c r="T41" s="554"/>
      <c r="U41" s="190"/>
      <c r="V41" s="190"/>
      <c r="W41" s="187"/>
      <c r="X41" s="184"/>
      <c r="Y41" s="554"/>
      <c r="Z41" s="190"/>
      <c r="AA41" s="190"/>
      <c r="AB41" s="187"/>
      <c r="AC41" s="184"/>
      <c r="AD41" s="554"/>
      <c r="AE41" s="190"/>
      <c r="AF41" s="190"/>
      <c r="AG41" s="187"/>
      <c r="AH41" s="184"/>
      <c r="AI41" s="554"/>
      <c r="AJ41" s="190"/>
      <c r="AK41" s="190"/>
      <c r="AL41" s="187"/>
      <c r="AM41" s="184"/>
      <c r="AN41" s="554"/>
      <c r="AO41" s="190"/>
      <c r="AP41" s="190"/>
      <c r="AQ41" s="187"/>
      <c r="AR41" s="184"/>
      <c r="AS41" s="554"/>
      <c r="AT41" s="190"/>
      <c r="AU41" s="190"/>
      <c r="AV41" s="187"/>
      <c r="AW41" s="184"/>
      <c r="AX41" s="554"/>
    </row>
    <row r="42" spans="2:50" ht="14.25" customHeight="1" collapsed="1">
      <c r="B42" s="552" t="s">
        <v>646</v>
      </c>
      <c r="C42" s="535"/>
      <c r="D42" s="535"/>
      <c r="E42" s="535"/>
      <c r="F42" s="535"/>
      <c r="G42" s="535"/>
      <c r="H42" s="535"/>
      <c r="I42" s="535"/>
      <c r="J42" s="535"/>
      <c r="K42" s="535"/>
      <c r="L42" s="535"/>
      <c r="M42" s="536"/>
      <c r="N42" s="564" t="s">
        <v>378</v>
      </c>
      <c r="O42" s="564" t="s">
        <v>105</v>
      </c>
      <c r="P42" s="566">
        <f>AT22+1</f>
        <v>46091</v>
      </c>
      <c r="Q42" s="567"/>
      <c r="R42" s="567"/>
      <c r="S42" s="567"/>
      <c r="T42" s="567"/>
      <c r="U42" s="568">
        <f>P42+1</f>
        <v>46092</v>
      </c>
      <c r="V42" s="569"/>
      <c r="W42" s="569"/>
      <c r="X42" s="569"/>
      <c r="Y42" s="569"/>
      <c r="Z42" s="566">
        <f t="shared" ref="Z42" si="25">U42+1</f>
        <v>46093</v>
      </c>
      <c r="AA42" s="567"/>
      <c r="AB42" s="567"/>
      <c r="AC42" s="567"/>
      <c r="AD42" s="567"/>
      <c r="AE42" s="568">
        <f t="shared" ref="AE42" si="26">Z42+1</f>
        <v>46094</v>
      </c>
      <c r="AF42" s="569"/>
      <c r="AG42" s="569"/>
      <c r="AH42" s="569"/>
      <c r="AI42" s="569"/>
      <c r="AJ42" s="556">
        <f t="shared" ref="AJ42" si="27">AE42+1</f>
        <v>46095</v>
      </c>
      <c r="AK42" s="557"/>
      <c r="AL42" s="557"/>
      <c r="AM42" s="557"/>
      <c r="AN42" s="558"/>
      <c r="AO42" s="568">
        <f t="shared" ref="AO42" si="28">AJ42+1</f>
        <v>46096</v>
      </c>
      <c r="AP42" s="569"/>
      <c r="AQ42" s="569"/>
      <c r="AR42" s="569"/>
      <c r="AS42" s="569"/>
      <c r="AT42" s="556">
        <f t="shared" ref="AT42" si="29">AO42+1</f>
        <v>46097</v>
      </c>
      <c r="AU42" s="557"/>
      <c r="AV42" s="557"/>
      <c r="AW42" s="557"/>
      <c r="AX42" s="558"/>
    </row>
    <row r="43" spans="2:50" ht="14.25" customHeight="1">
      <c r="B43" s="537"/>
      <c r="C43" s="537"/>
      <c r="D43" s="537"/>
      <c r="E43" s="537"/>
      <c r="F43" s="537"/>
      <c r="G43" s="537"/>
      <c r="H43" s="537"/>
      <c r="I43" s="537"/>
      <c r="J43" s="537"/>
      <c r="K43" s="537"/>
      <c r="L43" s="537"/>
      <c r="M43" s="538"/>
      <c r="N43" s="565"/>
      <c r="O43" s="565"/>
      <c r="P43" s="559">
        <f>P42</f>
        <v>46091</v>
      </c>
      <c r="Q43" s="559"/>
      <c r="R43" s="559"/>
      <c r="S43" s="559"/>
      <c r="T43" s="559"/>
      <c r="U43" s="560">
        <f>U42</f>
        <v>46092</v>
      </c>
      <c r="V43" s="560"/>
      <c r="W43" s="560"/>
      <c r="X43" s="560"/>
      <c r="Y43" s="560"/>
      <c r="Z43" s="559">
        <f t="shared" ref="Z43" si="30">Z42</f>
        <v>46093</v>
      </c>
      <c r="AA43" s="559"/>
      <c r="AB43" s="559"/>
      <c r="AC43" s="559"/>
      <c r="AD43" s="559"/>
      <c r="AE43" s="560">
        <f t="shared" ref="AE43" si="31">AE42</f>
        <v>46094</v>
      </c>
      <c r="AF43" s="560"/>
      <c r="AG43" s="560"/>
      <c r="AH43" s="560"/>
      <c r="AI43" s="560"/>
      <c r="AJ43" s="561">
        <f t="shared" ref="AJ43" si="32">AJ42</f>
        <v>46095</v>
      </c>
      <c r="AK43" s="562"/>
      <c r="AL43" s="562"/>
      <c r="AM43" s="562"/>
      <c r="AN43" s="563"/>
      <c r="AO43" s="560">
        <f t="shared" ref="AO43" si="33">AO42</f>
        <v>46096</v>
      </c>
      <c r="AP43" s="560"/>
      <c r="AQ43" s="560"/>
      <c r="AR43" s="560"/>
      <c r="AS43" s="560"/>
      <c r="AT43" s="561">
        <f t="shared" ref="AT43" si="34">AT42</f>
        <v>46097</v>
      </c>
      <c r="AU43" s="562"/>
      <c r="AV43" s="562"/>
      <c r="AW43" s="562"/>
      <c r="AX43" s="563"/>
    </row>
    <row r="44" spans="2:50" ht="14.25" customHeight="1">
      <c r="B44" s="525" t="s">
        <v>164</v>
      </c>
      <c r="C44" s="525" t="s">
        <v>159</v>
      </c>
      <c r="D44" s="525"/>
      <c r="E44" s="525" t="s">
        <v>160</v>
      </c>
      <c r="F44" s="525"/>
      <c r="G44" s="525"/>
      <c r="H44" s="525" t="s">
        <v>165</v>
      </c>
      <c r="I44" s="544" t="s">
        <v>379</v>
      </c>
      <c r="J44" s="544"/>
      <c r="K44" s="544"/>
      <c r="L44" s="544" t="s">
        <v>165</v>
      </c>
      <c r="M44" s="544" t="s">
        <v>167</v>
      </c>
      <c r="N44" s="525"/>
      <c r="O44" s="525" t="s">
        <v>166</v>
      </c>
      <c r="P44" s="525" t="s">
        <v>162</v>
      </c>
      <c r="Q44" s="525"/>
      <c r="R44" s="525"/>
      <c r="S44" s="525"/>
      <c r="T44" s="525" t="s">
        <v>165</v>
      </c>
      <c r="U44" s="525" t="s">
        <v>162</v>
      </c>
      <c r="V44" s="525"/>
      <c r="W44" s="525"/>
      <c r="X44" s="525"/>
      <c r="Y44" s="525" t="s">
        <v>165</v>
      </c>
      <c r="Z44" s="525" t="s">
        <v>162</v>
      </c>
      <c r="AA44" s="525"/>
      <c r="AB44" s="525"/>
      <c r="AC44" s="525"/>
      <c r="AD44" s="525" t="s">
        <v>165</v>
      </c>
      <c r="AE44" s="525" t="s">
        <v>162</v>
      </c>
      <c r="AF44" s="525"/>
      <c r="AG44" s="525"/>
      <c r="AH44" s="525"/>
      <c r="AI44" s="525" t="s">
        <v>165</v>
      </c>
      <c r="AJ44" s="525" t="s">
        <v>162</v>
      </c>
      <c r="AK44" s="525"/>
      <c r="AL44" s="525"/>
      <c r="AM44" s="525"/>
      <c r="AN44" s="525" t="s">
        <v>165</v>
      </c>
      <c r="AO44" s="525" t="s">
        <v>162</v>
      </c>
      <c r="AP44" s="525"/>
      <c r="AQ44" s="525"/>
      <c r="AR44" s="525"/>
      <c r="AS44" s="525" t="s">
        <v>165</v>
      </c>
      <c r="AT44" s="525" t="s">
        <v>162</v>
      </c>
      <c r="AU44" s="525"/>
      <c r="AV44" s="525"/>
      <c r="AW44" s="525"/>
      <c r="AX44" s="525" t="s">
        <v>165</v>
      </c>
    </row>
    <row r="45" spans="2:50" ht="14.25" customHeight="1">
      <c r="B45" s="525"/>
      <c r="C45" s="525"/>
      <c r="D45" s="525"/>
      <c r="E45" s="525" t="s">
        <v>380</v>
      </c>
      <c r="F45" s="525"/>
      <c r="G45" s="525"/>
      <c r="H45" s="525"/>
      <c r="I45" s="544" t="s">
        <v>380</v>
      </c>
      <c r="J45" s="544"/>
      <c r="K45" s="544"/>
      <c r="L45" s="544"/>
      <c r="M45" s="544"/>
      <c r="N45" s="525"/>
      <c r="O45" s="525"/>
      <c r="P45" s="525" t="s">
        <v>381</v>
      </c>
      <c r="Q45" s="525"/>
      <c r="R45" s="525"/>
      <c r="S45" s="525"/>
      <c r="T45" s="525"/>
      <c r="U45" s="525" t="s">
        <v>381</v>
      </c>
      <c r="V45" s="525"/>
      <c r="W45" s="525"/>
      <c r="X45" s="525"/>
      <c r="Y45" s="525"/>
      <c r="Z45" s="525" t="s">
        <v>381</v>
      </c>
      <c r="AA45" s="525"/>
      <c r="AB45" s="525"/>
      <c r="AC45" s="525"/>
      <c r="AD45" s="525"/>
      <c r="AE45" s="525" t="s">
        <v>381</v>
      </c>
      <c r="AF45" s="525"/>
      <c r="AG45" s="525"/>
      <c r="AH45" s="525"/>
      <c r="AI45" s="525"/>
      <c r="AJ45" s="525" t="s">
        <v>381</v>
      </c>
      <c r="AK45" s="525"/>
      <c r="AL45" s="525"/>
      <c r="AM45" s="525"/>
      <c r="AN45" s="525"/>
      <c r="AO45" s="525" t="s">
        <v>381</v>
      </c>
      <c r="AP45" s="525"/>
      <c r="AQ45" s="525"/>
      <c r="AR45" s="525"/>
      <c r="AS45" s="525"/>
      <c r="AT45" s="525" t="s">
        <v>381</v>
      </c>
      <c r="AU45" s="525"/>
      <c r="AV45" s="525"/>
      <c r="AW45" s="525"/>
      <c r="AX45" s="525"/>
    </row>
    <row r="46" spans="2:50" ht="14.25" customHeight="1">
      <c r="B46" s="525"/>
      <c r="C46" s="525"/>
      <c r="D46" s="525"/>
      <c r="E46" s="182" t="s">
        <v>161</v>
      </c>
      <c r="F46" s="182" t="s">
        <v>382</v>
      </c>
      <c r="G46" s="182" t="s">
        <v>163</v>
      </c>
      <c r="H46" s="525"/>
      <c r="I46" s="183" t="s">
        <v>161</v>
      </c>
      <c r="J46" s="183" t="s">
        <v>382</v>
      </c>
      <c r="K46" s="183" t="s">
        <v>163</v>
      </c>
      <c r="L46" s="544"/>
      <c r="M46" s="544"/>
      <c r="N46" s="525"/>
      <c r="O46" s="525"/>
      <c r="P46" s="182" t="s">
        <v>161</v>
      </c>
      <c r="Q46" s="182" t="s">
        <v>382</v>
      </c>
      <c r="R46" s="182" t="s">
        <v>163</v>
      </c>
      <c r="S46" s="184" t="s">
        <v>167</v>
      </c>
      <c r="T46" s="525"/>
      <c r="U46" s="182" t="s">
        <v>161</v>
      </c>
      <c r="V46" s="182" t="s">
        <v>382</v>
      </c>
      <c r="W46" s="182" t="s">
        <v>163</v>
      </c>
      <c r="X46" s="184" t="s">
        <v>167</v>
      </c>
      <c r="Y46" s="525"/>
      <c r="Z46" s="182" t="s">
        <v>161</v>
      </c>
      <c r="AA46" s="182" t="s">
        <v>382</v>
      </c>
      <c r="AB46" s="182" t="s">
        <v>163</v>
      </c>
      <c r="AC46" s="184" t="s">
        <v>167</v>
      </c>
      <c r="AD46" s="525"/>
      <c r="AE46" s="182" t="s">
        <v>161</v>
      </c>
      <c r="AF46" s="182" t="s">
        <v>382</v>
      </c>
      <c r="AG46" s="182" t="s">
        <v>163</v>
      </c>
      <c r="AH46" s="184" t="s">
        <v>167</v>
      </c>
      <c r="AI46" s="525"/>
      <c r="AJ46" s="182" t="s">
        <v>161</v>
      </c>
      <c r="AK46" s="182" t="s">
        <v>382</v>
      </c>
      <c r="AL46" s="182" t="s">
        <v>163</v>
      </c>
      <c r="AM46" s="184" t="s">
        <v>167</v>
      </c>
      <c r="AN46" s="525"/>
      <c r="AO46" s="182" t="s">
        <v>161</v>
      </c>
      <c r="AP46" s="182" t="s">
        <v>382</v>
      </c>
      <c r="AQ46" s="182" t="s">
        <v>163</v>
      </c>
      <c r="AR46" s="184" t="s">
        <v>167</v>
      </c>
      <c r="AS46" s="525"/>
      <c r="AT46" s="182" t="s">
        <v>161</v>
      </c>
      <c r="AU46" s="182" t="s">
        <v>382</v>
      </c>
      <c r="AV46" s="182" t="s">
        <v>163</v>
      </c>
      <c r="AW46" s="184" t="s">
        <v>167</v>
      </c>
      <c r="AX46" s="525"/>
    </row>
    <row r="47" spans="2:50" ht="14.25" customHeight="1">
      <c r="B47" s="525" t="s">
        <v>144</v>
      </c>
      <c r="C47" s="182">
        <v>1</v>
      </c>
      <c r="D47" s="185"/>
      <c r="E47" s="182"/>
      <c r="F47" s="182"/>
      <c r="G47" s="187"/>
      <c r="H47" s="554"/>
      <c r="I47" s="188"/>
      <c r="J47" s="188"/>
      <c r="K47" s="189"/>
      <c r="L47" s="555" t="str">
        <f>IFERROR(AVERAGE(K47:K61),"-")</f>
        <v>-</v>
      </c>
      <c r="M47" s="188" t="e">
        <f>RANK(K47, K$47:$K$61)</f>
        <v>#N/A</v>
      </c>
      <c r="N47" s="525"/>
      <c r="O47" s="525"/>
      <c r="P47" s="190"/>
      <c r="Q47" s="190"/>
      <c r="R47" s="187"/>
      <c r="S47" s="184"/>
      <c r="T47" s="554"/>
      <c r="U47" s="190"/>
      <c r="V47" s="190"/>
      <c r="W47" s="187"/>
      <c r="X47" s="184"/>
      <c r="Y47" s="554"/>
      <c r="Z47" s="190"/>
      <c r="AA47" s="190"/>
      <c r="AB47" s="187"/>
      <c r="AC47" s="184"/>
      <c r="AD47" s="554"/>
      <c r="AE47" s="190"/>
      <c r="AF47" s="190"/>
      <c r="AG47" s="187"/>
      <c r="AH47" s="184"/>
      <c r="AI47" s="554"/>
      <c r="AJ47" s="190"/>
      <c r="AK47" s="190"/>
      <c r="AL47" s="187"/>
      <c r="AM47" s="184"/>
      <c r="AN47" s="554"/>
      <c r="AO47" s="190"/>
      <c r="AP47" s="190"/>
      <c r="AQ47" s="187"/>
      <c r="AR47" s="184"/>
      <c r="AS47" s="554"/>
      <c r="AT47" s="190"/>
      <c r="AU47" s="190"/>
      <c r="AV47" s="187"/>
      <c r="AW47" s="184"/>
      <c r="AX47" s="554"/>
    </row>
    <row r="48" spans="2:50" ht="14.25" customHeight="1">
      <c r="B48" s="525"/>
      <c r="C48" s="182">
        <v>2</v>
      </c>
      <c r="D48" s="185"/>
      <c r="E48" s="182"/>
      <c r="F48" s="182"/>
      <c r="G48" s="187"/>
      <c r="H48" s="554"/>
      <c r="I48" s="188"/>
      <c r="J48" s="188"/>
      <c r="K48" s="189"/>
      <c r="L48" s="555"/>
      <c r="M48" s="188"/>
      <c r="N48" s="525"/>
      <c r="O48" s="525"/>
      <c r="P48" s="190"/>
      <c r="Q48" s="190"/>
      <c r="R48" s="187"/>
      <c r="S48" s="184"/>
      <c r="T48" s="554"/>
      <c r="U48" s="190"/>
      <c r="V48" s="190"/>
      <c r="W48" s="187"/>
      <c r="X48" s="184"/>
      <c r="Y48" s="554"/>
      <c r="Z48" s="190"/>
      <c r="AA48" s="190"/>
      <c r="AB48" s="187"/>
      <c r="AC48" s="184"/>
      <c r="AD48" s="554"/>
      <c r="AE48" s="190"/>
      <c r="AF48" s="190"/>
      <c r="AG48" s="187"/>
      <c r="AH48" s="184"/>
      <c r="AI48" s="554"/>
      <c r="AJ48" s="190"/>
      <c r="AK48" s="190"/>
      <c r="AL48" s="187"/>
      <c r="AM48" s="184"/>
      <c r="AN48" s="554"/>
      <c r="AO48" s="190"/>
      <c r="AP48" s="190"/>
      <c r="AQ48" s="187"/>
      <c r="AR48" s="184"/>
      <c r="AS48" s="554"/>
      <c r="AT48" s="190"/>
      <c r="AU48" s="190"/>
      <c r="AV48" s="187"/>
      <c r="AW48" s="184"/>
      <c r="AX48" s="554"/>
    </row>
    <row r="49" spans="2:50" ht="14.25" customHeight="1">
      <c r="B49" s="525"/>
      <c r="C49" s="182">
        <v>3</v>
      </c>
      <c r="D49" s="185"/>
      <c r="E49" s="182"/>
      <c r="F49" s="182"/>
      <c r="G49" s="187"/>
      <c r="H49" s="554"/>
      <c r="I49" s="188"/>
      <c r="J49" s="188"/>
      <c r="K49" s="189"/>
      <c r="L49" s="555"/>
      <c r="M49" s="188"/>
      <c r="N49" s="525"/>
      <c r="O49" s="525"/>
      <c r="P49" s="190"/>
      <c r="Q49" s="190"/>
      <c r="R49" s="187"/>
      <c r="S49" s="184"/>
      <c r="T49" s="554"/>
      <c r="U49" s="190"/>
      <c r="V49" s="190"/>
      <c r="W49" s="187"/>
      <c r="X49" s="184"/>
      <c r="Y49" s="554"/>
      <c r="Z49" s="190"/>
      <c r="AA49" s="190"/>
      <c r="AB49" s="187"/>
      <c r="AC49" s="184"/>
      <c r="AD49" s="554"/>
      <c r="AE49" s="190"/>
      <c r="AF49" s="190"/>
      <c r="AG49" s="187"/>
      <c r="AH49" s="184"/>
      <c r="AI49" s="554"/>
      <c r="AJ49" s="190"/>
      <c r="AK49" s="190"/>
      <c r="AL49" s="187"/>
      <c r="AM49" s="184"/>
      <c r="AN49" s="554"/>
      <c r="AO49" s="190"/>
      <c r="AP49" s="190"/>
      <c r="AQ49" s="187"/>
      <c r="AR49" s="184"/>
      <c r="AS49" s="554"/>
      <c r="AT49" s="190"/>
      <c r="AU49" s="190"/>
      <c r="AV49" s="187"/>
      <c r="AW49" s="184"/>
      <c r="AX49" s="554"/>
    </row>
    <row r="50" spans="2:50" ht="14.25" customHeight="1">
      <c r="B50" s="525"/>
      <c r="C50" s="182">
        <v>4</v>
      </c>
      <c r="D50" s="185"/>
      <c r="E50" s="182"/>
      <c r="F50" s="182"/>
      <c r="G50" s="187"/>
      <c r="H50" s="554"/>
      <c r="I50" s="188"/>
      <c r="J50" s="188"/>
      <c r="K50" s="189"/>
      <c r="L50" s="555"/>
      <c r="M50" s="188"/>
      <c r="N50" s="525"/>
      <c r="O50" s="525"/>
      <c r="P50" s="190"/>
      <c r="Q50" s="190"/>
      <c r="R50" s="187"/>
      <c r="S50" s="184"/>
      <c r="T50" s="554"/>
      <c r="U50" s="190"/>
      <c r="V50" s="190"/>
      <c r="W50" s="187"/>
      <c r="X50" s="184"/>
      <c r="Y50" s="554"/>
      <c r="Z50" s="190"/>
      <c r="AA50" s="190"/>
      <c r="AB50" s="187"/>
      <c r="AC50" s="184"/>
      <c r="AD50" s="554"/>
      <c r="AE50" s="190"/>
      <c r="AF50" s="190"/>
      <c r="AG50" s="187"/>
      <c r="AH50" s="184"/>
      <c r="AI50" s="554"/>
      <c r="AJ50" s="190"/>
      <c r="AK50" s="190"/>
      <c r="AL50" s="187"/>
      <c r="AM50" s="184"/>
      <c r="AN50" s="554"/>
      <c r="AO50" s="190"/>
      <c r="AP50" s="190"/>
      <c r="AQ50" s="187"/>
      <c r="AR50" s="184"/>
      <c r="AS50" s="554"/>
      <c r="AT50" s="190"/>
      <c r="AU50" s="190"/>
      <c r="AV50" s="187"/>
      <c r="AW50" s="184"/>
      <c r="AX50" s="554"/>
    </row>
    <row r="51" spans="2:50" ht="14.25" customHeight="1">
      <c r="B51" s="525"/>
      <c r="C51" s="182">
        <v>5</v>
      </c>
      <c r="D51" s="185"/>
      <c r="E51" s="182"/>
      <c r="F51" s="182"/>
      <c r="G51" s="187"/>
      <c r="H51" s="554"/>
      <c r="I51" s="188"/>
      <c r="J51" s="188"/>
      <c r="K51" s="189"/>
      <c r="L51" s="555"/>
      <c r="M51" s="188"/>
      <c r="N51" s="525"/>
      <c r="O51" s="525"/>
      <c r="P51" s="190"/>
      <c r="Q51" s="190"/>
      <c r="R51" s="187"/>
      <c r="S51" s="184"/>
      <c r="T51" s="554"/>
      <c r="U51" s="190"/>
      <c r="V51" s="190"/>
      <c r="W51" s="187"/>
      <c r="X51" s="184"/>
      <c r="Y51" s="554"/>
      <c r="Z51" s="190"/>
      <c r="AA51" s="190"/>
      <c r="AB51" s="187"/>
      <c r="AC51" s="184"/>
      <c r="AD51" s="554"/>
      <c r="AE51" s="190"/>
      <c r="AF51" s="190"/>
      <c r="AG51" s="187"/>
      <c r="AH51" s="184"/>
      <c r="AI51" s="554"/>
      <c r="AJ51" s="190"/>
      <c r="AK51" s="190"/>
      <c r="AL51" s="187"/>
      <c r="AM51" s="184"/>
      <c r="AN51" s="554"/>
      <c r="AO51" s="190"/>
      <c r="AP51" s="190"/>
      <c r="AQ51" s="187"/>
      <c r="AR51" s="184"/>
      <c r="AS51" s="554"/>
      <c r="AT51" s="190"/>
      <c r="AU51" s="190"/>
      <c r="AV51" s="187"/>
      <c r="AW51" s="184"/>
      <c r="AX51" s="554"/>
    </row>
    <row r="52" spans="2:50" ht="14.25" customHeight="1">
      <c r="B52" s="525"/>
      <c r="C52" s="182">
        <v>6</v>
      </c>
      <c r="D52" s="185"/>
      <c r="E52" s="182"/>
      <c r="F52" s="182"/>
      <c r="G52" s="187"/>
      <c r="H52" s="554"/>
      <c r="I52" s="188"/>
      <c r="J52" s="188"/>
      <c r="K52" s="189"/>
      <c r="L52" s="555"/>
      <c r="M52" s="188"/>
      <c r="N52" s="525"/>
      <c r="O52" s="525"/>
      <c r="P52" s="190"/>
      <c r="Q52" s="190"/>
      <c r="R52" s="187"/>
      <c r="S52" s="184"/>
      <c r="T52" s="554"/>
      <c r="U52" s="190"/>
      <c r="V52" s="190"/>
      <c r="W52" s="187"/>
      <c r="X52" s="184"/>
      <c r="Y52" s="554"/>
      <c r="Z52" s="190"/>
      <c r="AA52" s="190"/>
      <c r="AB52" s="187"/>
      <c r="AC52" s="184"/>
      <c r="AD52" s="554"/>
      <c r="AE52" s="190"/>
      <c r="AF52" s="190"/>
      <c r="AG52" s="187"/>
      <c r="AH52" s="184"/>
      <c r="AI52" s="554"/>
      <c r="AJ52" s="190"/>
      <c r="AK52" s="190"/>
      <c r="AL52" s="187"/>
      <c r="AM52" s="184"/>
      <c r="AN52" s="554"/>
      <c r="AO52" s="190"/>
      <c r="AP52" s="190"/>
      <c r="AQ52" s="187"/>
      <c r="AR52" s="184"/>
      <c r="AS52" s="554"/>
      <c r="AT52" s="190"/>
      <c r="AU52" s="190"/>
      <c r="AV52" s="187"/>
      <c r="AW52" s="184"/>
      <c r="AX52" s="554"/>
    </row>
    <row r="53" spans="2:50" ht="14.25" customHeight="1">
      <c r="B53" s="525"/>
      <c r="C53" s="182">
        <v>7</v>
      </c>
      <c r="D53" s="185"/>
      <c r="E53" s="182"/>
      <c r="F53" s="182"/>
      <c r="G53" s="187"/>
      <c r="H53" s="554"/>
      <c r="I53" s="188"/>
      <c r="J53" s="188"/>
      <c r="K53" s="189"/>
      <c r="L53" s="555"/>
      <c r="M53" s="188"/>
      <c r="N53" s="525"/>
      <c r="O53" s="525"/>
      <c r="P53" s="190"/>
      <c r="Q53" s="190"/>
      <c r="R53" s="187"/>
      <c r="S53" s="184"/>
      <c r="T53" s="554"/>
      <c r="U53" s="190"/>
      <c r="V53" s="190"/>
      <c r="W53" s="187"/>
      <c r="X53" s="184"/>
      <c r="Y53" s="554"/>
      <c r="Z53" s="190"/>
      <c r="AA53" s="190"/>
      <c r="AB53" s="187"/>
      <c r="AC53" s="184"/>
      <c r="AD53" s="554"/>
      <c r="AE53" s="190"/>
      <c r="AF53" s="190"/>
      <c r="AG53" s="187"/>
      <c r="AH53" s="184"/>
      <c r="AI53" s="554"/>
      <c r="AJ53" s="190"/>
      <c r="AK53" s="190"/>
      <c r="AL53" s="187"/>
      <c r="AM53" s="184"/>
      <c r="AN53" s="554"/>
      <c r="AO53" s="190"/>
      <c r="AP53" s="190"/>
      <c r="AQ53" s="187"/>
      <c r="AR53" s="184"/>
      <c r="AS53" s="554"/>
      <c r="AT53" s="190"/>
      <c r="AU53" s="190"/>
      <c r="AV53" s="187"/>
      <c r="AW53" s="184"/>
      <c r="AX53" s="554"/>
    </row>
    <row r="54" spans="2:50" ht="14.25" customHeight="1">
      <c r="B54" s="525"/>
      <c r="C54" s="182">
        <v>8</v>
      </c>
      <c r="D54" s="185"/>
      <c r="E54" s="182"/>
      <c r="F54" s="182"/>
      <c r="G54" s="187"/>
      <c r="H54" s="554"/>
      <c r="I54" s="188"/>
      <c r="J54" s="188"/>
      <c r="K54" s="189"/>
      <c r="L54" s="555"/>
      <c r="M54" s="188"/>
      <c r="N54" s="525"/>
      <c r="O54" s="525"/>
      <c r="P54" s="190"/>
      <c r="Q54" s="190"/>
      <c r="R54" s="187"/>
      <c r="S54" s="184"/>
      <c r="T54" s="554"/>
      <c r="U54" s="190"/>
      <c r="V54" s="190"/>
      <c r="W54" s="187"/>
      <c r="X54" s="184"/>
      <c r="Y54" s="554"/>
      <c r="Z54" s="190"/>
      <c r="AA54" s="190"/>
      <c r="AB54" s="187"/>
      <c r="AC54" s="184"/>
      <c r="AD54" s="554"/>
      <c r="AE54" s="190"/>
      <c r="AF54" s="190"/>
      <c r="AG54" s="187"/>
      <c r="AH54" s="184"/>
      <c r="AI54" s="554"/>
      <c r="AJ54" s="190"/>
      <c r="AK54" s="190"/>
      <c r="AL54" s="187"/>
      <c r="AM54" s="184"/>
      <c r="AN54" s="554"/>
      <c r="AO54" s="190"/>
      <c r="AP54" s="190"/>
      <c r="AQ54" s="187"/>
      <c r="AR54" s="184"/>
      <c r="AS54" s="554"/>
      <c r="AT54" s="190"/>
      <c r="AU54" s="190"/>
      <c r="AV54" s="187"/>
      <c r="AW54" s="184"/>
      <c r="AX54" s="554"/>
    </row>
    <row r="55" spans="2:50" ht="14.25" customHeight="1">
      <c r="B55" s="525"/>
      <c r="C55" s="182">
        <v>9</v>
      </c>
      <c r="D55" s="185"/>
      <c r="E55" s="182"/>
      <c r="F55" s="182"/>
      <c r="G55" s="187"/>
      <c r="H55" s="554"/>
      <c r="I55" s="188"/>
      <c r="J55" s="188"/>
      <c r="K55" s="189"/>
      <c r="L55" s="555"/>
      <c r="M55" s="188"/>
      <c r="N55" s="525"/>
      <c r="O55" s="525"/>
      <c r="P55" s="190"/>
      <c r="Q55" s="190"/>
      <c r="R55" s="187"/>
      <c r="S55" s="184"/>
      <c r="T55" s="554"/>
      <c r="U55" s="190"/>
      <c r="V55" s="190"/>
      <c r="W55" s="187"/>
      <c r="X55" s="184"/>
      <c r="Y55" s="554"/>
      <c r="Z55" s="190"/>
      <c r="AA55" s="190"/>
      <c r="AB55" s="187"/>
      <c r="AC55" s="184"/>
      <c r="AD55" s="554"/>
      <c r="AE55" s="190"/>
      <c r="AF55" s="190"/>
      <c r="AG55" s="187"/>
      <c r="AH55" s="184"/>
      <c r="AI55" s="554"/>
      <c r="AJ55" s="190"/>
      <c r="AK55" s="190"/>
      <c r="AL55" s="187"/>
      <c r="AM55" s="184"/>
      <c r="AN55" s="554"/>
      <c r="AO55" s="190"/>
      <c r="AP55" s="190"/>
      <c r="AQ55" s="187"/>
      <c r="AR55" s="184"/>
      <c r="AS55" s="554"/>
      <c r="AT55" s="190"/>
      <c r="AU55" s="190"/>
      <c r="AV55" s="187"/>
      <c r="AW55" s="184"/>
      <c r="AX55" s="554"/>
    </row>
    <row r="56" spans="2:50" ht="14.25" customHeight="1">
      <c r="B56" s="525"/>
      <c r="C56" s="182">
        <v>10</v>
      </c>
      <c r="D56" s="185"/>
      <c r="E56" s="182"/>
      <c r="F56" s="182"/>
      <c r="G56" s="187"/>
      <c r="H56" s="554"/>
      <c r="I56" s="188"/>
      <c r="J56" s="188"/>
      <c r="K56" s="189"/>
      <c r="L56" s="555"/>
      <c r="M56" s="188"/>
      <c r="N56" s="525"/>
      <c r="O56" s="525"/>
      <c r="P56" s="190"/>
      <c r="Q56" s="190"/>
      <c r="R56" s="187"/>
      <c r="S56" s="184"/>
      <c r="T56" s="554"/>
      <c r="U56" s="190"/>
      <c r="V56" s="190"/>
      <c r="W56" s="187"/>
      <c r="X56" s="184"/>
      <c r="Y56" s="554"/>
      <c r="Z56" s="190"/>
      <c r="AA56" s="190"/>
      <c r="AB56" s="187"/>
      <c r="AC56" s="184"/>
      <c r="AD56" s="554"/>
      <c r="AE56" s="190"/>
      <c r="AF56" s="190"/>
      <c r="AG56" s="187"/>
      <c r="AH56" s="184"/>
      <c r="AI56" s="554"/>
      <c r="AJ56" s="190"/>
      <c r="AK56" s="190"/>
      <c r="AL56" s="187"/>
      <c r="AM56" s="184"/>
      <c r="AN56" s="554"/>
      <c r="AO56" s="190"/>
      <c r="AP56" s="190"/>
      <c r="AQ56" s="187"/>
      <c r="AR56" s="184"/>
      <c r="AS56" s="554"/>
      <c r="AT56" s="190"/>
      <c r="AU56" s="190"/>
      <c r="AV56" s="187"/>
      <c r="AW56" s="184"/>
      <c r="AX56" s="554"/>
    </row>
    <row r="57" spans="2:50" ht="14.25" customHeight="1">
      <c r="B57" s="525"/>
      <c r="C57" s="182">
        <v>11</v>
      </c>
      <c r="D57" s="185"/>
      <c r="E57" s="182"/>
      <c r="F57" s="182"/>
      <c r="G57" s="187"/>
      <c r="H57" s="554"/>
      <c r="I57" s="188"/>
      <c r="J57" s="188"/>
      <c r="K57" s="189"/>
      <c r="L57" s="555"/>
      <c r="M57" s="188"/>
      <c r="N57" s="525"/>
      <c r="O57" s="525"/>
      <c r="P57" s="190"/>
      <c r="Q57" s="190"/>
      <c r="R57" s="187"/>
      <c r="S57" s="184"/>
      <c r="T57" s="554"/>
      <c r="U57" s="190"/>
      <c r="V57" s="190"/>
      <c r="W57" s="187"/>
      <c r="X57" s="184"/>
      <c r="Y57" s="554"/>
      <c r="Z57" s="190"/>
      <c r="AA57" s="190"/>
      <c r="AB57" s="187"/>
      <c r="AC57" s="184"/>
      <c r="AD57" s="554"/>
      <c r="AE57" s="190"/>
      <c r="AF57" s="190"/>
      <c r="AG57" s="187"/>
      <c r="AH57" s="184"/>
      <c r="AI57" s="554"/>
      <c r="AJ57" s="190"/>
      <c r="AK57" s="190"/>
      <c r="AL57" s="187"/>
      <c r="AM57" s="184"/>
      <c r="AN57" s="554"/>
      <c r="AO57" s="190"/>
      <c r="AP57" s="190"/>
      <c r="AQ57" s="187"/>
      <c r="AR57" s="184"/>
      <c r="AS57" s="554"/>
      <c r="AT57" s="190"/>
      <c r="AU57" s="190"/>
      <c r="AV57" s="187"/>
      <c r="AW57" s="184"/>
      <c r="AX57" s="554"/>
    </row>
    <row r="58" spans="2:50" ht="14.25" customHeight="1">
      <c r="B58" s="525"/>
      <c r="C58" s="182">
        <v>12</v>
      </c>
      <c r="D58" s="185"/>
      <c r="E58" s="182"/>
      <c r="F58" s="182"/>
      <c r="G58" s="187"/>
      <c r="H58" s="554"/>
      <c r="I58" s="188"/>
      <c r="J58" s="188"/>
      <c r="K58" s="189"/>
      <c r="L58" s="555"/>
      <c r="M58" s="188"/>
      <c r="N58" s="525"/>
      <c r="O58" s="525"/>
      <c r="P58" s="190"/>
      <c r="Q58" s="190"/>
      <c r="R58" s="187"/>
      <c r="S58" s="184"/>
      <c r="T58" s="554"/>
      <c r="U58" s="190"/>
      <c r="V58" s="190"/>
      <c r="W58" s="187"/>
      <c r="X58" s="184"/>
      <c r="Y58" s="554"/>
      <c r="Z58" s="190"/>
      <c r="AA58" s="190"/>
      <c r="AB58" s="187"/>
      <c r="AC58" s="184"/>
      <c r="AD58" s="554"/>
      <c r="AE58" s="190"/>
      <c r="AF58" s="190"/>
      <c r="AG58" s="187"/>
      <c r="AH58" s="184"/>
      <c r="AI58" s="554"/>
      <c r="AJ58" s="190"/>
      <c r="AK58" s="190"/>
      <c r="AL58" s="187"/>
      <c r="AM58" s="184"/>
      <c r="AN58" s="554"/>
      <c r="AO58" s="190"/>
      <c r="AP58" s="190"/>
      <c r="AQ58" s="187"/>
      <c r="AR58" s="184"/>
      <c r="AS58" s="554"/>
      <c r="AT58" s="190"/>
      <c r="AU58" s="190"/>
      <c r="AV58" s="187"/>
      <c r="AW58" s="184"/>
      <c r="AX58" s="554"/>
    </row>
    <row r="59" spans="2:50" ht="14.25" customHeight="1">
      <c r="B59" s="525"/>
      <c r="C59" s="182">
        <v>13</v>
      </c>
      <c r="D59" s="185"/>
      <c r="E59" s="182"/>
      <c r="F59" s="182"/>
      <c r="G59" s="187"/>
      <c r="H59" s="554"/>
      <c r="I59" s="188"/>
      <c r="J59" s="188"/>
      <c r="K59" s="189"/>
      <c r="L59" s="555"/>
      <c r="M59" s="188"/>
      <c r="N59" s="525"/>
      <c r="O59" s="525"/>
      <c r="P59" s="190"/>
      <c r="Q59" s="190"/>
      <c r="R59" s="187"/>
      <c r="S59" s="184"/>
      <c r="T59" s="554"/>
      <c r="U59" s="190"/>
      <c r="V59" s="190"/>
      <c r="W59" s="187"/>
      <c r="X59" s="184"/>
      <c r="Y59" s="554"/>
      <c r="Z59" s="190"/>
      <c r="AA59" s="190"/>
      <c r="AB59" s="187"/>
      <c r="AC59" s="184"/>
      <c r="AD59" s="554"/>
      <c r="AE59" s="190"/>
      <c r="AF59" s="190"/>
      <c r="AG59" s="187"/>
      <c r="AH59" s="184"/>
      <c r="AI59" s="554"/>
      <c r="AJ59" s="190"/>
      <c r="AK59" s="190"/>
      <c r="AL59" s="187"/>
      <c r="AM59" s="184"/>
      <c r="AN59" s="554"/>
      <c r="AO59" s="190"/>
      <c r="AP59" s="190"/>
      <c r="AQ59" s="187"/>
      <c r="AR59" s="184"/>
      <c r="AS59" s="554"/>
      <c r="AT59" s="190"/>
      <c r="AU59" s="190"/>
      <c r="AV59" s="187"/>
      <c r="AW59" s="184"/>
      <c r="AX59" s="554"/>
    </row>
    <row r="60" spans="2:50" ht="14.25" customHeight="1">
      <c r="B60" s="525"/>
      <c r="C60" s="182">
        <v>14</v>
      </c>
      <c r="D60" s="185"/>
      <c r="E60" s="182"/>
      <c r="F60" s="182"/>
      <c r="G60" s="187"/>
      <c r="H60" s="554"/>
      <c r="I60" s="188"/>
      <c r="J60" s="188"/>
      <c r="K60" s="189"/>
      <c r="L60" s="555"/>
      <c r="M60" s="188"/>
      <c r="N60" s="525"/>
      <c r="O60" s="525"/>
      <c r="P60" s="190"/>
      <c r="Q60" s="190"/>
      <c r="R60" s="187"/>
      <c r="S60" s="184"/>
      <c r="T60" s="554"/>
      <c r="U60" s="190"/>
      <c r="V60" s="190"/>
      <c r="W60" s="187"/>
      <c r="X60" s="184"/>
      <c r="Y60" s="554"/>
      <c r="Z60" s="190"/>
      <c r="AA60" s="190"/>
      <c r="AB60" s="187"/>
      <c r="AC60" s="184"/>
      <c r="AD60" s="554"/>
      <c r="AE60" s="190"/>
      <c r="AF60" s="190"/>
      <c r="AG60" s="187"/>
      <c r="AH60" s="184"/>
      <c r="AI60" s="554"/>
      <c r="AJ60" s="190"/>
      <c r="AK60" s="190"/>
      <c r="AL60" s="187"/>
      <c r="AM60" s="184"/>
      <c r="AN60" s="554"/>
      <c r="AO60" s="190"/>
      <c r="AP60" s="190"/>
      <c r="AQ60" s="187"/>
      <c r="AR60" s="184"/>
      <c r="AS60" s="554"/>
      <c r="AT60" s="190"/>
      <c r="AU60" s="190"/>
      <c r="AV60" s="187"/>
      <c r="AW60" s="184"/>
      <c r="AX60" s="554"/>
    </row>
    <row r="61" spans="2:50" ht="14.25" customHeight="1">
      <c r="B61" s="525"/>
      <c r="C61" s="182">
        <v>15</v>
      </c>
      <c r="D61" s="185"/>
      <c r="E61" s="182"/>
      <c r="F61" s="182"/>
      <c r="G61" s="187"/>
      <c r="H61" s="554"/>
      <c r="I61" s="188"/>
      <c r="J61" s="188"/>
      <c r="K61" s="189"/>
      <c r="L61" s="555"/>
      <c r="M61" s="188"/>
      <c r="N61" s="525"/>
      <c r="O61" s="525"/>
      <c r="P61" s="190"/>
      <c r="Q61" s="190"/>
      <c r="R61" s="187"/>
      <c r="S61" s="184"/>
      <c r="T61" s="554"/>
      <c r="U61" s="190"/>
      <c r="V61" s="190"/>
      <c r="W61" s="187"/>
      <c r="X61" s="184"/>
      <c r="Y61" s="554"/>
      <c r="Z61" s="190"/>
      <c r="AA61" s="190"/>
      <c r="AB61" s="187"/>
      <c r="AC61" s="184"/>
      <c r="AD61" s="554"/>
      <c r="AE61" s="190"/>
      <c r="AF61" s="190"/>
      <c r="AG61" s="187"/>
      <c r="AH61" s="184"/>
      <c r="AI61" s="554"/>
      <c r="AJ61" s="190"/>
      <c r="AK61" s="190"/>
      <c r="AL61" s="187"/>
      <c r="AM61" s="184"/>
      <c r="AN61" s="554"/>
      <c r="AO61" s="190"/>
      <c r="AP61" s="190"/>
      <c r="AQ61" s="187"/>
      <c r="AR61" s="184"/>
      <c r="AS61" s="554"/>
      <c r="AT61" s="190"/>
      <c r="AU61" s="190"/>
      <c r="AV61" s="187"/>
      <c r="AW61" s="184"/>
      <c r="AX61" s="554"/>
    </row>
    <row r="62" spans="2:50" ht="14.25" customHeight="1" collapsed="1">
      <c r="B62" s="534" t="s">
        <v>648</v>
      </c>
      <c r="C62" s="535"/>
      <c r="D62" s="535"/>
      <c r="E62" s="535"/>
      <c r="F62" s="535"/>
      <c r="G62" s="535"/>
      <c r="H62" s="535"/>
      <c r="I62" s="535"/>
      <c r="J62" s="535"/>
      <c r="K62" s="535"/>
      <c r="L62" s="535"/>
      <c r="M62" s="536"/>
      <c r="N62" s="564" t="s">
        <v>378</v>
      </c>
      <c r="O62" s="564" t="s">
        <v>105</v>
      </c>
      <c r="P62" s="566">
        <f>AT42+1</f>
        <v>46098</v>
      </c>
      <c r="Q62" s="567"/>
      <c r="R62" s="567"/>
      <c r="S62" s="567"/>
      <c r="T62" s="567"/>
      <c r="U62" s="568">
        <f>P62+1</f>
        <v>46099</v>
      </c>
      <c r="V62" s="569"/>
      <c r="W62" s="569"/>
      <c r="X62" s="569"/>
      <c r="Y62" s="569"/>
      <c r="Z62" s="566">
        <f t="shared" ref="Z62" si="35">U62+1</f>
        <v>46100</v>
      </c>
      <c r="AA62" s="567"/>
      <c r="AB62" s="567"/>
      <c r="AC62" s="567"/>
      <c r="AD62" s="567"/>
      <c r="AE62" s="568">
        <f t="shared" ref="AE62" si="36">Z62+1</f>
        <v>46101</v>
      </c>
      <c r="AF62" s="569"/>
      <c r="AG62" s="569"/>
      <c r="AH62" s="569"/>
      <c r="AI62" s="569"/>
      <c r="AJ62" s="556">
        <f t="shared" ref="AJ62" si="37">AE62+1</f>
        <v>46102</v>
      </c>
      <c r="AK62" s="557"/>
      <c r="AL62" s="557"/>
      <c r="AM62" s="557"/>
      <c r="AN62" s="558"/>
      <c r="AO62" s="568">
        <f t="shared" ref="AO62" si="38">AJ62+1</f>
        <v>46103</v>
      </c>
      <c r="AP62" s="569"/>
      <c r="AQ62" s="569"/>
      <c r="AR62" s="569"/>
      <c r="AS62" s="569"/>
      <c r="AT62" s="556">
        <f t="shared" ref="AT62" si="39">AO62+1</f>
        <v>46104</v>
      </c>
      <c r="AU62" s="557"/>
      <c r="AV62" s="557"/>
      <c r="AW62" s="557"/>
      <c r="AX62" s="558"/>
    </row>
    <row r="63" spans="2:50" ht="14.25" customHeight="1">
      <c r="B63" s="537"/>
      <c r="C63" s="537"/>
      <c r="D63" s="537"/>
      <c r="E63" s="537"/>
      <c r="F63" s="537"/>
      <c r="G63" s="537"/>
      <c r="H63" s="537"/>
      <c r="I63" s="537"/>
      <c r="J63" s="537"/>
      <c r="K63" s="537"/>
      <c r="L63" s="537"/>
      <c r="M63" s="538"/>
      <c r="N63" s="565"/>
      <c r="O63" s="565"/>
      <c r="P63" s="559">
        <f>P62</f>
        <v>46098</v>
      </c>
      <c r="Q63" s="559"/>
      <c r="R63" s="559"/>
      <c r="S63" s="559"/>
      <c r="T63" s="559"/>
      <c r="U63" s="560">
        <f>U62</f>
        <v>46099</v>
      </c>
      <c r="V63" s="560"/>
      <c r="W63" s="560"/>
      <c r="X63" s="560"/>
      <c r="Y63" s="560"/>
      <c r="Z63" s="559">
        <f t="shared" ref="Z63" si="40">Z62</f>
        <v>46100</v>
      </c>
      <c r="AA63" s="559"/>
      <c r="AB63" s="559"/>
      <c r="AC63" s="559"/>
      <c r="AD63" s="559"/>
      <c r="AE63" s="560">
        <f t="shared" ref="AE63" si="41">AE62</f>
        <v>46101</v>
      </c>
      <c r="AF63" s="560"/>
      <c r="AG63" s="560"/>
      <c r="AH63" s="560"/>
      <c r="AI63" s="560"/>
      <c r="AJ63" s="561">
        <f t="shared" ref="AJ63" si="42">AJ62</f>
        <v>46102</v>
      </c>
      <c r="AK63" s="562"/>
      <c r="AL63" s="562"/>
      <c r="AM63" s="562"/>
      <c r="AN63" s="563"/>
      <c r="AO63" s="560">
        <f t="shared" ref="AO63" si="43">AO62</f>
        <v>46103</v>
      </c>
      <c r="AP63" s="560"/>
      <c r="AQ63" s="560"/>
      <c r="AR63" s="560"/>
      <c r="AS63" s="560"/>
      <c r="AT63" s="561">
        <f t="shared" ref="AT63" si="44">AT62</f>
        <v>46104</v>
      </c>
      <c r="AU63" s="562"/>
      <c r="AV63" s="562"/>
      <c r="AW63" s="562"/>
      <c r="AX63" s="563"/>
    </row>
    <row r="64" spans="2:50" ht="14.25" customHeight="1">
      <c r="B64" s="525" t="s">
        <v>164</v>
      </c>
      <c r="C64" s="525" t="s">
        <v>159</v>
      </c>
      <c r="D64" s="525"/>
      <c r="E64" s="525" t="s">
        <v>160</v>
      </c>
      <c r="F64" s="525"/>
      <c r="G64" s="525"/>
      <c r="H64" s="525" t="s">
        <v>165</v>
      </c>
      <c r="I64" s="544" t="s">
        <v>379</v>
      </c>
      <c r="J64" s="544"/>
      <c r="K64" s="544"/>
      <c r="L64" s="544" t="s">
        <v>165</v>
      </c>
      <c r="M64" s="544" t="s">
        <v>167</v>
      </c>
      <c r="N64" s="525"/>
      <c r="O64" s="525" t="s">
        <v>166</v>
      </c>
      <c r="P64" s="525" t="s">
        <v>162</v>
      </c>
      <c r="Q64" s="525"/>
      <c r="R64" s="525"/>
      <c r="S64" s="525"/>
      <c r="T64" s="525" t="s">
        <v>165</v>
      </c>
      <c r="U64" s="525" t="s">
        <v>162</v>
      </c>
      <c r="V64" s="525"/>
      <c r="W64" s="525"/>
      <c r="X64" s="525"/>
      <c r="Y64" s="525" t="s">
        <v>165</v>
      </c>
      <c r="Z64" s="525" t="s">
        <v>162</v>
      </c>
      <c r="AA64" s="525"/>
      <c r="AB64" s="525"/>
      <c r="AC64" s="525"/>
      <c r="AD64" s="525" t="s">
        <v>165</v>
      </c>
      <c r="AE64" s="525" t="s">
        <v>162</v>
      </c>
      <c r="AF64" s="525"/>
      <c r="AG64" s="525"/>
      <c r="AH64" s="525"/>
      <c r="AI64" s="525" t="s">
        <v>165</v>
      </c>
      <c r="AJ64" s="525" t="s">
        <v>162</v>
      </c>
      <c r="AK64" s="525"/>
      <c r="AL64" s="525"/>
      <c r="AM64" s="525"/>
      <c r="AN64" s="525" t="s">
        <v>165</v>
      </c>
      <c r="AO64" s="525" t="s">
        <v>162</v>
      </c>
      <c r="AP64" s="525"/>
      <c r="AQ64" s="525"/>
      <c r="AR64" s="525"/>
      <c r="AS64" s="525" t="s">
        <v>165</v>
      </c>
      <c r="AT64" s="525" t="s">
        <v>162</v>
      </c>
      <c r="AU64" s="525"/>
      <c r="AV64" s="525"/>
      <c r="AW64" s="525"/>
      <c r="AX64" s="525" t="s">
        <v>165</v>
      </c>
    </row>
    <row r="65" spans="2:50" ht="14.25" customHeight="1">
      <c r="B65" s="525"/>
      <c r="C65" s="525"/>
      <c r="D65" s="525"/>
      <c r="E65" s="525" t="s">
        <v>380</v>
      </c>
      <c r="F65" s="525"/>
      <c r="G65" s="525"/>
      <c r="H65" s="525"/>
      <c r="I65" s="544" t="s">
        <v>380</v>
      </c>
      <c r="J65" s="544"/>
      <c r="K65" s="544"/>
      <c r="L65" s="544"/>
      <c r="M65" s="544"/>
      <c r="N65" s="525"/>
      <c r="O65" s="525"/>
      <c r="P65" s="525" t="s">
        <v>381</v>
      </c>
      <c r="Q65" s="525"/>
      <c r="R65" s="525"/>
      <c r="S65" s="525"/>
      <c r="T65" s="525"/>
      <c r="U65" s="525" t="s">
        <v>381</v>
      </c>
      <c r="V65" s="525"/>
      <c r="W65" s="525"/>
      <c r="X65" s="525"/>
      <c r="Y65" s="525"/>
      <c r="Z65" s="525" t="s">
        <v>381</v>
      </c>
      <c r="AA65" s="525"/>
      <c r="AB65" s="525"/>
      <c r="AC65" s="525"/>
      <c r="AD65" s="525"/>
      <c r="AE65" s="525" t="s">
        <v>381</v>
      </c>
      <c r="AF65" s="525"/>
      <c r="AG65" s="525"/>
      <c r="AH65" s="525"/>
      <c r="AI65" s="525"/>
      <c r="AJ65" s="525" t="s">
        <v>381</v>
      </c>
      <c r="AK65" s="525"/>
      <c r="AL65" s="525"/>
      <c r="AM65" s="525"/>
      <c r="AN65" s="525"/>
      <c r="AO65" s="525" t="s">
        <v>381</v>
      </c>
      <c r="AP65" s="525"/>
      <c r="AQ65" s="525"/>
      <c r="AR65" s="525"/>
      <c r="AS65" s="525"/>
      <c r="AT65" s="525" t="s">
        <v>381</v>
      </c>
      <c r="AU65" s="525"/>
      <c r="AV65" s="525"/>
      <c r="AW65" s="525"/>
      <c r="AX65" s="525"/>
    </row>
    <row r="66" spans="2:50" ht="14.25" customHeight="1">
      <c r="B66" s="525"/>
      <c r="C66" s="525"/>
      <c r="D66" s="525"/>
      <c r="E66" s="182" t="s">
        <v>161</v>
      </c>
      <c r="F66" s="182" t="s">
        <v>382</v>
      </c>
      <c r="G66" s="182" t="s">
        <v>163</v>
      </c>
      <c r="H66" s="525"/>
      <c r="I66" s="183" t="s">
        <v>161</v>
      </c>
      <c r="J66" s="183" t="s">
        <v>382</v>
      </c>
      <c r="K66" s="183" t="s">
        <v>163</v>
      </c>
      <c r="L66" s="544"/>
      <c r="M66" s="544"/>
      <c r="N66" s="525"/>
      <c r="O66" s="525"/>
      <c r="P66" s="182" t="s">
        <v>161</v>
      </c>
      <c r="Q66" s="182" t="s">
        <v>382</v>
      </c>
      <c r="R66" s="182" t="s">
        <v>163</v>
      </c>
      <c r="S66" s="184" t="s">
        <v>167</v>
      </c>
      <c r="T66" s="525"/>
      <c r="U66" s="182" t="s">
        <v>161</v>
      </c>
      <c r="V66" s="182" t="s">
        <v>382</v>
      </c>
      <c r="W66" s="182" t="s">
        <v>163</v>
      </c>
      <c r="X66" s="184" t="s">
        <v>167</v>
      </c>
      <c r="Y66" s="525"/>
      <c r="Z66" s="182" t="s">
        <v>161</v>
      </c>
      <c r="AA66" s="182" t="s">
        <v>382</v>
      </c>
      <c r="AB66" s="182" t="s">
        <v>163</v>
      </c>
      <c r="AC66" s="184" t="s">
        <v>167</v>
      </c>
      <c r="AD66" s="525"/>
      <c r="AE66" s="182" t="s">
        <v>161</v>
      </c>
      <c r="AF66" s="182" t="s">
        <v>382</v>
      </c>
      <c r="AG66" s="182" t="s">
        <v>163</v>
      </c>
      <c r="AH66" s="184" t="s">
        <v>167</v>
      </c>
      <c r="AI66" s="525"/>
      <c r="AJ66" s="182" t="s">
        <v>161</v>
      </c>
      <c r="AK66" s="182" t="s">
        <v>382</v>
      </c>
      <c r="AL66" s="182" t="s">
        <v>163</v>
      </c>
      <c r="AM66" s="184" t="s">
        <v>167</v>
      </c>
      <c r="AN66" s="525"/>
      <c r="AO66" s="182" t="s">
        <v>161</v>
      </c>
      <c r="AP66" s="182" t="s">
        <v>382</v>
      </c>
      <c r="AQ66" s="182" t="s">
        <v>163</v>
      </c>
      <c r="AR66" s="184" t="s">
        <v>167</v>
      </c>
      <c r="AS66" s="525"/>
      <c r="AT66" s="182" t="s">
        <v>161</v>
      </c>
      <c r="AU66" s="182" t="s">
        <v>382</v>
      </c>
      <c r="AV66" s="182" t="s">
        <v>163</v>
      </c>
      <c r="AW66" s="184" t="s">
        <v>167</v>
      </c>
      <c r="AX66" s="525"/>
    </row>
    <row r="67" spans="2:50" ht="14.25" customHeight="1">
      <c r="B67" s="525" t="s">
        <v>144</v>
      </c>
      <c r="C67" s="182">
        <v>1</v>
      </c>
      <c r="D67" s="185"/>
      <c r="E67" s="182"/>
      <c r="F67" s="182"/>
      <c r="G67" s="187"/>
      <c r="H67" s="554"/>
      <c r="I67" s="188"/>
      <c r="J67" s="188"/>
      <c r="K67" s="189"/>
      <c r="L67" s="555" t="str">
        <f>IFERROR(AVERAGE(K67:K81),"-")</f>
        <v>-</v>
      </c>
      <c r="M67" s="188" t="e">
        <f>RANK(K67, K$67:$K$81)</f>
        <v>#N/A</v>
      </c>
      <c r="N67" s="525"/>
      <c r="O67" s="525"/>
      <c r="P67" s="190"/>
      <c r="Q67" s="190"/>
      <c r="R67" s="187"/>
      <c r="S67" s="184"/>
      <c r="T67" s="554"/>
      <c r="U67" s="190"/>
      <c r="V67" s="190"/>
      <c r="W67" s="187"/>
      <c r="X67" s="184"/>
      <c r="Y67" s="554"/>
      <c r="Z67" s="190"/>
      <c r="AA67" s="190"/>
      <c r="AB67" s="187"/>
      <c r="AC67" s="184"/>
      <c r="AD67" s="554"/>
      <c r="AE67" s="190"/>
      <c r="AF67" s="190"/>
      <c r="AG67" s="187"/>
      <c r="AH67" s="184"/>
      <c r="AI67" s="554"/>
      <c r="AJ67" s="190"/>
      <c r="AK67" s="190"/>
      <c r="AL67" s="187"/>
      <c r="AM67" s="184"/>
      <c r="AN67" s="554"/>
      <c r="AO67" s="190"/>
      <c r="AP67" s="190"/>
      <c r="AQ67" s="187"/>
      <c r="AR67" s="184"/>
      <c r="AS67" s="571"/>
      <c r="AT67" s="190"/>
      <c r="AU67" s="190"/>
      <c r="AV67" s="187"/>
      <c r="AW67" s="184"/>
      <c r="AX67" s="554"/>
    </row>
    <row r="68" spans="2:50" ht="14.25" customHeight="1">
      <c r="B68" s="525"/>
      <c r="C68" s="182">
        <v>2</v>
      </c>
      <c r="D68" s="185"/>
      <c r="E68" s="182"/>
      <c r="F68" s="182"/>
      <c r="G68" s="187"/>
      <c r="H68" s="554"/>
      <c r="I68" s="188"/>
      <c r="J68" s="188"/>
      <c r="K68" s="189"/>
      <c r="L68" s="555"/>
      <c r="M68" s="188"/>
      <c r="N68" s="525"/>
      <c r="O68" s="525"/>
      <c r="P68" s="190"/>
      <c r="Q68" s="190"/>
      <c r="R68" s="187"/>
      <c r="S68" s="184"/>
      <c r="T68" s="554"/>
      <c r="U68" s="190"/>
      <c r="V68" s="190"/>
      <c r="W68" s="187"/>
      <c r="X68" s="184"/>
      <c r="Y68" s="554"/>
      <c r="Z68" s="190"/>
      <c r="AA68" s="190"/>
      <c r="AB68" s="187"/>
      <c r="AC68" s="184"/>
      <c r="AD68" s="554"/>
      <c r="AE68" s="190"/>
      <c r="AF68" s="190"/>
      <c r="AG68" s="187"/>
      <c r="AH68" s="184"/>
      <c r="AI68" s="554"/>
      <c r="AJ68" s="190"/>
      <c r="AK68" s="190"/>
      <c r="AL68" s="187"/>
      <c r="AM68" s="184"/>
      <c r="AN68" s="554"/>
      <c r="AO68" s="190"/>
      <c r="AP68" s="190"/>
      <c r="AQ68" s="187"/>
      <c r="AR68" s="184"/>
      <c r="AS68" s="572"/>
      <c r="AT68" s="190"/>
      <c r="AU68" s="190"/>
      <c r="AV68" s="187"/>
      <c r="AW68" s="184"/>
      <c r="AX68" s="554"/>
    </row>
    <row r="69" spans="2:50" ht="14.25" customHeight="1">
      <c r="B69" s="525"/>
      <c r="C69" s="182">
        <v>3</v>
      </c>
      <c r="D69" s="185"/>
      <c r="E69" s="182"/>
      <c r="F69" s="182"/>
      <c r="G69" s="187"/>
      <c r="H69" s="554"/>
      <c r="I69" s="188"/>
      <c r="J69" s="188"/>
      <c r="K69" s="189"/>
      <c r="L69" s="555"/>
      <c r="M69" s="188"/>
      <c r="N69" s="525"/>
      <c r="O69" s="525"/>
      <c r="P69" s="190"/>
      <c r="Q69" s="190"/>
      <c r="R69" s="187"/>
      <c r="S69" s="184"/>
      <c r="T69" s="554"/>
      <c r="U69" s="190"/>
      <c r="V69" s="190"/>
      <c r="W69" s="187"/>
      <c r="X69" s="184"/>
      <c r="Y69" s="554"/>
      <c r="Z69" s="190"/>
      <c r="AA69" s="190"/>
      <c r="AB69" s="187"/>
      <c r="AC69" s="184"/>
      <c r="AD69" s="554"/>
      <c r="AE69" s="190"/>
      <c r="AF69" s="190"/>
      <c r="AG69" s="187"/>
      <c r="AH69" s="184"/>
      <c r="AI69" s="554"/>
      <c r="AJ69" s="190"/>
      <c r="AK69" s="190"/>
      <c r="AL69" s="187"/>
      <c r="AM69" s="184"/>
      <c r="AN69" s="554"/>
      <c r="AO69" s="190"/>
      <c r="AP69" s="190"/>
      <c r="AQ69" s="187"/>
      <c r="AR69" s="184"/>
      <c r="AS69" s="572"/>
      <c r="AT69" s="190"/>
      <c r="AU69" s="190"/>
      <c r="AV69" s="187"/>
      <c r="AW69" s="184"/>
      <c r="AX69" s="554"/>
    </row>
    <row r="70" spans="2:50" ht="14.25" customHeight="1">
      <c r="B70" s="525"/>
      <c r="C70" s="182">
        <v>4</v>
      </c>
      <c r="D70" s="185"/>
      <c r="E70" s="182"/>
      <c r="F70" s="182"/>
      <c r="G70" s="187"/>
      <c r="H70" s="554"/>
      <c r="I70" s="188"/>
      <c r="J70" s="188"/>
      <c r="K70" s="189"/>
      <c r="L70" s="555"/>
      <c r="M70" s="188"/>
      <c r="N70" s="525"/>
      <c r="O70" s="525"/>
      <c r="P70" s="190"/>
      <c r="Q70" s="190"/>
      <c r="R70" s="187"/>
      <c r="S70" s="184"/>
      <c r="T70" s="554"/>
      <c r="U70" s="190"/>
      <c r="V70" s="190"/>
      <c r="W70" s="187"/>
      <c r="X70" s="184"/>
      <c r="Y70" s="554"/>
      <c r="Z70" s="190"/>
      <c r="AA70" s="190"/>
      <c r="AB70" s="187"/>
      <c r="AC70" s="184"/>
      <c r="AD70" s="554"/>
      <c r="AE70" s="190"/>
      <c r="AF70" s="190"/>
      <c r="AG70" s="187"/>
      <c r="AH70" s="184"/>
      <c r="AI70" s="554"/>
      <c r="AJ70" s="190"/>
      <c r="AK70" s="190"/>
      <c r="AL70" s="187"/>
      <c r="AM70" s="184"/>
      <c r="AN70" s="554"/>
      <c r="AO70" s="190"/>
      <c r="AP70" s="190"/>
      <c r="AQ70" s="187"/>
      <c r="AR70" s="184"/>
      <c r="AS70" s="572"/>
      <c r="AT70" s="190"/>
      <c r="AU70" s="190"/>
      <c r="AV70" s="187"/>
      <c r="AW70" s="184"/>
      <c r="AX70" s="554"/>
    </row>
    <row r="71" spans="2:50" ht="14.25" customHeight="1">
      <c r="B71" s="525"/>
      <c r="C71" s="182">
        <v>5</v>
      </c>
      <c r="D71" s="185"/>
      <c r="E71" s="182"/>
      <c r="F71" s="182"/>
      <c r="G71" s="187"/>
      <c r="H71" s="554"/>
      <c r="I71" s="188"/>
      <c r="J71" s="188"/>
      <c r="K71" s="189"/>
      <c r="L71" s="555"/>
      <c r="M71" s="188"/>
      <c r="N71" s="525"/>
      <c r="O71" s="525"/>
      <c r="P71" s="190"/>
      <c r="Q71" s="190"/>
      <c r="R71" s="187"/>
      <c r="S71" s="184"/>
      <c r="T71" s="554"/>
      <c r="U71" s="190"/>
      <c r="V71" s="190"/>
      <c r="W71" s="187"/>
      <c r="X71" s="184"/>
      <c r="Y71" s="554"/>
      <c r="Z71" s="190"/>
      <c r="AA71" s="190"/>
      <c r="AB71" s="187"/>
      <c r="AC71" s="184"/>
      <c r="AD71" s="554"/>
      <c r="AE71" s="190"/>
      <c r="AF71" s="190"/>
      <c r="AG71" s="187"/>
      <c r="AH71" s="184"/>
      <c r="AI71" s="554"/>
      <c r="AJ71" s="190"/>
      <c r="AK71" s="190"/>
      <c r="AL71" s="187"/>
      <c r="AM71" s="184"/>
      <c r="AN71" s="554"/>
      <c r="AO71" s="190"/>
      <c r="AP71" s="190"/>
      <c r="AQ71" s="187"/>
      <c r="AR71" s="184"/>
      <c r="AS71" s="572"/>
      <c r="AT71" s="190"/>
      <c r="AU71" s="190"/>
      <c r="AV71" s="187"/>
      <c r="AW71" s="184"/>
      <c r="AX71" s="554"/>
    </row>
    <row r="72" spans="2:50" ht="14.25" customHeight="1">
      <c r="B72" s="525"/>
      <c r="C72" s="182">
        <v>6</v>
      </c>
      <c r="D72" s="185"/>
      <c r="E72" s="182"/>
      <c r="F72" s="182"/>
      <c r="G72" s="187"/>
      <c r="H72" s="554"/>
      <c r="I72" s="188"/>
      <c r="J72" s="188"/>
      <c r="K72" s="189"/>
      <c r="L72" s="555"/>
      <c r="M72" s="188"/>
      <c r="N72" s="525"/>
      <c r="O72" s="525"/>
      <c r="P72" s="190"/>
      <c r="Q72" s="190"/>
      <c r="R72" s="187"/>
      <c r="S72" s="184"/>
      <c r="T72" s="554"/>
      <c r="U72" s="190"/>
      <c r="V72" s="190"/>
      <c r="W72" s="187"/>
      <c r="X72" s="184"/>
      <c r="Y72" s="554"/>
      <c r="Z72" s="190"/>
      <c r="AA72" s="190"/>
      <c r="AB72" s="187"/>
      <c r="AC72" s="184"/>
      <c r="AD72" s="554"/>
      <c r="AE72" s="190"/>
      <c r="AF72" s="190"/>
      <c r="AG72" s="187"/>
      <c r="AH72" s="184"/>
      <c r="AI72" s="554"/>
      <c r="AJ72" s="190"/>
      <c r="AK72" s="190"/>
      <c r="AL72" s="187"/>
      <c r="AM72" s="184"/>
      <c r="AN72" s="554"/>
      <c r="AO72" s="190"/>
      <c r="AP72" s="190"/>
      <c r="AQ72" s="187"/>
      <c r="AR72" s="184"/>
      <c r="AS72" s="572"/>
      <c r="AT72" s="190"/>
      <c r="AU72" s="190"/>
      <c r="AV72" s="187"/>
      <c r="AW72" s="184"/>
      <c r="AX72" s="554"/>
    </row>
    <row r="73" spans="2:50" ht="14.25" customHeight="1">
      <c r="B73" s="525"/>
      <c r="C73" s="182">
        <v>7</v>
      </c>
      <c r="D73" s="185"/>
      <c r="E73" s="182"/>
      <c r="F73" s="182"/>
      <c r="G73" s="187"/>
      <c r="H73" s="554"/>
      <c r="I73" s="188"/>
      <c r="J73" s="188"/>
      <c r="K73" s="189"/>
      <c r="L73" s="555"/>
      <c r="M73" s="188"/>
      <c r="N73" s="525"/>
      <c r="O73" s="525"/>
      <c r="P73" s="190"/>
      <c r="Q73" s="190"/>
      <c r="R73" s="187"/>
      <c r="S73" s="184"/>
      <c r="T73" s="554"/>
      <c r="U73" s="190"/>
      <c r="V73" s="190"/>
      <c r="W73" s="187"/>
      <c r="X73" s="184"/>
      <c r="Y73" s="554"/>
      <c r="Z73" s="190"/>
      <c r="AA73" s="190"/>
      <c r="AB73" s="187"/>
      <c r="AC73" s="184"/>
      <c r="AD73" s="554"/>
      <c r="AE73" s="190"/>
      <c r="AF73" s="190"/>
      <c r="AG73" s="187"/>
      <c r="AH73" s="184"/>
      <c r="AI73" s="554"/>
      <c r="AJ73" s="190"/>
      <c r="AK73" s="190"/>
      <c r="AL73" s="187"/>
      <c r="AM73" s="184"/>
      <c r="AN73" s="554"/>
      <c r="AO73" s="190"/>
      <c r="AP73" s="190"/>
      <c r="AQ73" s="187"/>
      <c r="AR73" s="184"/>
      <c r="AS73" s="572"/>
      <c r="AT73" s="190"/>
      <c r="AU73" s="190"/>
      <c r="AV73" s="187"/>
      <c r="AW73" s="184"/>
      <c r="AX73" s="554"/>
    </row>
    <row r="74" spans="2:50" ht="14.25" customHeight="1">
      <c r="B74" s="525"/>
      <c r="C74" s="182">
        <v>8</v>
      </c>
      <c r="D74" s="185"/>
      <c r="E74" s="182"/>
      <c r="F74" s="182"/>
      <c r="G74" s="187"/>
      <c r="H74" s="554"/>
      <c r="I74" s="188"/>
      <c r="J74" s="188"/>
      <c r="K74" s="189"/>
      <c r="L74" s="555"/>
      <c r="M74" s="188"/>
      <c r="N74" s="525"/>
      <c r="O74" s="525"/>
      <c r="P74" s="190"/>
      <c r="Q74" s="190"/>
      <c r="R74" s="187"/>
      <c r="S74" s="184"/>
      <c r="T74" s="554"/>
      <c r="U74" s="190"/>
      <c r="V74" s="190"/>
      <c r="W74" s="187"/>
      <c r="X74" s="184"/>
      <c r="Y74" s="554"/>
      <c r="Z74" s="190"/>
      <c r="AA74" s="190"/>
      <c r="AB74" s="187"/>
      <c r="AC74" s="184"/>
      <c r="AD74" s="554"/>
      <c r="AE74" s="190"/>
      <c r="AF74" s="190"/>
      <c r="AG74" s="187"/>
      <c r="AH74" s="184"/>
      <c r="AI74" s="554"/>
      <c r="AJ74" s="190"/>
      <c r="AK74" s="190"/>
      <c r="AL74" s="187"/>
      <c r="AM74" s="184"/>
      <c r="AN74" s="554"/>
      <c r="AO74" s="190"/>
      <c r="AP74" s="190"/>
      <c r="AQ74" s="187"/>
      <c r="AR74" s="184"/>
      <c r="AS74" s="572"/>
      <c r="AT74" s="190"/>
      <c r="AU74" s="190"/>
      <c r="AV74" s="187"/>
      <c r="AW74" s="184"/>
      <c r="AX74" s="554"/>
    </row>
    <row r="75" spans="2:50" ht="14.25" customHeight="1">
      <c r="B75" s="525"/>
      <c r="C75" s="182">
        <v>9</v>
      </c>
      <c r="D75" s="185"/>
      <c r="E75" s="182"/>
      <c r="F75" s="182"/>
      <c r="G75" s="187"/>
      <c r="H75" s="554"/>
      <c r="I75" s="188"/>
      <c r="J75" s="188"/>
      <c r="K75" s="189"/>
      <c r="L75" s="555"/>
      <c r="M75" s="188"/>
      <c r="N75" s="525"/>
      <c r="O75" s="525"/>
      <c r="P75" s="190"/>
      <c r="Q75" s="190"/>
      <c r="R75" s="187"/>
      <c r="S75" s="184"/>
      <c r="T75" s="554"/>
      <c r="U75" s="190"/>
      <c r="V75" s="190"/>
      <c r="W75" s="187"/>
      <c r="X75" s="184"/>
      <c r="Y75" s="554"/>
      <c r="Z75" s="190"/>
      <c r="AA75" s="190"/>
      <c r="AB75" s="187"/>
      <c r="AC75" s="184"/>
      <c r="AD75" s="554"/>
      <c r="AE75" s="190"/>
      <c r="AF75" s="190"/>
      <c r="AG75" s="187"/>
      <c r="AH75" s="184"/>
      <c r="AI75" s="554"/>
      <c r="AJ75" s="190"/>
      <c r="AK75" s="190"/>
      <c r="AL75" s="187"/>
      <c r="AM75" s="184"/>
      <c r="AN75" s="554"/>
      <c r="AO75" s="190"/>
      <c r="AP75" s="190"/>
      <c r="AQ75" s="187"/>
      <c r="AR75" s="184"/>
      <c r="AS75" s="572"/>
      <c r="AT75" s="190"/>
      <c r="AU75" s="190"/>
      <c r="AV75" s="187"/>
      <c r="AW75" s="184"/>
      <c r="AX75" s="554"/>
    </row>
    <row r="76" spans="2:50" ht="14.25" customHeight="1">
      <c r="B76" s="525"/>
      <c r="C76" s="182">
        <v>10</v>
      </c>
      <c r="D76" s="185"/>
      <c r="E76" s="182"/>
      <c r="F76" s="182"/>
      <c r="G76" s="187"/>
      <c r="H76" s="554"/>
      <c r="I76" s="188"/>
      <c r="J76" s="188"/>
      <c r="K76" s="189"/>
      <c r="L76" s="555"/>
      <c r="M76" s="188"/>
      <c r="N76" s="525"/>
      <c r="O76" s="525"/>
      <c r="P76" s="190"/>
      <c r="Q76" s="190"/>
      <c r="R76" s="187"/>
      <c r="S76" s="184"/>
      <c r="T76" s="554"/>
      <c r="U76" s="190"/>
      <c r="V76" s="190"/>
      <c r="W76" s="187"/>
      <c r="X76" s="184"/>
      <c r="Y76" s="554"/>
      <c r="Z76" s="190"/>
      <c r="AA76" s="190"/>
      <c r="AB76" s="187"/>
      <c r="AC76" s="184"/>
      <c r="AD76" s="554"/>
      <c r="AE76" s="190"/>
      <c r="AF76" s="190"/>
      <c r="AG76" s="187"/>
      <c r="AH76" s="184"/>
      <c r="AI76" s="554"/>
      <c r="AJ76" s="190"/>
      <c r="AK76" s="190"/>
      <c r="AL76" s="187"/>
      <c r="AM76" s="184"/>
      <c r="AN76" s="554"/>
      <c r="AO76" s="190"/>
      <c r="AP76" s="190"/>
      <c r="AQ76" s="187"/>
      <c r="AR76" s="184"/>
      <c r="AS76" s="572"/>
      <c r="AT76" s="190"/>
      <c r="AU76" s="190"/>
      <c r="AV76" s="187"/>
      <c r="AW76" s="184"/>
      <c r="AX76" s="554"/>
    </row>
    <row r="77" spans="2:50" ht="14.25" customHeight="1">
      <c r="B77" s="525"/>
      <c r="C77" s="182">
        <v>11</v>
      </c>
      <c r="D77" s="185"/>
      <c r="E77" s="182"/>
      <c r="F77" s="182"/>
      <c r="G77" s="187"/>
      <c r="H77" s="554"/>
      <c r="I77" s="188"/>
      <c r="J77" s="188"/>
      <c r="K77" s="189"/>
      <c r="L77" s="555"/>
      <c r="M77" s="188"/>
      <c r="N77" s="525"/>
      <c r="O77" s="525"/>
      <c r="P77" s="190"/>
      <c r="Q77" s="190"/>
      <c r="R77" s="187"/>
      <c r="S77" s="184"/>
      <c r="T77" s="554"/>
      <c r="U77" s="190"/>
      <c r="V77" s="190"/>
      <c r="W77" s="187"/>
      <c r="X77" s="184"/>
      <c r="Y77" s="554"/>
      <c r="Z77" s="190"/>
      <c r="AA77" s="190"/>
      <c r="AB77" s="187"/>
      <c r="AC77" s="184"/>
      <c r="AD77" s="554"/>
      <c r="AE77" s="190"/>
      <c r="AF77" s="190"/>
      <c r="AG77" s="187"/>
      <c r="AH77" s="184"/>
      <c r="AI77" s="554"/>
      <c r="AJ77" s="190"/>
      <c r="AK77" s="190"/>
      <c r="AL77" s="187"/>
      <c r="AM77" s="184"/>
      <c r="AN77" s="554"/>
      <c r="AO77" s="190"/>
      <c r="AP77" s="190"/>
      <c r="AQ77" s="187"/>
      <c r="AR77" s="184"/>
      <c r="AS77" s="572"/>
      <c r="AT77" s="190"/>
      <c r="AU77" s="190"/>
      <c r="AV77" s="187"/>
      <c r="AW77" s="184"/>
      <c r="AX77" s="554"/>
    </row>
    <row r="78" spans="2:50" ht="14.25" customHeight="1">
      <c r="B78" s="525"/>
      <c r="C78" s="182">
        <v>12</v>
      </c>
      <c r="D78" s="185"/>
      <c r="E78" s="182"/>
      <c r="F78" s="182"/>
      <c r="G78" s="187"/>
      <c r="H78" s="554"/>
      <c r="I78" s="188"/>
      <c r="J78" s="188"/>
      <c r="K78" s="189"/>
      <c r="L78" s="555"/>
      <c r="M78" s="188"/>
      <c r="N78" s="525"/>
      <c r="O78" s="525"/>
      <c r="P78" s="190"/>
      <c r="Q78" s="190"/>
      <c r="R78" s="187"/>
      <c r="S78" s="184"/>
      <c r="T78" s="554"/>
      <c r="U78" s="190"/>
      <c r="V78" s="190"/>
      <c r="W78" s="187"/>
      <c r="X78" s="184"/>
      <c r="Y78" s="554"/>
      <c r="Z78" s="190"/>
      <c r="AA78" s="190"/>
      <c r="AB78" s="187"/>
      <c r="AC78" s="184"/>
      <c r="AD78" s="554"/>
      <c r="AE78" s="190"/>
      <c r="AF78" s="190"/>
      <c r="AG78" s="187"/>
      <c r="AH78" s="184"/>
      <c r="AI78" s="554"/>
      <c r="AJ78" s="190"/>
      <c r="AK78" s="190"/>
      <c r="AL78" s="187"/>
      <c r="AM78" s="184"/>
      <c r="AN78" s="554"/>
      <c r="AO78" s="190"/>
      <c r="AP78" s="190"/>
      <c r="AQ78" s="187"/>
      <c r="AR78" s="184"/>
      <c r="AS78" s="572"/>
      <c r="AT78" s="190"/>
      <c r="AU78" s="190"/>
      <c r="AV78" s="187"/>
      <c r="AW78" s="184"/>
      <c r="AX78" s="554"/>
    </row>
    <row r="79" spans="2:50" ht="14.25" customHeight="1">
      <c r="B79" s="525"/>
      <c r="C79" s="182">
        <v>13</v>
      </c>
      <c r="D79" s="185"/>
      <c r="E79" s="182"/>
      <c r="F79" s="182"/>
      <c r="G79" s="187"/>
      <c r="H79" s="554"/>
      <c r="I79" s="188"/>
      <c r="J79" s="188"/>
      <c r="K79" s="189"/>
      <c r="L79" s="555"/>
      <c r="M79" s="188"/>
      <c r="N79" s="525"/>
      <c r="O79" s="525"/>
      <c r="P79" s="190"/>
      <c r="Q79" s="190"/>
      <c r="R79" s="187"/>
      <c r="S79" s="184"/>
      <c r="T79" s="554"/>
      <c r="U79" s="190"/>
      <c r="V79" s="190"/>
      <c r="W79" s="187"/>
      <c r="X79" s="184"/>
      <c r="Y79" s="554"/>
      <c r="Z79" s="190"/>
      <c r="AA79" s="190"/>
      <c r="AB79" s="187"/>
      <c r="AC79" s="184"/>
      <c r="AD79" s="554"/>
      <c r="AE79" s="190"/>
      <c r="AF79" s="190"/>
      <c r="AG79" s="187"/>
      <c r="AH79" s="184"/>
      <c r="AI79" s="554"/>
      <c r="AJ79" s="190"/>
      <c r="AK79" s="190"/>
      <c r="AL79" s="187"/>
      <c r="AM79" s="184"/>
      <c r="AN79" s="554"/>
      <c r="AO79" s="190"/>
      <c r="AP79" s="190"/>
      <c r="AQ79" s="187"/>
      <c r="AR79" s="184"/>
      <c r="AS79" s="572"/>
      <c r="AT79" s="190"/>
      <c r="AU79" s="190"/>
      <c r="AV79" s="187"/>
      <c r="AW79" s="184"/>
      <c r="AX79" s="554"/>
    </row>
    <row r="80" spans="2:50" ht="14.25" customHeight="1">
      <c r="B80" s="525"/>
      <c r="C80" s="182">
        <v>14</v>
      </c>
      <c r="D80" s="185"/>
      <c r="E80" s="182"/>
      <c r="F80" s="182"/>
      <c r="G80" s="187"/>
      <c r="H80" s="554"/>
      <c r="I80" s="188"/>
      <c r="J80" s="188"/>
      <c r="K80" s="189"/>
      <c r="L80" s="555"/>
      <c r="M80" s="188"/>
      <c r="N80" s="525"/>
      <c r="O80" s="525"/>
      <c r="P80" s="190"/>
      <c r="Q80" s="190"/>
      <c r="R80" s="187"/>
      <c r="S80" s="184"/>
      <c r="T80" s="554"/>
      <c r="U80" s="190"/>
      <c r="V80" s="190"/>
      <c r="W80" s="187"/>
      <c r="X80" s="184"/>
      <c r="Y80" s="554"/>
      <c r="Z80" s="190"/>
      <c r="AA80" s="190"/>
      <c r="AB80" s="187"/>
      <c r="AC80" s="184"/>
      <c r="AD80" s="554"/>
      <c r="AE80" s="190"/>
      <c r="AF80" s="190"/>
      <c r="AG80" s="187"/>
      <c r="AH80" s="184"/>
      <c r="AI80" s="554"/>
      <c r="AJ80" s="190"/>
      <c r="AK80" s="190"/>
      <c r="AL80" s="187"/>
      <c r="AM80" s="184"/>
      <c r="AN80" s="554"/>
      <c r="AO80" s="190"/>
      <c r="AP80" s="190"/>
      <c r="AQ80" s="187"/>
      <c r="AR80" s="184"/>
      <c r="AS80" s="572"/>
      <c r="AT80" s="190"/>
      <c r="AU80" s="190"/>
      <c r="AV80" s="187"/>
      <c r="AW80" s="184"/>
      <c r="AX80" s="554"/>
    </row>
    <row r="81" spans="2:50" ht="14.25" customHeight="1">
      <c r="B81" s="525"/>
      <c r="C81" s="182">
        <v>15</v>
      </c>
      <c r="D81" s="185"/>
      <c r="E81" s="182"/>
      <c r="F81" s="182"/>
      <c r="G81" s="187"/>
      <c r="H81" s="554"/>
      <c r="I81" s="188"/>
      <c r="J81" s="188"/>
      <c r="K81" s="189"/>
      <c r="L81" s="555"/>
      <c r="M81" s="188"/>
      <c r="N81" s="525"/>
      <c r="O81" s="525"/>
      <c r="P81" s="190"/>
      <c r="Q81" s="190"/>
      <c r="R81" s="187"/>
      <c r="S81" s="184"/>
      <c r="T81" s="554"/>
      <c r="U81" s="190"/>
      <c r="V81" s="190"/>
      <c r="W81" s="187"/>
      <c r="X81" s="184"/>
      <c r="Y81" s="554"/>
      <c r="Z81" s="190"/>
      <c r="AA81" s="190"/>
      <c r="AB81" s="187"/>
      <c r="AC81" s="184"/>
      <c r="AD81" s="554"/>
      <c r="AE81" s="190"/>
      <c r="AF81" s="190"/>
      <c r="AG81" s="187"/>
      <c r="AH81" s="184"/>
      <c r="AI81" s="554"/>
      <c r="AJ81" s="190"/>
      <c r="AK81" s="190"/>
      <c r="AL81" s="187"/>
      <c r="AM81" s="184"/>
      <c r="AN81" s="554"/>
      <c r="AO81" s="190"/>
      <c r="AP81" s="190"/>
      <c r="AQ81" s="187"/>
      <c r="AR81" s="184"/>
      <c r="AS81" s="573"/>
      <c r="AT81" s="190"/>
      <c r="AU81" s="190"/>
      <c r="AV81" s="187"/>
      <c r="AW81" s="184"/>
      <c r="AX81" s="554"/>
    </row>
    <row r="82" spans="2:50" ht="14.25" customHeight="1" collapsed="1">
      <c r="B82" s="534" t="s">
        <v>649</v>
      </c>
      <c r="C82" s="535"/>
      <c r="D82" s="535"/>
      <c r="E82" s="535"/>
      <c r="F82" s="535"/>
      <c r="G82" s="535"/>
      <c r="H82" s="535"/>
      <c r="I82" s="535"/>
      <c r="J82" s="535"/>
      <c r="K82" s="535"/>
      <c r="L82" s="535"/>
      <c r="M82" s="536"/>
      <c r="N82" s="564" t="s">
        <v>378</v>
      </c>
      <c r="O82" s="564" t="s">
        <v>105</v>
      </c>
      <c r="P82" s="566">
        <f>AT62+1</f>
        <v>46105</v>
      </c>
      <c r="Q82" s="567"/>
      <c r="R82" s="567"/>
      <c r="S82" s="567"/>
      <c r="T82" s="567"/>
      <c r="U82" s="568">
        <f>P82+1</f>
        <v>46106</v>
      </c>
      <c r="V82" s="569"/>
      <c r="W82" s="569"/>
      <c r="X82" s="569"/>
      <c r="Y82" s="569"/>
      <c r="Z82" s="566">
        <f t="shared" ref="Z82" si="45">U82+1</f>
        <v>46107</v>
      </c>
      <c r="AA82" s="567"/>
      <c r="AB82" s="567"/>
      <c r="AC82" s="567"/>
      <c r="AD82" s="567"/>
      <c r="AE82" s="568">
        <f t="shared" ref="AE82" si="46">Z82+1</f>
        <v>46108</v>
      </c>
      <c r="AF82" s="569"/>
      <c r="AG82" s="569"/>
      <c r="AH82" s="569"/>
      <c r="AI82" s="569"/>
      <c r="AJ82" s="556">
        <f t="shared" ref="AJ82" si="47">AE82+1</f>
        <v>46109</v>
      </c>
      <c r="AK82" s="557"/>
      <c r="AL82" s="557"/>
      <c r="AM82" s="557"/>
      <c r="AN82" s="558"/>
      <c r="AO82" s="568">
        <f t="shared" ref="AO82" si="48">AJ82+1</f>
        <v>46110</v>
      </c>
      <c r="AP82" s="569"/>
      <c r="AQ82" s="569"/>
      <c r="AR82" s="569"/>
      <c r="AS82" s="569"/>
      <c r="AT82" s="556">
        <f t="shared" ref="AT82" si="49">AO82+1</f>
        <v>46111</v>
      </c>
      <c r="AU82" s="557"/>
      <c r="AV82" s="557"/>
      <c r="AW82" s="557"/>
      <c r="AX82" s="558"/>
    </row>
    <row r="83" spans="2:50" ht="14.25" customHeight="1">
      <c r="B83" s="537"/>
      <c r="C83" s="537"/>
      <c r="D83" s="537"/>
      <c r="E83" s="537"/>
      <c r="F83" s="537"/>
      <c r="G83" s="537"/>
      <c r="H83" s="537"/>
      <c r="I83" s="537"/>
      <c r="J83" s="537"/>
      <c r="K83" s="537"/>
      <c r="L83" s="537"/>
      <c r="M83" s="538"/>
      <c r="N83" s="565"/>
      <c r="O83" s="565"/>
      <c r="P83" s="559">
        <f>P82</f>
        <v>46105</v>
      </c>
      <c r="Q83" s="559"/>
      <c r="R83" s="559"/>
      <c r="S83" s="559"/>
      <c r="T83" s="559"/>
      <c r="U83" s="560">
        <f>U82</f>
        <v>46106</v>
      </c>
      <c r="V83" s="560"/>
      <c r="W83" s="560"/>
      <c r="X83" s="560"/>
      <c r="Y83" s="560"/>
      <c r="Z83" s="559">
        <f t="shared" ref="Z83" si="50">Z82</f>
        <v>46107</v>
      </c>
      <c r="AA83" s="559"/>
      <c r="AB83" s="559"/>
      <c r="AC83" s="559"/>
      <c r="AD83" s="559"/>
      <c r="AE83" s="560">
        <f t="shared" ref="AE83" si="51">AE82</f>
        <v>46108</v>
      </c>
      <c r="AF83" s="560"/>
      <c r="AG83" s="560"/>
      <c r="AH83" s="560"/>
      <c r="AI83" s="560"/>
      <c r="AJ83" s="561">
        <f t="shared" ref="AJ83" si="52">AJ82</f>
        <v>46109</v>
      </c>
      <c r="AK83" s="562"/>
      <c r="AL83" s="562"/>
      <c r="AM83" s="562"/>
      <c r="AN83" s="563"/>
      <c r="AO83" s="560">
        <f t="shared" ref="AO83" si="53">AO82</f>
        <v>46110</v>
      </c>
      <c r="AP83" s="560"/>
      <c r="AQ83" s="560"/>
      <c r="AR83" s="560"/>
      <c r="AS83" s="560"/>
      <c r="AT83" s="561">
        <f t="shared" ref="AT83" si="54">AT82</f>
        <v>46111</v>
      </c>
      <c r="AU83" s="562"/>
      <c r="AV83" s="562"/>
      <c r="AW83" s="562"/>
      <c r="AX83" s="563"/>
    </row>
    <row r="84" spans="2:50" ht="14.25" customHeight="1">
      <c r="B84" s="525" t="s">
        <v>164</v>
      </c>
      <c r="C84" s="525" t="s">
        <v>159</v>
      </c>
      <c r="D84" s="525"/>
      <c r="E84" s="525" t="s">
        <v>160</v>
      </c>
      <c r="F84" s="525"/>
      <c r="G84" s="525"/>
      <c r="H84" s="525" t="s">
        <v>165</v>
      </c>
      <c r="I84" s="544" t="s">
        <v>379</v>
      </c>
      <c r="J84" s="544"/>
      <c r="K84" s="544"/>
      <c r="L84" s="544" t="s">
        <v>165</v>
      </c>
      <c r="M84" s="544" t="s">
        <v>167</v>
      </c>
      <c r="N84" s="525"/>
      <c r="O84" s="525" t="s">
        <v>166</v>
      </c>
      <c r="P84" s="525" t="s">
        <v>162</v>
      </c>
      <c r="Q84" s="525"/>
      <c r="R84" s="525"/>
      <c r="S84" s="525"/>
      <c r="T84" s="525" t="s">
        <v>165</v>
      </c>
      <c r="U84" s="525" t="s">
        <v>162</v>
      </c>
      <c r="V84" s="525"/>
      <c r="W84" s="525"/>
      <c r="X84" s="525"/>
      <c r="Y84" s="525" t="s">
        <v>165</v>
      </c>
      <c r="Z84" s="525" t="s">
        <v>162</v>
      </c>
      <c r="AA84" s="525"/>
      <c r="AB84" s="525"/>
      <c r="AC84" s="525"/>
      <c r="AD84" s="525" t="s">
        <v>165</v>
      </c>
      <c r="AE84" s="525" t="s">
        <v>162</v>
      </c>
      <c r="AF84" s="525"/>
      <c r="AG84" s="525"/>
      <c r="AH84" s="525"/>
      <c r="AI84" s="525" t="s">
        <v>165</v>
      </c>
      <c r="AJ84" s="525" t="s">
        <v>162</v>
      </c>
      <c r="AK84" s="525"/>
      <c r="AL84" s="525"/>
      <c r="AM84" s="525"/>
      <c r="AN84" s="525" t="s">
        <v>165</v>
      </c>
      <c r="AO84" s="525" t="s">
        <v>162</v>
      </c>
      <c r="AP84" s="525"/>
      <c r="AQ84" s="525"/>
      <c r="AR84" s="525"/>
      <c r="AS84" s="525" t="s">
        <v>165</v>
      </c>
      <c r="AT84" s="525" t="s">
        <v>162</v>
      </c>
      <c r="AU84" s="525"/>
      <c r="AV84" s="525"/>
      <c r="AW84" s="525"/>
      <c r="AX84" s="525" t="s">
        <v>165</v>
      </c>
    </row>
    <row r="85" spans="2:50" ht="14.25" customHeight="1">
      <c r="B85" s="525"/>
      <c r="C85" s="525"/>
      <c r="D85" s="525"/>
      <c r="E85" s="525" t="s">
        <v>380</v>
      </c>
      <c r="F85" s="525"/>
      <c r="G85" s="525"/>
      <c r="H85" s="525"/>
      <c r="I85" s="544" t="s">
        <v>380</v>
      </c>
      <c r="J85" s="544"/>
      <c r="K85" s="544"/>
      <c r="L85" s="544"/>
      <c r="M85" s="544"/>
      <c r="N85" s="525"/>
      <c r="O85" s="525"/>
      <c r="P85" s="525" t="s">
        <v>381</v>
      </c>
      <c r="Q85" s="525"/>
      <c r="R85" s="525"/>
      <c r="S85" s="525"/>
      <c r="T85" s="525"/>
      <c r="U85" s="525" t="s">
        <v>381</v>
      </c>
      <c r="V85" s="525"/>
      <c r="W85" s="525"/>
      <c r="X85" s="525"/>
      <c r="Y85" s="525"/>
      <c r="Z85" s="525" t="s">
        <v>381</v>
      </c>
      <c r="AA85" s="525"/>
      <c r="AB85" s="525"/>
      <c r="AC85" s="525"/>
      <c r="AD85" s="525"/>
      <c r="AE85" s="525" t="s">
        <v>381</v>
      </c>
      <c r="AF85" s="525"/>
      <c r="AG85" s="525"/>
      <c r="AH85" s="525"/>
      <c r="AI85" s="525"/>
      <c r="AJ85" s="525" t="s">
        <v>381</v>
      </c>
      <c r="AK85" s="525"/>
      <c r="AL85" s="525"/>
      <c r="AM85" s="525"/>
      <c r="AN85" s="525"/>
      <c r="AO85" s="525" t="s">
        <v>381</v>
      </c>
      <c r="AP85" s="525"/>
      <c r="AQ85" s="525"/>
      <c r="AR85" s="525"/>
      <c r="AS85" s="525"/>
      <c r="AT85" s="525" t="s">
        <v>381</v>
      </c>
      <c r="AU85" s="525"/>
      <c r="AV85" s="525"/>
      <c r="AW85" s="525"/>
      <c r="AX85" s="525"/>
    </row>
    <row r="86" spans="2:50" ht="14.25" customHeight="1">
      <c r="B86" s="525"/>
      <c r="C86" s="525"/>
      <c r="D86" s="525"/>
      <c r="E86" s="182" t="s">
        <v>161</v>
      </c>
      <c r="F86" s="182" t="s">
        <v>382</v>
      </c>
      <c r="G86" s="182" t="s">
        <v>163</v>
      </c>
      <c r="H86" s="525"/>
      <c r="I86" s="183" t="s">
        <v>161</v>
      </c>
      <c r="J86" s="183" t="s">
        <v>382</v>
      </c>
      <c r="K86" s="183" t="s">
        <v>163</v>
      </c>
      <c r="L86" s="544"/>
      <c r="M86" s="544"/>
      <c r="N86" s="525"/>
      <c r="O86" s="525"/>
      <c r="P86" s="182" t="s">
        <v>161</v>
      </c>
      <c r="Q86" s="182" t="s">
        <v>382</v>
      </c>
      <c r="R86" s="182" t="s">
        <v>163</v>
      </c>
      <c r="S86" s="184" t="s">
        <v>167</v>
      </c>
      <c r="T86" s="525"/>
      <c r="U86" s="182" t="s">
        <v>161</v>
      </c>
      <c r="V86" s="182" t="s">
        <v>382</v>
      </c>
      <c r="W86" s="182" t="s">
        <v>163</v>
      </c>
      <c r="X86" s="184" t="s">
        <v>167</v>
      </c>
      <c r="Y86" s="525"/>
      <c r="Z86" s="182" t="s">
        <v>161</v>
      </c>
      <c r="AA86" s="182" t="s">
        <v>382</v>
      </c>
      <c r="AB86" s="182" t="s">
        <v>163</v>
      </c>
      <c r="AC86" s="184" t="s">
        <v>167</v>
      </c>
      <c r="AD86" s="525"/>
      <c r="AE86" s="182" t="s">
        <v>161</v>
      </c>
      <c r="AF86" s="182" t="s">
        <v>382</v>
      </c>
      <c r="AG86" s="182" t="s">
        <v>163</v>
      </c>
      <c r="AH86" s="184" t="s">
        <v>167</v>
      </c>
      <c r="AI86" s="525"/>
      <c r="AJ86" s="182" t="s">
        <v>161</v>
      </c>
      <c r="AK86" s="182" t="s">
        <v>382</v>
      </c>
      <c r="AL86" s="182" t="s">
        <v>163</v>
      </c>
      <c r="AM86" s="184" t="s">
        <v>167</v>
      </c>
      <c r="AN86" s="525"/>
      <c r="AO86" s="182" t="s">
        <v>161</v>
      </c>
      <c r="AP86" s="182" t="s">
        <v>382</v>
      </c>
      <c r="AQ86" s="182" t="s">
        <v>163</v>
      </c>
      <c r="AR86" s="184" t="s">
        <v>167</v>
      </c>
      <c r="AS86" s="525"/>
      <c r="AT86" s="182" t="s">
        <v>161</v>
      </c>
      <c r="AU86" s="182" t="s">
        <v>382</v>
      </c>
      <c r="AV86" s="182" t="s">
        <v>163</v>
      </c>
      <c r="AW86" s="184" t="s">
        <v>167</v>
      </c>
      <c r="AX86" s="525"/>
    </row>
    <row r="87" spans="2:50" ht="14.25" customHeight="1">
      <c r="B87" s="525" t="s">
        <v>144</v>
      </c>
      <c r="C87" s="182">
        <v>1</v>
      </c>
      <c r="D87" s="185"/>
      <c r="E87" s="182"/>
      <c r="F87" s="182"/>
      <c r="G87" s="187"/>
      <c r="H87" s="554"/>
      <c r="I87" s="188"/>
      <c r="J87" s="188"/>
      <c r="K87" s="189"/>
      <c r="L87" s="555" t="str">
        <f>IFERROR(AVERAGE(K87:K101),"-")</f>
        <v>-</v>
      </c>
      <c r="M87" s="188" t="e">
        <f>RANK(K87, K$87:$K$101)</f>
        <v>#N/A</v>
      </c>
      <c r="N87" s="525"/>
      <c r="O87" s="525"/>
      <c r="P87" s="190"/>
      <c r="Q87" s="190"/>
      <c r="R87" s="187"/>
      <c r="S87" s="184"/>
      <c r="T87" s="554"/>
      <c r="U87" s="190"/>
      <c r="V87" s="190"/>
      <c r="W87" s="187"/>
      <c r="X87" s="184"/>
      <c r="Y87" s="554"/>
      <c r="Z87" s="190"/>
      <c r="AA87" s="190"/>
      <c r="AB87" s="187"/>
      <c r="AC87" s="184"/>
      <c r="AD87" s="554"/>
      <c r="AE87" s="190"/>
      <c r="AF87" s="190"/>
      <c r="AG87" s="187"/>
      <c r="AH87" s="184"/>
      <c r="AI87" s="554"/>
      <c r="AJ87" s="190"/>
      <c r="AK87" s="190"/>
      <c r="AL87" s="187"/>
      <c r="AM87" s="184"/>
      <c r="AN87" s="554"/>
      <c r="AO87" s="190"/>
      <c r="AP87" s="190"/>
      <c r="AQ87" s="187"/>
      <c r="AR87" s="184"/>
      <c r="AS87" s="554"/>
      <c r="AT87" s="190"/>
      <c r="AU87" s="190"/>
      <c r="AV87" s="187"/>
      <c r="AW87" s="184"/>
      <c r="AX87" s="554"/>
    </row>
    <row r="88" spans="2:50" ht="14.25" customHeight="1">
      <c r="B88" s="525"/>
      <c r="C88" s="182">
        <v>2</v>
      </c>
      <c r="D88" s="185"/>
      <c r="E88" s="182"/>
      <c r="F88" s="182"/>
      <c r="G88" s="187"/>
      <c r="H88" s="554"/>
      <c r="I88" s="188"/>
      <c r="J88" s="188"/>
      <c r="K88" s="189"/>
      <c r="L88" s="555"/>
      <c r="M88" s="188" t="e">
        <f>RANK(K88, K$87:$K$101)</f>
        <v>#N/A</v>
      </c>
      <c r="N88" s="525"/>
      <c r="O88" s="525"/>
      <c r="P88" s="190"/>
      <c r="Q88" s="190"/>
      <c r="R88" s="187"/>
      <c r="S88" s="184"/>
      <c r="T88" s="554"/>
      <c r="U88" s="190"/>
      <c r="V88" s="190"/>
      <c r="W88" s="187"/>
      <c r="X88" s="184"/>
      <c r="Y88" s="554"/>
      <c r="Z88" s="190"/>
      <c r="AA88" s="190"/>
      <c r="AB88" s="187"/>
      <c r="AC88" s="184"/>
      <c r="AD88" s="554"/>
      <c r="AE88" s="190"/>
      <c r="AF88" s="190"/>
      <c r="AG88" s="187"/>
      <c r="AH88" s="184"/>
      <c r="AI88" s="554"/>
      <c r="AJ88" s="190"/>
      <c r="AK88" s="190"/>
      <c r="AL88" s="187"/>
      <c r="AM88" s="184"/>
      <c r="AN88" s="554"/>
      <c r="AO88" s="190"/>
      <c r="AP88" s="190"/>
      <c r="AQ88" s="187"/>
      <c r="AR88" s="184"/>
      <c r="AS88" s="554"/>
      <c r="AT88" s="190"/>
      <c r="AU88" s="190"/>
      <c r="AV88" s="187"/>
      <c r="AW88" s="184"/>
      <c r="AX88" s="554"/>
    </row>
    <row r="89" spans="2:50" ht="14.25" customHeight="1">
      <c r="B89" s="525"/>
      <c r="C89" s="182">
        <v>3</v>
      </c>
      <c r="D89" s="185"/>
      <c r="E89" s="182"/>
      <c r="F89" s="182"/>
      <c r="G89" s="187"/>
      <c r="H89" s="554"/>
      <c r="I89" s="188"/>
      <c r="J89" s="188"/>
      <c r="K89" s="189"/>
      <c r="L89" s="555"/>
      <c r="M89" s="188"/>
      <c r="N89" s="525"/>
      <c r="O89" s="525"/>
      <c r="P89" s="190"/>
      <c r="Q89" s="190"/>
      <c r="R89" s="187"/>
      <c r="S89" s="184"/>
      <c r="T89" s="554"/>
      <c r="U89" s="190"/>
      <c r="V89" s="190"/>
      <c r="W89" s="187"/>
      <c r="X89" s="184"/>
      <c r="Y89" s="554"/>
      <c r="Z89" s="190"/>
      <c r="AA89" s="190"/>
      <c r="AB89" s="187"/>
      <c r="AC89" s="184"/>
      <c r="AD89" s="554"/>
      <c r="AE89" s="190"/>
      <c r="AF89" s="190"/>
      <c r="AG89" s="187"/>
      <c r="AH89" s="184"/>
      <c r="AI89" s="554"/>
      <c r="AJ89" s="190"/>
      <c r="AK89" s="190"/>
      <c r="AL89" s="187"/>
      <c r="AM89" s="184"/>
      <c r="AN89" s="554"/>
      <c r="AO89" s="190"/>
      <c r="AP89" s="190"/>
      <c r="AQ89" s="187"/>
      <c r="AR89" s="184"/>
      <c r="AS89" s="554"/>
      <c r="AT89" s="190"/>
      <c r="AU89" s="190"/>
      <c r="AV89" s="187"/>
      <c r="AW89" s="184"/>
      <c r="AX89" s="554"/>
    </row>
    <row r="90" spans="2:50" ht="14.25" customHeight="1">
      <c r="B90" s="525"/>
      <c r="C90" s="182">
        <v>4</v>
      </c>
      <c r="D90" s="185"/>
      <c r="E90" s="182"/>
      <c r="F90" s="182"/>
      <c r="G90" s="187"/>
      <c r="H90" s="554"/>
      <c r="I90" s="188"/>
      <c r="J90" s="188"/>
      <c r="K90" s="189"/>
      <c r="L90" s="555"/>
      <c r="M90" s="188"/>
      <c r="N90" s="525"/>
      <c r="O90" s="525"/>
      <c r="P90" s="190"/>
      <c r="Q90" s="190"/>
      <c r="R90" s="187"/>
      <c r="S90" s="184"/>
      <c r="T90" s="554"/>
      <c r="U90" s="190"/>
      <c r="V90" s="190"/>
      <c r="W90" s="187"/>
      <c r="X90" s="184"/>
      <c r="Y90" s="554"/>
      <c r="Z90" s="190"/>
      <c r="AA90" s="190"/>
      <c r="AB90" s="187"/>
      <c r="AC90" s="184"/>
      <c r="AD90" s="554"/>
      <c r="AE90" s="190"/>
      <c r="AF90" s="190"/>
      <c r="AG90" s="187"/>
      <c r="AH90" s="184"/>
      <c r="AI90" s="554"/>
      <c r="AJ90" s="190"/>
      <c r="AK90" s="190"/>
      <c r="AL90" s="187"/>
      <c r="AM90" s="184"/>
      <c r="AN90" s="554"/>
      <c r="AO90" s="190"/>
      <c r="AP90" s="190"/>
      <c r="AQ90" s="187"/>
      <c r="AR90" s="184"/>
      <c r="AS90" s="554"/>
      <c r="AT90" s="190"/>
      <c r="AU90" s="190"/>
      <c r="AV90" s="187"/>
      <c r="AW90" s="184"/>
      <c r="AX90" s="554"/>
    </row>
    <row r="91" spans="2:50" ht="14.25" customHeight="1">
      <c r="B91" s="525"/>
      <c r="C91" s="182">
        <v>5</v>
      </c>
      <c r="D91" s="185"/>
      <c r="E91" s="182"/>
      <c r="F91" s="182"/>
      <c r="G91" s="187"/>
      <c r="H91" s="554"/>
      <c r="I91" s="188"/>
      <c r="J91" s="188"/>
      <c r="K91" s="189"/>
      <c r="L91" s="555"/>
      <c r="M91" s="188"/>
      <c r="N91" s="525"/>
      <c r="O91" s="525"/>
      <c r="P91" s="190"/>
      <c r="Q91" s="190"/>
      <c r="R91" s="187"/>
      <c r="S91" s="184"/>
      <c r="T91" s="554"/>
      <c r="U91" s="190"/>
      <c r="V91" s="190"/>
      <c r="W91" s="187"/>
      <c r="X91" s="184"/>
      <c r="Y91" s="554"/>
      <c r="Z91" s="190"/>
      <c r="AA91" s="190"/>
      <c r="AB91" s="187"/>
      <c r="AC91" s="184"/>
      <c r="AD91" s="554"/>
      <c r="AE91" s="190"/>
      <c r="AF91" s="190"/>
      <c r="AG91" s="187"/>
      <c r="AH91" s="184"/>
      <c r="AI91" s="554"/>
      <c r="AJ91" s="190"/>
      <c r="AK91" s="190"/>
      <c r="AL91" s="187"/>
      <c r="AM91" s="184"/>
      <c r="AN91" s="554"/>
      <c r="AO91" s="190"/>
      <c r="AP91" s="190"/>
      <c r="AQ91" s="187"/>
      <c r="AR91" s="184"/>
      <c r="AS91" s="554"/>
      <c r="AT91" s="190"/>
      <c r="AU91" s="190"/>
      <c r="AV91" s="187"/>
      <c r="AW91" s="184"/>
      <c r="AX91" s="554"/>
    </row>
    <row r="92" spans="2:50" ht="14.25" customHeight="1">
      <c r="B92" s="525"/>
      <c r="C92" s="182">
        <v>6</v>
      </c>
      <c r="D92" s="185"/>
      <c r="E92" s="182"/>
      <c r="F92" s="182"/>
      <c r="G92" s="187"/>
      <c r="H92" s="554"/>
      <c r="I92" s="188"/>
      <c r="J92" s="188"/>
      <c r="K92" s="189"/>
      <c r="L92" s="555"/>
      <c r="M92" s="188"/>
      <c r="N92" s="525"/>
      <c r="O92" s="525"/>
      <c r="P92" s="190"/>
      <c r="Q92" s="190"/>
      <c r="R92" s="187"/>
      <c r="S92" s="184"/>
      <c r="T92" s="554"/>
      <c r="U92" s="190"/>
      <c r="V92" s="190"/>
      <c r="W92" s="187"/>
      <c r="X92" s="184"/>
      <c r="Y92" s="554"/>
      <c r="Z92" s="190"/>
      <c r="AA92" s="190"/>
      <c r="AB92" s="187"/>
      <c r="AC92" s="184"/>
      <c r="AD92" s="554"/>
      <c r="AE92" s="190"/>
      <c r="AF92" s="190"/>
      <c r="AG92" s="187"/>
      <c r="AH92" s="184"/>
      <c r="AI92" s="554"/>
      <c r="AJ92" s="190"/>
      <c r="AK92" s="190"/>
      <c r="AL92" s="187"/>
      <c r="AM92" s="184"/>
      <c r="AN92" s="554"/>
      <c r="AO92" s="190"/>
      <c r="AP92" s="190"/>
      <c r="AQ92" s="187"/>
      <c r="AR92" s="184"/>
      <c r="AS92" s="554"/>
      <c r="AT92" s="190"/>
      <c r="AU92" s="190"/>
      <c r="AV92" s="187"/>
      <c r="AW92" s="184"/>
      <c r="AX92" s="554"/>
    </row>
    <row r="93" spans="2:50" ht="14.25" customHeight="1">
      <c r="B93" s="525"/>
      <c r="C93" s="182">
        <v>7</v>
      </c>
      <c r="D93" s="185"/>
      <c r="E93" s="182"/>
      <c r="F93" s="182"/>
      <c r="G93" s="187"/>
      <c r="H93" s="554"/>
      <c r="I93" s="188"/>
      <c r="J93" s="188"/>
      <c r="K93" s="189"/>
      <c r="L93" s="555"/>
      <c r="M93" s="188"/>
      <c r="N93" s="525"/>
      <c r="O93" s="525"/>
      <c r="P93" s="190"/>
      <c r="Q93" s="190"/>
      <c r="R93" s="187"/>
      <c r="S93" s="184"/>
      <c r="T93" s="554"/>
      <c r="U93" s="190"/>
      <c r="V93" s="190"/>
      <c r="W93" s="187"/>
      <c r="X93" s="184"/>
      <c r="Y93" s="554"/>
      <c r="Z93" s="190"/>
      <c r="AA93" s="190"/>
      <c r="AB93" s="187"/>
      <c r="AC93" s="184"/>
      <c r="AD93" s="554"/>
      <c r="AE93" s="190"/>
      <c r="AF93" s="190"/>
      <c r="AG93" s="187"/>
      <c r="AH93" s="184"/>
      <c r="AI93" s="554"/>
      <c r="AJ93" s="190"/>
      <c r="AK93" s="190"/>
      <c r="AL93" s="187"/>
      <c r="AM93" s="184"/>
      <c r="AN93" s="554"/>
      <c r="AO93" s="190"/>
      <c r="AP93" s="190"/>
      <c r="AQ93" s="187"/>
      <c r="AR93" s="184"/>
      <c r="AS93" s="554"/>
      <c r="AT93" s="190"/>
      <c r="AU93" s="190"/>
      <c r="AV93" s="187"/>
      <c r="AW93" s="184"/>
      <c r="AX93" s="554"/>
    </row>
    <row r="94" spans="2:50" ht="14.25" customHeight="1">
      <c r="B94" s="525"/>
      <c r="C94" s="182">
        <v>8</v>
      </c>
      <c r="D94" s="185"/>
      <c r="E94" s="182"/>
      <c r="F94" s="182"/>
      <c r="G94" s="187"/>
      <c r="H94" s="554"/>
      <c r="I94" s="188"/>
      <c r="J94" s="188"/>
      <c r="K94" s="189"/>
      <c r="L94" s="555"/>
      <c r="M94" s="188"/>
      <c r="N94" s="525"/>
      <c r="O94" s="525"/>
      <c r="P94" s="190"/>
      <c r="Q94" s="190"/>
      <c r="R94" s="187"/>
      <c r="S94" s="184"/>
      <c r="T94" s="554"/>
      <c r="U94" s="190"/>
      <c r="V94" s="190"/>
      <c r="W94" s="187"/>
      <c r="X94" s="184"/>
      <c r="Y94" s="554"/>
      <c r="Z94" s="190"/>
      <c r="AA94" s="190"/>
      <c r="AB94" s="187"/>
      <c r="AC94" s="184"/>
      <c r="AD94" s="554"/>
      <c r="AE94" s="190"/>
      <c r="AF94" s="190"/>
      <c r="AG94" s="187"/>
      <c r="AH94" s="184"/>
      <c r="AI94" s="554"/>
      <c r="AJ94" s="190"/>
      <c r="AK94" s="190"/>
      <c r="AL94" s="187"/>
      <c r="AM94" s="184"/>
      <c r="AN94" s="554"/>
      <c r="AO94" s="190"/>
      <c r="AP94" s="190"/>
      <c r="AQ94" s="187"/>
      <c r="AR94" s="184"/>
      <c r="AS94" s="554"/>
      <c r="AT94" s="190"/>
      <c r="AU94" s="190"/>
      <c r="AV94" s="187"/>
      <c r="AW94" s="184"/>
      <c r="AX94" s="554"/>
    </row>
    <row r="95" spans="2:50" ht="14.25" customHeight="1">
      <c r="B95" s="525"/>
      <c r="C95" s="182">
        <v>9</v>
      </c>
      <c r="D95" s="185"/>
      <c r="E95" s="182"/>
      <c r="F95" s="182"/>
      <c r="G95" s="187"/>
      <c r="H95" s="554"/>
      <c r="I95" s="188"/>
      <c r="J95" s="188"/>
      <c r="K95" s="189"/>
      <c r="L95" s="555"/>
      <c r="M95" s="188"/>
      <c r="N95" s="525"/>
      <c r="O95" s="525"/>
      <c r="P95" s="190"/>
      <c r="Q95" s="190"/>
      <c r="R95" s="187"/>
      <c r="S95" s="184"/>
      <c r="T95" s="554"/>
      <c r="U95" s="190"/>
      <c r="V95" s="190"/>
      <c r="W95" s="187"/>
      <c r="X95" s="184"/>
      <c r="Y95" s="554"/>
      <c r="Z95" s="190"/>
      <c r="AA95" s="190"/>
      <c r="AB95" s="187"/>
      <c r="AC95" s="184"/>
      <c r="AD95" s="554"/>
      <c r="AE95" s="190"/>
      <c r="AF95" s="190"/>
      <c r="AG95" s="187"/>
      <c r="AH95" s="184"/>
      <c r="AI95" s="554"/>
      <c r="AJ95" s="190"/>
      <c r="AK95" s="190"/>
      <c r="AL95" s="187"/>
      <c r="AM95" s="184"/>
      <c r="AN95" s="554"/>
      <c r="AO95" s="190"/>
      <c r="AP95" s="190"/>
      <c r="AQ95" s="187"/>
      <c r="AR95" s="184"/>
      <c r="AS95" s="554"/>
      <c r="AT95" s="190"/>
      <c r="AU95" s="190"/>
      <c r="AV95" s="187"/>
      <c r="AW95" s="184"/>
      <c r="AX95" s="554"/>
    </row>
    <row r="96" spans="2:50" ht="14.25" customHeight="1">
      <c r="B96" s="525"/>
      <c r="C96" s="182">
        <v>10</v>
      </c>
      <c r="D96" s="185"/>
      <c r="E96" s="182"/>
      <c r="F96" s="182"/>
      <c r="G96" s="187"/>
      <c r="H96" s="554"/>
      <c r="I96" s="188"/>
      <c r="J96" s="188"/>
      <c r="K96" s="189"/>
      <c r="L96" s="555"/>
      <c r="M96" s="188"/>
      <c r="N96" s="525"/>
      <c r="O96" s="525"/>
      <c r="P96" s="190"/>
      <c r="Q96" s="190"/>
      <c r="R96" s="187"/>
      <c r="S96" s="184"/>
      <c r="T96" s="554"/>
      <c r="U96" s="190"/>
      <c r="V96" s="190"/>
      <c r="W96" s="187"/>
      <c r="X96" s="184"/>
      <c r="Y96" s="554"/>
      <c r="Z96" s="190"/>
      <c r="AA96" s="190"/>
      <c r="AB96" s="187"/>
      <c r="AC96" s="184"/>
      <c r="AD96" s="554"/>
      <c r="AE96" s="190"/>
      <c r="AF96" s="190"/>
      <c r="AG96" s="187"/>
      <c r="AH96" s="184"/>
      <c r="AI96" s="554"/>
      <c r="AJ96" s="190"/>
      <c r="AK96" s="190"/>
      <c r="AL96" s="187"/>
      <c r="AM96" s="184"/>
      <c r="AN96" s="554"/>
      <c r="AO96" s="190"/>
      <c r="AP96" s="190"/>
      <c r="AQ96" s="187"/>
      <c r="AR96" s="184"/>
      <c r="AS96" s="554"/>
      <c r="AT96" s="190"/>
      <c r="AU96" s="190"/>
      <c r="AV96" s="187"/>
      <c r="AW96" s="184"/>
      <c r="AX96" s="554"/>
    </row>
    <row r="97" spans="2:50" ht="14.25" customHeight="1">
      <c r="B97" s="525"/>
      <c r="C97" s="182">
        <v>11</v>
      </c>
      <c r="D97" s="185"/>
      <c r="E97" s="182"/>
      <c r="F97" s="182"/>
      <c r="G97" s="187"/>
      <c r="H97" s="554"/>
      <c r="I97" s="188"/>
      <c r="J97" s="188"/>
      <c r="K97" s="189"/>
      <c r="L97" s="555"/>
      <c r="M97" s="188"/>
      <c r="N97" s="525"/>
      <c r="O97" s="525"/>
      <c r="P97" s="190"/>
      <c r="Q97" s="190"/>
      <c r="R97" s="187"/>
      <c r="S97" s="184"/>
      <c r="T97" s="554"/>
      <c r="U97" s="190"/>
      <c r="V97" s="190"/>
      <c r="W97" s="187"/>
      <c r="X97" s="184"/>
      <c r="Y97" s="554"/>
      <c r="Z97" s="190"/>
      <c r="AA97" s="190"/>
      <c r="AB97" s="187"/>
      <c r="AC97" s="184"/>
      <c r="AD97" s="554"/>
      <c r="AE97" s="190"/>
      <c r="AF97" s="190"/>
      <c r="AG97" s="187"/>
      <c r="AH97" s="184"/>
      <c r="AI97" s="554"/>
      <c r="AJ97" s="190"/>
      <c r="AK97" s="190"/>
      <c r="AL97" s="187"/>
      <c r="AM97" s="184"/>
      <c r="AN97" s="554"/>
      <c r="AO97" s="190"/>
      <c r="AP97" s="190"/>
      <c r="AQ97" s="187"/>
      <c r="AR97" s="184"/>
      <c r="AS97" s="554"/>
      <c r="AT97" s="190"/>
      <c r="AU97" s="190"/>
      <c r="AV97" s="187"/>
      <c r="AW97" s="184"/>
      <c r="AX97" s="554"/>
    </row>
    <row r="98" spans="2:50" ht="14.25" customHeight="1">
      <c r="B98" s="525"/>
      <c r="C98" s="182">
        <v>12</v>
      </c>
      <c r="D98" s="185"/>
      <c r="E98" s="182"/>
      <c r="F98" s="182"/>
      <c r="G98" s="187"/>
      <c r="H98" s="554"/>
      <c r="I98" s="188"/>
      <c r="J98" s="188"/>
      <c r="K98" s="189"/>
      <c r="L98" s="555"/>
      <c r="M98" s="188"/>
      <c r="N98" s="525"/>
      <c r="O98" s="525"/>
      <c r="P98" s="190"/>
      <c r="Q98" s="190"/>
      <c r="R98" s="187"/>
      <c r="S98" s="184"/>
      <c r="T98" s="554"/>
      <c r="U98" s="190"/>
      <c r="V98" s="190"/>
      <c r="W98" s="187"/>
      <c r="X98" s="184"/>
      <c r="Y98" s="554"/>
      <c r="Z98" s="190"/>
      <c r="AA98" s="190"/>
      <c r="AB98" s="187"/>
      <c r="AC98" s="184"/>
      <c r="AD98" s="554"/>
      <c r="AE98" s="190"/>
      <c r="AF98" s="190"/>
      <c r="AG98" s="187"/>
      <c r="AH98" s="184"/>
      <c r="AI98" s="554"/>
      <c r="AJ98" s="190"/>
      <c r="AK98" s="190"/>
      <c r="AL98" s="187"/>
      <c r="AM98" s="184"/>
      <c r="AN98" s="554"/>
      <c r="AO98" s="190"/>
      <c r="AP98" s="190"/>
      <c r="AQ98" s="187"/>
      <c r="AR98" s="184"/>
      <c r="AS98" s="554"/>
      <c r="AT98" s="190"/>
      <c r="AU98" s="190"/>
      <c r="AV98" s="187"/>
      <c r="AW98" s="184"/>
      <c r="AX98" s="554"/>
    </row>
    <row r="99" spans="2:50" ht="14.25" customHeight="1">
      <c r="B99" s="525"/>
      <c r="C99" s="182">
        <v>13</v>
      </c>
      <c r="D99" s="185"/>
      <c r="E99" s="182"/>
      <c r="F99" s="182"/>
      <c r="G99" s="187"/>
      <c r="H99" s="554"/>
      <c r="I99" s="188"/>
      <c r="J99" s="188"/>
      <c r="K99" s="189"/>
      <c r="L99" s="555"/>
      <c r="M99" s="188"/>
      <c r="N99" s="525"/>
      <c r="O99" s="525"/>
      <c r="P99" s="190"/>
      <c r="Q99" s="190"/>
      <c r="R99" s="187"/>
      <c r="S99" s="184"/>
      <c r="T99" s="554"/>
      <c r="U99" s="190"/>
      <c r="V99" s="190"/>
      <c r="W99" s="187"/>
      <c r="X99" s="184"/>
      <c r="Y99" s="554"/>
      <c r="Z99" s="190"/>
      <c r="AA99" s="190"/>
      <c r="AB99" s="187"/>
      <c r="AC99" s="184"/>
      <c r="AD99" s="554"/>
      <c r="AE99" s="190"/>
      <c r="AF99" s="190"/>
      <c r="AG99" s="187"/>
      <c r="AH99" s="184"/>
      <c r="AI99" s="554"/>
      <c r="AJ99" s="190"/>
      <c r="AK99" s="190"/>
      <c r="AL99" s="187"/>
      <c r="AM99" s="184"/>
      <c r="AN99" s="554"/>
      <c r="AO99" s="190"/>
      <c r="AP99" s="190"/>
      <c r="AQ99" s="187"/>
      <c r="AR99" s="184"/>
      <c r="AS99" s="554"/>
      <c r="AT99" s="190"/>
      <c r="AU99" s="190"/>
      <c r="AV99" s="187"/>
      <c r="AW99" s="184"/>
      <c r="AX99" s="554"/>
    </row>
    <row r="100" spans="2:50" ht="14.25" customHeight="1">
      <c r="B100" s="525"/>
      <c r="C100" s="182">
        <v>14</v>
      </c>
      <c r="D100" s="185"/>
      <c r="E100" s="182"/>
      <c r="F100" s="182"/>
      <c r="G100" s="187"/>
      <c r="H100" s="554"/>
      <c r="I100" s="188"/>
      <c r="J100" s="188"/>
      <c r="K100" s="189"/>
      <c r="L100" s="555"/>
      <c r="M100" s="188"/>
      <c r="N100" s="525"/>
      <c r="O100" s="525"/>
      <c r="P100" s="190"/>
      <c r="Q100" s="190"/>
      <c r="R100" s="187"/>
      <c r="S100" s="184"/>
      <c r="T100" s="554"/>
      <c r="U100" s="190"/>
      <c r="V100" s="190"/>
      <c r="W100" s="187"/>
      <c r="X100" s="184"/>
      <c r="Y100" s="554"/>
      <c r="Z100" s="190"/>
      <c r="AA100" s="190"/>
      <c r="AB100" s="187"/>
      <c r="AC100" s="184"/>
      <c r="AD100" s="554"/>
      <c r="AE100" s="190"/>
      <c r="AF100" s="190"/>
      <c r="AG100" s="187"/>
      <c r="AH100" s="184"/>
      <c r="AI100" s="554"/>
      <c r="AJ100" s="190"/>
      <c r="AK100" s="190"/>
      <c r="AL100" s="187"/>
      <c r="AM100" s="184"/>
      <c r="AN100" s="554"/>
      <c r="AO100" s="190"/>
      <c r="AP100" s="190"/>
      <c r="AQ100" s="187"/>
      <c r="AR100" s="184"/>
      <c r="AS100" s="554"/>
      <c r="AT100" s="190"/>
      <c r="AU100" s="190"/>
      <c r="AV100" s="187"/>
      <c r="AW100" s="184"/>
      <c r="AX100" s="554"/>
    </row>
    <row r="101" spans="2:50" ht="14.25" customHeight="1">
      <c r="B101" s="525"/>
      <c r="C101" s="182">
        <v>15</v>
      </c>
      <c r="D101" s="185"/>
      <c r="E101" s="182"/>
      <c r="F101" s="182"/>
      <c r="G101" s="187"/>
      <c r="H101" s="554"/>
      <c r="I101" s="188"/>
      <c r="J101" s="188"/>
      <c r="K101" s="189"/>
      <c r="L101" s="555"/>
      <c r="M101" s="188"/>
      <c r="N101" s="525"/>
      <c r="O101" s="525"/>
      <c r="P101" s="190"/>
      <c r="Q101" s="190"/>
      <c r="R101" s="187"/>
      <c r="S101" s="184"/>
      <c r="T101" s="554"/>
      <c r="U101" s="190"/>
      <c r="V101" s="190"/>
      <c r="W101" s="187"/>
      <c r="X101" s="184"/>
      <c r="Y101" s="554"/>
      <c r="Z101" s="190"/>
      <c r="AA101" s="190"/>
      <c r="AB101" s="187"/>
      <c r="AC101" s="184"/>
      <c r="AD101" s="554"/>
      <c r="AE101" s="190"/>
      <c r="AF101" s="190"/>
      <c r="AG101" s="187"/>
      <c r="AH101" s="184"/>
      <c r="AI101" s="554"/>
      <c r="AJ101" s="190"/>
      <c r="AK101" s="190"/>
      <c r="AL101" s="187"/>
      <c r="AM101" s="184"/>
      <c r="AN101" s="554"/>
      <c r="AO101" s="190"/>
      <c r="AP101" s="190"/>
      <c r="AQ101" s="187"/>
      <c r="AR101" s="184"/>
      <c r="AS101" s="554"/>
      <c r="AT101" s="190"/>
      <c r="AU101" s="190"/>
      <c r="AV101" s="187"/>
      <c r="AW101" s="184"/>
      <c r="AX101" s="554"/>
    </row>
    <row r="102" spans="2:50" ht="14.25" customHeight="1" collapsed="1">
      <c r="B102" s="534" t="s">
        <v>650</v>
      </c>
      <c r="C102" s="535"/>
      <c r="D102" s="535"/>
      <c r="E102" s="535"/>
      <c r="F102" s="535"/>
      <c r="G102" s="535"/>
      <c r="H102" s="535"/>
      <c r="I102" s="535"/>
      <c r="J102" s="535"/>
      <c r="K102" s="535"/>
      <c r="L102" s="535"/>
      <c r="M102" s="536"/>
      <c r="N102" s="564" t="s">
        <v>378</v>
      </c>
      <c r="O102" s="564" t="s">
        <v>105</v>
      </c>
      <c r="P102" s="566">
        <f>AT82+1</f>
        <v>46112</v>
      </c>
      <c r="Q102" s="567"/>
      <c r="R102" s="567"/>
      <c r="S102" s="567"/>
      <c r="T102" s="567"/>
      <c r="U102" s="568">
        <f>P102+1</f>
        <v>46113</v>
      </c>
      <c r="V102" s="569"/>
      <c r="W102" s="569"/>
      <c r="X102" s="569"/>
      <c r="Y102" s="569"/>
      <c r="Z102" s="566">
        <f t="shared" ref="Z102" si="55">U102+1</f>
        <v>46114</v>
      </c>
      <c r="AA102" s="567"/>
      <c r="AB102" s="567"/>
      <c r="AC102" s="567"/>
      <c r="AD102" s="567"/>
      <c r="AE102" s="568">
        <f t="shared" ref="AE102" si="56">Z102+1</f>
        <v>46115</v>
      </c>
      <c r="AF102" s="569"/>
      <c r="AG102" s="569"/>
      <c r="AH102" s="569"/>
      <c r="AI102" s="569"/>
      <c r="AJ102" s="556">
        <f t="shared" ref="AJ102" si="57">AE102+1</f>
        <v>46116</v>
      </c>
      <c r="AK102" s="557"/>
      <c r="AL102" s="557"/>
      <c r="AM102" s="557"/>
      <c r="AN102" s="558"/>
      <c r="AO102" s="568">
        <f t="shared" ref="AO102" si="58">AJ102+1</f>
        <v>46117</v>
      </c>
      <c r="AP102" s="569"/>
      <c r="AQ102" s="569"/>
      <c r="AR102" s="569"/>
      <c r="AS102" s="569"/>
      <c r="AT102" s="556">
        <f t="shared" ref="AT102" si="59">AO102+1</f>
        <v>46118</v>
      </c>
      <c r="AU102" s="557"/>
      <c r="AV102" s="557"/>
      <c r="AW102" s="557"/>
      <c r="AX102" s="558"/>
    </row>
    <row r="103" spans="2:50" ht="14.25" customHeight="1">
      <c r="B103" s="537"/>
      <c r="C103" s="537"/>
      <c r="D103" s="537"/>
      <c r="E103" s="537"/>
      <c r="F103" s="537"/>
      <c r="G103" s="537"/>
      <c r="H103" s="537"/>
      <c r="I103" s="537"/>
      <c r="J103" s="537"/>
      <c r="K103" s="537"/>
      <c r="L103" s="537"/>
      <c r="M103" s="538"/>
      <c r="N103" s="565"/>
      <c r="O103" s="565"/>
      <c r="P103" s="559">
        <f>P102</f>
        <v>46112</v>
      </c>
      <c r="Q103" s="559"/>
      <c r="R103" s="559"/>
      <c r="S103" s="559"/>
      <c r="T103" s="559"/>
      <c r="U103" s="560">
        <f>U102</f>
        <v>46113</v>
      </c>
      <c r="V103" s="560"/>
      <c r="W103" s="560"/>
      <c r="X103" s="560"/>
      <c r="Y103" s="560"/>
      <c r="Z103" s="559">
        <f t="shared" ref="Z103" si="60">Z102</f>
        <v>46114</v>
      </c>
      <c r="AA103" s="559"/>
      <c r="AB103" s="559"/>
      <c r="AC103" s="559"/>
      <c r="AD103" s="559"/>
      <c r="AE103" s="560">
        <f t="shared" ref="AE103" si="61">AE102</f>
        <v>46115</v>
      </c>
      <c r="AF103" s="560"/>
      <c r="AG103" s="560"/>
      <c r="AH103" s="560"/>
      <c r="AI103" s="560"/>
      <c r="AJ103" s="561">
        <f t="shared" ref="AJ103" si="62">AJ102</f>
        <v>46116</v>
      </c>
      <c r="AK103" s="562"/>
      <c r="AL103" s="562"/>
      <c r="AM103" s="562"/>
      <c r="AN103" s="563"/>
      <c r="AO103" s="560">
        <f t="shared" ref="AO103" si="63">AO102</f>
        <v>46117</v>
      </c>
      <c r="AP103" s="560"/>
      <c r="AQ103" s="560"/>
      <c r="AR103" s="560"/>
      <c r="AS103" s="560"/>
      <c r="AT103" s="561">
        <f t="shared" ref="AT103" si="64">AT102</f>
        <v>46118</v>
      </c>
      <c r="AU103" s="562"/>
      <c r="AV103" s="562"/>
      <c r="AW103" s="562"/>
      <c r="AX103" s="563"/>
    </row>
    <row r="104" spans="2:50" ht="14.25" customHeight="1">
      <c r="B104" s="525" t="s">
        <v>164</v>
      </c>
      <c r="C104" s="525" t="s">
        <v>159</v>
      </c>
      <c r="D104" s="525"/>
      <c r="E104" s="525" t="s">
        <v>160</v>
      </c>
      <c r="F104" s="525"/>
      <c r="G104" s="525"/>
      <c r="H104" s="525" t="s">
        <v>165</v>
      </c>
      <c r="I104" s="544" t="s">
        <v>379</v>
      </c>
      <c r="J104" s="544"/>
      <c r="K104" s="544"/>
      <c r="L104" s="544" t="s">
        <v>165</v>
      </c>
      <c r="M104" s="544" t="s">
        <v>167</v>
      </c>
      <c r="N104" s="525"/>
      <c r="O104" s="525" t="s">
        <v>166</v>
      </c>
      <c r="P104" s="525" t="s">
        <v>162</v>
      </c>
      <c r="Q104" s="525"/>
      <c r="R104" s="525"/>
      <c r="S104" s="525"/>
      <c r="T104" s="525" t="s">
        <v>165</v>
      </c>
      <c r="U104" s="525" t="s">
        <v>162</v>
      </c>
      <c r="V104" s="525"/>
      <c r="W104" s="525"/>
      <c r="X104" s="525"/>
      <c r="Y104" s="525" t="s">
        <v>165</v>
      </c>
      <c r="Z104" s="525" t="s">
        <v>162</v>
      </c>
      <c r="AA104" s="525"/>
      <c r="AB104" s="525"/>
      <c r="AC104" s="525"/>
      <c r="AD104" s="525" t="s">
        <v>165</v>
      </c>
      <c r="AE104" s="525" t="s">
        <v>162</v>
      </c>
      <c r="AF104" s="525"/>
      <c r="AG104" s="525"/>
      <c r="AH104" s="525"/>
      <c r="AI104" s="525" t="s">
        <v>165</v>
      </c>
      <c r="AJ104" s="525" t="s">
        <v>162</v>
      </c>
      <c r="AK104" s="525"/>
      <c r="AL104" s="525"/>
      <c r="AM104" s="525"/>
      <c r="AN104" s="525" t="s">
        <v>165</v>
      </c>
      <c r="AO104" s="525" t="s">
        <v>162</v>
      </c>
      <c r="AP104" s="525"/>
      <c r="AQ104" s="525"/>
      <c r="AR104" s="525"/>
      <c r="AS104" s="525" t="s">
        <v>165</v>
      </c>
      <c r="AT104" s="525" t="s">
        <v>162</v>
      </c>
      <c r="AU104" s="525"/>
      <c r="AV104" s="525"/>
      <c r="AW104" s="525"/>
      <c r="AX104" s="525" t="s">
        <v>165</v>
      </c>
    </row>
    <row r="105" spans="2:50" ht="14.25" customHeight="1">
      <c r="B105" s="525"/>
      <c r="C105" s="525"/>
      <c r="D105" s="525"/>
      <c r="E105" s="525" t="s">
        <v>380</v>
      </c>
      <c r="F105" s="525"/>
      <c r="G105" s="525"/>
      <c r="H105" s="525"/>
      <c r="I105" s="544" t="s">
        <v>380</v>
      </c>
      <c r="J105" s="544"/>
      <c r="K105" s="544"/>
      <c r="L105" s="544"/>
      <c r="M105" s="544"/>
      <c r="N105" s="525"/>
      <c r="O105" s="525"/>
      <c r="P105" s="525" t="s">
        <v>381</v>
      </c>
      <c r="Q105" s="525"/>
      <c r="R105" s="525"/>
      <c r="S105" s="525"/>
      <c r="T105" s="525"/>
      <c r="U105" s="525" t="s">
        <v>381</v>
      </c>
      <c r="V105" s="525"/>
      <c r="W105" s="525"/>
      <c r="X105" s="525"/>
      <c r="Y105" s="525"/>
      <c r="Z105" s="525" t="s">
        <v>381</v>
      </c>
      <c r="AA105" s="525"/>
      <c r="AB105" s="525"/>
      <c r="AC105" s="525"/>
      <c r="AD105" s="525"/>
      <c r="AE105" s="525" t="s">
        <v>381</v>
      </c>
      <c r="AF105" s="525"/>
      <c r="AG105" s="525"/>
      <c r="AH105" s="525"/>
      <c r="AI105" s="525"/>
      <c r="AJ105" s="525" t="s">
        <v>381</v>
      </c>
      <c r="AK105" s="525"/>
      <c r="AL105" s="525"/>
      <c r="AM105" s="525"/>
      <c r="AN105" s="525"/>
      <c r="AO105" s="525" t="s">
        <v>381</v>
      </c>
      <c r="AP105" s="525"/>
      <c r="AQ105" s="525"/>
      <c r="AR105" s="525"/>
      <c r="AS105" s="525"/>
      <c r="AT105" s="525" t="s">
        <v>381</v>
      </c>
      <c r="AU105" s="525"/>
      <c r="AV105" s="525"/>
      <c r="AW105" s="525"/>
      <c r="AX105" s="525"/>
    </row>
    <row r="106" spans="2:50" ht="14.25" customHeight="1">
      <c r="B106" s="525"/>
      <c r="C106" s="525"/>
      <c r="D106" s="525"/>
      <c r="E106" s="182" t="s">
        <v>161</v>
      </c>
      <c r="F106" s="182" t="s">
        <v>382</v>
      </c>
      <c r="G106" s="182" t="s">
        <v>163</v>
      </c>
      <c r="H106" s="525"/>
      <c r="I106" s="183" t="s">
        <v>161</v>
      </c>
      <c r="J106" s="183" t="s">
        <v>382</v>
      </c>
      <c r="K106" s="183" t="s">
        <v>163</v>
      </c>
      <c r="L106" s="544"/>
      <c r="M106" s="544"/>
      <c r="N106" s="525"/>
      <c r="O106" s="525"/>
      <c r="P106" s="182" t="s">
        <v>161</v>
      </c>
      <c r="Q106" s="182" t="s">
        <v>382</v>
      </c>
      <c r="R106" s="182" t="s">
        <v>163</v>
      </c>
      <c r="S106" s="184" t="s">
        <v>167</v>
      </c>
      <c r="T106" s="525"/>
      <c r="U106" s="182" t="s">
        <v>161</v>
      </c>
      <c r="V106" s="182" t="s">
        <v>382</v>
      </c>
      <c r="W106" s="182" t="s">
        <v>163</v>
      </c>
      <c r="X106" s="184" t="s">
        <v>167</v>
      </c>
      <c r="Y106" s="525"/>
      <c r="Z106" s="182" t="s">
        <v>161</v>
      </c>
      <c r="AA106" s="182" t="s">
        <v>382</v>
      </c>
      <c r="AB106" s="182" t="s">
        <v>163</v>
      </c>
      <c r="AC106" s="184" t="s">
        <v>167</v>
      </c>
      <c r="AD106" s="525"/>
      <c r="AE106" s="182" t="s">
        <v>161</v>
      </c>
      <c r="AF106" s="182" t="s">
        <v>382</v>
      </c>
      <c r="AG106" s="182" t="s">
        <v>163</v>
      </c>
      <c r="AH106" s="184" t="s">
        <v>167</v>
      </c>
      <c r="AI106" s="525"/>
      <c r="AJ106" s="182" t="s">
        <v>161</v>
      </c>
      <c r="AK106" s="182" t="s">
        <v>382</v>
      </c>
      <c r="AL106" s="182" t="s">
        <v>163</v>
      </c>
      <c r="AM106" s="184" t="s">
        <v>167</v>
      </c>
      <c r="AN106" s="525"/>
      <c r="AO106" s="182" t="s">
        <v>161</v>
      </c>
      <c r="AP106" s="182" t="s">
        <v>382</v>
      </c>
      <c r="AQ106" s="182" t="s">
        <v>163</v>
      </c>
      <c r="AR106" s="184" t="s">
        <v>167</v>
      </c>
      <c r="AS106" s="525"/>
      <c r="AT106" s="182" t="s">
        <v>161</v>
      </c>
      <c r="AU106" s="182" t="s">
        <v>382</v>
      </c>
      <c r="AV106" s="182" t="s">
        <v>163</v>
      </c>
      <c r="AW106" s="184" t="s">
        <v>167</v>
      </c>
      <c r="AX106" s="525"/>
    </row>
    <row r="107" spans="2:50" ht="14.25" customHeight="1">
      <c r="B107" s="525" t="s">
        <v>144</v>
      </c>
      <c r="C107" s="182">
        <v>1</v>
      </c>
      <c r="D107" s="185"/>
      <c r="E107" s="182"/>
      <c r="F107" s="182"/>
      <c r="G107" s="187"/>
      <c r="H107" s="554"/>
      <c r="I107" s="188"/>
      <c r="J107" s="188"/>
      <c r="K107" s="189"/>
      <c r="L107" s="555" t="str">
        <f>IFERROR(AVERAGE(K107:K121),"-")</f>
        <v>-</v>
      </c>
      <c r="M107" s="188" t="e">
        <f>RANK(K107, K$87:$K$101)</f>
        <v>#N/A</v>
      </c>
      <c r="N107" s="525"/>
      <c r="O107" s="525"/>
      <c r="P107" s="190"/>
      <c r="Q107" s="190"/>
      <c r="R107" s="187"/>
      <c r="S107" s="184"/>
      <c r="T107" s="554"/>
      <c r="U107" s="190"/>
      <c r="V107" s="190"/>
      <c r="W107" s="187"/>
      <c r="X107" s="184"/>
      <c r="Y107" s="554"/>
      <c r="Z107" s="190"/>
      <c r="AA107" s="190"/>
      <c r="AB107" s="187"/>
      <c r="AC107" s="184"/>
      <c r="AD107" s="554"/>
      <c r="AE107" s="190"/>
      <c r="AF107" s="190"/>
      <c r="AG107" s="187"/>
      <c r="AH107" s="184"/>
      <c r="AI107" s="554"/>
      <c r="AJ107" s="190"/>
      <c r="AK107" s="190"/>
      <c r="AL107" s="187"/>
      <c r="AM107" s="184"/>
      <c r="AN107" s="554"/>
      <c r="AO107" s="190"/>
      <c r="AP107" s="190"/>
      <c r="AQ107" s="187"/>
      <c r="AR107" s="184"/>
      <c r="AS107" s="554"/>
      <c r="AT107" s="190"/>
      <c r="AU107" s="190"/>
      <c r="AV107" s="187"/>
      <c r="AW107" s="184"/>
      <c r="AX107" s="554"/>
    </row>
    <row r="108" spans="2:50" ht="14.25" customHeight="1">
      <c r="B108" s="525"/>
      <c r="C108" s="182">
        <v>2</v>
      </c>
      <c r="D108" s="185"/>
      <c r="E108" s="182"/>
      <c r="F108" s="182"/>
      <c r="G108" s="187"/>
      <c r="H108" s="554"/>
      <c r="I108" s="188"/>
      <c r="J108" s="188"/>
      <c r="K108" s="189"/>
      <c r="L108" s="555"/>
      <c r="M108" s="188" t="e">
        <f>RANK(K108, K$87:$K$101)</f>
        <v>#N/A</v>
      </c>
      <c r="N108" s="525"/>
      <c r="O108" s="525"/>
      <c r="P108" s="190"/>
      <c r="Q108" s="190"/>
      <c r="R108" s="187"/>
      <c r="S108" s="184"/>
      <c r="T108" s="554"/>
      <c r="U108" s="190"/>
      <c r="V108" s="190"/>
      <c r="W108" s="187"/>
      <c r="X108" s="184"/>
      <c r="Y108" s="554"/>
      <c r="Z108" s="190"/>
      <c r="AA108" s="190"/>
      <c r="AB108" s="187"/>
      <c r="AC108" s="184"/>
      <c r="AD108" s="554"/>
      <c r="AE108" s="190"/>
      <c r="AF108" s="190"/>
      <c r="AG108" s="187"/>
      <c r="AH108" s="184"/>
      <c r="AI108" s="554"/>
      <c r="AJ108" s="190"/>
      <c r="AK108" s="190"/>
      <c r="AL108" s="187"/>
      <c r="AM108" s="184"/>
      <c r="AN108" s="554"/>
      <c r="AO108" s="190"/>
      <c r="AP108" s="190"/>
      <c r="AQ108" s="187"/>
      <c r="AR108" s="184"/>
      <c r="AS108" s="554"/>
      <c r="AT108" s="190"/>
      <c r="AU108" s="190"/>
      <c r="AV108" s="187"/>
      <c r="AW108" s="184"/>
      <c r="AX108" s="554"/>
    </row>
    <row r="109" spans="2:50" ht="14.25" customHeight="1">
      <c r="B109" s="525"/>
      <c r="C109" s="182">
        <v>3</v>
      </c>
      <c r="D109" s="185"/>
      <c r="E109" s="182"/>
      <c r="F109" s="182"/>
      <c r="G109" s="187"/>
      <c r="H109" s="554"/>
      <c r="I109" s="188"/>
      <c r="J109" s="188"/>
      <c r="K109" s="189"/>
      <c r="L109" s="555"/>
      <c r="M109" s="188"/>
      <c r="N109" s="525"/>
      <c r="O109" s="525"/>
      <c r="P109" s="190"/>
      <c r="Q109" s="190"/>
      <c r="R109" s="187"/>
      <c r="S109" s="184"/>
      <c r="T109" s="554"/>
      <c r="U109" s="190"/>
      <c r="V109" s="190"/>
      <c r="W109" s="187"/>
      <c r="X109" s="184"/>
      <c r="Y109" s="554"/>
      <c r="Z109" s="190"/>
      <c r="AA109" s="190"/>
      <c r="AB109" s="187"/>
      <c r="AC109" s="184"/>
      <c r="AD109" s="554"/>
      <c r="AE109" s="190"/>
      <c r="AF109" s="190"/>
      <c r="AG109" s="187"/>
      <c r="AH109" s="184"/>
      <c r="AI109" s="554"/>
      <c r="AJ109" s="190"/>
      <c r="AK109" s="190"/>
      <c r="AL109" s="187"/>
      <c r="AM109" s="184"/>
      <c r="AN109" s="554"/>
      <c r="AO109" s="190"/>
      <c r="AP109" s="190"/>
      <c r="AQ109" s="187"/>
      <c r="AR109" s="184"/>
      <c r="AS109" s="554"/>
      <c r="AT109" s="190"/>
      <c r="AU109" s="190"/>
      <c r="AV109" s="187"/>
      <c r="AW109" s="184"/>
      <c r="AX109" s="554"/>
    </row>
    <row r="110" spans="2:50" ht="14.25" customHeight="1">
      <c r="B110" s="525"/>
      <c r="C110" s="182">
        <v>4</v>
      </c>
      <c r="D110" s="185"/>
      <c r="E110" s="182"/>
      <c r="F110" s="182"/>
      <c r="G110" s="187"/>
      <c r="H110" s="554"/>
      <c r="I110" s="188"/>
      <c r="J110" s="188"/>
      <c r="K110" s="189"/>
      <c r="L110" s="555"/>
      <c r="M110" s="188"/>
      <c r="N110" s="525"/>
      <c r="O110" s="525"/>
      <c r="P110" s="190"/>
      <c r="Q110" s="190"/>
      <c r="R110" s="187"/>
      <c r="S110" s="184"/>
      <c r="T110" s="554"/>
      <c r="U110" s="190"/>
      <c r="V110" s="190"/>
      <c r="W110" s="187"/>
      <c r="X110" s="184"/>
      <c r="Y110" s="554"/>
      <c r="Z110" s="190"/>
      <c r="AA110" s="190"/>
      <c r="AB110" s="187"/>
      <c r="AC110" s="184"/>
      <c r="AD110" s="554"/>
      <c r="AE110" s="190"/>
      <c r="AF110" s="190"/>
      <c r="AG110" s="187"/>
      <c r="AH110" s="184"/>
      <c r="AI110" s="554"/>
      <c r="AJ110" s="190"/>
      <c r="AK110" s="190"/>
      <c r="AL110" s="187"/>
      <c r="AM110" s="184"/>
      <c r="AN110" s="554"/>
      <c r="AO110" s="190"/>
      <c r="AP110" s="190"/>
      <c r="AQ110" s="187"/>
      <c r="AR110" s="184"/>
      <c r="AS110" s="554"/>
      <c r="AT110" s="190"/>
      <c r="AU110" s="190"/>
      <c r="AV110" s="187"/>
      <c r="AW110" s="184"/>
      <c r="AX110" s="554"/>
    </row>
    <row r="111" spans="2:50" ht="14.25" customHeight="1">
      <c r="B111" s="525"/>
      <c r="C111" s="182">
        <v>5</v>
      </c>
      <c r="D111" s="185"/>
      <c r="E111" s="182"/>
      <c r="F111" s="182"/>
      <c r="G111" s="187"/>
      <c r="H111" s="554"/>
      <c r="I111" s="188"/>
      <c r="J111" s="188"/>
      <c r="K111" s="189"/>
      <c r="L111" s="555"/>
      <c r="M111" s="188"/>
      <c r="N111" s="525"/>
      <c r="O111" s="525"/>
      <c r="P111" s="190"/>
      <c r="Q111" s="190"/>
      <c r="R111" s="187"/>
      <c r="S111" s="184"/>
      <c r="T111" s="554"/>
      <c r="U111" s="190"/>
      <c r="V111" s="190"/>
      <c r="W111" s="187"/>
      <c r="X111" s="184"/>
      <c r="Y111" s="554"/>
      <c r="Z111" s="190"/>
      <c r="AA111" s="190"/>
      <c r="AB111" s="187"/>
      <c r="AC111" s="184"/>
      <c r="AD111" s="554"/>
      <c r="AE111" s="190"/>
      <c r="AF111" s="190"/>
      <c r="AG111" s="187"/>
      <c r="AH111" s="184"/>
      <c r="AI111" s="554"/>
      <c r="AJ111" s="190"/>
      <c r="AK111" s="190"/>
      <c r="AL111" s="187"/>
      <c r="AM111" s="184"/>
      <c r="AN111" s="554"/>
      <c r="AO111" s="190"/>
      <c r="AP111" s="190"/>
      <c r="AQ111" s="187"/>
      <c r="AR111" s="184"/>
      <c r="AS111" s="554"/>
      <c r="AT111" s="190"/>
      <c r="AU111" s="190"/>
      <c r="AV111" s="187"/>
      <c r="AW111" s="184"/>
      <c r="AX111" s="554"/>
    </row>
    <row r="112" spans="2:50" ht="14.25" customHeight="1">
      <c r="B112" s="525"/>
      <c r="C112" s="182">
        <v>6</v>
      </c>
      <c r="D112" s="185"/>
      <c r="E112" s="182"/>
      <c r="F112" s="182"/>
      <c r="G112" s="187"/>
      <c r="H112" s="554"/>
      <c r="I112" s="188"/>
      <c r="J112" s="188"/>
      <c r="K112" s="189"/>
      <c r="L112" s="555"/>
      <c r="M112" s="188"/>
      <c r="N112" s="525"/>
      <c r="O112" s="525"/>
      <c r="P112" s="190"/>
      <c r="Q112" s="190"/>
      <c r="R112" s="187"/>
      <c r="S112" s="184"/>
      <c r="T112" s="554"/>
      <c r="U112" s="190"/>
      <c r="V112" s="190"/>
      <c r="W112" s="187"/>
      <c r="X112" s="184"/>
      <c r="Y112" s="554"/>
      <c r="Z112" s="190"/>
      <c r="AA112" s="190"/>
      <c r="AB112" s="187"/>
      <c r="AC112" s="184"/>
      <c r="AD112" s="554"/>
      <c r="AE112" s="190"/>
      <c r="AF112" s="190"/>
      <c r="AG112" s="187"/>
      <c r="AH112" s="184"/>
      <c r="AI112" s="554"/>
      <c r="AJ112" s="190"/>
      <c r="AK112" s="190"/>
      <c r="AL112" s="187"/>
      <c r="AM112" s="184"/>
      <c r="AN112" s="554"/>
      <c r="AO112" s="190"/>
      <c r="AP112" s="190"/>
      <c r="AQ112" s="187"/>
      <c r="AR112" s="184"/>
      <c r="AS112" s="554"/>
      <c r="AT112" s="190"/>
      <c r="AU112" s="190"/>
      <c r="AV112" s="187"/>
      <c r="AW112" s="184"/>
      <c r="AX112" s="554"/>
    </row>
    <row r="113" spans="2:50" ht="14.25" customHeight="1">
      <c r="B113" s="525"/>
      <c r="C113" s="182">
        <v>7</v>
      </c>
      <c r="D113" s="185"/>
      <c r="E113" s="182"/>
      <c r="F113" s="182"/>
      <c r="G113" s="187"/>
      <c r="H113" s="554"/>
      <c r="I113" s="188"/>
      <c r="J113" s="188"/>
      <c r="K113" s="189"/>
      <c r="L113" s="555"/>
      <c r="M113" s="188"/>
      <c r="N113" s="525"/>
      <c r="O113" s="525"/>
      <c r="P113" s="190"/>
      <c r="Q113" s="190"/>
      <c r="R113" s="187"/>
      <c r="S113" s="184"/>
      <c r="T113" s="554"/>
      <c r="U113" s="190"/>
      <c r="V113" s="190"/>
      <c r="W113" s="187"/>
      <c r="X113" s="184"/>
      <c r="Y113" s="554"/>
      <c r="Z113" s="190"/>
      <c r="AA113" s="190"/>
      <c r="AB113" s="187"/>
      <c r="AC113" s="184"/>
      <c r="AD113" s="554"/>
      <c r="AE113" s="190"/>
      <c r="AF113" s="190"/>
      <c r="AG113" s="187"/>
      <c r="AH113" s="184"/>
      <c r="AI113" s="554"/>
      <c r="AJ113" s="190"/>
      <c r="AK113" s="190"/>
      <c r="AL113" s="187"/>
      <c r="AM113" s="184"/>
      <c r="AN113" s="554"/>
      <c r="AO113" s="190"/>
      <c r="AP113" s="190"/>
      <c r="AQ113" s="187"/>
      <c r="AR113" s="184"/>
      <c r="AS113" s="554"/>
      <c r="AT113" s="190"/>
      <c r="AU113" s="190"/>
      <c r="AV113" s="187"/>
      <c r="AW113" s="184"/>
      <c r="AX113" s="554"/>
    </row>
    <row r="114" spans="2:50" ht="14.25" customHeight="1">
      <c r="B114" s="525"/>
      <c r="C114" s="182">
        <v>8</v>
      </c>
      <c r="D114" s="185"/>
      <c r="E114" s="182"/>
      <c r="F114" s="182"/>
      <c r="G114" s="187"/>
      <c r="H114" s="554"/>
      <c r="I114" s="188"/>
      <c r="J114" s="188"/>
      <c r="K114" s="189"/>
      <c r="L114" s="555"/>
      <c r="M114" s="188"/>
      <c r="N114" s="525"/>
      <c r="O114" s="525"/>
      <c r="P114" s="190"/>
      <c r="Q114" s="190"/>
      <c r="R114" s="187"/>
      <c r="S114" s="184"/>
      <c r="T114" s="554"/>
      <c r="U114" s="190"/>
      <c r="V114" s="190"/>
      <c r="W114" s="187"/>
      <c r="X114" s="184"/>
      <c r="Y114" s="554"/>
      <c r="Z114" s="190"/>
      <c r="AA114" s="190"/>
      <c r="AB114" s="187"/>
      <c r="AC114" s="184"/>
      <c r="AD114" s="554"/>
      <c r="AE114" s="190"/>
      <c r="AF114" s="190"/>
      <c r="AG114" s="187"/>
      <c r="AH114" s="184"/>
      <c r="AI114" s="554"/>
      <c r="AJ114" s="190"/>
      <c r="AK114" s="190"/>
      <c r="AL114" s="187"/>
      <c r="AM114" s="184"/>
      <c r="AN114" s="554"/>
      <c r="AO114" s="190"/>
      <c r="AP114" s="190"/>
      <c r="AQ114" s="187"/>
      <c r="AR114" s="184"/>
      <c r="AS114" s="554"/>
      <c r="AT114" s="190"/>
      <c r="AU114" s="190"/>
      <c r="AV114" s="187"/>
      <c r="AW114" s="184"/>
      <c r="AX114" s="554"/>
    </row>
    <row r="115" spans="2:50" ht="14.25" customHeight="1">
      <c r="B115" s="525"/>
      <c r="C115" s="182">
        <v>9</v>
      </c>
      <c r="D115" s="185"/>
      <c r="E115" s="182"/>
      <c r="F115" s="182"/>
      <c r="G115" s="187"/>
      <c r="H115" s="554"/>
      <c r="I115" s="188"/>
      <c r="J115" s="188"/>
      <c r="K115" s="189"/>
      <c r="L115" s="555"/>
      <c r="M115" s="188"/>
      <c r="N115" s="525"/>
      <c r="O115" s="525"/>
      <c r="P115" s="190"/>
      <c r="Q115" s="190"/>
      <c r="R115" s="187"/>
      <c r="S115" s="184"/>
      <c r="T115" s="554"/>
      <c r="U115" s="190"/>
      <c r="V115" s="190"/>
      <c r="W115" s="187"/>
      <c r="X115" s="184"/>
      <c r="Y115" s="554"/>
      <c r="Z115" s="190"/>
      <c r="AA115" s="190"/>
      <c r="AB115" s="187"/>
      <c r="AC115" s="184"/>
      <c r="AD115" s="554"/>
      <c r="AE115" s="190"/>
      <c r="AF115" s="190"/>
      <c r="AG115" s="187"/>
      <c r="AH115" s="184"/>
      <c r="AI115" s="554"/>
      <c r="AJ115" s="190"/>
      <c r="AK115" s="190"/>
      <c r="AL115" s="187"/>
      <c r="AM115" s="184"/>
      <c r="AN115" s="554"/>
      <c r="AO115" s="190"/>
      <c r="AP115" s="190"/>
      <c r="AQ115" s="187"/>
      <c r="AR115" s="184"/>
      <c r="AS115" s="554"/>
      <c r="AT115" s="190"/>
      <c r="AU115" s="190"/>
      <c r="AV115" s="187"/>
      <c r="AW115" s="184"/>
      <c r="AX115" s="554"/>
    </row>
    <row r="116" spans="2:50" ht="14.25" customHeight="1">
      <c r="B116" s="525"/>
      <c r="C116" s="182">
        <v>10</v>
      </c>
      <c r="D116" s="185"/>
      <c r="E116" s="182"/>
      <c r="F116" s="182"/>
      <c r="G116" s="187"/>
      <c r="H116" s="554"/>
      <c r="I116" s="188"/>
      <c r="J116" s="188"/>
      <c r="K116" s="189"/>
      <c r="L116" s="555"/>
      <c r="M116" s="188"/>
      <c r="N116" s="525"/>
      <c r="O116" s="525"/>
      <c r="P116" s="190"/>
      <c r="Q116" s="190"/>
      <c r="R116" s="187"/>
      <c r="S116" s="184"/>
      <c r="T116" s="554"/>
      <c r="U116" s="190"/>
      <c r="V116" s="190"/>
      <c r="W116" s="187"/>
      <c r="X116" s="184"/>
      <c r="Y116" s="554"/>
      <c r="Z116" s="190"/>
      <c r="AA116" s="190"/>
      <c r="AB116" s="187"/>
      <c r="AC116" s="184"/>
      <c r="AD116" s="554"/>
      <c r="AE116" s="190"/>
      <c r="AF116" s="190"/>
      <c r="AG116" s="187"/>
      <c r="AH116" s="184"/>
      <c r="AI116" s="554"/>
      <c r="AJ116" s="190"/>
      <c r="AK116" s="190"/>
      <c r="AL116" s="187"/>
      <c r="AM116" s="184"/>
      <c r="AN116" s="554"/>
      <c r="AO116" s="190"/>
      <c r="AP116" s="190"/>
      <c r="AQ116" s="187"/>
      <c r="AR116" s="184"/>
      <c r="AS116" s="554"/>
      <c r="AT116" s="190"/>
      <c r="AU116" s="190"/>
      <c r="AV116" s="187"/>
      <c r="AW116" s="184"/>
      <c r="AX116" s="554"/>
    </row>
    <row r="117" spans="2:50" ht="14.25" customHeight="1">
      <c r="B117" s="525"/>
      <c r="C117" s="182">
        <v>11</v>
      </c>
      <c r="D117" s="185"/>
      <c r="E117" s="182"/>
      <c r="F117" s="182"/>
      <c r="G117" s="187"/>
      <c r="H117" s="554"/>
      <c r="I117" s="188"/>
      <c r="J117" s="188"/>
      <c r="K117" s="189"/>
      <c r="L117" s="555"/>
      <c r="M117" s="188"/>
      <c r="N117" s="525"/>
      <c r="O117" s="525"/>
      <c r="P117" s="190"/>
      <c r="Q117" s="190"/>
      <c r="R117" s="187"/>
      <c r="S117" s="184"/>
      <c r="T117" s="554"/>
      <c r="U117" s="190"/>
      <c r="V117" s="190"/>
      <c r="W117" s="187"/>
      <c r="X117" s="184"/>
      <c r="Y117" s="554"/>
      <c r="Z117" s="190"/>
      <c r="AA117" s="190"/>
      <c r="AB117" s="187"/>
      <c r="AC117" s="184"/>
      <c r="AD117" s="554"/>
      <c r="AE117" s="190"/>
      <c r="AF117" s="190"/>
      <c r="AG117" s="187"/>
      <c r="AH117" s="184"/>
      <c r="AI117" s="554"/>
      <c r="AJ117" s="190"/>
      <c r="AK117" s="190"/>
      <c r="AL117" s="187"/>
      <c r="AM117" s="184"/>
      <c r="AN117" s="554"/>
      <c r="AO117" s="190"/>
      <c r="AP117" s="190"/>
      <c r="AQ117" s="187"/>
      <c r="AR117" s="184"/>
      <c r="AS117" s="554"/>
      <c r="AT117" s="190"/>
      <c r="AU117" s="190"/>
      <c r="AV117" s="187"/>
      <c r="AW117" s="184"/>
      <c r="AX117" s="554"/>
    </row>
    <row r="118" spans="2:50" ht="14.25" customHeight="1">
      <c r="B118" s="525"/>
      <c r="C118" s="182">
        <v>12</v>
      </c>
      <c r="D118" s="185"/>
      <c r="E118" s="182"/>
      <c r="F118" s="182"/>
      <c r="G118" s="187"/>
      <c r="H118" s="554"/>
      <c r="I118" s="188"/>
      <c r="J118" s="188"/>
      <c r="K118" s="189"/>
      <c r="L118" s="555"/>
      <c r="M118" s="188"/>
      <c r="N118" s="525"/>
      <c r="O118" s="525"/>
      <c r="P118" s="190"/>
      <c r="Q118" s="190"/>
      <c r="R118" s="187"/>
      <c r="S118" s="184"/>
      <c r="T118" s="554"/>
      <c r="U118" s="190"/>
      <c r="V118" s="190"/>
      <c r="W118" s="187"/>
      <c r="X118" s="184"/>
      <c r="Y118" s="554"/>
      <c r="Z118" s="190"/>
      <c r="AA118" s="190"/>
      <c r="AB118" s="187"/>
      <c r="AC118" s="184"/>
      <c r="AD118" s="554"/>
      <c r="AE118" s="190"/>
      <c r="AF118" s="190"/>
      <c r="AG118" s="187"/>
      <c r="AH118" s="184"/>
      <c r="AI118" s="554"/>
      <c r="AJ118" s="190"/>
      <c r="AK118" s="190"/>
      <c r="AL118" s="187"/>
      <c r="AM118" s="184"/>
      <c r="AN118" s="554"/>
      <c r="AO118" s="190"/>
      <c r="AP118" s="190"/>
      <c r="AQ118" s="187"/>
      <c r="AR118" s="184"/>
      <c r="AS118" s="554"/>
      <c r="AT118" s="190"/>
      <c r="AU118" s="190"/>
      <c r="AV118" s="187"/>
      <c r="AW118" s="184"/>
      <c r="AX118" s="554"/>
    </row>
    <row r="119" spans="2:50" ht="14.25" customHeight="1">
      <c r="B119" s="525"/>
      <c r="C119" s="182">
        <v>13</v>
      </c>
      <c r="D119" s="185"/>
      <c r="E119" s="182"/>
      <c r="F119" s="182"/>
      <c r="G119" s="187"/>
      <c r="H119" s="554"/>
      <c r="I119" s="188"/>
      <c r="J119" s="188"/>
      <c r="K119" s="189"/>
      <c r="L119" s="555"/>
      <c r="M119" s="188"/>
      <c r="N119" s="525"/>
      <c r="O119" s="525"/>
      <c r="P119" s="190"/>
      <c r="Q119" s="190"/>
      <c r="R119" s="187"/>
      <c r="S119" s="184"/>
      <c r="T119" s="554"/>
      <c r="U119" s="190"/>
      <c r="V119" s="190"/>
      <c r="W119" s="187"/>
      <c r="X119" s="184"/>
      <c r="Y119" s="554"/>
      <c r="Z119" s="190"/>
      <c r="AA119" s="190"/>
      <c r="AB119" s="187"/>
      <c r="AC119" s="184"/>
      <c r="AD119" s="554"/>
      <c r="AE119" s="190"/>
      <c r="AF119" s="190"/>
      <c r="AG119" s="187"/>
      <c r="AH119" s="184"/>
      <c r="AI119" s="554"/>
      <c r="AJ119" s="190"/>
      <c r="AK119" s="190"/>
      <c r="AL119" s="187"/>
      <c r="AM119" s="184"/>
      <c r="AN119" s="554"/>
      <c r="AO119" s="190"/>
      <c r="AP119" s="190"/>
      <c r="AQ119" s="187"/>
      <c r="AR119" s="184"/>
      <c r="AS119" s="554"/>
      <c r="AT119" s="190"/>
      <c r="AU119" s="190"/>
      <c r="AV119" s="187"/>
      <c r="AW119" s="184"/>
      <c r="AX119" s="554"/>
    </row>
    <row r="120" spans="2:50" ht="14.25" customHeight="1">
      <c r="B120" s="525"/>
      <c r="C120" s="182">
        <v>14</v>
      </c>
      <c r="D120" s="185"/>
      <c r="E120" s="182"/>
      <c r="F120" s="182"/>
      <c r="G120" s="187"/>
      <c r="H120" s="554"/>
      <c r="I120" s="188"/>
      <c r="J120" s="188"/>
      <c r="K120" s="189"/>
      <c r="L120" s="555"/>
      <c r="M120" s="188"/>
      <c r="N120" s="525"/>
      <c r="O120" s="525"/>
      <c r="P120" s="190"/>
      <c r="Q120" s="190"/>
      <c r="R120" s="187"/>
      <c r="S120" s="184"/>
      <c r="T120" s="554"/>
      <c r="U120" s="190"/>
      <c r="V120" s="190"/>
      <c r="W120" s="187"/>
      <c r="X120" s="184"/>
      <c r="Y120" s="554"/>
      <c r="Z120" s="190"/>
      <c r="AA120" s="190"/>
      <c r="AB120" s="187"/>
      <c r="AC120" s="184"/>
      <c r="AD120" s="554"/>
      <c r="AE120" s="190"/>
      <c r="AF120" s="190"/>
      <c r="AG120" s="187"/>
      <c r="AH120" s="184"/>
      <c r="AI120" s="554"/>
      <c r="AJ120" s="190"/>
      <c r="AK120" s="190"/>
      <c r="AL120" s="187"/>
      <c r="AM120" s="184"/>
      <c r="AN120" s="554"/>
      <c r="AO120" s="190"/>
      <c r="AP120" s="190"/>
      <c r="AQ120" s="187"/>
      <c r="AR120" s="184"/>
      <c r="AS120" s="554"/>
      <c r="AT120" s="190"/>
      <c r="AU120" s="190"/>
      <c r="AV120" s="187"/>
      <c r="AW120" s="184"/>
      <c r="AX120" s="554"/>
    </row>
    <row r="121" spans="2:50" ht="14.25" customHeight="1">
      <c r="B121" s="525"/>
      <c r="C121" s="182">
        <v>15</v>
      </c>
      <c r="D121" s="185"/>
      <c r="E121" s="182"/>
      <c r="F121" s="182"/>
      <c r="G121" s="187"/>
      <c r="H121" s="554"/>
      <c r="I121" s="188"/>
      <c r="J121" s="188"/>
      <c r="K121" s="189"/>
      <c r="L121" s="555"/>
      <c r="M121" s="188"/>
      <c r="N121" s="525"/>
      <c r="O121" s="525"/>
      <c r="P121" s="190"/>
      <c r="Q121" s="190"/>
      <c r="R121" s="187"/>
      <c r="S121" s="184"/>
      <c r="T121" s="554"/>
      <c r="U121" s="190"/>
      <c r="V121" s="190"/>
      <c r="W121" s="187"/>
      <c r="X121" s="184"/>
      <c r="Y121" s="554"/>
      <c r="Z121" s="190"/>
      <c r="AA121" s="190"/>
      <c r="AB121" s="187"/>
      <c r="AC121" s="184"/>
      <c r="AD121" s="554"/>
      <c r="AE121" s="190"/>
      <c r="AF121" s="190"/>
      <c r="AG121" s="187"/>
      <c r="AH121" s="184"/>
      <c r="AI121" s="554"/>
      <c r="AJ121" s="190"/>
      <c r="AK121" s="190"/>
      <c r="AL121" s="187"/>
      <c r="AM121" s="184"/>
      <c r="AN121" s="554"/>
      <c r="AO121" s="190"/>
      <c r="AP121" s="190"/>
      <c r="AQ121" s="187"/>
      <c r="AR121" s="184"/>
      <c r="AS121" s="554"/>
      <c r="AT121" s="190"/>
      <c r="AU121" s="190"/>
      <c r="AV121" s="187"/>
      <c r="AW121" s="184"/>
      <c r="AX121" s="554"/>
    </row>
  </sheetData>
  <mergeCells count="354"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N7:AN21"/>
    <mergeCell ref="AS7:AS21"/>
    <mergeCell ref="AJ4:AM4"/>
    <mergeCell ref="AN4:AN6"/>
    <mergeCell ref="AO4:AR4"/>
    <mergeCell ref="AS4:AS6"/>
    <mergeCell ref="AT4:AW4"/>
    <mergeCell ref="AX4:AX6"/>
    <mergeCell ref="AX7:AX21"/>
    <mergeCell ref="P4:S4"/>
    <mergeCell ref="T4:T6"/>
    <mergeCell ref="U4:X4"/>
    <mergeCell ref="Y4:Y6"/>
    <mergeCell ref="Z4:AC4"/>
    <mergeCell ref="AD4:AD6"/>
    <mergeCell ref="AE4:AH4"/>
    <mergeCell ref="AI4:AI6"/>
    <mergeCell ref="B7:B21"/>
    <mergeCell ref="H7:H21"/>
    <mergeCell ref="L7:L21"/>
    <mergeCell ref="T7:T21"/>
    <mergeCell ref="Y7:Y21"/>
    <mergeCell ref="AD7:AD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I7:AI21"/>
    <mergeCell ref="AT3:AX3"/>
    <mergeCell ref="AT2:AX2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P3:T3"/>
    <mergeCell ref="U3:Y3"/>
    <mergeCell ref="Z3:AD3"/>
    <mergeCell ref="AE3:AI3"/>
    <mergeCell ref="AJ3:AN3"/>
    <mergeCell ref="AO3:AS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P64:S64"/>
    <mergeCell ref="T64:T66"/>
    <mergeCell ref="U64:X64"/>
    <mergeCell ref="Y64:Y66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X64:AX66"/>
    <mergeCell ref="AT65:AW65"/>
    <mergeCell ref="T67:T81"/>
    <mergeCell ref="Y67:Y81"/>
    <mergeCell ref="AD67:AD81"/>
    <mergeCell ref="AI67:AI81"/>
    <mergeCell ref="AN67:AN81"/>
    <mergeCell ref="AS67:AS81"/>
    <mergeCell ref="AX67:AX81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7:AX101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87:B101"/>
    <mergeCell ref="H87:H101"/>
    <mergeCell ref="L87:L101"/>
    <mergeCell ref="T87:T101"/>
    <mergeCell ref="Y87:Y101"/>
    <mergeCell ref="AD87:AD10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B107:B121"/>
    <mergeCell ref="H107:H121"/>
    <mergeCell ref="L107:L121"/>
    <mergeCell ref="E105:G105"/>
    <mergeCell ref="I105:K105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P105:S105"/>
    <mergeCell ref="U105:X105"/>
    <mergeCell ref="Z105:AC105"/>
    <mergeCell ref="AE105:AH105"/>
    <mergeCell ref="AJ105:AM105"/>
    <mergeCell ref="AO105:AR105"/>
    <mergeCell ref="AT105:AW105"/>
    <mergeCell ref="T107:T121"/>
    <mergeCell ref="Y107:Y121"/>
    <mergeCell ref="AD107:AD121"/>
    <mergeCell ref="AI107:AI121"/>
    <mergeCell ref="AN107:AN121"/>
    <mergeCell ref="AS107:AS121"/>
    <mergeCell ref="AX107:AX121"/>
    <mergeCell ref="AN104:AN106"/>
    <mergeCell ref="AO104:AR104"/>
    <mergeCell ref="AS104:AS106"/>
    <mergeCell ref="AT104:AW104"/>
    <mergeCell ref="AX104:AX106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54"/>
  <sheetViews>
    <sheetView view="pageBreakPreview" topLeftCell="A31" zoomScale="115" zoomScaleNormal="60" zoomScaleSheetLayoutView="115" workbookViewId="0">
      <selection activeCell="J54" sqref="J54"/>
    </sheetView>
  </sheetViews>
  <sheetFormatPr defaultColWidth="12.54296875" defaultRowHeight="15.75" customHeight="1"/>
  <cols>
    <col min="1" max="1" width="6.453125" style="191" customWidth="1"/>
    <col min="2" max="10" width="11.54296875" style="191" customWidth="1"/>
    <col min="11" max="11" width="12.81640625" style="191" customWidth="1"/>
    <col min="12" max="12" width="41.81640625" style="191" customWidth="1"/>
    <col min="13" max="13" width="12.54296875" style="192"/>
    <col min="14" max="16384" width="12.54296875" style="191"/>
  </cols>
  <sheetData>
    <row r="1" spans="1:18" ht="15.75" customHeight="1">
      <c r="A1" s="463" t="s">
        <v>387</v>
      </c>
      <c r="B1" s="463"/>
      <c r="C1" s="463"/>
      <c r="D1" s="463"/>
      <c r="E1" s="463"/>
      <c r="F1" s="463"/>
      <c r="G1" s="463"/>
      <c r="H1" s="463"/>
      <c r="I1" s="463"/>
      <c r="J1" s="463"/>
      <c r="K1" s="463"/>
      <c r="L1" s="463"/>
      <c r="M1" s="191"/>
    </row>
    <row r="2" spans="1:18" s="192" customFormat="1" ht="15.75" customHeight="1">
      <c r="A2" s="463"/>
      <c r="B2" s="463"/>
      <c r="C2" s="463"/>
      <c r="D2" s="463"/>
      <c r="E2" s="463"/>
      <c r="F2" s="463"/>
      <c r="G2" s="463"/>
      <c r="H2" s="463"/>
      <c r="I2" s="463"/>
      <c r="J2" s="463"/>
      <c r="K2" s="463"/>
      <c r="L2" s="463"/>
    </row>
    <row r="3" spans="1:18" ht="15.75" customHeight="1">
      <c r="A3" s="607" t="s">
        <v>560</v>
      </c>
      <c r="B3" s="607"/>
      <c r="C3" s="607"/>
      <c r="D3" s="607"/>
      <c r="E3" s="607"/>
      <c r="F3" s="607"/>
      <c r="G3" s="607"/>
      <c r="H3" s="607"/>
      <c r="I3" s="607"/>
      <c r="J3" s="607"/>
      <c r="K3" s="607"/>
      <c r="L3" s="607"/>
      <c r="M3" s="191"/>
    </row>
    <row r="4" spans="1:18" s="192" customFormat="1" ht="15.75" customHeight="1">
      <c r="A4" s="607"/>
      <c r="B4" s="607"/>
      <c r="C4" s="607"/>
      <c r="D4" s="607"/>
      <c r="E4" s="607"/>
      <c r="F4" s="607"/>
      <c r="G4" s="607"/>
      <c r="H4" s="607"/>
      <c r="I4" s="607"/>
      <c r="J4" s="607"/>
      <c r="K4" s="607"/>
      <c r="L4" s="607"/>
    </row>
    <row r="5" spans="1:18" s="180" customFormat="1" ht="15.75" customHeight="1">
      <c r="A5" s="605" t="s">
        <v>164</v>
      </c>
      <c r="B5" s="193">
        <v>1</v>
      </c>
      <c r="C5" s="193">
        <v>2</v>
      </c>
      <c r="D5" s="172">
        <v>3</v>
      </c>
      <c r="E5" s="172">
        <v>4</v>
      </c>
      <c r="F5" s="172">
        <v>5</v>
      </c>
      <c r="G5" s="172">
        <v>6</v>
      </c>
      <c r="H5" s="172">
        <v>7</v>
      </c>
      <c r="I5" s="172">
        <v>8</v>
      </c>
      <c r="J5" s="172">
        <v>9</v>
      </c>
      <c r="K5" s="194"/>
      <c r="L5" s="194"/>
      <c r="M5" s="195"/>
    </row>
    <row r="6" spans="1:18" ht="16.399999999999999" customHeight="1">
      <c r="A6" s="605"/>
      <c r="B6" s="196" t="s">
        <v>209</v>
      </c>
      <c r="C6" s="196" t="s">
        <v>157</v>
      </c>
      <c r="D6" s="197" t="s">
        <v>210</v>
      </c>
      <c r="E6" s="197" t="s">
        <v>158</v>
      </c>
      <c r="F6" s="197" t="s">
        <v>358</v>
      </c>
      <c r="G6" s="198" t="s">
        <v>137</v>
      </c>
      <c r="H6" s="199" t="s">
        <v>211</v>
      </c>
      <c r="I6" s="198" t="s">
        <v>388</v>
      </c>
      <c r="J6" s="198" t="s">
        <v>143</v>
      </c>
      <c r="K6" s="200"/>
      <c r="L6" s="200"/>
      <c r="N6" s="201"/>
      <c r="O6" s="201"/>
      <c r="P6" s="201"/>
      <c r="Q6" s="201"/>
      <c r="R6" s="201"/>
    </row>
    <row r="7" spans="1:18" s="180" customFormat="1" ht="15.75" customHeight="1">
      <c r="A7" s="606" t="s">
        <v>190</v>
      </c>
      <c r="B7" s="606"/>
      <c r="C7" s="162" t="s">
        <v>47</v>
      </c>
      <c r="D7" s="606" t="s">
        <v>12</v>
      </c>
      <c r="E7" s="608"/>
      <c r="F7" s="608"/>
      <c r="G7" s="162" t="s">
        <v>46</v>
      </c>
      <c r="H7" s="162" t="s">
        <v>389</v>
      </c>
      <c r="I7" s="162" t="s">
        <v>390</v>
      </c>
      <c r="J7" s="162" t="s">
        <v>335</v>
      </c>
      <c r="K7" s="606" t="s">
        <v>51</v>
      </c>
      <c r="L7" s="608"/>
      <c r="M7" s="195"/>
      <c r="P7" s="433"/>
      <c r="Q7" s="433"/>
    </row>
    <row r="8" spans="1:18" ht="15.75" customHeight="1">
      <c r="A8" s="605">
        <v>1</v>
      </c>
      <c r="B8" s="606" t="s">
        <v>391</v>
      </c>
      <c r="C8" s="202">
        <v>1</v>
      </c>
      <c r="D8" s="599" t="s">
        <v>414</v>
      </c>
      <c r="E8" s="600"/>
      <c r="F8" s="600"/>
      <c r="G8" s="202">
        <v>3</v>
      </c>
      <c r="H8" s="204">
        <v>3151.5025959857621</v>
      </c>
      <c r="I8" s="205">
        <v>1050.5008653285875</v>
      </c>
      <c r="J8" s="223">
        <v>0.99800374043820739</v>
      </c>
      <c r="K8" s="601" t="s">
        <v>465</v>
      </c>
      <c r="L8" s="602"/>
      <c r="N8" s="180"/>
      <c r="O8" s="180"/>
      <c r="P8" s="433"/>
      <c r="Q8" s="433"/>
      <c r="R8" s="180"/>
    </row>
    <row r="9" spans="1:18" ht="15.75" customHeight="1">
      <c r="A9" s="605"/>
      <c r="B9" s="606"/>
      <c r="C9" s="202">
        <v>2</v>
      </c>
      <c r="D9" s="599" t="s">
        <v>415</v>
      </c>
      <c r="E9" s="600"/>
      <c r="F9" s="600"/>
      <c r="G9" s="202">
        <v>3</v>
      </c>
      <c r="H9" s="204">
        <v>3145.717812662132</v>
      </c>
      <c r="I9" s="205">
        <v>1048.5726042207104</v>
      </c>
      <c r="J9" s="223">
        <v>1.8892821108761382</v>
      </c>
      <c r="K9" s="601" t="s">
        <v>465</v>
      </c>
      <c r="L9" s="602"/>
      <c r="N9" s="180"/>
      <c r="O9" s="180"/>
      <c r="P9" s="433"/>
      <c r="Q9" s="433"/>
      <c r="R9" s="180"/>
    </row>
    <row r="10" spans="1:18" ht="15.75" customHeight="1">
      <c r="A10" s="605"/>
      <c r="B10" s="606"/>
      <c r="C10" s="202">
        <v>3</v>
      </c>
      <c r="D10" s="599" t="s">
        <v>410</v>
      </c>
      <c r="E10" s="600"/>
      <c r="F10" s="600"/>
      <c r="G10" s="202">
        <v>3</v>
      </c>
      <c r="H10" s="204">
        <v>3145.4611046663422</v>
      </c>
      <c r="I10" s="205">
        <v>1048.487034888781</v>
      </c>
      <c r="J10" s="223">
        <v>1.1858522792836084</v>
      </c>
      <c r="K10" s="601" t="s">
        <v>465</v>
      </c>
      <c r="L10" s="602"/>
      <c r="N10" s="180"/>
      <c r="O10" s="180"/>
      <c r="P10" s="433"/>
      <c r="Q10" s="433"/>
      <c r="R10" s="180"/>
    </row>
    <row r="11" spans="1:18" ht="15.75" customHeight="1">
      <c r="A11" s="605"/>
      <c r="B11" s="606"/>
      <c r="C11" s="202">
        <v>4</v>
      </c>
      <c r="D11" s="599" t="s">
        <v>405</v>
      </c>
      <c r="E11" s="600"/>
      <c r="F11" s="600"/>
      <c r="G11" s="202">
        <v>3</v>
      </c>
      <c r="H11" s="204">
        <v>3144.8670983138668</v>
      </c>
      <c r="I11" s="205">
        <v>1048.2890327712892</v>
      </c>
      <c r="J11" s="223">
        <v>0.31091908523148959</v>
      </c>
      <c r="K11" s="601" t="s">
        <v>465</v>
      </c>
      <c r="L11" s="602"/>
      <c r="N11" s="180"/>
      <c r="O11" s="180"/>
      <c r="P11" s="433"/>
      <c r="Q11" s="433"/>
      <c r="R11" s="180"/>
    </row>
    <row r="12" spans="1:18" ht="15.75" customHeight="1">
      <c r="A12" s="605"/>
      <c r="B12" s="606"/>
      <c r="C12" s="202">
        <v>5</v>
      </c>
      <c r="D12" s="599" t="s">
        <v>403</v>
      </c>
      <c r="E12" s="600"/>
      <c r="F12" s="600"/>
      <c r="G12" s="202">
        <v>3</v>
      </c>
      <c r="H12" s="204">
        <v>3144.8244057808597</v>
      </c>
      <c r="I12" s="205">
        <v>1048.2748019269532</v>
      </c>
      <c r="J12" s="223">
        <v>1.150350176365464</v>
      </c>
      <c r="K12" s="601" t="s">
        <v>465</v>
      </c>
      <c r="L12" s="602"/>
      <c r="N12" s="180"/>
      <c r="O12" s="180"/>
      <c r="P12" s="433"/>
      <c r="Q12" s="433"/>
      <c r="R12" s="180"/>
    </row>
    <row r="13" spans="1:18" ht="15.75" customHeight="1">
      <c r="A13" s="605"/>
      <c r="B13" s="606"/>
      <c r="C13" s="206" t="s">
        <v>207</v>
      </c>
      <c r="D13" s="600" t="s">
        <v>479</v>
      </c>
      <c r="E13" s="600"/>
      <c r="F13" s="600"/>
      <c r="G13" s="203">
        <v>12</v>
      </c>
      <c r="H13" s="207">
        <v>3124.7330231823698</v>
      </c>
      <c r="I13" s="208">
        <v>260.39441859853076</v>
      </c>
      <c r="J13" s="223">
        <v>1.1132084215716986E-2</v>
      </c>
      <c r="K13" s="601" t="s">
        <v>465</v>
      </c>
      <c r="L13" s="602"/>
      <c r="N13" s="180"/>
      <c r="O13" s="180"/>
      <c r="P13" s="433"/>
      <c r="Q13" s="433"/>
      <c r="R13" s="180"/>
    </row>
    <row r="14" spans="1:18" ht="15.75" customHeight="1">
      <c r="A14" s="605"/>
      <c r="B14" s="606"/>
      <c r="C14" s="206" t="s">
        <v>212</v>
      </c>
      <c r="D14" s="600" t="s">
        <v>482</v>
      </c>
      <c r="E14" s="600"/>
      <c r="F14" s="600"/>
      <c r="G14" s="203">
        <v>12</v>
      </c>
      <c r="H14" s="207">
        <v>3126.1142403960889</v>
      </c>
      <c r="I14" s="208">
        <v>260.50952003300745</v>
      </c>
      <c r="J14" s="223">
        <v>0.118425166316797</v>
      </c>
      <c r="K14" s="601" t="s">
        <v>465</v>
      </c>
      <c r="L14" s="602"/>
      <c r="N14" s="180"/>
      <c r="O14" s="180"/>
      <c r="P14" s="433"/>
      <c r="Q14" s="433"/>
      <c r="R14" s="180"/>
    </row>
    <row r="15" spans="1:18" ht="15.75" customHeight="1">
      <c r="A15" s="605"/>
      <c r="B15" s="606"/>
      <c r="C15" s="206" t="s">
        <v>208</v>
      </c>
      <c r="D15" s="600" t="s">
        <v>509</v>
      </c>
      <c r="E15" s="600"/>
      <c r="F15" s="600"/>
      <c r="G15" s="203">
        <v>5</v>
      </c>
      <c r="H15" s="207">
        <v>2672.8639634656934</v>
      </c>
      <c r="I15" s="208">
        <v>534.57279269313858</v>
      </c>
      <c r="J15" s="223">
        <v>0.38090491557761652</v>
      </c>
      <c r="K15" s="601" t="s">
        <v>465</v>
      </c>
      <c r="L15" s="602"/>
      <c r="N15" s="180"/>
      <c r="O15" s="180"/>
      <c r="P15" s="433"/>
      <c r="Q15" s="433"/>
      <c r="R15" s="180"/>
    </row>
    <row r="16" spans="1:18" ht="15.75" customHeight="1">
      <c r="A16" s="605"/>
      <c r="B16" s="606"/>
      <c r="C16" s="206" t="s">
        <v>213</v>
      </c>
      <c r="D16" s="600" t="s">
        <v>548</v>
      </c>
      <c r="E16" s="600"/>
      <c r="F16" s="600"/>
      <c r="G16" s="203">
        <v>5</v>
      </c>
      <c r="H16" s="207">
        <v>2961.9073064467134</v>
      </c>
      <c r="I16" s="208">
        <v>592.38146128934284</v>
      </c>
      <c r="J16" s="223">
        <v>0.30355909834895556</v>
      </c>
      <c r="K16" s="601" t="s">
        <v>465</v>
      </c>
      <c r="L16" s="602"/>
      <c r="M16" s="191"/>
      <c r="N16" s="180"/>
      <c r="O16" s="180"/>
      <c r="P16" s="433"/>
      <c r="Q16" s="433"/>
      <c r="R16" s="180"/>
    </row>
    <row r="17" spans="1:18" ht="15.75" customHeight="1">
      <c r="A17" s="605"/>
      <c r="B17" s="606"/>
      <c r="C17" s="206" t="s">
        <v>214</v>
      </c>
      <c r="D17" s="600" t="s">
        <v>349</v>
      </c>
      <c r="E17" s="600"/>
      <c r="F17" s="600"/>
      <c r="G17" s="203">
        <v>5</v>
      </c>
      <c r="H17" s="207">
        <v>2966.8362262437013</v>
      </c>
      <c r="I17" s="208">
        <v>593.36724524874023</v>
      </c>
      <c r="J17" s="223"/>
      <c r="K17" s="601" t="s">
        <v>465</v>
      </c>
      <c r="L17" s="602"/>
      <c r="M17" s="191"/>
      <c r="N17" s="180"/>
      <c r="O17" s="180"/>
      <c r="P17" s="433"/>
      <c r="Q17" s="433"/>
      <c r="R17" s="180"/>
    </row>
    <row r="18" spans="1:18" s="201" customFormat="1" ht="15.75" customHeight="1">
      <c r="A18" s="603" t="s">
        <v>190</v>
      </c>
      <c r="B18" s="603"/>
      <c r="C18" s="209" t="s">
        <v>47</v>
      </c>
      <c r="D18" s="603" t="s">
        <v>12</v>
      </c>
      <c r="E18" s="604"/>
      <c r="F18" s="604"/>
      <c r="G18" s="209" t="s">
        <v>46</v>
      </c>
      <c r="H18" s="209" t="s">
        <v>389</v>
      </c>
      <c r="I18" s="209" t="s">
        <v>390</v>
      </c>
      <c r="J18" s="162" t="s">
        <v>335</v>
      </c>
      <c r="K18" s="603" t="s">
        <v>51</v>
      </c>
      <c r="L18" s="604"/>
      <c r="M18" s="210"/>
      <c r="N18" s="180"/>
      <c r="O18" s="180"/>
      <c r="P18" s="433"/>
      <c r="Q18" s="433"/>
      <c r="R18" s="180"/>
    </row>
    <row r="19" spans="1:18" ht="15.75" customHeight="1">
      <c r="A19" s="605">
        <v>2</v>
      </c>
      <c r="B19" s="606" t="s">
        <v>157</v>
      </c>
      <c r="C19" s="202">
        <v>1</v>
      </c>
      <c r="D19" s="599" t="s">
        <v>474</v>
      </c>
      <c r="E19" s="600"/>
      <c r="F19" s="600"/>
      <c r="G19" s="202">
        <v>6</v>
      </c>
      <c r="H19" s="204">
        <v>2340.7791755617664</v>
      </c>
      <c r="I19" s="205">
        <v>390.12986259362782</v>
      </c>
      <c r="J19" s="223">
        <v>5.5121468637025828E-2</v>
      </c>
      <c r="K19" s="601" t="s">
        <v>465</v>
      </c>
      <c r="L19" s="602"/>
      <c r="M19" s="191"/>
      <c r="N19" s="180"/>
      <c r="O19" s="180"/>
      <c r="P19" s="433"/>
      <c r="Q19" s="433"/>
      <c r="R19" s="180"/>
    </row>
    <row r="20" spans="1:18" ht="15.75" customHeight="1">
      <c r="A20" s="605"/>
      <c r="B20" s="606"/>
      <c r="C20" s="202">
        <v>2</v>
      </c>
      <c r="D20" s="599" t="s">
        <v>478</v>
      </c>
      <c r="E20" s="600"/>
      <c r="F20" s="600"/>
      <c r="G20" s="202">
        <v>6</v>
      </c>
      <c r="H20" s="204">
        <v>2340.4750418364006</v>
      </c>
      <c r="I20" s="205">
        <v>390.07917363940015</v>
      </c>
      <c r="J20" s="223">
        <v>3.5630782576106412E-2</v>
      </c>
      <c r="K20" s="601" t="s">
        <v>465</v>
      </c>
      <c r="L20" s="602"/>
      <c r="M20" s="191"/>
      <c r="N20" s="180"/>
      <c r="O20" s="180"/>
      <c r="P20" s="433"/>
      <c r="Q20" s="433"/>
      <c r="R20" s="180"/>
    </row>
    <row r="21" spans="1:18" ht="15.75" customHeight="1">
      <c r="A21" s="605"/>
      <c r="B21" s="606"/>
      <c r="C21" s="202">
        <v>3</v>
      </c>
      <c r="D21" s="599" t="s">
        <v>351</v>
      </c>
      <c r="E21" s="600"/>
      <c r="F21" s="600"/>
      <c r="G21" s="202">
        <v>11</v>
      </c>
      <c r="H21" s="204">
        <v>3176.7163075012372</v>
      </c>
      <c r="I21" s="205">
        <v>288.79239159102161</v>
      </c>
      <c r="J21" s="223">
        <v>0.2403465732757013</v>
      </c>
      <c r="K21" s="601" t="s">
        <v>465</v>
      </c>
      <c r="L21" s="602"/>
      <c r="M21" s="191"/>
      <c r="N21" s="180"/>
      <c r="O21" s="180"/>
      <c r="P21" s="433"/>
      <c r="Q21" s="433"/>
      <c r="R21" s="180"/>
    </row>
    <row r="22" spans="1:18" ht="15.75" customHeight="1">
      <c r="A22" s="605"/>
      <c r="B22" s="606"/>
      <c r="C22" s="202">
        <v>4</v>
      </c>
      <c r="D22" s="599" t="s">
        <v>354</v>
      </c>
      <c r="E22" s="600"/>
      <c r="F22" s="600"/>
      <c r="G22" s="202">
        <v>11</v>
      </c>
      <c r="H22" s="204">
        <v>3175.7552502853882</v>
      </c>
      <c r="I22" s="205">
        <v>288.70502275321712</v>
      </c>
      <c r="J22" s="223">
        <v>0.21001208550404726</v>
      </c>
      <c r="K22" s="601" t="s">
        <v>465</v>
      </c>
      <c r="L22" s="602"/>
      <c r="M22" s="191"/>
      <c r="N22" s="180"/>
      <c r="O22" s="180"/>
      <c r="P22" s="433"/>
      <c r="Q22" s="433"/>
      <c r="R22" s="180"/>
    </row>
    <row r="23" spans="1:18" ht="15.75" customHeight="1">
      <c r="A23" s="605"/>
      <c r="B23" s="606"/>
      <c r="C23" s="202">
        <v>5</v>
      </c>
      <c r="D23" s="599" t="s">
        <v>355</v>
      </c>
      <c r="E23" s="600"/>
      <c r="F23" s="600"/>
      <c r="G23" s="202">
        <v>12</v>
      </c>
      <c r="H23" s="204">
        <v>3140.4784835398241</v>
      </c>
      <c r="I23" s="205">
        <v>261.70654029498536</v>
      </c>
      <c r="J23" s="223">
        <v>1.6532435550402624E-2</v>
      </c>
      <c r="K23" s="601" t="s">
        <v>465</v>
      </c>
      <c r="L23" s="602"/>
      <c r="M23" s="191"/>
      <c r="N23" s="180"/>
      <c r="O23" s="180"/>
      <c r="P23" s="433"/>
      <c r="Q23" s="433"/>
      <c r="R23" s="180"/>
    </row>
    <row r="24" spans="1:18" ht="15.75" customHeight="1">
      <c r="A24" s="605"/>
      <c r="B24" s="606"/>
      <c r="C24" s="206" t="s">
        <v>207</v>
      </c>
      <c r="D24" s="599" t="s">
        <v>356</v>
      </c>
      <c r="E24" s="600"/>
      <c r="F24" s="600"/>
      <c r="G24" s="202">
        <v>12</v>
      </c>
      <c r="H24" s="204">
        <v>3140.1752295223955</v>
      </c>
      <c r="I24" s="205">
        <v>261.68126912686631</v>
      </c>
      <c r="J24" s="223">
        <v>3.8163180500646376E-2</v>
      </c>
      <c r="K24" s="601" t="s">
        <v>465</v>
      </c>
      <c r="L24" s="602"/>
      <c r="M24" s="191"/>
      <c r="N24" s="180"/>
      <c r="O24" s="180"/>
      <c r="P24" s="433"/>
      <c r="Q24" s="433"/>
      <c r="R24" s="180"/>
    </row>
    <row r="25" spans="1:18" ht="15.75" customHeight="1">
      <c r="A25" s="605"/>
      <c r="B25" s="606"/>
      <c r="C25" s="206" t="s">
        <v>212</v>
      </c>
      <c r="D25" s="599" t="s">
        <v>353</v>
      </c>
      <c r="E25" s="600"/>
      <c r="F25" s="600"/>
      <c r="G25" s="202">
        <v>12</v>
      </c>
      <c r="H25" s="204">
        <v>3140.2425559193284</v>
      </c>
      <c r="I25" s="205">
        <v>261.68687965994411</v>
      </c>
      <c r="J25" s="223">
        <v>4.5472799177844081E-2</v>
      </c>
      <c r="K25" s="601" t="s">
        <v>465</v>
      </c>
      <c r="L25" s="602"/>
      <c r="M25" s="191"/>
      <c r="N25" s="180"/>
      <c r="O25" s="180"/>
      <c r="P25" s="433"/>
      <c r="Q25" s="433"/>
      <c r="R25" s="180"/>
    </row>
    <row r="26" spans="1:18" ht="15.75" customHeight="1">
      <c r="A26" s="605"/>
      <c r="B26" s="606"/>
      <c r="C26" s="206" t="s">
        <v>208</v>
      </c>
      <c r="D26" s="599" t="s">
        <v>352</v>
      </c>
      <c r="E26" s="600"/>
      <c r="F26" s="600"/>
      <c r="G26" s="202">
        <v>12</v>
      </c>
      <c r="H26" s="204">
        <v>3140.3171460477215</v>
      </c>
      <c r="I26" s="205">
        <v>261.69309550397674</v>
      </c>
      <c r="J26" s="223">
        <v>-1.7487447121197874E-2</v>
      </c>
      <c r="K26" s="601" t="s">
        <v>465</v>
      </c>
      <c r="L26" s="602"/>
      <c r="M26" s="191"/>
      <c r="O26" s="180"/>
      <c r="P26" s="433"/>
      <c r="Q26" s="433"/>
      <c r="R26" s="180"/>
    </row>
    <row r="27" spans="1:18" ht="15.75" customHeight="1">
      <c r="A27" s="605"/>
      <c r="B27" s="606"/>
      <c r="C27" s="206" t="s">
        <v>213</v>
      </c>
      <c r="D27" s="599"/>
      <c r="E27" s="600"/>
      <c r="F27" s="600"/>
      <c r="G27" s="202"/>
      <c r="H27" s="204"/>
      <c r="I27" s="205"/>
      <c r="J27" s="223"/>
      <c r="K27" s="601"/>
      <c r="L27" s="602"/>
      <c r="M27" s="191"/>
      <c r="N27" s="180"/>
      <c r="O27" s="180"/>
      <c r="P27" s="433"/>
      <c r="Q27" s="433"/>
      <c r="R27" s="180"/>
    </row>
    <row r="28" spans="1:18" ht="15.75" customHeight="1">
      <c r="A28" s="605"/>
      <c r="B28" s="606"/>
      <c r="C28" s="206" t="s">
        <v>214</v>
      </c>
      <c r="D28" s="599"/>
      <c r="E28" s="600"/>
      <c r="F28" s="600"/>
      <c r="G28" s="202"/>
      <c r="H28" s="204"/>
      <c r="I28" s="205"/>
      <c r="J28" s="223"/>
      <c r="K28" s="601"/>
      <c r="L28" s="602"/>
      <c r="M28" s="191"/>
      <c r="N28" s="180"/>
      <c r="O28" s="180"/>
      <c r="P28" s="433"/>
      <c r="Q28" s="433"/>
      <c r="R28" s="180"/>
    </row>
    <row r="29" spans="1:18" ht="15.75" customHeight="1">
      <c r="A29" s="607" t="s">
        <v>621</v>
      </c>
      <c r="B29" s="607"/>
      <c r="C29" s="607"/>
      <c r="D29" s="607"/>
      <c r="E29" s="607"/>
      <c r="F29" s="607"/>
      <c r="G29" s="607"/>
      <c r="H29" s="607"/>
      <c r="I29" s="607"/>
      <c r="J29" s="607"/>
      <c r="K29" s="607"/>
      <c r="L29" s="607"/>
      <c r="M29" s="191"/>
    </row>
    <row r="30" spans="1:18" s="192" customFormat="1" ht="15.75" customHeight="1">
      <c r="A30" s="607"/>
      <c r="B30" s="607"/>
      <c r="C30" s="607"/>
      <c r="D30" s="607"/>
      <c r="E30" s="607"/>
      <c r="F30" s="607"/>
      <c r="G30" s="607"/>
      <c r="H30" s="607"/>
      <c r="I30" s="607"/>
      <c r="J30" s="607"/>
      <c r="K30" s="607"/>
      <c r="L30" s="607"/>
    </row>
    <row r="31" spans="1:18" s="180" customFormat="1" ht="15.75" customHeight="1">
      <c r="A31" s="605" t="s">
        <v>164</v>
      </c>
      <c r="B31" s="193">
        <v>1</v>
      </c>
      <c r="C31" s="193">
        <v>2</v>
      </c>
      <c r="D31" s="172">
        <v>3</v>
      </c>
      <c r="E31" s="172">
        <v>4</v>
      </c>
      <c r="F31" s="172">
        <v>5</v>
      </c>
      <c r="G31" s="172">
        <v>6</v>
      </c>
      <c r="H31" s="172">
        <v>7</v>
      </c>
      <c r="I31" s="172">
        <v>8</v>
      </c>
      <c r="J31" s="172">
        <v>9</v>
      </c>
      <c r="K31" s="194"/>
      <c r="L31" s="194"/>
      <c r="M31" s="195"/>
    </row>
    <row r="32" spans="1:18" ht="16.399999999999999" customHeight="1">
      <c r="A32" s="605"/>
      <c r="B32" s="196" t="s">
        <v>209</v>
      </c>
      <c r="C32" s="196" t="s">
        <v>157</v>
      </c>
      <c r="D32" s="197" t="s">
        <v>210</v>
      </c>
      <c r="E32" s="197" t="s">
        <v>158</v>
      </c>
      <c r="F32" s="197" t="s">
        <v>358</v>
      </c>
      <c r="G32" s="198" t="s">
        <v>137</v>
      </c>
      <c r="H32" s="199" t="s">
        <v>211</v>
      </c>
      <c r="I32" s="198" t="s">
        <v>388</v>
      </c>
      <c r="J32" s="198" t="s">
        <v>143</v>
      </c>
      <c r="K32" s="200"/>
      <c r="L32" s="200"/>
      <c r="N32" s="201"/>
      <c r="O32" s="201"/>
      <c r="P32" s="201"/>
      <c r="Q32" s="201"/>
      <c r="R32" s="201"/>
    </row>
    <row r="33" spans="1:18" s="180" customFormat="1" ht="15.75" customHeight="1">
      <c r="A33" s="606" t="s">
        <v>190</v>
      </c>
      <c r="B33" s="606"/>
      <c r="C33" s="162" t="s">
        <v>47</v>
      </c>
      <c r="D33" s="606" t="s">
        <v>12</v>
      </c>
      <c r="E33" s="608"/>
      <c r="F33" s="608"/>
      <c r="G33" s="162" t="s">
        <v>46</v>
      </c>
      <c r="H33" s="162" t="s">
        <v>389</v>
      </c>
      <c r="I33" s="162" t="s">
        <v>390</v>
      </c>
      <c r="J33" s="162" t="s">
        <v>335</v>
      </c>
      <c r="K33" s="606" t="s">
        <v>51</v>
      </c>
      <c r="L33" s="608"/>
      <c r="M33" s="195"/>
      <c r="P33" s="433"/>
      <c r="Q33" s="433"/>
    </row>
    <row r="34" spans="1:18" ht="15.75" customHeight="1">
      <c r="A34" s="605">
        <v>1</v>
      </c>
      <c r="B34" s="606" t="s">
        <v>391</v>
      </c>
      <c r="C34" s="202">
        <v>1</v>
      </c>
      <c r="D34" s="599" t="s">
        <v>414</v>
      </c>
      <c r="E34" s="600"/>
      <c r="F34" s="600"/>
      <c r="G34" s="202">
        <v>3</v>
      </c>
      <c r="H34" s="204">
        <v>3167.771001744572</v>
      </c>
      <c r="I34" s="205">
        <v>1055.9236672481907</v>
      </c>
      <c r="J34" s="223">
        <f>I34-I8</f>
        <v>5.4228019196032164</v>
      </c>
      <c r="K34" s="601"/>
      <c r="L34" s="602"/>
      <c r="N34" s="180"/>
      <c r="O34" s="180"/>
      <c r="P34" s="433"/>
      <c r="Q34" s="433"/>
      <c r="R34" s="180"/>
    </row>
    <row r="35" spans="1:18" ht="15.75" customHeight="1">
      <c r="A35" s="605"/>
      <c r="B35" s="606"/>
      <c r="C35" s="202">
        <v>2</v>
      </c>
      <c r="D35" s="599" t="s">
        <v>405</v>
      </c>
      <c r="E35" s="600"/>
      <c r="F35" s="600"/>
      <c r="G35" s="202">
        <v>3</v>
      </c>
      <c r="H35" s="204">
        <v>3167.323229649618</v>
      </c>
      <c r="I35" s="205">
        <v>1055.7744098832061</v>
      </c>
      <c r="J35" s="223">
        <f>I35-I11</f>
        <v>7.4853771119169323</v>
      </c>
      <c r="K35" s="601"/>
      <c r="L35" s="602"/>
      <c r="N35" s="180"/>
      <c r="O35" s="180"/>
      <c r="P35" s="433"/>
      <c r="Q35" s="433"/>
      <c r="R35" s="180"/>
    </row>
    <row r="36" spans="1:18" ht="15.75" customHeight="1">
      <c r="A36" s="605"/>
      <c r="B36" s="606"/>
      <c r="C36" s="202">
        <v>3</v>
      </c>
      <c r="D36" s="599" t="s">
        <v>410</v>
      </c>
      <c r="E36" s="600"/>
      <c r="F36" s="600"/>
      <c r="G36" s="202">
        <v>3</v>
      </c>
      <c r="H36" s="204">
        <v>3166.0366728768618</v>
      </c>
      <c r="I36" s="205">
        <v>1055.3455576256206</v>
      </c>
      <c r="J36" s="223">
        <f>I36-I10</f>
        <v>6.8585227368396318</v>
      </c>
      <c r="K36" s="601"/>
      <c r="L36" s="602"/>
      <c r="N36" s="180"/>
      <c r="O36" s="180"/>
      <c r="P36" s="433"/>
      <c r="Q36" s="433"/>
      <c r="R36" s="180"/>
    </row>
    <row r="37" spans="1:18" ht="15.75" customHeight="1">
      <c r="A37" s="605"/>
      <c r="B37" s="606"/>
      <c r="C37" s="202">
        <v>4</v>
      </c>
      <c r="D37" s="599" t="s">
        <v>403</v>
      </c>
      <c r="E37" s="600"/>
      <c r="F37" s="600"/>
      <c r="G37" s="202">
        <v>3</v>
      </c>
      <c r="H37" s="204">
        <v>3165.7280020541752</v>
      </c>
      <c r="I37" s="205">
        <v>1055.2426673513914</v>
      </c>
      <c r="J37" s="223">
        <f>I37-I12</f>
        <v>6.9678654244382869</v>
      </c>
      <c r="K37" s="601"/>
      <c r="L37" s="602"/>
      <c r="N37" s="180"/>
      <c r="O37" s="180"/>
      <c r="P37" s="433"/>
      <c r="Q37" s="433"/>
      <c r="R37" s="180"/>
    </row>
    <row r="38" spans="1:18" ht="15.75" customHeight="1">
      <c r="A38" s="605"/>
      <c r="B38" s="606"/>
      <c r="C38" s="202">
        <v>5</v>
      </c>
      <c r="D38" s="599" t="s">
        <v>406</v>
      </c>
      <c r="E38" s="600"/>
      <c r="F38" s="600"/>
      <c r="G38" s="202">
        <v>3</v>
      </c>
      <c r="H38" s="204">
        <v>3165.6881640293664</v>
      </c>
      <c r="I38" s="205">
        <v>1055.2293880097889</v>
      </c>
      <c r="J38" s="223"/>
      <c r="K38" s="601"/>
      <c r="L38" s="602"/>
      <c r="N38" s="180"/>
      <c r="O38" s="180"/>
      <c r="P38" s="433"/>
      <c r="Q38" s="433"/>
      <c r="R38" s="180"/>
    </row>
    <row r="39" spans="1:18" ht="15.75" customHeight="1">
      <c r="A39" s="605"/>
      <c r="B39" s="606"/>
      <c r="C39" s="206" t="s">
        <v>207</v>
      </c>
      <c r="D39" s="600" t="s">
        <v>482</v>
      </c>
      <c r="E39" s="600"/>
      <c r="F39" s="600"/>
      <c r="G39" s="203">
        <v>12</v>
      </c>
      <c r="H39" s="207">
        <v>3125.3274077745223</v>
      </c>
      <c r="I39" s="208">
        <v>260.44395064787687</v>
      </c>
      <c r="J39" s="223">
        <f>I39-I14</f>
        <v>-6.5569385130572755E-2</v>
      </c>
      <c r="K39" s="601"/>
      <c r="L39" s="602"/>
      <c r="N39" s="180"/>
      <c r="O39" s="180"/>
      <c r="P39" s="433"/>
      <c r="Q39" s="433"/>
      <c r="R39" s="180"/>
    </row>
    <row r="40" spans="1:18" ht="15.75" customHeight="1">
      <c r="A40" s="605"/>
      <c r="B40" s="606"/>
      <c r="C40" s="206" t="s">
        <v>212</v>
      </c>
      <c r="D40" s="600" t="s">
        <v>479</v>
      </c>
      <c r="E40" s="600"/>
      <c r="F40" s="600"/>
      <c r="G40" s="203">
        <v>12</v>
      </c>
      <c r="H40" s="207">
        <v>3125.5738828987805</v>
      </c>
      <c r="I40" s="208">
        <v>260.4644902415651</v>
      </c>
      <c r="J40" s="223">
        <f>I40-I13</f>
        <v>7.0071643034339104E-2</v>
      </c>
      <c r="K40" s="601"/>
      <c r="L40" s="602"/>
      <c r="N40" s="180"/>
      <c r="O40" s="180"/>
      <c r="P40" s="433"/>
      <c r="Q40" s="433"/>
      <c r="R40" s="180"/>
    </row>
    <row r="41" spans="1:18" ht="15.75" customHeight="1">
      <c r="A41" s="605"/>
      <c r="B41" s="606"/>
      <c r="C41" s="206" t="s">
        <v>208</v>
      </c>
      <c r="D41" s="600" t="s">
        <v>509</v>
      </c>
      <c r="E41" s="600"/>
      <c r="F41" s="600"/>
      <c r="G41" s="203">
        <v>5</v>
      </c>
      <c r="H41" s="207">
        <v>2675.4744607503339</v>
      </c>
      <c r="I41" s="208">
        <v>535.09489215006681</v>
      </c>
      <c r="J41" s="223">
        <f>I41-I15</f>
        <v>0.52209945692823112</v>
      </c>
      <c r="K41" s="601"/>
      <c r="L41" s="602"/>
      <c r="N41" s="180"/>
      <c r="O41" s="180"/>
      <c r="P41" s="433"/>
      <c r="Q41" s="433"/>
      <c r="R41" s="180"/>
    </row>
    <row r="42" spans="1:18" ht="15.75" customHeight="1">
      <c r="A42" s="605"/>
      <c r="B42" s="606"/>
      <c r="C42" s="206" t="s">
        <v>213</v>
      </c>
      <c r="D42" s="600" t="s">
        <v>548</v>
      </c>
      <c r="E42" s="600"/>
      <c r="F42" s="600"/>
      <c r="G42" s="203">
        <v>5</v>
      </c>
      <c r="H42" s="207">
        <v>2964.5826230600937</v>
      </c>
      <c r="I42" s="208">
        <v>592.91652461201863</v>
      </c>
      <c r="J42" s="223">
        <f>I42-I16</f>
        <v>0.53506332267579637</v>
      </c>
      <c r="K42" s="601"/>
      <c r="L42" s="602"/>
      <c r="M42" s="191"/>
      <c r="N42" s="180"/>
      <c r="O42" s="180"/>
      <c r="P42" s="433"/>
      <c r="Q42" s="433"/>
      <c r="R42" s="180"/>
    </row>
    <row r="43" spans="1:18" ht="15.75" customHeight="1">
      <c r="A43" s="605"/>
      <c r="B43" s="606"/>
      <c r="C43" s="206" t="s">
        <v>214</v>
      </c>
      <c r="D43" s="600" t="s">
        <v>349</v>
      </c>
      <c r="E43" s="600"/>
      <c r="F43" s="600"/>
      <c r="G43" s="203">
        <v>5</v>
      </c>
      <c r="H43" s="207">
        <v>2964.8007328399135</v>
      </c>
      <c r="I43" s="208">
        <v>592.96014656798263</v>
      </c>
      <c r="J43" s="223">
        <f>I43-I17</f>
        <v>-0.40709868075759914</v>
      </c>
      <c r="K43" s="601"/>
      <c r="L43" s="602"/>
      <c r="M43" s="191"/>
      <c r="N43" s="180"/>
      <c r="O43" s="180"/>
      <c r="P43" s="433"/>
      <c r="Q43" s="433"/>
      <c r="R43" s="180"/>
    </row>
    <row r="44" spans="1:18" s="201" customFormat="1" ht="15.75" customHeight="1">
      <c r="A44" s="603" t="s">
        <v>190</v>
      </c>
      <c r="B44" s="603"/>
      <c r="C44" s="209" t="s">
        <v>47</v>
      </c>
      <c r="D44" s="603" t="s">
        <v>12</v>
      </c>
      <c r="E44" s="604"/>
      <c r="F44" s="604"/>
      <c r="G44" s="209" t="s">
        <v>46</v>
      </c>
      <c r="H44" s="209" t="s">
        <v>389</v>
      </c>
      <c r="I44" s="209" t="s">
        <v>390</v>
      </c>
      <c r="J44" s="162" t="s">
        <v>335</v>
      </c>
      <c r="K44" s="603" t="s">
        <v>51</v>
      </c>
      <c r="L44" s="604"/>
      <c r="M44" s="210"/>
      <c r="N44" s="180"/>
      <c r="O44" s="180"/>
      <c r="P44" s="433"/>
      <c r="Q44" s="433"/>
      <c r="R44" s="180"/>
    </row>
    <row r="45" spans="1:18" ht="15.75" customHeight="1">
      <c r="A45" s="605">
        <v>2</v>
      </c>
      <c r="B45" s="606" t="s">
        <v>157</v>
      </c>
      <c r="C45" s="202">
        <v>1</v>
      </c>
      <c r="D45" s="599" t="s">
        <v>474</v>
      </c>
      <c r="E45" s="600"/>
      <c r="F45" s="600"/>
      <c r="G45" s="202">
        <v>6</v>
      </c>
      <c r="H45" s="204">
        <v>2340.5029751062966</v>
      </c>
      <c r="I45" s="205">
        <v>390.08382918438281</v>
      </c>
      <c r="J45" s="223">
        <f>I45-I19</f>
        <v>-4.6033409245012535E-2</v>
      </c>
      <c r="K45" s="601"/>
      <c r="L45" s="602"/>
      <c r="M45" s="191"/>
      <c r="N45" s="180"/>
      <c r="O45" s="180"/>
      <c r="P45" s="433"/>
      <c r="Q45" s="433"/>
      <c r="R45" s="180"/>
    </row>
    <row r="46" spans="1:18" ht="15.75" customHeight="1">
      <c r="A46" s="605"/>
      <c r="B46" s="606"/>
      <c r="C46" s="202">
        <v>2</v>
      </c>
      <c r="D46" s="599" t="s">
        <v>478</v>
      </c>
      <c r="E46" s="600"/>
      <c r="F46" s="600"/>
      <c r="G46" s="202">
        <v>6</v>
      </c>
      <c r="H46" s="204">
        <v>2339.4672358219859</v>
      </c>
      <c r="I46" s="205">
        <v>389.91120597033097</v>
      </c>
      <c r="J46" s="223">
        <f>I46-I20</f>
        <v>-0.16796766906918492</v>
      </c>
      <c r="K46" s="601"/>
      <c r="L46" s="602"/>
      <c r="M46" s="191"/>
      <c r="N46" s="180"/>
      <c r="O46" s="180"/>
      <c r="P46" s="433"/>
      <c r="Q46" s="433"/>
      <c r="R46" s="180"/>
    </row>
    <row r="47" spans="1:18" ht="15.75" customHeight="1">
      <c r="A47" s="605"/>
      <c r="B47" s="606"/>
      <c r="C47" s="202">
        <v>3</v>
      </c>
      <c r="D47" s="599" t="s">
        <v>647</v>
      </c>
      <c r="E47" s="600"/>
      <c r="F47" s="600"/>
      <c r="G47" s="202">
        <v>6</v>
      </c>
      <c r="H47" s="204">
        <v>2157.9351813714316</v>
      </c>
      <c r="I47" s="205">
        <v>359.65586356190533</v>
      </c>
      <c r="J47" s="223"/>
      <c r="K47" s="601"/>
      <c r="L47" s="602"/>
      <c r="M47" s="191"/>
      <c r="N47" s="180"/>
      <c r="O47" s="180"/>
      <c r="P47" s="433"/>
      <c r="Q47" s="433"/>
      <c r="R47" s="180"/>
    </row>
    <row r="48" spans="1:18" ht="15.75" customHeight="1">
      <c r="A48" s="605"/>
      <c r="B48" s="606"/>
      <c r="C48" s="202">
        <v>4</v>
      </c>
      <c r="D48" s="599" t="s">
        <v>351</v>
      </c>
      <c r="E48" s="600"/>
      <c r="F48" s="600"/>
      <c r="G48" s="202">
        <v>11</v>
      </c>
      <c r="H48" s="204">
        <v>3179.5741948856157</v>
      </c>
      <c r="I48" s="205">
        <v>289.05219953505599</v>
      </c>
      <c r="J48" s="223">
        <f>I48-I21</f>
        <v>0.25980794403437812</v>
      </c>
      <c r="K48" s="601"/>
      <c r="L48" s="602"/>
      <c r="M48" s="191"/>
      <c r="N48" s="180"/>
      <c r="O48" s="180"/>
      <c r="P48" s="433"/>
      <c r="Q48" s="433"/>
      <c r="R48" s="180"/>
    </row>
    <row r="49" spans="1:18" ht="15.75" customHeight="1">
      <c r="A49" s="605"/>
      <c r="B49" s="606"/>
      <c r="C49" s="202">
        <v>5</v>
      </c>
      <c r="D49" s="599" t="s">
        <v>354</v>
      </c>
      <c r="E49" s="600"/>
      <c r="F49" s="600"/>
      <c r="G49" s="202">
        <v>11</v>
      </c>
      <c r="H49" s="204">
        <v>3178.1239547700047</v>
      </c>
      <c r="I49" s="205">
        <v>288.92035952454586</v>
      </c>
      <c r="J49" s="223">
        <f>I49-I22</f>
        <v>0.21533677132873663</v>
      </c>
      <c r="K49" s="601"/>
      <c r="L49" s="602"/>
      <c r="M49" s="191"/>
      <c r="N49" s="180"/>
      <c r="O49" s="180"/>
      <c r="P49" s="433"/>
      <c r="Q49" s="433"/>
      <c r="R49" s="180"/>
    </row>
    <row r="50" spans="1:18" ht="15.75" customHeight="1">
      <c r="A50" s="605"/>
      <c r="B50" s="606"/>
      <c r="C50" s="206" t="s">
        <v>207</v>
      </c>
      <c r="D50" s="599" t="s">
        <v>356</v>
      </c>
      <c r="E50" s="600"/>
      <c r="F50" s="600"/>
      <c r="G50" s="202">
        <v>12</v>
      </c>
      <c r="H50" s="204">
        <v>3140.3480793049034</v>
      </c>
      <c r="I50" s="205">
        <v>261.69567327540864</v>
      </c>
      <c r="J50" s="223">
        <f>I50-I24</f>
        <v>1.4404148542325856E-2</v>
      </c>
      <c r="K50" s="601"/>
      <c r="L50" s="602"/>
      <c r="M50" s="191"/>
      <c r="N50" s="180"/>
      <c r="O50" s="180"/>
      <c r="P50" s="433"/>
      <c r="Q50" s="433"/>
      <c r="R50" s="180"/>
    </row>
    <row r="51" spans="1:18" ht="15.75" customHeight="1">
      <c r="A51" s="605"/>
      <c r="B51" s="606"/>
      <c r="C51" s="206" t="s">
        <v>212</v>
      </c>
      <c r="D51" s="599" t="s">
        <v>355</v>
      </c>
      <c r="E51" s="600"/>
      <c r="F51" s="600"/>
      <c r="G51" s="202">
        <v>12</v>
      </c>
      <c r="H51" s="204">
        <v>3140.4591580967085</v>
      </c>
      <c r="I51" s="205">
        <v>261.70492984139236</v>
      </c>
      <c r="J51" s="223">
        <f>I51-I23</f>
        <v>-1.6104535930026032E-3</v>
      </c>
      <c r="K51" s="601"/>
      <c r="L51" s="602"/>
      <c r="M51" s="191"/>
      <c r="N51" s="180"/>
      <c r="O51" s="180"/>
      <c r="P51" s="433"/>
      <c r="Q51" s="433"/>
      <c r="R51" s="180"/>
    </row>
    <row r="52" spans="1:18" ht="15.75" customHeight="1">
      <c r="A52" s="605"/>
      <c r="B52" s="606"/>
      <c r="C52" s="206" t="s">
        <v>208</v>
      </c>
      <c r="D52" s="599" t="s">
        <v>353</v>
      </c>
      <c r="E52" s="600"/>
      <c r="F52" s="600"/>
      <c r="G52" s="202">
        <v>12</v>
      </c>
      <c r="H52" s="204">
        <v>3140.592584662857</v>
      </c>
      <c r="I52" s="205">
        <v>261.71604872190477</v>
      </c>
      <c r="J52" s="223">
        <f>I52-I25</f>
        <v>2.9169061960658382E-2</v>
      </c>
      <c r="K52" s="601"/>
      <c r="L52" s="602"/>
      <c r="M52" s="191"/>
      <c r="O52" s="180"/>
      <c r="P52" s="433"/>
      <c r="Q52" s="433"/>
      <c r="R52" s="180"/>
    </row>
    <row r="53" spans="1:18" ht="15.75" customHeight="1">
      <c r="A53" s="605"/>
      <c r="B53" s="606"/>
      <c r="C53" s="206" t="s">
        <v>213</v>
      </c>
      <c r="D53" s="599" t="s">
        <v>352</v>
      </c>
      <c r="E53" s="600"/>
      <c r="F53" s="600"/>
      <c r="G53" s="202">
        <v>12</v>
      </c>
      <c r="H53" s="204">
        <v>3140.7340611393556</v>
      </c>
      <c r="I53" s="205">
        <v>261.72783842827965</v>
      </c>
      <c r="J53" s="223">
        <f>I53-I26</f>
        <v>3.4742924302918254E-2</v>
      </c>
      <c r="K53" s="601"/>
      <c r="L53" s="602"/>
      <c r="M53" s="191"/>
      <c r="N53" s="180"/>
      <c r="O53" s="180"/>
      <c r="P53" s="433"/>
      <c r="Q53" s="433"/>
      <c r="R53" s="180"/>
    </row>
    <row r="54" spans="1:18" ht="15.75" customHeight="1">
      <c r="A54" s="605"/>
      <c r="B54" s="606"/>
      <c r="C54" s="206" t="s">
        <v>214</v>
      </c>
      <c r="D54" s="599"/>
      <c r="E54" s="600"/>
      <c r="F54" s="600"/>
      <c r="G54" s="202"/>
      <c r="H54" s="204"/>
      <c r="I54" s="205"/>
      <c r="J54" s="223"/>
      <c r="K54" s="601"/>
      <c r="L54" s="602"/>
      <c r="M54" s="191"/>
      <c r="N54" s="180"/>
      <c r="O54" s="180"/>
      <c r="P54" s="433"/>
      <c r="Q54" s="433"/>
      <c r="R54" s="180"/>
    </row>
  </sheetData>
  <mergeCells count="105">
    <mergeCell ref="A1:L2"/>
    <mergeCell ref="K14:L14"/>
    <mergeCell ref="D15:F15"/>
    <mergeCell ref="K15:L15"/>
    <mergeCell ref="D16:F16"/>
    <mergeCell ref="D12:F12"/>
    <mergeCell ref="K12:L12"/>
    <mergeCell ref="D13:F13"/>
    <mergeCell ref="K13:L13"/>
    <mergeCell ref="D14:F14"/>
    <mergeCell ref="K16:L16"/>
    <mergeCell ref="K27:L27"/>
    <mergeCell ref="D28:F28"/>
    <mergeCell ref="K28:L28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K40:L40"/>
    <mergeCell ref="D41:F41"/>
    <mergeCell ref="K41:L41"/>
    <mergeCell ref="D42:F42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7:F27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1" manualBreakCount="1">
    <brk id="28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54"/>
  <sheetViews>
    <sheetView view="pageBreakPreview" topLeftCell="A24" zoomScale="115" zoomScaleNormal="60" zoomScaleSheetLayoutView="115" workbookViewId="0">
      <selection activeCell="I45" sqref="I45"/>
    </sheetView>
  </sheetViews>
  <sheetFormatPr defaultColWidth="12.54296875" defaultRowHeight="15.75" customHeight="1"/>
  <cols>
    <col min="1" max="1" width="6.453125" style="99" customWidth="1"/>
    <col min="2" max="10" width="11.54296875" style="99" customWidth="1"/>
    <col min="11" max="12" width="12.81640625" style="99" customWidth="1"/>
    <col min="13" max="13" width="12.54296875" style="100"/>
    <col min="14" max="18" width="12.54296875" style="191"/>
    <col min="19" max="16384" width="12.54296875" style="99"/>
  </cols>
  <sheetData>
    <row r="1" spans="1:18" ht="15.75" customHeight="1">
      <c r="A1" s="463" t="s">
        <v>387</v>
      </c>
      <c r="B1" s="463"/>
      <c r="C1" s="463"/>
      <c r="D1" s="463"/>
      <c r="E1" s="463"/>
      <c r="F1" s="463"/>
      <c r="G1" s="463"/>
      <c r="H1" s="463"/>
      <c r="I1" s="463"/>
      <c r="J1" s="463"/>
      <c r="K1" s="463"/>
      <c r="L1" s="463"/>
      <c r="M1" s="99"/>
    </row>
    <row r="2" spans="1:18" s="100" customFormat="1" ht="15.75" customHeight="1">
      <c r="A2" s="463"/>
      <c r="B2" s="463"/>
      <c r="C2" s="463"/>
      <c r="D2" s="463"/>
      <c r="E2" s="463"/>
      <c r="F2" s="463"/>
      <c r="G2" s="463"/>
      <c r="H2" s="463"/>
      <c r="I2" s="463"/>
      <c r="J2" s="463"/>
      <c r="K2" s="463"/>
      <c r="L2" s="463"/>
      <c r="N2" s="192"/>
      <c r="O2" s="192"/>
      <c r="P2" s="192"/>
      <c r="Q2" s="192"/>
      <c r="R2" s="192"/>
    </row>
    <row r="3" spans="1:18" s="191" customFormat="1" ht="15.75" customHeight="1">
      <c r="A3" s="607" t="s">
        <v>560</v>
      </c>
      <c r="B3" s="607"/>
      <c r="C3" s="607"/>
      <c r="D3" s="607"/>
      <c r="E3" s="607"/>
      <c r="F3" s="607"/>
      <c r="G3" s="607"/>
      <c r="H3" s="607"/>
      <c r="I3" s="607"/>
      <c r="J3" s="607"/>
      <c r="K3" s="607"/>
      <c r="L3" s="607"/>
    </row>
    <row r="4" spans="1:18" s="192" customFormat="1" ht="15.75" customHeight="1">
      <c r="A4" s="607"/>
      <c r="B4" s="607"/>
      <c r="C4" s="607"/>
      <c r="D4" s="607"/>
      <c r="E4" s="607"/>
      <c r="F4" s="607"/>
      <c r="G4" s="607"/>
      <c r="H4" s="607"/>
      <c r="I4" s="607"/>
      <c r="J4" s="607"/>
      <c r="K4" s="607"/>
      <c r="L4" s="607"/>
    </row>
    <row r="5" spans="1:18" s="180" customFormat="1" ht="16.399999999999999" customHeight="1">
      <c r="A5" s="605" t="s">
        <v>164</v>
      </c>
      <c r="B5" s="172">
        <v>1</v>
      </c>
      <c r="C5" s="172">
        <v>2</v>
      </c>
      <c r="D5" s="193">
        <v>3</v>
      </c>
      <c r="E5" s="193">
        <v>4</v>
      </c>
      <c r="F5" s="172">
        <v>5</v>
      </c>
      <c r="G5" s="172">
        <v>6</v>
      </c>
      <c r="H5" s="172">
        <v>7</v>
      </c>
      <c r="I5" s="172">
        <v>8</v>
      </c>
      <c r="J5" s="172">
        <v>9</v>
      </c>
      <c r="K5" s="194"/>
      <c r="L5" s="194"/>
      <c r="M5" s="195"/>
    </row>
    <row r="6" spans="1:18" s="191" customFormat="1" ht="16.399999999999999" customHeight="1">
      <c r="A6" s="605"/>
      <c r="B6" s="197" t="s">
        <v>209</v>
      </c>
      <c r="C6" s="197" t="s">
        <v>157</v>
      </c>
      <c r="D6" s="196" t="s">
        <v>210</v>
      </c>
      <c r="E6" s="196" t="s">
        <v>158</v>
      </c>
      <c r="F6" s="197" t="s">
        <v>358</v>
      </c>
      <c r="G6" s="198" t="s">
        <v>137</v>
      </c>
      <c r="H6" s="199" t="s">
        <v>211</v>
      </c>
      <c r="I6" s="198" t="s">
        <v>388</v>
      </c>
      <c r="J6" s="198" t="s">
        <v>143</v>
      </c>
      <c r="K6" s="200"/>
      <c r="L6" s="200"/>
      <c r="M6" s="192"/>
      <c r="N6" s="201"/>
      <c r="O6" s="201"/>
      <c r="P6" s="201"/>
      <c r="Q6" s="201"/>
      <c r="R6" s="201"/>
    </row>
    <row r="7" spans="1:18" s="180" customFormat="1" ht="15.75" customHeight="1">
      <c r="A7" s="606" t="s">
        <v>190</v>
      </c>
      <c r="B7" s="606"/>
      <c r="C7" s="162" t="s">
        <v>47</v>
      </c>
      <c r="D7" s="606" t="s">
        <v>12</v>
      </c>
      <c r="E7" s="608"/>
      <c r="F7" s="608"/>
      <c r="G7" s="162" t="s">
        <v>46</v>
      </c>
      <c r="H7" s="162" t="s">
        <v>389</v>
      </c>
      <c r="I7" s="162" t="s">
        <v>390</v>
      </c>
      <c r="J7" s="162" t="s">
        <v>335</v>
      </c>
      <c r="K7" s="606" t="s">
        <v>51</v>
      </c>
      <c r="L7" s="608"/>
      <c r="M7" s="195"/>
      <c r="N7" s="191"/>
      <c r="O7" s="201"/>
      <c r="P7" s="434"/>
      <c r="Q7" s="434"/>
      <c r="R7" s="201"/>
    </row>
    <row r="8" spans="1:18" s="191" customFormat="1" ht="15.75" customHeight="1">
      <c r="A8" s="605">
        <v>3</v>
      </c>
      <c r="B8" s="606" t="s">
        <v>392</v>
      </c>
      <c r="C8" s="202">
        <v>1</v>
      </c>
      <c r="D8" s="599" t="s">
        <v>611</v>
      </c>
      <c r="E8" s="600"/>
      <c r="F8" s="600"/>
      <c r="G8" s="202">
        <v>6</v>
      </c>
      <c r="H8" s="204">
        <v>3096.0077200792798</v>
      </c>
      <c r="I8" s="205">
        <v>516.00128667987997</v>
      </c>
      <c r="J8" s="223"/>
      <c r="K8" s="610" t="s">
        <v>616</v>
      </c>
      <c r="L8" s="602"/>
      <c r="M8" s="192"/>
      <c r="O8" s="201"/>
      <c r="P8" s="434"/>
      <c r="Q8" s="434"/>
      <c r="R8" s="201"/>
    </row>
    <row r="9" spans="1:18" s="191" customFormat="1" ht="15.75" customHeight="1">
      <c r="A9" s="605"/>
      <c r="B9" s="606"/>
      <c r="C9" s="202">
        <v>2</v>
      </c>
      <c r="D9" s="599" t="s">
        <v>357</v>
      </c>
      <c r="E9" s="600"/>
      <c r="F9" s="600"/>
      <c r="G9" s="202">
        <v>21.571428571428573</v>
      </c>
      <c r="H9" s="204">
        <v>2565.6296690448612</v>
      </c>
      <c r="I9" s="205">
        <v>118.92391952790344</v>
      </c>
      <c r="J9" s="223">
        <v>0.38561758991831141</v>
      </c>
      <c r="K9" s="601" t="s">
        <v>465</v>
      </c>
      <c r="L9" s="602"/>
      <c r="M9" s="192"/>
      <c r="O9" s="201"/>
      <c r="P9" s="434"/>
      <c r="Q9" s="434"/>
      <c r="R9" s="201"/>
    </row>
    <row r="10" spans="1:18" s="191" customFormat="1" ht="15.75" customHeight="1">
      <c r="A10" s="605"/>
      <c r="B10" s="606"/>
      <c r="C10" s="202">
        <v>3</v>
      </c>
      <c r="D10" s="599"/>
      <c r="E10" s="600"/>
      <c r="F10" s="600"/>
      <c r="G10" s="202"/>
      <c r="H10" s="204"/>
      <c r="I10" s="205"/>
      <c r="J10" s="223"/>
      <c r="K10" s="601"/>
      <c r="L10" s="602"/>
      <c r="M10" s="192"/>
      <c r="O10" s="201"/>
      <c r="P10" s="434"/>
      <c r="Q10" s="434"/>
      <c r="R10" s="201"/>
    </row>
    <row r="11" spans="1:18" s="191" customFormat="1" ht="15.75" customHeight="1">
      <c r="A11" s="605"/>
      <c r="B11" s="606"/>
      <c r="C11" s="202">
        <v>4</v>
      </c>
      <c r="D11" s="599"/>
      <c r="E11" s="600"/>
      <c r="F11" s="600"/>
      <c r="G11" s="202"/>
      <c r="H11" s="204"/>
      <c r="I11" s="205"/>
      <c r="J11" s="202"/>
      <c r="K11" s="599"/>
      <c r="L11" s="600"/>
      <c r="M11" s="192"/>
      <c r="O11" s="201"/>
      <c r="P11" s="434"/>
      <c r="Q11" s="434"/>
      <c r="R11" s="201"/>
    </row>
    <row r="12" spans="1:18" s="191" customFormat="1" ht="15.75" customHeight="1">
      <c r="A12" s="605"/>
      <c r="B12" s="606"/>
      <c r="C12" s="202">
        <v>5</v>
      </c>
      <c r="D12" s="599"/>
      <c r="E12" s="600"/>
      <c r="F12" s="600"/>
      <c r="G12" s="202"/>
      <c r="H12" s="204"/>
      <c r="I12" s="205"/>
      <c r="J12" s="202"/>
      <c r="K12" s="599"/>
      <c r="L12" s="600"/>
      <c r="M12" s="192"/>
      <c r="O12" s="201"/>
      <c r="P12" s="434"/>
      <c r="Q12" s="434"/>
      <c r="R12" s="201"/>
    </row>
    <row r="13" spans="1:18" s="191" customFormat="1" ht="15.75" customHeight="1">
      <c r="A13" s="605"/>
      <c r="B13" s="606"/>
      <c r="C13" s="206" t="s">
        <v>207</v>
      </c>
      <c r="D13" s="599"/>
      <c r="E13" s="600"/>
      <c r="F13" s="600"/>
      <c r="G13" s="202"/>
      <c r="H13" s="204"/>
      <c r="I13" s="205"/>
      <c r="J13" s="202"/>
      <c r="K13" s="599"/>
      <c r="L13" s="600"/>
      <c r="M13" s="192"/>
      <c r="O13" s="201"/>
      <c r="P13" s="434"/>
      <c r="Q13" s="434"/>
      <c r="R13" s="201"/>
    </row>
    <row r="14" spans="1:18" s="191" customFormat="1" ht="15.75" customHeight="1">
      <c r="A14" s="605"/>
      <c r="B14" s="606"/>
      <c r="C14" s="206" t="s">
        <v>212</v>
      </c>
      <c r="D14" s="599"/>
      <c r="E14" s="600"/>
      <c r="F14" s="600"/>
      <c r="G14" s="202"/>
      <c r="H14" s="204"/>
      <c r="I14" s="205"/>
      <c r="J14" s="202"/>
      <c r="K14" s="599"/>
      <c r="L14" s="600"/>
      <c r="M14" s="192"/>
      <c r="N14" s="180"/>
      <c r="O14" s="180"/>
      <c r="P14" s="433"/>
      <c r="Q14" s="433"/>
      <c r="R14" s="180"/>
    </row>
    <row r="15" spans="1:18" s="191" customFormat="1" ht="15.75" customHeight="1">
      <c r="A15" s="605"/>
      <c r="B15" s="606"/>
      <c r="C15" s="206" t="s">
        <v>208</v>
      </c>
      <c r="D15" s="599"/>
      <c r="E15" s="600"/>
      <c r="F15" s="600"/>
      <c r="G15" s="204"/>
      <c r="H15" s="204"/>
      <c r="I15" s="205"/>
      <c r="J15" s="202"/>
      <c r="K15" s="599"/>
      <c r="L15" s="600"/>
      <c r="M15" s="192"/>
      <c r="O15" s="201"/>
      <c r="P15" s="434"/>
      <c r="Q15" s="434"/>
      <c r="R15" s="201"/>
    </row>
    <row r="16" spans="1:18" s="191" customFormat="1" ht="15.75" customHeight="1">
      <c r="A16" s="605"/>
      <c r="B16" s="606"/>
      <c r="C16" s="206" t="s">
        <v>213</v>
      </c>
      <c r="D16" s="599"/>
      <c r="E16" s="600"/>
      <c r="F16" s="600"/>
      <c r="G16" s="202"/>
      <c r="H16" s="204"/>
      <c r="I16" s="205"/>
      <c r="J16" s="202"/>
      <c r="K16" s="599"/>
      <c r="L16" s="600"/>
      <c r="O16" s="201"/>
      <c r="P16" s="434"/>
      <c r="Q16" s="434"/>
      <c r="R16" s="201"/>
    </row>
    <row r="17" spans="1:18" s="191" customFormat="1" ht="15.75" customHeight="1">
      <c r="A17" s="605"/>
      <c r="B17" s="606"/>
      <c r="C17" s="206" t="s">
        <v>214</v>
      </c>
      <c r="D17" s="599"/>
      <c r="E17" s="600"/>
      <c r="F17" s="600"/>
      <c r="G17" s="202"/>
      <c r="H17" s="204"/>
      <c r="I17" s="205"/>
      <c r="J17" s="202"/>
      <c r="K17" s="599"/>
      <c r="L17" s="600"/>
      <c r="O17" s="201"/>
      <c r="P17" s="434"/>
      <c r="Q17" s="434"/>
      <c r="R17" s="201"/>
    </row>
    <row r="18" spans="1:18" s="201" customFormat="1" ht="15.75" customHeight="1">
      <c r="A18" s="603" t="s">
        <v>190</v>
      </c>
      <c r="B18" s="603"/>
      <c r="C18" s="209" t="s">
        <v>47</v>
      </c>
      <c r="D18" s="603" t="s">
        <v>12</v>
      </c>
      <c r="E18" s="604"/>
      <c r="F18" s="604"/>
      <c r="G18" s="209" t="s">
        <v>46</v>
      </c>
      <c r="H18" s="209" t="s">
        <v>389</v>
      </c>
      <c r="I18" s="209" t="s">
        <v>390</v>
      </c>
      <c r="J18" s="162" t="s">
        <v>335</v>
      </c>
      <c r="K18" s="603" t="s">
        <v>51</v>
      </c>
      <c r="L18" s="604"/>
      <c r="M18" s="210"/>
      <c r="N18" s="191"/>
      <c r="P18" s="434"/>
      <c r="Q18" s="434"/>
    </row>
    <row r="19" spans="1:18" s="191" customFormat="1" ht="15.75" customHeight="1">
      <c r="A19" s="605">
        <v>4</v>
      </c>
      <c r="B19" s="606" t="s">
        <v>158</v>
      </c>
      <c r="C19" s="202">
        <v>1</v>
      </c>
      <c r="D19" s="599" t="s">
        <v>538</v>
      </c>
      <c r="E19" s="600"/>
      <c r="F19" s="600"/>
      <c r="G19" s="202">
        <v>6</v>
      </c>
      <c r="H19" s="204">
        <v>2961.6510978447559</v>
      </c>
      <c r="I19" s="205">
        <v>493.60851630745941</v>
      </c>
      <c r="J19" s="223">
        <v>7.9404761283342395E-2</v>
      </c>
      <c r="K19" s="601" t="s">
        <v>465</v>
      </c>
      <c r="L19" s="602"/>
      <c r="N19" s="201"/>
      <c r="O19" s="201"/>
      <c r="P19" s="434"/>
      <c r="Q19" s="434"/>
      <c r="R19" s="201"/>
    </row>
    <row r="20" spans="1:18" s="191" customFormat="1" ht="15.75" customHeight="1">
      <c r="A20" s="605"/>
      <c r="B20" s="606"/>
      <c r="C20" s="202">
        <v>2</v>
      </c>
      <c r="D20" s="599" t="s">
        <v>612</v>
      </c>
      <c r="E20" s="600"/>
      <c r="F20" s="600"/>
      <c r="G20" s="202">
        <v>6</v>
      </c>
      <c r="H20" s="204">
        <v>2812.7557149413815</v>
      </c>
      <c r="I20" s="205">
        <v>468.79261915689705</v>
      </c>
      <c r="J20" s="202"/>
      <c r="K20" s="609" t="s">
        <v>617</v>
      </c>
      <c r="L20" s="600"/>
      <c r="O20" s="201"/>
      <c r="P20" s="434"/>
      <c r="Q20" s="434"/>
      <c r="R20" s="201"/>
    </row>
    <row r="21" spans="1:18" s="191" customFormat="1" ht="15.75" customHeight="1">
      <c r="A21" s="605"/>
      <c r="B21" s="606"/>
      <c r="C21" s="202">
        <v>3</v>
      </c>
      <c r="D21" s="599"/>
      <c r="E21" s="600"/>
      <c r="F21" s="600"/>
      <c r="G21" s="202"/>
      <c r="H21" s="204"/>
      <c r="I21" s="205"/>
      <c r="J21" s="202"/>
      <c r="K21" s="599"/>
      <c r="L21" s="600"/>
      <c r="O21" s="201"/>
      <c r="P21" s="434"/>
      <c r="Q21" s="434"/>
      <c r="R21" s="201"/>
    </row>
    <row r="22" spans="1:18" s="191" customFormat="1" ht="15.75" customHeight="1">
      <c r="A22" s="605"/>
      <c r="B22" s="606"/>
      <c r="C22" s="202">
        <v>4</v>
      </c>
      <c r="D22" s="599"/>
      <c r="E22" s="600"/>
      <c r="F22" s="600"/>
      <c r="G22" s="202"/>
      <c r="H22" s="204"/>
      <c r="I22" s="205"/>
      <c r="J22" s="202"/>
      <c r="K22" s="599"/>
      <c r="L22" s="600"/>
      <c r="O22" s="201"/>
      <c r="P22" s="434"/>
      <c r="Q22" s="434"/>
      <c r="R22" s="201"/>
    </row>
    <row r="23" spans="1:18" s="191" customFormat="1" ht="15.75" customHeight="1">
      <c r="A23" s="605"/>
      <c r="B23" s="606"/>
      <c r="C23" s="202">
        <v>5</v>
      </c>
      <c r="D23" s="599"/>
      <c r="E23" s="600"/>
      <c r="F23" s="600"/>
      <c r="G23" s="202"/>
      <c r="H23" s="204"/>
      <c r="I23" s="205"/>
      <c r="J23" s="202"/>
      <c r="K23" s="599"/>
      <c r="L23" s="600"/>
      <c r="O23" s="201"/>
      <c r="P23" s="434"/>
      <c r="Q23" s="434"/>
      <c r="R23" s="201"/>
    </row>
    <row r="24" spans="1:18" s="191" customFormat="1" ht="15.75" customHeight="1">
      <c r="A24" s="605"/>
      <c r="B24" s="606"/>
      <c r="C24" s="206" t="s">
        <v>207</v>
      </c>
      <c r="D24" s="599"/>
      <c r="E24" s="600"/>
      <c r="F24" s="600"/>
      <c r="G24" s="202"/>
      <c r="H24" s="204"/>
      <c r="I24" s="205"/>
      <c r="J24" s="202"/>
      <c r="K24" s="599"/>
      <c r="L24" s="600"/>
      <c r="O24" s="201"/>
      <c r="P24" s="434"/>
      <c r="Q24" s="434"/>
      <c r="R24" s="201"/>
    </row>
    <row r="25" spans="1:18" s="191" customFormat="1" ht="15.75" customHeight="1">
      <c r="A25" s="605"/>
      <c r="B25" s="606"/>
      <c r="C25" s="206" t="s">
        <v>212</v>
      </c>
      <c r="D25" s="599"/>
      <c r="E25" s="600"/>
      <c r="F25" s="600"/>
      <c r="G25" s="202"/>
      <c r="H25" s="204"/>
      <c r="I25" s="205"/>
      <c r="J25" s="202"/>
      <c r="K25" s="599"/>
      <c r="L25" s="600"/>
      <c r="O25" s="201"/>
      <c r="P25" s="434"/>
      <c r="Q25" s="434"/>
      <c r="R25" s="201"/>
    </row>
    <row r="26" spans="1:18" s="191" customFormat="1" ht="15.75" customHeight="1">
      <c r="A26" s="605"/>
      <c r="B26" s="606"/>
      <c r="C26" s="206" t="s">
        <v>208</v>
      </c>
      <c r="D26" s="599"/>
      <c r="E26" s="600"/>
      <c r="F26" s="600"/>
      <c r="G26" s="202"/>
      <c r="H26" s="204"/>
      <c r="I26" s="205"/>
      <c r="J26" s="202"/>
      <c r="K26" s="599"/>
      <c r="L26" s="600"/>
      <c r="O26" s="201"/>
      <c r="P26" s="434"/>
      <c r="Q26" s="434"/>
      <c r="R26" s="201"/>
    </row>
    <row r="27" spans="1:18" s="191" customFormat="1" ht="15.75" customHeight="1">
      <c r="A27" s="605"/>
      <c r="B27" s="606"/>
      <c r="C27" s="206" t="s">
        <v>213</v>
      </c>
      <c r="D27" s="599"/>
      <c r="E27" s="600"/>
      <c r="F27" s="600"/>
      <c r="G27" s="202"/>
      <c r="H27" s="204"/>
      <c r="I27" s="205"/>
      <c r="J27" s="202"/>
      <c r="K27" s="599"/>
      <c r="L27" s="600"/>
      <c r="O27" s="201"/>
      <c r="P27" s="434"/>
      <c r="Q27" s="434"/>
      <c r="R27" s="201"/>
    </row>
    <row r="28" spans="1:18" s="191" customFormat="1" ht="15.75" customHeight="1">
      <c r="A28" s="605"/>
      <c r="B28" s="606"/>
      <c r="C28" s="206" t="s">
        <v>214</v>
      </c>
      <c r="D28" s="599"/>
      <c r="E28" s="600"/>
      <c r="F28" s="600"/>
      <c r="G28" s="202"/>
      <c r="H28" s="204"/>
      <c r="I28" s="205"/>
      <c r="J28" s="202"/>
      <c r="K28" s="599"/>
      <c r="L28" s="600"/>
      <c r="O28" s="201"/>
      <c r="P28" s="434"/>
      <c r="Q28" s="434"/>
      <c r="R28" s="201"/>
    </row>
    <row r="29" spans="1:18" s="191" customFormat="1" ht="15.75" customHeight="1">
      <c r="A29" s="607" t="s">
        <v>621</v>
      </c>
      <c r="B29" s="607"/>
      <c r="C29" s="607"/>
      <c r="D29" s="607"/>
      <c r="E29" s="607"/>
      <c r="F29" s="607"/>
      <c r="G29" s="607"/>
      <c r="H29" s="607"/>
      <c r="I29" s="607"/>
      <c r="J29" s="607"/>
      <c r="K29" s="607"/>
      <c r="L29" s="607"/>
    </row>
    <row r="30" spans="1:18" s="192" customFormat="1" ht="15.75" customHeight="1">
      <c r="A30" s="607"/>
      <c r="B30" s="607"/>
      <c r="C30" s="607"/>
      <c r="D30" s="607"/>
      <c r="E30" s="607"/>
      <c r="F30" s="607"/>
      <c r="G30" s="607"/>
      <c r="H30" s="607"/>
      <c r="I30" s="607"/>
      <c r="J30" s="607"/>
      <c r="K30" s="607"/>
      <c r="L30" s="607"/>
    </row>
    <row r="31" spans="1:18" s="180" customFormat="1" ht="16.399999999999999" customHeight="1">
      <c r="A31" s="605" t="s">
        <v>164</v>
      </c>
      <c r="B31" s="172">
        <v>1</v>
      </c>
      <c r="C31" s="172">
        <v>2</v>
      </c>
      <c r="D31" s="193">
        <v>3</v>
      </c>
      <c r="E31" s="193">
        <v>4</v>
      </c>
      <c r="F31" s="172">
        <v>5</v>
      </c>
      <c r="G31" s="172">
        <v>6</v>
      </c>
      <c r="H31" s="172">
        <v>7</v>
      </c>
      <c r="I31" s="172">
        <v>8</v>
      </c>
      <c r="J31" s="172">
        <v>9</v>
      </c>
      <c r="K31" s="194"/>
      <c r="L31" s="194"/>
      <c r="M31" s="195"/>
    </row>
    <row r="32" spans="1:18" s="191" customFormat="1" ht="16.399999999999999" customHeight="1">
      <c r="A32" s="605"/>
      <c r="B32" s="197" t="s">
        <v>209</v>
      </c>
      <c r="C32" s="197" t="s">
        <v>157</v>
      </c>
      <c r="D32" s="196" t="s">
        <v>210</v>
      </c>
      <c r="E32" s="196" t="s">
        <v>158</v>
      </c>
      <c r="F32" s="197" t="s">
        <v>358</v>
      </c>
      <c r="G32" s="198" t="s">
        <v>137</v>
      </c>
      <c r="H32" s="199" t="s">
        <v>211</v>
      </c>
      <c r="I32" s="198" t="s">
        <v>388</v>
      </c>
      <c r="J32" s="198" t="s">
        <v>143</v>
      </c>
      <c r="K32" s="200"/>
      <c r="L32" s="200"/>
      <c r="M32" s="192"/>
      <c r="N32" s="201"/>
      <c r="O32" s="201"/>
      <c r="P32" s="201"/>
      <c r="Q32" s="201"/>
      <c r="R32" s="201"/>
    </row>
    <row r="33" spans="1:18" s="180" customFormat="1" ht="15.75" customHeight="1">
      <c r="A33" s="606" t="s">
        <v>190</v>
      </c>
      <c r="B33" s="606"/>
      <c r="C33" s="162" t="s">
        <v>47</v>
      </c>
      <c r="D33" s="606" t="s">
        <v>12</v>
      </c>
      <c r="E33" s="608"/>
      <c r="F33" s="608"/>
      <c r="G33" s="162" t="s">
        <v>46</v>
      </c>
      <c r="H33" s="162" t="s">
        <v>389</v>
      </c>
      <c r="I33" s="162" t="s">
        <v>390</v>
      </c>
      <c r="J33" s="162" t="s">
        <v>335</v>
      </c>
      <c r="K33" s="606" t="s">
        <v>51</v>
      </c>
      <c r="L33" s="608"/>
      <c r="M33" s="195"/>
      <c r="N33" s="191"/>
      <c r="O33" s="201"/>
      <c r="P33" s="434"/>
      <c r="Q33" s="434"/>
      <c r="R33" s="201"/>
    </row>
    <row r="34" spans="1:18" s="191" customFormat="1" ht="15.75" customHeight="1">
      <c r="A34" s="605">
        <v>3</v>
      </c>
      <c r="B34" s="606" t="s">
        <v>392</v>
      </c>
      <c r="C34" s="202">
        <v>1</v>
      </c>
      <c r="D34" s="599" t="s">
        <v>611</v>
      </c>
      <c r="E34" s="600"/>
      <c r="F34" s="600"/>
      <c r="G34" s="202">
        <v>6</v>
      </c>
      <c r="H34" s="204">
        <v>3251.0623903457367</v>
      </c>
      <c r="I34" s="205">
        <v>541.84373172428934</v>
      </c>
      <c r="J34" s="223">
        <f>I34-I8</f>
        <v>25.842445044409374</v>
      </c>
      <c r="K34" s="610"/>
      <c r="L34" s="602"/>
      <c r="M34" s="192"/>
      <c r="O34" s="201"/>
      <c r="P34" s="434"/>
      <c r="Q34" s="434"/>
      <c r="R34" s="201"/>
    </row>
    <row r="35" spans="1:18" s="191" customFormat="1" ht="15.75" customHeight="1">
      <c r="A35" s="605"/>
      <c r="B35" s="606"/>
      <c r="C35" s="202">
        <v>2</v>
      </c>
      <c r="D35" s="599" t="s">
        <v>357</v>
      </c>
      <c r="E35" s="600"/>
      <c r="F35" s="600"/>
      <c r="G35" s="202">
        <v>22.142857142857142</v>
      </c>
      <c r="H35" s="204">
        <v>2655.1279573822417</v>
      </c>
      <c r="I35" s="205">
        <v>119.8627617492419</v>
      </c>
      <c r="J35" s="223">
        <f>I35-I9</f>
        <v>0.93884222133846151</v>
      </c>
      <c r="K35" s="601"/>
      <c r="L35" s="602"/>
      <c r="M35" s="192"/>
      <c r="O35" s="201"/>
      <c r="P35" s="434"/>
      <c r="Q35" s="434"/>
      <c r="R35" s="201"/>
    </row>
    <row r="36" spans="1:18" s="191" customFormat="1" ht="15.75" customHeight="1">
      <c r="A36" s="605"/>
      <c r="B36" s="606"/>
      <c r="C36" s="202">
        <v>3</v>
      </c>
      <c r="D36" s="599"/>
      <c r="E36" s="600"/>
      <c r="F36" s="600"/>
      <c r="G36" s="202"/>
      <c r="H36" s="204"/>
      <c r="I36" s="205"/>
      <c r="J36" s="223"/>
      <c r="K36" s="601"/>
      <c r="L36" s="602"/>
      <c r="M36" s="192"/>
      <c r="O36" s="201"/>
      <c r="P36" s="434"/>
      <c r="Q36" s="434"/>
      <c r="R36" s="201"/>
    </row>
    <row r="37" spans="1:18" s="191" customFormat="1" ht="15.75" customHeight="1">
      <c r="A37" s="605"/>
      <c r="B37" s="606"/>
      <c r="C37" s="202">
        <v>4</v>
      </c>
      <c r="D37" s="599"/>
      <c r="E37" s="600"/>
      <c r="F37" s="600"/>
      <c r="G37" s="202"/>
      <c r="H37" s="204"/>
      <c r="I37" s="205"/>
      <c r="J37" s="202"/>
      <c r="K37" s="599"/>
      <c r="L37" s="600"/>
      <c r="M37" s="192"/>
      <c r="O37" s="201"/>
      <c r="P37" s="434"/>
      <c r="Q37" s="434"/>
      <c r="R37" s="201"/>
    </row>
    <row r="38" spans="1:18" s="191" customFormat="1" ht="15.75" customHeight="1">
      <c r="A38" s="605"/>
      <c r="B38" s="606"/>
      <c r="C38" s="202">
        <v>5</v>
      </c>
      <c r="D38" s="599"/>
      <c r="E38" s="600"/>
      <c r="F38" s="600"/>
      <c r="G38" s="202"/>
      <c r="H38" s="204"/>
      <c r="I38" s="205"/>
      <c r="J38" s="202"/>
      <c r="K38" s="599"/>
      <c r="L38" s="600"/>
      <c r="M38" s="192"/>
      <c r="O38" s="201"/>
      <c r="P38" s="434"/>
      <c r="Q38" s="434"/>
      <c r="R38" s="201"/>
    </row>
    <row r="39" spans="1:18" s="191" customFormat="1" ht="15.75" customHeight="1">
      <c r="A39" s="605"/>
      <c r="B39" s="606"/>
      <c r="C39" s="206" t="s">
        <v>207</v>
      </c>
      <c r="D39" s="599"/>
      <c r="E39" s="600"/>
      <c r="F39" s="600"/>
      <c r="G39" s="202"/>
      <c r="H39" s="204"/>
      <c r="I39" s="205"/>
      <c r="J39" s="202"/>
      <c r="K39" s="599"/>
      <c r="L39" s="600"/>
      <c r="M39" s="192"/>
      <c r="O39" s="201"/>
      <c r="P39" s="434"/>
      <c r="Q39" s="434"/>
      <c r="R39" s="201"/>
    </row>
    <row r="40" spans="1:18" s="191" customFormat="1" ht="15.75" customHeight="1">
      <c r="A40" s="605"/>
      <c r="B40" s="606"/>
      <c r="C40" s="206" t="s">
        <v>212</v>
      </c>
      <c r="D40" s="599"/>
      <c r="E40" s="600"/>
      <c r="F40" s="600"/>
      <c r="G40" s="202"/>
      <c r="H40" s="204"/>
      <c r="I40" s="205"/>
      <c r="J40" s="202"/>
      <c r="K40" s="599"/>
      <c r="L40" s="600"/>
      <c r="M40" s="192"/>
      <c r="N40" s="180"/>
      <c r="O40" s="180"/>
      <c r="P40" s="433"/>
      <c r="Q40" s="433"/>
      <c r="R40" s="180"/>
    </row>
    <row r="41" spans="1:18" s="191" customFormat="1" ht="15.75" customHeight="1">
      <c r="A41" s="605"/>
      <c r="B41" s="606"/>
      <c r="C41" s="206" t="s">
        <v>208</v>
      </c>
      <c r="D41" s="599"/>
      <c r="E41" s="600"/>
      <c r="F41" s="600"/>
      <c r="G41" s="204"/>
      <c r="H41" s="204"/>
      <c r="I41" s="205"/>
      <c r="J41" s="202"/>
      <c r="K41" s="599"/>
      <c r="L41" s="600"/>
      <c r="M41" s="192"/>
      <c r="O41" s="201"/>
      <c r="P41" s="434"/>
      <c r="Q41" s="434"/>
      <c r="R41" s="201"/>
    </row>
    <row r="42" spans="1:18" s="191" customFormat="1" ht="15.75" customHeight="1">
      <c r="A42" s="605"/>
      <c r="B42" s="606"/>
      <c r="C42" s="206" t="s">
        <v>213</v>
      </c>
      <c r="D42" s="599"/>
      <c r="E42" s="600"/>
      <c r="F42" s="600"/>
      <c r="G42" s="202"/>
      <c r="H42" s="204"/>
      <c r="I42" s="205"/>
      <c r="J42" s="202"/>
      <c r="K42" s="599"/>
      <c r="L42" s="600"/>
      <c r="O42" s="201"/>
      <c r="P42" s="434"/>
      <c r="Q42" s="434"/>
      <c r="R42" s="201"/>
    </row>
    <row r="43" spans="1:18" s="191" customFormat="1" ht="15.75" customHeight="1">
      <c r="A43" s="605"/>
      <c r="B43" s="606"/>
      <c r="C43" s="206" t="s">
        <v>214</v>
      </c>
      <c r="D43" s="599"/>
      <c r="E43" s="600"/>
      <c r="F43" s="600"/>
      <c r="G43" s="202"/>
      <c r="H43" s="204"/>
      <c r="I43" s="205"/>
      <c r="J43" s="202"/>
      <c r="K43" s="599"/>
      <c r="L43" s="600"/>
      <c r="O43" s="201"/>
      <c r="P43" s="434"/>
      <c r="Q43" s="434"/>
      <c r="R43" s="201"/>
    </row>
    <row r="44" spans="1:18" s="201" customFormat="1" ht="15.75" customHeight="1">
      <c r="A44" s="603" t="s">
        <v>190</v>
      </c>
      <c r="B44" s="603"/>
      <c r="C44" s="209" t="s">
        <v>47</v>
      </c>
      <c r="D44" s="603" t="s">
        <v>12</v>
      </c>
      <c r="E44" s="604"/>
      <c r="F44" s="604"/>
      <c r="G44" s="209" t="s">
        <v>46</v>
      </c>
      <c r="H44" s="209" t="s">
        <v>389</v>
      </c>
      <c r="I44" s="209" t="s">
        <v>390</v>
      </c>
      <c r="J44" s="162" t="s">
        <v>335</v>
      </c>
      <c r="K44" s="603" t="s">
        <v>51</v>
      </c>
      <c r="L44" s="604"/>
      <c r="M44" s="210"/>
      <c r="N44" s="191"/>
      <c r="P44" s="434"/>
      <c r="Q44" s="434"/>
    </row>
    <row r="45" spans="1:18" s="191" customFormat="1" ht="15.75" customHeight="1">
      <c r="A45" s="605">
        <v>4</v>
      </c>
      <c r="B45" s="606" t="s">
        <v>158</v>
      </c>
      <c r="C45" s="202">
        <v>1</v>
      </c>
      <c r="D45" s="599" t="s">
        <v>612</v>
      </c>
      <c r="E45" s="600"/>
      <c r="F45" s="600"/>
      <c r="G45" s="202">
        <v>6</v>
      </c>
      <c r="H45" s="204">
        <v>2962.5124191531067</v>
      </c>
      <c r="I45" s="205">
        <v>493.75206985885114</v>
      </c>
      <c r="J45" s="223">
        <f>I45-I20</f>
        <v>24.959450701954097</v>
      </c>
      <c r="K45" s="601"/>
      <c r="L45" s="602"/>
      <c r="N45" s="201"/>
      <c r="O45" s="201"/>
      <c r="P45" s="434"/>
      <c r="Q45" s="434"/>
      <c r="R45" s="201"/>
    </row>
    <row r="46" spans="1:18" s="191" customFormat="1" ht="15.75" customHeight="1">
      <c r="A46" s="605"/>
      <c r="B46" s="606"/>
      <c r="C46" s="202">
        <v>2</v>
      </c>
      <c r="D46" s="599" t="s">
        <v>538</v>
      </c>
      <c r="E46" s="600"/>
      <c r="F46" s="600"/>
      <c r="G46" s="202">
        <v>6</v>
      </c>
      <c r="H46" s="204">
        <v>2961.9147244211053</v>
      </c>
      <c r="I46" s="205">
        <v>493.65245407018432</v>
      </c>
      <c r="J46" s="223">
        <f>I46-I19</f>
        <v>4.393776272490868E-2</v>
      </c>
      <c r="K46" s="609"/>
      <c r="L46" s="600"/>
      <c r="O46" s="201"/>
      <c r="P46" s="434"/>
      <c r="Q46" s="434"/>
      <c r="R46" s="201"/>
    </row>
    <row r="47" spans="1:18" s="191" customFormat="1" ht="15.75" customHeight="1">
      <c r="A47" s="605"/>
      <c r="B47" s="606"/>
      <c r="C47" s="202">
        <v>3</v>
      </c>
      <c r="D47" s="599"/>
      <c r="E47" s="600"/>
      <c r="F47" s="600"/>
      <c r="G47" s="202"/>
      <c r="H47" s="204"/>
      <c r="I47" s="205"/>
      <c r="J47" s="202"/>
      <c r="K47" s="599"/>
      <c r="L47" s="600"/>
      <c r="O47" s="201"/>
      <c r="P47" s="434"/>
      <c r="Q47" s="434"/>
      <c r="R47" s="201"/>
    </row>
    <row r="48" spans="1:18" s="191" customFormat="1" ht="15.75" customHeight="1">
      <c r="A48" s="605"/>
      <c r="B48" s="606"/>
      <c r="C48" s="202">
        <v>4</v>
      </c>
      <c r="D48" s="599"/>
      <c r="E48" s="600"/>
      <c r="F48" s="600"/>
      <c r="G48" s="202"/>
      <c r="H48" s="204"/>
      <c r="I48" s="205"/>
      <c r="J48" s="202"/>
      <c r="K48" s="599"/>
      <c r="L48" s="600"/>
      <c r="O48" s="201"/>
      <c r="P48" s="434"/>
      <c r="Q48" s="434"/>
      <c r="R48" s="201"/>
    </row>
    <row r="49" spans="1:18" s="191" customFormat="1" ht="15.75" customHeight="1">
      <c r="A49" s="605"/>
      <c r="B49" s="606"/>
      <c r="C49" s="202">
        <v>5</v>
      </c>
      <c r="D49" s="599"/>
      <c r="E49" s="600"/>
      <c r="F49" s="600"/>
      <c r="G49" s="202"/>
      <c r="H49" s="204"/>
      <c r="I49" s="205"/>
      <c r="J49" s="202"/>
      <c r="K49" s="599"/>
      <c r="L49" s="600"/>
      <c r="O49" s="201"/>
      <c r="P49" s="434"/>
      <c r="Q49" s="434"/>
      <c r="R49" s="201"/>
    </row>
    <row r="50" spans="1:18" s="191" customFormat="1" ht="15.75" customHeight="1">
      <c r="A50" s="605"/>
      <c r="B50" s="606"/>
      <c r="C50" s="206" t="s">
        <v>207</v>
      </c>
      <c r="D50" s="599"/>
      <c r="E50" s="600"/>
      <c r="F50" s="600"/>
      <c r="G50" s="202"/>
      <c r="H50" s="204"/>
      <c r="I50" s="205"/>
      <c r="J50" s="202"/>
      <c r="K50" s="599"/>
      <c r="L50" s="600"/>
      <c r="O50" s="201"/>
      <c r="P50" s="434"/>
      <c r="Q50" s="434"/>
      <c r="R50" s="201"/>
    </row>
    <row r="51" spans="1:18" s="191" customFormat="1" ht="15.75" customHeight="1">
      <c r="A51" s="605"/>
      <c r="B51" s="606"/>
      <c r="C51" s="206" t="s">
        <v>212</v>
      </c>
      <c r="D51" s="599"/>
      <c r="E51" s="600"/>
      <c r="F51" s="600"/>
      <c r="G51" s="202"/>
      <c r="H51" s="204"/>
      <c r="I51" s="205"/>
      <c r="J51" s="202"/>
      <c r="K51" s="599"/>
      <c r="L51" s="600"/>
      <c r="O51" s="201"/>
      <c r="P51" s="434"/>
      <c r="Q51" s="434"/>
      <c r="R51" s="201"/>
    </row>
    <row r="52" spans="1:18" s="191" customFormat="1" ht="15.75" customHeight="1">
      <c r="A52" s="605"/>
      <c r="B52" s="606"/>
      <c r="C52" s="206" t="s">
        <v>208</v>
      </c>
      <c r="D52" s="599"/>
      <c r="E52" s="600"/>
      <c r="F52" s="600"/>
      <c r="G52" s="202"/>
      <c r="H52" s="204"/>
      <c r="I52" s="205"/>
      <c r="J52" s="202"/>
      <c r="K52" s="599"/>
      <c r="L52" s="600"/>
      <c r="O52" s="201"/>
      <c r="P52" s="434"/>
      <c r="Q52" s="434"/>
      <c r="R52" s="201"/>
    </row>
    <row r="53" spans="1:18" s="191" customFormat="1" ht="15.75" customHeight="1">
      <c r="A53" s="605"/>
      <c r="B53" s="606"/>
      <c r="C53" s="206" t="s">
        <v>213</v>
      </c>
      <c r="D53" s="599"/>
      <c r="E53" s="600"/>
      <c r="F53" s="600"/>
      <c r="G53" s="202"/>
      <c r="H53" s="204"/>
      <c r="I53" s="205"/>
      <c r="J53" s="202"/>
      <c r="K53" s="599"/>
      <c r="L53" s="600"/>
      <c r="O53" s="201"/>
      <c r="P53" s="434"/>
      <c r="Q53" s="434"/>
      <c r="R53" s="201"/>
    </row>
    <row r="54" spans="1:18" s="191" customFormat="1" ht="15.75" customHeight="1">
      <c r="A54" s="605"/>
      <c r="B54" s="606"/>
      <c r="C54" s="206" t="s">
        <v>214</v>
      </c>
      <c r="D54" s="599"/>
      <c r="E54" s="600"/>
      <c r="F54" s="600"/>
      <c r="G54" s="202"/>
      <c r="H54" s="204"/>
      <c r="I54" s="205"/>
      <c r="J54" s="202"/>
      <c r="K54" s="599"/>
      <c r="L54" s="600"/>
      <c r="O54" s="201"/>
      <c r="P54" s="434"/>
      <c r="Q54" s="434"/>
      <c r="R54" s="201"/>
    </row>
  </sheetData>
  <mergeCells count="105">
    <mergeCell ref="A1:L2"/>
    <mergeCell ref="K14:L14"/>
    <mergeCell ref="D15:F15"/>
    <mergeCell ref="K15:L15"/>
    <mergeCell ref="D16:F16"/>
    <mergeCell ref="D12:F12"/>
    <mergeCell ref="K12:L12"/>
    <mergeCell ref="D13:F13"/>
    <mergeCell ref="K13:L13"/>
    <mergeCell ref="D14:F14"/>
    <mergeCell ref="K16:L16"/>
    <mergeCell ref="K27:L27"/>
    <mergeCell ref="D28:F28"/>
    <mergeCell ref="K28:L28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K40:L40"/>
    <mergeCell ref="D41:F41"/>
    <mergeCell ref="K41:L41"/>
    <mergeCell ref="D42:F42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7:F27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" manualBreakCount="1">
    <brk id="28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54"/>
  <sheetViews>
    <sheetView view="pageBreakPreview" topLeftCell="A19" zoomScale="80" zoomScaleNormal="60" zoomScaleSheetLayoutView="80" workbookViewId="0">
      <selection activeCell="J53" sqref="J53"/>
    </sheetView>
  </sheetViews>
  <sheetFormatPr defaultColWidth="12.54296875" defaultRowHeight="15.75" customHeight="1"/>
  <cols>
    <col min="1" max="1" width="6.453125" style="99" customWidth="1"/>
    <col min="2" max="10" width="11.54296875" style="99" customWidth="1"/>
    <col min="11" max="12" width="12.81640625" style="99" customWidth="1"/>
    <col min="13" max="13" width="12.54296875" style="100"/>
    <col min="14" max="18" width="12.54296875" style="191"/>
    <col min="19" max="16384" width="12.54296875" style="99"/>
  </cols>
  <sheetData>
    <row r="1" spans="1:18" ht="15.75" customHeight="1">
      <c r="A1" s="463" t="s">
        <v>387</v>
      </c>
      <c r="B1" s="463"/>
      <c r="C1" s="463"/>
      <c r="D1" s="463"/>
      <c r="E1" s="463"/>
      <c r="F1" s="463"/>
      <c r="G1" s="463"/>
      <c r="H1" s="463"/>
      <c r="I1" s="463"/>
      <c r="J1" s="463"/>
      <c r="K1" s="463"/>
      <c r="L1" s="463"/>
      <c r="M1" s="99"/>
    </row>
    <row r="2" spans="1:18" s="100" customFormat="1" ht="15.75" customHeight="1">
      <c r="A2" s="463"/>
      <c r="B2" s="463"/>
      <c r="C2" s="463"/>
      <c r="D2" s="463"/>
      <c r="E2" s="463"/>
      <c r="F2" s="463"/>
      <c r="G2" s="463"/>
      <c r="H2" s="463"/>
      <c r="I2" s="463"/>
      <c r="J2" s="463"/>
      <c r="K2" s="463"/>
      <c r="L2" s="463"/>
      <c r="N2" s="192"/>
      <c r="O2" s="192"/>
      <c r="P2" s="192"/>
      <c r="Q2" s="192"/>
      <c r="R2" s="192"/>
    </row>
    <row r="3" spans="1:18" s="191" customFormat="1" ht="15.75" customHeight="1">
      <c r="A3" s="607" t="s">
        <v>560</v>
      </c>
      <c r="B3" s="607"/>
      <c r="C3" s="607"/>
      <c r="D3" s="607"/>
      <c r="E3" s="607"/>
      <c r="F3" s="607"/>
      <c r="G3" s="607"/>
      <c r="H3" s="607"/>
      <c r="I3" s="607"/>
      <c r="J3" s="607"/>
      <c r="K3" s="607"/>
      <c r="L3" s="607"/>
    </row>
    <row r="4" spans="1:18" s="192" customFormat="1" ht="15.75" customHeight="1">
      <c r="A4" s="607"/>
      <c r="B4" s="607"/>
      <c r="C4" s="607"/>
      <c r="D4" s="607"/>
      <c r="E4" s="607"/>
      <c r="F4" s="607"/>
      <c r="G4" s="607"/>
      <c r="H4" s="607"/>
      <c r="I4" s="607"/>
      <c r="J4" s="607"/>
      <c r="K4" s="607"/>
      <c r="L4" s="607"/>
    </row>
    <row r="5" spans="1:18" s="106" customFormat="1" ht="16.399999999999999" customHeight="1">
      <c r="A5" s="605" t="s">
        <v>164</v>
      </c>
      <c r="B5" s="172">
        <v>1</v>
      </c>
      <c r="C5" s="172">
        <v>2</v>
      </c>
      <c r="D5" s="172">
        <v>3</v>
      </c>
      <c r="E5" s="172">
        <v>4</v>
      </c>
      <c r="F5" s="193">
        <v>5</v>
      </c>
      <c r="G5" s="193">
        <v>6</v>
      </c>
      <c r="H5" s="172">
        <v>7</v>
      </c>
      <c r="I5" s="172">
        <v>8</v>
      </c>
      <c r="J5" s="172">
        <v>9</v>
      </c>
      <c r="K5" s="194"/>
      <c r="L5" s="194"/>
      <c r="M5" s="129"/>
      <c r="N5" s="180"/>
      <c r="O5" s="180"/>
      <c r="P5" s="180"/>
      <c r="Q5" s="180"/>
      <c r="R5" s="180"/>
    </row>
    <row r="6" spans="1:18" ht="16.399999999999999" customHeight="1">
      <c r="A6" s="605"/>
      <c r="B6" s="197" t="s">
        <v>209</v>
      </c>
      <c r="C6" s="197" t="s">
        <v>157</v>
      </c>
      <c r="D6" s="197" t="s">
        <v>210</v>
      </c>
      <c r="E6" s="197" t="s">
        <v>158</v>
      </c>
      <c r="F6" s="196" t="s">
        <v>358</v>
      </c>
      <c r="G6" s="211" t="s">
        <v>137</v>
      </c>
      <c r="H6" s="199" t="s">
        <v>211</v>
      </c>
      <c r="I6" s="198" t="s">
        <v>388</v>
      </c>
      <c r="J6" s="198" t="s">
        <v>143</v>
      </c>
      <c r="K6" s="200"/>
      <c r="L6" s="200"/>
      <c r="N6" s="201"/>
      <c r="O6" s="201"/>
      <c r="P6" s="201"/>
      <c r="Q6" s="201"/>
      <c r="R6" s="201"/>
    </row>
    <row r="7" spans="1:18" s="106" customFormat="1" ht="15.75" customHeight="1">
      <c r="A7" s="606" t="s">
        <v>190</v>
      </c>
      <c r="B7" s="606"/>
      <c r="C7" s="162" t="s">
        <v>47</v>
      </c>
      <c r="D7" s="606" t="s">
        <v>12</v>
      </c>
      <c r="E7" s="608"/>
      <c r="F7" s="608"/>
      <c r="G7" s="162" t="s">
        <v>46</v>
      </c>
      <c r="H7" s="162" t="s">
        <v>389</v>
      </c>
      <c r="I7" s="162" t="s">
        <v>390</v>
      </c>
      <c r="J7" s="162" t="s">
        <v>335</v>
      </c>
      <c r="K7" s="606" t="s">
        <v>51</v>
      </c>
      <c r="L7" s="608"/>
      <c r="M7" s="129"/>
      <c r="N7" s="191"/>
      <c r="O7" s="435"/>
      <c r="P7" s="434"/>
      <c r="Q7" s="434"/>
      <c r="R7" s="201"/>
    </row>
    <row r="8" spans="1:18" ht="15.75" customHeight="1">
      <c r="A8" s="605">
        <v>5</v>
      </c>
      <c r="B8" s="606" t="s">
        <v>358</v>
      </c>
      <c r="C8" s="202">
        <v>1</v>
      </c>
      <c r="D8" s="599" t="s">
        <v>487</v>
      </c>
      <c r="E8" s="600"/>
      <c r="F8" s="600"/>
      <c r="G8" s="204">
        <v>19.142857142857142</v>
      </c>
      <c r="H8" s="204">
        <v>1783.774072644688</v>
      </c>
      <c r="I8" s="205">
        <v>93.212053675189409</v>
      </c>
      <c r="J8" s="379">
        <v>-0.60653161970520841</v>
      </c>
      <c r="K8" s="611" t="s">
        <v>618</v>
      </c>
      <c r="L8" s="602"/>
      <c r="N8" s="180"/>
      <c r="O8" s="436"/>
      <c r="P8" s="433"/>
      <c r="Q8" s="433"/>
      <c r="R8" s="180"/>
    </row>
    <row r="9" spans="1:18" ht="15.75" customHeight="1">
      <c r="A9" s="605"/>
      <c r="B9" s="606"/>
      <c r="C9" s="202">
        <v>2</v>
      </c>
      <c r="D9" s="599" t="s">
        <v>455</v>
      </c>
      <c r="E9" s="600"/>
      <c r="F9" s="600"/>
      <c r="G9" s="204">
        <v>20</v>
      </c>
      <c r="H9" s="204">
        <v>1784.4743599668157</v>
      </c>
      <c r="I9" s="205">
        <v>89.223717998340774</v>
      </c>
      <c r="J9" s="379">
        <v>3.6779982821485646E-2</v>
      </c>
      <c r="K9" s="601" t="s">
        <v>465</v>
      </c>
      <c r="L9" s="602"/>
      <c r="O9" s="435"/>
      <c r="P9" s="434"/>
      <c r="Q9" s="434"/>
      <c r="R9" s="201"/>
    </row>
    <row r="10" spans="1:18" ht="15.75" customHeight="1">
      <c r="A10" s="605"/>
      <c r="B10" s="606"/>
      <c r="C10" s="202">
        <v>3</v>
      </c>
      <c r="D10" s="599" t="s">
        <v>475</v>
      </c>
      <c r="E10" s="600"/>
      <c r="F10" s="600"/>
      <c r="G10" s="204">
        <v>21.142857142857142</v>
      </c>
      <c r="H10" s="204">
        <v>1784.3491569571138</v>
      </c>
      <c r="I10" s="205">
        <v>84.417141369531024</v>
      </c>
      <c r="J10" s="379">
        <v>-0.52242674518912224</v>
      </c>
      <c r="K10" s="611" t="s">
        <v>618</v>
      </c>
      <c r="L10" s="602"/>
      <c r="O10" s="435"/>
      <c r="P10" s="434"/>
      <c r="Q10" s="434"/>
      <c r="R10" s="201"/>
    </row>
    <row r="11" spans="1:18" ht="15.75" customHeight="1">
      <c r="A11" s="605"/>
      <c r="B11" s="606"/>
      <c r="C11" s="202">
        <v>4</v>
      </c>
      <c r="D11" s="599" t="s">
        <v>512</v>
      </c>
      <c r="E11" s="600"/>
      <c r="F11" s="600"/>
      <c r="G11" s="204">
        <v>19.142857142857142</v>
      </c>
      <c r="H11" s="204">
        <v>1604.4334908856597</v>
      </c>
      <c r="I11" s="205">
        <v>83.84071128628544</v>
      </c>
      <c r="J11" s="379">
        <v>-0.57463809971403634</v>
      </c>
      <c r="K11" s="611" t="s">
        <v>618</v>
      </c>
      <c r="L11" s="602"/>
      <c r="O11" s="435"/>
      <c r="P11" s="434"/>
      <c r="Q11" s="434"/>
      <c r="R11" s="201"/>
    </row>
    <row r="12" spans="1:18" ht="15.75" customHeight="1">
      <c r="A12" s="605"/>
      <c r="B12" s="606"/>
      <c r="C12" s="202">
        <v>5</v>
      </c>
      <c r="D12" s="599" t="s">
        <v>614</v>
      </c>
      <c r="E12" s="600"/>
      <c r="F12" s="600"/>
      <c r="G12" s="204">
        <v>21</v>
      </c>
      <c r="H12" s="204">
        <v>1619.3922604103543</v>
      </c>
      <c r="I12" s="205">
        <v>77.113917162397826</v>
      </c>
      <c r="J12" s="379"/>
      <c r="K12" s="610" t="s">
        <v>619</v>
      </c>
      <c r="L12" s="602"/>
      <c r="O12" s="435"/>
      <c r="P12" s="434"/>
      <c r="Q12" s="434"/>
      <c r="R12" s="201"/>
    </row>
    <row r="13" spans="1:18" ht="15.75" customHeight="1">
      <c r="A13" s="605"/>
      <c r="B13" s="606"/>
      <c r="C13" s="206" t="s">
        <v>207</v>
      </c>
      <c r="D13" s="599" t="s">
        <v>613</v>
      </c>
      <c r="E13" s="600"/>
      <c r="F13" s="600"/>
      <c r="G13" s="204">
        <v>21</v>
      </c>
      <c r="H13" s="204">
        <v>1457.1676300578042</v>
      </c>
      <c r="I13" s="205">
        <v>69.38893476465735</v>
      </c>
      <c r="J13" s="379"/>
      <c r="K13" s="610" t="s">
        <v>619</v>
      </c>
      <c r="L13" s="602"/>
      <c r="O13" s="435"/>
      <c r="P13" s="434"/>
      <c r="Q13" s="434"/>
      <c r="R13" s="201"/>
    </row>
    <row r="14" spans="1:18" ht="15.75" customHeight="1">
      <c r="A14" s="605"/>
      <c r="B14" s="606"/>
      <c r="C14" s="206" t="s">
        <v>212</v>
      </c>
      <c r="D14" s="599" t="s">
        <v>347</v>
      </c>
      <c r="E14" s="600"/>
      <c r="F14" s="600"/>
      <c r="G14" s="204">
        <v>25</v>
      </c>
      <c r="H14" s="204">
        <v>1782.7376248896433</v>
      </c>
      <c r="I14" s="205">
        <v>71.309504995585712</v>
      </c>
      <c r="J14" s="379">
        <v>2.1941443254945625E-2</v>
      </c>
      <c r="K14" s="601" t="s">
        <v>465</v>
      </c>
      <c r="L14" s="602"/>
      <c r="O14" s="201"/>
      <c r="P14" s="434"/>
      <c r="Q14" s="434"/>
      <c r="R14" s="201"/>
    </row>
    <row r="15" spans="1:18" ht="15.75" customHeight="1">
      <c r="A15" s="605"/>
      <c r="B15" s="606"/>
      <c r="C15" s="206" t="s">
        <v>208</v>
      </c>
      <c r="D15" s="599" t="s">
        <v>348</v>
      </c>
      <c r="E15" s="600"/>
      <c r="F15" s="600"/>
      <c r="G15" s="204">
        <v>23.142857142857142</v>
      </c>
      <c r="H15" s="204">
        <v>1781.5903238994902</v>
      </c>
      <c r="I15" s="205">
        <v>76.999289798463252</v>
      </c>
      <c r="J15" s="379">
        <v>-0.44900796239654994</v>
      </c>
      <c r="K15" s="611" t="s">
        <v>618</v>
      </c>
      <c r="L15" s="602"/>
      <c r="O15" s="435"/>
      <c r="P15" s="434"/>
      <c r="Q15" s="434"/>
      <c r="R15" s="201"/>
    </row>
    <row r="16" spans="1:18" ht="15.75" customHeight="1">
      <c r="A16" s="605"/>
      <c r="B16" s="606"/>
      <c r="C16" s="206" t="s">
        <v>213</v>
      </c>
      <c r="D16" s="599" t="s">
        <v>359</v>
      </c>
      <c r="E16" s="600"/>
      <c r="F16" s="600"/>
      <c r="G16" s="204">
        <v>23.142857142857142</v>
      </c>
      <c r="H16" s="204">
        <v>1782.6195886982309</v>
      </c>
      <c r="I16" s="205">
        <v>77.043873083483774</v>
      </c>
      <c r="J16" s="379">
        <v>-0.45714306564819651</v>
      </c>
      <c r="K16" s="611" t="s">
        <v>618</v>
      </c>
      <c r="L16" s="602"/>
      <c r="M16" s="99"/>
      <c r="O16" s="435"/>
      <c r="P16" s="434"/>
      <c r="Q16" s="434"/>
      <c r="R16" s="201"/>
    </row>
    <row r="17" spans="1:18" ht="15.75" customHeight="1">
      <c r="A17" s="605"/>
      <c r="B17" s="606"/>
      <c r="C17" s="206" t="s">
        <v>214</v>
      </c>
      <c r="D17" s="599" t="s">
        <v>346</v>
      </c>
      <c r="E17" s="600"/>
      <c r="F17" s="600"/>
      <c r="G17" s="204">
        <v>23.142857142857142</v>
      </c>
      <c r="H17" s="204">
        <v>1783.5847059920795</v>
      </c>
      <c r="I17" s="205">
        <v>77.085560479850727</v>
      </c>
      <c r="J17" s="379">
        <v>-0.42466634688051386</v>
      </c>
      <c r="K17" s="611" t="s">
        <v>618</v>
      </c>
      <c r="L17" s="602"/>
      <c r="M17" s="99"/>
      <c r="O17" s="435"/>
      <c r="P17" s="434"/>
      <c r="Q17" s="434"/>
      <c r="R17" s="201"/>
    </row>
    <row r="18" spans="1:18" s="104" customFormat="1" ht="15.75" customHeight="1">
      <c r="A18" s="603" t="s">
        <v>190</v>
      </c>
      <c r="B18" s="603"/>
      <c r="C18" s="209" t="s">
        <v>47</v>
      </c>
      <c r="D18" s="603" t="s">
        <v>12</v>
      </c>
      <c r="E18" s="604"/>
      <c r="F18" s="604"/>
      <c r="G18" s="209" t="s">
        <v>46</v>
      </c>
      <c r="H18" s="209" t="s">
        <v>389</v>
      </c>
      <c r="I18" s="209" t="s">
        <v>390</v>
      </c>
      <c r="J18" s="162" t="s">
        <v>335</v>
      </c>
      <c r="K18" s="603" t="s">
        <v>51</v>
      </c>
      <c r="L18" s="604"/>
      <c r="M18" s="130"/>
      <c r="N18" s="191"/>
      <c r="O18" s="435"/>
      <c r="P18" s="434"/>
      <c r="Q18" s="434"/>
      <c r="R18" s="201"/>
    </row>
    <row r="19" spans="1:18" ht="15.75" customHeight="1">
      <c r="A19" s="605">
        <v>6</v>
      </c>
      <c r="B19" s="606" t="s">
        <v>137</v>
      </c>
      <c r="C19" s="202">
        <v>1</v>
      </c>
      <c r="D19" s="599" t="s">
        <v>480</v>
      </c>
      <c r="E19" s="600"/>
      <c r="F19" s="600"/>
      <c r="G19" s="202">
        <v>20</v>
      </c>
      <c r="H19" s="204">
        <v>1784.2695062691528</v>
      </c>
      <c r="I19" s="205">
        <v>89.213475313457636</v>
      </c>
      <c r="J19" s="379">
        <v>5.4508938974365151E-2</v>
      </c>
      <c r="K19" s="601" t="s">
        <v>465</v>
      </c>
      <c r="L19" s="602"/>
      <c r="M19" s="99"/>
      <c r="N19" s="201"/>
      <c r="O19" s="201"/>
      <c r="P19" s="434"/>
      <c r="Q19" s="434"/>
      <c r="R19" s="201"/>
    </row>
    <row r="20" spans="1:18" ht="15.75" customHeight="1">
      <c r="A20" s="605"/>
      <c r="B20" s="606"/>
      <c r="C20" s="202">
        <v>2</v>
      </c>
      <c r="D20" s="599" t="s">
        <v>361</v>
      </c>
      <c r="E20" s="600"/>
      <c r="F20" s="600"/>
      <c r="G20" s="204">
        <v>21</v>
      </c>
      <c r="H20" s="204">
        <v>1782.2501293544603</v>
      </c>
      <c r="I20" s="205">
        <v>84.869053778783822</v>
      </c>
      <c r="J20" s="379">
        <v>3.1367016443695661E-2</v>
      </c>
      <c r="K20" s="601" t="s">
        <v>465</v>
      </c>
      <c r="L20" s="602"/>
      <c r="M20" s="99"/>
      <c r="O20" s="201"/>
      <c r="P20" s="434"/>
      <c r="Q20" s="434"/>
      <c r="R20" s="201"/>
    </row>
    <row r="21" spans="1:18" ht="15.75" customHeight="1">
      <c r="A21" s="605"/>
      <c r="B21" s="606"/>
      <c r="C21" s="202">
        <v>3</v>
      </c>
      <c r="D21" s="599" t="s">
        <v>476</v>
      </c>
      <c r="E21" s="600"/>
      <c r="F21" s="600"/>
      <c r="G21" s="204">
        <v>22</v>
      </c>
      <c r="H21" s="204">
        <v>1784.1206429340968</v>
      </c>
      <c r="I21" s="205">
        <v>81.096392860640748</v>
      </c>
      <c r="J21" s="379">
        <v>5.3853254036937415E-2</v>
      </c>
      <c r="K21" s="601" t="s">
        <v>465</v>
      </c>
      <c r="L21" s="602"/>
      <c r="M21" s="99"/>
      <c r="O21" s="201"/>
      <c r="P21" s="434"/>
      <c r="Q21" s="434"/>
      <c r="R21" s="201"/>
    </row>
    <row r="22" spans="1:18" ht="15.75" customHeight="1">
      <c r="A22" s="605"/>
      <c r="B22" s="606"/>
      <c r="C22" s="202">
        <v>4</v>
      </c>
      <c r="D22" s="599" t="s">
        <v>472</v>
      </c>
      <c r="E22" s="600"/>
      <c r="F22" s="600"/>
      <c r="G22" s="202">
        <v>23</v>
      </c>
      <c r="H22" s="204">
        <v>1782.2096298160304</v>
      </c>
      <c r="I22" s="205">
        <v>77.487375209392638</v>
      </c>
      <c r="J22" s="379">
        <v>2.9533619702505121E-2</v>
      </c>
      <c r="K22" s="601" t="s">
        <v>465</v>
      </c>
      <c r="L22" s="602"/>
      <c r="M22" s="99"/>
      <c r="O22" s="201"/>
      <c r="P22" s="434"/>
      <c r="Q22" s="434"/>
      <c r="R22" s="201"/>
    </row>
    <row r="23" spans="1:18" ht="15.75" customHeight="1">
      <c r="A23" s="605"/>
      <c r="B23" s="606"/>
      <c r="C23" s="202">
        <v>5</v>
      </c>
      <c r="D23" s="599" t="s">
        <v>363</v>
      </c>
      <c r="E23" s="600"/>
      <c r="F23" s="600"/>
      <c r="G23" s="204">
        <v>23</v>
      </c>
      <c r="H23" s="204">
        <v>1781.7736633537672</v>
      </c>
      <c r="I23" s="205">
        <v>77.468420145815955</v>
      </c>
      <c r="J23" s="379">
        <v>1.1715947892298573E-2</v>
      </c>
      <c r="K23" s="601" t="s">
        <v>465</v>
      </c>
      <c r="L23" s="602"/>
      <c r="M23" s="99"/>
      <c r="O23" s="201"/>
      <c r="P23" s="434"/>
      <c r="Q23" s="434"/>
      <c r="R23" s="201"/>
    </row>
    <row r="24" spans="1:18" ht="15.75" customHeight="1">
      <c r="A24" s="605"/>
      <c r="B24" s="606"/>
      <c r="C24" s="206" t="s">
        <v>207</v>
      </c>
      <c r="D24" s="599" t="s">
        <v>362</v>
      </c>
      <c r="E24" s="600"/>
      <c r="F24" s="600"/>
      <c r="G24" s="202">
        <v>25</v>
      </c>
      <c r="H24" s="204">
        <v>1783.4880597698866</v>
      </c>
      <c r="I24" s="205">
        <v>71.339522390795452</v>
      </c>
      <c r="J24" s="379">
        <v>1.3423361642935561E-2</v>
      </c>
      <c r="K24" s="601" t="s">
        <v>465</v>
      </c>
      <c r="L24" s="602"/>
      <c r="M24" s="99"/>
      <c r="O24" s="201"/>
      <c r="P24" s="434"/>
      <c r="Q24" s="434"/>
      <c r="R24" s="201"/>
    </row>
    <row r="25" spans="1:18" ht="15.75" customHeight="1">
      <c r="A25" s="605"/>
      <c r="B25" s="606"/>
      <c r="C25" s="206" t="s">
        <v>212</v>
      </c>
      <c r="D25" s="599" t="s">
        <v>549</v>
      </c>
      <c r="E25" s="600"/>
      <c r="F25" s="600"/>
      <c r="G25" s="202">
        <v>24</v>
      </c>
      <c r="H25" s="204">
        <v>1784.3713560053361</v>
      </c>
      <c r="I25" s="205">
        <v>74.348806500222338</v>
      </c>
      <c r="J25" s="379">
        <v>-4.6351220934042203E-2</v>
      </c>
      <c r="K25" s="601" t="s">
        <v>465</v>
      </c>
      <c r="L25" s="602"/>
      <c r="M25" s="99"/>
      <c r="O25" s="201"/>
      <c r="P25" s="434"/>
      <c r="Q25" s="434"/>
      <c r="R25" s="201"/>
    </row>
    <row r="26" spans="1:18" ht="15.75" customHeight="1">
      <c r="A26" s="605"/>
      <c r="B26" s="606"/>
      <c r="C26" s="206" t="s">
        <v>208</v>
      </c>
      <c r="D26" s="599" t="s">
        <v>360</v>
      </c>
      <c r="E26" s="600"/>
      <c r="F26" s="600"/>
      <c r="G26" s="202">
        <v>24</v>
      </c>
      <c r="H26" s="204">
        <v>1784.6338514438482</v>
      </c>
      <c r="I26" s="205">
        <v>74.359743810160339</v>
      </c>
      <c r="J26" s="379">
        <v>3.0066555683470284</v>
      </c>
      <c r="K26" s="611" t="s">
        <v>620</v>
      </c>
      <c r="L26" s="602"/>
      <c r="M26" s="99"/>
      <c r="O26" s="201"/>
      <c r="P26" s="434"/>
      <c r="Q26" s="434"/>
      <c r="R26" s="201"/>
    </row>
    <row r="27" spans="1:18" ht="15.75" customHeight="1">
      <c r="A27" s="605"/>
      <c r="B27" s="606"/>
      <c r="C27" s="206" t="s">
        <v>213</v>
      </c>
      <c r="D27" s="599" t="s">
        <v>364</v>
      </c>
      <c r="E27" s="600"/>
      <c r="F27" s="600"/>
      <c r="G27" s="202">
        <v>24</v>
      </c>
      <c r="H27" s="204">
        <v>1784.9125193253587</v>
      </c>
      <c r="I27" s="205">
        <v>74.371354971889943</v>
      </c>
      <c r="J27" s="379">
        <v>4.8705581700190237E-2</v>
      </c>
      <c r="K27" s="601" t="s">
        <v>465</v>
      </c>
      <c r="L27" s="602"/>
      <c r="M27" s="99"/>
      <c r="O27" s="201"/>
      <c r="P27" s="434"/>
      <c r="Q27" s="434"/>
      <c r="R27" s="201"/>
    </row>
    <row r="28" spans="1:18" ht="15.75" customHeight="1">
      <c r="A28" s="605"/>
      <c r="B28" s="606"/>
      <c r="C28" s="206" t="s">
        <v>214</v>
      </c>
      <c r="D28" s="599"/>
      <c r="E28" s="600"/>
      <c r="F28" s="600"/>
      <c r="G28" s="202"/>
      <c r="H28" s="204"/>
      <c r="I28" s="205"/>
      <c r="J28" s="202"/>
      <c r="K28" s="599"/>
      <c r="L28" s="600"/>
      <c r="M28" s="99"/>
      <c r="O28" s="201"/>
      <c r="P28" s="434"/>
      <c r="Q28" s="434"/>
      <c r="R28" s="201"/>
    </row>
    <row r="29" spans="1:18" s="191" customFormat="1" ht="15.75" customHeight="1">
      <c r="A29" s="607" t="s">
        <v>621</v>
      </c>
      <c r="B29" s="607"/>
      <c r="C29" s="607"/>
      <c r="D29" s="607"/>
      <c r="E29" s="607"/>
      <c r="F29" s="607"/>
      <c r="G29" s="607"/>
      <c r="H29" s="607"/>
      <c r="I29" s="607"/>
      <c r="J29" s="607"/>
      <c r="K29" s="607"/>
      <c r="L29" s="607"/>
    </row>
    <row r="30" spans="1:18" s="192" customFormat="1" ht="15.75" customHeight="1">
      <c r="A30" s="607"/>
      <c r="B30" s="607"/>
      <c r="C30" s="607"/>
      <c r="D30" s="607"/>
      <c r="E30" s="607"/>
      <c r="F30" s="607"/>
      <c r="G30" s="607"/>
      <c r="H30" s="607"/>
      <c r="I30" s="607"/>
      <c r="J30" s="607"/>
      <c r="K30" s="607"/>
      <c r="L30" s="607"/>
    </row>
    <row r="31" spans="1:18" s="106" customFormat="1" ht="16.399999999999999" customHeight="1">
      <c r="A31" s="605" t="s">
        <v>164</v>
      </c>
      <c r="B31" s="172">
        <v>1</v>
      </c>
      <c r="C31" s="172">
        <v>2</v>
      </c>
      <c r="D31" s="172">
        <v>3</v>
      </c>
      <c r="E31" s="172">
        <v>4</v>
      </c>
      <c r="F31" s="193">
        <v>5</v>
      </c>
      <c r="G31" s="193">
        <v>6</v>
      </c>
      <c r="H31" s="172">
        <v>7</v>
      </c>
      <c r="I31" s="172">
        <v>8</v>
      </c>
      <c r="J31" s="172">
        <v>9</v>
      </c>
      <c r="K31" s="194"/>
      <c r="L31" s="194"/>
      <c r="M31" s="129"/>
      <c r="N31" s="180"/>
      <c r="O31" s="180"/>
      <c r="P31" s="180"/>
      <c r="Q31" s="180"/>
      <c r="R31" s="180"/>
    </row>
    <row r="32" spans="1:18" ht="16.399999999999999" customHeight="1">
      <c r="A32" s="605"/>
      <c r="B32" s="197" t="s">
        <v>209</v>
      </c>
      <c r="C32" s="197" t="s">
        <v>157</v>
      </c>
      <c r="D32" s="197" t="s">
        <v>210</v>
      </c>
      <c r="E32" s="197" t="s">
        <v>158</v>
      </c>
      <c r="F32" s="196" t="s">
        <v>358</v>
      </c>
      <c r="G32" s="211" t="s">
        <v>137</v>
      </c>
      <c r="H32" s="199" t="s">
        <v>211</v>
      </c>
      <c r="I32" s="198" t="s">
        <v>388</v>
      </c>
      <c r="J32" s="198" t="s">
        <v>143</v>
      </c>
      <c r="K32" s="200"/>
      <c r="L32" s="200"/>
      <c r="N32" s="201"/>
      <c r="O32" s="201"/>
      <c r="P32" s="201"/>
      <c r="Q32" s="201"/>
      <c r="R32" s="201"/>
    </row>
    <row r="33" spans="1:18" s="106" customFormat="1" ht="15.75" customHeight="1">
      <c r="A33" s="606" t="s">
        <v>190</v>
      </c>
      <c r="B33" s="606"/>
      <c r="C33" s="162" t="s">
        <v>47</v>
      </c>
      <c r="D33" s="606" t="s">
        <v>12</v>
      </c>
      <c r="E33" s="608"/>
      <c r="F33" s="608"/>
      <c r="G33" s="162" t="s">
        <v>46</v>
      </c>
      <c r="H33" s="162" t="s">
        <v>389</v>
      </c>
      <c r="I33" s="162" t="s">
        <v>390</v>
      </c>
      <c r="J33" s="162" t="s">
        <v>335</v>
      </c>
      <c r="K33" s="606" t="s">
        <v>51</v>
      </c>
      <c r="L33" s="608"/>
      <c r="M33" s="129"/>
      <c r="N33" s="191"/>
      <c r="O33" s="435"/>
      <c r="P33" s="434"/>
      <c r="Q33" s="434"/>
      <c r="R33" s="201"/>
    </row>
    <row r="34" spans="1:18" ht="15.75" customHeight="1">
      <c r="A34" s="605">
        <v>5</v>
      </c>
      <c r="B34" s="606" t="s">
        <v>358</v>
      </c>
      <c r="C34" s="202">
        <v>1</v>
      </c>
      <c r="D34" s="599" t="s">
        <v>487</v>
      </c>
      <c r="E34" s="600"/>
      <c r="F34" s="600"/>
      <c r="G34" s="204">
        <v>20</v>
      </c>
      <c r="H34" s="204">
        <v>1784.8428011894191</v>
      </c>
      <c r="I34" s="205">
        <v>89.242140059470941</v>
      </c>
      <c r="J34" s="379">
        <f>I34-I8</f>
        <v>-3.9699136157184682</v>
      </c>
      <c r="K34" s="611"/>
      <c r="L34" s="602"/>
      <c r="N34" s="180"/>
      <c r="O34" s="436"/>
      <c r="P34" s="433"/>
      <c r="Q34" s="433"/>
      <c r="R34" s="180"/>
    </row>
    <row r="35" spans="1:18" ht="15.75" customHeight="1">
      <c r="A35" s="605"/>
      <c r="B35" s="606"/>
      <c r="C35" s="202">
        <v>2</v>
      </c>
      <c r="D35" s="599" t="s">
        <v>614</v>
      </c>
      <c r="E35" s="600"/>
      <c r="F35" s="600"/>
      <c r="G35" s="202">
        <v>20.857142857142858</v>
      </c>
      <c r="H35" s="204">
        <v>1738.1094195632093</v>
      </c>
      <c r="I35" s="205">
        <v>83.374177873071417</v>
      </c>
      <c r="J35" s="379">
        <f>I35-I9</f>
        <v>-5.8495401252693568</v>
      </c>
      <c r="K35" s="601"/>
      <c r="L35" s="602"/>
      <c r="O35" s="435"/>
      <c r="P35" s="434"/>
      <c r="Q35" s="434"/>
      <c r="R35" s="201"/>
    </row>
    <row r="36" spans="1:18" ht="15.75" customHeight="1">
      <c r="A36" s="605"/>
      <c r="B36" s="606"/>
      <c r="C36" s="202">
        <v>3</v>
      </c>
      <c r="D36" s="599" t="s">
        <v>512</v>
      </c>
      <c r="E36" s="600"/>
      <c r="F36" s="600"/>
      <c r="G36" s="204">
        <v>19.285714285714285</v>
      </c>
      <c r="H36" s="204">
        <v>1605.3008399026182</v>
      </c>
      <c r="I36" s="205">
        <v>83.282780703940801</v>
      </c>
      <c r="J36" s="379">
        <f>I36-I11</f>
        <v>-0.55793058234463899</v>
      </c>
      <c r="K36" s="611"/>
      <c r="L36" s="602"/>
      <c r="O36" s="435"/>
      <c r="P36" s="434"/>
      <c r="Q36" s="434"/>
      <c r="R36" s="201"/>
    </row>
    <row r="37" spans="1:18" ht="15.75" customHeight="1">
      <c r="A37" s="605"/>
      <c r="B37" s="606"/>
      <c r="C37" s="202">
        <v>4</v>
      </c>
      <c r="D37" s="599" t="s">
        <v>475</v>
      </c>
      <c r="E37" s="600"/>
      <c r="F37" s="600"/>
      <c r="G37" s="204">
        <v>22</v>
      </c>
      <c r="H37" s="204">
        <v>1785.0701032199675</v>
      </c>
      <c r="I37" s="205">
        <v>81.139550146362154</v>
      </c>
      <c r="J37" s="379">
        <f>I37-I10</f>
        <v>-3.2775912231688693</v>
      </c>
      <c r="K37" s="611"/>
      <c r="L37" s="602"/>
      <c r="O37" s="435"/>
      <c r="P37" s="434"/>
      <c r="Q37" s="434"/>
      <c r="R37" s="201"/>
    </row>
    <row r="38" spans="1:18" ht="15.75" customHeight="1">
      <c r="A38" s="605"/>
      <c r="B38" s="606"/>
      <c r="C38" s="202">
        <v>5</v>
      </c>
      <c r="D38" s="599" t="s">
        <v>346</v>
      </c>
      <c r="E38" s="600"/>
      <c r="F38" s="600"/>
      <c r="G38" s="202">
        <v>23.714285714285715</v>
      </c>
      <c r="H38" s="204">
        <v>1784.2539568060572</v>
      </c>
      <c r="I38" s="205">
        <v>75.26787979455068</v>
      </c>
      <c r="J38" s="379">
        <f>I38-I17</f>
        <v>-1.8176806853000471</v>
      </c>
      <c r="K38" s="610"/>
      <c r="L38" s="602"/>
      <c r="O38" s="435"/>
      <c r="P38" s="434"/>
      <c r="Q38" s="434"/>
      <c r="R38" s="201"/>
    </row>
    <row r="39" spans="1:18" ht="15.75" customHeight="1">
      <c r="A39" s="605"/>
      <c r="B39" s="606"/>
      <c r="C39" s="206" t="s">
        <v>207</v>
      </c>
      <c r="D39" s="599" t="s">
        <v>347</v>
      </c>
      <c r="E39" s="600"/>
      <c r="F39" s="600"/>
      <c r="G39" s="204">
        <v>26</v>
      </c>
      <c r="H39" s="204">
        <v>1782.9212825084401</v>
      </c>
      <c r="I39" s="205">
        <v>68.573895481093857</v>
      </c>
      <c r="J39" s="379">
        <f>I39-I14</f>
        <v>-2.7356095144918555</v>
      </c>
      <c r="K39" s="610"/>
      <c r="L39" s="602"/>
      <c r="O39" s="435"/>
      <c r="P39" s="434"/>
      <c r="Q39" s="434"/>
      <c r="R39" s="201"/>
    </row>
    <row r="40" spans="1:18" ht="15.75" customHeight="1">
      <c r="A40" s="605"/>
      <c r="B40" s="606"/>
      <c r="C40" s="206" t="s">
        <v>212</v>
      </c>
      <c r="D40" s="599" t="s">
        <v>348</v>
      </c>
      <c r="E40" s="600"/>
      <c r="F40" s="600"/>
      <c r="G40" s="204">
        <v>24</v>
      </c>
      <c r="H40" s="204">
        <v>1782.8561176929773</v>
      </c>
      <c r="I40" s="205">
        <v>74.2856715705407</v>
      </c>
      <c r="J40" s="379">
        <f>I40-I15</f>
        <v>-2.7136182279225523</v>
      </c>
      <c r="K40" s="601"/>
      <c r="L40" s="602"/>
      <c r="O40" s="201"/>
      <c r="P40" s="434"/>
      <c r="Q40" s="434"/>
      <c r="R40" s="201"/>
    </row>
    <row r="41" spans="1:18" ht="15.75" customHeight="1">
      <c r="A41" s="605"/>
      <c r="B41" s="606"/>
      <c r="C41" s="206" t="s">
        <v>208</v>
      </c>
      <c r="D41" s="599" t="s">
        <v>359</v>
      </c>
      <c r="E41" s="600"/>
      <c r="F41" s="600"/>
      <c r="G41" s="204">
        <v>24</v>
      </c>
      <c r="H41" s="204">
        <v>1782.9901372658494</v>
      </c>
      <c r="I41" s="205">
        <v>74.291255719410387</v>
      </c>
      <c r="J41" s="379">
        <f>I41-I16</f>
        <v>-2.7526173640733873</v>
      </c>
      <c r="K41" s="611"/>
      <c r="L41" s="602"/>
      <c r="O41" s="435"/>
      <c r="P41" s="434"/>
      <c r="Q41" s="434"/>
      <c r="R41" s="201"/>
    </row>
    <row r="42" spans="1:18" ht="15.75" customHeight="1">
      <c r="A42" s="605"/>
      <c r="B42" s="606"/>
      <c r="C42" s="206" t="s">
        <v>213</v>
      </c>
      <c r="D42" s="599" t="s">
        <v>613</v>
      </c>
      <c r="E42" s="600"/>
      <c r="F42" s="600"/>
      <c r="G42" s="204">
        <v>21</v>
      </c>
      <c r="H42" s="204">
        <v>1562.5789285299418</v>
      </c>
      <c r="I42" s="205">
        <v>74.408520406187691</v>
      </c>
      <c r="J42" s="379">
        <f>I42-I13</f>
        <v>5.019585641530341</v>
      </c>
      <c r="K42" s="611"/>
      <c r="L42" s="602"/>
      <c r="M42" s="99"/>
      <c r="O42" s="435"/>
      <c r="P42" s="434"/>
      <c r="Q42" s="434"/>
      <c r="R42" s="201"/>
    </row>
    <row r="43" spans="1:18" ht="15.75" customHeight="1">
      <c r="A43" s="605"/>
      <c r="B43" s="606"/>
      <c r="C43" s="206" t="s">
        <v>214</v>
      </c>
      <c r="D43" s="599"/>
      <c r="E43" s="600"/>
      <c r="F43" s="600"/>
      <c r="G43" s="204"/>
      <c r="H43" s="204"/>
      <c r="I43" s="205"/>
      <c r="J43" s="379"/>
      <c r="K43" s="611"/>
      <c r="L43" s="602"/>
      <c r="M43" s="99"/>
      <c r="O43" s="435"/>
      <c r="P43" s="434"/>
      <c r="Q43" s="434"/>
      <c r="R43" s="201"/>
    </row>
    <row r="44" spans="1:18" s="104" customFormat="1" ht="15.75" customHeight="1">
      <c r="A44" s="603" t="s">
        <v>190</v>
      </c>
      <c r="B44" s="603"/>
      <c r="C44" s="209" t="s">
        <v>47</v>
      </c>
      <c r="D44" s="603" t="s">
        <v>12</v>
      </c>
      <c r="E44" s="604"/>
      <c r="F44" s="604"/>
      <c r="G44" s="209" t="s">
        <v>46</v>
      </c>
      <c r="H44" s="209" t="s">
        <v>389</v>
      </c>
      <c r="I44" s="209" t="s">
        <v>390</v>
      </c>
      <c r="J44" s="162" t="s">
        <v>335</v>
      </c>
      <c r="K44" s="603" t="s">
        <v>51</v>
      </c>
      <c r="L44" s="604"/>
      <c r="M44" s="130"/>
      <c r="N44" s="191"/>
      <c r="O44" s="435"/>
      <c r="P44" s="434"/>
      <c r="Q44" s="434"/>
      <c r="R44" s="201"/>
    </row>
    <row r="45" spans="1:18" ht="15.75" customHeight="1">
      <c r="A45" s="605">
        <v>6</v>
      </c>
      <c r="B45" s="606" t="s">
        <v>137</v>
      </c>
      <c r="C45" s="202">
        <v>1</v>
      </c>
      <c r="D45" s="599" t="s">
        <v>480</v>
      </c>
      <c r="E45" s="600"/>
      <c r="F45" s="600"/>
      <c r="G45" s="202">
        <v>20.285714285714285</v>
      </c>
      <c r="H45" s="204">
        <v>1784.9220471684655</v>
      </c>
      <c r="I45" s="205">
        <v>88.032246893364331</v>
      </c>
      <c r="J45" s="379">
        <f>I45-I19</f>
        <v>-1.181228420093305</v>
      </c>
      <c r="K45" s="601"/>
      <c r="L45" s="602"/>
      <c r="M45" s="99"/>
      <c r="N45" s="201"/>
      <c r="O45" s="201"/>
      <c r="P45" s="434"/>
      <c r="Q45" s="434"/>
      <c r="R45" s="201"/>
    </row>
    <row r="46" spans="1:18" ht="15.75" customHeight="1">
      <c r="A46" s="605"/>
      <c r="B46" s="606"/>
      <c r="C46" s="202">
        <v>2</v>
      </c>
      <c r="D46" s="599" t="s">
        <v>476</v>
      </c>
      <c r="E46" s="600"/>
      <c r="F46" s="600"/>
      <c r="G46" s="204">
        <v>22</v>
      </c>
      <c r="H46" s="204">
        <v>1784.6364090540408</v>
      </c>
      <c r="I46" s="205">
        <v>81.119836775183686</v>
      </c>
      <c r="J46" s="379">
        <f>I46-I21</f>
        <v>2.3443914542937705E-2</v>
      </c>
      <c r="K46" s="601"/>
      <c r="L46" s="602"/>
      <c r="M46" s="99"/>
      <c r="O46" s="201"/>
      <c r="P46" s="434"/>
      <c r="Q46" s="434"/>
      <c r="R46" s="201"/>
    </row>
    <row r="47" spans="1:18" ht="15.75" customHeight="1">
      <c r="A47" s="605"/>
      <c r="B47" s="606"/>
      <c r="C47" s="202">
        <v>3</v>
      </c>
      <c r="D47" s="599" t="s">
        <v>361</v>
      </c>
      <c r="E47" s="600"/>
      <c r="F47" s="600"/>
      <c r="G47" s="204">
        <v>22</v>
      </c>
      <c r="H47" s="204">
        <v>1783.0670487844661</v>
      </c>
      <c r="I47" s="205">
        <v>81.048502217475729</v>
      </c>
      <c r="J47" s="379">
        <f>I47-I20</f>
        <v>-3.8205515613080934</v>
      </c>
      <c r="K47" s="601"/>
      <c r="L47" s="602"/>
      <c r="M47" s="99"/>
      <c r="O47" s="201"/>
      <c r="P47" s="434"/>
      <c r="Q47" s="434"/>
      <c r="R47" s="201"/>
    </row>
    <row r="48" spans="1:18" ht="15.75" customHeight="1">
      <c r="A48" s="605"/>
      <c r="B48" s="606"/>
      <c r="C48" s="202">
        <v>4</v>
      </c>
      <c r="D48" s="599" t="s">
        <v>360</v>
      </c>
      <c r="E48" s="600"/>
      <c r="F48" s="600"/>
      <c r="G48" s="202">
        <v>24</v>
      </c>
      <c r="H48" s="204">
        <v>1785.1305013372028</v>
      </c>
      <c r="I48" s="205">
        <v>74.380437555716782</v>
      </c>
      <c r="J48" s="379">
        <f>I48-I26</f>
        <v>2.0693745556442877E-2</v>
      </c>
      <c r="K48" s="601"/>
      <c r="L48" s="602"/>
      <c r="M48" s="99"/>
      <c r="O48" s="201"/>
      <c r="P48" s="434"/>
      <c r="Q48" s="434"/>
      <c r="R48" s="201"/>
    </row>
    <row r="49" spans="1:18" ht="15.75" customHeight="1">
      <c r="A49" s="605"/>
      <c r="B49" s="606"/>
      <c r="C49" s="202">
        <v>5</v>
      </c>
      <c r="D49" s="599" t="s">
        <v>472</v>
      </c>
      <c r="E49" s="600"/>
      <c r="F49" s="600"/>
      <c r="G49" s="204">
        <v>24</v>
      </c>
      <c r="H49" s="204">
        <v>1783.0739687201949</v>
      </c>
      <c r="I49" s="205">
        <v>74.294748696674787</v>
      </c>
      <c r="J49" s="379">
        <f>I49-I22</f>
        <v>-3.192626512717851</v>
      </c>
      <c r="K49" s="601"/>
      <c r="L49" s="602"/>
      <c r="M49" s="99"/>
      <c r="O49" s="201"/>
      <c r="P49" s="434"/>
      <c r="Q49" s="434"/>
      <c r="R49" s="201"/>
    </row>
    <row r="50" spans="1:18" ht="15.75" customHeight="1">
      <c r="A50" s="605"/>
      <c r="B50" s="606"/>
      <c r="C50" s="206" t="s">
        <v>207</v>
      </c>
      <c r="D50" s="599" t="s">
        <v>362</v>
      </c>
      <c r="E50" s="600"/>
      <c r="F50" s="600"/>
      <c r="G50" s="202">
        <v>26</v>
      </c>
      <c r="H50" s="204">
        <v>1783.8554768179031</v>
      </c>
      <c r="I50" s="205">
        <v>68.6098260314578</v>
      </c>
      <c r="J50" s="379">
        <f>I50-I24</f>
        <v>-2.7296963593376518</v>
      </c>
      <c r="K50" s="601"/>
      <c r="L50" s="602"/>
      <c r="M50" s="99"/>
      <c r="O50" s="201"/>
      <c r="P50" s="434"/>
      <c r="Q50" s="434"/>
      <c r="R50" s="201"/>
    </row>
    <row r="51" spans="1:18" ht="15.75" customHeight="1">
      <c r="A51" s="605"/>
      <c r="B51" s="606"/>
      <c r="C51" s="206" t="s">
        <v>212</v>
      </c>
      <c r="D51" s="599" t="s">
        <v>364</v>
      </c>
      <c r="E51" s="600"/>
      <c r="F51" s="600"/>
      <c r="G51" s="202">
        <v>25</v>
      </c>
      <c r="H51" s="204">
        <v>1785.1416155732684</v>
      </c>
      <c r="I51" s="205">
        <v>71.405664622930743</v>
      </c>
      <c r="J51" s="379">
        <f>I51-I27</f>
        <v>-2.9656903489591997</v>
      </c>
      <c r="K51" s="601"/>
      <c r="L51" s="602"/>
      <c r="M51" s="99"/>
      <c r="O51" s="201"/>
      <c r="P51" s="434"/>
      <c r="Q51" s="434"/>
      <c r="R51" s="201"/>
    </row>
    <row r="52" spans="1:18" ht="15.75" customHeight="1">
      <c r="A52" s="605"/>
      <c r="B52" s="606"/>
      <c r="C52" s="206" t="s">
        <v>208</v>
      </c>
      <c r="D52" s="599" t="s">
        <v>363</v>
      </c>
      <c r="E52" s="600"/>
      <c r="F52" s="600"/>
      <c r="G52" s="202">
        <v>24</v>
      </c>
      <c r="H52" s="204">
        <v>1782.012160607881</v>
      </c>
      <c r="I52" s="205">
        <v>74.250506691995028</v>
      </c>
      <c r="J52" s="379">
        <f>I52-I23</f>
        <v>-3.2179134538209269</v>
      </c>
      <c r="K52" s="611"/>
      <c r="L52" s="602"/>
      <c r="M52" s="99"/>
      <c r="O52" s="201"/>
      <c r="P52" s="434"/>
      <c r="Q52" s="434"/>
      <c r="R52" s="201"/>
    </row>
    <row r="53" spans="1:18" ht="15.75" customHeight="1">
      <c r="A53" s="605"/>
      <c r="B53" s="606"/>
      <c r="C53" s="206" t="s">
        <v>213</v>
      </c>
      <c r="D53" s="599"/>
      <c r="E53" s="600"/>
      <c r="F53" s="600"/>
      <c r="G53" s="202"/>
      <c r="H53" s="204"/>
      <c r="I53" s="205"/>
      <c r="J53" s="379"/>
      <c r="K53" s="601"/>
      <c r="L53" s="602"/>
      <c r="M53" s="99"/>
      <c r="O53" s="201"/>
      <c r="P53" s="434"/>
      <c r="Q53" s="434"/>
      <c r="R53" s="201"/>
    </row>
    <row r="54" spans="1:18" ht="15.75" customHeight="1">
      <c r="A54" s="605"/>
      <c r="B54" s="606"/>
      <c r="C54" s="206" t="s">
        <v>214</v>
      </c>
      <c r="D54" s="599"/>
      <c r="E54" s="600"/>
      <c r="F54" s="600"/>
      <c r="G54" s="202"/>
      <c r="H54" s="204"/>
      <c r="I54" s="205"/>
      <c r="J54" s="202"/>
      <c r="K54" s="599"/>
      <c r="L54" s="600"/>
      <c r="M54" s="99"/>
      <c r="O54" s="201"/>
      <c r="P54" s="434"/>
      <c r="Q54" s="434"/>
      <c r="R54" s="201"/>
    </row>
  </sheetData>
  <mergeCells count="105">
    <mergeCell ref="D27:F27"/>
    <mergeCell ref="K27:L27"/>
    <mergeCell ref="D28:F28"/>
    <mergeCell ref="K28:L28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40:L40"/>
    <mergeCell ref="D41:F41"/>
    <mergeCell ref="K41:L41"/>
    <mergeCell ref="D42:F42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67" fitToWidth="0" fitToHeight="0" pageOrder="overThenDown" orientation="landscape" cellComments="atEnd" r:id="rId1"/>
  <rowBreaks count="1" manualBreakCount="1">
    <brk id="28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54"/>
  <sheetViews>
    <sheetView view="pageBreakPreview" topLeftCell="A35" zoomScale="115" zoomScaleNormal="60" zoomScaleSheetLayoutView="115" workbookViewId="0">
      <selection activeCell="J46" sqref="J46"/>
    </sheetView>
  </sheetViews>
  <sheetFormatPr defaultColWidth="12.54296875" defaultRowHeight="15.75" customHeight="1"/>
  <cols>
    <col min="1" max="1" width="6.453125" style="99" customWidth="1"/>
    <col min="2" max="10" width="11.54296875" style="99" customWidth="1"/>
    <col min="11" max="12" width="12.81640625" style="99" customWidth="1"/>
    <col min="13" max="13" width="12.54296875" style="100"/>
    <col min="14" max="18" width="12.54296875" style="191"/>
    <col min="19" max="16384" width="12.54296875" style="99"/>
  </cols>
  <sheetData>
    <row r="1" spans="1:18" ht="15.75" customHeight="1">
      <c r="A1" s="463" t="s">
        <v>387</v>
      </c>
      <c r="B1" s="463"/>
      <c r="C1" s="463"/>
      <c r="D1" s="463"/>
      <c r="E1" s="463"/>
      <c r="F1" s="463"/>
      <c r="G1" s="463"/>
      <c r="H1" s="463"/>
      <c r="I1" s="463"/>
      <c r="J1" s="463"/>
      <c r="K1" s="463"/>
      <c r="L1" s="463"/>
      <c r="M1" s="99"/>
    </row>
    <row r="2" spans="1:18" s="100" customFormat="1" ht="15.75" customHeight="1">
      <c r="A2" s="463"/>
      <c r="B2" s="463"/>
      <c r="C2" s="463"/>
      <c r="D2" s="463"/>
      <c r="E2" s="463"/>
      <c r="F2" s="463"/>
      <c r="G2" s="463"/>
      <c r="H2" s="463"/>
      <c r="I2" s="463"/>
      <c r="J2" s="463"/>
      <c r="K2" s="463"/>
      <c r="L2" s="463"/>
      <c r="N2" s="192"/>
      <c r="O2" s="192"/>
      <c r="P2" s="192"/>
      <c r="Q2" s="192"/>
      <c r="R2" s="192"/>
    </row>
    <row r="3" spans="1:18" s="191" customFormat="1" ht="15.75" customHeight="1">
      <c r="A3" s="607" t="s">
        <v>560</v>
      </c>
      <c r="B3" s="607"/>
      <c r="C3" s="607"/>
      <c r="D3" s="607"/>
      <c r="E3" s="607"/>
      <c r="F3" s="607"/>
      <c r="G3" s="607"/>
      <c r="H3" s="607"/>
      <c r="I3" s="607"/>
      <c r="J3" s="607"/>
      <c r="K3" s="607"/>
      <c r="L3" s="607"/>
    </row>
    <row r="4" spans="1:18" s="192" customFormat="1" ht="15.75" customHeight="1">
      <c r="A4" s="607"/>
      <c r="B4" s="607"/>
      <c r="C4" s="607"/>
      <c r="D4" s="607"/>
      <c r="E4" s="607"/>
      <c r="F4" s="607"/>
      <c r="G4" s="607"/>
      <c r="H4" s="607"/>
      <c r="I4" s="607"/>
      <c r="J4" s="607"/>
      <c r="K4" s="607"/>
      <c r="L4" s="607"/>
    </row>
    <row r="5" spans="1:18" s="106" customFormat="1" ht="16.399999999999999" customHeight="1">
      <c r="A5" s="616" t="s">
        <v>164</v>
      </c>
      <c r="B5" s="172">
        <v>1</v>
      </c>
      <c r="C5" s="172">
        <v>2</v>
      </c>
      <c r="D5" s="172">
        <v>3</v>
      </c>
      <c r="E5" s="172">
        <v>4</v>
      </c>
      <c r="F5" s="172">
        <v>5</v>
      </c>
      <c r="G5" s="172">
        <v>6</v>
      </c>
      <c r="H5" s="193">
        <v>7</v>
      </c>
      <c r="I5" s="193">
        <v>8</v>
      </c>
      <c r="J5" s="172">
        <v>9</v>
      </c>
      <c r="K5" s="194"/>
      <c r="L5" s="194"/>
      <c r="M5" s="129"/>
      <c r="N5" s="180"/>
      <c r="O5" s="180"/>
      <c r="P5" s="180"/>
      <c r="Q5" s="180"/>
      <c r="R5" s="180"/>
    </row>
    <row r="6" spans="1:18" ht="16.399999999999999" customHeight="1">
      <c r="A6" s="618"/>
      <c r="B6" s="197" t="s">
        <v>209</v>
      </c>
      <c r="C6" s="197" t="s">
        <v>157</v>
      </c>
      <c r="D6" s="197" t="s">
        <v>210</v>
      </c>
      <c r="E6" s="197" t="s">
        <v>158</v>
      </c>
      <c r="F6" s="197" t="s">
        <v>139</v>
      </c>
      <c r="G6" s="198" t="s">
        <v>137</v>
      </c>
      <c r="H6" s="196" t="s">
        <v>211</v>
      </c>
      <c r="I6" s="211" t="s">
        <v>388</v>
      </c>
      <c r="J6" s="198" t="s">
        <v>143</v>
      </c>
      <c r="K6" s="200"/>
      <c r="L6" s="200"/>
      <c r="N6" s="201"/>
      <c r="O6" s="201"/>
      <c r="P6" s="201"/>
      <c r="Q6" s="201"/>
      <c r="R6" s="201"/>
    </row>
    <row r="7" spans="1:18" s="106" customFormat="1" ht="15.75" customHeight="1">
      <c r="A7" s="622" t="s">
        <v>190</v>
      </c>
      <c r="B7" s="623"/>
      <c r="C7" s="162" t="s">
        <v>47</v>
      </c>
      <c r="D7" s="622" t="s">
        <v>12</v>
      </c>
      <c r="E7" s="624"/>
      <c r="F7" s="623"/>
      <c r="G7" s="162" t="s">
        <v>46</v>
      </c>
      <c r="H7" s="162" t="s">
        <v>389</v>
      </c>
      <c r="I7" s="162" t="s">
        <v>390</v>
      </c>
      <c r="J7" s="162" t="s">
        <v>335</v>
      </c>
      <c r="K7" s="622" t="s">
        <v>51</v>
      </c>
      <c r="L7" s="623"/>
      <c r="M7" s="129"/>
      <c r="N7" s="191"/>
      <c r="O7" s="201"/>
      <c r="P7" s="434"/>
      <c r="Q7" s="434"/>
      <c r="R7" s="201"/>
    </row>
    <row r="8" spans="1:18" ht="15.75" customHeight="1">
      <c r="A8" s="616">
        <v>7</v>
      </c>
      <c r="B8" s="619" t="s">
        <v>393</v>
      </c>
      <c r="C8" s="202">
        <v>1</v>
      </c>
      <c r="D8" s="625"/>
      <c r="E8" s="600"/>
      <c r="F8" s="600"/>
      <c r="G8" s="202"/>
      <c r="H8" s="204"/>
      <c r="I8" s="205"/>
      <c r="J8" s="202"/>
      <c r="K8" s="601"/>
      <c r="L8" s="602"/>
      <c r="O8" s="201"/>
      <c r="P8" s="434"/>
      <c r="Q8" s="434"/>
      <c r="R8" s="201"/>
    </row>
    <row r="9" spans="1:18" ht="15.75" customHeight="1">
      <c r="A9" s="617"/>
      <c r="B9" s="620"/>
      <c r="C9" s="202">
        <v>2</v>
      </c>
      <c r="D9" s="625"/>
      <c r="E9" s="600"/>
      <c r="F9" s="600"/>
      <c r="G9" s="202"/>
      <c r="H9" s="204"/>
      <c r="I9" s="205"/>
      <c r="J9" s="202"/>
      <c r="K9" s="601"/>
      <c r="L9" s="602"/>
      <c r="O9" s="201"/>
      <c r="P9" s="434"/>
      <c r="Q9" s="434"/>
      <c r="R9" s="201"/>
    </row>
    <row r="10" spans="1:18" ht="15.75" customHeight="1">
      <c r="A10" s="617"/>
      <c r="B10" s="620"/>
      <c r="C10" s="202">
        <v>3</v>
      </c>
      <c r="D10" s="601"/>
      <c r="E10" s="612"/>
      <c r="F10" s="602"/>
      <c r="G10" s="202"/>
      <c r="H10" s="204"/>
      <c r="I10" s="205"/>
      <c r="J10" s="202"/>
      <c r="K10" s="601"/>
      <c r="L10" s="602"/>
      <c r="N10" s="437"/>
      <c r="O10" s="201"/>
      <c r="P10" s="434"/>
      <c r="Q10" s="434"/>
      <c r="R10" s="201"/>
    </row>
    <row r="11" spans="1:18" ht="15.75" customHeight="1">
      <c r="A11" s="617"/>
      <c r="B11" s="620"/>
      <c r="C11" s="202">
        <v>4</v>
      </c>
      <c r="D11" s="601"/>
      <c r="E11" s="612"/>
      <c r="F11" s="602"/>
      <c r="G11" s="202"/>
      <c r="H11" s="204"/>
      <c r="I11" s="205"/>
      <c r="J11" s="202"/>
      <c r="K11" s="601"/>
      <c r="L11" s="602"/>
      <c r="O11" s="201"/>
      <c r="P11" s="434"/>
      <c r="Q11" s="434"/>
      <c r="R11" s="201"/>
    </row>
    <row r="12" spans="1:18" ht="15.75" customHeight="1">
      <c r="A12" s="617"/>
      <c r="B12" s="620"/>
      <c r="C12" s="202">
        <v>5</v>
      </c>
      <c r="D12" s="601"/>
      <c r="E12" s="612"/>
      <c r="F12" s="602"/>
      <c r="G12" s="202"/>
      <c r="H12" s="204"/>
      <c r="I12" s="205"/>
      <c r="J12" s="202"/>
      <c r="K12" s="601"/>
      <c r="L12" s="602"/>
      <c r="N12" s="180"/>
      <c r="O12" s="201"/>
      <c r="P12" s="434"/>
      <c r="Q12" s="434"/>
      <c r="R12" s="201"/>
    </row>
    <row r="13" spans="1:18" ht="15.75" customHeight="1">
      <c r="A13" s="617"/>
      <c r="B13" s="620"/>
      <c r="C13" s="206" t="s">
        <v>207</v>
      </c>
      <c r="D13" s="601"/>
      <c r="E13" s="612"/>
      <c r="F13" s="602"/>
      <c r="G13" s="202"/>
      <c r="H13" s="204"/>
      <c r="I13" s="205"/>
      <c r="J13" s="202"/>
      <c r="K13" s="601"/>
      <c r="L13" s="602"/>
      <c r="N13" s="437"/>
      <c r="O13" s="201"/>
      <c r="P13" s="434"/>
      <c r="Q13" s="434"/>
      <c r="R13" s="201"/>
    </row>
    <row r="14" spans="1:18" ht="15.75" customHeight="1">
      <c r="A14" s="617"/>
      <c r="B14" s="620"/>
      <c r="C14" s="206" t="s">
        <v>212</v>
      </c>
      <c r="D14" s="601"/>
      <c r="E14" s="612"/>
      <c r="F14" s="602"/>
      <c r="G14" s="202"/>
      <c r="H14" s="204"/>
      <c r="I14" s="205"/>
      <c r="J14" s="202"/>
      <c r="K14" s="601"/>
      <c r="L14" s="602"/>
      <c r="O14" s="201"/>
      <c r="P14" s="434"/>
      <c r="Q14" s="434"/>
      <c r="R14" s="201"/>
    </row>
    <row r="15" spans="1:18" ht="15.75" customHeight="1">
      <c r="A15" s="617"/>
      <c r="B15" s="620"/>
      <c r="C15" s="206" t="s">
        <v>208</v>
      </c>
      <c r="D15" s="601"/>
      <c r="E15" s="612"/>
      <c r="F15" s="602"/>
      <c r="G15" s="202"/>
      <c r="H15" s="204"/>
      <c r="I15" s="205"/>
      <c r="J15" s="202"/>
      <c r="K15" s="601"/>
      <c r="L15" s="602"/>
      <c r="O15" s="201"/>
      <c r="P15" s="434"/>
      <c r="Q15" s="434"/>
      <c r="R15" s="201"/>
    </row>
    <row r="16" spans="1:18" ht="15.75" customHeight="1">
      <c r="A16" s="617"/>
      <c r="B16" s="620"/>
      <c r="C16" s="206" t="s">
        <v>213</v>
      </c>
      <c r="D16" s="601"/>
      <c r="E16" s="612"/>
      <c r="F16" s="602"/>
      <c r="G16" s="202"/>
      <c r="H16" s="204"/>
      <c r="I16" s="205"/>
      <c r="J16" s="202"/>
      <c r="K16" s="601"/>
      <c r="L16" s="602"/>
      <c r="M16" s="99"/>
      <c r="O16" s="201"/>
      <c r="P16" s="434"/>
      <c r="Q16" s="434"/>
      <c r="R16" s="201"/>
    </row>
    <row r="17" spans="1:18" ht="15.75" customHeight="1">
      <c r="A17" s="618"/>
      <c r="B17" s="621"/>
      <c r="C17" s="206" t="s">
        <v>214</v>
      </c>
      <c r="D17" s="601"/>
      <c r="E17" s="612"/>
      <c r="F17" s="602"/>
      <c r="G17" s="202"/>
      <c r="H17" s="204"/>
      <c r="I17" s="205"/>
      <c r="J17" s="202"/>
      <c r="K17" s="601"/>
      <c r="L17" s="602"/>
      <c r="M17" s="99"/>
      <c r="N17" s="201"/>
      <c r="O17" s="201"/>
      <c r="P17" s="434"/>
      <c r="Q17" s="434"/>
      <c r="R17" s="201"/>
    </row>
    <row r="18" spans="1:18" s="104" customFormat="1" ht="15.75" customHeight="1">
      <c r="A18" s="613" t="s">
        <v>190</v>
      </c>
      <c r="B18" s="614"/>
      <c r="C18" s="209" t="s">
        <v>47</v>
      </c>
      <c r="D18" s="613" t="s">
        <v>12</v>
      </c>
      <c r="E18" s="615"/>
      <c r="F18" s="614"/>
      <c r="G18" s="209" t="s">
        <v>46</v>
      </c>
      <c r="H18" s="209" t="s">
        <v>389</v>
      </c>
      <c r="I18" s="209" t="s">
        <v>390</v>
      </c>
      <c r="J18" s="162" t="s">
        <v>335</v>
      </c>
      <c r="K18" s="613" t="s">
        <v>51</v>
      </c>
      <c r="L18" s="614"/>
      <c r="M18" s="130"/>
      <c r="N18" s="191"/>
      <c r="O18" s="201"/>
      <c r="P18" s="434"/>
      <c r="Q18" s="434"/>
      <c r="R18" s="201"/>
    </row>
    <row r="19" spans="1:18" ht="15.75" customHeight="1">
      <c r="A19" s="616">
        <v>8</v>
      </c>
      <c r="B19" s="619" t="s">
        <v>394</v>
      </c>
      <c r="C19" s="202">
        <v>1</v>
      </c>
      <c r="D19" s="601" t="s">
        <v>485</v>
      </c>
      <c r="E19" s="612"/>
      <c r="F19" s="602"/>
      <c r="G19" s="202">
        <v>19</v>
      </c>
      <c r="H19" s="204">
        <v>1607.1357434748982</v>
      </c>
      <c r="I19" s="205">
        <v>84.586091761836741</v>
      </c>
      <c r="J19" s="379">
        <v>1.596077306510324E-2</v>
      </c>
      <c r="K19" s="601" t="s">
        <v>465</v>
      </c>
      <c r="L19" s="602"/>
      <c r="M19" s="99"/>
      <c r="O19" s="201"/>
      <c r="P19" s="434"/>
      <c r="Q19" s="434"/>
      <c r="R19" s="201"/>
    </row>
    <row r="20" spans="1:18" ht="15.75" customHeight="1">
      <c r="A20" s="617"/>
      <c r="B20" s="620"/>
      <c r="C20" s="202">
        <v>2</v>
      </c>
      <c r="D20" s="601" t="s">
        <v>550</v>
      </c>
      <c r="E20" s="612"/>
      <c r="F20" s="602"/>
      <c r="G20" s="202">
        <v>19</v>
      </c>
      <c r="H20" s="204">
        <v>1606.769701728861</v>
      </c>
      <c r="I20" s="205">
        <v>84.566826406782155</v>
      </c>
      <c r="J20" s="379">
        <v>3.7150491977101296E-2</v>
      </c>
      <c r="K20" s="601" t="s">
        <v>465</v>
      </c>
      <c r="L20" s="602"/>
      <c r="M20" s="99"/>
      <c r="O20" s="180"/>
      <c r="P20" s="433"/>
      <c r="Q20" s="433"/>
      <c r="R20" s="180"/>
    </row>
    <row r="21" spans="1:18" ht="15.75" customHeight="1">
      <c r="A21" s="617"/>
      <c r="B21" s="620"/>
      <c r="C21" s="202">
        <v>3</v>
      </c>
      <c r="D21" s="601"/>
      <c r="E21" s="612"/>
      <c r="F21" s="602"/>
      <c r="G21" s="202"/>
      <c r="H21" s="204"/>
      <c r="I21" s="205"/>
      <c r="J21" s="202"/>
      <c r="K21" s="601"/>
      <c r="L21" s="602"/>
      <c r="M21" s="99"/>
      <c r="O21" s="201"/>
      <c r="P21" s="434"/>
      <c r="Q21" s="434"/>
      <c r="R21" s="201"/>
    </row>
    <row r="22" spans="1:18" ht="15.75" customHeight="1">
      <c r="A22" s="617"/>
      <c r="B22" s="620"/>
      <c r="C22" s="202">
        <v>4</v>
      </c>
      <c r="D22" s="601"/>
      <c r="E22" s="612"/>
      <c r="F22" s="602"/>
      <c r="G22" s="202"/>
      <c r="H22" s="204"/>
      <c r="I22" s="205"/>
      <c r="J22" s="202"/>
      <c r="K22" s="601"/>
      <c r="L22" s="602"/>
      <c r="M22" s="99"/>
      <c r="O22" s="201"/>
      <c r="P22" s="434"/>
      <c r="Q22" s="434"/>
      <c r="R22" s="201"/>
    </row>
    <row r="23" spans="1:18" ht="15.75" customHeight="1">
      <c r="A23" s="617"/>
      <c r="B23" s="620"/>
      <c r="C23" s="202">
        <v>5</v>
      </c>
      <c r="D23" s="601"/>
      <c r="E23" s="612"/>
      <c r="F23" s="602"/>
      <c r="G23" s="202"/>
      <c r="H23" s="204"/>
      <c r="I23" s="205"/>
      <c r="J23" s="202"/>
      <c r="K23" s="601"/>
      <c r="L23" s="602"/>
      <c r="M23" s="99"/>
      <c r="O23" s="201"/>
      <c r="P23" s="434"/>
      <c r="Q23" s="434"/>
      <c r="R23" s="201"/>
    </row>
    <row r="24" spans="1:18" ht="15.75" customHeight="1">
      <c r="A24" s="617"/>
      <c r="B24" s="620"/>
      <c r="C24" s="206" t="s">
        <v>207</v>
      </c>
      <c r="D24" s="601"/>
      <c r="E24" s="612"/>
      <c r="F24" s="602"/>
      <c r="G24" s="202"/>
      <c r="H24" s="204"/>
      <c r="I24" s="205"/>
      <c r="J24" s="202"/>
      <c r="K24" s="601"/>
      <c r="L24" s="602"/>
      <c r="M24" s="99"/>
      <c r="O24" s="201"/>
      <c r="P24" s="434"/>
      <c r="Q24" s="434"/>
      <c r="R24" s="201"/>
    </row>
    <row r="25" spans="1:18" ht="15.75" customHeight="1">
      <c r="A25" s="617"/>
      <c r="B25" s="620"/>
      <c r="C25" s="206" t="s">
        <v>212</v>
      </c>
      <c r="D25" s="601"/>
      <c r="E25" s="612"/>
      <c r="F25" s="602"/>
      <c r="G25" s="202"/>
      <c r="H25" s="204"/>
      <c r="I25" s="205"/>
      <c r="J25" s="202"/>
      <c r="K25" s="601"/>
      <c r="L25" s="602"/>
      <c r="M25" s="99"/>
      <c r="O25" s="201"/>
      <c r="P25" s="434"/>
      <c r="Q25" s="434"/>
      <c r="R25" s="201"/>
    </row>
    <row r="26" spans="1:18" ht="15.75" customHeight="1">
      <c r="A26" s="617"/>
      <c r="B26" s="620"/>
      <c r="C26" s="206" t="s">
        <v>208</v>
      </c>
      <c r="D26" s="601"/>
      <c r="E26" s="612"/>
      <c r="F26" s="602"/>
      <c r="G26" s="202"/>
      <c r="H26" s="204"/>
      <c r="I26" s="205"/>
      <c r="J26" s="202"/>
      <c r="K26" s="601"/>
      <c r="L26" s="602"/>
      <c r="M26" s="99"/>
      <c r="O26" s="201"/>
      <c r="P26" s="434"/>
      <c r="Q26" s="434"/>
      <c r="R26" s="201"/>
    </row>
    <row r="27" spans="1:18" ht="15.75" customHeight="1">
      <c r="A27" s="617"/>
      <c r="B27" s="620"/>
      <c r="C27" s="206" t="s">
        <v>213</v>
      </c>
      <c r="D27" s="601"/>
      <c r="E27" s="612"/>
      <c r="F27" s="602"/>
      <c r="G27" s="202"/>
      <c r="H27" s="204"/>
      <c r="I27" s="205"/>
      <c r="J27" s="202"/>
      <c r="K27" s="601"/>
      <c r="L27" s="602"/>
      <c r="M27" s="99"/>
      <c r="O27" s="201"/>
      <c r="P27" s="434"/>
      <c r="Q27" s="434"/>
      <c r="R27" s="201"/>
    </row>
    <row r="28" spans="1:18" ht="15.75" customHeight="1">
      <c r="A28" s="618"/>
      <c r="B28" s="621"/>
      <c r="C28" s="206" t="s">
        <v>214</v>
      </c>
      <c r="D28" s="601"/>
      <c r="E28" s="612"/>
      <c r="F28" s="602"/>
      <c r="G28" s="202"/>
      <c r="H28" s="204"/>
      <c r="I28" s="205"/>
      <c r="J28" s="202"/>
      <c r="K28" s="601"/>
      <c r="L28" s="602"/>
      <c r="M28" s="99"/>
      <c r="O28" s="201"/>
      <c r="P28" s="434"/>
      <c r="Q28" s="434"/>
      <c r="R28" s="201"/>
    </row>
    <row r="29" spans="1:18" s="191" customFormat="1" ht="15.75" customHeight="1">
      <c r="A29" s="607" t="s">
        <v>621</v>
      </c>
      <c r="B29" s="607"/>
      <c r="C29" s="607"/>
      <c r="D29" s="607"/>
      <c r="E29" s="607"/>
      <c r="F29" s="607"/>
      <c r="G29" s="607"/>
      <c r="H29" s="607"/>
      <c r="I29" s="607"/>
      <c r="J29" s="607"/>
      <c r="K29" s="607"/>
      <c r="L29" s="607"/>
    </row>
    <row r="30" spans="1:18" s="192" customFormat="1" ht="15.75" customHeight="1">
      <c r="A30" s="607"/>
      <c r="B30" s="607"/>
      <c r="C30" s="607"/>
      <c r="D30" s="607"/>
      <c r="E30" s="607"/>
      <c r="F30" s="607"/>
      <c r="G30" s="607"/>
      <c r="H30" s="607"/>
      <c r="I30" s="607"/>
      <c r="J30" s="607"/>
      <c r="K30" s="607"/>
      <c r="L30" s="607"/>
    </row>
    <row r="31" spans="1:18" s="106" customFormat="1" ht="16.399999999999999" customHeight="1">
      <c r="A31" s="616" t="s">
        <v>164</v>
      </c>
      <c r="B31" s="172">
        <v>1</v>
      </c>
      <c r="C31" s="172">
        <v>2</v>
      </c>
      <c r="D31" s="172">
        <v>3</v>
      </c>
      <c r="E31" s="172">
        <v>4</v>
      </c>
      <c r="F31" s="172">
        <v>5</v>
      </c>
      <c r="G31" s="172">
        <v>6</v>
      </c>
      <c r="H31" s="193">
        <v>7</v>
      </c>
      <c r="I31" s="193">
        <v>8</v>
      </c>
      <c r="J31" s="172">
        <v>9</v>
      </c>
      <c r="K31" s="194"/>
      <c r="L31" s="194"/>
      <c r="M31" s="129"/>
      <c r="N31" s="180"/>
      <c r="O31" s="180"/>
      <c r="P31" s="180"/>
      <c r="Q31" s="180"/>
      <c r="R31" s="180"/>
    </row>
    <row r="32" spans="1:18" ht="16.399999999999999" customHeight="1">
      <c r="A32" s="618"/>
      <c r="B32" s="197" t="s">
        <v>209</v>
      </c>
      <c r="C32" s="197" t="s">
        <v>157</v>
      </c>
      <c r="D32" s="197" t="s">
        <v>210</v>
      </c>
      <c r="E32" s="197" t="s">
        <v>158</v>
      </c>
      <c r="F32" s="197" t="s">
        <v>139</v>
      </c>
      <c r="G32" s="198" t="s">
        <v>137</v>
      </c>
      <c r="H32" s="196" t="s">
        <v>211</v>
      </c>
      <c r="I32" s="211" t="s">
        <v>388</v>
      </c>
      <c r="J32" s="198" t="s">
        <v>143</v>
      </c>
      <c r="K32" s="200"/>
      <c r="L32" s="200"/>
      <c r="N32" s="201"/>
      <c r="O32" s="201"/>
      <c r="P32" s="201"/>
      <c r="Q32" s="201"/>
      <c r="R32" s="201"/>
    </row>
    <row r="33" spans="1:18" s="106" customFormat="1" ht="15.75" customHeight="1">
      <c r="A33" s="622" t="s">
        <v>190</v>
      </c>
      <c r="B33" s="623"/>
      <c r="C33" s="162" t="s">
        <v>47</v>
      </c>
      <c r="D33" s="622" t="s">
        <v>12</v>
      </c>
      <c r="E33" s="624"/>
      <c r="F33" s="623"/>
      <c r="G33" s="162" t="s">
        <v>46</v>
      </c>
      <c r="H33" s="162" t="s">
        <v>389</v>
      </c>
      <c r="I33" s="162" t="s">
        <v>390</v>
      </c>
      <c r="J33" s="162" t="s">
        <v>335</v>
      </c>
      <c r="K33" s="622" t="s">
        <v>51</v>
      </c>
      <c r="L33" s="623"/>
      <c r="M33" s="129"/>
      <c r="N33" s="191"/>
      <c r="O33" s="201"/>
      <c r="P33" s="434"/>
      <c r="Q33" s="434"/>
      <c r="R33" s="201"/>
    </row>
    <row r="34" spans="1:18" ht="15.75" customHeight="1">
      <c r="A34" s="616">
        <v>7</v>
      </c>
      <c r="B34" s="619" t="s">
        <v>393</v>
      </c>
      <c r="C34" s="202">
        <v>1</v>
      </c>
      <c r="D34" s="625"/>
      <c r="E34" s="600"/>
      <c r="F34" s="600"/>
      <c r="G34" s="202"/>
      <c r="H34" s="204"/>
      <c r="I34" s="205"/>
      <c r="J34" s="202"/>
      <c r="K34" s="601"/>
      <c r="L34" s="602"/>
      <c r="O34" s="201"/>
      <c r="P34" s="434"/>
      <c r="Q34" s="434"/>
      <c r="R34" s="201"/>
    </row>
    <row r="35" spans="1:18" ht="15.75" customHeight="1">
      <c r="A35" s="617"/>
      <c r="B35" s="620"/>
      <c r="C35" s="202">
        <v>2</v>
      </c>
      <c r="D35" s="625"/>
      <c r="E35" s="600"/>
      <c r="F35" s="600"/>
      <c r="G35" s="202"/>
      <c r="H35" s="204"/>
      <c r="I35" s="205"/>
      <c r="J35" s="202"/>
      <c r="K35" s="601"/>
      <c r="L35" s="602"/>
      <c r="O35" s="201"/>
      <c r="P35" s="434"/>
      <c r="Q35" s="434"/>
      <c r="R35" s="201"/>
    </row>
    <row r="36" spans="1:18" ht="15.75" customHeight="1">
      <c r="A36" s="617"/>
      <c r="B36" s="620"/>
      <c r="C36" s="202">
        <v>3</v>
      </c>
      <c r="D36" s="601"/>
      <c r="E36" s="612"/>
      <c r="F36" s="602"/>
      <c r="G36" s="202"/>
      <c r="H36" s="204"/>
      <c r="I36" s="205"/>
      <c r="J36" s="202"/>
      <c r="K36" s="601"/>
      <c r="L36" s="602"/>
      <c r="N36" s="437"/>
      <c r="O36" s="201"/>
      <c r="P36" s="434"/>
      <c r="Q36" s="434"/>
      <c r="R36" s="201"/>
    </row>
    <row r="37" spans="1:18" ht="15.75" customHeight="1">
      <c r="A37" s="617"/>
      <c r="B37" s="620"/>
      <c r="C37" s="202">
        <v>4</v>
      </c>
      <c r="D37" s="601"/>
      <c r="E37" s="612"/>
      <c r="F37" s="602"/>
      <c r="G37" s="202"/>
      <c r="H37" s="204"/>
      <c r="I37" s="205"/>
      <c r="J37" s="202"/>
      <c r="K37" s="601"/>
      <c r="L37" s="602"/>
      <c r="O37" s="201"/>
      <c r="P37" s="434"/>
      <c r="Q37" s="434"/>
      <c r="R37" s="201"/>
    </row>
    <row r="38" spans="1:18" ht="15.75" customHeight="1">
      <c r="A38" s="617"/>
      <c r="B38" s="620"/>
      <c r="C38" s="202">
        <v>5</v>
      </c>
      <c r="D38" s="601"/>
      <c r="E38" s="612"/>
      <c r="F38" s="602"/>
      <c r="G38" s="202"/>
      <c r="H38" s="204"/>
      <c r="I38" s="205"/>
      <c r="J38" s="202"/>
      <c r="K38" s="601"/>
      <c r="L38" s="602"/>
      <c r="N38" s="180"/>
      <c r="O38" s="201"/>
      <c r="P38" s="434"/>
      <c r="Q38" s="434"/>
      <c r="R38" s="201"/>
    </row>
    <row r="39" spans="1:18" ht="15.75" customHeight="1">
      <c r="A39" s="617"/>
      <c r="B39" s="620"/>
      <c r="C39" s="206" t="s">
        <v>207</v>
      </c>
      <c r="D39" s="601"/>
      <c r="E39" s="612"/>
      <c r="F39" s="602"/>
      <c r="G39" s="202"/>
      <c r="H39" s="204"/>
      <c r="I39" s="205"/>
      <c r="J39" s="202"/>
      <c r="K39" s="601"/>
      <c r="L39" s="602"/>
      <c r="N39" s="437"/>
      <c r="O39" s="201"/>
      <c r="P39" s="434"/>
      <c r="Q39" s="434"/>
      <c r="R39" s="201"/>
    </row>
    <row r="40" spans="1:18" ht="15.75" customHeight="1">
      <c r="A40" s="617"/>
      <c r="B40" s="620"/>
      <c r="C40" s="206" t="s">
        <v>212</v>
      </c>
      <c r="D40" s="601"/>
      <c r="E40" s="612"/>
      <c r="F40" s="602"/>
      <c r="G40" s="202"/>
      <c r="H40" s="204"/>
      <c r="I40" s="205"/>
      <c r="J40" s="202"/>
      <c r="K40" s="601"/>
      <c r="L40" s="602"/>
      <c r="O40" s="201"/>
      <c r="P40" s="434"/>
      <c r="Q40" s="434"/>
      <c r="R40" s="201"/>
    </row>
    <row r="41" spans="1:18" ht="15.75" customHeight="1">
      <c r="A41" s="617"/>
      <c r="B41" s="620"/>
      <c r="C41" s="206" t="s">
        <v>208</v>
      </c>
      <c r="D41" s="601"/>
      <c r="E41" s="612"/>
      <c r="F41" s="602"/>
      <c r="G41" s="202"/>
      <c r="H41" s="204"/>
      <c r="I41" s="205"/>
      <c r="J41" s="202"/>
      <c r="K41" s="601"/>
      <c r="L41" s="602"/>
      <c r="O41" s="201"/>
      <c r="P41" s="434"/>
      <c r="Q41" s="434"/>
      <c r="R41" s="201"/>
    </row>
    <row r="42" spans="1:18" ht="15.75" customHeight="1">
      <c r="A42" s="617"/>
      <c r="B42" s="620"/>
      <c r="C42" s="206" t="s">
        <v>213</v>
      </c>
      <c r="D42" s="601"/>
      <c r="E42" s="612"/>
      <c r="F42" s="602"/>
      <c r="G42" s="202"/>
      <c r="H42" s="204"/>
      <c r="I42" s="205"/>
      <c r="J42" s="202"/>
      <c r="K42" s="601"/>
      <c r="L42" s="602"/>
      <c r="M42" s="99"/>
      <c r="O42" s="201"/>
      <c r="P42" s="434"/>
      <c r="Q42" s="434"/>
      <c r="R42" s="201"/>
    </row>
    <row r="43" spans="1:18" ht="15.75" customHeight="1">
      <c r="A43" s="618"/>
      <c r="B43" s="621"/>
      <c r="C43" s="206" t="s">
        <v>214</v>
      </c>
      <c r="D43" s="601"/>
      <c r="E43" s="612"/>
      <c r="F43" s="602"/>
      <c r="G43" s="202"/>
      <c r="H43" s="204"/>
      <c r="I43" s="205"/>
      <c r="J43" s="202"/>
      <c r="K43" s="601"/>
      <c r="L43" s="602"/>
      <c r="M43" s="99"/>
      <c r="N43" s="201"/>
      <c r="O43" s="201"/>
      <c r="P43" s="434"/>
      <c r="Q43" s="434"/>
      <c r="R43" s="201"/>
    </row>
    <row r="44" spans="1:18" s="104" customFormat="1" ht="15.75" customHeight="1">
      <c r="A44" s="613" t="s">
        <v>190</v>
      </c>
      <c r="B44" s="614"/>
      <c r="C44" s="209" t="s">
        <v>47</v>
      </c>
      <c r="D44" s="613" t="s">
        <v>12</v>
      </c>
      <c r="E44" s="615"/>
      <c r="F44" s="614"/>
      <c r="G44" s="209" t="s">
        <v>46</v>
      </c>
      <c r="H44" s="209" t="s">
        <v>389</v>
      </c>
      <c r="I44" s="209" t="s">
        <v>390</v>
      </c>
      <c r="J44" s="162" t="s">
        <v>335</v>
      </c>
      <c r="K44" s="613" t="s">
        <v>51</v>
      </c>
      <c r="L44" s="614"/>
      <c r="M44" s="130"/>
      <c r="N44" s="191"/>
      <c r="O44" s="201"/>
      <c r="P44" s="434"/>
      <c r="Q44" s="434"/>
      <c r="R44" s="201"/>
    </row>
    <row r="45" spans="1:18" ht="15.75" customHeight="1">
      <c r="A45" s="616">
        <v>8</v>
      </c>
      <c r="B45" s="619" t="s">
        <v>394</v>
      </c>
      <c r="C45" s="202">
        <v>1</v>
      </c>
      <c r="D45" s="601" t="s">
        <v>485</v>
      </c>
      <c r="E45" s="612"/>
      <c r="F45" s="602"/>
      <c r="G45" s="202">
        <v>19</v>
      </c>
      <c r="H45" s="204">
        <v>1607.427055702919</v>
      </c>
      <c r="I45" s="205">
        <v>84.60142398436416</v>
      </c>
      <c r="J45" s="379">
        <f>I45-I19</f>
        <v>1.5332222527419503E-2</v>
      </c>
      <c r="K45" s="601"/>
      <c r="L45" s="602"/>
      <c r="M45" s="99"/>
      <c r="O45" s="201"/>
      <c r="P45" s="434"/>
      <c r="Q45" s="434"/>
      <c r="R45" s="201"/>
    </row>
    <row r="46" spans="1:18" ht="15.75" customHeight="1">
      <c r="A46" s="617"/>
      <c r="B46" s="620"/>
      <c r="C46" s="202">
        <v>2</v>
      </c>
      <c r="D46" s="601"/>
      <c r="E46" s="612"/>
      <c r="F46" s="602"/>
      <c r="G46" s="202"/>
      <c r="H46" s="204"/>
      <c r="I46" s="205"/>
      <c r="J46" s="379"/>
      <c r="K46" s="601"/>
      <c r="L46" s="602"/>
      <c r="M46" s="99"/>
      <c r="O46" s="180"/>
      <c r="P46" s="433"/>
      <c r="Q46" s="433"/>
      <c r="R46" s="180"/>
    </row>
    <row r="47" spans="1:18" ht="15.75" customHeight="1">
      <c r="A47" s="617"/>
      <c r="B47" s="620"/>
      <c r="C47" s="202">
        <v>3</v>
      </c>
      <c r="D47" s="601"/>
      <c r="E47" s="612"/>
      <c r="F47" s="602"/>
      <c r="G47" s="202"/>
      <c r="H47" s="204"/>
      <c r="I47" s="205"/>
      <c r="J47" s="202"/>
      <c r="K47" s="601"/>
      <c r="L47" s="602"/>
      <c r="M47" s="99"/>
      <c r="O47" s="201"/>
      <c r="P47" s="434"/>
      <c r="Q47" s="434"/>
      <c r="R47" s="201"/>
    </row>
    <row r="48" spans="1:18" ht="15.75" customHeight="1">
      <c r="A48" s="617"/>
      <c r="B48" s="620"/>
      <c r="C48" s="202">
        <v>4</v>
      </c>
      <c r="D48" s="601"/>
      <c r="E48" s="612"/>
      <c r="F48" s="602"/>
      <c r="G48" s="202"/>
      <c r="H48" s="204"/>
      <c r="I48" s="205"/>
      <c r="J48" s="202"/>
      <c r="K48" s="601"/>
      <c r="L48" s="602"/>
      <c r="M48" s="99"/>
      <c r="O48" s="201"/>
      <c r="P48" s="434"/>
      <c r="Q48" s="434"/>
      <c r="R48" s="201"/>
    </row>
    <row r="49" spans="1:18" ht="15.75" customHeight="1">
      <c r="A49" s="617"/>
      <c r="B49" s="620"/>
      <c r="C49" s="202">
        <v>5</v>
      </c>
      <c r="D49" s="601"/>
      <c r="E49" s="612"/>
      <c r="F49" s="602"/>
      <c r="G49" s="202"/>
      <c r="H49" s="204"/>
      <c r="I49" s="205"/>
      <c r="J49" s="202"/>
      <c r="K49" s="601"/>
      <c r="L49" s="602"/>
      <c r="M49" s="99"/>
      <c r="O49" s="201"/>
      <c r="P49" s="434"/>
      <c r="Q49" s="434"/>
      <c r="R49" s="201"/>
    </row>
    <row r="50" spans="1:18" ht="15.75" customHeight="1">
      <c r="A50" s="617"/>
      <c r="B50" s="620"/>
      <c r="C50" s="206" t="s">
        <v>207</v>
      </c>
      <c r="D50" s="601"/>
      <c r="E50" s="612"/>
      <c r="F50" s="602"/>
      <c r="G50" s="202"/>
      <c r="H50" s="204"/>
      <c r="I50" s="205"/>
      <c r="J50" s="202"/>
      <c r="K50" s="601"/>
      <c r="L50" s="602"/>
      <c r="M50" s="99"/>
      <c r="O50" s="201"/>
      <c r="P50" s="434"/>
      <c r="Q50" s="434"/>
      <c r="R50" s="201"/>
    </row>
    <row r="51" spans="1:18" ht="15.75" customHeight="1">
      <c r="A51" s="617"/>
      <c r="B51" s="620"/>
      <c r="C51" s="206" t="s">
        <v>212</v>
      </c>
      <c r="D51" s="601"/>
      <c r="E51" s="612"/>
      <c r="F51" s="602"/>
      <c r="G51" s="202"/>
      <c r="H51" s="204"/>
      <c r="I51" s="205"/>
      <c r="J51" s="202"/>
      <c r="K51" s="601"/>
      <c r="L51" s="602"/>
      <c r="M51" s="99"/>
      <c r="O51" s="201"/>
      <c r="P51" s="434"/>
      <c r="Q51" s="434"/>
      <c r="R51" s="201"/>
    </row>
    <row r="52" spans="1:18" ht="15.75" customHeight="1">
      <c r="A52" s="617"/>
      <c r="B52" s="620"/>
      <c r="C52" s="206" t="s">
        <v>208</v>
      </c>
      <c r="D52" s="601"/>
      <c r="E52" s="612"/>
      <c r="F52" s="602"/>
      <c r="G52" s="202"/>
      <c r="H52" s="204"/>
      <c r="I52" s="205"/>
      <c r="J52" s="202"/>
      <c r="K52" s="601"/>
      <c r="L52" s="602"/>
      <c r="M52" s="99"/>
      <c r="O52" s="201"/>
      <c r="P52" s="434"/>
      <c r="Q52" s="434"/>
      <c r="R52" s="201"/>
    </row>
    <row r="53" spans="1:18" ht="15.75" customHeight="1">
      <c r="A53" s="617"/>
      <c r="B53" s="620"/>
      <c r="C53" s="206" t="s">
        <v>213</v>
      </c>
      <c r="D53" s="601"/>
      <c r="E53" s="612"/>
      <c r="F53" s="602"/>
      <c r="G53" s="202"/>
      <c r="H53" s="204"/>
      <c r="I53" s="205"/>
      <c r="J53" s="202"/>
      <c r="K53" s="601"/>
      <c r="L53" s="602"/>
      <c r="M53" s="99"/>
      <c r="O53" s="201"/>
      <c r="P53" s="434"/>
      <c r="Q53" s="434"/>
      <c r="R53" s="201"/>
    </row>
    <row r="54" spans="1:18" ht="15.75" customHeight="1">
      <c r="A54" s="618"/>
      <c r="B54" s="621"/>
      <c r="C54" s="206" t="s">
        <v>214</v>
      </c>
      <c r="D54" s="601"/>
      <c r="E54" s="612"/>
      <c r="F54" s="602"/>
      <c r="G54" s="202"/>
      <c r="H54" s="204"/>
      <c r="I54" s="205"/>
      <c r="J54" s="202"/>
      <c r="K54" s="601"/>
      <c r="L54" s="602"/>
      <c r="M54" s="99"/>
      <c r="O54" s="201"/>
      <c r="P54" s="434"/>
      <c r="Q54" s="434"/>
      <c r="R54" s="201"/>
    </row>
  </sheetData>
  <mergeCells count="105">
    <mergeCell ref="D27:F27"/>
    <mergeCell ref="K27:L27"/>
    <mergeCell ref="D28:F28"/>
    <mergeCell ref="K28:L28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40:L40"/>
    <mergeCell ref="D41:F41"/>
    <mergeCell ref="K41:L41"/>
    <mergeCell ref="D42:F42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" manualBreakCount="1">
    <brk id="28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54"/>
  <sheetViews>
    <sheetView view="pageBreakPreview" topLeftCell="A28" zoomScale="115" zoomScaleNormal="60" zoomScaleSheetLayoutView="115" workbookViewId="0">
      <selection activeCell="J35" sqref="J35"/>
    </sheetView>
  </sheetViews>
  <sheetFormatPr defaultColWidth="12.54296875" defaultRowHeight="15.75" customHeight="1"/>
  <cols>
    <col min="1" max="1" width="6.453125" style="99" customWidth="1"/>
    <col min="2" max="10" width="11.54296875" style="99" customWidth="1"/>
    <col min="11" max="12" width="12.81640625" style="99" customWidth="1"/>
    <col min="13" max="13" width="12.54296875" style="100"/>
    <col min="14" max="18" width="12.54296875" style="191"/>
    <col min="19" max="16384" width="12.54296875" style="99"/>
  </cols>
  <sheetData>
    <row r="1" spans="1:18" ht="15.75" customHeight="1">
      <c r="A1" s="463" t="s">
        <v>387</v>
      </c>
      <c r="B1" s="463"/>
      <c r="C1" s="463"/>
      <c r="D1" s="463"/>
      <c r="E1" s="463"/>
      <c r="F1" s="463"/>
      <c r="G1" s="463"/>
      <c r="H1" s="463"/>
      <c r="I1" s="463"/>
      <c r="J1" s="463"/>
      <c r="K1" s="463"/>
      <c r="L1" s="463"/>
      <c r="M1" s="99"/>
    </row>
    <row r="2" spans="1:18" s="100" customFormat="1" ht="15.75" customHeight="1">
      <c r="A2" s="463"/>
      <c r="B2" s="463"/>
      <c r="C2" s="463"/>
      <c r="D2" s="463"/>
      <c r="E2" s="463"/>
      <c r="F2" s="463"/>
      <c r="G2" s="463"/>
      <c r="H2" s="463"/>
      <c r="I2" s="463"/>
      <c r="J2" s="463"/>
      <c r="K2" s="463"/>
      <c r="L2" s="463"/>
      <c r="N2" s="192"/>
      <c r="O2" s="192"/>
      <c r="P2" s="192"/>
      <c r="Q2" s="192"/>
      <c r="R2" s="192"/>
    </row>
    <row r="3" spans="1:18" s="191" customFormat="1" ht="15.75" customHeight="1">
      <c r="A3" s="607" t="s">
        <v>560</v>
      </c>
      <c r="B3" s="607"/>
      <c r="C3" s="607"/>
      <c r="D3" s="607"/>
      <c r="E3" s="607"/>
      <c r="F3" s="607"/>
      <c r="G3" s="607"/>
      <c r="H3" s="607"/>
      <c r="I3" s="607"/>
      <c r="J3" s="607"/>
      <c r="K3" s="607"/>
      <c r="L3" s="607"/>
    </row>
    <row r="4" spans="1:18" s="192" customFormat="1" ht="15.75" customHeight="1">
      <c r="A4" s="607"/>
      <c r="B4" s="607"/>
      <c r="C4" s="607"/>
      <c r="D4" s="607"/>
      <c r="E4" s="607"/>
      <c r="F4" s="607"/>
      <c r="G4" s="607"/>
      <c r="H4" s="607"/>
      <c r="I4" s="607"/>
      <c r="J4" s="607"/>
      <c r="K4" s="607"/>
      <c r="L4" s="607"/>
    </row>
    <row r="5" spans="1:18" s="106" customFormat="1" ht="16.399999999999999" customHeight="1">
      <c r="A5" s="616" t="s">
        <v>164</v>
      </c>
      <c r="B5" s="172">
        <v>1</v>
      </c>
      <c r="C5" s="172">
        <v>2</v>
      </c>
      <c r="D5" s="172">
        <v>3</v>
      </c>
      <c r="E5" s="172">
        <v>4</v>
      </c>
      <c r="F5" s="172">
        <v>5</v>
      </c>
      <c r="G5" s="172">
        <v>6</v>
      </c>
      <c r="H5" s="172">
        <v>7</v>
      </c>
      <c r="I5" s="172">
        <v>8</v>
      </c>
      <c r="J5" s="193">
        <v>9</v>
      </c>
      <c r="K5" s="194"/>
      <c r="L5" s="194"/>
      <c r="M5" s="129"/>
      <c r="N5" s="180"/>
      <c r="O5" s="180"/>
      <c r="P5" s="180"/>
      <c r="Q5" s="180"/>
      <c r="R5" s="180"/>
    </row>
    <row r="6" spans="1:18" ht="16.399999999999999" customHeight="1">
      <c r="A6" s="618"/>
      <c r="B6" s="197" t="s">
        <v>209</v>
      </c>
      <c r="C6" s="197" t="s">
        <v>157</v>
      </c>
      <c r="D6" s="197" t="s">
        <v>210</v>
      </c>
      <c r="E6" s="197" t="s">
        <v>158</v>
      </c>
      <c r="F6" s="197" t="s">
        <v>139</v>
      </c>
      <c r="G6" s="198" t="s">
        <v>137</v>
      </c>
      <c r="H6" s="199" t="s">
        <v>211</v>
      </c>
      <c r="I6" s="198" t="s">
        <v>388</v>
      </c>
      <c r="J6" s="211" t="s">
        <v>143</v>
      </c>
      <c r="K6" s="200"/>
      <c r="L6" s="200"/>
      <c r="N6" s="201"/>
      <c r="O6" s="201"/>
      <c r="P6" s="201"/>
      <c r="Q6" s="201"/>
      <c r="R6" s="201"/>
    </row>
    <row r="7" spans="1:18" s="106" customFormat="1" ht="15.75" customHeight="1">
      <c r="A7" s="622" t="s">
        <v>190</v>
      </c>
      <c r="B7" s="623"/>
      <c r="C7" s="162" t="s">
        <v>47</v>
      </c>
      <c r="D7" s="622" t="s">
        <v>12</v>
      </c>
      <c r="E7" s="624"/>
      <c r="F7" s="623"/>
      <c r="G7" s="162" t="s">
        <v>46</v>
      </c>
      <c r="H7" s="162" t="s">
        <v>389</v>
      </c>
      <c r="I7" s="162" t="s">
        <v>390</v>
      </c>
      <c r="J7" s="162" t="s">
        <v>335</v>
      </c>
      <c r="K7" s="622" t="s">
        <v>51</v>
      </c>
      <c r="L7" s="623"/>
      <c r="M7" s="129"/>
      <c r="N7" s="191"/>
      <c r="O7" s="201"/>
      <c r="P7" s="434"/>
      <c r="Q7" s="434"/>
      <c r="R7" s="201"/>
    </row>
    <row r="8" spans="1:18" ht="15.75" customHeight="1">
      <c r="A8" s="616">
        <f>J5</f>
        <v>9</v>
      </c>
      <c r="B8" s="619" t="str">
        <f>J6</f>
        <v>微波小吃</v>
      </c>
      <c r="C8" s="202">
        <v>1</v>
      </c>
      <c r="D8" s="601" t="s">
        <v>365</v>
      </c>
      <c r="E8" s="612"/>
      <c r="F8" s="602"/>
      <c r="G8" s="202">
        <v>13</v>
      </c>
      <c r="H8" s="204">
        <v>1079.6038104741228</v>
      </c>
      <c r="I8" s="205">
        <v>83.046446959547907</v>
      </c>
      <c r="J8" s="379">
        <v>1.5286545614259239E-3</v>
      </c>
      <c r="K8" s="601" t="s">
        <v>465</v>
      </c>
      <c r="L8" s="602"/>
      <c r="O8" s="201"/>
      <c r="P8" s="434"/>
      <c r="Q8" s="434"/>
      <c r="R8" s="201"/>
    </row>
    <row r="9" spans="1:18" ht="15.75" customHeight="1">
      <c r="A9" s="617"/>
      <c r="B9" s="620"/>
      <c r="C9" s="202">
        <v>2</v>
      </c>
      <c r="D9" s="601" t="s">
        <v>470</v>
      </c>
      <c r="E9" s="612"/>
      <c r="F9" s="602"/>
      <c r="G9" s="202">
        <v>22</v>
      </c>
      <c r="H9" s="204">
        <v>1606.8546076304967</v>
      </c>
      <c r="I9" s="205">
        <v>73.038845801386202</v>
      </c>
      <c r="J9" s="379">
        <v>2.8535765840828731E-2</v>
      </c>
      <c r="K9" s="601" t="s">
        <v>465</v>
      </c>
      <c r="L9" s="602"/>
      <c r="O9" s="201"/>
      <c r="P9" s="434"/>
      <c r="Q9" s="434"/>
      <c r="R9" s="201"/>
    </row>
    <row r="10" spans="1:18" ht="15.75" customHeight="1">
      <c r="A10" s="617"/>
      <c r="B10" s="620"/>
      <c r="C10" s="202">
        <v>3</v>
      </c>
      <c r="D10" s="601"/>
      <c r="E10" s="612"/>
      <c r="F10" s="602"/>
      <c r="G10" s="202"/>
      <c r="H10" s="204"/>
      <c r="I10" s="205"/>
      <c r="J10" s="202"/>
      <c r="K10" s="601"/>
      <c r="L10" s="602"/>
      <c r="O10" s="201"/>
      <c r="P10" s="434"/>
      <c r="Q10" s="434"/>
      <c r="R10" s="201"/>
    </row>
    <row r="11" spans="1:18" ht="15.75" customHeight="1">
      <c r="A11" s="617"/>
      <c r="B11" s="620"/>
      <c r="C11" s="202">
        <v>4</v>
      </c>
      <c r="D11" s="601"/>
      <c r="E11" s="612"/>
      <c r="F11" s="602"/>
      <c r="G11" s="204"/>
      <c r="H11" s="204"/>
      <c r="I11" s="205"/>
      <c r="J11" s="202"/>
      <c r="K11" s="601"/>
      <c r="L11" s="602"/>
      <c r="O11" s="201"/>
      <c r="P11" s="434"/>
      <c r="Q11" s="434"/>
      <c r="R11" s="201"/>
    </row>
    <row r="12" spans="1:18" ht="15.75" customHeight="1">
      <c r="A12" s="617"/>
      <c r="B12" s="620"/>
      <c r="C12" s="202">
        <v>5</v>
      </c>
      <c r="D12" s="601"/>
      <c r="E12" s="612"/>
      <c r="F12" s="602"/>
      <c r="G12" s="202"/>
      <c r="H12" s="204"/>
      <c r="I12" s="205"/>
      <c r="J12" s="202"/>
      <c r="K12" s="601"/>
      <c r="L12" s="602"/>
      <c r="O12" s="201"/>
      <c r="P12" s="434"/>
      <c r="Q12" s="434"/>
      <c r="R12" s="201"/>
    </row>
    <row r="13" spans="1:18" ht="15.75" customHeight="1">
      <c r="A13" s="617"/>
      <c r="B13" s="620"/>
      <c r="C13" s="206" t="s">
        <v>207</v>
      </c>
      <c r="D13" s="601"/>
      <c r="E13" s="612"/>
      <c r="F13" s="602"/>
      <c r="G13" s="202"/>
      <c r="H13" s="204"/>
      <c r="I13" s="205"/>
      <c r="J13" s="202"/>
      <c r="K13" s="601"/>
      <c r="L13" s="602"/>
      <c r="O13" s="201"/>
      <c r="P13" s="434"/>
      <c r="Q13" s="434"/>
      <c r="R13" s="201"/>
    </row>
    <row r="14" spans="1:18" ht="15.75" customHeight="1">
      <c r="A14" s="617"/>
      <c r="B14" s="620"/>
      <c r="C14" s="206" t="s">
        <v>212</v>
      </c>
      <c r="D14" s="601"/>
      <c r="E14" s="612"/>
      <c r="F14" s="602"/>
      <c r="G14" s="202"/>
      <c r="H14" s="204"/>
      <c r="I14" s="205"/>
      <c r="J14" s="202"/>
      <c r="K14" s="601"/>
      <c r="L14" s="602"/>
      <c r="N14" s="180"/>
      <c r="O14" s="180"/>
      <c r="P14" s="433"/>
      <c r="Q14" s="433"/>
      <c r="R14" s="180"/>
    </row>
    <row r="15" spans="1:18" ht="15.75" customHeight="1">
      <c r="A15" s="617"/>
      <c r="B15" s="620"/>
      <c r="C15" s="206" t="s">
        <v>208</v>
      </c>
      <c r="D15" s="601"/>
      <c r="E15" s="612"/>
      <c r="F15" s="602"/>
      <c r="G15" s="202"/>
      <c r="H15" s="204"/>
      <c r="I15" s="205"/>
      <c r="J15" s="202"/>
      <c r="K15" s="601"/>
      <c r="L15" s="602"/>
      <c r="O15" s="201"/>
      <c r="P15" s="434"/>
      <c r="Q15" s="434"/>
      <c r="R15" s="201"/>
    </row>
    <row r="16" spans="1:18" ht="15.75" customHeight="1">
      <c r="A16" s="617"/>
      <c r="B16" s="620"/>
      <c r="C16" s="206" t="s">
        <v>213</v>
      </c>
      <c r="D16" s="601"/>
      <c r="E16" s="612"/>
      <c r="F16" s="602"/>
      <c r="G16" s="202"/>
      <c r="H16" s="204"/>
      <c r="I16" s="205"/>
      <c r="J16" s="202"/>
      <c r="K16" s="601"/>
      <c r="L16" s="602"/>
      <c r="M16" s="99"/>
      <c r="O16" s="201"/>
      <c r="P16" s="434"/>
      <c r="Q16" s="434"/>
      <c r="R16" s="201"/>
    </row>
    <row r="17" spans="1:18" ht="15.75" customHeight="1">
      <c r="A17" s="618"/>
      <c r="B17" s="621"/>
      <c r="C17" s="206" t="s">
        <v>214</v>
      </c>
      <c r="D17" s="601"/>
      <c r="E17" s="612"/>
      <c r="F17" s="602"/>
      <c r="G17" s="202"/>
      <c r="H17" s="204"/>
      <c r="I17" s="205"/>
      <c r="J17" s="202"/>
      <c r="K17" s="601"/>
      <c r="L17" s="602"/>
      <c r="M17" s="99"/>
      <c r="O17" s="201"/>
      <c r="P17" s="434"/>
      <c r="Q17" s="434"/>
      <c r="R17" s="201"/>
    </row>
    <row r="18" spans="1:18" s="104" customFormat="1" ht="15.75" customHeight="1">
      <c r="A18" s="613" t="s">
        <v>190</v>
      </c>
      <c r="B18" s="614"/>
      <c r="C18" s="209" t="s">
        <v>47</v>
      </c>
      <c r="D18" s="613" t="s">
        <v>12</v>
      </c>
      <c r="E18" s="615"/>
      <c r="F18" s="614"/>
      <c r="G18" s="209" t="s">
        <v>46</v>
      </c>
      <c r="H18" s="209" t="s">
        <v>389</v>
      </c>
      <c r="I18" s="209" t="s">
        <v>390</v>
      </c>
      <c r="J18" s="162" t="s">
        <v>335</v>
      </c>
      <c r="K18" s="613" t="s">
        <v>51</v>
      </c>
      <c r="L18" s="614"/>
      <c r="M18" s="130"/>
      <c r="N18" s="191"/>
      <c r="O18" s="201"/>
      <c r="P18" s="434"/>
      <c r="Q18" s="434"/>
      <c r="R18" s="201"/>
    </row>
    <row r="19" spans="1:18" ht="15.75" customHeight="1">
      <c r="A19" s="616"/>
      <c r="B19" s="619"/>
      <c r="C19" s="202">
        <v>1</v>
      </c>
      <c r="D19" s="601"/>
      <c r="E19" s="612"/>
      <c r="F19" s="602"/>
      <c r="G19" s="202"/>
      <c r="H19" s="204"/>
      <c r="I19" s="205"/>
      <c r="J19" s="202"/>
      <c r="K19" s="601"/>
      <c r="L19" s="602"/>
      <c r="M19" s="99"/>
      <c r="N19" s="201"/>
      <c r="O19" s="201"/>
      <c r="P19" s="434"/>
      <c r="Q19" s="434"/>
      <c r="R19" s="201"/>
    </row>
    <row r="20" spans="1:18" ht="15.75" customHeight="1">
      <c r="A20" s="617"/>
      <c r="B20" s="620"/>
      <c r="C20" s="202">
        <v>2</v>
      </c>
      <c r="D20" s="601"/>
      <c r="E20" s="612"/>
      <c r="F20" s="602"/>
      <c r="G20" s="202"/>
      <c r="H20" s="204"/>
      <c r="I20" s="205"/>
      <c r="J20" s="202"/>
      <c r="K20" s="601"/>
      <c r="L20" s="602"/>
      <c r="M20" s="99"/>
      <c r="O20" s="201"/>
      <c r="P20" s="434"/>
      <c r="Q20" s="434"/>
      <c r="R20" s="201"/>
    </row>
    <row r="21" spans="1:18" ht="15.75" customHeight="1">
      <c r="A21" s="617"/>
      <c r="B21" s="620"/>
      <c r="C21" s="202">
        <v>3</v>
      </c>
      <c r="D21" s="601"/>
      <c r="E21" s="612"/>
      <c r="F21" s="602"/>
      <c r="G21" s="202"/>
      <c r="H21" s="204"/>
      <c r="I21" s="205"/>
      <c r="J21" s="202"/>
      <c r="K21" s="601"/>
      <c r="L21" s="602"/>
      <c r="M21" s="99"/>
      <c r="O21" s="201"/>
      <c r="P21" s="434"/>
      <c r="Q21" s="434"/>
      <c r="R21" s="201"/>
    </row>
    <row r="22" spans="1:18" ht="15.75" customHeight="1">
      <c r="A22" s="617"/>
      <c r="B22" s="620"/>
      <c r="C22" s="202">
        <v>4</v>
      </c>
      <c r="D22" s="601"/>
      <c r="E22" s="612"/>
      <c r="F22" s="602"/>
      <c r="G22" s="202"/>
      <c r="H22" s="204"/>
      <c r="I22" s="205"/>
      <c r="J22" s="202"/>
      <c r="K22" s="601"/>
      <c r="L22" s="602"/>
      <c r="M22" s="99"/>
      <c r="O22" s="201"/>
      <c r="P22" s="434"/>
      <c r="Q22" s="434"/>
      <c r="R22" s="201"/>
    </row>
    <row r="23" spans="1:18" ht="15.75" customHeight="1">
      <c r="A23" s="617"/>
      <c r="B23" s="620"/>
      <c r="C23" s="202">
        <v>5</v>
      </c>
      <c r="D23" s="601"/>
      <c r="E23" s="612"/>
      <c r="F23" s="602"/>
      <c r="G23" s="202"/>
      <c r="H23" s="204"/>
      <c r="I23" s="205"/>
      <c r="J23" s="202"/>
      <c r="K23" s="601"/>
      <c r="L23" s="602"/>
      <c r="M23" s="99"/>
      <c r="O23" s="201"/>
      <c r="P23" s="434"/>
      <c r="Q23" s="434"/>
      <c r="R23" s="201"/>
    </row>
    <row r="24" spans="1:18" ht="15.75" customHeight="1">
      <c r="A24" s="617"/>
      <c r="B24" s="620"/>
      <c r="C24" s="206" t="s">
        <v>207</v>
      </c>
      <c r="D24" s="601"/>
      <c r="E24" s="612"/>
      <c r="F24" s="602"/>
      <c r="G24" s="202"/>
      <c r="H24" s="204"/>
      <c r="I24" s="205"/>
      <c r="J24" s="202"/>
      <c r="K24" s="601"/>
      <c r="L24" s="602"/>
      <c r="M24" s="99"/>
      <c r="O24" s="201"/>
      <c r="P24" s="434"/>
      <c r="Q24" s="434"/>
      <c r="R24" s="201"/>
    </row>
    <row r="25" spans="1:18" ht="15.75" customHeight="1">
      <c r="A25" s="617"/>
      <c r="B25" s="620"/>
      <c r="C25" s="206" t="s">
        <v>212</v>
      </c>
      <c r="D25" s="601"/>
      <c r="E25" s="612"/>
      <c r="F25" s="602"/>
      <c r="G25" s="202"/>
      <c r="H25" s="204"/>
      <c r="I25" s="205"/>
      <c r="J25" s="202"/>
      <c r="K25" s="601"/>
      <c r="L25" s="602"/>
      <c r="M25" s="99"/>
      <c r="O25" s="201"/>
      <c r="P25" s="434"/>
      <c r="Q25" s="434"/>
      <c r="R25" s="201"/>
    </row>
    <row r="26" spans="1:18" ht="15.75" customHeight="1">
      <c r="A26" s="617"/>
      <c r="B26" s="620"/>
      <c r="C26" s="206" t="s">
        <v>208</v>
      </c>
      <c r="D26" s="601"/>
      <c r="E26" s="612"/>
      <c r="F26" s="602"/>
      <c r="G26" s="202"/>
      <c r="H26" s="204"/>
      <c r="I26" s="205"/>
      <c r="J26" s="202"/>
      <c r="K26" s="601"/>
      <c r="L26" s="602"/>
      <c r="M26" s="99"/>
      <c r="O26" s="201"/>
      <c r="P26" s="434"/>
      <c r="Q26" s="434"/>
      <c r="R26" s="201"/>
    </row>
    <row r="27" spans="1:18" ht="15.75" customHeight="1">
      <c r="A27" s="617"/>
      <c r="B27" s="620"/>
      <c r="C27" s="206" t="s">
        <v>213</v>
      </c>
      <c r="D27" s="601"/>
      <c r="E27" s="612"/>
      <c r="F27" s="602"/>
      <c r="G27" s="202"/>
      <c r="H27" s="204"/>
      <c r="I27" s="205"/>
      <c r="J27" s="202"/>
      <c r="K27" s="601"/>
      <c r="L27" s="602"/>
      <c r="M27" s="99"/>
      <c r="O27" s="201"/>
      <c r="P27" s="434"/>
      <c r="Q27" s="434"/>
      <c r="R27" s="201"/>
    </row>
    <row r="28" spans="1:18" ht="15.75" customHeight="1">
      <c r="A28" s="618"/>
      <c r="B28" s="621"/>
      <c r="C28" s="206" t="s">
        <v>214</v>
      </c>
      <c r="D28" s="601"/>
      <c r="E28" s="612"/>
      <c r="F28" s="602"/>
      <c r="G28" s="202"/>
      <c r="H28" s="204"/>
      <c r="I28" s="205"/>
      <c r="J28" s="202"/>
      <c r="K28" s="601"/>
      <c r="L28" s="602"/>
      <c r="M28" s="99"/>
      <c r="O28" s="201"/>
      <c r="P28" s="434"/>
      <c r="Q28" s="434"/>
      <c r="R28" s="201"/>
    </row>
    <row r="29" spans="1:18" s="191" customFormat="1" ht="15.75" customHeight="1">
      <c r="A29" s="607" t="s">
        <v>621</v>
      </c>
      <c r="B29" s="607"/>
      <c r="C29" s="607"/>
      <c r="D29" s="607"/>
      <c r="E29" s="607"/>
      <c r="F29" s="607"/>
      <c r="G29" s="607"/>
      <c r="H29" s="607"/>
      <c r="I29" s="607"/>
      <c r="J29" s="607"/>
      <c r="K29" s="607"/>
      <c r="L29" s="607"/>
    </row>
    <row r="30" spans="1:18" s="192" customFormat="1" ht="15.75" customHeight="1">
      <c r="A30" s="607"/>
      <c r="B30" s="607"/>
      <c r="C30" s="607"/>
      <c r="D30" s="607"/>
      <c r="E30" s="607"/>
      <c r="F30" s="607"/>
      <c r="G30" s="607"/>
      <c r="H30" s="607"/>
      <c r="I30" s="607"/>
      <c r="J30" s="607"/>
      <c r="K30" s="607"/>
      <c r="L30" s="607"/>
    </row>
    <row r="31" spans="1:18" s="106" customFormat="1" ht="16.399999999999999" customHeight="1">
      <c r="A31" s="616" t="s">
        <v>164</v>
      </c>
      <c r="B31" s="172">
        <v>1</v>
      </c>
      <c r="C31" s="172">
        <v>2</v>
      </c>
      <c r="D31" s="172">
        <v>3</v>
      </c>
      <c r="E31" s="172">
        <v>4</v>
      </c>
      <c r="F31" s="172">
        <v>5</v>
      </c>
      <c r="G31" s="172">
        <v>6</v>
      </c>
      <c r="H31" s="172">
        <v>7</v>
      </c>
      <c r="I31" s="172">
        <v>8</v>
      </c>
      <c r="J31" s="193">
        <v>9</v>
      </c>
      <c r="K31" s="194"/>
      <c r="L31" s="194"/>
      <c r="M31" s="129"/>
      <c r="N31" s="180"/>
      <c r="O31" s="180"/>
      <c r="P31" s="180"/>
      <c r="Q31" s="180"/>
      <c r="R31" s="180"/>
    </row>
    <row r="32" spans="1:18" ht="16.399999999999999" customHeight="1">
      <c r="A32" s="618"/>
      <c r="B32" s="197" t="s">
        <v>209</v>
      </c>
      <c r="C32" s="197" t="s">
        <v>157</v>
      </c>
      <c r="D32" s="197" t="s">
        <v>210</v>
      </c>
      <c r="E32" s="197" t="s">
        <v>158</v>
      </c>
      <c r="F32" s="197" t="s">
        <v>139</v>
      </c>
      <c r="G32" s="198" t="s">
        <v>137</v>
      </c>
      <c r="H32" s="199" t="s">
        <v>211</v>
      </c>
      <c r="I32" s="198" t="s">
        <v>388</v>
      </c>
      <c r="J32" s="211" t="s">
        <v>143</v>
      </c>
      <c r="K32" s="200"/>
      <c r="L32" s="200"/>
      <c r="N32" s="201"/>
      <c r="O32" s="201"/>
      <c r="P32" s="201"/>
      <c r="Q32" s="201"/>
      <c r="R32" s="201"/>
    </row>
    <row r="33" spans="1:18" s="106" customFormat="1" ht="15.75" customHeight="1">
      <c r="A33" s="622" t="s">
        <v>190</v>
      </c>
      <c r="B33" s="623"/>
      <c r="C33" s="162" t="s">
        <v>47</v>
      </c>
      <c r="D33" s="622" t="s">
        <v>12</v>
      </c>
      <c r="E33" s="624"/>
      <c r="F33" s="623"/>
      <c r="G33" s="162" t="s">
        <v>46</v>
      </c>
      <c r="H33" s="162" t="s">
        <v>389</v>
      </c>
      <c r="I33" s="162" t="s">
        <v>390</v>
      </c>
      <c r="J33" s="162" t="s">
        <v>335</v>
      </c>
      <c r="K33" s="622" t="s">
        <v>51</v>
      </c>
      <c r="L33" s="623"/>
      <c r="M33" s="129"/>
      <c r="N33" s="191"/>
      <c r="O33" s="201"/>
      <c r="P33" s="434"/>
      <c r="Q33" s="434"/>
      <c r="R33" s="201"/>
    </row>
    <row r="34" spans="1:18" ht="15.75" customHeight="1">
      <c r="A34" s="616">
        <f>J31</f>
        <v>9</v>
      </c>
      <c r="B34" s="619" t="str">
        <f>J32</f>
        <v>微波小吃</v>
      </c>
      <c r="C34" s="202">
        <v>1</v>
      </c>
      <c r="D34" s="601" t="s">
        <v>652</v>
      </c>
      <c r="E34" s="612"/>
      <c r="F34" s="602"/>
      <c r="G34" s="202">
        <v>13</v>
      </c>
      <c r="H34" s="204">
        <v>1079.6284586101483</v>
      </c>
      <c r="I34" s="205">
        <v>83.048342970011419</v>
      </c>
      <c r="J34" s="379">
        <f>I34-I8</f>
        <v>1.8960104635112884E-3</v>
      </c>
      <c r="K34" s="601"/>
      <c r="L34" s="602"/>
      <c r="O34" s="201"/>
      <c r="P34" s="434"/>
      <c r="Q34" s="434"/>
      <c r="R34" s="201"/>
    </row>
    <row r="35" spans="1:18" ht="15.75" customHeight="1">
      <c r="A35" s="617"/>
      <c r="B35" s="620"/>
      <c r="C35" s="202">
        <v>2</v>
      </c>
      <c r="D35" s="601"/>
      <c r="E35" s="612"/>
      <c r="F35" s="602"/>
      <c r="G35" s="202"/>
      <c r="H35" s="204"/>
      <c r="I35" s="205"/>
      <c r="J35" s="379"/>
      <c r="K35" s="601"/>
      <c r="L35" s="602"/>
      <c r="O35" s="201"/>
      <c r="P35" s="434"/>
      <c r="Q35" s="434"/>
      <c r="R35" s="201"/>
    </row>
    <row r="36" spans="1:18" ht="15.75" customHeight="1">
      <c r="A36" s="617"/>
      <c r="B36" s="620"/>
      <c r="C36" s="202">
        <v>3</v>
      </c>
      <c r="D36" s="601"/>
      <c r="E36" s="612"/>
      <c r="F36" s="602"/>
      <c r="G36" s="202"/>
      <c r="H36" s="204"/>
      <c r="I36" s="205"/>
      <c r="J36" s="202"/>
      <c r="K36" s="601"/>
      <c r="L36" s="602"/>
      <c r="O36" s="201"/>
      <c r="P36" s="434"/>
      <c r="Q36" s="434"/>
      <c r="R36" s="201"/>
    </row>
    <row r="37" spans="1:18" ht="15.75" customHeight="1">
      <c r="A37" s="617"/>
      <c r="B37" s="620"/>
      <c r="C37" s="202">
        <v>4</v>
      </c>
      <c r="D37" s="601"/>
      <c r="E37" s="612"/>
      <c r="F37" s="602"/>
      <c r="G37" s="204"/>
      <c r="H37" s="204"/>
      <c r="I37" s="205"/>
      <c r="J37" s="202"/>
      <c r="K37" s="601"/>
      <c r="L37" s="602"/>
      <c r="O37" s="201"/>
      <c r="P37" s="434"/>
      <c r="Q37" s="434"/>
      <c r="R37" s="201"/>
    </row>
    <row r="38" spans="1:18" ht="15.75" customHeight="1">
      <c r="A38" s="617"/>
      <c r="B38" s="620"/>
      <c r="C38" s="202">
        <v>5</v>
      </c>
      <c r="D38" s="601"/>
      <c r="E38" s="612"/>
      <c r="F38" s="602"/>
      <c r="G38" s="202"/>
      <c r="H38" s="204"/>
      <c r="I38" s="205"/>
      <c r="J38" s="202"/>
      <c r="K38" s="601"/>
      <c r="L38" s="602"/>
      <c r="O38" s="201"/>
      <c r="P38" s="434"/>
      <c r="Q38" s="434"/>
      <c r="R38" s="201"/>
    </row>
    <row r="39" spans="1:18" ht="15.75" customHeight="1">
      <c r="A39" s="617"/>
      <c r="B39" s="620"/>
      <c r="C39" s="206" t="s">
        <v>207</v>
      </c>
      <c r="D39" s="601"/>
      <c r="E39" s="612"/>
      <c r="F39" s="602"/>
      <c r="G39" s="202"/>
      <c r="H39" s="204"/>
      <c r="I39" s="205"/>
      <c r="J39" s="202"/>
      <c r="K39" s="601"/>
      <c r="L39" s="602"/>
      <c r="O39" s="201"/>
      <c r="P39" s="434"/>
      <c r="Q39" s="434"/>
      <c r="R39" s="201"/>
    </row>
    <row r="40" spans="1:18" ht="15.75" customHeight="1">
      <c r="A40" s="617"/>
      <c r="B40" s="620"/>
      <c r="C40" s="206" t="s">
        <v>212</v>
      </c>
      <c r="D40" s="601"/>
      <c r="E40" s="612"/>
      <c r="F40" s="602"/>
      <c r="G40" s="202"/>
      <c r="H40" s="204"/>
      <c r="I40" s="205"/>
      <c r="J40" s="202"/>
      <c r="K40" s="601"/>
      <c r="L40" s="602"/>
      <c r="N40" s="180"/>
      <c r="O40" s="180"/>
      <c r="P40" s="433"/>
      <c r="Q40" s="433"/>
      <c r="R40" s="180"/>
    </row>
    <row r="41" spans="1:18" ht="15.75" customHeight="1">
      <c r="A41" s="617"/>
      <c r="B41" s="620"/>
      <c r="C41" s="206" t="s">
        <v>208</v>
      </c>
      <c r="D41" s="601"/>
      <c r="E41" s="612"/>
      <c r="F41" s="602"/>
      <c r="G41" s="202"/>
      <c r="H41" s="204"/>
      <c r="I41" s="205"/>
      <c r="J41" s="202"/>
      <c r="K41" s="601"/>
      <c r="L41" s="602"/>
      <c r="O41" s="201"/>
      <c r="P41" s="434"/>
      <c r="Q41" s="434"/>
      <c r="R41" s="201"/>
    </row>
    <row r="42" spans="1:18" ht="15.75" customHeight="1">
      <c r="A42" s="617"/>
      <c r="B42" s="620"/>
      <c r="C42" s="206" t="s">
        <v>213</v>
      </c>
      <c r="D42" s="601"/>
      <c r="E42" s="612"/>
      <c r="F42" s="602"/>
      <c r="G42" s="202"/>
      <c r="H42" s="204"/>
      <c r="I42" s="205"/>
      <c r="J42" s="202"/>
      <c r="K42" s="601"/>
      <c r="L42" s="602"/>
      <c r="M42" s="99"/>
      <c r="O42" s="201"/>
      <c r="P42" s="434"/>
      <c r="Q42" s="434"/>
      <c r="R42" s="201"/>
    </row>
    <row r="43" spans="1:18" ht="15.75" customHeight="1">
      <c r="A43" s="618"/>
      <c r="B43" s="621"/>
      <c r="C43" s="206" t="s">
        <v>214</v>
      </c>
      <c r="D43" s="601"/>
      <c r="E43" s="612"/>
      <c r="F43" s="602"/>
      <c r="G43" s="202"/>
      <c r="H43" s="204"/>
      <c r="I43" s="205"/>
      <c r="J43" s="202"/>
      <c r="K43" s="601"/>
      <c r="L43" s="602"/>
      <c r="M43" s="99"/>
      <c r="O43" s="201"/>
      <c r="P43" s="434"/>
      <c r="Q43" s="434"/>
      <c r="R43" s="201"/>
    </row>
    <row r="44" spans="1:18" s="104" customFormat="1" ht="15.75" customHeight="1">
      <c r="A44" s="613" t="s">
        <v>190</v>
      </c>
      <c r="B44" s="614"/>
      <c r="C44" s="209" t="s">
        <v>47</v>
      </c>
      <c r="D44" s="613" t="s">
        <v>12</v>
      </c>
      <c r="E44" s="615"/>
      <c r="F44" s="614"/>
      <c r="G44" s="209" t="s">
        <v>46</v>
      </c>
      <c r="H44" s="209" t="s">
        <v>389</v>
      </c>
      <c r="I44" s="209" t="s">
        <v>390</v>
      </c>
      <c r="J44" s="162" t="s">
        <v>335</v>
      </c>
      <c r="K44" s="613" t="s">
        <v>51</v>
      </c>
      <c r="L44" s="614"/>
      <c r="M44" s="130"/>
      <c r="N44" s="191"/>
      <c r="O44" s="201"/>
      <c r="P44" s="434"/>
      <c r="Q44" s="434"/>
      <c r="R44" s="201"/>
    </row>
    <row r="45" spans="1:18" ht="15.75" customHeight="1">
      <c r="A45" s="616"/>
      <c r="B45" s="619"/>
      <c r="C45" s="202">
        <v>1</v>
      </c>
      <c r="D45" s="601"/>
      <c r="E45" s="612"/>
      <c r="F45" s="602"/>
      <c r="G45" s="202"/>
      <c r="H45" s="204"/>
      <c r="I45" s="205"/>
      <c r="J45" s="202"/>
      <c r="K45" s="601"/>
      <c r="L45" s="602"/>
      <c r="M45" s="99"/>
      <c r="N45" s="201"/>
      <c r="O45" s="201"/>
      <c r="P45" s="434"/>
      <c r="Q45" s="434"/>
      <c r="R45" s="201"/>
    </row>
    <row r="46" spans="1:18" ht="15.75" customHeight="1">
      <c r="A46" s="617"/>
      <c r="B46" s="620"/>
      <c r="C46" s="202">
        <v>2</v>
      </c>
      <c r="D46" s="601"/>
      <c r="E46" s="612"/>
      <c r="F46" s="602"/>
      <c r="G46" s="202"/>
      <c r="H46" s="204"/>
      <c r="I46" s="205"/>
      <c r="J46" s="202"/>
      <c r="K46" s="601"/>
      <c r="L46" s="602"/>
      <c r="M46" s="99"/>
      <c r="O46" s="201"/>
      <c r="P46" s="434"/>
      <c r="Q46" s="434"/>
      <c r="R46" s="201"/>
    </row>
    <row r="47" spans="1:18" ht="15.75" customHeight="1">
      <c r="A47" s="617"/>
      <c r="B47" s="620"/>
      <c r="C47" s="202">
        <v>3</v>
      </c>
      <c r="D47" s="601"/>
      <c r="E47" s="612"/>
      <c r="F47" s="602"/>
      <c r="G47" s="202"/>
      <c r="H47" s="204"/>
      <c r="I47" s="205"/>
      <c r="J47" s="202"/>
      <c r="K47" s="601"/>
      <c r="L47" s="602"/>
      <c r="M47" s="99"/>
      <c r="O47" s="201"/>
      <c r="P47" s="434"/>
      <c r="Q47" s="434"/>
      <c r="R47" s="201"/>
    </row>
    <row r="48" spans="1:18" ht="15.75" customHeight="1">
      <c r="A48" s="617"/>
      <c r="B48" s="620"/>
      <c r="C48" s="202">
        <v>4</v>
      </c>
      <c r="D48" s="601"/>
      <c r="E48" s="612"/>
      <c r="F48" s="602"/>
      <c r="G48" s="202"/>
      <c r="H48" s="204"/>
      <c r="I48" s="205"/>
      <c r="J48" s="202"/>
      <c r="K48" s="601"/>
      <c r="L48" s="602"/>
      <c r="M48" s="99"/>
      <c r="O48" s="201"/>
      <c r="P48" s="434"/>
      <c r="Q48" s="434"/>
      <c r="R48" s="201"/>
    </row>
    <row r="49" spans="1:18" ht="15.75" customHeight="1">
      <c r="A49" s="617"/>
      <c r="B49" s="620"/>
      <c r="C49" s="202">
        <v>5</v>
      </c>
      <c r="D49" s="601"/>
      <c r="E49" s="612"/>
      <c r="F49" s="602"/>
      <c r="G49" s="202"/>
      <c r="H49" s="204"/>
      <c r="I49" s="205"/>
      <c r="J49" s="202"/>
      <c r="K49" s="601"/>
      <c r="L49" s="602"/>
      <c r="M49" s="99"/>
      <c r="O49" s="201"/>
      <c r="P49" s="434"/>
      <c r="Q49" s="434"/>
      <c r="R49" s="201"/>
    </row>
    <row r="50" spans="1:18" ht="15.75" customHeight="1">
      <c r="A50" s="617"/>
      <c r="B50" s="620"/>
      <c r="C50" s="206" t="s">
        <v>207</v>
      </c>
      <c r="D50" s="601"/>
      <c r="E50" s="612"/>
      <c r="F50" s="602"/>
      <c r="G50" s="202"/>
      <c r="H50" s="204"/>
      <c r="I50" s="205"/>
      <c r="J50" s="202"/>
      <c r="K50" s="601"/>
      <c r="L50" s="602"/>
      <c r="M50" s="99"/>
      <c r="O50" s="201"/>
      <c r="P50" s="434"/>
      <c r="Q50" s="434"/>
      <c r="R50" s="201"/>
    </row>
    <row r="51" spans="1:18" ht="15.75" customHeight="1">
      <c r="A51" s="617"/>
      <c r="B51" s="620"/>
      <c r="C51" s="206" t="s">
        <v>212</v>
      </c>
      <c r="D51" s="601"/>
      <c r="E51" s="612"/>
      <c r="F51" s="602"/>
      <c r="G51" s="202"/>
      <c r="H51" s="204"/>
      <c r="I51" s="205"/>
      <c r="J51" s="202"/>
      <c r="K51" s="601"/>
      <c r="L51" s="602"/>
      <c r="M51" s="99"/>
      <c r="O51" s="201"/>
      <c r="P51" s="434"/>
      <c r="Q51" s="434"/>
      <c r="R51" s="201"/>
    </row>
    <row r="52" spans="1:18" ht="15.75" customHeight="1">
      <c r="A52" s="617"/>
      <c r="B52" s="620"/>
      <c r="C52" s="206" t="s">
        <v>208</v>
      </c>
      <c r="D52" s="601"/>
      <c r="E52" s="612"/>
      <c r="F52" s="602"/>
      <c r="G52" s="202"/>
      <c r="H52" s="204"/>
      <c r="I52" s="205"/>
      <c r="J52" s="202"/>
      <c r="K52" s="601"/>
      <c r="L52" s="602"/>
      <c r="M52" s="99"/>
      <c r="O52" s="201"/>
      <c r="P52" s="434"/>
      <c r="Q52" s="434"/>
      <c r="R52" s="201"/>
    </row>
    <row r="53" spans="1:18" ht="15.75" customHeight="1">
      <c r="A53" s="617"/>
      <c r="B53" s="620"/>
      <c r="C53" s="206" t="s">
        <v>213</v>
      </c>
      <c r="D53" s="601"/>
      <c r="E53" s="612"/>
      <c r="F53" s="602"/>
      <c r="G53" s="202"/>
      <c r="H53" s="204"/>
      <c r="I53" s="205"/>
      <c r="J53" s="202"/>
      <c r="K53" s="601"/>
      <c r="L53" s="602"/>
      <c r="M53" s="99"/>
      <c r="O53" s="201"/>
      <c r="P53" s="434"/>
      <c r="Q53" s="434"/>
      <c r="R53" s="201"/>
    </row>
    <row r="54" spans="1:18" ht="15.75" customHeight="1">
      <c r="A54" s="618"/>
      <c r="B54" s="621"/>
      <c r="C54" s="206" t="s">
        <v>214</v>
      </c>
      <c r="D54" s="601"/>
      <c r="E54" s="612"/>
      <c r="F54" s="602"/>
      <c r="G54" s="202"/>
      <c r="H54" s="204"/>
      <c r="I54" s="205"/>
      <c r="J54" s="202"/>
      <c r="K54" s="601"/>
      <c r="L54" s="602"/>
      <c r="M54" s="99"/>
      <c r="O54" s="201"/>
      <c r="P54" s="434"/>
      <c r="Q54" s="434"/>
      <c r="R54" s="201"/>
    </row>
  </sheetData>
  <mergeCells count="105">
    <mergeCell ref="D27:F27"/>
    <mergeCell ref="K27:L27"/>
    <mergeCell ref="D28:F28"/>
    <mergeCell ref="K28:L28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40:L40"/>
    <mergeCell ref="D41:F41"/>
    <mergeCell ref="K41:L41"/>
    <mergeCell ref="D42:F42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" manualBreakCount="1">
    <brk id="28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K16" sqref="K16"/>
    </sheetView>
  </sheetViews>
  <sheetFormatPr defaultColWidth="12.54296875" defaultRowHeight="15.75" customHeight="1"/>
  <cols>
    <col min="1" max="1" width="18" style="138" bestFit="1" customWidth="1"/>
    <col min="2" max="2" width="14.81640625" style="138" customWidth="1"/>
    <col min="3" max="3" width="12.81640625" style="138" customWidth="1"/>
    <col min="4" max="4" width="2.54296875" style="138" customWidth="1"/>
    <col min="5" max="5" width="7.54296875" style="138" customWidth="1"/>
    <col min="6" max="6" width="12.81640625" style="138" customWidth="1"/>
    <col min="7" max="7" width="9.453125" style="138" customWidth="1"/>
    <col min="8" max="8" width="12.81640625" style="138" customWidth="1"/>
    <col min="9" max="9" width="9.453125" style="138" customWidth="1"/>
    <col min="10" max="10" width="12.81640625" style="138" customWidth="1"/>
    <col min="11" max="11" width="9.453125" style="138" customWidth="1"/>
    <col min="12" max="12" width="12.81640625" style="138" customWidth="1"/>
    <col min="13" max="13" width="9.453125" style="138" customWidth="1"/>
    <col min="14" max="16384" width="12.54296875" style="138"/>
  </cols>
  <sheetData>
    <row r="1" spans="1:13" ht="15.75" customHeight="1">
      <c r="A1" s="626" t="s">
        <v>376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</row>
    <row r="2" spans="1:13" s="139" customFormat="1" ht="15.75" customHeight="1">
      <c r="A2" s="626"/>
      <c r="B2" s="626"/>
      <c r="C2" s="626"/>
      <c r="D2" s="626"/>
      <c r="E2" s="626"/>
      <c r="F2" s="626"/>
      <c r="G2" s="626"/>
      <c r="H2" s="626"/>
      <c r="I2" s="626"/>
      <c r="J2" s="626"/>
      <c r="K2" s="626"/>
      <c r="L2" s="626"/>
      <c r="M2" s="626"/>
    </row>
    <row r="3" spans="1:13" ht="15.75" customHeight="1">
      <c r="A3" s="627" t="s">
        <v>241</v>
      </c>
      <c r="B3" s="627"/>
      <c r="C3" s="627"/>
      <c r="D3" s="627"/>
      <c r="E3" s="627"/>
      <c r="F3" s="627"/>
      <c r="G3" s="627"/>
      <c r="H3" s="627"/>
      <c r="I3" s="627"/>
      <c r="J3" s="627"/>
      <c r="K3" s="627"/>
      <c r="L3" s="627"/>
      <c r="M3" s="627"/>
    </row>
    <row r="4" spans="1:13" s="139" customFormat="1" ht="15.75" customHeight="1">
      <c r="A4" s="627"/>
      <c r="B4" s="627"/>
      <c r="C4" s="627"/>
      <c r="D4" s="627"/>
      <c r="E4" s="627"/>
      <c r="F4" s="627"/>
      <c r="G4" s="627"/>
      <c r="H4" s="627"/>
      <c r="I4" s="627"/>
      <c r="J4" s="627"/>
      <c r="K4" s="627"/>
      <c r="L4" s="627"/>
      <c r="M4" s="627"/>
    </row>
    <row r="5" spans="1:13" ht="15.75" customHeight="1">
      <c r="A5" s="229" t="s">
        <v>451</v>
      </c>
      <c r="B5" s="140" t="e">
        <f>'生產管理報表(月)'!B6</f>
        <v>#REF!</v>
      </c>
    </row>
    <row r="6" spans="1:13" ht="15.75" customHeight="1">
      <c r="A6" s="628" t="s">
        <v>242</v>
      </c>
      <c r="B6" s="629" t="s">
        <v>10</v>
      </c>
      <c r="C6" s="629"/>
      <c r="D6" s="630"/>
      <c r="E6" s="628" t="s">
        <v>200</v>
      </c>
      <c r="F6" s="632">
        <v>1</v>
      </c>
      <c r="G6" s="632"/>
      <c r="H6" s="632">
        <v>2</v>
      </c>
      <c r="I6" s="632"/>
      <c r="J6" s="632">
        <v>3</v>
      </c>
      <c r="K6" s="632"/>
      <c r="L6" s="632">
        <v>4</v>
      </c>
      <c r="M6" s="632"/>
    </row>
    <row r="7" spans="1:13" ht="31.4" customHeight="1">
      <c r="A7" s="628"/>
      <c r="B7" s="629"/>
      <c r="C7" s="629"/>
      <c r="D7" s="631"/>
      <c r="E7" s="628"/>
      <c r="F7" s="634" t="s">
        <v>501</v>
      </c>
      <c r="G7" s="634"/>
      <c r="H7" s="634" t="s">
        <v>243</v>
      </c>
      <c r="I7" s="634"/>
      <c r="J7" s="634" t="s">
        <v>168</v>
      </c>
      <c r="K7" s="634"/>
      <c r="L7" s="634" t="s">
        <v>467</v>
      </c>
      <c r="M7" s="634"/>
    </row>
    <row r="8" spans="1:13" ht="15.75" customHeight="1">
      <c r="A8" s="628"/>
      <c r="B8" s="157" t="s">
        <v>11</v>
      </c>
      <c r="C8" s="157" t="s">
        <v>244</v>
      </c>
      <c r="D8" s="631"/>
      <c r="E8" s="628"/>
      <c r="F8" s="157" t="s">
        <v>11</v>
      </c>
      <c r="G8" s="157" t="s">
        <v>41</v>
      </c>
      <c r="H8" s="157" t="s">
        <v>11</v>
      </c>
      <c r="I8" s="157" t="s">
        <v>41</v>
      </c>
      <c r="J8" s="157" t="s">
        <v>11</v>
      </c>
      <c r="K8" s="157" t="s">
        <v>41</v>
      </c>
      <c r="L8" s="157" t="s">
        <v>11</v>
      </c>
      <c r="M8" s="157" t="s">
        <v>41</v>
      </c>
    </row>
    <row r="9" spans="1:13" ht="19.399999999999999" customHeight="1">
      <c r="A9" s="141" t="s">
        <v>245</v>
      </c>
      <c r="B9" s="142">
        <f>日別報廢率總表!W3</f>
        <v>91732.971639999974</v>
      </c>
      <c r="C9" s="143" t="e">
        <f>B9/($B$5*1000)</f>
        <v>#REF!</v>
      </c>
      <c r="D9" s="631"/>
      <c r="E9" s="141" t="s">
        <v>245</v>
      </c>
      <c r="F9" s="144">
        <f>'報廢20大－原因別分析'!AB119</f>
        <v>0</v>
      </c>
      <c r="G9" s="385">
        <f>'報廢20大－原因別分析'!AB120</f>
        <v>0</v>
      </c>
      <c r="H9" s="144">
        <f>'報廢20大－原因別分析'!AC119</f>
        <v>0</v>
      </c>
      <c r="I9" s="385">
        <f>'報廢20大－原因別分析'!AC120</f>
        <v>0</v>
      </c>
      <c r="J9" s="144">
        <f>'報廢20大－原因別分析'!AD119</f>
        <v>0</v>
      </c>
      <c r="K9" s="385">
        <f>'報廢20大－原因別分析'!AD120</f>
        <v>0</v>
      </c>
      <c r="L9" s="144">
        <f>'報廢20大－原因別分析'!AE119</f>
        <v>0</v>
      </c>
      <c r="M9" s="385">
        <f>'報廢20大－原因別分析'!AE120</f>
        <v>0</v>
      </c>
    </row>
    <row r="10" spans="1:13" ht="19.399999999999999" customHeight="1">
      <c r="A10" s="146" t="s">
        <v>246</v>
      </c>
      <c r="B10" s="147">
        <f>日別報廢率總表!Z3</f>
        <v>226815.14685999989</v>
      </c>
      <c r="C10" s="143" t="e">
        <f>B10/($B$5*1000)</f>
        <v>#REF!</v>
      </c>
      <c r="D10" s="631"/>
      <c r="E10" s="146" t="s">
        <v>246</v>
      </c>
      <c r="F10" s="144" t="e">
        <f>'超用20大－原因別分析'!#REF!</f>
        <v>#REF!</v>
      </c>
      <c r="G10" s="385" t="e">
        <f>'超用20大－原因別分析'!#REF!</f>
        <v>#REF!</v>
      </c>
      <c r="H10" s="144" t="e">
        <f>'超用20大－原因別分析'!#REF!</f>
        <v>#REF!</v>
      </c>
      <c r="I10" s="385" t="e">
        <f>'超用20大－原因別分析'!#REF!</f>
        <v>#REF!</v>
      </c>
      <c r="J10" s="144" t="e">
        <f>'超用20大－原因別分析'!#REF!</f>
        <v>#REF!</v>
      </c>
      <c r="K10" s="385" t="e">
        <f>'超用20大－原因別分析'!#REF!</f>
        <v>#REF!</v>
      </c>
      <c r="L10" s="144" t="e">
        <f>'超用20大－原因別分析'!#REF!</f>
        <v>#REF!</v>
      </c>
      <c r="M10" s="385" t="e">
        <f>'超用20大－原因別分析'!#REF!</f>
        <v>#REF!</v>
      </c>
    </row>
    <row r="11" spans="1:13" ht="15.75" customHeight="1">
      <c r="D11" s="631"/>
      <c r="E11" s="628" t="s">
        <v>200</v>
      </c>
      <c r="F11" s="632">
        <v>5</v>
      </c>
      <c r="G11" s="632"/>
      <c r="H11" s="632">
        <v>6</v>
      </c>
      <c r="I11" s="632"/>
      <c r="J11" s="632">
        <v>7</v>
      </c>
      <c r="K11" s="632"/>
      <c r="L11" s="633">
        <v>8</v>
      </c>
      <c r="M11" s="633"/>
    </row>
    <row r="12" spans="1:13" ht="31.4" customHeight="1">
      <c r="D12" s="631"/>
      <c r="E12" s="628"/>
      <c r="F12" s="634" t="s">
        <v>191</v>
      </c>
      <c r="G12" s="634"/>
      <c r="H12" s="634" t="s">
        <v>169</v>
      </c>
      <c r="I12" s="634"/>
      <c r="J12" s="634" t="s">
        <v>192</v>
      </c>
      <c r="K12" s="634"/>
      <c r="L12" s="635"/>
      <c r="M12" s="635"/>
    </row>
    <row r="13" spans="1:13" ht="15.75" customHeight="1">
      <c r="D13" s="631"/>
      <c r="E13" s="628"/>
      <c r="F13" s="157" t="s">
        <v>11</v>
      </c>
      <c r="G13" s="157" t="s">
        <v>41</v>
      </c>
      <c r="H13" s="157" t="s">
        <v>11</v>
      </c>
      <c r="I13" s="157" t="s">
        <v>41</v>
      </c>
      <c r="J13" s="157" t="s">
        <v>11</v>
      </c>
      <c r="K13" s="157" t="s">
        <v>41</v>
      </c>
      <c r="L13" s="157"/>
      <c r="M13" s="157"/>
    </row>
    <row r="14" spans="1:13" ht="19.399999999999999" customHeight="1">
      <c r="D14" s="631"/>
      <c r="E14" s="141" t="s">
        <v>245</v>
      </c>
      <c r="F14" s="144">
        <f>'報廢20大－原因別分析'!AF119</f>
        <v>0</v>
      </c>
      <c r="G14" s="385">
        <f>'報廢20大－原因別分析'!AF120</f>
        <v>0</v>
      </c>
      <c r="H14" s="144">
        <f>'報廢20大－原因別分析'!AG119</f>
        <v>0</v>
      </c>
      <c r="I14" s="385">
        <f>'報廢20大－原因別分析'!AG120</f>
        <v>0</v>
      </c>
      <c r="J14" s="144">
        <f>'報廢20大－原因別分析'!AH119</f>
        <v>0</v>
      </c>
      <c r="K14" s="385">
        <f>'報廢20大－原因別分析'!AH120</f>
        <v>0</v>
      </c>
      <c r="L14" s="144"/>
      <c r="M14" s="145"/>
    </row>
    <row r="15" spans="1:13" ht="19.399999999999999" customHeight="1">
      <c r="D15" s="631"/>
      <c r="E15" s="146" t="s">
        <v>246</v>
      </c>
      <c r="F15" s="144" t="e">
        <f>'超用20大－原因別分析'!#REF!</f>
        <v>#REF!</v>
      </c>
      <c r="G15" s="385" t="e">
        <f>'超用20大－原因別分析'!#REF!</f>
        <v>#REF!</v>
      </c>
      <c r="H15" s="144" t="e">
        <f>'超用20大－原因別分析'!#REF!</f>
        <v>#REF!</v>
      </c>
      <c r="I15" s="385" t="e">
        <f>'超用20大－原因別分析'!#REF!</f>
        <v>#REF!</v>
      </c>
      <c r="J15" s="144" t="e">
        <f>'超用20大－原因別分析'!#REF!</f>
        <v>#REF!</v>
      </c>
      <c r="K15" s="385" t="e">
        <f>'超用20大－原因別分析'!#REF!</f>
        <v>#REF!</v>
      </c>
      <c r="L15" s="144"/>
      <c r="M15" s="145"/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BV30"/>
  <sheetViews>
    <sheetView view="pageBreakPreview" topLeftCell="A4" zoomScaleNormal="60" zoomScaleSheetLayoutView="100" workbookViewId="0">
      <selection activeCell="K16" sqref="K16"/>
    </sheetView>
  </sheetViews>
  <sheetFormatPr defaultColWidth="12.54296875" defaultRowHeight="15.75" customHeight="1"/>
  <cols>
    <col min="1" max="1" width="5.453125" style="138" customWidth="1"/>
    <col min="2" max="2" width="11.453125" style="242" customWidth="1"/>
    <col min="3" max="3" width="4" style="243" customWidth="1"/>
    <col min="4" max="15" width="9.54296875" style="138" customWidth="1"/>
    <col min="16" max="16" width="55.453125" style="138" customWidth="1"/>
    <col min="17" max="20" width="12.54296875" style="241"/>
    <col min="21" max="21" width="24.453125" style="138" bestFit="1" customWidth="1"/>
    <col min="22" max="22" width="19.453125" style="138" bestFit="1" customWidth="1"/>
    <col min="23" max="23" width="23" style="138" bestFit="1" customWidth="1"/>
    <col min="24" max="24" width="11.7265625" style="138" bestFit="1" customWidth="1"/>
    <col min="25" max="25" width="15.81640625" style="138" bestFit="1" customWidth="1"/>
    <col min="26" max="26" width="23.54296875" style="138" bestFit="1" customWidth="1"/>
    <col min="27" max="27" width="23" style="138" bestFit="1" customWidth="1"/>
    <col min="28" max="28" width="11.7265625" style="138" bestFit="1" customWidth="1"/>
    <col min="29" max="29" width="20.54296875" style="138" bestFit="1" customWidth="1"/>
    <col min="30" max="30" width="15" style="138" bestFit="1" customWidth="1"/>
    <col min="31" max="31" width="23" style="138" bestFit="1" customWidth="1"/>
    <col min="32" max="32" width="11.7265625" style="138" bestFit="1" customWidth="1"/>
    <col min="33" max="33" width="15.81640625" style="138" bestFit="1" customWidth="1"/>
    <col min="34" max="34" width="15" style="138" bestFit="1" customWidth="1"/>
    <col min="35" max="35" width="23" style="138" bestFit="1" customWidth="1"/>
    <col min="36" max="36" width="15" style="138" bestFit="1" customWidth="1"/>
    <col min="37" max="37" width="23" style="138" bestFit="1" customWidth="1"/>
    <col min="38" max="38" width="11.7265625" style="138" bestFit="1" customWidth="1"/>
    <col min="39" max="39" width="13.81640625" style="138" bestFit="1" customWidth="1"/>
    <col min="40" max="40" width="27.81640625" style="138" bestFit="1" customWidth="1"/>
    <col min="41" max="41" width="23" style="138" bestFit="1" customWidth="1"/>
    <col min="42" max="42" width="8" style="138" bestFit="1" customWidth="1"/>
    <col min="43" max="43" width="30.7265625" style="138" bestFit="1" customWidth="1"/>
    <col min="44" max="44" width="25.7265625" style="138" bestFit="1" customWidth="1"/>
    <col min="45" max="45" width="23" style="138" bestFit="1" customWidth="1"/>
    <col min="46" max="46" width="15" style="138" bestFit="1" customWidth="1"/>
    <col min="47" max="47" width="23" style="138" bestFit="1" customWidth="1"/>
    <col min="48" max="48" width="11.7265625" style="138" bestFit="1" customWidth="1"/>
    <col min="49" max="49" width="20.1796875" style="138" bestFit="1" customWidth="1"/>
    <col min="50" max="50" width="23.54296875" style="138" bestFit="1" customWidth="1"/>
    <col min="51" max="51" width="23" style="138" bestFit="1" customWidth="1"/>
    <col min="52" max="52" width="11.7265625" style="138" bestFit="1" customWidth="1"/>
    <col min="53" max="53" width="21.453125" style="138" bestFit="1" customWidth="1"/>
    <col min="54" max="54" width="15" style="138" bestFit="1" customWidth="1"/>
    <col min="55" max="55" width="23" style="138" bestFit="1" customWidth="1"/>
    <col min="56" max="56" width="11.7265625" style="138" bestFit="1" customWidth="1"/>
    <col min="57" max="57" width="13.81640625" style="138" bestFit="1" customWidth="1"/>
    <col min="58" max="58" width="22" style="138" bestFit="1" customWidth="1"/>
    <col min="59" max="59" width="23" style="138" bestFit="1" customWidth="1"/>
    <col min="60" max="60" width="15" style="138" bestFit="1" customWidth="1"/>
    <col min="61" max="61" width="23" style="138" bestFit="1" customWidth="1"/>
    <col min="62" max="62" width="11.7265625" style="138" bestFit="1" customWidth="1"/>
    <col min="63" max="63" width="24.7265625" style="138" bestFit="1" customWidth="1"/>
    <col min="64" max="64" width="18.7265625" style="138" bestFit="1" customWidth="1"/>
    <col min="65" max="65" width="23" style="138" bestFit="1" customWidth="1"/>
    <col min="66" max="66" width="15" style="138" bestFit="1" customWidth="1"/>
    <col min="67" max="67" width="23" style="138" bestFit="1" customWidth="1"/>
    <col min="68" max="68" width="15" style="138" bestFit="1" customWidth="1"/>
    <col min="69" max="69" width="23" style="138" bestFit="1" customWidth="1"/>
    <col min="70" max="70" width="15" style="138" bestFit="1" customWidth="1"/>
    <col min="71" max="71" width="21.81640625" style="138" bestFit="1" customWidth="1"/>
    <col min="72" max="72" width="10.54296875" style="138" bestFit="1" customWidth="1"/>
    <col min="73" max="73" width="21.453125" style="138" bestFit="1" customWidth="1"/>
    <col min="74" max="74" width="5.453125" style="138" bestFit="1" customWidth="1"/>
    <col min="75" max="16384" width="12.54296875" style="138"/>
  </cols>
  <sheetData>
    <row r="1" spans="1:74" ht="15.75" customHeight="1">
      <c r="A1" s="626" t="s">
        <v>376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  <c r="N1" s="626"/>
      <c r="O1" s="626"/>
      <c r="P1" s="626"/>
    </row>
    <row r="2" spans="1:74" s="139" customFormat="1" ht="15.75" customHeight="1">
      <c r="A2" s="626"/>
      <c r="B2" s="626"/>
      <c r="C2" s="626"/>
      <c r="D2" s="626"/>
      <c r="E2" s="626"/>
      <c r="F2" s="626"/>
      <c r="G2" s="626"/>
      <c r="H2" s="626"/>
      <c r="I2" s="626"/>
      <c r="J2" s="626"/>
      <c r="K2" s="626"/>
      <c r="L2" s="626"/>
      <c r="M2" s="626"/>
      <c r="N2" s="626"/>
      <c r="O2" s="626"/>
      <c r="P2" s="626"/>
    </row>
    <row r="3" spans="1:74" ht="15.75" customHeight="1">
      <c r="A3" s="627" t="s">
        <v>468</v>
      </c>
      <c r="B3" s="656"/>
      <c r="C3" s="656"/>
      <c r="D3" s="656"/>
      <c r="E3" s="656"/>
      <c r="F3" s="656"/>
      <c r="G3" s="656"/>
      <c r="H3" s="656"/>
      <c r="I3" s="656"/>
      <c r="J3" s="656"/>
      <c r="K3" s="656"/>
      <c r="L3" s="656"/>
      <c r="M3" s="656"/>
    </row>
    <row r="4" spans="1:74" s="139" customFormat="1" ht="15.75" customHeight="1">
      <c r="A4" s="656"/>
      <c r="B4" s="656"/>
      <c r="C4" s="656"/>
      <c r="D4" s="656"/>
      <c r="E4" s="656"/>
      <c r="F4" s="656"/>
      <c r="G4" s="656"/>
      <c r="H4" s="656"/>
      <c r="I4" s="656"/>
      <c r="J4" s="656"/>
      <c r="K4" s="656"/>
      <c r="L4" s="656"/>
      <c r="M4" s="656"/>
    </row>
    <row r="5" spans="1:74" ht="15.75" customHeight="1">
      <c r="A5" s="629" t="s">
        <v>193</v>
      </c>
      <c r="B5" s="657">
        <v>1</v>
      </c>
      <c r="C5" s="657"/>
      <c r="D5" s="657">
        <v>2</v>
      </c>
      <c r="E5" s="657"/>
      <c r="F5" s="657">
        <v>3</v>
      </c>
      <c r="G5" s="657"/>
      <c r="H5" s="632">
        <v>4</v>
      </c>
      <c r="I5" s="632"/>
      <c r="J5" s="632">
        <v>5</v>
      </c>
      <c r="K5" s="632"/>
      <c r="L5" s="632">
        <v>6</v>
      </c>
      <c r="M5" s="632"/>
      <c r="N5" s="632">
        <v>7</v>
      </c>
      <c r="O5" s="632"/>
      <c r="P5" s="381">
        <v>8</v>
      </c>
    </row>
    <row r="6" spans="1:74" ht="15.75" customHeight="1">
      <c r="A6" s="629"/>
      <c r="B6" s="658" t="s">
        <v>501</v>
      </c>
      <c r="C6" s="658"/>
      <c r="D6" s="658" t="s">
        <v>215</v>
      </c>
      <c r="E6" s="658"/>
      <c r="F6" s="658" t="s">
        <v>168</v>
      </c>
      <c r="G6" s="658"/>
      <c r="H6" s="629" t="s">
        <v>466</v>
      </c>
      <c r="I6" s="629"/>
      <c r="J6" s="629" t="s">
        <v>191</v>
      </c>
      <c r="K6" s="629"/>
      <c r="L6" s="629" t="s">
        <v>169</v>
      </c>
      <c r="M6" s="629"/>
      <c r="N6" s="629" t="s">
        <v>192</v>
      </c>
      <c r="O6" s="629"/>
      <c r="P6" s="382" t="s">
        <v>220</v>
      </c>
    </row>
    <row r="8" spans="1:74" s="245" customFormat="1" ht="15.75" customHeight="1">
      <c r="A8" s="632" t="s">
        <v>193</v>
      </c>
      <c r="B8" s="632"/>
      <c r="C8" s="244" t="s">
        <v>47</v>
      </c>
      <c r="D8" s="650" t="s">
        <v>12</v>
      </c>
      <c r="E8" s="650"/>
      <c r="F8" s="650"/>
      <c r="G8" s="644" t="s">
        <v>53</v>
      </c>
      <c r="H8" s="645"/>
      <c r="I8" s="646"/>
      <c r="J8" s="244" t="s">
        <v>54</v>
      </c>
      <c r="K8" s="244" t="s">
        <v>55</v>
      </c>
      <c r="L8" s="244" t="s">
        <v>56</v>
      </c>
      <c r="M8" s="244" t="s">
        <v>11</v>
      </c>
      <c r="N8" s="244" t="s">
        <v>336</v>
      </c>
      <c r="O8" s="636" t="s">
        <v>51</v>
      </c>
      <c r="P8" s="636"/>
    </row>
    <row r="9" spans="1:74" ht="50.15" customHeight="1">
      <c r="A9" s="632">
        <v>1</v>
      </c>
      <c r="B9" s="647" t="s">
        <v>502</v>
      </c>
      <c r="C9" s="246">
        <v>1</v>
      </c>
      <c r="D9" s="247" t="s">
        <v>347</v>
      </c>
      <c r="E9" s="248"/>
      <c r="F9" s="249"/>
      <c r="G9" s="316" t="s">
        <v>339</v>
      </c>
      <c r="H9" s="315"/>
      <c r="I9" s="316"/>
      <c r="J9" s="246">
        <v>141.66999999999999</v>
      </c>
      <c r="K9" s="252">
        <v>1.4184772048035109E-2</v>
      </c>
      <c r="L9" s="246">
        <v>36.120000000000005</v>
      </c>
      <c r="M9" s="336">
        <f>L9*J9</f>
        <v>5117.1203999999998</v>
      </c>
      <c r="N9" s="253"/>
      <c r="O9" s="651"/>
      <c r="P9" s="651"/>
    </row>
    <row r="10" spans="1:74" ht="40" customHeight="1">
      <c r="A10" s="632"/>
      <c r="B10" s="647"/>
      <c r="C10" s="246">
        <v>2</v>
      </c>
      <c r="D10" s="247" t="s">
        <v>361</v>
      </c>
      <c r="E10" s="248"/>
      <c r="F10" s="249"/>
      <c r="G10" s="373" t="s">
        <v>368</v>
      </c>
      <c r="H10" s="315"/>
      <c r="I10" s="316"/>
      <c r="J10" s="246">
        <v>183.65000000000003</v>
      </c>
      <c r="K10" s="252">
        <v>1.8953405126374348E-2</v>
      </c>
      <c r="L10" s="246">
        <v>13.169999999999998</v>
      </c>
      <c r="M10" s="336">
        <f t="shared" ref="M10:M13" si="0">L10*J10</f>
        <v>2418.6705000000002</v>
      </c>
      <c r="N10" s="253"/>
      <c r="O10" s="651"/>
      <c r="P10" s="651"/>
      <c r="U10" s="241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1"/>
      <c r="AU10" s="241"/>
      <c r="AV10" s="241"/>
      <c r="AW10" s="241"/>
      <c r="AX10" s="241"/>
      <c r="AY10" s="241"/>
      <c r="AZ10" s="241"/>
      <c r="BA10" s="241"/>
      <c r="BB10" s="241"/>
      <c r="BC10" s="241"/>
      <c r="BD10" s="241"/>
      <c r="BE10" s="241"/>
      <c r="BF10" s="241"/>
      <c r="BG10" s="241"/>
      <c r="BH10" s="241"/>
      <c r="BI10" s="241"/>
      <c r="BJ10" s="241"/>
      <c r="BK10" s="241"/>
      <c r="BL10" s="241"/>
      <c r="BM10" s="241"/>
      <c r="BN10" s="241"/>
      <c r="BO10" s="241"/>
      <c r="BP10" s="241"/>
      <c r="BQ10" s="241"/>
      <c r="BR10" s="241"/>
      <c r="BS10" s="241"/>
      <c r="BT10" s="241"/>
      <c r="BU10" s="241"/>
      <c r="BV10" s="241"/>
    </row>
    <row r="11" spans="1:74" ht="40" customHeight="1">
      <c r="A11" s="632"/>
      <c r="B11" s="647"/>
      <c r="C11" s="246">
        <v>3</v>
      </c>
      <c r="D11" s="247" t="s">
        <v>361</v>
      </c>
      <c r="E11" s="248"/>
      <c r="F11" s="249"/>
      <c r="G11" s="316" t="s">
        <v>369</v>
      </c>
      <c r="H11" s="315"/>
      <c r="I11" s="316"/>
      <c r="J11" s="246">
        <v>253.92000000000002</v>
      </c>
      <c r="K11" s="252">
        <v>1.7876618797132041E-2</v>
      </c>
      <c r="L11" s="246">
        <v>19.110000000000003</v>
      </c>
      <c r="M11" s="336">
        <f t="shared" si="0"/>
        <v>4852.4112000000014</v>
      </c>
      <c r="N11" s="253"/>
      <c r="O11" s="652"/>
      <c r="P11" s="652"/>
      <c r="U11" s="241"/>
      <c r="V11" s="241"/>
      <c r="W11" s="241"/>
      <c r="X11" s="241"/>
      <c r="Y11" s="241"/>
      <c r="Z11" s="241"/>
      <c r="AA11" s="241"/>
      <c r="AB11" s="241"/>
      <c r="AC11" s="241"/>
      <c r="AD11" s="241"/>
      <c r="AE11" s="241"/>
      <c r="AF11" s="241"/>
      <c r="AG11" s="241"/>
      <c r="AH11" s="241"/>
      <c r="AI11" s="241"/>
      <c r="AJ11" s="241"/>
      <c r="AK11" s="241"/>
      <c r="AL11" s="241"/>
      <c r="AM11" s="241"/>
      <c r="AN11" s="241"/>
      <c r="AO11" s="241"/>
      <c r="AP11" s="241"/>
      <c r="AQ11" s="241"/>
      <c r="AR11" s="241"/>
      <c r="AS11" s="241"/>
      <c r="AT11" s="241"/>
      <c r="AU11" s="241"/>
      <c r="AV11" s="241"/>
      <c r="AW11" s="241"/>
      <c r="AX11" s="241"/>
      <c r="AY11" s="241"/>
      <c r="AZ11" s="241"/>
      <c r="BA11" s="241"/>
      <c r="BB11" s="241"/>
      <c r="BC11" s="241"/>
      <c r="BD11" s="241"/>
      <c r="BE11" s="241"/>
      <c r="BF11" s="241"/>
      <c r="BG11" s="241"/>
      <c r="BH11" s="241"/>
      <c r="BI11" s="241"/>
      <c r="BJ11" s="241"/>
      <c r="BK11" s="241"/>
      <c r="BL11" s="241"/>
      <c r="BM11" s="241"/>
      <c r="BN11" s="241"/>
      <c r="BO11" s="241"/>
      <c r="BP11" s="241"/>
      <c r="BQ11" s="241"/>
      <c r="BR11" s="241"/>
      <c r="BS11" s="241"/>
      <c r="BT11" s="241"/>
      <c r="BU11" s="241"/>
      <c r="BV11" s="241"/>
    </row>
    <row r="12" spans="1:74" ht="40" customHeight="1">
      <c r="A12" s="632"/>
      <c r="B12" s="647"/>
      <c r="C12" s="246">
        <v>4</v>
      </c>
      <c r="D12" s="247" t="s">
        <v>373</v>
      </c>
      <c r="E12" s="248"/>
      <c r="F12" s="249"/>
      <c r="G12" s="653" t="s">
        <v>370</v>
      </c>
      <c r="H12" s="654"/>
      <c r="I12" s="655"/>
      <c r="J12" s="246">
        <v>152.75</v>
      </c>
      <c r="K12" s="252">
        <v>1.1081431585467354E-2</v>
      </c>
      <c r="L12" s="246">
        <v>11.45</v>
      </c>
      <c r="M12" s="336">
        <f t="shared" si="0"/>
        <v>1748.9875</v>
      </c>
      <c r="N12" s="253"/>
      <c r="O12" s="652"/>
      <c r="P12" s="652"/>
      <c r="U12" s="241"/>
      <c r="V12" s="241"/>
      <c r="W12" s="241"/>
      <c r="X12" s="241"/>
      <c r="Y12" s="241"/>
      <c r="Z12" s="241"/>
      <c r="AA12" s="241"/>
      <c r="AB12" s="241"/>
      <c r="AC12" s="241"/>
      <c r="AD12" s="241"/>
      <c r="AE12" s="241"/>
      <c r="AF12" s="241"/>
      <c r="AG12" s="241"/>
      <c r="AH12" s="241"/>
      <c r="AI12" s="241"/>
      <c r="AJ12" s="241"/>
      <c r="AK12" s="241"/>
      <c r="AL12" s="241"/>
      <c r="AM12" s="241"/>
      <c r="AN12" s="241"/>
      <c r="AO12" s="241"/>
      <c r="AP12" s="241"/>
      <c r="AQ12" s="241"/>
      <c r="AR12" s="241"/>
      <c r="AS12" s="241"/>
      <c r="AT12" s="241"/>
      <c r="AU12" s="241"/>
      <c r="AV12" s="241"/>
      <c r="AW12" s="241"/>
      <c r="AX12" s="241"/>
      <c r="AY12" s="241"/>
      <c r="AZ12" s="241"/>
      <c r="BA12" s="241"/>
      <c r="BB12" s="241"/>
      <c r="BC12" s="241"/>
      <c r="BD12" s="241"/>
      <c r="BE12" s="241"/>
      <c r="BF12" s="241"/>
      <c r="BG12" s="241"/>
      <c r="BH12" s="241"/>
      <c r="BI12" s="241"/>
      <c r="BJ12" s="241"/>
      <c r="BK12" s="241"/>
      <c r="BL12" s="241"/>
      <c r="BM12" s="241"/>
      <c r="BN12" s="241"/>
      <c r="BO12" s="241"/>
      <c r="BP12" s="241"/>
      <c r="BQ12" s="241"/>
      <c r="BR12" s="241"/>
      <c r="BS12" s="241"/>
      <c r="BT12" s="241"/>
      <c r="BU12" s="241"/>
      <c r="BV12" s="241"/>
    </row>
    <row r="13" spans="1:74" ht="40" customHeight="1" thickBot="1">
      <c r="A13" s="632"/>
      <c r="B13" s="647"/>
      <c r="C13" s="246">
        <v>5</v>
      </c>
      <c r="D13" s="254" t="s">
        <v>523</v>
      </c>
      <c r="E13" s="255"/>
      <c r="F13" s="256"/>
      <c r="G13" s="389" t="s">
        <v>521</v>
      </c>
      <c r="H13" s="388"/>
      <c r="I13" s="389"/>
      <c r="J13" s="257">
        <v>153.19000000000003</v>
      </c>
      <c r="K13" s="258">
        <v>2.9446467011493203E-2</v>
      </c>
      <c r="L13" s="257">
        <v>28.65</v>
      </c>
      <c r="M13" s="337">
        <f t="shared" si="0"/>
        <v>4388.8935000000001</v>
      </c>
      <c r="N13" s="253"/>
      <c r="O13" s="652"/>
      <c r="P13" s="652"/>
      <c r="U13" s="241"/>
      <c r="V13" s="241"/>
      <c r="W13" s="241"/>
      <c r="X13" s="241"/>
      <c r="Y13" s="241"/>
      <c r="Z13" s="241"/>
      <c r="AA13" s="241"/>
      <c r="AB13" s="241"/>
      <c r="AC13" s="241"/>
      <c r="AD13" s="241"/>
      <c r="AE13" s="241"/>
      <c r="AF13" s="241"/>
      <c r="AG13" s="241"/>
      <c r="AH13" s="241"/>
      <c r="AI13" s="241"/>
      <c r="AJ13" s="241"/>
      <c r="AK13" s="241"/>
      <c r="AL13" s="241"/>
      <c r="AM13" s="241"/>
      <c r="AN13" s="241"/>
      <c r="AO13" s="241"/>
      <c r="AP13" s="241"/>
      <c r="AQ13" s="241"/>
      <c r="AR13" s="241"/>
      <c r="AS13" s="241"/>
      <c r="AT13" s="241"/>
      <c r="AU13" s="241"/>
      <c r="AV13" s="241"/>
      <c r="AW13" s="241"/>
      <c r="AX13" s="241"/>
      <c r="AY13" s="241"/>
      <c r="AZ13" s="241"/>
      <c r="BA13" s="241"/>
      <c r="BB13" s="241"/>
      <c r="BC13" s="241"/>
      <c r="BD13" s="241"/>
      <c r="BE13" s="241"/>
      <c r="BF13" s="241"/>
      <c r="BG13" s="241"/>
      <c r="BH13" s="241"/>
      <c r="BI13" s="241"/>
      <c r="BJ13" s="241"/>
      <c r="BK13" s="241"/>
      <c r="BL13" s="241"/>
      <c r="BM13" s="241"/>
      <c r="BN13" s="241"/>
      <c r="BO13" s="241"/>
      <c r="BP13" s="241"/>
      <c r="BQ13" s="241"/>
      <c r="BR13" s="241"/>
      <c r="BS13" s="241"/>
      <c r="BT13" s="241"/>
      <c r="BU13" s="241"/>
      <c r="BV13" s="241"/>
    </row>
    <row r="14" spans="1:74" ht="15.75" customHeight="1" thickTop="1">
      <c r="A14" s="632"/>
      <c r="B14" s="647"/>
      <c r="C14" s="638"/>
      <c r="D14" s="639"/>
      <c r="E14" s="639"/>
      <c r="F14" s="639"/>
      <c r="G14" s="639"/>
      <c r="H14" s="639"/>
      <c r="I14" s="640"/>
      <c r="J14" s="259" t="s">
        <v>58</v>
      </c>
      <c r="K14" s="356">
        <f>M14/'生產管理報表 7-1(月)'!$B$9</f>
        <v>0.20195664403748306</v>
      </c>
      <c r="L14" s="259" t="s">
        <v>59</v>
      </c>
      <c r="M14" s="383">
        <f>SUM(M9:M13)</f>
        <v>18526.083100000003</v>
      </c>
      <c r="N14" s="649"/>
      <c r="O14" s="649"/>
      <c r="P14" s="649"/>
      <c r="U14" s="241"/>
      <c r="V14" s="241"/>
      <c r="W14" s="241"/>
      <c r="X14" s="241"/>
      <c r="Y14" s="241"/>
      <c r="Z14" s="241"/>
      <c r="AA14" s="241"/>
      <c r="AB14" s="241"/>
      <c r="AC14" s="241"/>
      <c r="AD14" s="241"/>
      <c r="AE14" s="241"/>
      <c r="AF14" s="241"/>
      <c r="AG14" s="241"/>
      <c r="AH14" s="241"/>
      <c r="AI14" s="241"/>
      <c r="AJ14" s="241"/>
      <c r="AK14" s="241"/>
      <c r="AL14" s="241"/>
      <c r="AM14" s="241"/>
      <c r="AN14" s="241"/>
      <c r="AO14" s="241"/>
      <c r="AP14" s="241"/>
      <c r="AQ14" s="241"/>
      <c r="AR14" s="241"/>
      <c r="AS14" s="241"/>
      <c r="AT14" s="241"/>
      <c r="AU14" s="241"/>
      <c r="AV14" s="241"/>
      <c r="AW14" s="241"/>
      <c r="AX14" s="241"/>
      <c r="AY14" s="241"/>
      <c r="AZ14" s="241"/>
      <c r="BA14" s="241"/>
      <c r="BB14" s="241"/>
      <c r="BC14" s="241"/>
      <c r="BD14" s="241"/>
      <c r="BE14" s="241"/>
      <c r="BF14" s="241"/>
      <c r="BG14" s="241"/>
      <c r="BH14" s="241"/>
      <c r="BI14" s="241"/>
      <c r="BJ14" s="241"/>
      <c r="BK14" s="241"/>
      <c r="BL14" s="241"/>
      <c r="BM14" s="241"/>
      <c r="BN14" s="241"/>
      <c r="BO14" s="241"/>
      <c r="BP14" s="241"/>
      <c r="BQ14" s="241"/>
      <c r="BR14" s="241"/>
      <c r="BS14" s="241"/>
      <c r="BT14" s="241"/>
      <c r="BU14" s="241"/>
      <c r="BV14" s="241"/>
    </row>
    <row r="15" spans="1:74" ht="15.75" customHeight="1">
      <c r="D15" s="243"/>
      <c r="E15" s="243"/>
      <c r="F15" s="243"/>
      <c r="G15" s="243"/>
      <c r="H15" s="243"/>
      <c r="I15" s="243"/>
      <c r="J15" s="243"/>
      <c r="K15" s="243"/>
      <c r="L15" s="243"/>
      <c r="M15" s="243"/>
      <c r="N15" s="261"/>
      <c r="O15" s="261"/>
      <c r="P15" s="261"/>
      <c r="U15" s="241"/>
      <c r="V15" s="241"/>
      <c r="W15" s="241"/>
      <c r="X15" s="241"/>
      <c r="Y15" s="241"/>
      <c r="Z15" s="241"/>
      <c r="AA15" s="241"/>
      <c r="AB15" s="241"/>
      <c r="AC15" s="241"/>
      <c r="AD15" s="241"/>
      <c r="AE15" s="241"/>
      <c r="AF15" s="241"/>
      <c r="AG15" s="241"/>
      <c r="AH15" s="241"/>
      <c r="AI15" s="241"/>
      <c r="AJ15" s="241"/>
      <c r="AK15" s="241"/>
      <c r="AL15" s="241"/>
      <c r="AM15" s="241"/>
      <c r="AN15" s="241"/>
      <c r="AO15" s="241"/>
      <c r="AP15" s="241"/>
      <c r="AQ15" s="241"/>
      <c r="AR15" s="241"/>
      <c r="AS15" s="241"/>
      <c r="AT15" s="241"/>
      <c r="AU15" s="241"/>
      <c r="AV15" s="241"/>
      <c r="AW15" s="241"/>
      <c r="AX15" s="241"/>
      <c r="AY15" s="241"/>
      <c r="AZ15" s="241"/>
      <c r="BA15" s="241"/>
      <c r="BB15" s="241"/>
      <c r="BC15" s="241"/>
      <c r="BD15" s="241"/>
      <c r="BE15" s="241"/>
      <c r="BF15" s="241"/>
      <c r="BG15" s="241"/>
      <c r="BH15" s="241"/>
      <c r="BI15" s="241"/>
      <c r="BJ15" s="241"/>
      <c r="BK15" s="241"/>
      <c r="BL15" s="241"/>
      <c r="BM15" s="241"/>
      <c r="BN15" s="241"/>
      <c r="BO15" s="241"/>
      <c r="BP15" s="241"/>
      <c r="BQ15" s="241"/>
      <c r="BR15" s="241"/>
      <c r="BS15" s="241"/>
      <c r="BT15" s="241"/>
      <c r="BU15" s="241"/>
      <c r="BV15" s="241"/>
    </row>
    <row r="16" spans="1:74" ht="15.75" customHeight="1">
      <c r="A16" s="632" t="s">
        <v>193</v>
      </c>
      <c r="B16" s="632"/>
      <c r="C16" s="262" t="s">
        <v>47</v>
      </c>
      <c r="D16" s="641" t="s">
        <v>12</v>
      </c>
      <c r="E16" s="642"/>
      <c r="F16" s="643"/>
      <c r="G16" s="644" t="s">
        <v>53</v>
      </c>
      <c r="H16" s="645"/>
      <c r="I16" s="646"/>
      <c r="J16" s="264" t="s">
        <v>54</v>
      </c>
      <c r="K16" s="264" t="s">
        <v>55</v>
      </c>
      <c r="L16" s="264" t="s">
        <v>56</v>
      </c>
      <c r="M16" s="264" t="s">
        <v>11</v>
      </c>
      <c r="N16" s="244" t="s">
        <v>336</v>
      </c>
      <c r="O16" s="636" t="s">
        <v>51</v>
      </c>
      <c r="P16" s="636"/>
      <c r="U16" s="241"/>
      <c r="V16" s="241"/>
      <c r="W16" s="241"/>
      <c r="X16" s="241"/>
      <c r="Y16" s="241"/>
      <c r="Z16" s="241"/>
      <c r="AA16" s="241"/>
      <c r="AB16" s="241"/>
      <c r="AC16" s="241"/>
      <c r="AD16" s="241"/>
      <c r="AE16" s="241"/>
      <c r="AF16" s="241"/>
      <c r="AG16" s="241"/>
      <c r="AH16" s="241"/>
      <c r="AI16" s="241"/>
    </row>
    <row r="17" spans="1:35" ht="20.149999999999999" customHeight="1">
      <c r="A17" s="632">
        <v>2</v>
      </c>
      <c r="B17" s="647" t="s">
        <v>216</v>
      </c>
      <c r="C17" s="266">
        <v>1</v>
      </c>
      <c r="D17" s="247"/>
      <c r="E17" s="248"/>
      <c r="F17" s="249"/>
      <c r="G17" s="247"/>
      <c r="H17" s="248"/>
      <c r="I17" s="249"/>
      <c r="J17" s="267"/>
      <c r="K17" s="268"/>
      <c r="L17" s="267"/>
      <c r="M17" s="269">
        <f t="shared" ref="M17:M21" si="1">L17*J17</f>
        <v>0</v>
      </c>
      <c r="N17" s="253"/>
      <c r="O17" s="637"/>
      <c r="P17" s="637"/>
      <c r="U17" s="241"/>
      <c r="V17" s="241"/>
      <c r="W17" s="241"/>
      <c r="X17" s="241"/>
      <c r="Y17" s="241"/>
      <c r="Z17" s="241"/>
      <c r="AA17" s="241"/>
      <c r="AB17" s="241"/>
      <c r="AC17" s="241"/>
      <c r="AD17" s="241"/>
      <c r="AE17" s="241"/>
      <c r="AF17" s="241"/>
      <c r="AG17" s="241"/>
      <c r="AH17" s="241"/>
      <c r="AI17" s="241"/>
    </row>
    <row r="18" spans="1:35" ht="20.149999999999999" customHeight="1">
      <c r="A18" s="632"/>
      <c r="B18" s="647"/>
      <c r="C18" s="266">
        <v>2</v>
      </c>
      <c r="D18" s="247"/>
      <c r="E18" s="248"/>
      <c r="F18" s="249"/>
      <c r="G18" s="247"/>
      <c r="H18" s="248"/>
      <c r="I18" s="249"/>
      <c r="J18" s="267"/>
      <c r="K18" s="268"/>
      <c r="L18" s="267"/>
      <c r="M18" s="269">
        <f t="shared" si="1"/>
        <v>0</v>
      </c>
      <c r="N18" s="253"/>
      <c r="O18" s="637"/>
      <c r="P18" s="637"/>
      <c r="U18" s="241"/>
      <c r="V18" s="241"/>
      <c r="W18" s="241"/>
      <c r="X18" s="241"/>
      <c r="Y18" s="241"/>
      <c r="Z18" s="241"/>
      <c r="AA18" s="241"/>
      <c r="AB18" s="241"/>
      <c r="AC18" s="241"/>
      <c r="AD18" s="241"/>
      <c r="AE18" s="241"/>
      <c r="AF18" s="241"/>
      <c r="AG18" s="241"/>
      <c r="AH18" s="241"/>
      <c r="AI18" s="241"/>
    </row>
    <row r="19" spans="1:35" ht="20.149999999999999" customHeight="1">
      <c r="A19" s="632"/>
      <c r="B19" s="647"/>
      <c r="C19" s="266">
        <v>3</v>
      </c>
      <c r="D19" s="247"/>
      <c r="E19" s="248"/>
      <c r="F19" s="249"/>
      <c r="G19" s="247"/>
      <c r="H19" s="248"/>
      <c r="I19" s="249"/>
      <c r="J19" s="267"/>
      <c r="K19" s="268"/>
      <c r="L19" s="267"/>
      <c r="M19" s="269">
        <f t="shared" si="1"/>
        <v>0</v>
      </c>
      <c r="N19" s="253"/>
      <c r="O19" s="659"/>
      <c r="P19" s="659"/>
      <c r="U19" s="241"/>
      <c r="V19" s="241"/>
      <c r="W19" s="241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</row>
    <row r="20" spans="1:35" ht="20.149999999999999" customHeight="1">
      <c r="A20" s="632"/>
      <c r="B20" s="647"/>
      <c r="C20" s="266">
        <v>4</v>
      </c>
      <c r="D20" s="247"/>
      <c r="E20" s="248"/>
      <c r="F20" s="249"/>
      <c r="G20" s="247"/>
      <c r="H20" s="248"/>
      <c r="I20" s="249"/>
      <c r="J20" s="267"/>
      <c r="K20" s="268"/>
      <c r="L20" s="267"/>
      <c r="M20" s="269">
        <f t="shared" si="1"/>
        <v>0</v>
      </c>
      <c r="N20" s="253"/>
      <c r="O20" s="659"/>
      <c r="P20" s="659"/>
      <c r="U20" s="241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</row>
    <row r="21" spans="1:35" ht="20.149999999999999" customHeight="1" thickBot="1">
      <c r="A21" s="632"/>
      <c r="B21" s="647"/>
      <c r="C21" s="272">
        <v>5</v>
      </c>
      <c r="D21" s="254"/>
      <c r="E21" s="255"/>
      <c r="F21" s="256"/>
      <c r="G21" s="254"/>
      <c r="H21" s="255"/>
      <c r="I21" s="256"/>
      <c r="J21" s="273"/>
      <c r="K21" s="274"/>
      <c r="L21" s="273"/>
      <c r="M21" s="275">
        <f t="shared" si="1"/>
        <v>0</v>
      </c>
      <c r="N21" s="253"/>
      <c r="O21" s="659"/>
      <c r="P21" s="659"/>
      <c r="U21" s="241"/>
      <c r="V21" s="241"/>
      <c r="W21" s="241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</row>
    <row r="22" spans="1:35" ht="15.75" customHeight="1" thickTop="1">
      <c r="A22" s="632"/>
      <c r="B22" s="647"/>
      <c r="C22" s="638"/>
      <c r="D22" s="639"/>
      <c r="E22" s="639"/>
      <c r="F22" s="639"/>
      <c r="G22" s="639"/>
      <c r="H22" s="639"/>
      <c r="I22" s="640"/>
      <c r="J22" s="259" t="s">
        <v>58</v>
      </c>
      <c r="K22" s="356">
        <f>M22/'生產管理報表 7-1(月)'!$B$9</f>
        <v>0</v>
      </c>
      <c r="L22" s="259" t="s">
        <v>59</v>
      </c>
      <c r="M22" s="260">
        <f>SUM(M17:M21)</f>
        <v>0</v>
      </c>
      <c r="N22" s="649"/>
      <c r="O22" s="649"/>
      <c r="P22" s="649"/>
      <c r="U22" s="241"/>
      <c r="V22" s="241"/>
      <c r="W22" s="241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</row>
    <row r="23" spans="1:35" ht="15.75" customHeight="1"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77"/>
      <c r="O23" s="277"/>
      <c r="P23" s="277"/>
      <c r="U23" s="241"/>
      <c r="V23" s="241"/>
      <c r="W23" s="241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</row>
    <row r="24" spans="1:35" ht="15.75" customHeight="1">
      <c r="A24" s="632" t="s">
        <v>193</v>
      </c>
      <c r="B24" s="632"/>
      <c r="C24" s="262" t="s">
        <v>47</v>
      </c>
      <c r="D24" s="641" t="s">
        <v>12</v>
      </c>
      <c r="E24" s="642"/>
      <c r="F24" s="643"/>
      <c r="G24" s="644" t="s">
        <v>53</v>
      </c>
      <c r="H24" s="645"/>
      <c r="I24" s="646"/>
      <c r="J24" s="263" t="s">
        <v>54</v>
      </c>
      <c r="K24" s="264" t="s">
        <v>55</v>
      </c>
      <c r="L24" s="264" t="s">
        <v>56</v>
      </c>
      <c r="M24" s="264" t="s">
        <v>11</v>
      </c>
      <c r="N24" s="244" t="s">
        <v>336</v>
      </c>
      <c r="O24" s="636" t="s">
        <v>51</v>
      </c>
      <c r="P24" s="636"/>
      <c r="U24" s="241"/>
      <c r="V24" s="241"/>
      <c r="W24" s="241"/>
      <c r="X24" s="241"/>
      <c r="Y24" s="241"/>
      <c r="Z24" s="241"/>
      <c r="AA24" s="241"/>
      <c r="AB24" s="241"/>
      <c r="AC24" s="241"/>
      <c r="AD24" s="241"/>
      <c r="AE24" s="241"/>
      <c r="AF24" s="241"/>
      <c r="AG24" s="241"/>
      <c r="AH24" s="241"/>
      <c r="AI24" s="241"/>
    </row>
    <row r="25" spans="1:35" ht="50.15" customHeight="1">
      <c r="A25" s="632">
        <v>3</v>
      </c>
      <c r="B25" s="647" t="s">
        <v>452</v>
      </c>
      <c r="C25" s="266">
        <v>1</v>
      </c>
      <c r="D25" s="247" t="s">
        <v>438</v>
      </c>
      <c r="E25" s="248"/>
      <c r="F25" s="249"/>
      <c r="G25" s="389" t="s">
        <v>454</v>
      </c>
      <c r="H25" s="388"/>
      <c r="I25" s="389"/>
      <c r="J25" s="267">
        <v>122.81999999999996</v>
      </c>
      <c r="K25" s="268">
        <v>1.9847555186350885E-2</v>
      </c>
      <c r="L25" s="267">
        <v>39.19</v>
      </c>
      <c r="M25" s="339">
        <f t="shared" ref="M25:M29" si="2">L25*J25</f>
        <v>4813.3157999999985</v>
      </c>
      <c r="N25" s="253"/>
      <c r="O25" s="637"/>
      <c r="P25" s="637"/>
      <c r="U25" s="241"/>
      <c r="V25" s="241"/>
      <c r="W25" s="241"/>
      <c r="X25" s="241"/>
      <c r="Y25" s="241"/>
      <c r="Z25" s="241"/>
      <c r="AA25" s="241"/>
      <c r="AB25" s="241"/>
      <c r="AC25" s="241"/>
      <c r="AD25" s="241"/>
      <c r="AE25" s="241"/>
      <c r="AF25" s="241"/>
      <c r="AG25" s="241"/>
      <c r="AH25" s="241"/>
      <c r="AI25" s="241"/>
    </row>
    <row r="26" spans="1:35" ht="50.15" customHeight="1">
      <c r="A26" s="632"/>
      <c r="B26" s="647"/>
      <c r="C26" s="266">
        <v>2</v>
      </c>
      <c r="D26" s="247" t="s">
        <v>345</v>
      </c>
      <c r="E26" s="248"/>
      <c r="F26" s="249"/>
      <c r="G26" s="389" t="s">
        <v>494</v>
      </c>
      <c r="H26" s="388"/>
      <c r="I26" s="389"/>
      <c r="J26" s="267">
        <v>1.17</v>
      </c>
      <c r="K26" s="268">
        <v>4.9042779544590555E-3</v>
      </c>
      <c r="L26" s="267">
        <v>3856</v>
      </c>
      <c r="M26" s="339">
        <f t="shared" si="2"/>
        <v>4511.5199999999995</v>
      </c>
      <c r="N26" s="253"/>
      <c r="O26" s="637"/>
      <c r="P26" s="637"/>
      <c r="U26" s="241"/>
      <c r="V26" s="241"/>
      <c r="W26" s="241"/>
      <c r="X26" s="241"/>
      <c r="Y26" s="241"/>
      <c r="Z26" s="241"/>
      <c r="AA26" s="241"/>
      <c r="AB26" s="241"/>
      <c r="AC26" s="241"/>
      <c r="AD26" s="241"/>
      <c r="AE26" s="241"/>
      <c r="AF26" s="241"/>
      <c r="AG26" s="241"/>
      <c r="AH26" s="241"/>
      <c r="AI26" s="241"/>
    </row>
    <row r="27" spans="1:35" ht="50.15" customHeight="1">
      <c r="A27" s="632"/>
      <c r="B27" s="647"/>
      <c r="C27" s="266">
        <v>3</v>
      </c>
      <c r="D27" s="247" t="s">
        <v>345</v>
      </c>
      <c r="E27" s="248"/>
      <c r="F27" s="249"/>
      <c r="G27" s="389" t="s">
        <v>495</v>
      </c>
      <c r="H27" s="388"/>
      <c r="I27" s="389"/>
      <c r="J27" s="267">
        <v>2.4499999999999997</v>
      </c>
      <c r="K27" s="268">
        <v>4.513126586555883E-3</v>
      </c>
      <c r="L27" s="267">
        <v>1063</v>
      </c>
      <c r="M27" s="339">
        <f t="shared" si="2"/>
        <v>2604.35</v>
      </c>
      <c r="N27" s="253"/>
      <c r="O27" s="648"/>
      <c r="P27" s="648"/>
      <c r="U27" s="241"/>
      <c r="V27" s="241"/>
      <c r="W27" s="241"/>
      <c r="X27" s="241"/>
      <c r="Y27" s="241"/>
      <c r="Z27" s="241"/>
      <c r="AA27" s="241"/>
      <c r="AB27" s="241"/>
      <c r="AC27" s="241"/>
      <c r="AD27" s="241"/>
      <c r="AE27" s="241"/>
      <c r="AF27" s="241"/>
      <c r="AG27" s="241"/>
      <c r="AH27" s="241"/>
      <c r="AI27" s="241"/>
    </row>
    <row r="28" spans="1:35" ht="50.15" customHeight="1">
      <c r="A28" s="632"/>
      <c r="B28" s="647"/>
      <c r="C28" s="266">
        <v>4</v>
      </c>
      <c r="D28" s="247" t="s">
        <v>438</v>
      </c>
      <c r="E28" s="248"/>
      <c r="F28" s="249"/>
      <c r="G28" s="389" t="s">
        <v>564</v>
      </c>
      <c r="H28" s="388"/>
      <c r="I28" s="389"/>
      <c r="J28" s="267">
        <v>2.3000000000000003</v>
      </c>
      <c r="K28" s="268">
        <v>2.4417780358209285E-2</v>
      </c>
      <c r="L28" s="267">
        <v>924</v>
      </c>
      <c r="M28" s="339">
        <f t="shared" si="2"/>
        <v>2125.2000000000003</v>
      </c>
      <c r="N28" s="253"/>
      <c r="O28" s="648"/>
      <c r="P28" s="648"/>
      <c r="U28" s="241"/>
      <c r="V28" s="241"/>
      <c r="W28" s="241"/>
      <c r="X28" s="241"/>
      <c r="Y28" s="241"/>
      <c r="Z28" s="241"/>
      <c r="AA28" s="241"/>
      <c r="AB28" s="241"/>
      <c r="AC28" s="241"/>
      <c r="AD28" s="241"/>
      <c r="AE28" s="241"/>
      <c r="AF28" s="241"/>
      <c r="AG28" s="241"/>
      <c r="AH28" s="241"/>
      <c r="AI28" s="241"/>
    </row>
    <row r="29" spans="1:35" ht="50.15" customHeight="1" thickBot="1">
      <c r="A29" s="632"/>
      <c r="B29" s="647"/>
      <c r="C29" s="272">
        <v>5</v>
      </c>
      <c r="D29" s="254"/>
      <c r="E29" s="255"/>
      <c r="F29" s="256"/>
      <c r="G29" s="387"/>
      <c r="H29" s="388"/>
      <c r="I29" s="389"/>
      <c r="J29" s="273"/>
      <c r="K29" s="274"/>
      <c r="L29" s="273"/>
      <c r="M29" s="339">
        <f t="shared" si="2"/>
        <v>0</v>
      </c>
      <c r="N29" s="253"/>
      <c r="O29" s="648"/>
      <c r="P29" s="648"/>
      <c r="U29" s="241"/>
      <c r="V29" s="241"/>
      <c r="W29" s="241"/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241"/>
      <c r="AI29" s="241"/>
    </row>
    <row r="30" spans="1:35" ht="15.75" customHeight="1" thickTop="1">
      <c r="A30" s="632"/>
      <c r="B30" s="647"/>
      <c r="C30" s="638"/>
      <c r="D30" s="639"/>
      <c r="E30" s="639"/>
      <c r="F30" s="639"/>
      <c r="G30" s="639"/>
      <c r="H30" s="639"/>
      <c r="I30" s="640"/>
      <c r="J30" s="284" t="s">
        <v>58</v>
      </c>
      <c r="K30" s="356">
        <f>M30/'生產管理報表 7-1(月)'!$B$9</f>
        <v>0.15320975161641456</v>
      </c>
      <c r="L30" s="284" t="s">
        <v>59</v>
      </c>
      <c r="M30" s="340">
        <f>SUM(M25:M29)</f>
        <v>14054.385799999998</v>
      </c>
      <c r="N30" s="649"/>
      <c r="O30" s="649"/>
      <c r="P30" s="649"/>
      <c r="U30" s="241"/>
      <c r="V30" s="241"/>
      <c r="W30" s="241"/>
      <c r="X30" s="241"/>
      <c r="Y30" s="241"/>
      <c r="Z30" s="241"/>
      <c r="AA30" s="241"/>
      <c r="AB30" s="241"/>
      <c r="AC30" s="241"/>
      <c r="AD30" s="241"/>
      <c r="AE30" s="241"/>
      <c r="AF30" s="241"/>
      <c r="AG30" s="241"/>
      <c r="AH30" s="241"/>
      <c r="AI30" s="241"/>
    </row>
  </sheetData>
  <mergeCells count="57">
    <mergeCell ref="O28:P28"/>
    <mergeCell ref="O29:P29"/>
    <mergeCell ref="N30:P30"/>
    <mergeCell ref="O19:P19"/>
    <mergeCell ref="O20:P20"/>
    <mergeCell ref="O21:P21"/>
    <mergeCell ref="N22:P22"/>
    <mergeCell ref="O24:P24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G12:I12"/>
    <mergeCell ref="B17:B22"/>
    <mergeCell ref="C22:I22"/>
    <mergeCell ref="A9:A14"/>
    <mergeCell ref="B9:B14"/>
    <mergeCell ref="C14:I14"/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69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T156"/>
  <sheetViews>
    <sheetView view="pageBreakPreview" zoomScale="91" zoomScaleNormal="60" zoomScaleSheetLayoutView="91" workbookViewId="0">
      <selection activeCell="K16" sqref="K16"/>
    </sheetView>
  </sheetViews>
  <sheetFormatPr defaultColWidth="12.54296875" defaultRowHeight="15.75" customHeight="1"/>
  <cols>
    <col min="1" max="1" width="5.453125" style="299" customWidth="1"/>
    <col min="2" max="2" width="11.453125" style="307" customWidth="1"/>
    <col min="3" max="3" width="4" style="308" customWidth="1"/>
    <col min="4" max="4" width="9.54296875" style="299" customWidth="1"/>
    <col min="5" max="5" width="10.26953125" style="299" customWidth="1"/>
    <col min="6" max="15" width="9.54296875" style="299" customWidth="1"/>
    <col min="16" max="16" width="38" style="299" customWidth="1"/>
    <col min="17" max="16384" width="12.54296875" style="299"/>
  </cols>
  <sheetData>
    <row r="1" spans="1:20" s="138" customFormat="1" ht="15.75" customHeight="1">
      <c r="A1" s="626" t="s">
        <v>376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  <c r="N1" s="626"/>
      <c r="O1" s="626"/>
      <c r="P1" s="626"/>
    </row>
    <row r="2" spans="1:20" s="139" customFormat="1" ht="15.75" customHeight="1">
      <c r="A2" s="626"/>
      <c r="B2" s="626"/>
      <c r="C2" s="626"/>
      <c r="D2" s="626"/>
      <c r="E2" s="626"/>
      <c r="F2" s="626"/>
      <c r="G2" s="626"/>
      <c r="H2" s="626"/>
      <c r="I2" s="626"/>
      <c r="J2" s="626"/>
      <c r="K2" s="626"/>
      <c r="L2" s="626"/>
      <c r="M2" s="626"/>
      <c r="N2" s="626"/>
      <c r="O2" s="626"/>
      <c r="P2" s="626"/>
    </row>
    <row r="3" spans="1:20" s="138" customFormat="1" ht="15.75" customHeight="1">
      <c r="A3" s="627" t="s">
        <v>468</v>
      </c>
      <c r="B3" s="627"/>
      <c r="C3" s="627"/>
      <c r="D3" s="627"/>
      <c r="E3" s="627"/>
      <c r="F3" s="627"/>
      <c r="G3" s="627"/>
      <c r="H3" s="627"/>
      <c r="I3" s="627"/>
      <c r="J3" s="627"/>
      <c r="K3" s="627"/>
      <c r="L3" s="627"/>
      <c r="M3" s="627"/>
    </row>
    <row r="4" spans="1:20" s="139" customFormat="1" ht="15.75" customHeight="1">
      <c r="A4" s="725"/>
      <c r="B4" s="725"/>
      <c r="C4" s="725"/>
      <c r="D4" s="725"/>
      <c r="E4" s="725"/>
      <c r="F4" s="725"/>
      <c r="G4" s="725"/>
      <c r="H4" s="725"/>
      <c r="I4" s="725"/>
      <c r="J4" s="725"/>
      <c r="K4" s="725"/>
      <c r="L4" s="725"/>
      <c r="M4" s="725"/>
    </row>
    <row r="5" spans="1:20" s="138" customFormat="1" ht="15.75" customHeight="1">
      <c r="A5" s="726" t="s">
        <v>193</v>
      </c>
      <c r="B5" s="728">
        <v>1</v>
      </c>
      <c r="C5" s="729"/>
      <c r="D5" s="728">
        <v>2</v>
      </c>
      <c r="E5" s="729"/>
      <c r="F5" s="728">
        <v>3</v>
      </c>
      <c r="G5" s="729"/>
      <c r="H5" s="719">
        <v>4</v>
      </c>
      <c r="I5" s="720"/>
      <c r="J5" s="719">
        <v>5</v>
      </c>
      <c r="K5" s="720"/>
      <c r="L5" s="719">
        <v>6</v>
      </c>
      <c r="M5" s="720"/>
      <c r="N5" s="719">
        <v>7</v>
      </c>
      <c r="O5" s="720"/>
      <c r="P5" s="341">
        <v>8</v>
      </c>
    </row>
    <row r="6" spans="1:20" s="138" customFormat="1" ht="15.75" customHeight="1">
      <c r="A6" s="727"/>
      <c r="B6" s="723" t="s">
        <v>501</v>
      </c>
      <c r="C6" s="724"/>
      <c r="D6" s="723" t="s">
        <v>215</v>
      </c>
      <c r="E6" s="724"/>
      <c r="F6" s="723" t="s">
        <v>168</v>
      </c>
      <c r="G6" s="724"/>
      <c r="H6" s="721" t="s">
        <v>466</v>
      </c>
      <c r="I6" s="722"/>
      <c r="J6" s="721" t="s">
        <v>191</v>
      </c>
      <c r="K6" s="722"/>
      <c r="L6" s="721" t="s">
        <v>169</v>
      </c>
      <c r="M6" s="722"/>
      <c r="N6" s="721" t="s">
        <v>192</v>
      </c>
      <c r="O6" s="722"/>
      <c r="P6" s="342" t="s">
        <v>220</v>
      </c>
    </row>
    <row r="7" spans="1:20" s="138" customFormat="1" ht="15.75" customHeight="1">
      <c r="B7" s="242"/>
      <c r="C7" s="243"/>
    </row>
    <row r="8" spans="1:20" s="288" customFormat="1" ht="15.75" customHeight="1">
      <c r="A8" s="663" t="s">
        <v>193</v>
      </c>
      <c r="B8" s="664"/>
      <c r="C8" s="285" t="s">
        <v>47</v>
      </c>
      <c r="D8" s="691" t="s">
        <v>12</v>
      </c>
      <c r="E8" s="692"/>
      <c r="F8" s="693"/>
      <c r="G8" s="694" t="s">
        <v>53</v>
      </c>
      <c r="H8" s="695"/>
      <c r="I8" s="696"/>
      <c r="J8" s="286" t="s">
        <v>54</v>
      </c>
      <c r="K8" s="286" t="s">
        <v>55</v>
      </c>
      <c r="L8" s="286" t="s">
        <v>56</v>
      </c>
      <c r="M8" s="287" t="s">
        <v>11</v>
      </c>
      <c r="N8" s="287" t="s">
        <v>336</v>
      </c>
      <c r="O8" s="671" t="s">
        <v>51</v>
      </c>
      <c r="P8" s="672"/>
      <c r="R8" s="357"/>
      <c r="S8" s="358"/>
    </row>
    <row r="9" spans="1:20" s="308" customFormat="1" ht="20.149999999999999" customHeight="1">
      <c r="A9" s="673">
        <v>4</v>
      </c>
      <c r="B9" s="707" t="s">
        <v>466</v>
      </c>
      <c r="C9" s="289">
        <v>1</v>
      </c>
      <c r="D9" s="247"/>
      <c r="E9" s="248"/>
      <c r="F9" s="249"/>
      <c r="G9" s="250"/>
      <c r="H9" s="251"/>
      <c r="I9" s="250"/>
      <c r="J9" s="326"/>
      <c r="K9" s="327"/>
      <c r="L9" s="328"/>
      <c r="M9" s="336">
        <f t="shared" ref="M9:M13" si="0">L9*J9</f>
        <v>0</v>
      </c>
      <c r="N9" s="328"/>
      <c r="O9" s="710"/>
      <c r="P9" s="711"/>
      <c r="R9" s="359"/>
      <c r="S9" s="359"/>
    </row>
    <row r="10" spans="1:20" s="308" customFormat="1" ht="20.149999999999999" customHeight="1">
      <c r="A10" s="674"/>
      <c r="B10" s="708"/>
      <c r="C10" s="289">
        <v>2</v>
      </c>
      <c r="D10" s="384"/>
      <c r="E10" s="248"/>
      <c r="F10" s="249"/>
      <c r="G10" s="250"/>
      <c r="H10" s="251"/>
      <c r="I10" s="250"/>
      <c r="J10" s="326"/>
      <c r="K10" s="327"/>
      <c r="L10" s="328"/>
      <c r="M10" s="336">
        <f t="shared" si="0"/>
        <v>0</v>
      </c>
      <c r="N10" s="328"/>
      <c r="O10" s="703"/>
      <c r="P10" s="704"/>
      <c r="R10" s="359"/>
      <c r="S10" s="359"/>
    </row>
    <row r="11" spans="1:20" s="308" customFormat="1" ht="20.149999999999999" customHeight="1">
      <c r="A11" s="674"/>
      <c r="B11" s="708"/>
      <c r="C11" s="289">
        <v>3</v>
      </c>
      <c r="D11" s="247"/>
      <c r="E11" s="248"/>
      <c r="F11" s="249"/>
      <c r="G11" s="250"/>
      <c r="H11" s="251"/>
      <c r="I11" s="250"/>
      <c r="J11" s="326"/>
      <c r="K11" s="327"/>
      <c r="L11" s="328"/>
      <c r="M11" s="336">
        <f t="shared" si="0"/>
        <v>0</v>
      </c>
      <c r="N11" s="328"/>
      <c r="O11" s="712"/>
      <c r="P11" s="713"/>
      <c r="R11" s="359"/>
      <c r="S11" s="357"/>
    </row>
    <row r="12" spans="1:20" s="308" customFormat="1" ht="20.149999999999999" customHeight="1">
      <c r="A12" s="674"/>
      <c r="B12" s="708"/>
      <c r="C12" s="289">
        <v>4</v>
      </c>
      <c r="D12" s="254"/>
      <c r="E12" s="248"/>
      <c r="F12" s="249"/>
      <c r="G12" s="250"/>
      <c r="H12" s="251"/>
      <c r="I12" s="250"/>
      <c r="J12" s="326"/>
      <c r="K12" s="327"/>
      <c r="L12" s="328"/>
      <c r="M12" s="336">
        <f t="shared" si="0"/>
        <v>0</v>
      </c>
      <c r="N12" s="328"/>
      <c r="O12" s="703"/>
      <c r="P12" s="704"/>
      <c r="R12" s="359"/>
      <c r="S12" s="357"/>
    </row>
    <row r="13" spans="1:20" s="308" customFormat="1" ht="20.149999999999999" customHeight="1" thickBot="1">
      <c r="A13" s="674"/>
      <c r="B13" s="708"/>
      <c r="C13" s="289">
        <v>5</v>
      </c>
      <c r="D13" s="247"/>
      <c r="E13" s="255"/>
      <c r="F13" s="256"/>
      <c r="G13" s="250"/>
      <c r="H13" s="251"/>
      <c r="I13" s="250"/>
      <c r="J13" s="330"/>
      <c r="K13" s="274"/>
      <c r="L13" s="331"/>
      <c r="M13" s="336">
        <f t="shared" si="0"/>
        <v>0</v>
      </c>
      <c r="N13" s="328"/>
      <c r="O13" s="714"/>
      <c r="P13" s="715"/>
      <c r="R13" s="360"/>
      <c r="S13" s="357"/>
      <c r="T13" s="299"/>
    </row>
    <row r="14" spans="1:20" ht="15.75" customHeight="1" thickTop="1" thickBot="1">
      <c r="A14" s="675"/>
      <c r="B14" s="709"/>
      <c r="C14" s="716"/>
      <c r="D14" s="717"/>
      <c r="E14" s="717"/>
      <c r="F14" s="717"/>
      <c r="G14" s="717"/>
      <c r="H14" s="717"/>
      <c r="I14" s="718"/>
      <c r="J14" s="305" t="s">
        <v>58</v>
      </c>
      <c r="K14" s="356">
        <f>M14/'生產管理報表 7-1(月)'!$B$9</f>
        <v>0</v>
      </c>
      <c r="L14" s="306" t="s">
        <v>59</v>
      </c>
      <c r="M14" s="348">
        <f>SUM(M9:M13)</f>
        <v>0</v>
      </c>
      <c r="N14" s="660"/>
      <c r="O14" s="661"/>
      <c r="P14" s="662"/>
      <c r="R14" s="357"/>
      <c r="S14" s="357"/>
    </row>
    <row r="15" spans="1:20" ht="15.75" customHeight="1" thickTop="1">
      <c r="M15" s="343"/>
      <c r="S15" s="357"/>
    </row>
    <row r="16" spans="1:20" ht="15.75" customHeight="1">
      <c r="A16" s="663" t="s">
        <v>193</v>
      </c>
      <c r="B16" s="664"/>
      <c r="C16" s="285" t="s">
        <v>47</v>
      </c>
      <c r="D16" s="691" t="s">
        <v>12</v>
      </c>
      <c r="E16" s="692"/>
      <c r="F16" s="693"/>
      <c r="G16" s="694" t="s">
        <v>53</v>
      </c>
      <c r="H16" s="695"/>
      <c r="I16" s="696"/>
      <c r="J16" s="286" t="s">
        <v>54</v>
      </c>
      <c r="K16" s="286" t="s">
        <v>55</v>
      </c>
      <c r="L16" s="286" t="s">
        <v>56</v>
      </c>
      <c r="M16" s="344" t="s">
        <v>11</v>
      </c>
      <c r="N16" s="287" t="s">
        <v>336</v>
      </c>
      <c r="O16" s="671" t="s">
        <v>51</v>
      </c>
      <c r="P16" s="672"/>
      <c r="S16" s="358"/>
      <c r="T16" s="308"/>
    </row>
    <row r="17" spans="1:20" s="308" customFormat="1" ht="40" customHeight="1">
      <c r="A17" s="673">
        <v>5</v>
      </c>
      <c r="B17" s="686" t="s">
        <v>218</v>
      </c>
      <c r="C17" s="289">
        <v>1</v>
      </c>
      <c r="D17" s="247" t="s">
        <v>360</v>
      </c>
      <c r="E17" s="248"/>
      <c r="F17" s="249"/>
      <c r="G17" s="316" t="s">
        <v>371</v>
      </c>
      <c r="H17" s="315"/>
      <c r="I17" s="316"/>
      <c r="J17" s="326">
        <v>96</v>
      </c>
      <c r="K17" s="327">
        <v>2.3798091708415035E-2</v>
      </c>
      <c r="L17" s="328">
        <v>21.919999999999998</v>
      </c>
      <c r="M17" s="336">
        <f t="shared" ref="M17:M21" si="1">L17*J17</f>
        <v>2104.3199999999997</v>
      </c>
      <c r="N17" s="328"/>
      <c r="O17" s="697"/>
      <c r="P17" s="698"/>
      <c r="S17" s="357"/>
    </row>
    <row r="18" spans="1:20" s="308" customFormat="1" ht="20.149999999999999" customHeight="1">
      <c r="A18" s="674"/>
      <c r="B18" s="687"/>
      <c r="C18" s="289">
        <v>2</v>
      </c>
      <c r="D18" s="247"/>
      <c r="E18" s="248"/>
      <c r="F18" s="249"/>
      <c r="G18" s="373"/>
      <c r="H18" s="315"/>
      <c r="I18" s="316"/>
      <c r="J18" s="326"/>
      <c r="K18" s="327"/>
      <c r="L18" s="328"/>
      <c r="M18" s="336">
        <f t="shared" si="1"/>
        <v>0</v>
      </c>
      <c r="N18" s="328"/>
      <c r="O18" s="699"/>
      <c r="P18" s="700"/>
      <c r="S18" s="299"/>
      <c r="T18" s="299"/>
    </row>
    <row r="19" spans="1:20" ht="20.149999999999999" customHeight="1">
      <c r="A19" s="674"/>
      <c r="B19" s="687"/>
      <c r="C19" s="289">
        <v>3</v>
      </c>
      <c r="D19" s="247"/>
      <c r="E19" s="291"/>
      <c r="F19" s="292"/>
      <c r="G19" s="373"/>
      <c r="H19" s="315"/>
      <c r="I19" s="316"/>
      <c r="J19" s="326"/>
      <c r="K19" s="327"/>
      <c r="L19" s="328"/>
      <c r="M19" s="336">
        <f t="shared" si="1"/>
        <v>0</v>
      </c>
      <c r="N19" s="298"/>
      <c r="O19" s="701"/>
      <c r="P19" s="702"/>
    </row>
    <row r="20" spans="1:20" ht="20.149999999999999" customHeight="1">
      <c r="A20" s="674"/>
      <c r="B20" s="687"/>
      <c r="C20" s="289">
        <v>4</v>
      </c>
      <c r="D20" s="247"/>
      <c r="E20" s="291"/>
      <c r="F20" s="292"/>
      <c r="G20" s="373"/>
      <c r="H20" s="315"/>
      <c r="I20" s="316"/>
      <c r="J20" s="326"/>
      <c r="K20" s="327"/>
      <c r="L20" s="328"/>
      <c r="M20" s="336">
        <f t="shared" si="1"/>
        <v>0</v>
      </c>
      <c r="N20" s="298"/>
      <c r="O20" s="703"/>
      <c r="P20" s="704"/>
    </row>
    <row r="21" spans="1:20" ht="20.149999999999999" customHeight="1" thickBot="1">
      <c r="A21" s="674"/>
      <c r="B21" s="687"/>
      <c r="C21" s="289">
        <v>5</v>
      </c>
      <c r="D21" s="254"/>
      <c r="E21" s="301"/>
      <c r="F21" s="302"/>
      <c r="G21" s="373"/>
      <c r="H21" s="315"/>
      <c r="I21" s="316"/>
      <c r="J21" s="330"/>
      <c r="K21" s="274"/>
      <c r="L21" s="331"/>
      <c r="M21" s="336">
        <f t="shared" si="1"/>
        <v>0</v>
      </c>
      <c r="N21" s="298"/>
      <c r="O21" s="705"/>
      <c r="P21" s="706"/>
      <c r="R21" s="361"/>
    </row>
    <row r="22" spans="1:20" ht="15.75" customHeight="1" thickTop="1" thickBot="1">
      <c r="A22" s="675"/>
      <c r="B22" s="688"/>
      <c r="C22" s="683"/>
      <c r="D22" s="684"/>
      <c r="E22" s="684"/>
      <c r="F22" s="684"/>
      <c r="G22" s="684"/>
      <c r="H22" s="684"/>
      <c r="I22" s="685"/>
      <c r="J22" s="305" t="s">
        <v>58</v>
      </c>
      <c r="K22" s="356">
        <f>M22/'生產管理報表 7-1(月)'!$B$9</f>
        <v>2.2939625331862848E-2</v>
      </c>
      <c r="L22" s="306" t="s">
        <v>59</v>
      </c>
      <c r="M22" s="348">
        <f>SUM(M17:M21)</f>
        <v>2104.3199999999997</v>
      </c>
      <c r="N22" s="660"/>
      <c r="O22" s="661"/>
      <c r="P22" s="662"/>
      <c r="R22" s="357"/>
    </row>
    <row r="23" spans="1:20" ht="15.75" customHeight="1" thickTop="1">
      <c r="M23" s="343"/>
      <c r="R23" s="357"/>
    </row>
    <row r="24" spans="1:20" ht="15.75" customHeight="1">
      <c r="A24" s="663" t="s">
        <v>193</v>
      </c>
      <c r="B24" s="664"/>
      <c r="C24" s="313" t="s">
        <v>47</v>
      </c>
      <c r="D24" s="665" t="s">
        <v>12</v>
      </c>
      <c r="E24" s="666"/>
      <c r="F24" s="667"/>
      <c r="G24" s="668" t="s">
        <v>53</v>
      </c>
      <c r="H24" s="669"/>
      <c r="I24" s="670"/>
      <c r="J24" s="314" t="s">
        <v>54</v>
      </c>
      <c r="K24" s="286" t="s">
        <v>55</v>
      </c>
      <c r="L24" s="286" t="s">
        <v>56</v>
      </c>
      <c r="M24" s="344" t="s">
        <v>11</v>
      </c>
      <c r="N24" s="287" t="s">
        <v>336</v>
      </c>
      <c r="O24" s="671" t="s">
        <v>51</v>
      </c>
      <c r="P24" s="672"/>
      <c r="R24" s="357"/>
    </row>
    <row r="25" spans="1:20" s="308" customFormat="1" ht="40" customHeight="1">
      <c r="A25" s="673">
        <v>6</v>
      </c>
      <c r="B25" s="686" t="s">
        <v>219</v>
      </c>
      <c r="C25" s="289">
        <v>1</v>
      </c>
      <c r="D25" s="247" t="s">
        <v>344</v>
      </c>
      <c r="E25" s="248"/>
      <c r="F25" s="249"/>
      <c r="G25" s="316" t="s">
        <v>338</v>
      </c>
      <c r="H25" s="315"/>
      <c r="I25" s="316"/>
      <c r="J25" s="326">
        <v>15.450000000000001</v>
      </c>
      <c r="K25" s="327">
        <v>5.3755465725076335E-3</v>
      </c>
      <c r="L25" s="328">
        <v>366</v>
      </c>
      <c r="M25" s="336">
        <f t="shared" ref="M25" si="2">L25*J25</f>
        <v>5654.7000000000007</v>
      </c>
      <c r="N25" s="328"/>
      <c r="O25" s="689"/>
      <c r="P25" s="690"/>
    </row>
    <row r="26" spans="1:20" ht="20.149999999999999" customHeight="1">
      <c r="A26" s="674"/>
      <c r="B26" s="687"/>
      <c r="C26" s="289">
        <v>2</v>
      </c>
      <c r="D26" s="290"/>
      <c r="E26" s="291"/>
      <c r="F26" s="292"/>
      <c r="G26" s="293"/>
      <c r="H26" s="294"/>
      <c r="I26" s="295"/>
      <c r="J26" s="296"/>
      <c r="K26" s="297"/>
      <c r="L26" s="298"/>
      <c r="M26" s="345">
        <v>0</v>
      </c>
      <c r="N26" s="298"/>
      <c r="O26" s="309"/>
      <c r="P26" s="310"/>
    </row>
    <row r="27" spans="1:20" ht="20.149999999999999" customHeight="1">
      <c r="A27" s="674"/>
      <c r="B27" s="687"/>
      <c r="C27" s="289">
        <v>3</v>
      </c>
      <c r="D27" s="290"/>
      <c r="E27" s="291"/>
      <c r="F27" s="292"/>
      <c r="G27" s="293"/>
      <c r="H27" s="294"/>
      <c r="I27" s="295"/>
      <c r="J27" s="296"/>
      <c r="K27" s="297"/>
      <c r="L27" s="298"/>
      <c r="M27" s="345">
        <v>0</v>
      </c>
      <c r="N27" s="298"/>
      <c r="O27" s="309"/>
      <c r="P27" s="310"/>
    </row>
    <row r="28" spans="1:20" ht="20.149999999999999" customHeight="1">
      <c r="A28" s="674"/>
      <c r="B28" s="687"/>
      <c r="C28" s="289">
        <v>4</v>
      </c>
      <c r="D28" s="290"/>
      <c r="E28" s="291"/>
      <c r="F28" s="292"/>
      <c r="G28" s="293"/>
      <c r="H28" s="294"/>
      <c r="I28" s="295"/>
      <c r="J28" s="296"/>
      <c r="K28" s="297"/>
      <c r="L28" s="298"/>
      <c r="M28" s="345">
        <v>0</v>
      </c>
      <c r="N28" s="298"/>
      <c r="O28" s="309"/>
      <c r="P28" s="310"/>
    </row>
    <row r="29" spans="1:20" ht="20.149999999999999" customHeight="1" thickBot="1">
      <c r="A29" s="674"/>
      <c r="B29" s="687"/>
      <c r="C29" s="289">
        <v>5</v>
      </c>
      <c r="D29" s="300"/>
      <c r="E29" s="301"/>
      <c r="F29" s="302"/>
      <c r="G29" s="293"/>
      <c r="H29" s="294"/>
      <c r="I29" s="295"/>
      <c r="J29" s="303"/>
      <c r="K29" s="380"/>
      <c r="L29" s="304"/>
      <c r="M29" s="345">
        <v>0</v>
      </c>
      <c r="N29" s="298"/>
      <c r="O29" s="311"/>
      <c r="P29" s="312"/>
    </row>
    <row r="30" spans="1:20" ht="15.75" customHeight="1" thickTop="1" thickBot="1">
      <c r="A30" s="675"/>
      <c r="B30" s="688"/>
      <c r="C30" s="683"/>
      <c r="D30" s="684"/>
      <c r="E30" s="684"/>
      <c r="F30" s="684"/>
      <c r="G30" s="684"/>
      <c r="H30" s="684"/>
      <c r="I30" s="685"/>
      <c r="J30" s="305" t="s">
        <v>58</v>
      </c>
      <c r="K30" s="356">
        <f>M30/'生產管理報表 7-1(月)'!$B$9</f>
        <v>6.164304828357136E-2</v>
      </c>
      <c r="L30" s="306" t="s">
        <v>59</v>
      </c>
      <c r="M30" s="348">
        <f>SUM(M25:M29)</f>
        <v>5654.7000000000007</v>
      </c>
      <c r="N30" s="660"/>
      <c r="O30" s="661"/>
      <c r="P30" s="662"/>
    </row>
    <row r="31" spans="1:20" ht="15.75" customHeight="1" thickTop="1">
      <c r="M31" s="343"/>
    </row>
    <row r="32" spans="1:20" ht="15.75" customHeight="1">
      <c r="A32" s="663" t="s">
        <v>193</v>
      </c>
      <c r="B32" s="664"/>
      <c r="C32" s="313" t="s">
        <v>47</v>
      </c>
      <c r="D32" s="665" t="s">
        <v>12</v>
      </c>
      <c r="E32" s="666"/>
      <c r="F32" s="667"/>
      <c r="G32" s="668" t="s">
        <v>53</v>
      </c>
      <c r="H32" s="669"/>
      <c r="I32" s="670"/>
      <c r="J32" s="314" t="s">
        <v>54</v>
      </c>
      <c r="K32" s="286" t="s">
        <v>55</v>
      </c>
      <c r="L32" s="286" t="s">
        <v>56</v>
      </c>
      <c r="M32" s="344" t="s">
        <v>11</v>
      </c>
      <c r="N32" s="287" t="s">
        <v>336</v>
      </c>
      <c r="O32" s="671" t="s">
        <v>51</v>
      </c>
      <c r="P32" s="672"/>
    </row>
    <row r="33" spans="1:16" ht="20.149999999999999" customHeight="1">
      <c r="A33" s="673">
        <v>7</v>
      </c>
      <c r="B33" s="676" t="s">
        <v>252</v>
      </c>
      <c r="C33" s="289">
        <v>1</v>
      </c>
      <c r="D33" s="290"/>
      <c r="E33" s="291"/>
      <c r="F33" s="292"/>
      <c r="G33" s="293"/>
      <c r="H33" s="294"/>
      <c r="I33" s="295"/>
      <c r="J33" s="296"/>
      <c r="K33" s="297"/>
      <c r="L33" s="298"/>
      <c r="M33" s="345">
        <f t="shared" ref="M33:M35" si="3">L33*J33</f>
        <v>0</v>
      </c>
      <c r="N33" s="298"/>
      <c r="O33" s="679"/>
      <c r="P33" s="680"/>
    </row>
    <row r="34" spans="1:16" ht="20.149999999999999" customHeight="1">
      <c r="A34" s="674"/>
      <c r="B34" s="677"/>
      <c r="C34" s="289">
        <v>2</v>
      </c>
      <c r="D34" s="290"/>
      <c r="E34" s="291"/>
      <c r="F34" s="292"/>
      <c r="G34" s="293"/>
      <c r="H34" s="294"/>
      <c r="I34" s="295"/>
      <c r="J34" s="296"/>
      <c r="K34" s="297"/>
      <c r="L34" s="298"/>
      <c r="M34" s="345">
        <f t="shared" si="3"/>
        <v>0</v>
      </c>
      <c r="N34" s="298"/>
      <c r="O34" s="681"/>
      <c r="P34" s="682"/>
    </row>
    <row r="35" spans="1:16" ht="20.149999999999999" customHeight="1">
      <c r="A35" s="674"/>
      <c r="B35" s="677"/>
      <c r="C35" s="289">
        <v>3</v>
      </c>
      <c r="D35" s="290"/>
      <c r="E35" s="291"/>
      <c r="F35" s="292"/>
      <c r="G35" s="293"/>
      <c r="H35" s="294"/>
      <c r="I35" s="295"/>
      <c r="J35" s="296"/>
      <c r="K35" s="297"/>
      <c r="L35" s="298"/>
      <c r="M35" s="345">
        <f t="shared" si="3"/>
        <v>0</v>
      </c>
      <c r="N35" s="298"/>
      <c r="O35" s="681"/>
      <c r="P35" s="682"/>
    </row>
    <row r="36" spans="1:16" ht="20.149999999999999" customHeight="1">
      <c r="A36" s="674"/>
      <c r="B36" s="677"/>
      <c r="C36" s="289">
        <v>4</v>
      </c>
      <c r="D36" s="290"/>
      <c r="E36" s="291"/>
      <c r="F36" s="292"/>
      <c r="G36" s="293"/>
      <c r="H36" s="294"/>
      <c r="I36" s="295"/>
      <c r="J36" s="296"/>
      <c r="K36" s="297"/>
      <c r="L36" s="298"/>
      <c r="M36" s="346">
        <v>0</v>
      </c>
      <c r="N36" s="298"/>
      <c r="O36" s="309"/>
      <c r="P36" s="310"/>
    </row>
    <row r="37" spans="1:16" ht="20.149999999999999" customHeight="1" thickBot="1">
      <c r="A37" s="674"/>
      <c r="B37" s="677"/>
      <c r="C37" s="289">
        <v>5</v>
      </c>
      <c r="D37" s="300"/>
      <c r="E37" s="301"/>
      <c r="F37" s="302"/>
      <c r="G37" s="293"/>
      <c r="H37" s="294"/>
      <c r="I37" s="295"/>
      <c r="J37" s="303"/>
      <c r="K37" s="274"/>
      <c r="L37" s="304"/>
      <c r="M37" s="347">
        <v>0</v>
      </c>
      <c r="N37" s="298"/>
      <c r="O37" s="311"/>
      <c r="P37" s="312"/>
    </row>
    <row r="38" spans="1:16" ht="15.75" customHeight="1" thickTop="1" thickBot="1">
      <c r="A38" s="675"/>
      <c r="B38" s="678"/>
      <c r="C38" s="683"/>
      <c r="D38" s="684"/>
      <c r="E38" s="684"/>
      <c r="F38" s="684"/>
      <c r="G38" s="684"/>
      <c r="H38" s="684"/>
      <c r="I38" s="685"/>
      <c r="J38" s="305" t="s">
        <v>58</v>
      </c>
      <c r="K38" s="356">
        <f>M38/'生產管理報表 7-1(月)'!$B$9</f>
        <v>0</v>
      </c>
      <c r="L38" s="306" t="s">
        <v>59</v>
      </c>
      <c r="M38" s="348">
        <f>SUM(M33:M37)</f>
        <v>0</v>
      </c>
      <c r="N38" s="660"/>
      <c r="O38" s="661"/>
      <c r="P38" s="662"/>
    </row>
    <row r="39" spans="1:16" ht="15.75" customHeight="1" thickTop="1"/>
    <row r="44" spans="1:16" ht="15.75" customHeight="1">
      <c r="O44" s="299" ph="1"/>
      <c r="P44" s="299" ph="1"/>
    </row>
    <row r="46" spans="1:16" ht="15.75" customHeight="1">
      <c r="O46" s="299" ph="1"/>
      <c r="P46" s="299" ph="1"/>
    </row>
    <row r="47" spans="1:16" ht="15.75" customHeight="1">
      <c r="O47" s="299" ph="1"/>
      <c r="P47" s="299" ph="1"/>
    </row>
    <row r="117" spans="15:16" ht="15.75" customHeight="1">
      <c r="O117" s="299" ph="1"/>
      <c r="P117" s="299" ph="1"/>
    </row>
    <row r="119" spans="15:16" ht="15.75" customHeight="1">
      <c r="O119" s="299" ph="1"/>
      <c r="P119" s="299" ph="1"/>
    </row>
    <row r="120" spans="15:16" ht="15.75" customHeight="1">
      <c r="O120" s="299" ph="1"/>
      <c r="P120" s="299" ph="1"/>
    </row>
    <row r="153" spans="15:16" ht="15.75" customHeight="1">
      <c r="O153" s="299" ph="1"/>
      <c r="P153" s="299" ph="1"/>
    </row>
    <row r="155" spans="15:16" ht="15.75" customHeight="1">
      <c r="O155" s="299" ph="1"/>
      <c r="P155" s="299" ph="1"/>
    </row>
    <row r="156" spans="15:16" ht="15.75" customHeight="1">
      <c r="O156" s="299" ph="1"/>
      <c r="P156" s="299" ph="1"/>
    </row>
  </sheetData>
  <mergeCells count="63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64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BW30"/>
  <sheetViews>
    <sheetView view="pageBreakPreview" zoomScaleNormal="60" zoomScaleSheetLayoutView="100" workbookViewId="0">
      <selection activeCell="K16" sqref="K16"/>
    </sheetView>
  </sheetViews>
  <sheetFormatPr defaultColWidth="12.54296875" defaultRowHeight="15.75" customHeight="1"/>
  <cols>
    <col min="1" max="1" width="5.453125" style="138" customWidth="1"/>
    <col min="2" max="2" width="11.453125" style="242" customWidth="1"/>
    <col min="3" max="3" width="4" style="243" customWidth="1"/>
    <col min="4" max="15" width="9.54296875" style="138" customWidth="1"/>
    <col min="16" max="16" width="47.81640625" style="138" customWidth="1"/>
    <col min="17" max="17" width="9.54296875" style="138" customWidth="1"/>
    <col min="18" max="21" width="12.54296875" style="241"/>
    <col min="22" max="22" width="24.453125" style="138" bestFit="1" customWidth="1"/>
    <col min="23" max="23" width="19.453125" style="138" bestFit="1" customWidth="1"/>
    <col min="24" max="24" width="23" style="138" bestFit="1" customWidth="1"/>
    <col min="25" max="25" width="11.7265625" style="138" bestFit="1" customWidth="1"/>
    <col min="26" max="26" width="15.81640625" style="138" bestFit="1" customWidth="1"/>
    <col min="27" max="27" width="23.54296875" style="138" bestFit="1" customWidth="1"/>
    <col min="28" max="28" width="23" style="138" bestFit="1" customWidth="1"/>
    <col min="29" max="29" width="11.7265625" style="138" bestFit="1" customWidth="1"/>
    <col min="30" max="30" width="20.54296875" style="138" bestFit="1" customWidth="1"/>
    <col min="31" max="31" width="15" style="138" bestFit="1" customWidth="1"/>
    <col min="32" max="32" width="23" style="138" bestFit="1" customWidth="1"/>
    <col min="33" max="33" width="11.7265625" style="138" bestFit="1" customWidth="1"/>
    <col min="34" max="34" width="15.81640625" style="138" bestFit="1" customWidth="1"/>
    <col min="35" max="35" width="15" style="138" bestFit="1" customWidth="1"/>
    <col min="36" max="36" width="23" style="138" bestFit="1" customWidth="1"/>
    <col min="37" max="37" width="15" style="138" bestFit="1" customWidth="1"/>
    <col min="38" max="38" width="23" style="138" bestFit="1" customWidth="1"/>
    <col min="39" max="39" width="11.7265625" style="138" bestFit="1" customWidth="1"/>
    <col min="40" max="40" width="13.81640625" style="138" bestFit="1" customWidth="1"/>
    <col min="41" max="41" width="27.81640625" style="138" bestFit="1" customWidth="1"/>
    <col min="42" max="42" width="23" style="138" bestFit="1" customWidth="1"/>
    <col min="43" max="43" width="8" style="138" bestFit="1" customWidth="1"/>
    <col min="44" max="44" width="30.7265625" style="138" bestFit="1" customWidth="1"/>
    <col min="45" max="45" width="25.7265625" style="138" bestFit="1" customWidth="1"/>
    <col min="46" max="46" width="23" style="138" bestFit="1" customWidth="1"/>
    <col min="47" max="47" width="15" style="138" bestFit="1" customWidth="1"/>
    <col min="48" max="48" width="23" style="138" bestFit="1" customWidth="1"/>
    <col min="49" max="49" width="11.7265625" style="138" bestFit="1" customWidth="1"/>
    <col min="50" max="50" width="20.1796875" style="138" bestFit="1" customWidth="1"/>
    <col min="51" max="51" width="23.54296875" style="138" bestFit="1" customWidth="1"/>
    <col min="52" max="52" width="23" style="138" bestFit="1" customWidth="1"/>
    <col min="53" max="53" width="11.7265625" style="138" bestFit="1" customWidth="1"/>
    <col min="54" max="54" width="21.453125" style="138" bestFit="1" customWidth="1"/>
    <col min="55" max="55" width="15" style="138" bestFit="1" customWidth="1"/>
    <col min="56" max="56" width="23" style="138" bestFit="1" customWidth="1"/>
    <col min="57" max="57" width="11.7265625" style="138" bestFit="1" customWidth="1"/>
    <col min="58" max="58" width="13.81640625" style="138" bestFit="1" customWidth="1"/>
    <col min="59" max="59" width="22" style="138" bestFit="1" customWidth="1"/>
    <col min="60" max="60" width="23" style="138" bestFit="1" customWidth="1"/>
    <col min="61" max="61" width="15" style="138" bestFit="1" customWidth="1"/>
    <col min="62" max="62" width="23" style="138" bestFit="1" customWidth="1"/>
    <col min="63" max="63" width="11.7265625" style="138" bestFit="1" customWidth="1"/>
    <col min="64" max="64" width="24.7265625" style="138" bestFit="1" customWidth="1"/>
    <col min="65" max="65" width="18.7265625" style="138" bestFit="1" customWidth="1"/>
    <col min="66" max="66" width="23" style="138" bestFit="1" customWidth="1"/>
    <col min="67" max="67" width="15" style="138" bestFit="1" customWidth="1"/>
    <col min="68" max="68" width="23" style="138" bestFit="1" customWidth="1"/>
    <col min="69" max="69" width="15" style="138" bestFit="1" customWidth="1"/>
    <col min="70" max="70" width="23" style="138" bestFit="1" customWidth="1"/>
    <col min="71" max="71" width="15" style="138" bestFit="1" customWidth="1"/>
    <col min="72" max="72" width="21.81640625" style="138" bestFit="1" customWidth="1"/>
    <col min="73" max="73" width="10.54296875" style="138" bestFit="1" customWidth="1"/>
    <col min="74" max="74" width="21.453125" style="138" bestFit="1" customWidth="1"/>
    <col min="75" max="75" width="5.453125" style="138" bestFit="1" customWidth="1"/>
    <col min="76" max="16384" width="12.54296875" style="138"/>
  </cols>
  <sheetData>
    <row r="1" spans="1:75" ht="15.75" customHeight="1">
      <c r="A1" s="626" t="s">
        <v>376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  <c r="N1" s="626"/>
      <c r="O1" s="626"/>
      <c r="P1" s="626"/>
      <c r="Q1" s="626"/>
    </row>
    <row r="2" spans="1:75" s="139" customFormat="1" ht="15.75" customHeight="1">
      <c r="A2" s="626"/>
      <c r="B2" s="626"/>
      <c r="C2" s="626"/>
      <c r="D2" s="626"/>
      <c r="E2" s="626"/>
      <c r="F2" s="626"/>
      <c r="G2" s="626"/>
      <c r="H2" s="626"/>
      <c r="I2" s="626"/>
      <c r="J2" s="626"/>
      <c r="K2" s="626"/>
      <c r="L2" s="626"/>
      <c r="M2" s="626"/>
      <c r="N2" s="626"/>
      <c r="O2" s="626"/>
      <c r="P2" s="626"/>
      <c r="Q2" s="626"/>
    </row>
    <row r="3" spans="1:75" ht="15.75" customHeight="1">
      <c r="A3" s="627" t="s">
        <v>469</v>
      </c>
      <c r="B3" s="656"/>
      <c r="C3" s="656"/>
      <c r="D3" s="656"/>
      <c r="E3" s="656"/>
      <c r="F3" s="656"/>
      <c r="G3" s="656"/>
      <c r="H3" s="656"/>
      <c r="I3" s="656"/>
      <c r="J3" s="656"/>
      <c r="K3" s="656"/>
      <c r="L3" s="656"/>
      <c r="M3" s="656"/>
    </row>
    <row r="4" spans="1:75" s="139" customFormat="1" ht="15.75" customHeight="1">
      <c r="A4" s="656"/>
      <c r="B4" s="656"/>
      <c r="C4" s="656"/>
      <c r="D4" s="656"/>
      <c r="E4" s="656"/>
      <c r="F4" s="656"/>
      <c r="G4" s="656"/>
      <c r="H4" s="656"/>
      <c r="I4" s="656"/>
      <c r="J4" s="656"/>
      <c r="K4" s="656"/>
      <c r="L4" s="656"/>
      <c r="M4" s="656"/>
    </row>
    <row r="5" spans="1:75" ht="15.75" customHeight="1">
      <c r="A5" s="629" t="s">
        <v>193</v>
      </c>
      <c r="B5" s="657">
        <v>1</v>
      </c>
      <c r="C5" s="657"/>
      <c r="D5" s="657">
        <v>2</v>
      </c>
      <c r="E5" s="657"/>
      <c r="F5" s="657">
        <v>3</v>
      </c>
      <c r="G5" s="657"/>
      <c r="H5" s="632">
        <v>4</v>
      </c>
      <c r="I5" s="632"/>
      <c r="J5" s="632">
        <v>5</v>
      </c>
      <c r="K5" s="632"/>
      <c r="L5" s="632">
        <v>6</v>
      </c>
      <c r="M5" s="632"/>
      <c r="N5" s="632">
        <v>7</v>
      </c>
      <c r="O5" s="632"/>
      <c r="P5" s="632">
        <v>8</v>
      </c>
      <c r="Q5" s="632"/>
    </row>
    <row r="6" spans="1:75" ht="15.75" customHeight="1">
      <c r="A6" s="629"/>
      <c r="B6" s="658" t="s">
        <v>501</v>
      </c>
      <c r="C6" s="658"/>
      <c r="D6" s="658" t="s">
        <v>215</v>
      </c>
      <c r="E6" s="658"/>
      <c r="F6" s="658" t="s">
        <v>168</v>
      </c>
      <c r="G6" s="658"/>
      <c r="H6" s="629" t="s">
        <v>466</v>
      </c>
      <c r="I6" s="629"/>
      <c r="J6" s="629" t="s">
        <v>191</v>
      </c>
      <c r="K6" s="629"/>
      <c r="L6" s="629" t="s">
        <v>169</v>
      </c>
      <c r="M6" s="629"/>
      <c r="N6" s="629" t="s">
        <v>192</v>
      </c>
      <c r="O6" s="629"/>
      <c r="P6" s="749" t="s">
        <v>220</v>
      </c>
      <c r="Q6" s="629"/>
    </row>
    <row r="8" spans="1:75" s="245" customFormat="1" ht="15.75" customHeight="1">
      <c r="A8" s="632" t="s">
        <v>193</v>
      </c>
      <c r="B8" s="632"/>
      <c r="C8" s="244" t="s">
        <v>47</v>
      </c>
      <c r="D8" s="650" t="s">
        <v>12</v>
      </c>
      <c r="E8" s="650"/>
      <c r="F8" s="650"/>
      <c r="G8" s="644" t="s">
        <v>53</v>
      </c>
      <c r="H8" s="645"/>
      <c r="I8" s="646"/>
      <c r="J8" s="244" t="s">
        <v>54</v>
      </c>
      <c r="K8" s="244" t="s">
        <v>55</v>
      </c>
      <c r="L8" s="244" t="s">
        <v>56</v>
      </c>
      <c r="M8" s="244" t="s">
        <v>11</v>
      </c>
      <c r="N8" s="244" t="s">
        <v>336</v>
      </c>
      <c r="O8" s="636" t="s">
        <v>51</v>
      </c>
      <c r="P8" s="636"/>
    </row>
    <row r="9" spans="1:75" ht="25" customHeight="1">
      <c r="A9" s="632">
        <v>1</v>
      </c>
      <c r="B9" s="647" t="s">
        <v>502</v>
      </c>
      <c r="C9" s="246">
        <v>1</v>
      </c>
      <c r="D9" s="247"/>
      <c r="E9" s="248"/>
      <c r="F9" s="249"/>
      <c r="G9" s="278"/>
      <c r="H9" s="248"/>
      <c r="I9" s="278"/>
      <c r="J9" s="246"/>
      <c r="K9" s="252"/>
      <c r="L9" s="246"/>
      <c r="M9" s="336">
        <f>L9*J9</f>
        <v>0</v>
      </c>
      <c r="N9" s="253"/>
      <c r="O9" s="710"/>
      <c r="P9" s="711"/>
    </row>
    <row r="10" spans="1:75" ht="25" customHeight="1">
      <c r="A10" s="632"/>
      <c r="B10" s="647"/>
      <c r="C10" s="246">
        <v>2</v>
      </c>
      <c r="D10" s="247"/>
      <c r="E10" s="248"/>
      <c r="F10" s="249"/>
      <c r="G10" s="247"/>
      <c r="H10" s="248"/>
      <c r="I10" s="278"/>
      <c r="J10" s="246"/>
      <c r="K10" s="252"/>
      <c r="L10" s="246"/>
      <c r="M10" s="336">
        <f t="shared" ref="M10:M13" si="0">L10*J10</f>
        <v>0</v>
      </c>
      <c r="N10" s="253"/>
      <c r="O10" s="744"/>
      <c r="P10" s="745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1"/>
      <c r="AU10" s="241"/>
      <c r="AV10" s="241"/>
      <c r="AW10" s="241"/>
      <c r="AX10" s="241"/>
      <c r="AY10" s="241"/>
      <c r="AZ10" s="241"/>
      <c r="BA10" s="241"/>
      <c r="BB10" s="241"/>
      <c r="BC10" s="241"/>
      <c r="BD10" s="241"/>
      <c r="BE10" s="241"/>
      <c r="BF10" s="241"/>
      <c r="BG10" s="241"/>
      <c r="BH10" s="241"/>
      <c r="BI10" s="241"/>
      <c r="BJ10" s="241"/>
      <c r="BK10" s="241"/>
      <c r="BL10" s="241"/>
      <c r="BM10" s="241"/>
      <c r="BN10" s="241"/>
      <c r="BO10" s="241"/>
      <c r="BP10" s="241"/>
      <c r="BQ10" s="241"/>
      <c r="BR10" s="241"/>
      <c r="BS10" s="241"/>
      <c r="BT10" s="241"/>
      <c r="BU10" s="241"/>
      <c r="BV10" s="241"/>
      <c r="BW10" s="241"/>
    </row>
    <row r="11" spans="1:75" ht="25" customHeight="1">
      <c r="A11" s="632"/>
      <c r="B11" s="647"/>
      <c r="C11" s="246">
        <v>3</v>
      </c>
      <c r="D11" s="247"/>
      <c r="E11" s="248"/>
      <c r="F11" s="249"/>
      <c r="G11" s="323"/>
      <c r="H11" s="324"/>
      <c r="I11" s="325"/>
      <c r="J11" s="246"/>
      <c r="K11" s="252"/>
      <c r="L11" s="246"/>
      <c r="M11" s="336">
        <f t="shared" si="0"/>
        <v>0</v>
      </c>
      <c r="N11" s="253"/>
      <c r="O11" s="744"/>
      <c r="P11" s="745"/>
      <c r="V11" s="241"/>
      <c r="W11" s="241"/>
      <c r="X11" s="241"/>
      <c r="Y11" s="241"/>
      <c r="Z11" s="241"/>
      <c r="AA11" s="241"/>
      <c r="AB11" s="241"/>
      <c r="AC11" s="241"/>
      <c r="AD11" s="241"/>
      <c r="AE11" s="241"/>
      <c r="AF11" s="241"/>
      <c r="AG11" s="241"/>
      <c r="AH11" s="241"/>
      <c r="AI11" s="241"/>
      <c r="AJ11" s="241"/>
      <c r="AK11" s="241"/>
      <c r="AL11" s="241"/>
      <c r="AM11" s="241"/>
      <c r="AN11" s="241"/>
      <c r="AO11" s="241"/>
      <c r="AP11" s="241"/>
      <c r="AQ11" s="241"/>
      <c r="AR11" s="241"/>
      <c r="AS11" s="241"/>
      <c r="AT11" s="241"/>
      <c r="AU11" s="241"/>
      <c r="AV11" s="241"/>
      <c r="AW11" s="241"/>
      <c r="AX11" s="241"/>
      <c r="AY11" s="241"/>
      <c r="AZ11" s="241"/>
      <c r="BA11" s="241"/>
      <c r="BB11" s="241"/>
      <c r="BC11" s="241"/>
      <c r="BD11" s="241"/>
      <c r="BE11" s="241"/>
      <c r="BF11" s="241"/>
      <c r="BG11" s="241"/>
      <c r="BH11" s="241"/>
      <c r="BI11" s="241"/>
      <c r="BJ11" s="241"/>
      <c r="BK11" s="241"/>
      <c r="BL11" s="241"/>
      <c r="BM11" s="241"/>
      <c r="BN11" s="241"/>
      <c r="BO11" s="241"/>
      <c r="BP11" s="241"/>
      <c r="BQ11" s="241"/>
      <c r="BR11" s="241"/>
      <c r="BS11" s="241"/>
      <c r="BT11" s="241"/>
      <c r="BU11" s="241"/>
      <c r="BV11" s="241"/>
      <c r="BW11" s="241"/>
    </row>
    <row r="12" spans="1:75" ht="25" customHeight="1">
      <c r="A12" s="632"/>
      <c r="B12" s="647"/>
      <c r="C12" s="246">
        <v>4</v>
      </c>
      <c r="D12" s="247"/>
      <c r="E12" s="248"/>
      <c r="F12" s="249"/>
      <c r="G12" s="387"/>
      <c r="H12" s="388"/>
      <c r="I12" s="389"/>
      <c r="J12" s="246"/>
      <c r="K12" s="252"/>
      <c r="L12" s="246"/>
      <c r="M12" s="336">
        <f t="shared" si="0"/>
        <v>0</v>
      </c>
      <c r="N12" s="253"/>
      <c r="O12" s="744"/>
      <c r="P12" s="745"/>
      <c r="V12" s="241"/>
      <c r="W12" s="241"/>
      <c r="X12" s="241"/>
      <c r="Y12" s="241"/>
      <c r="Z12" s="241"/>
      <c r="AA12" s="241"/>
      <c r="AB12" s="241"/>
      <c r="AC12" s="241"/>
      <c r="AD12" s="241"/>
      <c r="AE12" s="241"/>
      <c r="AF12" s="241"/>
      <c r="AG12" s="241"/>
      <c r="AH12" s="241"/>
      <c r="AI12" s="241"/>
      <c r="AJ12" s="241"/>
      <c r="AK12" s="241"/>
      <c r="AL12" s="241"/>
      <c r="AM12" s="241"/>
      <c r="AN12" s="241"/>
      <c r="AO12" s="241"/>
      <c r="AP12" s="241"/>
      <c r="AQ12" s="241"/>
      <c r="AR12" s="241"/>
      <c r="AS12" s="241"/>
      <c r="AT12" s="241"/>
      <c r="AU12" s="241"/>
      <c r="AV12" s="241"/>
      <c r="AW12" s="241"/>
      <c r="AX12" s="241"/>
      <c r="AY12" s="241"/>
      <c r="AZ12" s="241"/>
      <c r="BA12" s="241"/>
      <c r="BB12" s="241"/>
      <c r="BC12" s="241"/>
      <c r="BD12" s="241"/>
      <c r="BE12" s="241"/>
      <c r="BF12" s="241"/>
      <c r="BG12" s="241"/>
      <c r="BH12" s="241"/>
      <c r="BI12" s="241"/>
      <c r="BJ12" s="241"/>
      <c r="BK12" s="241"/>
      <c r="BL12" s="241"/>
      <c r="BM12" s="241"/>
      <c r="BN12" s="241"/>
      <c r="BO12" s="241"/>
      <c r="BP12" s="241"/>
      <c r="BQ12" s="241"/>
      <c r="BR12" s="241"/>
      <c r="BS12" s="241"/>
      <c r="BT12" s="241"/>
      <c r="BU12" s="241"/>
      <c r="BV12" s="241"/>
      <c r="BW12" s="241"/>
    </row>
    <row r="13" spans="1:75" ht="25" customHeight="1" thickBot="1">
      <c r="A13" s="632"/>
      <c r="B13" s="647"/>
      <c r="C13" s="246">
        <v>5</v>
      </c>
      <c r="D13" s="254"/>
      <c r="E13" s="255"/>
      <c r="F13" s="256"/>
      <c r="G13" s="387"/>
      <c r="H13" s="388"/>
      <c r="I13" s="389"/>
      <c r="J13" s="257"/>
      <c r="K13" s="258"/>
      <c r="L13" s="257"/>
      <c r="M13" s="337">
        <f t="shared" si="0"/>
        <v>0</v>
      </c>
      <c r="N13" s="253"/>
      <c r="O13" s="744"/>
      <c r="P13" s="745"/>
      <c r="V13" s="241"/>
      <c r="W13" s="241"/>
      <c r="X13" s="241"/>
      <c r="Y13" s="241"/>
      <c r="Z13" s="241"/>
      <c r="AA13" s="241"/>
      <c r="AB13" s="241"/>
      <c r="AC13" s="241"/>
      <c r="AD13" s="241"/>
      <c r="AE13" s="241"/>
      <c r="AF13" s="241"/>
      <c r="AG13" s="241"/>
      <c r="AH13" s="241"/>
      <c r="AI13" s="241"/>
      <c r="AJ13" s="241"/>
      <c r="AK13" s="241"/>
      <c r="AL13" s="241"/>
      <c r="AM13" s="241"/>
      <c r="AN13" s="241"/>
      <c r="AO13" s="241"/>
      <c r="AP13" s="241"/>
      <c r="AQ13" s="241"/>
      <c r="AR13" s="241"/>
      <c r="AS13" s="241"/>
      <c r="AT13" s="241"/>
      <c r="AU13" s="241"/>
      <c r="AV13" s="241"/>
      <c r="AW13" s="241"/>
      <c r="AX13" s="241"/>
      <c r="AY13" s="241"/>
      <c r="AZ13" s="241"/>
      <c r="BA13" s="241"/>
      <c r="BB13" s="241"/>
      <c r="BC13" s="241"/>
      <c r="BD13" s="241"/>
      <c r="BE13" s="241"/>
      <c r="BF13" s="241"/>
      <c r="BG13" s="241"/>
      <c r="BH13" s="241"/>
      <c r="BI13" s="241"/>
      <c r="BJ13" s="241"/>
      <c r="BK13" s="241"/>
      <c r="BL13" s="241"/>
      <c r="BM13" s="241"/>
      <c r="BN13" s="241"/>
      <c r="BO13" s="241"/>
      <c r="BP13" s="241"/>
      <c r="BQ13" s="241"/>
      <c r="BR13" s="241"/>
      <c r="BS13" s="241"/>
      <c r="BT13" s="241"/>
      <c r="BU13" s="241"/>
      <c r="BV13" s="241"/>
      <c r="BW13" s="241"/>
    </row>
    <row r="14" spans="1:75" ht="15.75" customHeight="1" thickTop="1">
      <c r="A14" s="632"/>
      <c r="B14" s="647"/>
      <c r="C14" s="638"/>
      <c r="D14" s="639"/>
      <c r="E14" s="639"/>
      <c r="F14" s="639"/>
      <c r="G14" s="639"/>
      <c r="H14" s="639"/>
      <c r="I14" s="640"/>
      <c r="J14" s="259" t="s">
        <v>58</v>
      </c>
      <c r="K14" s="356">
        <f>M14/'生產管理報表 7-1(月)'!$B$10</f>
        <v>0</v>
      </c>
      <c r="L14" s="259" t="s">
        <v>59</v>
      </c>
      <c r="M14" s="338">
        <f>SUM(M9:M13)</f>
        <v>0</v>
      </c>
      <c r="N14" s="746"/>
      <c r="O14" s="747"/>
      <c r="P14" s="748"/>
      <c r="V14" s="241"/>
      <c r="W14" s="241"/>
      <c r="X14" s="241"/>
      <c r="Y14" s="241"/>
      <c r="Z14" s="241"/>
      <c r="AA14" s="241"/>
      <c r="AB14" s="241"/>
      <c r="AC14" s="241"/>
      <c r="AD14" s="241"/>
      <c r="AE14" s="241"/>
      <c r="AF14" s="241"/>
      <c r="AG14" s="241"/>
      <c r="AH14" s="241"/>
      <c r="AI14" s="241"/>
      <c r="AJ14" s="241"/>
      <c r="AK14" s="241"/>
      <c r="AL14" s="241"/>
      <c r="AM14" s="241"/>
      <c r="AN14" s="241"/>
      <c r="AO14" s="241"/>
      <c r="AP14" s="241"/>
      <c r="AQ14" s="241"/>
      <c r="AR14" s="241"/>
      <c r="AS14" s="241"/>
      <c r="AT14" s="241"/>
      <c r="AU14" s="241"/>
      <c r="AV14" s="241"/>
      <c r="AW14" s="241"/>
      <c r="AX14" s="241"/>
      <c r="AY14" s="241"/>
      <c r="AZ14" s="241"/>
      <c r="BA14" s="241"/>
      <c r="BB14" s="241"/>
      <c r="BC14" s="241"/>
      <c r="BD14" s="241"/>
      <c r="BE14" s="241"/>
      <c r="BF14" s="241"/>
      <c r="BG14" s="241"/>
      <c r="BH14" s="241"/>
      <c r="BI14" s="241"/>
      <c r="BJ14" s="241"/>
      <c r="BK14" s="241"/>
      <c r="BL14" s="241"/>
      <c r="BM14" s="241"/>
      <c r="BN14" s="241"/>
      <c r="BO14" s="241"/>
      <c r="BP14" s="241"/>
      <c r="BQ14" s="241"/>
      <c r="BR14" s="241"/>
      <c r="BS14" s="241"/>
      <c r="BT14" s="241"/>
      <c r="BU14" s="241"/>
      <c r="BV14" s="241"/>
      <c r="BW14" s="241"/>
    </row>
    <row r="15" spans="1:75" ht="15.75" customHeight="1">
      <c r="D15" s="243"/>
      <c r="E15" s="243"/>
      <c r="F15" s="243"/>
      <c r="G15" s="243"/>
      <c r="H15" s="243"/>
      <c r="I15" s="243"/>
      <c r="J15" s="243"/>
      <c r="K15" s="243"/>
      <c r="L15" s="243"/>
      <c r="M15" s="243"/>
      <c r="N15" s="261"/>
      <c r="O15" s="261"/>
      <c r="P15" s="261"/>
      <c r="V15" s="241"/>
      <c r="W15" s="241"/>
      <c r="X15" s="241"/>
      <c r="Y15" s="241"/>
      <c r="Z15" s="241"/>
      <c r="AA15" s="241"/>
      <c r="AB15" s="241"/>
      <c r="AC15" s="241"/>
      <c r="AD15" s="241"/>
      <c r="AE15" s="241"/>
      <c r="AF15" s="241"/>
      <c r="AG15" s="241"/>
      <c r="AH15" s="241"/>
      <c r="AI15" s="241"/>
      <c r="AJ15" s="241"/>
      <c r="AK15" s="241"/>
      <c r="AL15" s="241"/>
      <c r="AM15" s="241"/>
      <c r="AN15" s="241"/>
      <c r="AO15" s="241"/>
      <c r="AP15" s="241"/>
      <c r="AQ15" s="241"/>
      <c r="AR15" s="241"/>
      <c r="AS15" s="241"/>
      <c r="AT15" s="241"/>
      <c r="AU15" s="241"/>
      <c r="AV15" s="241"/>
      <c r="AW15" s="241"/>
      <c r="AX15" s="241"/>
      <c r="AY15" s="241"/>
      <c r="AZ15" s="241"/>
      <c r="BA15" s="241"/>
      <c r="BB15" s="241"/>
      <c r="BC15" s="241"/>
      <c r="BD15" s="241"/>
      <c r="BE15" s="241"/>
      <c r="BF15" s="241"/>
      <c r="BG15" s="241"/>
      <c r="BH15" s="241"/>
      <c r="BI15" s="241"/>
      <c r="BJ15" s="241"/>
      <c r="BK15" s="241"/>
      <c r="BL15" s="241"/>
      <c r="BM15" s="241"/>
      <c r="BN15" s="241"/>
      <c r="BO15" s="241"/>
      <c r="BP15" s="241"/>
      <c r="BQ15" s="241"/>
      <c r="BR15" s="241"/>
      <c r="BS15" s="241"/>
      <c r="BT15" s="241"/>
      <c r="BU15" s="241"/>
      <c r="BV15" s="241"/>
      <c r="BW15" s="241"/>
    </row>
    <row r="16" spans="1:75" ht="15.75" customHeight="1">
      <c r="A16" s="632" t="s">
        <v>193</v>
      </c>
      <c r="B16" s="632"/>
      <c r="C16" s="262" t="s">
        <v>47</v>
      </c>
      <c r="D16" s="641" t="s">
        <v>12</v>
      </c>
      <c r="E16" s="642"/>
      <c r="F16" s="643"/>
      <c r="G16" s="644" t="s">
        <v>53</v>
      </c>
      <c r="H16" s="645"/>
      <c r="I16" s="646"/>
      <c r="J16" s="264" t="s">
        <v>54</v>
      </c>
      <c r="K16" s="264" t="s">
        <v>55</v>
      </c>
      <c r="L16" s="264" t="s">
        <v>56</v>
      </c>
      <c r="M16" s="264" t="s">
        <v>11</v>
      </c>
      <c r="N16" s="265" t="s">
        <v>336</v>
      </c>
      <c r="O16" s="737" t="s">
        <v>51</v>
      </c>
      <c r="P16" s="738"/>
      <c r="V16" s="241"/>
      <c r="W16" s="241"/>
      <c r="X16" s="241"/>
      <c r="Y16" s="241"/>
      <c r="Z16" s="241"/>
      <c r="AA16" s="241"/>
      <c r="AB16" s="241"/>
      <c r="AC16" s="241"/>
      <c r="AD16" s="241"/>
      <c r="AE16" s="241"/>
      <c r="AF16" s="241"/>
      <c r="AG16" s="241"/>
      <c r="AH16" s="241"/>
      <c r="AI16" s="241"/>
      <c r="AJ16" s="241"/>
    </row>
    <row r="17" spans="1:36" ht="20.149999999999999" customHeight="1">
      <c r="A17" s="632">
        <v>2</v>
      </c>
      <c r="B17" s="647" t="s">
        <v>216</v>
      </c>
      <c r="C17" s="266">
        <v>1</v>
      </c>
      <c r="D17" s="247"/>
      <c r="E17" s="248"/>
      <c r="F17" s="249"/>
      <c r="G17" s="247"/>
      <c r="H17" s="248"/>
      <c r="I17" s="249"/>
      <c r="J17" s="267"/>
      <c r="K17" s="268"/>
      <c r="L17" s="267"/>
      <c r="M17" s="269">
        <f t="shared" ref="M17:M21" si="1">L17*J17</f>
        <v>0</v>
      </c>
      <c r="N17" s="270"/>
      <c r="O17" s="739"/>
      <c r="P17" s="740"/>
      <c r="V17" s="241"/>
      <c r="W17" s="241"/>
      <c r="X17" s="241"/>
      <c r="Y17" s="241"/>
      <c r="Z17" s="241"/>
      <c r="AA17" s="241"/>
      <c r="AB17" s="241"/>
      <c r="AC17" s="241"/>
      <c r="AD17" s="241"/>
      <c r="AE17" s="241"/>
      <c r="AF17" s="241"/>
      <c r="AG17" s="241"/>
      <c r="AH17" s="241"/>
      <c r="AI17" s="241"/>
      <c r="AJ17" s="241"/>
    </row>
    <row r="18" spans="1:36" ht="20.149999999999999" customHeight="1">
      <c r="A18" s="632"/>
      <c r="B18" s="647"/>
      <c r="C18" s="266">
        <v>2</v>
      </c>
      <c r="D18" s="247"/>
      <c r="E18" s="248"/>
      <c r="F18" s="249"/>
      <c r="G18" s="247"/>
      <c r="H18" s="248"/>
      <c r="I18" s="249"/>
      <c r="J18" s="267"/>
      <c r="K18" s="268"/>
      <c r="L18" s="267"/>
      <c r="M18" s="269">
        <f t="shared" si="1"/>
        <v>0</v>
      </c>
      <c r="N18" s="270"/>
      <c r="O18" s="739"/>
      <c r="P18" s="740"/>
      <c r="V18" s="241"/>
      <c r="W18" s="241"/>
      <c r="X18" s="241"/>
      <c r="Y18" s="241"/>
      <c r="Z18" s="241"/>
      <c r="AA18" s="241"/>
      <c r="AB18" s="241"/>
      <c r="AC18" s="241"/>
      <c r="AD18" s="241"/>
      <c r="AE18" s="241"/>
      <c r="AF18" s="241"/>
      <c r="AG18" s="241"/>
      <c r="AH18" s="241"/>
      <c r="AI18" s="241"/>
      <c r="AJ18" s="241"/>
    </row>
    <row r="19" spans="1:36" ht="20.149999999999999" customHeight="1">
      <c r="A19" s="632"/>
      <c r="B19" s="647"/>
      <c r="C19" s="266">
        <v>3</v>
      </c>
      <c r="D19" s="247"/>
      <c r="E19" s="248"/>
      <c r="F19" s="249"/>
      <c r="G19" s="247"/>
      <c r="H19" s="248"/>
      <c r="I19" s="249"/>
      <c r="J19" s="267"/>
      <c r="K19" s="268"/>
      <c r="L19" s="267"/>
      <c r="M19" s="269">
        <f t="shared" si="1"/>
        <v>0</v>
      </c>
      <c r="N19" s="270"/>
      <c r="O19" s="739"/>
      <c r="P19" s="740"/>
      <c r="V19" s="241"/>
      <c r="W19" s="241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1"/>
    </row>
    <row r="20" spans="1:36" ht="20.149999999999999" customHeight="1">
      <c r="A20" s="632"/>
      <c r="B20" s="647"/>
      <c r="C20" s="266">
        <v>4</v>
      </c>
      <c r="D20" s="247"/>
      <c r="E20" s="248"/>
      <c r="F20" s="249"/>
      <c r="G20" s="247"/>
      <c r="H20" s="248"/>
      <c r="I20" s="249"/>
      <c r="J20" s="267"/>
      <c r="K20" s="268"/>
      <c r="L20" s="267"/>
      <c r="M20" s="269">
        <f t="shared" si="1"/>
        <v>0</v>
      </c>
      <c r="N20" s="270"/>
      <c r="O20" s="739"/>
      <c r="P20" s="740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</row>
    <row r="21" spans="1:36" ht="20.149999999999999" customHeight="1" thickBot="1">
      <c r="A21" s="632"/>
      <c r="B21" s="647"/>
      <c r="C21" s="272">
        <v>5</v>
      </c>
      <c r="D21" s="254"/>
      <c r="E21" s="255"/>
      <c r="F21" s="256"/>
      <c r="G21" s="254"/>
      <c r="H21" s="255"/>
      <c r="I21" s="256"/>
      <c r="J21" s="273"/>
      <c r="K21" s="274"/>
      <c r="L21" s="273"/>
      <c r="M21" s="275">
        <f t="shared" si="1"/>
        <v>0</v>
      </c>
      <c r="N21" s="276"/>
      <c r="O21" s="739"/>
      <c r="P21" s="740"/>
      <c r="V21" s="241"/>
      <c r="W21" s="241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1"/>
    </row>
    <row r="22" spans="1:36" ht="15.75" customHeight="1" thickTop="1">
      <c r="A22" s="632"/>
      <c r="B22" s="647"/>
      <c r="C22" s="638"/>
      <c r="D22" s="639"/>
      <c r="E22" s="639"/>
      <c r="F22" s="639"/>
      <c r="G22" s="639"/>
      <c r="H22" s="639"/>
      <c r="I22" s="640"/>
      <c r="J22" s="259" t="s">
        <v>58</v>
      </c>
      <c r="K22" s="356">
        <f>M22/'生產管理報表 7-1(月)'!$B$10</f>
        <v>0</v>
      </c>
      <c r="L22" s="259" t="s">
        <v>59</v>
      </c>
      <c r="M22" s="260">
        <f>SUM(M17:M21)</f>
        <v>0</v>
      </c>
      <c r="N22" s="741"/>
      <c r="O22" s="742"/>
      <c r="P22" s="743"/>
      <c r="V22" s="241"/>
      <c r="W22" s="241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1"/>
    </row>
    <row r="23" spans="1:36" ht="15.75" customHeight="1"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77"/>
      <c r="O23" s="277"/>
      <c r="P23" s="277"/>
      <c r="V23" s="241"/>
      <c r="W23" s="241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1"/>
    </row>
    <row r="24" spans="1:36" ht="15.75" customHeight="1">
      <c r="A24" s="632" t="s">
        <v>193</v>
      </c>
      <c r="B24" s="632"/>
      <c r="C24" s="262" t="s">
        <v>47</v>
      </c>
      <c r="D24" s="641" t="s">
        <v>12</v>
      </c>
      <c r="E24" s="642"/>
      <c r="F24" s="643"/>
      <c r="G24" s="644" t="s">
        <v>53</v>
      </c>
      <c r="H24" s="645"/>
      <c r="I24" s="646"/>
      <c r="J24" s="263" t="s">
        <v>54</v>
      </c>
      <c r="K24" s="264" t="s">
        <v>55</v>
      </c>
      <c r="L24" s="264" t="s">
        <v>56</v>
      </c>
      <c r="M24" s="264" t="s">
        <v>11</v>
      </c>
      <c r="N24" s="265" t="s">
        <v>336</v>
      </c>
      <c r="O24" s="735" t="s">
        <v>51</v>
      </c>
      <c r="P24" s="736"/>
      <c r="V24" s="241"/>
      <c r="W24" s="241"/>
      <c r="X24" s="241"/>
      <c r="Y24" s="241"/>
      <c r="Z24" s="241"/>
      <c r="AA24" s="241"/>
      <c r="AB24" s="241"/>
      <c r="AC24" s="241"/>
      <c r="AD24" s="241"/>
      <c r="AE24" s="241"/>
      <c r="AF24" s="241"/>
      <c r="AG24" s="241"/>
      <c r="AH24" s="241"/>
      <c r="AI24" s="241"/>
      <c r="AJ24" s="241"/>
    </row>
    <row r="25" spans="1:36" ht="25" customHeight="1">
      <c r="A25" s="632">
        <v>3</v>
      </c>
      <c r="B25" s="647" t="s">
        <v>452</v>
      </c>
      <c r="C25" s="266">
        <v>1</v>
      </c>
      <c r="D25" s="247"/>
      <c r="E25" s="248"/>
      <c r="F25" s="249"/>
      <c r="G25" s="387"/>
      <c r="H25" s="388"/>
      <c r="I25" s="389"/>
      <c r="J25" s="279"/>
      <c r="K25" s="268"/>
      <c r="L25" s="267"/>
      <c r="M25" s="339">
        <f t="shared" ref="M25:M29" si="2">L25*J25</f>
        <v>0</v>
      </c>
      <c r="N25" s="280"/>
      <c r="O25" s="730"/>
      <c r="P25" s="731"/>
      <c r="V25" s="241"/>
      <c r="W25" s="241"/>
      <c r="X25" s="241"/>
      <c r="Y25" s="241"/>
      <c r="Z25" s="241"/>
      <c r="AA25" s="241"/>
      <c r="AB25" s="241"/>
      <c r="AC25" s="241"/>
      <c r="AD25" s="241"/>
      <c r="AE25" s="241"/>
      <c r="AF25" s="241"/>
      <c r="AG25" s="241"/>
      <c r="AH25" s="241"/>
      <c r="AI25" s="241"/>
      <c r="AJ25" s="241"/>
    </row>
    <row r="26" spans="1:36" ht="25" customHeight="1">
      <c r="A26" s="632"/>
      <c r="B26" s="647"/>
      <c r="C26" s="266">
        <v>2</v>
      </c>
      <c r="D26" s="247"/>
      <c r="E26" s="248"/>
      <c r="F26" s="249"/>
      <c r="G26" s="387"/>
      <c r="H26" s="388"/>
      <c r="I26" s="389"/>
      <c r="J26" s="279"/>
      <c r="K26" s="268"/>
      <c r="L26" s="267"/>
      <c r="M26" s="339">
        <f t="shared" si="2"/>
        <v>0</v>
      </c>
      <c r="N26" s="280"/>
      <c r="O26" s="730"/>
      <c r="P26" s="731"/>
      <c r="V26" s="241"/>
      <c r="W26" s="241"/>
      <c r="X26" s="241"/>
      <c r="Y26" s="241"/>
      <c r="Z26" s="241"/>
      <c r="AA26" s="241"/>
      <c r="AB26" s="241"/>
      <c r="AC26" s="241"/>
      <c r="AD26" s="241"/>
      <c r="AE26" s="241"/>
      <c r="AF26" s="241"/>
      <c r="AG26" s="241"/>
      <c r="AH26" s="241"/>
      <c r="AI26" s="241"/>
      <c r="AJ26" s="241"/>
    </row>
    <row r="27" spans="1:36" ht="25" customHeight="1">
      <c r="A27" s="632"/>
      <c r="B27" s="647"/>
      <c r="C27" s="266">
        <v>3</v>
      </c>
      <c r="D27" s="247"/>
      <c r="E27" s="248"/>
      <c r="F27" s="249"/>
      <c r="G27" s="387"/>
      <c r="H27" s="388"/>
      <c r="I27" s="389"/>
      <c r="J27" s="279"/>
      <c r="K27" s="268"/>
      <c r="L27" s="267"/>
      <c r="M27" s="339">
        <f t="shared" si="2"/>
        <v>0</v>
      </c>
      <c r="N27" s="280"/>
      <c r="O27" s="730"/>
      <c r="P27" s="731"/>
      <c r="V27" s="241"/>
      <c r="W27" s="241"/>
      <c r="X27" s="241"/>
      <c r="Y27" s="241"/>
      <c r="Z27" s="241"/>
      <c r="AA27" s="241"/>
      <c r="AB27" s="241"/>
      <c r="AC27" s="241"/>
      <c r="AD27" s="241"/>
      <c r="AE27" s="241"/>
      <c r="AF27" s="241"/>
      <c r="AG27" s="241"/>
      <c r="AH27" s="241"/>
      <c r="AI27" s="241"/>
      <c r="AJ27" s="241"/>
    </row>
    <row r="28" spans="1:36" ht="25" customHeight="1">
      <c r="A28" s="632"/>
      <c r="B28" s="647"/>
      <c r="C28" s="266">
        <v>4</v>
      </c>
      <c r="D28" s="247"/>
      <c r="E28" s="248"/>
      <c r="F28" s="249"/>
      <c r="G28" s="247"/>
      <c r="H28" s="248"/>
      <c r="I28" s="278"/>
      <c r="J28" s="279"/>
      <c r="K28" s="268"/>
      <c r="L28" s="267"/>
      <c r="M28" s="339">
        <f t="shared" si="2"/>
        <v>0</v>
      </c>
      <c r="N28" s="280"/>
      <c r="O28" s="730"/>
      <c r="P28" s="731"/>
      <c r="V28" s="241"/>
      <c r="W28" s="241"/>
      <c r="X28" s="241"/>
      <c r="Y28" s="241"/>
      <c r="Z28" s="241"/>
      <c r="AA28" s="241"/>
      <c r="AB28" s="241"/>
      <c r="AC28" s="241"/>
      <c r="AD28" s="241"/>
      <c r="AE28" s="241"/>
      <c r="AF28" s="241"/>
      <c r="AG28" s="241"/>
      <c r="AH28" s="241"/>
      <c r="AI28" s="241"/>
      <c r="AJ28" s="241"/>
    </row>
    <row r="29" spans="1:36" ht="25" customHeight="1" thickBot="1">
      <c r="A29" s="632"/>
      <c r="B29" s="647"/>
      <c r="C29" s="272">
        <v>5</v>
      </c>
      <c r="D29" s="254"/>
      <c r="E29" s="255"/>
      <c r="F29" s="256"/>
      <c r="G29" s="254"/>
      <c r="H29" s="255"/>
      <c r="I29" s="281"/>
      <c r="J29" s="282"/>
      <c r="K29" s="274"/>
      <c r="L29" s="283"/>
      <c r="M29" s="339">
        <f t="shared" si="2"/>
        <v>0</v>
      </c>
      <c r="N29" s="280"/>
      <c r="O29" s="730"/>
      <c r="P29" s="731"/>
      <c r="V29" s="241"/>
      <c r="W29" s="241"/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241"/>
      <c r="AI29" s="241"/>
      <c r="AJ29" s="241"/>
    </row>
    <row r="30" spans="1:36" ht="15.75" customHeight="1" thickTop="1">
      <c r="A30" s="632"/>
      <c r="B30" s="647"/>
      <c r="C30" s="638"/>
      <c r="D30" s="639"/>
      <c r="E30" s="639"/>
      <c r="F30" s="639"/>
      <c r="G30" s="639"/>
      <c r="H30" s="639"/>
      <c r="I30" s="640"/>
      <c r="J30" s="284" t="s">
        <v>58</v>
      </c>
      <c r="K30" s="356">
        <f>M30/'生產管理報表 7-1(月)'!$B$10</f>
        <v>0</v>
      </c>
      <c r="L30" s="284" t="s">
        <v>59</v>
      </c>
      <c r="M30" s="340">
        <f>SUM(M25:M29)</f>
        <v>0</v>
      </c>
      <c r="N30" s="732"/>
      <c r="O30" s="733"/>
      <c r="P30" s="734"/>
      <c r="V30" s="241"/>
      <c r="W30" s="241"/>
      <c r="X30" s="241"/>
      <c r="Y30" s="241"/>
      <c r="Z30" s="241"/>
      <c r="AA30" s="241"/>
      <c r="AB30" s="241"/>
      <c r="AC30" s="241"/>
      <c r="AD30" s="241"/>
      <c r="AE30" s="241"/>
      <c r="AF30" s="241"/>
      <c r="AG30" s="241"/>
      <c r="AH30" s="241"/>
      <c r="AI30" s="241"/>
      <c r="AJ30" s="241"/>
    </row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T156"/>
  <sheetViews>
    <sheetView view="pageBreakPreview" topLeftCell="A22" zoomScale="91" zoomScaleNormal="60" zoomScaleSheetLayoutView="91" workbookViewId="0">
      <selection activeCell="K16" sqref="K16"/>
    </sheetView>
  </sheetViews>
  <sheetFormatPr defaultColWidth="12.54296875" defaultRowHeight="15.75" customHeight="1"/>
  <cols>
    <col min="1" max="1" width="5.453125" style="299" customWidth="1"/>
    <col min="2" max="2" width="11.453125" style="307" customWidth="1"/>
    <col min="3" max="3" width="4" style="308" customWidth="1"/>
    <col min="4" max="4" width="9.54296875" style="299" customWidth="1"/>
    <col min="5" max="5" width="10.26953125" style="299" customWidth="1"/>
    <col min="6" max="15" width="9.54296875" style="299" customWidth="1"/>
    <col min="16" max="16" width="35.453125" style="299" customWidth="1"/>
    <col min="17" max="16384" width="12.54296875" style="299"/>
  </cols>
  <sheetData>
    <row r="1" spans="1:20" s="138" customFormat="1" ht="15.75" customHeight="1">
      <c r="A1" s="626" t="s">
        <v>376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  <c r="N1" s="626"/>
      <c r="O1" s="626"/>
      <c r="P1" s="626"/>
    </row>
    <row r="2" spans="1:20" s="139" customFormat="1" ht="15.75" customHeight="1">
      <c r="A2" s="626"/>
      <c r="B2" s="626"/>
      <c r="C2" s="626"/>
      <c r="D2" s="626"/>
      <c r="E2" s="626"/>
      <c r="F2" s="626"/>
      <c r="G2" s="626"/>
      <c r="H2" s="626"/>
      <c r="I2" s="626"/>
      <c r="J2" s="626"/>
      <c r="K2" s="626"/>
      <c r="L2" s="626"/>
      <c r="M2" s="626"/>
      <c r="N2" s="626"/>
      <c r="O2" s="626"/>
      <c r="P2" s="626"/>
    </row>
    <row r="3" spans="1:20" s="138" customFormat="1" ht="15.75" customHeight="1">
      <c r="A3" s="627" t="s">
        <v>469</v>
      </c>
      <c r="B3" s="627"/>
      <c r="C3" s="627"/>
      <c r="D3" s="627"/>
      <c r="E3" s="627"/>
      <c r="F3" s="627"/>
      <c r="G3" s="627"/>
      <c r="H3" s="627"/>
      <c r="I3" s="627"/>
      <c r="J3" s="627"/>
      <c r="K3" s="627"/>
      <c r="L3" s="627"/>
      <c r="M3" s="627"/>
    </row>
    <row r="4" spans="1:20" s="139" customFormat="1" ht="15.75" customHeight="1">
      <c r="A4" s="725"/>
      <c r="B4" s="725"/>
      <c r="C4" s="725"/>
      <c r="D4" s="725"/>
      <c r="E4" s="725"/>
      <c r="F4" s="725"/>
      <c r="G4" s="725"/>
      <c r="H4" s="725"/>
      <c r="I4" s="725"/>
      <c r="J4" s="725"/>
      <c r="K4" s="725"/>
      <c r="L4" s="725"/>
      <c r="M4" s="725"/>
    </row>
    <row r="5" spans="1:20" s="138" customFormat="1" ht="15.75" customHeight="1">
      <c r="A5" s="726" t="s">
        <v>193</v>
      </c>
      <c r="B5" s="728">
        <v>1</v>
      </c>
      <c r="C5" s="729"/>
      <c r="D5" s="728">
        <v>2</v>
      </c>
      <c r="E5" s="729"/>
      <c r="F5" s="728">
        <v>3</v>
      </c>
      <c r="G5" s="729"/>
      <c r="H5" s="719">
        <v>4</v>
      </c>
      <c r="I5" s="720"/>
      <c r="J5" s="719">
        <v>5</v>
      </c>
      <c r="K5" s="720"/>
      <c r="L5" s="719">
        <v>6</v>
      </c>
      <c r="M5" s="720"/>
      <c r="N5" s="719">
        <v>7</v>
      </c>
      <c r="O5" s="720"/>
      <c r="P5" s="341">
        <v>8</v>
      </c>
    </row>
    <row r="6" spans="1:20" s="138" customFormat="1" ht="15.75" customHeight="1">
      <c r="A6" s="727"/>
      <c r="B6" s="723" t="s">
        <v>501</v>
      </c>
      <c r="C6" s="724"/>
      <c r="D6" s="723" t="s">
        <v>215</v>
      </c>
      <c r="E6" s="724"/>
      <c r="F6" s="723" t="s">
        <v>168</v>
      </c>
      <c r="G6" s="724"/>
      <c r="H6" s="721" t="s">
        <v>466</v>
      </c>
      <c r="I6" s="722"/>
      <c r="J6" s="721" t="s">
        <v>191</v>
      </c>
      <c r="K6" s="722"/>
      <c r="L6" s="721" t="s">
        <v>169</v>
      </c>
      <c r="M6" s="722"/>
      <c r="N6" s="721" t="s">
        <v>192</v>
      </c>
      <c r="O6" s="722"/>
      <c r="P6" s="342" t="s">
        <v>220</v>
      </c>
    </row>
    <row r="7" spans="1:20" s="138" customFormat="1" ht="15.75" customHeight="1">
      <c r="B7" s="242"/>
      <c r="C7" s="243"/>
    </row>
    <row r="8" spans="1:20" s="288" customFormat="1" ht="15.75" customHeight="1">
      <c r="A8" s="663" t="s">
        <v>193</v>
      </c>
      <c r="B8" s="664"/>
      <c r="C8" s="285" t="s">
        <v>47</v>
      </c>
      <c r="D8" s="754" t="s">
        <v>12</v>
      </c>
      <c r="E8" s="755"/>
      <c r="F8" s="756"/>
      <c r="G8" s="757" t="s">
        <v>53</v>
      </c>
      <c r="H8" s="758"/>
      <c r="I8" s="759"/>
      <c r="J8" s="286" t="s">
        <v>54</v>
      </c>
      <c r="K8" s="286" t="s">
        <v>55</v>
      </c>
      <c r="L8" s="286" t="s">
        <v>56</v>
      </c>
      <c r="M8" s="287" t="s">
        <v>11</v>
      </c>
      <c r="N8" s="287" t="s">
        <v>336</v>
      </c>
      <c r="O8" s="671" t="s">
        <v>51</v>
      </c>
      <c r="P8" s="672"/>
      <c r="R8" s="357"/>
      <c r="S8" s="358"/>
    </row>
    <row r="9" spans="1:20" s="308" customFormat="1" ht="60" customHeight="1">
      <c r="A9" s="673">
        <v>4</v>
      </c>
      <c r="B9" s="707" t="s">
        <v>466</v>
      </c>
      <c r="C9" s="289">
        <v>1</v>
      </c>
      <c r="D9" s="415" t="s">
        <v>345</v>
      </c>
      <c r="E9" s="388"/>
      <c r="F9" s="423"/>
      <c r="G9" s="250" t="s">
        <v>401</v>
      </c>
      <c r="H9" s="251"/>
      <c r="I9" s="250"/>
      <c r="J9" s="326">
        <v>127.84000000000002</v>
      </c>
      <c r="K9" s="327">
        <v>2.5442799946917555E-4</v>
      </c>
      <c r="L9" s="328">
        <v>302.58000000000067</v>
      </c>
      <c r="M9" s="336">
        <f t="shared" ref="M9:M13" si="0">L9*J9</f>
        <v>38681.827200000087</v>
      </c>
      <c r="N9" s="328"/>
      <c r="O9" s="703"/>
      <c r="P9" s="704"/>
      <c r="R9" s="359"/>
      <c r="S9" s="359"/>
    </row>
    <row r="10" spans="1:20" s="308" customFormat="1" ht="60" customHeight="1">
      <c r="A10" s="674"/>
      <c r="B10" s="708"/>
      <c r="C10" s="289">
        <v>2</v>
      </c>
      <c r="D10" s="384" t="s">
        <v>512</v>
      </c>
      <c r="E10" s="248"/>
      <c r="F10" s="249"/>
      <c r="G10" s="250" t="s">
        <v>516</v>
      </c>
      <c r="H10" s="251"/>
      <c r="I10" s="250"/>
      <c r="J10" s="326">
        <v>144.78</v>
      </c>
      <c r="K10" s="327">
        <v>1.2595854258866724E-3</v>
      </c>
      <c r="L10" s="328">
        <v>170.55000000000007</v>
      </c>
      <c r="M10" s="336">
        <f t="shared" si="0"/>
        <v>24692.22900000001</v>
      </c>
      <c r="N10" s="328"/>
      <c r="O10" s="703"/>
      <c r="P10" s="704"/>
      <c r="R10" s="359"/>
      <c r="S10" s="359"/>
    </row>
    <row r="11" spans="1:20" s="308" customFormat="1" ht="60" customHeight="1">
      <c r="A11" s="674"/>
      <c r="B11" s="708"/>
      <c r="C11" s="289">
        <v>3</v>
      </c>
      <c r="D11" s="384" t="s">
        <v>359</v>
      </c>
      <c r="E11" s="248"/>
      <c r="F11" s="249"/>
      <c r="G11" s="373" t="s">
        <v>464</v>
      </c>
      <c r="H11" s="315"/>
      <c r="I11" s="316"/>
      <c r="J11" s="326">
        <v>99.51</v>
      </c>
      <c r="K11" s="327">
        <v>3.0783678404290426E-3</v>
      </c>
      <c r="L11" s="328">
        <v>174.30000000000021</v>
      </c>
      <c r="M11" s="336">
        <f t="shared" si="0"/>
        <v>17344.593000000023</v>
      </c>
      <c r="N11" s="328"/>
      <c r="O11" s="703"/>
      <c r="P11" s="704"/>
      <c r="R11" s="359"/>
      <c r="S11" s="357"/>
    </row>
    <row r="12" spans="1:20" s="308" customFormat="1" ht="60" customHeight="1">
      <c r="A12" s="674"/>
      <c r="B12" s="708"/>
      <c r="C12" s="289">
        <v>4</v>
      </c>
      <c r="D12" s="424" t="s">
        <v>472</v>
      </c>
      <c r="E12" s="248"/>
      <c r="F12" s="249"/>
      <c r="G12" s="250" t="s">
        <v>540</v>
      </c>
      <c r="H12" s="251"/>
      <c r="I12" s="250"/>
      <c r="J12" s="326">
        <v>160.49</v>
      </c>
      <c r="K12" s="327">
        <v>2.4398578318254515E-3</v>
      </c>
      <c r="L12" s="328">
        <v>105.58999999999997</v>
      </c>
      <c r="M12" s="336">
        <f t="shared" si="0"/>
        <v>16946.139099999997</v>
      </c>
      <c r="N12" s="328"/>
      <c r="O12" s="703"/>
      <c r="P12" s="704"/>
      <c r="R12" s="359"/>
      <c r="S12" s="357"/>
    </row>
    <row r="13" spans="1:20" s="308" customFormat="1" ht="60" customHeight="1" thickBot="1">
      <c r="A13" s="674"/>
      <c r="B13" s="708"/>
      <c r="C13" s="289">
        <v>5</v>
      </c>
      <c r="D13" s="424" t="s">
        <v>373</v>
      </c>
      <c r="E13" s="255"/>
      <c r="F13" s="256"/>
      <c r="G13" s="250" t="s">
        <v>372</v>
      </c>
      <c r="H13" s="251"/>
      <c r="I13" s="250"/>
      <c r="J13" s="330">
        <v>426.69</v>
      </c>
      <c r="K13" s="274">
        <v>6.5238475687914052E-4</v>
      </c>
      <c r="L13" s="331">
        <v>36.719999999999828</v>
      </c>
      <c r="M13" s="336">
        <f t="shared" si="0"/>
        <v>15668.056799999928</v>
      </c>
      <c r="N13" s="328"/>
      <c r="O13" s="703"/>
      <c r="P13" s="704"/>
      <c r="R13" s="360"/>
      <c r="S13" s="357"/>
      <c r="T13" s="299"/>
    </row>
    <row r="14" spans="1:20" ht="15.75" customHeight="1" thickTop="1" thickBot="1">
      <c r="A14" s="675"/>
      <c r="B14" s="709"/>
      <c r="C14" s="716"/>
      <c r="D14" s="717"/>
      <c r="E14" s="717"/>
      <c r="F14" s="717"/>
      <c r="G14" s="717"/>
      <c r="H14" s="717"/>
      <c r="I14" s="718"/>
      <c r="J14" s="305" t="s">
        <v>58</v>
      </c>
      <c r="K14" s="356">
        <f>M14/'生產管理報表 7-1(月)'!$B$10</f>
        <v>0.49967053201237033</v>
      </c>
      <c r="L14" s="306" t="s">
        <v>59</v>
      </c>
      <c r="M14" s="348">
        <f>SUM(M9:M13)</f>
        <v>113332.84510000005</v>
      </c>
      <c r="N14" s="660"/>
      <c r="O14" s="661"/>
      <c r="P14" s="662"/>
      <c r="R14" s="357"/>
      <c r="S14" s="357"/>
    </row>
    <row r="15" spans="1:20" ht="15.75" customHeight="1" thickTop="1">
      <c r="M15" s="343"/>
      <c r="S15" s="357"/>
    </row>
    <row r="16" spans="1:20" ht="15.75" customHeight="1">
      <c r="A16" s="663" t="s">
        <v>193</v>
      </c>
      <c r="B16" s="664"/>
      <c r="C16" s="285" t="s">
        <v>47</v>
      </c>
      <c r="D16" s="691" t="s">
        <v>12</v>
      </c>
      <c r="E16" s="692"/>
      <c r="F16" s="693"/>
      <c r="G16" s="694" t="s">
        <v>53</v>
      </c>
      <c r="H16" s="695"/>
      <c r="I16" s="696"/>
      <c r="J16" s="286" t="s">
        <v>54</v>
      </c>
      <c r="K16" s="286" t="s">
        <v>55</v>
      </c>
      <c r="L16" s="286" t="s">
        <v>56</v>
      </c>
      <c r="M16" s="344" t="s">
        <v>11</v>
      </c>
      <c r="N16" s="287" t="s">
        <v>336</v>
      </c>
      <c r="O16" s="671" t="s">
        <v>51</v>
      </c>
      <c r="P16" s="672"/>
      <c r="S16" s="358"/>
      <c r="T16" s="308"/>
    </row>
    <row r="17" spans="1:20" s="308" customFormat="1" ht="40" customHeight="1">
      <c r="A17" s="673">
        <v>5</v>
      </c>
      <c r="B17" s="686" t="s">
        <v>218</v>
      </c>
      <c r="C17" s="289">
        <v>1</v>
      </c>
      <c r="D17" s="247" t="s">
        <v>345</v>
      </c>
      <c r="E17" s="248"/>
      <c r="F17" s="249"/>
      <c r="G17" s="316" t="s">
        <v>340</v>
      </c>
      <c r="H17" s="315"/>
      <c r="I17" s="316"/>
      <c r="J17" s="326">
        <v>147.43000000000004</v>
      </c>
      <c r="K17" s="327">
        <v>5.9084746811972119E-4</v>
      </c>
      <c r="L17" s="328">
        <v>449.69000000000005</v>
      </c>
      <c r="M17" s="336">
        <f t="shared" ref="M17:M19" si="1">L17*J17</f>
        <v>66297.796700000021</v>
      </c>
      <c r="N17" s="328"/>
      <c r="O17" s="752"/>
      <c r="P17" s="753"/>
      <c r="S17" s="357"/>
    </row>
    <row r="18" spans="1:20" s="308" customFormat="1" ht="20.149999999999999" customHeight="1">
      <c r="A18" s="674"/>
      <c r="B18" s="687"/>
      <c r="C18" s="289">
        <v>2</v>
      </c>
      <c r="D18" s="247"/>
      <c r="E18" s="248"/>
      <c r="F18" s="249"/>
      <c r="G18" s="293"/>
      <c r="H18" s="294"/>
      <c r="I18" s="295"/>
      <c r="J18" s="326"/>
      <c r="K18" s="327"/>
      <c r="L18" s="328"/>
      <c r="M18" s="336">
        <f t="shared" si="1"/>
        <v>0</v>
      </c>
      <c r="N18" s="328"/>
      <c r="O18" s="699"/>
      <c r="P18" s="700"/>
      <c r="S18" s="299"/>
      <c r="T18" s="299"/>
    </row>
    <row r="19" spans="1:20" ht="20.149999999999999" customHeight="1">
      <c r="A19" s="674"/>
      <c r="B19" s="687"/>
      <c r="C19" s="289">
        <v>3</v>
      </c>
      <c r="D19" s="290"/>
      <c r="E19" s="291"/>
      <c r="F19" s="292"/>
      <c r="G19" s="293"/>
      <c r="H19" s="294"/>
      <c r="I19" s="295"/>
      <c r="J19" s="296"/>
      <c r="K19" s="297"/>
      <c r="L19" s="298"/>
      <c r="M19" s="345">
        <f t="shared" si="1"/>
        <v>0</v>
      </c>
      <c r="N19" s="298"/>
      <c r="O19" s="681"/>
      <c r="P19" s="682"/>
    </row>
    <row r="20" spans="1:20" ht="20.149999999999999" customHeight="1">
      <c r="A20" s="674"/>
      <c r="B20" s="687"/>
      <c r="C20" s="289">
        <v>4</v>
      </c>
      <c r="D20" s="290"/>
      <c r="E20" s="291"/>
      <c r="F20" s="292"/>
      <c r="G20" s="293"/>
      <c r="H20" s="294"/>
      <c r="I20" s="295"/>
      <c r="J20" s="296"/>
      <c r="K20" s="297"/>
      <c r="L20" s="298"/>
      <c r="M20" s="346">
        <v>0</v>
      </c>
      <c r="N20" s="298"/>
      <c r="O20" s="309"/>
      <c r="P20" s="310"/>
    </row>
    <row r="21" spans="1:20" ht="20.149999999999999" customHeight="1" thickBot="1">
      <c r="A21" s="674"/>
      <c r="B21" s="687"/>
      <c r="C21" s="289">
        <v>5</v>
      </c>
      <c r="D21" s="300"/>
      <c r="E21" s="301"/>
      <c r="F21" s="302"/>
      <c r="G21" s="293"/>
      <c r="H21" s="294"/>
      <c r="I21" s="295"/>
      <c r="J21" s="303"/>
      <c r="K21" s="274"/>
      <c r="L21" s="304"/>
      <c r="M21" s="347">
        <v>0</v>
      </c>
      <c r="N21" s="298"/>
      <c r="O21" s="311"/>
      <c r="P21" s="312"/>
      <c r="R21" s="361"/>
    </row>
    <row r="22" spans="1:20" ht="15.75" customHeight="1" thickTop="1" thickBot="1">
      <c r="A22" s="675"/>
      <c r="B22" s="688"/>
      <c r="C22" s="683"/>
      <c r="D22" s="684"/>
      <c r="E22" s="684"/>
      <c r="F22" s="684"/>
      <c r="G22" s="684"/>
      <c r="H22" s="684"/>
      <c r="I22" s="685"/>
      <c r="J22" s="305" t="s">
        <v>58</v>
      </c>
      <c r="K22" s="356">
        <f>M22/'生產管理報表 7-1(月)'!$B$10</f>
        <v>0.2922988063972724</v>
      </c>
      <c r="L22" s="306" t="s">
        <v>59</v>
      </c>
      <c r="M22" s="348">
        <f>SUM(M17:M21)</f>
        <v>66297.796700000021</v>
      </c>
      <c r="N22" s="660"/>
      <c r="O22" s="661"/>
      <c r="P22" s="662"/>
      <c r="R22" s="357"/>
    </row>
    <row r="23" spans="1:20" ht="15.75" customHeight="1" thickTop="1">
      <c r="M23" s="343"/>
      <c r="R23" s="357"/>
    </row>
    <row r="24" spans="1:20" ht="15.75" customHeight="1">
      <c r="A24" s="663" t="s">
        <v>193</v>
      </c>
      <c r="B24" s="664"/>
      <c r="C24" s="313" t="s">
        <v>47</v>
      </c>
      <c r="D24" s="665" t="s">
        <v>12</v>
      </c>
      <c r="E24" s="666"/>
      <c r="F24" s="667"/>
      <c r="G24" s="668" t="s">
        <v>53</v>
      </c>
      <c r="H24" s="669"/>
      <c r="I24" s="670"/>
      <c r="J24" s="314" t="s">
        <v>54</v>
      </c>
      <c r="K24" s="286" t="s">
        <v>55</v>
      </c>
      <c r="L24" s="286" t="s">
        <v>56</v>
      </c>
      <c r="M24" s="344" t="s">
        <v>11</v>
      </c>
      <c r="N24" s="287" t="s">
        <v>336</v>
      </c>
      <c r="O24" s="671" t="s">
        <v>51</v>
      </c>
      <c r="P24" s="672"/>
      <c r="R24" s="357"/>
    </row>
    <row r="25" spans="1:20" ht="60" customHeight="1">
      <c r="A25" s="673">
        <v>6</v>
      </c>
      <c r="B25" s="686" t="s">
        <v>219</v>
      </c>
      <c r="C25" s="289">
        <v>1</v>
      </c>
      <c r="D25" s="247" t="s">
        <v>550</v>
      </c>
      <c r="E25" s="291"/>
      <c r="F25" s="291"/>
      <c r="G25" s="386" t="s">
        <v>552</v>
      </c>
      <c r="H25" s="315"/>
      <c r="I25" s="316"/>
      <c r="J25" s="326">
        <v>65.12</v>
      </c>
      <c r="K25" s="327">
        <v>2.6826712069639453E-3</v>
      </c>
      <c r="L25" s="328">
        <v>309.39000000000061</v>
      </c>
      <c r="M25" s="336">
        <f t="shared" ref="M25:M28" si="2">L25*J25</f>
        <v>20147.47680000004</v>
      </c>
      <c r="N25" s="298"/>
      <c r="O25" s="750"/>
      <c r="P25" s="751"/>
    </row>
    <row r="26" spans="1:20" ht="60" customHeight="1">
      <c r="A26" s="674"/>
      <c r="B26" s="687"/>
      <c r="C26" s="289">
        <v>2</v>
      </c>
      <c r="D26" s="247" t="s">
        <v>485</v>
      </c>
      <c r="E26" s="291"/>
      <c r="F26" s="291"/>
      <c r="G26" s="386" t="s">
        <v>486</v>
      </c>
      <c r="H26" s="315"/>
      <c r="I26" s="316"/>
      <c r="J26" s="326">
        <v>68.42</v>
      </c>
      <c r="K26" s="327">
        <v>1.0587542967555187E-3</v>
      </c>
      <c r="L26" s="328">
        <v>230.25999999999925</v>
      </c>
      <c r="M26" s="336">
        <f t="shared" si="2"/>
        <v>15754.389199999949</v>
      </c>
      <c r="N26" s="298"/>
      <c r="O26" s="750"/>
      <c r="P26" s="751"/>
    </row>
    <row r="27" spans="1:20" ht="60" customHeight="1">
      <c r="A27" s="674"/>
      <c r="B27" s="687"/>
      <c r="C27" s="289">
        <v>3</v>
      </c>
      <c r="D27" s="247" t="s">
        <v>347</v>
      </c>
      <c r="E27" s="291"/>
      <c r="F27" s="291"/>
      <c r="G27" s="386" t="s">
        <v>524</v>
      </c>
      <c r="H27" s="315"/>
      <c r="I27" s="316"/>
      <c r="J27" s="326">
        <v>605.77999999999986</v>
      </c>
      <c r="K27" s="327">
        <v>3.0508344330621443E-4</v>
      </c>
      <c r="L27" s="328">
        <v>20.48999999999986</v>
      </c>
      <c r="M27" s="336">
        <f t="shared" si="2"/>
        <v>12412.432199999912</v>
      </c>
      <c r="N27" s="298"/>
      <c r="O27" s="750"/>
      <c r="P27" s="751"/>
    </row>
    <row r="28" spans="1:20" ht="60" customHeight="1">
      <c r="A28" s="674"/>
      <c r="B28" s="687"/>
      <c r="C28" s="289">
        <v>4</v>
      </c>
      <c r="D28" s="247" t="s">
        <v>470</v>
      </c>
      <c r="E28" s="291"/>
      <c r="F28" s="291"/>
      <c r="G28" s="386" t="s">
        <v>543</v>
      </c>
      <c r="H28" s="315"/>
      <c r="I28" s="316"/>
      <c r="J28" s="326">
        <v>51.87</v>
      </c>
      <c r="K28" s="327">
        <v>2.7057994998785397E-3</v>
      </c>
      <c r="L28" s="328">
        <v>209.32000000000011</v>
      </c>
      <c r="M28" s="336">
        <f t="shared" si="2"/>
        <v>10857.428400000004</v>
      </c>
      <c r="N28" s="298"/>
      <c r="O28" s="750"/>
      <c r="P28" s="751"/>
    </row>
    <row r="29" spans="1:20" ht="60" customHeight="1" thickBot="1">
      <c r="A29" s="674"/>
      <c r="B29" s="687"/>
      <c r="C29" s="289">
        <v>5</v>
      </c>
      <c r="D29" s="254" t="s">
        <v>512</v>
      </c>
      <c r="E29" s="301"/>
      <c r="F29" s="301"/>
      <c r="G29" s="422" t="s">
        <v>515</v>
      </c>
      <c r="H29" s="251"/>
      <c r="I29" s="250"/>
      <c r="J29" s="330">
        <v>327.16000000000003</v>
      </c>
      <c r="K29" s="274">
        <v>1.7909204498125783E-3</v>
      </c>
      <c r="L29" s="331">
        <v>14.630000000000067</v>
      </c>
      <c r="M29" s="336">
        <f>L29*J29</f>
        <v>4786.350800000022</v>
      </c>
      <c r="N29" s="298"/>
      <c r="O29" s="750"/>
      <c r="P29" s="751"/>
    </row>
    <row r="30" spans="1:20" ht="15.75" customHeight="1" thickTop="1" thickBot="1">
      <c r="A30" s="675"/>
      <c r="B30" s="688"/>
      <c r="C30" s="683"/>
      <c r="D30" s="684"/>
      <c r="E30" s="684"/>
      <c r="F30" s="684"/>
      <c r="G30" s="684"/>
      <c r="H30" s="684"/>
      <c r="I30" s="685"/>
      <c r="J30" s="305" t="s">
        <v>58</v>
      </c>
      <c r="K30" s="356">
        <f>M30/'生產管理報表 7-1(月)'!$B$10</f>
        <v>0.28198327265805406</v>
      </c>
      <c r="L30" s="306" t="s">
        <v>59</v>
      </c>
      <c r="M30" s="348">
        <f>SUM(M25:M29)</f>
        <v>63958.077399999929</v>
      </c>
      <c r="N30" s="660"/>
      <c r="O30" s="661"/>
      <c r="P30" s="662"/>
    </row>
    <row r="31" spans="1:20" ht="15.75" customHeight="1" thickTop="1">
      <c r="M31" s="343"/>
    </row>
    <row r="32" spans="1:20" ht="15.75" customHeight="1">
      <c r="A32" s="663" t="s">
        <v>193</v>
      </c>
      <c r="B32" s="664"/>
      <c r="C32" s="313" t="s">
        <v>47</v>
      </c>
      <c r="D32" s="665" t="s">
        <v>12</v>
      </c>
      <c r="E32" s="666"/>
      <c r="F32" s="667"/>
      <c r="G32" s="668" t="s">
        <v>53</v>
      </c>
      <c r="H32" s="669"/>
      <c r="I32" s="670"/>
      <c r="J32" s="314" t="s">
        <v>54</v>
      </c>
      <c r="K32" s="286" t="s">
        <v>55</v>
      </c>
      <c r="L32" s="286" t="s">
        <v>56</v>
      </c>
      <c r="M32" s="344" t="s">
        <v>11</v>
      </c>
      <c r="N32" s="287" t="s">
        <v>336</v>
      </c>
      <c r="O32" s="671" t="s">
        <v>51</v>
      </c>
      <c r="P32" s="672"/>
    </row>
    <row r="33" spans="1:16" ht="15.75" customHeight="1">
      <c r="A33" s="673">
        <v>7</v>
      </c>
      <c r="B33" s="676" t="s">
        <v>252</v>
      </c>
      <c r="C33" s="289">
        <v>1</v>
      </c>
      <c r="D33" s="290"/>
      <c r="E33" s="291"/>
      <c r="F33" s="292"/>
      <c r="G33" s="293"/>
      <c r="H33" s="294"/>
      <c r="I33" s="295"/>
      <c r="J33" s="296"/>
      <c r="K33" s="297"/>
      <c r="L33" s="298"/>
      <c r="M33" s="345">
        <f t="shared" ref="M33:M35" si="3">L33*J33</f>
        <v>0</v>
      </c>
      <c r="N33" s="298"/>
      <c r="O33" s="679"/>
      <c r="P33" s="680"/>
    </row>
    <row r="34" spans="1:16" ht="15.75" customHeight="1">
      <c r="A34" s="674"/>
      <c r="B34" s="677"/>
      <c r="C34" s="289">
        <v>2</v>
      </c>
      <c r="D34" s="290"/>
      <c r="E34" s="291"/>
      <c r="F34" s="292"/>
      <c r="G34" s="293"/>
      <c r="H34" s="294"/>
      <c r="I34" s="295"/>
      <c r="J34" s="296"/>
      <c r="K34" s="297"/>
      <c r="L34" s="298"/>
      <c r="M34" s="345">
        <f t="shared" si="3"/>
        <v>0</v>
      </c>
      <c r="N34" s="298"/>
      <c r="O34" s="681"/>
      <c r="P34" s="682"/>
    </row>
    <row r="35" spans="1:16" ht="15.75" customHeight="1">
      <c r="A35" s="674"/>
      <c r="B35" s="677"/>
      <c r="C35" s="289">
        <v>3</v>
      </c>
      <c r="D35" s="290"/>
      <c r="E35" s="291"/>
      <c r="F35" s="292"/>
      <c r="G35" s="293"/>
      <c r="H35" s="294"/>
      <c r="I35" s="295"/>
      <c r="J35" s="296"/>
      <c r="K35" s="297"/>
      <c r="L35" s="298"/>
      <c r="M35" s="345">
        <f t="shared" si="3"/>
        <v>0</v>
      </c>
      <c r="N35" s="298"/>
      <c r="O35" s="681"/>
      <c r="P35" s="682"/>
    </row>
    <row r="36" spans="1:16" ht="15.75" customHeight="1">
      <c r="A36" s="674"/>
      <c r="B36" s="677"/>
      <c r="C36" s="289">
        <v>4</v>
      </c>
      <c r="D36" s="290"/>
      <c r="E36" s="291"/>
      <c r="F36" s="292"/>
      <c r="G36" s="293"/>
      <c r="H36" s="294"/>
      <c r="I36" s="295"/>
      <c r="J36" s="296"/>
      <c r="K36" s="297"/>
      <c r="L36" s="298"/>
      <c r="M36" s="346">
        <v>0</v>
      </c>
      <c r="N36" s="298"/>
      <c r="O36" s="309"/>
      <c r="P36" s="310"/>
    </row>
    <row r="37" spans="1:16" ht="15.75" customHeight="1" thickBot="1">
      <c r="A37" s="674"/>
      <c r="B37" s="677"/>
      <c r="C37" s="289">
        <v>5</v>
      </c>
      <c r="D37" s="300"/>
      <c r="E37" s="301"/>
      <c r="F37" s="302"/>
      <c r="G37" s="293"/>
      <c r="H37" s="294"/>
      <c r="I37" s="295"/>
      <c r="J37" s="303"/>
      <c r="K37" s="274"/>
      <c r="L37" s="304"/>
      <c r="M37" s="347">
        <v>0</v>
      </c>
      <c r="N37" s="298"/>
      <c r="O37" s="311"/>
      <c r="P37" s="312"/>
    </row>
    <row r="38" spans="1:16" ht="15.75" customHeight="1" thickTop="1" thickBot="1">
      <c r="A38" s="675"/>
      <c r="B38" s="678"/>
      <c r="C38" s="683"/>
      <c r="D38" s="684"/>
      <c r="E38" s="684"/>
      <c r="F38" s="684"/>
      <c r="G38" s="684"/>
      <c r="H38" s="684"/>
      <c r="I38" s="685"/>
      <c r="J38" s="305" t="s">
        <v>58</v>
      </c>
      <c r="K38" s="356">
        <f>M38/'生產管理報表 7-1(月)'!$B$10</f>
        <v>0</v>
      </c>
      <c r="L38" s="306" t="s">
        <v>59</v>
      </c>
      <c r="M38" s="348">
        <f>SUM(M33:M37)</f>
        <v>0</v>
      </c>
      <c r="N38" s="660"/>
      <c r="O38" s="661"/>
      <c r="P38" s="662"/>
    </row>
    <row r="39" spans="1:16" ht="15.75" customHeight="1" thickTop="1"/>
    <row r="44" spans="1:16" ht="15.75" customHeight="1">
      <c r="O44" s="299" ph="1"/>
      <c r="P44" s="299" ph="1"/>
    </row>
    <row r="46" spans="1:16" ht="15.75" customHeight="1">
      <c r="O46" s="299" ph="1"/>
      <c r="P46" s="299" ph="1"/>
    </row>
    <row r="47" spans="1:16" ht="15.75" customHeight="1">
      <c r="O47" s="299" ph="1"/>
      <c r="P47" s="299" ph="1"/>
    </row>
    <row r="117" spans="15:16" ht="15.75" customHeight="1">
      <c r="O117" s="299" ph="1"/>
      <c r="P117" s="299" ph="1"/>
    </row>
    <row r="119" spans="15:16" ht="15.75" customHeight="1">
      <c r="O119" s="299" ph="1"/>
      <c r="P119" s="299" ph="1"/>
    </row>
    <row r="120" spans="15:16" ht="15.75" customHeight="1">
      <c r="O120" s="299" ph="1"/>
      <c r="P120" s="299" ph="1"/>
    </row>
    <row r="153" spans="15:16" ht="15.75" customHeight="1">
      <c r="O153" s="299" ph="1"/>
      <c r="P153" s="299" ph="1"/>
    </row>
    <row r="155" spans="15:16" ht="15.75" customHeight="1">
      <c r="O155" s="299" ph="1"/>
      <c r="P155" s="299" ph="1"/>
    </row>
    <row r="156" spans="15:16" ht="15.75" customHeight="1">
      <c r="O156" s="299" ph="1"/>
      <c r="P156" s="299" ph="1"/>
    </row>
  </sheetData>
  <mergeCells count="65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70"/>
  <sheetViews>
    <sheetView view="pageBreakPreview" topLeftCell="A16" zoomScale="115" zoomScaleNormal="60" zoomScaleSheetLayoutView="115" workbookViewId="0">
      <selection activeCell="F25" sqref="F25:K26"/>
    </sheetView>
  </sheetViews>
  <sheetFormatPr defaultColWidth="12.54296875" defaultRowHeight="15.75" customHeight="1"/>
  <cols>
    <col min="1" max="1" width="14.1796875" style="138" customWidth="1"/>
    <col min="2" max="2" width="14.81640625" style="138" customWidth="1"/>
    <col min="3" max="3" width="12.81640625" style="138" customWidth="1"/>
    <col min="4" max="4" width="2.54296875" style="138" customWidth="1"/>
    <col min="5" max="5" width="7.54296875" style="138" customWidth="1"/>
    <col min="6" max="6" width="12.81640625" style="138" customWidth="1"/>
    <col min="7" max="7" width="9.453125" style="138" customWidth="1"/>
    <col min="8" max="8" width="12.81640625" style="138" customWidth="1"/>
    <col min="9" max="9" width="9.453125" style="138" customWidth="1"/>
    <col min="10" max="10" width="12.81640625" style="138" customWidth="1"/>
    <col min="11" max="11" width="9.453125" style="138" customWidth="1"/>
    <col min="12" max="12" width="12.81640625" style="138" customWidth="1"/>
    <col min="13" max="13" width="9.453125" style="138" customWidth="1"/>
    <col min="14" max="16384" width="12.54296875" style="138"/>
  </cols>
  <sheetData>
    <row r="1" spans="1:13" ht="15.75" customHeight="1">
      <c r="A1" s="626" t="s">
        <v>376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</row>
    <row r="2" spans="1:13" s="139" customFormat="1" ht="15.75" customHeight="1">
      <c r="A2" s="626"/>
      <c r="B2" s="626"/>
      <c r="C2" s="626"/>
      <c r="D2" s="626"/>
      <c r="E2" s="626"/>
      <c r="F2" s="626"/>
      <c r="G2" s="626"/>
      <c r="H2" s="626"/>
      <c r="I2" s="626"/>
      <c r="J2" s="626"/>
      <c r="K2" s="626"/>
      <c r="L2" s="626"/>
      <c r="M2" s="626"/>
    </row>
    <row r="3" spans="1:13" ht="15.75" customHeight="1">
      <c r="A3" s="627" t="s">
        <v>499</v>
      </c>
      <c r="B3" s="627"/>
      <c r="C3" s="627"/>
      <c r="D3" s="627"/>
      <c r="E3" s="627"/>
      <c r="F3" s="627"/>
      <c r="G3" s="627"/>
      <c r="H3" s="627"/>
      <c r="I3" s="627"/>
      <c r="J3" s="627"/>
      <c r="K3" s="627"/>
      <c r="L3" s="627"/>
      <c r="M3" s="627"/>
    </row>
    <row r="4" spans="1:13" s="139" customFormat="1" ht="15.75" customHeight="1">
      <c r="A4" s="627"/>
      <c r="B4" s="627"/>
      <c r="C4" s="627"/>
      <c r="D4" s="627"/>
      <c r="E4" s="627"/>
      <c r="F4" s="627"/>
      <c r="G4" s="627"/>
      <c r="H4" s="627"/>
      <c r="I4" s="627"/>
      <c r="J4" s="627"/>
      <c r="K4" s="627"/>
      <c r="L4" s="627"/>
      <c r="M4" s="627"/>
    </row>
    <row r="5" spans="1:13" ht="15.75" customHeight="1">
      <c r="A5" s="229" t="s">
        <v>451</v>
      </c>
      <c r="B5" s="230">
        <v>32338.420109999999</v>
      </c>
      <c r="E5" s="760" t="s">
        <v>500</v>
      </c>
      <c r="F5" s="761"/>
      <c r="G5" s="761"/>
      <c r="H5" s="761"/>
      <c r="I5" s="761"/>
      <c r="J5" s="761"/>
      <c r="K5" s="761"/>
      <c r="L5" s="761"/>
      <c r="M5" s="761"/>
    </row>
    <row r="6" spans="1:13" ht="15.75" customHeight="1">
      <c r="A6" s="762" t="s">
        <v>200</v>
      </c>
      <c r="B6" s="629" t="s">
        <v>10</v>
      </c>
      <c r="C6" s="629"/>
      <c r="D6" s="630"/>
      <c r="E6" s="628" t="s">
        <v>200</v>
      </c>
      <c r="F6" s="632">
        <v>1</v>
      </c>
      <c r="G6" s="632"/>
      <c r="H6" s="632">
        <v>2</v>
      </c>
      <c r="I6" s="632"/>
      <c r="J6" s="632">
        <v>3</v>
      </c>
      <c r="K6" s="632"/>
      <c r="L6" s="632">
        <v>4</v>
      </c>
      <c r="M6" s="632"/>
    </row>
    <row r="7" spans="1:13" ht="31.4" customHeight="1">
      <c r="A7" s="762"/>
      <c r="B7" s="629"/>
      <c r="C7" s="629"/>
      <c r="D7" s="631"/>
      <c r="E7" s="628"/>
      <c r="F7" s="634" t="s">
        <v>501</v>
      </c>
      <c r="G7" s="634"/>
      <c r="H7" s="634" t="s">
        <v>243</v>
      </c>
      <c r="I7" s="634"/>
      <c r="J7" s="634" t="s">
        <v>168</v>
      </c>
      <c r="K7" s="634"/>
      <c r="L7" s="634" t="s">
        <v>466</v>
      </c>
      <c r="M7" s="634"/>
    </row>
    <row r="8" spans="1:13" ht="15.75" customHeight="1">
      <c r="A8" s="762"/>
      <c r="B8" s="157" t="s">
        <v>11</v>
      </c>
      <c r="C8" s="157" t="s">
        <v>41</v>
      </c>
      <c r="D8" s="631"/>
      <c r="E8" s="628"/>
      <c r="F8" s="157" t="s">
        <v>11</v>
      </c>
      <c r="G8" s="157" t="s">
        <v>41</v>
      </c>
      <c r="H8" s="157" t="s">
        <v>11</v>
      </c>
      <c r="I8" s="157" t="s">
        <v>41</v>
      </c>
      <c r="J8" s="157" t="s">
        <v>11</v>
      </c>
      <c r="K8" s="157" t="s">
        <v>41</v>
      </c>
      <c r="L8" s="157" t="s">
        <v>11</v>
      </c>
      <c r="M8" s="157" t="s">
        <v>41</v>
      </c>
    </row>
    <row r="9" spans="1:13" ht="19.399999999999999" customHeight="1">
      <c r="A9" s="231" t="s">
        <v>245</v>
      </c>
      <c r="B9" s="142">
        <f>日別報廢率總表!M4</f>
        <v>72103.864479999989</v>
      </c>
      <c r="C9" s="239">
        <f>B9/($B$5*1000)</f>
        <v>2.2296656495504968E-3</v>
      </c>
      <c r="D9" s="631"/>
      <c r="E9" s="141" t="s">
        <v>245</v>
      </c>
      <c r="F9" s="144">
        <f>'報廢20大－原因別分析'!AB8</f>
        <v>15102.013300000001</v>
      </c>
      <c r="G9" s="145">
        <f>'報廢20大－原因別分析'!AB9</f>
        <v>0.7</v>
      </c>
      <c r="H9" s="144">
        <f>'報廢20大－原因別分析'!AC8</f>
        <v>0</v>
      </c>
      <c r="I9" s="145">
        <f>'報廢20大－原因別分析'!AC9</f>
        <v>0</v>
      </c>
      <c r="J9" s="144">
        <f>'報廢20大－原因別分析'!AD8</f>
        <v>4863.9854000000005</v>
      </c>
      <c r="K9" s="145">
        <f>'報廢20大－原因別分析'!AD9</f>
        <v>0.2</v>
      </c>
      <c r="L9" s="144">
        <f>'報廢20大－原因別分析'!AE8</f>
        <v>0</v>
      </c>
      <c r="M9" s="145">
        <f>'報廢20大－原因別分析'!AE9</f>
        <v>0</v>
      </c>
    </row>
    <row r="10" spans="1:13" ht="19.399999999999999" customHeight="1">
      <c r="A10" s="232" t="s">
        <v>246</v>
      </c>
      <c r="B10" s="147">
        <f>日別報廢率總表!N4</f>
        <v>164357.66202000002</v>
      </c>
      <c r="C10" s="143">
        <f>B10/($B$5*1000)</f>
        <v>5.0824270777896086E-3</v>
      </c>
      <c r="D10" s="631"/>
      <c r="E10" s="146" t="s">
        <v>246</v>
      </c>
      <c r="F10" s="144">
        <f>'超用20大－原因別分析'!AB8</f>
        <v>0</v>
      </c>
      <c r="G10" s="145">
        <f>'超用20大－原因別分析'!AB9</f>
        <v>0</v>
      </c>
      <c r="H10" s="144">
        <f>'超用20大－原因別分析'!AC8</f>
        <v>0</v>
      </c>
      <c r="I10" s="145">
        <f>'超用20大－原因別分析'!AC9</f>
        <v>0</v>
      </c>
      <c r="J10" s="144">
        <f>'超用20大－原因別分析'!AD8</f>
        <v>0</v>
      </c>
      <c r="K10" s="145">
        <f>'超用20大－原因別分析'!AD9</f>
        <v>0</v>
      </c>
      <c r="L10" s="144">
        <f>'超用20大－原因別分析'!AE8</f>
        <v>61415.661400000012</v>
      </c>
      <c r="M10" s="145">
        <f>'超用20大－原因別分析'!AE9</f>
        <v>0.7</v>
      </c>
    </row>
    <row r="11" spans="1:13" ht="15.75" customHeight="1">
      <c r="A11" s="228" t="s">
        <v>434</v>
      </c>
      <c r="B11" s="427" t="s">
        <v>562</v>
      </c>
      <c r="C11" s="227"/>
      <c r="D11" s="631"/>
      <c r="E11" s="769" t="s">
        <v>200</v>
      </c>
      <c r="F11" s="728">
        <v>5</v>
      </c>
      <c r="G11" s="729"/>
      <c r="H11" s="728">
        <v>6</v>
      </c>
      <c r="I11" s="729"/>
      <c r="J11" s="728">
        <v>7</v>
      </c>
      <c r="K11" s="729"/>
      <c r="L11" s="763"/>
      <c r="M11" s="764"/>
    </row>
    <row r="12" spans="1:13" ht="31.4" customHeight="1">
      <c r="A12" s="138" t="s">
        <v>435</v>
      </c>
      <c r="B12" s="428" t="s">
        <v>562</v>
      </c>
      <c r="C12" s="227"/>
      <c r="D12" s="631"/>
      <c r="E12" s="770"/>
      <c r="F12" s="765" t="s">
        <v>191</v>
      </c>
      <c r="G12" s="766"/>
      <c r="H12" s="765" t="s">
        <v>169</v>
      </c>
      <c r="I12" s="766"/>
      <c r="J12" s="765" t="s">
        <v>192</v>
      </c>
      <c r="K12" s="766"/>
      <c r="L12" s="767"/>
      <c r="M12" s="768"/>
    </row>
    <row r="13" spans="1:13" ht="15.75" customHeight="1">
      <c r="D13" s="631"/>
      <c r="E13" s="771"/>
      <c r="F13" s="157" t="s">
        <v>11</v>
      </c>
      <c r="G13" s="157" t="s">
        <v>41</v>
      </c>
      <c r="H13" s="157" t="s">
        <v>11</v>
      </c>
      <c r="I13" s="157" t="s">
        <v>41</v>
      </c>
      <c r="J13" s="157" t="s">
        <v>11</v>
      </c>
      <c r="K13" s="157" t="s">
        <v>41</v>
      </c>
      <c r="L13" s="157"/>
      <c r="M13" s="157"/>
    </row>
    <row r="14" spans="1:13" ht="19.399999999999999" customHeight="1">
      <c r="D14" s="631"/>
      <c r="E14" s="141" t="s">
        <v>245</v>
      </c>
      <c r="F14" s="144">
        <f>'報廢20大－原因別分析'!AF8</f>
        <v>1008.96</v>
      </c>
      <c r="G14" s="145">
        <f>'報廢20大－原因別分析'!AF9</f>
        <v>0.05</v>
      </c>
      <c r="H14" s="144">
        <f>'報廢20大－原因別分析'!AG8</f>
        <v>1266.9000000000001</v>
      </c>
      <c r="I14" s="145">
        <f>'報廢20大－原因別分析'!AG9</f>
        <v>0.05</v>
      </c>
      <c r="J14" s="144">
        <f>'報廢20大－原因別分析'!AH8</f>
        <v>0</v>
      </c>
      <c r="K14" s="145">
        <f>'報廢20大－原因別分析'!AH9</f>
        <v>0</v>
      </c>
      <c r="L14" s="144"/>
      <c r="M14" s="145"/>
    </row>
    <row r="15" spans="1:13" ht="19.399999999999999" customHeight="1">
      <c r="D15" s="631"/>
      <c r="E15" s="146" t="s">
        <v>246</v>
      </c>
      <c r="F15" s="144">
        <f>'超用20大－原因別分析'!AF8</f>
        <v>14468.780200000008</v>
      </c>
      <c r="G15" s="145">
        <f>'超用20大－原因別分析'!AF9</f>
        <v>0.05</v>
      </c>
      <c r="H15" s="144">
        <f>'超用20大－原因別分析'!AG8</f>
        <v>19546.63519999999</v>
      </c>
      <c r="I15" s="145">
        <f>'超用20大－原因別分析'!AG9</f>
        <v>0.25</v>
      </c>
      <c r="J15" s="144">
        <f>'超用20大－原因別分析'!AH8</f>
        <v>0</v>
      </c>
      <c r="K15" s="145">
        <f>'超用20大－原因別分析'!AH9</f>
        <v>0</v>
      </c>
      <c r="L15" s="144"/>
      <c r="M15" s="145"/>
    </row>
    <row r="16" spans="1:13" ht="15.75" customHeight="1">
      <c r="A16" s="229" t="s">
        <v>451</v>
      </c>
      <c r="B16" s="230">
        <f>'生產管理報表(週) '!B6</f>
        <v>33854.096109999999</v>
      </c>
      <c r="E16" s="760" t="s">
        <v>500</v>
      </c>
      <c r="F16" s="761"/>
      <c r="G16" s="761"/>
      <c r="H16" s="761"/>
      <c r="I16" s="761"/>
      <c r="J16" s="761"/>
      <c r="K16" s="761"/>
      <c r="L16" s="761"/>
      <c r="M16" s="761"/>
    </row>
    <row r="17" spans="1:13" ht="15.75" customHeight="1">
      <c r="A17" s="762" t="s">
        <v>200</v>
      </c>
      <c r="B17" s="629" t="s">
        <v>10</v>
      </c>
      <c r="C17" s="629"/>
      <c r="D17" s="630"/>
      <c r="E17" s="628" t="s">
        <v>200</v>
      </c>
      <c r="F17" s="632">
        <v>1</v>
      </c>
      <c r="G17" s="632"/>
      <c r="H17" s="632">
        <v>2</v>
      </c>
      <c r="I17" s="632"/>
      <c r="J17" s="632">
        <v>3</v>
      </c>
      <c r="K17" s="632"/>
      <c r="L17" s="632">
        <v>4</v>
      </c>
      <c r="M17" s="632"/>
    </row>
    <row r="18" spans="1:13" ht="31.4" customHeight="1">
      <c r="A18" s="762"/>
      <c r="B18" s="629"/>
      <c r="C18" s="629"/>
      <c r="D18" s="631"/>
      <c r="E18" s="628"/>
      <c r="F18" s="634" t="s">
        <v>501</v>
      </c>
      <c r="G18" s="634"/>
      <c r="H18" s="634" t="s">
        <v>243</v>
      </c>
      <c r="I18" s="634"/>
      <c r="J18" s="634" t="s">
        <v>168</v>
      </c>
      <c r="K18" s="634"/>
      <c r="L18" s="634" t="s">
        <v>466</v>
      </c>
      <c r="M18" s="634"/>
    </row>
    <row r="19" spans="1:13" ht="15.75" customHeight="1">
      <c r="A19" s="762"/>
      <c r="B19" s="157" t="s">
        <v>11</v>
      </c>
      <c r="C19" s="157" t="s">
        <v>41</v>
      </c>
      <c r="D19" s="631"/>
      <c r="E19" s="628"/>
      <c r="F19" s="157" t="s">
        <v>11</v>
      </c>
      <c r="G19" s="157" t="s">
        <v>41</v>
      </c>
      <c r="H19" s="157" t="s">
        <v>11</v>
      </c>
      <c r="I19" s="157" t="s">
        <v>41</v>
      </c>
      <c r="J19" s="157" t="s">
        <v>11</v>
      </c>
      <c r="K19" s="157" t="s">
        <v>41</v>
      </c>
      <c r="L19" s="157" t="s">
        <v>11</v>
      </c>
      <c r="M19" s="157" t="s">
        <v>41</v>
      </c>
    </row>
    <row r="20" spans="1:13" ht="19.399999999999999" customHeight="1">
      <c r="A20" s="231" t="s">
        <v>245</v>
      </c>
      <c r="B20" s="142">
        <f>日別報廢率總表!M11</f>
        <v>68854.618759999998</v>
      </c>
      <c r="C20" s="239">
        <f>B20/($B$16*1000)</f>
        <v>2.0338637468350945E-3</v>
      </c>
      <c r="D20" s="631"/>
      <c r="E20" s="141" t="s">
        <v>245</v>
      </c>
      <c r="F20" s="144">
        <f>'報廢20大－原因別分析'!AB32</f>
        <v>15620.086900000002</v>
      </c>
      <c r="G20" s="145">
        <f>'報廢20大－原因別分析'!AB33</f>
        <v>0.75</v>
      </c>
      <c r="H20" s="144">
        <f>'報廢20大－原因別分析'!AC32</f>
        <v>0</v>
      </c>
      <c r="I20" s="145">
        <f>'報廢20大－原因別分析'!AC33</f>
        <v>0</v>
      </c>
      <c r="J20" s="144">
        <f>'報廢20大－原因別分析'!AD32</f>
        <v>3526.3887999999997</v>
      </c>
      <c r="K20" s="145">
        <f>'報廢20大－原因別分析'!AD33</f>
        <v>0.15</v>
      </c>
      <c r="L20" s="144">
        <f>'報廢20大－原因別分析'!AE32</f>
        <v>0</v>
      </c>
      <c r="M20" s="145">
        <f>'報廢20大－原因別分析'!AE33</f>
        <v>0</v>
      </c>
    </row>
    <row r="21" spans="1:13" ht="19.399999999999999" customHeight="1">
      <c r="A21" s="232" t="s">
        <v>246</v>
      </c>
      <c r="B21" s="147">
        <f>日別報廢率總表!N11</f>
        <v>170575.13933999991</v>
      </c>
      <c r="C21" s="143">
        <f>B21/($B$16*1000)</f>
        <v>5.0385376938069997E-3</v>
      </c>
      <c r="D21" s="631"/>
      <c r="E21" s="146" t="s">
        <v>246</v>
      </c>
      <c r="F21" s="144">
        <f>'超用20大－原因別分析'!AB32</f>
        <v>0</v>
      </c>
      <c r="G21" s="145">
        <f>'超用20大－原因別分析'!AB33</f>
        <v>0</v>
      </c>
      <c r="H21" s="144">
        <f>'超用20大－原因別分析'!AC32</f>
        <v>0</v>
      </c>
      <c r="I21" s="145">
        <f>'超用20大－原因別分析'!AC33</f>
        <v>0</v>
      </c>
      <c r="J21" s="144">
        <f>'超用20大－原因別分析'!AD32</f>
        <v>0</v>
      </c>
      <c r="K21" s="145">
        <f>'超用20大－原因別分析'!AD33</f>
        <v>0</v>
      </c>
      <c r="L21" s="144">
        <f>'超用20大－原因別分析'!AE32</f>
        <v>77263.155899999925</v>
      </c>
      <c r="M21" s="145">
        <f>'超用20大－原因別分析'!AE33</f>
        <v>0.8</v>
      </c>
    </row>
    <row r="22" spans="1:13" ht="15.75" customHeight="1">
      <c r="A22" s="228" t="s">
        <v>434</v>
      </c>
      <c r="B22" s="427" t="s">
        <v>628</v>
      </c>
      <c r="C22" s="227"/>
      <c r="D22" s="631"/>
      <c r="E22" s="628" t="s">
        <v>200</v>
      </c>
      <c r="F22" s="728">
        <v>5</v>
      </c>
      <c r="G22" s="729"/>
      <c r="H22" s="728">
        <v>6</v>
      </c>
      <c r="I22" s="729"/>
      <c r="J22" s="728">
        <v>7</v>
      </c>
      <c r="K22" s="729"/>
      <c r="L22" s="763"/>
      <c r="M22" s="764"/>
    </row>
    <row r="23" spans="1:13" ht="31.4" customHeight="1">
      <c r="A23" s="138" t="s">
        <v>435</v>
      </c>
      <c r="B23" s="427" t="s">
        <v>628</v>
      </c>
      <c r="C23" s="227"/>
      <c r="D23" s="631"/>
      <c r="E23" s="628"/>
      <c r="F23" s="765" t="s">
        <v>191</v>
      </c>
      <c r="G23" s="766"/>
      <c r="H23" s="765" t="s">
        <v>169</v>
      </c>
      <c r="I23" s="766"/>
      <c r="J23" s="765" t="s">
        <v>192</v>
      </c>
      <c r="K23" s="766"/>
      <c r="L23" s="767"/>
      <c r="M23" s="768"/>
    </row>
    <row r="24" spans="1:13" ht="15.75" customHeight="1">
      <c r="D24" s="631"/>
      <c r="E24" s="628"/>
      <c r="F24" s="157" t="s">
        <v>11</v>
      </c>
      <c r="G24" s="157" t="s">
        <v>41</v>
      </c>
      <c r="H24" s="157" t="s">
        <v>11</v>
      </c>
      <c r="I24" s="157" t="s">
        <v>41</v>
      </c>
      <c r="J24" s="157" t="s">
        <v>11</v>
      </c>
      <c r="K24" s="157" t="s">
        <v>41</v>
      </c>
      <c r="L24" s="157"/>
      <c r="M24" s="157"/>
    </row>
    <row r="25" spans="1:13" ht="19.399999999999999" customHeight="1">
      <c r="D25" s="631"/>
      <c r="E25" s="141" t="s">
        <v>245</v>
      </c>
      <c r="F25" s="144">
        <f>'報廢20大－原因別分析'!AF32</f>
        <v>1092.48</v>
      </c>
      <c r="G25" s="145">
        <f>'報廢20大－原因別分析'!AF33</f>
        <v>0.05</v>
      </c>
      <c r="H25" s="144">
        <f>'報廢20大－原因別分析'!AG32</f>
        <v>1282.3499999999999</v>
      </c>
      <c r="I25" s="145">
        <f>'報廢20大－原因別分析'!AG33</f>
        <v>0.05</v>
      </c>
      <c r="J25" s="144">
        <f>'報廢20大－原因別分析'!AH32</f>
        <v>0</v>
      </c>
      <c r="K25" s="145">
        <f>'報廢20大－原因別分析'!AH33</f>
        <v>0</v>
      </c>
      <c r="L25" s="144"/>
      <c r="M25" s="145"/>
    </row>
    <row r="26" spans="1:13" ht="19.399999999999999" customHeight="1">
      <c r="D26" s="631"/>
      <c r="E26" s="146" t="s">
        <v>246</v>
      </c>
      <c r="F26" s="144">
        <f>'超用20大－原因別分析'!AF32</f>
        <v>20547.319099999993</v>
      </c>
      <c r="G26" s="145">
        <f>'超用20大－原因別分析'!AF33</f>
        <v>0.05</v>
      </c>
      <c r="H26" s="144">
        <f>'超用20大－原因別分析'!AG32</f>
        <v>9407.677399999975</v>
      </c>
      <c r="I26" s="145">
        <f>'超用20大－原因別分析'!AG33</f>
        <v>0.15</v>
      </c>
      <c r="J26" s="144">
        <f>'超用20大－原因別分析'!AH32</f>
        <v>0</v>
      </c>
      <c r="K26" s="145">
        <f>'超用20大－原因別分析'!AH33</f>
        <v>0</v>
      </c>
      <c r="L26" s="144"/>
      <c r="M26" s="145"/>
    </row>
    <row r="27" spans="1:13" ht="15.75" customHeight="1">
      <c r="A27" s="229" t="s">
        <v>451</v>
      </c>
      <c r="B27" s="230">
        <v>0</v>
      </c>
      <c r="E27" s="760" t="s">
        <v>500</v>
      </c>
      <c r="F27" s="761"/>
      <c r="G27" s="761"/>
      <c r="H27" s="761"/>
      <c r="I27" s="761"/>
      <c r="J27" s="761"/>
      <c r="K27" s="761"/>
      <c r="L27" s="761"/>
      <c r="M27" s="761"/>
    </row>
    <row r="28" spans="1:13" ht="15.75" customHeight="1">
      <c r="A28" s="762" t="s">
        <v>200</v>
      </c>
      <c r="B28" s="629" t="s">
        <v>10</v>
      </c>
      <c r="C28" s="629"/>
      <c r="D28" s="630"/>
      <c r="E28" s="628" t="s">
        <v>200</v>
      </c>
      <c r="F28" s="632">
        <v>1</v>
      </c>
      <c r="G28" s="632"/>
      <c r="H28" s="632">
        <v>2</v>
      </c>
      <c r="I28" s="632"/>
      <c r="J28" s="632">
        <v>3</v>
      </c>
      <c r="K28" s="632"/>
      <c r="L28" s="632">
        <v>4</v>
      </c>
      <c r="M28" s="632"/>
    </row>
    <row r="29" spans="1:13" ht="31.4" customHeight="1">
      <c r="A29" s="762"/>
      <c r="B29" s="629"/>
      <c r="C29" s="629"/>
      <c r="D29" s="631"/>
      <c r="E29" s="628"/>
      <c r="F29" s="634" t="s">
        <v>501</v>
      </c>
      <c r="G29" s="634"/>
      <c r="H29" s="634" t="s">
        <v>243</v>
      </c>
      <c r="I29" s="634"/>
      <c r="J29" s="634" t="s">
        <v>168</v>
      </c>
      <c r="K29" s="634"/>
      <c r="L29" s="634" t="s">
        <v>466</v>
      </c>
      <c r="M29" s="634"/>
    </row>
    <row r="30" spans="1:13" ht="15.75" customHeight="1">
      <c r="A30" s="762"/>
      <c r="B30" s="157" t="s">
        <v>11</v>
      </c>
      <c r="C30" s="157" t="s">
        <v>41</v>
      </c>
      <c r="D30" s="631"/>
      <c r="E30" s="628"/>
      <c r="F30" s="157" t="s">
        <v>11</v>
      </c>
      <c r="G30" s="157" t="s">
        <v>41</v>
      </c>
      <c r="H30" s="157" t="s">
        <v>11</v>
      </c>
      <c r="I30" s="157" t="s">
        <v>41</v>
      </c>
      <c r="J30" s="157" t="s">
        <v>11</v>
      </c>
      <c r="K30" s="157" t="s">
        <v>41</v>
      </c>
      <c r="L30" s="157" t="s">
        <v>11</v>
      </c>
      <c r="M30" s="157" t="s">
        <v>41</v>
      </c>
    </row>
    <row r="31" spans="1:13" ht="19.399999999999999" customHeight="1">
      <c r="A31" s="231" t="s">
        <v>245</v>
      </c>
      <c r="B31" s="142">
        <f>日別報廢率總表!M18</f>
        <v>0</v>
      </c>
      <c r="C31" s="239" t="e">
        <f>B31/($B$27*1000)</f>
        <v>#DIV/0!</v>
      </c>
      <c r="D31" s="631"/>
      <c r="E31" s="141" t="s">
        <v>245</v>
      </c>
      <c r="F31" s="144">
        <f>'報廢20大－原因別分析'!AB56</f>
        <v>0</v>
      </c>
      <c r="G31" s="145">
        <f>'報廢20大－原因別分析'!AB57</f>
        <v>0</v>
      </c>
      <c r="H31" s="144">
        <f>'報廢20大－原因別分析'!AC56</f>
        <v>0</v>
      </c>
      <c r="I31" s="145">
        <f>'報廢20大－原因別分析'!AC57</f>
        <v>0</v>
      </c>
      <c r="J31" s="144">
        <f>'報廢20大－原因別分析'!AD56</f>
        <v>0</v>
      </c>
      <c r="K31" s="145">
        <f>'報廢20大－原因別分析'!AD57</f>
        <v>0</v>
      </c>
      <c r="L31" s="144">
        <f>'報廢20大－原因別分析'!AE56</f>
        <v>0</v>
      </c>
      <c r="M31" s="145">
        <f>'報廢20大－原因別分析'!AE57</f>
        <v>0</v>
      </c>
    </row>
    <row r="32" spans="1:13" ht="19.399999999999999" customHeight="1">
      <c r="A32" s="232" t="s">
        <v>246</v>
      </c>
      <c r="B32" s="147">
        <f>日別報廢率總表!N18</f>
        <v>0</v>
      </c>
      <c r="C32" s="143" t="e">
        <f>B32/($B$27*1000)</f>
        <v>#DIV/0!</v>
      </c>
      <c r="D32" s="631"/>
      <c r="E32" s="146" t="s">
        <v>246</v>
      </c>
      <c r="F32" s="144">
        <f>'超用20大－原因別分析'!AB56</f>
        <v>0</v>
      </c>
      <c r="G32" s="145">
        <f>'超用20大－原因別分析'!AB57</f>
        <v>0</v>
      </c>
      <c r="H32" s="144">
        <f>'超用20大－原因別分析'!AC56</f>
        <v>0</v>
      </c>
      <c r="I32" s="145">
        <f>'超用20大－原因別分析'!AC57</f>
        <v>0</v>
      </c>
      <c r="J32" s="144">
        <f>'超用20大－原因別分析'!AD56</f>
        <v>0</v>
      </c>
      <c r="K32" s="145">
        <f>'超用20大－原因別分析'!AD57</f>
        <v>0</v>
      </c>
      <c r="L32" s="144">
        <f>'超用20大－原因別分析'!AE56</f>
        <v>0</v>
      </c>
      <c r="M32" s="145">
        <f>'超用20大－原因別分析'!AE57</f>
        <v>0</v>
      </c>
    </row>
    <row r="33" spans="1:13" ht="15.75" customHeight="1">
      <c r="A33" s="228" t="s">
        <v>434</v>
      </c>
      <c r="B33" s="427" t="s">
        <v>629</v>
      </c>
      <c r="C33" s="227"/>
      <c r="D33" s="631"/>
      <c r="E33" s="628" t="s">
        <v>200</v>
      </c>
      <c r="F33" s="728">
        <v>5</v>
      </c>
      <c r="G33" s="729"/>
      <c r="H33" s="728">
        <v>6</v>
      </c>
      <c r="I33" s="729"/>
      <c r="J33" s="728">
        <v>7</v>
      </c>
      <c r="K33" s="729"/>
      <c r="L33" s="763"/>
      <c r="M33" s="764"/>
    </row>
    <row r="34" spans="1:13" ht="31.4" customHeight="1">
      <c r="A34" s="138" t="s">
        <v>435</v>
      </c>
      <c r="B34" s="427" t="s">
        <v>629</v>
      </c>
      <c r="C34" s="227"/>
      <c r="D34" s="631"/>
      <c r="E34" s="628"/>
      <c r="F34" s="765" t="s">
        <v>191</v>
      </c>
      <c r="G34" s="766"/>
      <c r="H34" s="765" t="s">
        <v>169</v>
      </c>
      <c r="I34" s="766"/>
      <c r="J34" s="765" t="s">
        <v>192</v>
      </c>
      <c r="K34" s="766"/>
      <c r="L34" s="767"/>
      <c r="M34" s="768"/>
    </row>
    <row r="35" spans="1:13" ht="15.75" customHeight="1">
      <c r="D35" s="631"/>
      <c r="E35" s="628"/>
      <c r="F35" s="157" t="s">
        <v>11</v>
      </c>
      <c r="G35" s="157" t="s">
        <v>41</v>
      </c>
      <c r="H35" s="157" t="s">
        <v>11</v>
      </c>
      <c r="I35" s="157" t="s">
        <v>41</v>
      </c>
      <c r="J35" s="157" t="s">
        <v>11</v>
      </c>
      <c r="K35" s="157" t="s">
        <v>41</v>
      </c>
      <c r="L35" s="157"/>
      <c r="M35" s="157"/>
    </row>
    <row r="36" spans="1:13" ht="19.399999999999999" customHeight="1">
      <c r="D36" s="631"/>
      <c r="E36" s="141" t="s">
        <v>245</v>
      </c>
      <c r="F36" s="144">
        <f>'報廢20大－原因別分析'!AF56</f>
        <v>0</v>
      </c>
      <c r="G36" s="145">
        <f>'報廢20大－原因別分析'!AF57</f>
        <v>0</v>
      </c>
      <c r="H36" s="144">
        <f>'報廢20大－原因別分析'!AG56</f>
        <v>0</v>
      </c>
      <c r="I36" s="145">
        <f>'報廢20大－原因別分析'!AG57</f>
        <v>0</v>
      </c>
      <c r="J36" s="144">
        <f>'報廢20大－原因別分析'!AH56</f>
        <v>0</v>
      </c>
      <c r="K36" s="145">
        <f>'報廢20大－原因別分析'!AH57</f>
        <v>0</v>
      </c>
      <c r="L36" s="144"/>
      <c r="M36" s="145"/>
    </row>
    <row r="37" spans="1:13" ht="19.399999999999999" customHeight="1">
      <c r="D37" s="631"/>
      <c r="E37" s="146" t="s">
        <v>246</v>
      </c>
      <c r="F37" s="144">
        <f>'超用20大－原因別分析'!AF56</f>
        <v>0</v>
      </c>
      <c r="G37" s="145">
        <f>'超用20大－原因別分析'!AF57</f>
        <v>0</v>
      </c>
      <c r="H37" s="144">
        <f>'超用20大－原因別分析'!AG56</f>
        <v>0</v>
      </c>
      <c r="I37" s="145">
        <f>'超用20大－原因別分析'!AG57</f>
        <v>0</v>
      </c>
      <c r="J37" s="144">
        <f>'超用20大－原因別分析'!AH56</f>
        <v>0</v>
      </c>
      <c r="K37" s="145">
        <f>'超用20大－原因別分析'!AH57</f>
        <v>0</v>
      </c>
      <c r="L37" s="144"/>
      <c r="M37" s="145"/>
    </row>
    <row r="38" spans="1:13" ht="15.75" customHeight="1">
      <c r="A38" s="229" t="s">
        <v>451</v>
      </c>
      <c r="B38" s="230">
        <v>27936.826319999996</v>
      </c>
      <c r="E38" s="760" t="s">
        <v>500</v>
      </c>
      <c r="F38" s="761"/>
      <c r="G38" s="761"/>
      <c r="H38" s="761"/>
      <c r="I38" s="761"/>
      <c r="J38" s="761"/>
      <c r="K38" s="761"/>
      <c r="L38" s="761"/>
      <c r="M38" s="761"/>
    </row>
    <row r="39" spans="1:13" ht="15.75" customHeight="1">
      <c r="A39" s="762" t="s">
        <v>200</v>
      </c>
      <c r="B39" s="629" t="s">
        <v>10</v>
      </c>
      <c r="C39" s="629"/>
      <c r="D39" s="630"/>
      <c r="E39" s="628" t="s">
        <v>200</v>
      </c>
      <c r="F39" s="632">
        <v>1</v>
      </c>
      <c r="G39" s="632"/>
      <c r="H39" s="632">
        <v>2</v>
      </c>
      <c r="I39" s="632"/>
      <c r="J39" s="632">
        <v>3</v>
      </c>
      <c r="K39" s="632"/>
      <c r="L39" s="632">
        <v>4</v>
      </c>
      <c r="M39" s="632"/>
    </row>
    <row r="40" spans="1:13" ht="31.4" customHeight="1">
      <c r="A40" s="762"/>
      <c r="B40" s="629"/>
      <c r="C40" s="629"/>
      <c r="D40" s="631"/>
      <c r="E40" s="628"/>
      <c r="F40" s="634" t="s">
        <v>501</v>
      </c>
      <c r="G40" s="634"/>
      <c r="H40" s="634" t="s">
        <v>243</v>
      </c>
      <c r="I40" s="634"/>
      <c r="J40" s="634" t="s">
        <v>168</v>
      </c>
      <c r="K40" s="634"/>
      <c r="L40" s="634" t="s">
        <v>466</v>
      </c>
      <c r="M40" s="634"/>
    </row>
    <row r="41" spans="1:13" ht="15.75" customHeight="1">
      <c r="A41" s="762"/>
      <c r="B41" s="157" t="s">
        <v>11</v>
      </c>
      <c r="C41" s="157" t="s">
        <v>41</v>
      </c>
      <c r="D41" s="631"/>
      <c r="E41" s="628"/>
      <c r="F41" s="157" t="s">
        <v>11</v>
      </c>
      <c r="G41" s="157" t="s">
        <v>41</v>
      </c>
      <c r="H41" s="157" t="s">
        <v>11</v>
      </c>
      <c r="I41" s="157" t="s">
        <v>41</v>
      </c>
      <c r="J41" s="157" t="s">
        <v>11</v>
      </c>
      <c r="K41" s="157" t="s">
        <v>41</v>
      </c>
      <c r="L41" s="157" t="s">
        <v>11</v>
      </c>
      <c r="M41" s="157" t="s">
        <v>41</v>
      </c>
    </row>
    <row r="42" spans="1:13" ht="19.399999999999999" customHeight="1">
      <c r="A42" s="231" t="s">
        <v>245</v>
      </c>
      <c r="B42" s="142">
        <f>日別報廢率總表!M25</f>
        <v>0</v>
      </c>
      <c r="C42" s="239">
        <f>B42/($B$38*1000)</f>
        <v>0</v>
      </c>
      <c r="D42" s="631"/>
      <c r="E42" s="141" t="s">
        <v>245</v>
      </c>
      <c r="F42" s="144">
        <f>'報廢20大－原因別分析'!AB80</f>
        <v>0</v>
      </c>
      <c r="G42" s="145">
        <f>'報廢20大－原因別分析'!AB81</f>
        <v>0</v>
      </c>
      <c r="H42" s="144">
        <f>'報廢20大－原因別分析'!AC80</f>
        <v>0</v>
      </c>
      <c r="I42" s="145">
        <f>'報廢20大－原因別分析'!AC81</f>
        <v>0</v>
      </c>
      <c r="J42" s="144">
        <f>'報廢20大－原因別分析'!AD80</f>
        <v>0</v>
      </c>
      <c r="K42" s="145">
        <f>'報廢20大－原因別分析'!AD81</f>
        <v>0</v>
      </c>
      <c r="L42" s="144">
        <f>'報廢20大－原因別分析'!AE80</f>
        <v>0</v>
      </c>
      <c r="M42" s="145">
        <f>'報廢20大－原因別分析'!AE81</f>
        <v>0</v>
      </c>
    </row>
    <row r="43" spans="1:13" ht="19.399999999999999" customHeight="1">
      <c r="A43" s="232" t="s">
        <v>246</v>
      </c>
      <c r="B43" s="147">
        <f>日別報廢率總表!N25</f>
        <v>0</v>
      </c>
      <c r="C43" s="143">
        <f>B43/($B$38*1000)</f>
        <v>0</v>
      </c>
      <c r="D43" s="631"/>
      <c r="E43" s="146" t="s">
        <v>246</v>
      </c>
      <c r="F43" s="144">
        <f>'超用20大－原因別分析'!AB80</f>
        <v>0</v>
      </c>
      <c r="G43" s="145">
        <f>'超用20大－原因別分析'!AB81</f>
        <v>0</v>
      </c>
      <c r="H43" s="144">
        <f>'超用20大－原因別分析'!AC80</f>
        <v>0</v>
      </c>
      <c r="I43" s="145">
        <f>'超用20大－原因別分析'!AC81</f>
        <v>0</v>
      </c>
      <c r="J43" s="144">
        <f>'超用20大－原因別分析'!AD80</f>
        <v>0</v>
      </c>
      <c r="K43" s="145">
        <f>'超用20大－原因別分析'!AD81</f>
        <v>0</v>
      </c>
      <c r="L43" s="144">
        <f>'超用20大－原因別分析'!AE80</f>
        <v>0</v>
      </c>
      <c r="M43" s="145">
        <f>'超用20大－原因別分析'!AE81</f>
        <v>0</v>
      </c>
    </row>
    <row r="44" spans="1:13" ht="15.75" customHeight="1">
      <c r="A44" s="228" t="s">
        <v>434</v>
      </c>
      <c r="B44" s="427" t="s">
        <v>630</v>
      </c>
      <c r="C44" s="227"/>
      <c r="D44" s="631"/>
      <c r="E44" s="628" t="s">
        <v>200</v>
      </c>
      <c r="F44" s="728">
        <v>5</v>
      </c>
      <c r="G44" s="729"/>
      <c r="H44" s="728">
        <v>6</v>
      </c>
      <c r="I44" s="729"/>
      <c r="J44" s="728">
        <v>7</v>
      </c>
      <c r="K44" s="729"/>
      <c r="L44" s="763"/>
      <c r="M44" s="764"/>
    </row>
    <row r="45" spans="1:13" ht="31.4" customHeight="1">
      <c r="A45" s="138" t="s">
        <v>435</v>
      </c>
      <c r="B45" s="427" t="s">
        <v>630</v>
      </c>
      <c r="C45" s="227"/>
      <c r="D45" s="631"/>
      <c r="E45" s="628"/>
      <c r="F45" s="765" t="s">
        <v>191</v>
      </c>
      <c r="G45" s="766"/>
      <c r="H45" s="765" t="s">
        <v>169</v>
      </c>
      <c r="I45" s="766"/>
      <c r="J45" s="765" t="s">
        <v>192</v>
      </c>
      <c r="K45" s="766"/>
      <c r="L45" s="767"/>
      <c r="M45" s="768"/>
    </row>
    <row r="46" spans="1:13" ht="15.75" customHeight="1">
      <c r="D46" s="631"/>
      <c r="E46" s="628"/>
      <c r="F46" s="157" t="s">
        <v>11</v>
      </c>
      <c r="G46" s="157" t="s">
        <v>41</v>
      </c>
      <c r="H46" s="157" t="s">
        <v>11</v>
      </c>
      <c r="I46" s="157" t="s">
        <v>41</v>
      </c>
      <c r="J46" s="157" t="s">
        <v>11</v>
      </c>
      <c r="K46" s="157" t="s">
        <v>41</v>
      </c>
      <c r="L46" s="157"/>
      <c r="M46" s="157"/>
    </row>
    <row r="47" spans="1:13" ht="19.399999999999999" customHeight="1">
      <c r="D47" s="631"/>
      <c r="E47" s="141" t="s">
        <v>245</v>
      </c>
      <c r="F47" s="144">
        <f>'報廢20大－原因別分析'!AF80</f>
        <v>0</v>
      </c>
      <c r="G47" s="145">
        <f>'報廢20大－原因別分析'!AF81</f>
        <v>0</v>
      </c>
      <c r="H47" s="144">
        <f>'報廢20大－原因別分析'!AG80</f>
        <v>0</v>
      </c>
      <c r="I47" s="145">
        <f>'報廢20大－原因別分析'!AG81</f>
        <v>0</v>
      </c>
      <c r="J47" s="144">
        <f>'報廢20大－原因別分析'!AH80</f>
        <v>0</v>
      </c>
      <c r="K47" s="145">
        <f>'報廢20大－原因別分析'!AH81</f>
        <v>0</v>
      </c>
      <c r="L47" s="144"/>
      <c r="M47" s="145"/>
    </row>
    <row r="48" spans="1:13" ht="19.399999999999999" customHeight="1">
      <c r="D48" s="631"/>
      <c r="E48" s="146" t="s">
        <v>246</v>
      </c>
      <c r="F48" s="144">
        <f>'超用20大－原因別分析'!AF80</f>
        <v>0</v>
      </c>
      <c r="G48" s="145">
        <f>'超用20大－原因別分析'!AF81</f>
        <v>0</v>
      </c>
      <c r="H48" s="144">
        <f>'超用20大－原因別分析'!AG80</f>
        <v>0</v>
      </c>
      <c r="I48" s="145">
        <f>'超用20大－原因別分析'!AG81</f>
        <v>0</v>
      </c>
      <c r="J48" s="144">
        <f>'超用20大－原因別分析'!AH80</f>
        <v>0</v>
      </c>
      <c r="K48" s="145">
        <f>'超用20大－原因別分析'!AH81</f>
        <v>0</v>
      </c>
      <c r="L48" s="144"/>
      <c r="M48" s="145"/>
    </row>
    <row r="49" spans="1:13" ht="15.75" customHeight="1">
      <c r="A49" s="229" t="s">
        <v>451</v>
      </c>
      <c r="B49" s="230"/>
      <c r="E49" s="760" t="s">
        <v>500</v>
      </c>
      <c r="F49" s="761"/>
      <c r="G49" s="761"/>
      <c r="H49" s="761"/>
      <c r="I49" s="761"/>
      <c r="J49" s="761"/>
      <c r="K49" s="761"/>
      <c r="L49" s="761"/>
      <c r="M49" s="761"/>
    </row>
    <row r="50" spans="1:13" ht="15.75" customHeight="1">
      <c r="A50" s="762" t="s">
        <v>200</v>
      </c>
      <c r="B50" s="629" t="s">
        <v>10</v>
      </c>
      <c r="C50" s="629"/>
      <c r="D50" s="630"/>
      <c r="E50" s="628" t="s">
        <v>200</v>
      </c>
      <c r="F50" s="632">
        <v>1</v>
      </c>
      <c r="G50" s="632"/>
      <c r="H50" s="632">
        <v>2</v>
      </c>
      <c r="I50" s="632"/>
      <c r="J50" s="632">
        <v>3</v>
      </c>
      <c r="K50" s="632"/>
      <c r="L50" s="632">
        <v>4</v>
      </c>
      <c r="M50" s="632"/>
    </row>
    <row r="51" spans="1:13" ht="31.4" customHeight="1">
      <c r="A51" s="762"/>
      <c r="B51" s="629"/>
      <c r="C51" s="629"/>
      <c r="D51" s="631"/>
      <c r="E51" s="628"/>
      <c r="F51" s="634" t="s">
        <v>501</v>
      </c>
      <c r="G51" s="634"/>
      <c r="H51" s="634" t="s">
        <v>243</v>
      </c>
      <c r="I51" s="634"/>
      <c r="J51" s="634" t="s">
        <v>168</v>
      </c>
      <c r="K51" s="634"/>
      <c r="L51" s="634" t="s">
        <v>466</v>
      </c>
      <c r="M51" s="634"/>
    </row>
    <row r="52" spans="1:13" ht="15.75" customHeight="1">
      <c r="A52" s="762"/>
      <c r="B52" s="157" t="s">
        <v>11</v>
      </c>
      <c r="C52" s="157" t="s">
        <v>41</v>
      </c>
      <c r="D52" s="631"/>
      <c r="E52" s="628"/>
      <c r="F52" s="157" t="s">
        <v>11</v>
      </c>
      <c r="G52" s="157" t="s">
        <v>41</v>
      </c>
      <c r="H52" s="157" t="s">
        <v>11</v>
      </c>
      <c r="I52" s="157" t="s">
        <v>41</v>
      </c>
      <c r="J52" s="157" t="s">
        <v>11</v>
      </c>
      <c r="K52" s="157" t="s">
        <v>41</v>
      </c>
      <c r="L52" s="157" t="s">
        <v>11</v>
      </c>
      <c r="M52" s="157" t="s">
        <v>41</v>
      </c>
    </row>
    <row r="53" spans="1:13" ht="19.399999999999999" customHeight="1">
      <c r="A53" s="231" t="s">
        <v>245</v>
      </c>
      <c r="B53" s="142">
        <f>日別報廢率總表!M32</f>
        <v>0</v>
      </c>
      <c r="C53" s="239" t="e">
        <f>B53/($B$49*1000)</f>
        <v>#DIV/0!</v>
      </c>
      <c r="D53" s="631"/>
      <c r="E53" s="141" t="s">
        <v>245</v>
      </c>
      <c r="F53" s="144">
        <f>'報廢20大－原因別分析'!AB104</f>
        <v>0</v>
      </c>
      <c r="G53" s="145">
        <f>'報廢20大－原因別分析'!AB105</f>
        <v>0</v>
      </c>
      <c r="H53" s="144">
        <f>'報廢20大－原因別分析'!AC104</f>
        <v>0</v>
      </c>
      <c r="I53" s="145">
        <f>'報廢20大－原因別分析'!AC105</f>
        <v>0</v>
      </c>
      <c r="J53" s="144">
        <f>'報廢20大－原因別分析'!AD104</f>
        <v>0</v>
      </c>
      <c r="K53" s="145">
        <f>'報廢20大－原因別分析'!AD105</f>
        <v>0</v>
      </c>
      <c r="L53" s="144">
        <f>'報廢20大－原因別分析'!AE104</f>
        <v>0</v>
      </c>
      <c r="M53" s="145">
        <f>'報廢20大－原因別分析'!AE105</f>
        <v>0</v>
      </c>
    </row>
    <row r="54" spans="1:13" ht="19.399999999999999" customHeight="1">
      <c r="A54" s="232" t="s">
        <v>246</v>
      </c>
      <c r="B54" s="147">
        <f>日別報廢率總表!N32</f>
        <v>0</v>
      </c>
      <c r="C54" s="143" t="e">
        <f>B54/($B$49*1000)</f>
        <v>#DIV/0!</v>
      </c>
      <c r="D54" s="631"/>
      <c r="E54" s="146" t="s">
        <v>246</v>
      </c>
      <c r="F54" s="144">
        <f>'超用20大－原因別分析'!AB104</f>
        <v>0</v>
      </c>
      <c r="G54" s="145">
        <f>'超用20大－原因別分析'!AB105</f>
        <v>0</v>
      </c>
      <c r="H54" s="144">
        <f>'超用20大－原因別分析'!AC104</f>
        <v>0</v>
      </c>
      <c r="I54" s="145">
        <f>'超用20大－原因別分析'!AC105</f>
        <v>0</v>
      </c>
      <c r="J54" s="144">
        <f>'超用20大－原因別分析'!AD104</f>
        <v>0</v>
      </c>
      <c r="K54" s="145">
        <f>'超用20大－原因別分析'!AD105</f>
        <v>0</v>
      </c>
      <c r="L54" s="144">
        <f>'超用20大－原因別分析'!AE104</f>
        <v>0</v>
      </c>
      <c r="M54" s="145">
        <f>'超用20大－原因別分析'!AE105</f>
        <v>0</v>
      </c>
    </row>
    <row r="55" spans="1:13" ht="15.75" customHeight="1">
      <c r="A55" s="228" t="s">
        <v>434</v>
      </c>
      <c r="B55" s="427" t="s">
        <v>631</v>
      </c>
      <c r="C55" s="227"/>
      <c r="D55" s="631"/>
      <c r="E55" s="628" t="s">
        <v>200</v>
      </c>
      <c r="F55" s="728">
        <v>5</v>
      </c>
      <c r="G55" s="729"/>
      <c r="H55" s="728">
        <v>6</v>
      </c>
      <c r="I55" s="729"/>
      <c r="J55" s="728">
        <v>7</v>
      </c>
      <c r="K55" s="729"/>
      <c r="L55" s="763"/>
      <c r="M55" s="764"/>
    </row>
    <row r="56" spans="1:13" ht="31.4" customHeight="1">
      <c r="A56" s="138" t="s">
        <v>435</v>
      </c>
      <c r="B56" s="427" t="s">
        <v>631</v>
      </c>
      <c r="C56" s="227"/>
      <c r="D56" s="631"/>
      <c r="E56" s="628"/>
      <c r="F56" s="765" t="s">
        <v>191</v>
      </c>
      <c r="G56" s="766"/>
      <c r="H56" s="765" t="s">
        <v>169</v>
      </c>
      <c r="I56" s="766"/>
      <c r="J56" s="765" t="s">
        <v>192</v>
      </c>
      <c r="K56" s="766"/>
      <c r="L56" s="767"/>
      <c r="M56" s="768"/>
    </row>
    <row r="57" spans="1:13" ht="15.75" customHeight="1">
      <c r="D57" s="631"/>
      <c r="E57" s="628"/>
      <c r="F57" s="157" t="s">
        <v>11</v>
      </c>
      <c r="G57" s="157" t="s">
        <v>41</v>
      </c>
      <c r="H57" s="157" t="s">
        <v>11</v>
      </c>
      <c r="I57" s="157" t="s">
        <v>41</v>
      </c>
      <c r="J57" s="157" t="s">
        <v>11</v>
      </c>
      <c r="K57" s="157" t="s">
        <v>41</v>
      </c>
      <c r="L57" s="157"/>
      <c r="M57" s="157"/>
    </row>
    <row r="58" spans="1:13" ht="19.399999999999999" customHeight="1">
      <c r="D58" s="631"/>
      <c r="E58" s="141" t="s">
        <v>245</v>
      </c>
      <c r="F58" s="144">
        <f>'報廢20大－原因別分析'!AF104</f>
        <v>0</v>
      </c>
      <c r="G58" s="145">
        <f>'報廢20大－原因別分析'!AF105</f>
        <v>0</v>
      </c>
      <c r="H58" s="144">
        <f>'報廢20大－原因別分析'!AG104</f>
        <v>0</v>
      </c>
      <c r="I58" s="145">
        <f>'報廢20大－原因別分析'!AG105</f>
        <v>0</v>
      </c>
      <c r="J58" s="144">
        <f>'報廢20大－原因別分析'!AH104</f>
        <v>0</v>
      </c>
      <c r="K58" s="145">
        <f>'報廢20大－原因別分析'!AH105</f>
        <v>0</v>
      </c>
      <c r="L58" s="144"/>
      <c r="M58" s="145"/>
    </row>
    <row r="59" spans="1:13" ht="19.399999999999999" customHeight="1">
      <c r="D59" s="631"/>
      <c r="E59" s="146" t="s">
        <v>246</v>
      </c>
      <c r="F59" s="144">
        <f>'超用20大－原因別分析'!AF104</f>
        <v>0</v>
      </c>
      <c r="G59" s="145">
        <f>'超用20大－原因別分析'!AF105</f>
        <v>0</v>
      </c>
      <c r="H59" s="144">
        <f>'超用20大－原因別分析'!AG104</f>
        <v>0</v>
      </c>
      <c r="I59" s="145">
        <f>'超用20大－原因別分析'!AG105</f>
        <v>0</v>
      </c>
      <c r="J59" s="144">
        <f>'超用20大－原因別分析'!AH104</f>
        <v>0</v>
      </c>
      <c r="K59" s="145">
        <f>'超用20大－原因別分析'!AH105</f>
        <v>0</v>
      </c>
      <c r="L59" s="144"/>
      <c r="M59" s="145"/>
    </row>
    <row r="60" spans="1:13" ht="15.75" customHeight="1">
      <c r="A60" s="229" t="s">
        <v>451</v>
      </c>
      <c r="B60" s="230"/>
      <c r="E60" s="760" t="s">
        <v>500</v>
      </c>
      <c r="F60" s="761"/>
      <c r="G60" s="761"/>
      <c r="H60" s="761"/>
      <c r="I60" s="761"/>
      <c r="J60" s="761"/>
      <c r="K60" s="761"/>
      <c r="L60" s="761"/>
      <c r="M60" s="761"/>
    </row>
    <row r="61" spans="1:13" ht="15.75" customHeight="1">
      <c r="A61" s="762" t="s">
        <v>200</v>
      </c>
      <c r="B61" s="629" t="s">
        <v>10</v>
      </c>
      <c r="C61" s="629"/>
      <c r="D61" s="630"/>
      <c r="E61" s="628" t="s">
        <v>200</v>
      </c>
      <c r="F61" s="632">
        <v>1</v>
      </c>
      <c r="G61" s="632"/>
      <c r="H61" s="632">
        <v>2</v>
      </c>
      <c r="I61" s="632"/>
      <c r="J61" s="632">
        <v>3</v>
      </c>
      <c r="K61" s="632"/>
      <c r="L61" s="632">
        <v>4</v>
      </c>
      <c r="M61" s="632"/>
    </row>
    <row r="62" spans="1:13" ht="31.4" customHeight="1">
      <c r="A62" s="762"/>
      <c r="B62" s="629"/>
      <c r="C62" s="629"/>
      <c r="D62" s="631"/>
      <c r="E62" s="628"/>
      <c r="F62" s="634" t="s">
        <v>501</v>
      </c>
      <c r="G62" s="634"/>
      <c r="H62" s="634" t="s">
        <v>243</v>
      </c>
      <c r="I62" s="634"/>
      <c r="J62" s="634" t="s">
        <v>168</v>
      </c>
      <c r="K62" s="634"/>
      <c r="L62" s="634" t="s">
        <v>466</v>
      </c>
      <c r="M62" s="634"/>
    </row>
    <row r="63" spans="1:13" ht="15.75" customHeight="1">
      <c r="A63" s="762"/>
      <c r="B63" s="157" t="s">
        <v>11</v>
      </c>
      <c r="C63" s="157" t="s">
        <v>41</v>
      </c>
      <c r="D63" s="631"/>
      <c r="E63" s="628"/>
      <c r="F63" s="157" t="s">
        <v>11</v>
      </c>
      <c r="G63" s="157" t="s">
        <v>41</v>
      </c>
      <c r="H63" s="157" t="s">
        <v>11</v>
      </c>
      <c r="I63" s="157" t="s">
        <v>41</v>
      </c>
      <c r="J63" s="157" t="s">
        <v>11</v>
      </c>
      <c r="K63" s="157" t="s">
        <v>41</v>
      </c>
      <c r="L63" s="157" t="s">
        <v>11</v>
      </c>
      <c r="M63" s="157" t="s">
        <v>41</v>
      </c>
    </row>
    <row r="64" spans="1:13" ht="19.399999999999999" customHeight="1">
      <c r="A64" s="231" t="s">
        <v>245</v>
      </c>
      <c r="B64" s="142">
        <f>日別報廢率總表!M42</f>
        <v>0</v>
      </c>
      <c r="C64" s="239" t="e">
        <f>B64/($B$49*1000)</f>
        <v>#DIV/0!</v>
      </c>
      <c r="D64" s="631"/>
      <c r="E64" s="141" t="s">
        <v>245</v>
      </c>
      <c r="F64" s="144">
        <f>'報廢20大－原因別分析'!AB127</f>
        <v>0</v>
      </c>
      <c r="G64" s="145">
        <f ca="1">'報廢20大－原因別分析'!AB128</f>
        <v>0</v>
      </c>
      <c r="H64" s="144">
        <f>'報廢20大－原因別分析'!AC127</f>
        <v>0</v>
      </c>
      <c r="I64" s="145">
        <f ca="1">'報廢20大－原因別分析'!AC128</f>
        <v>0</v>
      </c>
      <c r="J64" s="144">
        <f>'報廢20大－原因別分析'!AD127</f>
        <v>0</v>
      </c>
      <c r="K64" s="145">
        <f ca="1">'報廢20大－原因別分析'!AD128</f>
        <v>0</v>
      </c>
      <c r="L64" s="144">
        <f>'報廢20大－原因別分析'!AE127</f>
        <v>0</v>
      </c>
      <c r="M64" s="145">
        <f ca="1">'報廢20大－原因別分析'!AE128</f>
        <v>0</v>
      </c>
    </row>
    <row r="65" spans="1:13" ht="19.399999999999999" customHeight="1">
      <c r="A65" s="232" t="s">
        <v>246</v>
      </c>
      <c r="B65" s="147">
        <f>日別報廢率總表!N42</f>
        <v>0</v>
      </c>
      <c r="C65" s="143" t="e">
        <f>B65/($B$49*1000)</f>
        <v>#DIV/0!</v>
      </c>
      <c r="D65" s="631"/>
      <c r="E65" s="146" t="s">
        <v>246</v>
      </c>
      <c r="F65" s="144">
        <f>'超用20大－原因別分析'!AB127</f>
        <v>0</v>
      </c>
      <c r="G65" s="145">
        <f>'超用20大－原因別分析'!AB128</f>
        <v>0</v>
      </c>
      <c r="H65" s="144">
        <f>'超用20大－原因別分析'!AC127</f>
        <v>0</v>
      </c>
      <c r="I65" s="145">
        <f>'超用20大－原因別分析'!AC128</f>
        <v>0</v>
      </c>
      <c r="J65" s="144">
        <f>'超用20大－原因別分析'!AD127</f>
        <v>0</v>
      </c>
      <c r="K65" s="145">
        <f>'超用20大－原因別分析'!AD128</f>
        <v>0</v>
      </c>
      <c r="L65" s="144">
        <f>'超用20大－原因別分析'!AE127</f>
        <v>0</v>
      </c>
      <c r="M65" s="145">
        <f>'超用20大－原因別分析'!AE128</f>
        <v>0</v>
      </c>
    </row>
    <row r="66" spans="1:13" ht="15.75" customHeight="1">
      <c r="A66" s="228" t="s">
        <v>434</v>
      </c>
      <c r="B66" s="427" t="s">
        <v>632</v>
      </c>
      <c r="C66" s="227"/>
      <c r="D66" s="631"/>
      <c r="E66" s="628" t="s">
        <v>200</v>
      </c>
      <c r="F66" s="728">
        <v>5</v>
      </c>
      <c r="G66" s="729"/>
      <c r="H66" s="728">
        <v>6</v>
      </c>
      <c r="I66" s="729"/>
      <c r="J66" s="728">
        <v>7</v>
      </c>
      <c r="K66" s="729"/>
      <c r="L66" s="763"/>
      <c r="M66" s="764"/>
    </row>
    <row r="67" spans="1:13" ht="31.4" customHeight="1">
      <c r="A67" s="138" t="s">
        <v>435</v>
      </c>
      <c r="B67" s="427" t="s">
        <v>632</v>
      </c>
      <c r="C67" s="227"/>
      <c r="D67" s="631"/>
      <c r="E67" s="628"/>
      <c r="F67" s="765" t="s">
        <v>191</v>
      </c>
      <c r="G67" s="766"/>
      <c r="H67" s="765" t="s">
        <v>169</v>
      </c>
      <c r="I67" s="766"/>
      <c r="J67" s="765" t="s">
        <v>192</v>
      </c>
      <c r="K67" s="766"/>
      <c r="L67" s="767"/>
      <c r="M67" s="768"/>
    </row>
    <row r="68" spans="1:13" ht="15.75" customHeight="1">
      <c r="D68" s="631"/>
      <c r="E68" s="628"/>
      <c r="F68" s="157" t="s">
        <v>11</v>
      </c>
      <c r="G68" s="157" t="s">
        <v>41</v>
      </c>
      <c r="H68" s="157" t="s">
        <v>11</v>
      </c>
      <c r="I68" s="157" t="s">
        <v>41</v>
      </c>
      <c r="J68" s="157" t="s">
        <v>11</v>
      </c>
      <c r="K68" s="157" t="s">
        <v>41</v>
      </c>
      <c r="L68" s="157"/>
      <c r="M68" s="157"/>
    </row>
    <row r="69" spans="1:13" ht="19.399999999999999" customHeight="1">
      <c r="D69" s="631"/>
      <c r="E69" s="141" t="s">
        <v>245</v>
      </c>
      <c r="F69" s="144">
        <f>'報廢20大－原因別分析'!AF127</f>
        <v>0</v>
      </c>
      <c r="G69" s="145">
        <f ca="1">'報廢20大－原因別分析'!AF128</f>
        <v>0</v>
      </c>
      <c r="H69" s="144">
        <f>'報廢20大－原因別分析'!AG127</f>
        <v>0</v>
      </c>
      <c r="I69" s="145">
        <f ca="1">'報廢20大－原因別分析'!AG128</f>
        <v>0</v>
      </c>
      <c r="J69" s="144">
        <f>'報廢20大－原因別分析'!AH127</f>
        <v>0</v>
      </c>
      <c r="K69" s="145">
        <f ca="1">'報廢20大－原因別分析'!AH128</f>
        <v>0</v>
      </c>
      <c r="L69" s="144"/>
      <c r="M69" s="145"/>
    </row>
    <row r="70" spans="1:13" ht="19.399999999999999" customHeight="1">
      <c r="D70" s="631"/>
      <c r="E70" s="146" t="s">
        <v>246</v>
      </c>
      <c r="F70" s="144">
        <f>'超用20大－原因別分析'!AF127</f>
        <v>0</v>
      </c>
      <c r="G70" s="145">
        <f>'超用20大－原因別分析'!AF128</f>
        <v>0</v>
      </c>
      <c r="H70" s="144">
        <f>'超用20大－原因別分析'!AG127</f>
        <v>0</v>
      </c>
      <c r="I70" s="145">
        <f>'超用20大－原因別分析'!AG128</f>
        <v>0</v>
      </c>
      <c r="J70" s="144">
        <f>'超用20大－原因別分析'!AH127</f>
        <v>0</v>
      </c>
      <c r="K70" s="145">
        <f>'超用20大－原因別分析'!AH128</f>
        <v>0</v>
      </c>
      <c r="L70" s="144"/>
      <c r="M70" s="145"/>
    </row>
  </sheetData>
  <mergeCells count="134">
    <mergeCell ref="E5:M5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J55:K55"/>
    <mergeCell ref="L55:M55"/>
    <mergeCell ref="F56:G56"/>
    <mergeCell ref="H56:I56"/>
    <mergeCell ref="J56:K56"/>
    <mergeCell ref="L56:M56"/>
    <mergeCell ref="E49:M49"/>
    <mergeCell ref="A50:A52"/>
    <mergeCell ref="B50:C51"/>
    <mergeCell ref="D50:D59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E55:E57"/>
    <mergeCell ref="F55:G55"/>
    <mergeCell ref="H55:I55"/>
    <mergeCell ref="A1:M2"/>
    <mergeCell ref="A3:M4"/>
    <mergeCell ref="J22:K22"/>
    <mergeCell ref="L22:M22"/>
    <mergeCell ref="H23:I23"/>
    <mergeCell ref="J23:K23"/>
    <mergeCell ref="L23:M23"/>
    <mergeCell ref="E16:M16"/>
    <mergeCell ref="H17:I17"/>
    <mergeCell ref="J17:K17"/>
    <mergeCell ref="L17:M17"/>
    <mergeCell ref="H18:I18"/>
    <mergeCell ref="J18:K18"/>
    <mergeCell ref="L18:M18"/>
    <mergeCell ref="H22:I22"/>
    <mergeCell ref="A17:A19"/>
    <mergeCell ref="B17:C18"/>
    <mergeCell ref="D17:D26"/>
    <mergeCell ref="E17:E19"/>
    <mergeCell ref="F17:G17"/>
    <mergeCell ref="F18:G18"/>
    <mergeCell ref="E22:E24"/>
    <mergeCell ref="F22:G22"/>
    <mergeCell ref="F23:G23"/>
    <mergeCell ref="E27:M27"/>
    <mergeCell ref="A28:A30"/>
    <mergeCell ref="B28:C29"/>
    <mergeCell ref="D28:D37"/>
    <mergeCell ref="E28:E30"/>
    <mergeCell ref="F28:G28"/>
    <mergeCell ref="H28:I28"/>
    <mergeCell ref="J28:K28"/>
    <mergeCell ref="L28:M28"/>
    <mergeCell ref="F29:G29"/>
    <mergeCell ref="H29:I29"/>
    <mergeCell ref="J29:K29"/>
    <mergeCell ref="L29:M29"/>
    <mergeCell ref="E33:E35"/>
    <mergeCell ref="F33:G33"/>
    <mergeCell ref="H33:I33"/>
    <mergeCell ref="J33:K33"/>
    <mergeCell ref="L33:M33"/>
    <mergeCell ref="F34:G34"/>
    <mergeCell ref="H34:I34"/>
    <mergeCell ref="J34:K34"/>
    <mergeCell ref="L34:M34"/>
    <mergeCell ref="E38:M38"/>
    <mergeCell ref="A39:A41"/>
    <mergeCell ref="B39:C40"/>
    <mergeCell ref="D39:D48"/>
    <mergeCell ref="E39:E41"/>
    <mergeCell ref="F39:G39"/>
    <mergeCell ref="H39:I39"/>
    <mergeCell ref="J39:K39"/>
    <mergeCell ref="L39:M39"/>
    <mergeCell ref="F40:G40"/>
    <mergeCell ref="H40:I40"/>
    <mergeCell ref="J40:K40"/>
    <mergeCell ref="L40:M40"/>
    <mergeCell ref="E44:E46"/>
    <mergeCell ref="F44:G44"/>
    <mergeCell ref="H44:I44"/>
    <mergeCell ref="J44:K44"/>
    <mergeCell ref="L44:M44"/>
    <mergeCell ref="F45:G45"/>
    <mergeCell ref="H45:I45"/>
    <mergeCell ref="J45:K45"/>
    <mergeCell ref="L45:M45"/>
    <mergeCell ref="E60:M60"/>
    <mergeCell ref="A61:A63"/>
    <mergeCell ref="B61:C62"/>
    <mergeCell ref="D61:D70"/>
    <mergeCell ref="E61:E63"/>
    <mergeCell ref="F61:G61"/>
    <mergeCell ref="H61:I61"/>
    <mergeCell ref="J61:K61"/>
    <mergeCell ref="L61:M61"/>
    <mergeCell ref="F62:G62"/>
    <mergeCell ref="H62:I62"/>
    <mergeCell ref="J62:K62"/>
    <mergeCell ref="L62:M62"/>
    <mergeCell ref="E66:E68"/>
    <mergeCell ref="F66:G66"/>
    <mergeCell ref="H66:I66"/>
    <mergeCell ref="J66:K66"/>
    <mergeCell ref="L66:M66"/>
    <mergeCell ref="F67:G67"/>
    <mergeCell ref="H67:I67"/>
    <mergeCell ref="J67:K67"/>
    <mergeCell ref="L67:M67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1" manualBreakCount="1">
    <brk id="59" max="12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BW30"/>
  <sheetViews>
    <sheetView view="pageBreakPreview" zoomScaleNormal="60" zoomScaleSheetLayoutView="100" workbookViewId="0">
      <selection activeCell="K14" sqref="K14"/>
    </sheetView>
  </sheetViews>
  <sheetFormatPr defaultColWidth="12.54296875" defaultRowHeight="15.75" customHeight="1"/>
  <cols>
    <col min="1" max="1" width="5.453125" style="99" customWidth="1"/>
    <col min="2" max="2" width="11.453125" style="134" customWidth="1"/>
    <col min="3" max="3" width="4" style="132" customWidth="1"/>
    <col min="4" max="15" width="9.54296875" style="99" customWidth="1"/>
    <col min="16" max="16" width="47.81640625" style="99" customWidth="1"/>
    <col min="17" max="17" width="9.54296875" style="99" customWidth="1"/>
    <col min="22" max="22" width="24.453125" style="99" bestFit="1" customWidth="1"/>
    <col min="23" max="23" width="19.453125" style="99" bestFit="1" customWidth="1"/>
    <col min="24" max="24" width="23" style="99" bestFit="1" customWidth="1"/>
    <col min="25" max="25" width="11.7265625" style="99" bestFit="1" customWidth="1"/>
    <col min="26" max="26" width="15.81640625" style="99" bestFit="1" customWidth="1"/>
    <col min="27" max="27" width="23.54296875" style="99" bestFit="1" customWidth="1"/>
    <col min="28" max="28" width="23" style="99" bestFit="1" customWidth="1"/>
    <col min="29" max="29" width="11.7265625" style="99" bestFit="1" customWidth="1"/>
    <col min="30" max="30" width="20.54296875" style="99" bestFit="1" customWidth="1"/>
    <col min="31" max="31" width="15" style="99" bestFit="1" customWidth="1"/>
    <col min="32" max="32" width="23" style="99" bestFit="1" customWidth="1"/>
    <col min="33" max="33" width="11.7265625" style="99" bestFit="1" customWidth="1"/>
    <col min="34" max="34" width="15.81640625" style="99" bestFit="1" customWidth="1"/>
    <col min="35" max="35" width="15" style="99" bestFit="1" customWidth="1"/>
    <col min="36" max="36" width="23" style="99" bestFit="1" customWidth="1"/>
    <col min="37" max="37" width="15" style="99" bestFit="1" customWidth="1"/>
    <col min="38" max="38" width="23" style="99" bestFit="1" customWidth="1"/>
    <col min="39" max="39" width="11.7265625" style="99" bestFit="1" customWidth="1"/>
    <col min="40" max="40" width="13.81640625" style="99" bestFit="1" customWidth="1"/>
    <col min="41" max="41" width="27.81640625" style="99" bestFit="1" customWidth="1"/>
    <col min="42" max="42" width="23" style="99" bestFit="1" customWidth="1"/>
    <col min="43" max="43" width="8" style="99" bestFit="1" customWidth="1"/>
    <col min="44" max="44" width="30.7265625" style="99" bestFit="1" customWidth="1"/>
    <col min="45" max="45" width="25.7265625" style="99" bestFit="1" customWidth="1"/>
    <col min="46" max="46" width="23" style="99" bestFit="1" customWidth="1"/>
    <col min="47" max="47" width="15" style="99" bestFit="1" customWidth="1"/>
    <col min="48" max="48" width="23" style="99" bestFit="1" customWidth="1"/>
    <col min="49" max="49" width="11.7265625" style="99" bestFit="1" customWidth="1"/>
    <col min="50" max="50" width="20.1796875" style="99" bestFit="1" customWidth="1"/>
    <col min="51" max="51" width="23.54296875" style="99" bestFit="1" customWidth="1"/>
    <col min="52" max="52" width="23" style="99" bestFit="1" customWidth="1"/>
    <col min="53" max="53" width="11.7265625" style="99" bestFit="1" customWidth="1"/>
    <col min="54" max="54" width="21.453125" style="99" bestFit="1" customWidth="1"/>
    <col min="55" max="55" width="15" style="99" bestFit="1" customWidth="1"/>
    <col min="56" max="56" width="23" style="99" bestFit="1" customWidth="1"/>
    <col min="57" max="57" width="11.7265625" style="99" bestFit="1" customWidth="1"/>
    <col min="58" max="58" width="13.81640625" style="99" bestFit="1" customWidth="1"/>
    <col min="59" max="59" width="22" style="99" bestFit="1" customWidth="1"/>
    <col min="60" max="60" width="23" style="99" bestFit="1" customWidth="1"/>
    <col min="61" max="61" width="15" style="99" bestFit="1" customWidth="1"/>
    <col min="62" max="62" width="23" style="99" bestFit="1" customWidth="1"/>
    <col min="63" max="63" width="11.7265625" style="99" bestFit="1" customWidth="1"/>
    <col min="64" max="64" width="24.7265625" style="99" bestFit="1" customWidth="1"/>
    <col min="65" max="65" width="18.7265625" style="99" bestFit="1" customWidth="1"/>
    <col min="66" max="66" width="23" style="99" bestFit="1" customWidth="1"/>
    <col min="67" max="67" width="15" style="99" bestFit="1" customWidth="1"/>
    <col min="68" max="68" width="23" style="99" bestFit="1" customWidth="1"/>
    <col min="69" max="69" width="15" style="99" bestFit="1" customWidth="1"/>
    <col min="70" max="70" width="23" style="99" bestFit="1" customWidth="1"/>
    <col min="71" max="71" width="15" style="99" bestFit="1" customWidth="1"/>
    <col min="72" max="72" width="21.81640625" style="99" bestFit="1" customWidth="1"/>
    <col min="73" max="73" width="10.54296875" style="99" bestFit="1" customWidth="1"/>
    <col min="74" max="74" width="21.453125" style="99" bestFit="1" customWidth="1"/>
    <col min="75" max="75" width="5.453125" style="99" bestFit="1" customWidth="1"/>
    <col min="76" max="16384" width="12.54296875" style="99"/>
  </cols>
  <sheetData>
    <row r="1" spans="1:75" ht="15.75" customHeight="1">
      <c r="A1" s="463" t="s">
        <v>376</v>
      </c>
      <c r="B1" s="463"/>
      <c r="C1" s="463"/>
      <c r="D1" s="463"/>
      <c r="E1" s="463"/>
      <c r="F1" s="463"/>
      <c r="G1" s="463"/>
      <c r="H1" s="463"/>
      <c r="I1" s="463"/>
      <c r="J1" s="463"/>
      <c r="K1" s="463"/>
      <c r="L1" s="463"/>
      <c r="M1" s="463"/>
      <c r="N1" s="463"/>
      <c r="O1" s="463"/>
      <c r="P1" s="463"/>
      <c r="Q1" s="463"/>
    </row>
    <row r="2" spans="1:75" s="100" customFormat="1" ht="15.75" customHeight="1">
      <c r="A2" s="463"/>
      <c r="B2" s="463"/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</row>
    <row r="3" spans="1:75" s="138" customFormat="1" ht="15.75" customHeight="1">
      <c r="A3" s="792" t="s">
        <v>640</v>
      </c>
      <c r="B3" s="792"/>
      <c r="C3" s="792"/>
      <c r="D3" s="792"/>
      <c r="E3" s="792"/>
      <c r="F3" s="792"/>
      <c r="G3" s="792"/>
      <c r="H3" s="792"/>
      <c r="I3" s="792"/>
      <c r="J3" s="792"/>
      <c r="K3" s="792"/>
      <c r="L3" s="792"/>
      <c r="M3" s="792"/>
      <c r="R3" s="241"/>
      <c r="S3" s="241"/>
      <c r="T3" s="241"/>
      <c r="U3" s="241"/>
    </row>
    <row r="4" spans="1:75" s="139" customFormat="1" ht="15.75" customHeight="1">
      <c r="A4" s="725"/>
      <c r="B4" s="725"/>
      <c r="C4" s="725"/>
      <c r="D4" s="725"/>
      <c r="E4" s="725"/>
      <c r="F4" s="725"/>
      <c r="G4" s="725"/>
      <c r="H4" s="725"/>
      <c r="I4" s="725"/>
      <c r="J4" s="725"/>
      <c r="K4" s="725"/>
      <c r="L4" s="725"/>
      <c r="M4" s="725"/>
    </row>
    <row r="5" spans="1:75" s="138" customFormat="1" ht="15.75" customHeight="1">
      <c r="A5" s="726" t="s">
        <v>193</v>
      </c>
      <c r="B5" s="719">
        <v>1</v>
      </c>
      <c r="C5" s="720"/>
      <c r="D5" s="719">
        <v>2</v>
      </c>
      <c r="E5" s="720"/>
      <c r="F5" s="719">
        <v>3</v>
      </c>
      <c r="G5" s="720"/>
      <c r="H5" s="728">
        <v>4</v>
      </c>
      <c r="I5" s="729"/>
      <c r="J5" s="728">
        <v>5</v>
      </c>
      <c r="K5" s="729"/>
      <c r="L5" s="728">
        <v>6</v>
      </c>
      <c r="M5" s="729"/>
      <c r="N5" s="728">
        <v>7</v>
      </c>
      <c r="O5" s="729"/>
      <c r="P5" s="728">
        <v>8</v>
      </c>
      <c r="Q5" s="729"/>
      <c r="R5" s="241"/>
      <c r="S5" s="241"/>
      <c r="T5" s="241"/>
      <c r="U5" s="241"/>
    </row>
    <row r="6" spans="1:75" s="138" customFormat="1" ht="15.75" customHeight="1">
      <c r="A6" s="727"/>
      <c r="B6" s="721" t="s">
        <v>501</v>
      </c>
      <c r="C6" s="722"/>
      <c r="D6" s="721" t="s">
        <v>215</v>
      </c>
      <c r="E6" s="722"/>
      <c r="F6" s="721" t="s">
        <v>168</v>
      </c>
      <c r="G6" s="722"/>
      <c r="H6" s="723" t="s">
        <v>466</v>
      </c>
      <c r="I6" s="724"/>
      <c r="J6" s="723" t="s">
        <v>191</v>
      </c>
      <c r="K6" s="724"/>
      <c r="L6" s="723" t="s">
        <v>169</v>
      </c>
      <c r="M6" s="724"/>
      <c r="N6" s="723" t="s">
        <v>192</v>
      </c>
      <c r="O6" s="724"/>
      <c r="P6" s="784" t="s">
        <v>220</v>
      </c>
      <c r="Q6" s="785"/>
      <c r="R6" s="241"/>
      <c r="S6" s="241"/>
      <c r="T6" s="241"/>
      <c r="U6" s="241"/>
    </row>
    <row r="7" spans="1:75" s="138" customFormat="1" ht="15.75" customHeight="1">
      <c r="B7" s="242"/>
      <c r="C7" s="243"/>
      <c r="R7" s="241"/>
      <c r="S7" s="241"/>
      <c r="T7" s="241"/>
      <c r="U7" s="241"/>
    </row>
    <row r="8" spans="1:75" s="245" customFormat="1" ht="15.75" customHeight="1">
      <c r="A8" s="728" t="s">
        <v>193</v>
      </c>
      <c r="B8" s="729"/>
      <c r="C8" s="244" t="s">
        <v>47</v>
      </c>
      <c r="D8" s="786" t="s">
        <v>12</v>
      </c>
      <c r="E8" s="642"/>
      <c r="F8" s="772"/>
      <c r="G8" s="787" t="s">
        <v>53</v>
      </c>
      <c r="H8" s="788"/>
      <c r="I8" s="789"/>
      <c r="J8" s="244" t="s">
        <v>54</v>
      </c>
      <c r="K8" s="244" t="s">
        <v>55</v>
      </c>
      <c r="L8" s="244" t="s">
        <v>56</v>
      </c>
      <c r="M8" s="244" t="s">
        <v>11</v>
      </c>
      <c r="N8" s="244" t="s">
        <v>336</v>
      </c>
      <c r="O8" s="790" t="s">
        <v>51</v>
      </c>
      <c r="P8" s="791"/>
    </row>
    <row r="9" spans="1:75" s="138" customFormat="1" ht="50.15" customHeight="1">
      <c r="A9" s="773">
        <v>1</v>
      </c>
      <c r="B9" s="776" t="s">
        <v>502</v>
      </c>
      <c r="C9" s="246">
        <v>1</v>
      </c>
      <c r="D9" s="247" t="s">
        <v>480</v>
      </c>
      <c r="E9" s="248"/>
      <c r="F9" s="248"/>
      <c r="G9" s="386" t="s">
        <v>481</v>
      </c>
      <c r="H9" s="315"/>
      <c r="I9" s="316"/>
      <c r="J9" s="246">
        <v>181.60999999999999</v>
      </c>
      <c r="K9" s="252">
        <v>1.9298533147586661E-2</v>
      </c>
      <c r="L9" s="246">
        <v>9.4200000000000017</v>
      </c>
      <c r="M9" s="336">
        <f>L9*J9</f>
        <v>1710.7662000000003</v>
      </c>
      <c r="N9" s="253"/>
      <c r="O9" s="710" t="s">
        <v>546</v>
      </c>
      <c r="P9" s="711"/>
      <c r="R9" s="241"/>
      <c r="S9" s="441"/>
      <c r="T9" s="271"/>
      <c r="U9" s="241"/>
    </row>
    <row r="10" spans="1:75" s="138" customFormat="1" ht="50.15" customHeight="1">
      <c r="A10" s="774"/>
      <c r="B10" s="777"/>
      <c r="C10" s="246">
        <v>2</v>
      </c>
      <c r="D10" s="247" t="s">
        <v>347</v>
      </c>
      <c r="E10" s="248"/>
      <c r="F10" s="248"/>
      <c r="G10" s="386" t="s">
        <v>339</v>
      </c>
      <c r="H10" s="315"/>
      <c r="I10" s="316"/>
      <c r="J10" s="246">
        <v>141.66999999999999</v>
      </c>
      <c r="K10" s="252">
        <v>1.2015080998218453E-2</v>
      </c>
      <c r="L10" s="246">
        <v>8.6999999999999993</v>
      </c>
      <c r="M10" s="336">
        <f t="shared" ref="M10:M13" si="0">L10*J10</f>
        <v>1232.5289999999998</v>
      </c>
      <c r="N10" s="253"/>
      <c r="O10" s="782" t="s">
        <v>556</v>
      </c>
      <c r="P10" s="780"/>
      <c r="R10" s="241"/>
      <c r="S10" s="442"/>
      <c r="T10" s="442"/>
      <c r="U10" s="241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1"/>
      <c r="AU10" s="241"/>
      <c r="AV10" s="241"/>
      <c r="AW10" s="241"/>
      <c r="AX10" s="241"/>
      <c r="AY10" s="241"/>
      <c r="AZ10" s="241"/>
      <c r="BA10" s="241"/>
      <c r="BB10" s="241"/>
      <c r="BC10" s="241"/>
      <c r="BD10" s="241"/>
      <c r="BE10" s="241"/>
      <c r="BF10" s="241"/>
      <c r="BG10" s="241"/>
      <c r="BH10" s="241"/>
      <c r="BI10" s="241"/>
      <c r="BJ10" s="241"/>
      <c r="BK10" s="241"/>
      <c r="BL10" s="241"/>
      <c r="BM10" s="241"/>
      <c r="BN10" s="241"/>
      <c r="BO10" s="241"/>
      <c r="BP10" s="241"/>
      <c r="BQ10" s="241"/>
      <c r="BR10" s="241"/>
      <c r="BS10" s="241"/>
      <c r="BT10" s="241"/>
      <c r="BU10" s="241"/>
      <c r="BV10" s="241"/>
      <c r="BW10" s="241"/>
    </row>
    <row r="11" spans="1:75" s="138" customFormat="1" ht="50.15" customHeight="1">
      <c r="A11" s="774"/>
      <c r="B11" s="777"/>
      <c r="C11" s="246">
        <v>3</v>
      </c>
      <c r="D11" s="247" t="s">
        <v>361</v>
      </c>
      <c r="E11" s="248"/>
      <c r="F11" s="248"/>
      <c r="G11" s="386" t="s">
        <v>369</v>
      </c>
      <c r="H11" s="315"/>
      <c r="I11" s="316"/>
      <c r="J11" s="246">
        <v>253.92000000000002</v>
      </c>
      <c r="K11" s="252">
        <v>1.5468094852189845E-2</v>
      </c>
      <c r="L11" s="246">
        <v>4.3899999999999997</v>
      </c>
      <c r="M11" s="336">
        <f t="shared" si="0"/>
        <v>1114.7087999999999</v>
      </c>
      <c r="N11" s="253"/>
      <c r="O11" s="783" t="s">
        <v>575</v>
      </c>
      <c r="P11" s="731"/>
      <c r="R11" s="241"/>
      <c r="S11" s="441"/>
      <c r="T11" s="441"/>
      <c r="U11" s="241"/>
      <c r="V11" s="241"/>
      <c r="W11" s="241"/>
      <c r="X11" s="241"/>
      <c r="Y11" s="241"/>
      <c r="Z11" s="241"/>
      <c r="AA11" s="241"/>
      <c r="AB11" s="241"/>
      <c r="AC11" s="241"/>
      <c r="AD11" s="241"/>
      <c r="AE11" s="241"/>
      <c r="AF11" s="241"/>
      <c r="AG11" s="241"/>
      <c r="AH11" s="241"/>
      <c r="AI11" s="241"/>
      <c r="AJ11" s="241"/>
      <c r="AK11" s="241"/>
      <c r="AL11" s="241"/>
      <c r="AM11" s="241"/>
      <c r="AN11" s="241"/>
      <c r="AO11" s="241"/>
      <c r="AP11" s="241"/>
      <c r="AQ11" s="241"/>
      <c r="AR11" s="241"/>
      <c r="AS11" s="241"/>
      <c r="AT11" s="241"/>
      <c r="AU11" s="241"/>
      <c r="AV11" s="241"/>
      <c r="AW11" s="241"/>
      <c r="AX11" s="241"/>
      <c r="AY11" s="241"/>
      <c r="AZ11" s="241"/>
      <c r="BA11" s="241"/>
      <c r="BB11" s="241"/>
      <c r="BC11" s="241"/>
      <c r="BD11" s="241"/>
      <c r="BE11" s="241"/>
      <c r="BF11" s="241"/>
      <c r="BG11" s="241"/>
      <c r="BH11" s="241"/>
      <c r="BI11" s="241"/>
      <c r="BJ11" s="241"/>
      <c r="BK11" s="241"/>
      <c r="BL11" s="241"/>
      <c r="BM11" s="241"/>
      <c r="BN11" s="241"/>
      <c r="BO11" s="241"/>
      <c r="BP11" s="241"/>
      <c r="BQ11" s="241"/>
      <c r="BR11" s="241"/>
      <c r="BS11" s="241"/>
      <c r="BT11" s="241"/>
      <c r="BU11" s="241"/>
      <c r="BV11" s="241"/>
      <c r="BW11" s="241"/>
    </row>
    <row r="12" spans="1:75" s="138" customFormat="1" ht="50.15" customHeight="1">
      <c r="A12" s="774"/>
      <c r="B12" s="777"/>
      <c r="C12" s="246">
        <v>4</v>
      </c>
      <c r="D12" s="247" t="s">
        <v>475</v>
      </c>
      <c r="E12" s="248"/>
      <c r="F12" s="248"/>
      <c r="G12" s="386" t="s">
        <v>522</v>
      </c>
      <c r="H12" s="315"/>
      <c r="I12" s="316"/>
      <c r="J12" s="246">
        <v>169.79</v>
      </c>
      <c r="K12" s="252">
        <v>3.5741906971605356E-2</v>
      </c>
      <c r="L12" s="246">
        <v>6.4700000000000006</v>
      </c>
      <c r="M12" s="336">
        <f t="shared" si="0"/>
        <v>1098.5413000000001</v>
      </c>
      <c r="N12" s="253"/>
      <c r="O12" s="783" t="s">
        <v>544</v>
      </c>
      <c r="P12" s="731"/>
      <c r="R12" s="241"/>
      <c r="S12" s="442"/>
      <c r="T12" s="442"/>
      <c r="U12" s="241"/>
      <c r="V12" s="241"/>
      <c r="W12" s="241"/>
      <c r="X12" s="241"/>
      <c r="Y12" s="241"/>
      <c r="Z12" s="241"/>
      <c r="AA12" s="241"/>
      <c r="AB12" s="241"/>
      <c r="AC12" s="241"/>
      <c r="AD12" s="241"/>
      <c r="AE12" s="241"/>
      <c r="AF12" s="241"/>
      <c r="AG12" s="241"/>
      <c r="AH12" s="241"/>
      <c r="AI12" s="241"/>
      <c r="AJ12" s="241"/>
      <c r="AK12" s="241"/>
      <c r="AL12" s="241"/>
      <c r="AM12" s="241"/>
      <c r="AN12" s="241"/>
      <c r="AO12" s="241"/>
      <c r="AP12" s="241"/>
      <c r="AQ12" s="241"/>
      <c r="AR12" s="241"/>
      <c r="AS12" s="241"/>
      <c r="AT12" s="241"/>
      <c r="AU12" s="241"/>
      <c r="AV12" s="241"/>
      <c r="AW12" s="241"/>
      <c r="AX12" s="241"/>
      <c r="AY12" s="241"/>
      <c r="AZ12" s="241"/>
      <c r="BA12" s="241"/>
      <c r="BB12" s="241"/>
      <c r="BC12" s="241"/>
      <c r="BD12" s="241"/>
      <c r="BE12" s="241"/>
      <c r="BF12" s="241"/>
      <c r="BG12" s="241"/>
      <c r="BH12" s="241"/>
      <c r="BI12" s="241"/>
      <c r="BJ12" s="241"/>
      <c r="BK12" s="241"/>
      <c r="BL12" s="241"/>
      <c r="BM12" s="241"/>
      <c r="BN12" s="241"/>
      <c r="BO12" s="241"/>
      <c r="BP12" s="241"/>
      <c r="BQ12" s="241"/>
      <c r="BR12" s="241"/>
      <c r="BS12" s="241"/>
      <c r="BT12" s="241"/>
      <c r="BU12" s="241"/>
      <c r="BV12" s="241"/>
      <c r="BW12" s="241"/>
    </row>
    <row r="13" spans="1:75" s="138" customFormat="1" ht="50.15" customHeight="1" thickBot="1">
      <c r="A13" s="774"/>
      <c r="B13" s="777"/>
      <c r="C13" s="246">
        <v>5</v>
      </c>
      <c r="D13" s="254" t="s">
        <v>361</v>
      </c>
      <c r="E13" s="255"/>
      <c r="F13" s="255"/>
      <c r="G13" s="420" t="s">
        <v>368</v>
      </c>
      <c r="H13" s="315"/>
      <c r="I13" s="316"/>
      <c r="J13" s="257">
        <v>183.65000000000003</v>
      </c>
      <c r="K13" s="258">
        <v>1.6619710293406188E-2</v>
      </c>
      <c r="L13" s="257">
        <v>5.84</v>
      </c>
      <c r="M13" s="337">
        <f t="shared" si="0"/>
        <v>1072.5160000000001</v>
      </c>
      <c r="N13" s="253"/>
      <c r="O13" s="783" t="s">
        <v>531</v>
      </c>
      <c r="P13" s="731"/>
      <c r="R13" s="241"/>
      <c r="S13" s="441"/>
      <c r="T13" s="271"/>
      <c r="U13" s="241"/>
      <c r="V13" s="443"/>
      <c r="W13" s="241"/>
      <c r="X13" s="241"/>
      <c r="Y13" s="241"/>
      <c r="Z13" s="241"/>
      <c r="AA13" s="241"/>
      <c r="AB13" s="241"/>
      <c r="AC13" s="241"/>
      <c r="AD13" s="241"/>
      <c r="AE13" s="241"/>
      <c r="AF13" s="241"/>
      <c r="AG13" s="241"/>
      <c r="AH13" s="241"/>
      <c r="AI13" s="241"/>
      <c r="AJ13" s="241"/>
      <c r="AK13" s="241"/>
      <c r="AL13" s="241"/>
      <c r="AM13" s="241"/>
      <c r="AN13" s="241"/>
      <c r="AO13" s="241"/>
      <c r="AP13" s="241"/>
      <c r="AQ13" s="241"/>
      <c r="AR13" s="241"/>
      <c r="AS13" s="241"/>
      <c r="AT13" s="241"/>
      <c r="AU13" s="241"/>
      <c r="AV13" s="241"/>
      <c r="AW13" s="241"/>
      <c r="AX13" s="241"/>
      <c r="AY13" s="241"/>
      <c r="AZ13" s="241"/>
      <c r="BA13" s="241"/>
      <c r="BB13" s="241"/>
      <c r="BC13" s="241"/>
      <c r="BD13" s="241"/>
      <c r="BE13" s="241"/>
      <c r="BF13" s="241"/>
      <c r="BG13" s="241"/>
      <c r="BH13" s="241"/>
      <c r="BI13" s="241"/>
      <c r="BJ13" s="241"/>
      <c r="BK13" s="241"/>
      <c r="BL13" s="241"/>
      <c r="BM13" s="241"/>
      <c r="BN13" s="241"/>
      <c r="BO13" s="241"/>
      <c r="BP13" s="241"/>
      <c r="BQ13" s="241"/>
      <c r="BR13" s="241"/>
      <c r="BS13" s="241"/>
      <c r="BT13" s="241"/>
      <c r="BU13" s="241"/>
      <c r="BV13" s="241"/>
      <c r="BW13" s="241"/>
    </row>
    <row r="14" spans="1:75" s="138" customFormat="1" ht="15.75" customHeight="1" thickTop="1">
      <c r="A14" s="775"/>
      <c r="B14" s="778"/>
      <c r="C14" s="644"/>
      <c r="D14" s="645"/>
      <c r="E14" s="645"/>
      <c r="F14" s="645"/>
      <c r="G14" s="645"/>
      <c r="H14" s="645"/>
      <c r="I14" s="781"/>
      <c r="J14" s="259" t="s">
        <v>58</v>
      </c>
      <c r="K14" s="215">
        <f>M14/'生產管理報表 7-1 (週)'!$B$9</f>
        <v>8.6390117158391733E-2</v>
      </c>
      <c r="L14" s="259" t="s">
        <v>59</v>
      </c>
      <c r="M14" s="338">
        <f>SUM(M9:M13)</f>
        <v>6229.0612999999994</v>
      </c>
      <c r="N14" s="746"/>
      <c r="O14" s="747"/>
      <c r="P14" s="748"/>
      <c r="R14" s="241"/>
      <c r="S14" s="213"/>
      <c r="T14" s="213"/>
      <c r="U14" s="241"/>
      <c r="V14" s="241"/>
      <c r="W14" s="241"/>
      <c r="X14" s="241"/>
      <c r="Y14" s="241"/>
      <c r="Z14" s="241"/>
      <c r="AA14" s="241"/>
      <c r="AB14" s="241"/>
      <c r="AC14" s="241"/>
      <c r="AD14" s="241"/>
      <c r="AE14" s="241"/>
      <c r="AF14" s="241"/>
      <c r="AG14" s="241"/>
      <c r="AH14" s="241"/>
      <c r="AI14" s="241"/>
      <c r="AJ14" s="241"/>
      <c r="AK14" s="241"/>
      <c r="AL14" s="241"/>
      <c r="AM14" s="241"/>
      <c r="AN14" s="241"/>
      <c r="AO14" s="241"/>
      <c r="AP14" s="241"/>
      <c r="AQ14" s="241"/>
      <c r="AR14" s="241"/>
      <c r="AS14" s="241"/>
      <c r="AT14" s="241"/>
      <c r="AU14" s="241"/>
      <c r="AV14" s="241"/>
      <c r="AW14" s="241"/>
      <c r="AX14" s="241"/>
      <c r="AY14" s="241"/>
      <c r="AZ14" s="241"/>
      <c r="BA14" s="241"/>
      <c r="BB14" s="241"/>
      <c r="BC14" s="241"/>
      <c r="BD14" s="241"/>
      <c r="BE14" s="241"/>
      <c r="BF14" s="241"/>
      <c r="BG14" s="241"/>
      <c r="BH14" s="241"/>
      <c r="BI14" s="241"/>
      <c r="BJ14" s="241"/>
      <c r="BK14" s="241"/>
      <c r="BL14" s="241"/>
      <c r="BM14" s="241"/>
      <c r="BN14" s="241"/>
      <c r="BO14" s="241"/>
      <c r="BP14" s="241"/>
      <c r="BQ14" s="241"/>
      <c r="BR14" s="241"/>
      <c r="BS14" s="241"/>
      <c r="BT14" s="241"/>
      <c r="BU14" s="241"/>
      <c r="BV14" s="241"/>
      <c r="BW14" s="241"/>
    </row>
    <row r="15" spans="1:75" s="138" customFormat="1" ht="15.75" customHeight="1">
      <c r="B15" s="242"/>
      <c r="C15" s="243"/>
      <c r="D15" s="243"/>
      <c r="E15" s="243"/>
      <c r="F15" s="243"/>
      <c r="G15" s="243"/>
      <c r="H15" s="243"/>
      <c r="I15" s="243"/>
      <c r="J15" s="243"/>
      <c r="K15" s="243"/>
      <c r="L15" s="243"/>
      <c r="M15" s="243"/>
      <c r="N15" s="261"/>
      <c r="O15" s="261"/>
      <c r="P15" s="261"/>
      <c r="R15" s="241"/>
      <c r="S15" s="271"/>
      <c r="T15" s="271"/>
      <c r="U15" s="241"/>
      <c r="V15" s="241"/>
      <c r="W15" s="241"/>
      <c r="X15" s="241"/>
      <c r="Y15" s="241"/>
      <c r="Z15" s="241"/>
      <c r="AA15" s="241"/>
      <c r="AB15" s="241"/>
      <c r="AC15" s="241"/>
      <c r="AD15" s="241"/>
      <c r="AE15" s="241"/>
      <c r="AF15" s="241"/>
      <c r="AG15" s="241"/>
      <c r="AH15" s="241"/>
      <c r="AI15" s="241"/>
      <c r="AJ15" s="241"/>
      <c r="AK15" s="241"/>
      <c r="AL15" s="241"/>
      <c r="AM15" s="241"/>
      <c r="AN15" s="241"/>
      <c r="AO15" s="241"/>
      <c r="AP15" s="241"/>
      <c r="AQ15" s="241"/>
      <c r="AR15" s="241"/>
      <c r="AS15" s="241"/>
      <c r="AT15" s="241"/>
      <c r="AU15" s="241"/>
      <c r="AV15" s="241"/>
      <c r="AW15" s="241"/>
      <c r="AX15" s="241"/>
      <c r="AY15" s="241"/>
      <c r="AZ15" s="241"/>
      <c r="BA15" s="241"/>
      <c r="BB15" s="241"/>
      <c r="BC15" s="241"/>
      <c r="BD15" s="241"/>
      <c r="BE15" s="241"/>
      <c r="BF15" s="241"/>
      <c r="BG15" s="241"/>
      <c r="BH15" s="241"/>
      <c r="BI15" s="241"/>
      <c r="BJ15" s="241"/>
      <c r="BK15" s="241"/>
      <c r="BL15" s="241"/>
      <c r="BM15" s="241"/>
      <c r="BN15" s="241"/>
      <c r="BO15" s="241"/>
      <c r="BP15" s="241"/>
      <c r="BQ15" s="241"/>
      <c r="BR15" s="241"/>
      <c r="BS15" s="241"/>
      <c r="BT15" s="241"/>
      <c r="BU15" s="241"/>
      <c r="BV15" s="241"/>
      <c r="BW15" s="241"/>
    </row>
    <row r="16" spans="1:75" s="138" customFormat="1" ht="15.75" customHeight="1">
      <c r="A16" s="728" t="s">
        <v>193</v>
      </c>
      <c r="B16" s="729"/>
      <c r="C16" s="262" t="s">
        <v>47</v>
      </c>
      <c r="D16" s="641" t="s">
        <v>12</v>
      </c>
      <c r="E16" s="642"/>
      <c r="F16" s="643"/>
      <c r="G16" s="641" t="s">
        <v>53</v>
      </c>
      <c r="H16" s="642"/>
      <c r="I16" s="643"/>
      <c r="J16" s="264" t="s">
        <v>54</v>
      </c>
      <c r="K16" s="264" t="s">
        <v>55</v>
      </c>
      <c r="L16" s="264" t="s">
        <v>56</v>
      </c>
      <c r="M16" s="264" t="s">
        <v>11</v>
      </c>
      <c r="N16" s="265" t="s">
        <v>336</v>
      </c>
      <c r="O16" s="737" t="s">
        <v>51</v>
      </c>
      <c r="P16" s="738"/>
      <c r="R16" s="241"/>
      <c r="S16" s="213"/>
      <c r="T16" s="213"/>
      <c r="U16" s="241"/>
      <c r="V16" s="241"/>
      <c r="W16" s="241"/>
      <c r="X16" s="241"/>
      <c r="Y16" s="241"/>
      <c r="Z16" s="241"/>
      <c r="AA16" s="241"/>
      <c r="AB16" s="241"/>
      <c r="AC16" s="241"/>
      <c r="AD16" s="241"/>
      <c r="AE16" s="241"/>
      <c r="AF16" s="241"/>
      <c r="AG16" s="241"/>
      <c r="AH16" s="241"/>
      <c r="AI16" s="241"/>
      <c r="AJ16" s="241"/>
    </row>
    <row r="17" spans="1:36" s="138" customFormat="1" ht="20.149999999999999" customHeight="1">
      <c r="A17" s="773">
        <v>2</v>
      </c>
      <c r="B17" s="776" t="s">
        <v>216</v>
      </c>
      <c r="C17" s="266">
        <v>1</v>
      </c>
      <c r="D17" s="247"/>
      <c r="E17" s="248"/>
      <c r="F17" s="249"/>
      <c r="G17" s="247"/>
      <c r="H17" s="248"/>
      <c r="I17" s="249"/>
      <c r="J17" s="267"/>
      <c r="K17" s="268"/>
      <c r="L17" s="267"/>
      <c r="M17" s="269">
        <f t="shared" ref="M17:M21" si="1">L17*J17</f>
        <v>0</v>
      </c>
      <c r="N17" s="270"/>
      <c r="O17" s="739"/>
      <c r="P17" s="740"/>
      <c r="R17" s="241"/>
      <c r="S17" s="271"/>
      <c r="T17" s="271"/>
      <c r="U17" s="241"/>
      <c r="V17" s="241"/>
      <c r="W17" s="241"/>
      <c r="X17" s="241"/>
      <c r="Y17" s="241"/>
      <c r="Z17" s="241"/>
      <c r="AA17" s="241"/>
      <c r="AB17" s="241"/>
      <c r="AC17" s="241"/>
      <c r="AD17" s="241"/>
      <c r="AE17" s="241"/>
      <c r="AF17" s="241"/>
      <c r="AG17" s="241"/>
      <c r="AH17" s="241"/>
      <c r="AI17" s="241"/>
      <c r="AJ17" s="241"/>
    </row>
    <row r="18" spans="1:36" s="138" customFormat="1" ht="20.149999999999999" customHeight="1">
      <c r="A18" s="774"/>
      <c r="B18" s="777"/>
      <c r="C18" s="266">
        <v>2</v>
      </c>
      <c r="D18" s="247"/>
      <c r="E18" s="248"/>
      <c r="F18" s="249"/>
      <c r="G18" s="247"/>
      <c r="H18" s="248"/>
      <c r="I18" s="249"/>
      <c r="J18" s="267"/>
      <c r="K18" s="268"/>
      <c r="L18" s="267"/>
      <c r="M18" s="269">
        <f t="shared" si="1"/>
        <v>0</v>
      </c>
      <c r="N18" s="270"/>
      <c r="O18" s="739"/>
      <c r="P18" s="740"/>
      <c r="R18" s="241"/>
      <c r="S18" s="213"/>
      <c r="T18" s="213"/>
      <c r="U18" s="241"/>
      <c r="V18" s="241"/>
      <c r="W18" s="241"/>
      <c r="X18" s="241"/>
      <c r="Y18" s="241"/>
      <c r="Z18" s="241"/>
      <c r="AA18" s="241"/>
      <c r="AB18" s="241"/>
      <c r="AC18" s="241"/>
      <c r="AD18" s="241"/>
      <c r="AE18" s="241"/>
      <c r="AF18" s="241"/>
      <c r="AG18" s="241"/>
      <c r="AH18" s="241"/>
      <c r="AI18" s="241"/>
      <c r="AJ18" s="241"/>
    </row>
    <row r="19" spans="1:36" s="138" customFormat="1" ht="20.149999999999999" customHeight="1">
      <c r="A19" s="774"/>
      <c r="B19" s="777"/>
      <c r="C19" s="266">
        <v>3</v>
      </c>
      <c r="D19" s="247"/>
      <c r="E19" s="248"/>
      <c r="F19" s="249"/>
      <c r="G19" s="247"/>
      <c r="H19" s="248"/>
      <c r="I19" s="278"/>
      <c r="J19" s="267"/>
      <c r="K19" s="268"/>
      <c r="L19" s="267"/>
      <c r="M19" s="269">
        <f t="shared" si="1"/>
        <v>0</v>
      </c>
      <c r="N19" s="270"/>
      <c r="O19" s="739"/>
      <c r="P19" s="740"/>
      <c r="R19" s="241"/>
      <c r="S19" s="271"/>
      <c r="T19" s="271"/>
      <c r="U19" s="241"/>
      <c r="V19" s="241"/>
      <c r="W19" s="241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1"/>
    </row>
    <row r="20" spans="1:36" s="138" customFormat="1" ht="20.149999999999999" customHeight="1">
      <c r="A20" s="774"/>
      <c r="B20" s="777"/>
      <c r="C20" s="266">
        <v>4</v>
      </c>
      <c r="D20" s="247"/>
      <c r="E20" s="248"/>
      <c r="F20" s="249"/>
      <c r="G20" s="247"/>
      <c r="H20" s="248"/>
      <c r="I20" s="249"/>
      <c r="J20" s="267"/>
      <c r="K20" s="268"/>
      <c r="L20" s="267"/>
      <c r="M20" s="269">
        <f t="shared" si="1"/>
        <v>0</v>
      </c>
      <c r="N20" s="270"/>
      <c r="O20" s="739"/>
      <c r="P20" s="740"/>
      <c r="R20" s="241"/>
      <c r="S20" s="213"/>
      <c r="T20" s="213"/>
      <c r="U20" s="241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</row>
    <row r="21" spans="1:36" s="138" customFormat="1" ht="20.149999999999999" customHeight="1" thickBot="1">
      <c r="A21" s="774"/>
      <c r="B21" s="777"/>
      <c r="C21" s="272">
        <v>5</v>
      </c>
      <c r="D21" s="254"/>
      <c r="E21" s="255"/>
      <c r="F21" s="256"/>
      <c r="G21" s="247"/>
      <c r="H21" s="248"/>
      <c r="I21" s="249"/>
      <c r="J21" s="273"/>
      <c r="K21" s="274"/>
      <c r="L21" s="273"/>
      <c r="M21" s="275">
        <f t="shared" si="1"/>
        <v>0</v>
      </c>
      <c r="N21" s="276"/>
      <c r="O21" s="739"/>
      <c r="P21" s="740"/>
      <c r="R21" s="241"/>
      <c r="S21" s="241"/>
      <c r="T21" s="241"/>
      <c r="U21" s="241"/>
      <c r="V21" s="241"/>
      <c r="W21" s="241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1"/>
    </row>
    <row r="22" spans="1:36" s="138" customFormat="1" ht="15.75" customHeight="1" thickTop="1">
      <c r="A22" s="775"/>
      <c r="B22" s="778"/>
      <c r="C22" s="644"/>
      <c r="D22" s="645"/>
      <c r="E22" s="645"/>
      <c r="F22" s="645"/>
      <c r="G22" s="645"/>
      <c r="H22" s="645"/>
      <c r="I22" s="781"/>
      <c r="J22" s="259" t="s">
        <v>58</v>
      </c>
      <c r="K22" s="215">
        <f>M22/'生產管理報表 7-1 (週)'!$B$9</f>
        <v>0</v>
      </c>
      <c r="L22" s="259" t="s">
        <v>59</v>
      </c>
      <c r="M22" s="260">
        <f>SUM(M17:M21)</f>
        <v>0</v>
      </c>
      <c r="N22" s="741"/>
      <c r="O22" s="742"/>
      <c r="P22" s="743"/>
      <c r="R22" s="241"/>
      <c r="S22" s="241"/>
      <c r="T22" s="241"/>
      <c r="U22" s="241"/>
      <c r="V22" s="241"/>
      <c r="W22" s="241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1"/>
    </row>
    <row r="23" spans="1:36" s="138" customFormat="1" ht="15.75" customHeight="1">
      <c r="B23" s="242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77"/>
      <c r="O23" s="277"/>
      <c r="P23" s="277"/>
      <c r="R23" s="241"/>
      <c r="S23" s="241"/>
      <c r="T23" s="241"/>
      <c r="U23" s="241"/>
      <c r="V23" s="241"/>
      <c r="W23" s="241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1"/>
    </row>
    <row r="24" spans="1:36" s="138" customFormat="1" ht="15.75" customHeight="1">
      <c r="A24" s="728" t="s">
        <v>193</v>
      </c>
      <c r="B24" s="729"/>
      <c r="C24" s="262" t="s">
        <v>47</v>
      </c>
      <c r="D24" s="641" t="s">
        <v>12</v>
      </c>
      <c r="E24" s="642"/>
      <c r="F24" s="643"/>
      <c r="G24" s="641" t="s">
        <v>53</v>
      </c>
      <c r="H24" s="642"/>
      <c r="I24" s="772"/>
      <c r="J24" s="263" t="s">
        <v>54</v>
      </c>
      <c r="K24" s="264" t="s">
        <v>55</v>
      </c>
      <c r="L24" s="264" t="s">
        <v>56</v>
      </c>
      <c r="M24" s="264" t="s">
        <v>11</v>
      </c>
      <c r="N24" s="265" t="s">
        <v>336</v>
      </c>
      <c r="O24" s="735" t="s">
        <v>51</v>
      </c>
      <c r="P24" s="736"/>
      <c r="R24" s="241"/>
      <c r="S24" s="241"/>
      <c r="T24" s="241"/>
      <c r="U24" s="241"/>
      <c r="V24" s="241"/>
      <c r="W24" s="241"/>
      <c r="X24" s="241"/>
      <c r="Y24" s="241"/>
      <c r="Z24" s="241"/>
      <c r="AA24" s="241"/>
      <c r="AB24" s="241"/>
      <c r="AC24" s="241"/>
      <c r="AD24" s="241"/>
      <c r="AE24" s="241"/>
      <c r="AF24" s="241"/>
      <c r="AG24" s="241"/>
      <c r="AH24" s="241"/>
      <c r="AI24" s="241"/>
      <c r="AJ24" s="241"/>
    </row>
    <row r="25" spans="1:36" s="138" customFormat="1" ht="50.15" customHeight="1">
      <c r="A25" s="773">
        <v>3</v>
      </c>
      <c r="B25" s="776" t="s">
        <v>452</v>
      </c>
      <c r="C25" s="266">
        <v>1</v>
      </c>
      <c r="D25" s="247" t="s">
        <v>345</v>
      </c>
      <c r="E25" s="248"/>
      <c r="F25" s="249"/>
      <c r="G25" s="316" t="s">
        <v>495</v>
      </c>
      <c r="H25" s="315"/>
      <c r="I25" s="316"/>
      <c r="J25" s="267">
        <v>2.4499999999999997</v>
      </c>
      <c r="K25" s="268">
        <v>4.1088479141382387E-3</v>
      </c>
      <c r="L25" s="267">
        <v>562</v>
      </c>
      <c r="M25" s="339">
        <f t="shared" ref="M25:M29" si="2">L25*J25</f>
        <v>1376.8999999999999</v>
      </c>
      <c r="N25" s="280"/>
      <c r="O25" s="779" t="s">
        <v>533</v>
      </c>
      <c r="P25" s="780"/>
      <c r="R25" s="241"/>
      <c r="S25" s="443"/>
      <c r="T25" s="443"/>
      <c r="U25" s="241"/>
      <c r="V25" s="241"/>
      <c r="W25" s="241"/>
      <c r="X25" s="241"/>
      <c r="Y25" s="241"/>
      <c r="Z25" s="241"/>
      <c r="AA25" s="241"/>
      <c r="AB25" s="241"/>
      <c r="AC25" s="241"/>
      <c r="AD25" s="241"/>
      <c r="AE25" s="241"/>
      <c r="AF25" s="241"/>
      <c r="AG25" s="241"/>
      <c r="AH25" s="241"/>
      <c r="AI25" s="241"/>
      <c r="AJ25" s="241"/>
    </row>
    <row r="26" spans="1:36" s="138" customFormat="1" ht="50.15" customHeight="1">
      <c r="A26" s="774"/>
      <c r="B26" s="777"/>
      <c r="C26" s="266">
        <v>2</v>
      </c>
      <c r="D26" s="247" t="s">
        <v>345</v>
      </c>
      <c r="E26" s="248"/>
      <c r="F26" s="249"/>
      <c r="G26" s="316" t="s">
        <v>494</v>
      </c>
      <c r="H26" s="315"/>
      <c r="I26" s="316"/>
      <c r="J26" s="267">
        <v>1.17</v>
      </c>
      <c r="K26" s="268">
        <v>4.7074132190286656E-3</v>
      </c>
      <c r="L26" s="267">
        <v>1107</v>
      </c>
      <c r="M26" s="339">
        <f t="shared" si="2"/>
        <v>1295.1899999999998</v>
      </c>
      <c r="N26" s="280"/>
      <c r="O26" s="730" t="s">
        <v>534</v>
      </c>
      <c r="P26" s="731"/>
      <c r="R26" s="241"/>
      <c r="S26" s="443"/>
      <c r="T26" s="450"/>
      <c r="U26" s="241"/>
      <c r="V26" s="241"/>
      <c r="W26" s="241"/>
      <c r="X26" s="241"/>
      <c r="Y26" s="241"/>
      <c r="Z26" s="241"/>
      <c r="AA26" s="241"/>
      <c r="AB26" s="241"/>
      <c r="AC26" s="241"/>
      <c r="AD26" s="241"/>
      <c r="AE26" s="241"/>
      <c r="AF26" s="241"/>
      <c r="AG26" s="241"/>
      <c r="AH26" s="241"/>
      <c r="AI26" s="241"/>
      <c r="AJ26" s="241"/>
    </row>
    <row r="27" spans="1:36" s="138" customFormat="1" ht="50.15" customHeight="1">
      <c r="A27" s="774"/>
      <c r="B27" s="777"/>
      <c r="C27" s="266">
        <v>3</v>
      </c>
      <c r="D27" s="247" t="s">
        <v>438</v>
      </c>
      <c r="E27" s="248"/>
      <c r="F27" s="249"/>
      <c r="G27" s="423" t="s">
        <v>454</v>
      </c>
      <c r="H27" s="388"/>
      <c r="I27" s="423"/>
      <c r="J27" s="267">
        <v>122.81999999999996</v>
      </c>
      <c r="K27" s="268">
        <v>1.5265226936233217E-2</v>
      </c>
      <c r="L27" s="267">
        <v>8.9700000000000006</v>
      </c>
      <c r="M27" s="339">
        <f t="shared" si="2"/>
        <v>1101.6953999999998</v>
      </c>
      <c r="N27" s="280"/>
      <c r="O27" s="730" t="s">
        <v>532</v>
      </c>
      <c r="P27" s="731"/>
      <c r="R27" s="241"/>
      <c r="S27" s="443"/>
      <c r="T27" s="450"/>
      <c r="U27" s="241"/>
      <c r="V27" s="241"/>
      <c r="W27" s="241"/>
      <c r="X27" s="241"/>
      <c r="Y27" s="241"/>
      <c r="Z27" s="241"/>
      <c r="AA27" s="241"/>
      <c r="AB27" s="241"/>
      <c r="AC27" s="241"/>
      <c r="AD27" s="241"/>
      <c r="AE27" s="241"/>
      <c r="AF27" s="241"/>
      <c r="AG27" s="241"/>
      <c r="AH27" s="241"/>
      <c r="AI27" s="241"/>
      <c r="AJ27" s="241"/>
    </row>
    <row r="28" spans="1:36" s="138" customFormat="1" ht="50.15" customHeight="1">
      <c r="A28" s="774"/>
      <c r="B28" s="777"/>
      <c r="C28" s="266">
        <v>4</v>
      </c>
      <c r="D28" s="247" t="s">
        <v>438</v>
      </c>
      <c r="E28" s="248"/>
      <c r="F28" s="249"/>
      <c r="G28" s="325" t="s">
        <v>564</v>
      </c>
      <c r="H28" s="324"/>
      <c r="I28" s="325"/>
      <c r="J28" s="279">
        <v>2.3000000000000003</v>
      </c>
      <c r="K28" s="268">
        <v>2.4602927436935533E-2</v>
      </c>
      <c r="L28" s="267">
        <v>474</v>
      </c>
      <c r="M28" s="339">
        <f t="shared" si="2"/>
        <v>1090.2</v>
      </c>
      <c r="N28" s="280"/>
      <c r="O28" s="730" t="s">
        <v>533</v>
      </c>
      <c r="P28" s="731"/>
      <c r="R28" s="241"/>
      <c r="S28" s="241"/>
      <c r="T28"/>
      <c r="U28" s="241"/>
      <c r="V28" s="241"/>
      <c r="W28" s="241"/>
      <c r="X28" s="241"/>
      <c r="Y28" s="241"/>
      <c r="Z28" s="241"/>
      <c r="AA28" s="241"/>
      <c r="AB28" s="241"/>
      <c r="AC28" s="241"/>
      <c r="AD28" s="241"/>
      <c r="AE28" s="241"/>
      <c r="AF28" s="241"/>
      <c r="AG28" s="241"/>
      <c r="AH28" s="241"/>
      <c r="AI28" s="241"/>
      <c r="AJ28" s="241"/>
    </row>
    <row r="29" spans="1:36" s="138" customFormat="1" ht="30" customHeight="1" thickBot="1">
      <c r="A29" s="774"/>
      <c r="B29" s="777"/>
      <c r="C29" s="272">
        <v>5</v>
      </c>
      <c r="D29" s="254"/>
      <c r="E29" s="255"/>
      <c r="F29" s="256"/>
      <c r="G29" s="417"/>
      <c r="H29" s="418"/>
      <c r="I29" s="419"/>
      <c r="J29" s="282"/>
      <c r="K29" s="274"/>
      <c r="L29" s="283"/>
      <c r="M29" s="339">
        <f t="shared" si="2"/>
        <v>0</v>
      </c>
      <c r="N29" s="280"/>
      <c r="O29" s="730"/>
      <c r="P29" s="731"/>
      <c r="R29" s="241"/>
      <c r="S29" s="241"/>
      <c r="T29"/>
      <c r="U29" s="241"/>
      <c r="V29" s="241"/>
      <c r="W29" s="241"/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241"/>
      <c r="AI29" s="241"/>
      <c r="AJ29" s="241"/>
    </row>
    <row r="30" spans="1:36" s="138" customFormat="1" ht="15.75" customHeight="1" thickTop="1">
      <c r="A30" s="775"/>
      <c r="B30" s="778"/>
      <c r="C30" s="644"/>
      <c r="D30" s="645"/>
      <c r="E30" s="645"/>
      <c r="F30" s="645"/>
      <c r="G30" s="645"/>
      <c r="H30" s="645"/>
      <c r="I30" s="781"/>
      <c r="J30" s="284" t="s">
        <v>58</v>
      </c>
      <c r="K30" s="215">
        <f>M30/'生產管理報表 7-1 (週)'!$B$9</f>
        <v>6.7458040357173385E-2</v>
      </c>
      <c r="L30" s="284" t="s">
        <v>59</v>
      </c>
      <c r="M30" s="340">
        <f>SUM(M25:M29)</f>
        <v>4863.9853999999996</v>
      </c>
      <c r="N30" s="732"/>
      <c r="O30" s="733"/>
      <c r="P30" s="734"/>
      <c r="R30" s="241"/>
      <c r="S30" s="241"/>
      <c r="T30"/>
      <c r="U30" s="241"/>
      <c r="V30" s="241"/>
      <c r="W30" s="241"/>
      <c r="X30" s="241"/>
      <c r="Y30" s="241"/>
      <c r="Z30" s="241"/>
      <c r="AA30" s="241"/>
      <c r="AB30" s="241"/>
      <c r="AC30" s="241"/>
      <c r="AD30" s="241"/>
      <c r="AE30" s="241"/>
      <c r="AF30" s="241"/>
      <c r="AG30" s="241"/>
      <c r="AH30" s="241"/>
      <c r="AI30" s="241"/>
      <c r="AJ30" s="241"/>
    </row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N5:O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U39"/>
  <sheetViews>
    <sheetView view="pageBreakPreview" topLeftCell="A16" zoomScale="91" zoomScaleNormal="60" zoomScaleSheetLayoutView="91" workbookViewId="0">
      <selection activeCell="K38" sqref="K38"/>
    </sheetView>
  </sheetViews>
  <sheetFormatPr defaultColWidth="12.54296875" defaultRowHeight="15.75" customHeight="1"/>
  <cols>
    <col min="1" max="1" width="5.453125" style="2" customWidth="1"/>
    <col min="2" max="2" width="11.453125" style="98" customWidth="1"/>
    <col min="3" max="3" width="4" style="97" customWidth="1"/>
    <col min="4" max="4" width="9.54296875" style="2" customWidth="1"/>
    <col min="5" max="5" width="10.26953125" style="2" customWidth="1"/>
    <col min="6" max="15" width="9.54296875" style="2" customWidth="1"/>
    <col min="16" max="16" width="51.453125" style="2" customWidth="1"/>
    <col min="17" max="16384" width="12.54296875" style="2"/>
  </cols>
  <sheetData>
    <row r="1" spans="1:21" s="99" customFormat="1" ht="15.75" customHeight="1">
      <c r="A1" s="463" t="s">
        <v>376</v>
      </c>
      <c r="B1" s="463"/>
      <c r="C1" s="463"/>
      <c r="D1" s="463"/>
      <c r="E1" s="463"/>
      <c r="F1" s="463"/>
      <c r="G1" s="463"/>
      <c r="H1" s="463"/>
      <c r="I1" s="463"/>
      <c r="J1" s="463"/>
      <c r="K1" s="463"/>
      <c r="L1" s="463"/>
      <c r="M1" s="463"/>
      <c r="N1" s="463"/>
      <c r="O1" s="463"/>
      <c r="P1" s="463"/>
    </row>
    <row r="2" spans="1:21" s="100" customFormat="1" ht="15.75" customHeight="1">
      <c r="A2" s="463"/>
      <c r="B2" s="463"/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</row>
    <row r="3" spans="1:21" s="138" customFormat="1" ht="15.75" customHeight="1">
      <c r="A3" s="792" t="s">
        <v>640</v>
      </c>
      <c r="B3" s="792"/>
      <c r="C3" s="792"/>
      <c r="D3" s="792"/>
      <c r="E3" s="792"/>
      <c r="F3" s="792"/>
      <c r="G3" s="792"/>
      <c r="H3" s="792"/>
      <c r="I3" s="792"/>
      <c r="J3" s="792"/>
      <c r="K3" s="792"/>
      <c r="L3" s="792"/>
      <c r="M3" s="792"/>
      <c r="R3" s="241"/>
      <c r="S3" s="241"/>
      <c r="T3" s="241"/>
      <c r="U3" s="241"/>
    </row>
    <row r="4" spans="1:21" s="139" customFormat="1" ht="15.75" customHeight="1">
      <c r="A4" s="725"/>
      <c r="B4" s="725"/>
      <c r="C4" s="725"/>
      <c r="D4" s="725"/>
      <c r="E4" s="725"/>
      <c r="F4" s="725"/>
      <c r="G4" s="725"/>
      <c r="H4" s="725"/>
      <c r="I4" s="725"/>
      <c r="J4" s="725"/>
      <c r="K4" s="725"/>
      <c r="L4" s="725"/>
      <c r="M4" s="725"/>
    </row>
    <row r="5" spans="1:21" s="138" customFormat="1" ht="15.75" customHeight="1">
      <c r="A5" s="726" t="s">
        <v>193</v>
      </c>
      <c r="B5" s="728">
        <v>1</v>
      </c>
      <c r="C5" s="729"/>
      <c r="D5" s="728">
        <v>2</v>
      </c>
      <c r="E5" s="729"/>
      <c r="F5" s="728">
        <v>3</v>
      </c>
      <c r="G5" s="729"/>
      <c r="H5" s="719">
        <v>4</v>
      </c>
      <c r="I5" s="720"/>
      <c r="J5" s="719">
        <v>5</v>
      </c>
      <c r="K5" s="720"/>
      <c r="L5" s="719">
        <v>6</v>
      </c>
      <c r="M5" s="720"/>
      <c r="N5" s="719">
        <v>7</v>
      </c>
      <c r="O5" s="720"/>
      <c r="P5" s="341">
        <v>8</v>
      </c>
    </row>
    <row r="6" spans="1:21" s="138" customFormat="1" ht="15.75" customHeight="1">
      <c r="A6" s="727"/>
      <c r="B6" s="723" t="s">
        <v>501</v>
      </c>
      <c r="C6" s="724"/>
      <c r="D6" s="723" t="s">
        <v>215</v>
      </c>
      <c r="E6" s="724"/>
      <c r="F6" s="723" t="s">
        <v>168</v>
      </c>
      <c r="G6" s="724"/>
      <c r="H6" s="721" t="s">
        <v>466</v>
      </c>
      <c r="I6" s="722"/>
      <c r="J6" s="721" t="s">
        <v>191</v>
      </c>
      <c r="K6" s="722"/>
      <c r="L6" s="721" t="s">
        <v>169</v>
      </c>
      <c r="M6" s="722"/>
      <c r="N6" s="721" t="s">
        <v>192</v>
      </c>
      <c r="O6" s="722"/>
      <c r="P6" s="342" t="s">
        <v>220</v>
      </c>
    </row>
    <row r="7" spans="1:21" s="138" customFormat="1" ht="15.75" customHeight="1">
      <c r="B7" s="242"/>
      <c r="C7" s="243"/>
    </row>
    <row r="8" spans="1:21" s="288" customFormat="1" ht="15.75" customHeight="1">
      <c r="A8" s="663" t="s">
        <v>193</v>
      </c>
      <c r="B8" s="664"/>
      <c r="C8" s="285" t="s">
        <v>47</v>
      </c>
      <c r="D8" s="691" t="s">
        <v>12</v>
      </c>
      <c r="E8" s="692"/>
      <c r="F8" s="693"/>
      <c r="G8" s="694" t="s">
        <v>53</v>
      </c>
      <c r="H8" s="695"/>
      <c r="I8" s="696"/>
      <c r="J8" s="286" t="s">
        <v>54</v>
      </c>
      <c r="K8" s="286" t="s">
        <v>55</v>
      </c>
      <c r="L8" s="286" t="s">
        <v>56</v>
      </c>
      <c r="M8" s="287" t="s">
        <v>11</v>
      </c>
      <c r="N8" s="287" t="s">
        <v>336</v>
      </c>
      <c r="O8" s="671" t="s">
        <v>51</v>
      </c>
      <c r="P8" s="672"/>
      <c r="R8" s="213"/>
      <c r="S8" s="271"/>
    </row>
    <row r="9" spans="1:21" s="308" customFormat="1" ht="20.149999999999999" customHeight="1">
      <c r="A9" s="673">
        <v>4</v>
      </c>
      <c r="B9" s="707" t="s">
        <v>466</v>
      </c>
      <c r="C9" s="289">
        <v>1</v>
      </c>
      <c r="D9" s="247"/>
      <c r="E9" s="248"/>
      <c r="F9" s="249"/>
      <c r="G9" s="373"/>
      <c r="H9" s="315"/>
      <c r="I9" s="316"/>
      <c r="J9" s="326"/>
      <c r="K9" s="327"/>
      <c r="L9" s="328"/>
      <c r="M9" s="336">
        <f t="shared" ref="M9:M13" si="0">L9*J9</f>
        <v>0</v>
      </c>
      <c r="N9" s="328"/>
      <c r="O9" s="710"/>
      <c r="P9" s="711"/>
      <c r="R9" s="329"/>
      <c r="S9" s="271"/>
    </row>
    <row r="10" spans="1:21" s="308" customFormat="1" ht="20.149999999999999" customHeight="1">
      <c r="A10" s="674"/>
      <c r="B10" s="708"/>
      <c r="C10" s="289">
        <v>2</v>
      </c>
      <c r="D10" s="247"/>
      <c r="E10" s="248"/>
      <c r="F10" s="249"/>
      <c r="G10" s="373"/>
      <c r="H10" s="315"/>
      <c r="I10" s="316"/>
      <c r="J10" s="326"/>
      <c r="K10" s="327"/>
      <c r="L10" s="328"/>
      <c r="M10" s="336">
        <f t="shared" si="0"/>
        <v>0</v>
      </c>
      <c r="N10" s="328"/>
      <c r="O10" s="703"/>
      <c r="P10" s="704"/>
      <c r="R10" s="329"/>
      <c r="S10" s="213"/>
      <c r="T10" s="353"/>
    </row>
    <row r="11" spans="1:21" s="308" customFormat="1" ht="20.149999999999999" customHeight="1">
      <c r="A11" s="674"/>
      <c r="B11" s="708"/>
      <c r="C11" s="289">
        <v>3</v>
      </c>
      <c r="D11" s="247"/>
      <c r="E11" s="248"/>
      <c r="F11" s="249"/>
      <c r="G11" s="373"/>
      <c r="H11" s="315"/>
      <c r="I11" s="316"/>
      <c r="J11" s="326"/>
      <c r="K11" s="327"/>
      <c r="L11" s="328"/>
      <c r="M11" s="336">
        <f t="shared" si="0"/>
        <v>0</v>
      </c>
      <c r="N11" s="328"/>
      <c r="O11" s="710"/>
      <c r="P11" s="711"/>
      <c r="R11" s="329"/>
      <c r="S11" s="271"/>
    </row>
    <row r="12" spans="1:21" s="308" customFormat="1" ht="20.149999999999999" customHeight="1">
      <c r="A12" s="674"/>
      <c r="B12" s="708"/>
      <c r="C12" s="289">
        <v>4</v>
      </c>
      <c r="D12" s="247"/>
      <c r="E12" s="248"/>
      <c r="F12" s="249"/>
      <c r="G12" s="373"/>
      <c r="H12" s="315"/>
      <c r="I12" s="316"/>
      <c r="J12" s="326"/>
      <c r="K12" s="327"/>
      <c r="L12" s="328"/>
      <c r="M12" s="336">
        <f t="shared" si="0"/>
        <v>0</v>
      </c>
      <c r="N12" s="328"/>
      <c r="O12" s="710"/>
      <c r="P12" s="711"/>
      <c r="R12" s="329"/>
      <c r="S12" s="213"/>
      <c r="T12" s="353"/>
    </row>
    <row r="13" spans="1:21" s="308" customFormat="1" ht="20.149999999999999" customHeight="1" thickBot="1">
      <c r="A13" s="674"/>
      <c r="B13" s="708"/>
      <c r="C13" s="289">
        <v>5</v>
      </c>
      <c r="D13" s="247"/>
      <c r="E13" s="255"/>
      <c r="F13" s="256"/>
      <c r="G13" s="373"/>
      <c r="H13" s="315"/>
      <c r="I13" s="316"/>
      <c r="J13" s="439"/>
      <c r="K13" s="432"/>
      <c r="L13" s="331"/>
      <c r="M13" s="336">
        <f t="shared" si="0"/>
        <v>0</v>
      </c>
      <c r="N13" s="328"/>
      <c r="O13" s="710"/>
      <c r="P13" s="711"/>
      <c r="R13" s="332"/>
      <c r="S13" s="271"/>
      <c r="T13" s="299"/>
    </row>
    <row r="14" spans="1:21" s="299" customFormat="1" ht="15.75" customHeight="1" thickTop="1" thickBot="1">
      <c r="A14" s="675"/>
      <c r="B14" s="709"/>
      <c r="C14" s="716"/>
      <c r="D14" s="717"/>
      <c r="E14" s="717"/>
      <c r="F14" s="717"/>
      <c r="G14" s="717"/>
      <c r="H14" s="717"/>
      <c r="I14" s="718"/>
      <c r="J14" s="366" t="s">
        <v>58</v>
      </c>
      <c r="K14" s="215">
        <f>M14/'生產管理報表 7-1 (週)'!$B$9</f>
        <v>0</v>
      </c>
      <c r="L14" s="367" t="s">
        <v>59</v>
      </c>
      <c r="M14" s="440">
        <f>SUM(M9:M13)</f>
        <v>0</v>
      </c>
      <c r="N14" s="660"/>
      <c r="O14" s="661"/>
      <c r="P14" s="662"/>
      <c r="R14" s="213"/>
      <c r="S14" s="213"/>
    </row>
    <row r="15" spans="1:21" s="299" customFormat="1" ht="15.75" customHeight="1" thickTop="1">
      <c r="B15" s="307"/>
      <c r="C15" s="308"/>
      <c r="M15" s="343"/>
      <c r="S15" s="271"/>
    </row>
    <row r="16" spans="1:21" s="299" customFormat="1" ht="15.75" customHeight="1">
      <c r="A16" s="663" t="s">
        <v>193</v>
      </c>
      <c r="B16" s="664"/>
      <c r="C16" s="285" t="s">
        <v>47</v>
      </c>
      <c r="D16" s="691" t="s">
        <v>12</v>
      </c>
      <c r="E16" s="692"/>
      <c r="F16" s="693"/>
      <c r="G16" s="694" t="s">
        <v>53</v>
      </c>
      <c r="H16" s="695"/>
      <c r="I16" s="696"/>
      <c r="J16" s="286" t="s">
        <v>54</v>
      </c>
      <c r="K16" s="286" t="s">
        <v>55</v>
      </c>
      <c r="L16" s="286" t="s">
        <v>56</v>
      </c>
      <c r="M16" s="344" t="s">
        <v>11</v>
      </c>
      <c r="N16" s="287" t="s">
        <v>336</v>
      </c>
      <c r="O16" s="671" t="s">
        <v>51</v>
      </c>
      <c r="P16" s="672"/>
      <c r="S16" s="213"/>
      <c r="T16" s="353"/>
    </row>
    <row r="17" spans="1:20" s="308" customFormat="1" ht="40" customHeight="1">
      <c r="A17" s="673">
        <v>5</v>
      </c>
      <c r="B17" s="686" t="s">
        <v>218</v>
      </c>
      <c r="C17" s="289">
        <v>1</v>
      </c>
      <c r="D17" s="247" t="s">
        <v>360</v>
      </c>
      <c r="E17" s="248"/>
      <c r="F17" s="249"/>
      <c r="G17" s="316" t="s">
        <v>371</v>
      </c>
      <c r="H17" s="315"/>
      <c r="I17" s="316"/>
      <c r="J17" s="326">
        <v>96</v>
      </c>
      <c r="K17" s="327">
        <v>1.9153666715264611E-2</v>
      </c>
      <c r="L17" s="328">
        <v>10.509999999999998</v>
      </c>
      <c r="M17" s="336">
        <f>L17*J17</f>
        <v>1008.9599999999998</v>
      </c>
      <c r="N17" s="328"/>
      <c r="O17" s="703" t="s">
        <v>600</v>
      </c>
      <c r="P17" s="704"/>
      <c r="R17" s="448"/>
      <c r="S17" s="441"/>
    </row>
    <row r="18" spans="1:20" s="308" customFormat="1" ht="20.149999999999999" customHeight="1">
      <c r="A18" s="674"/>
      <c r="B18" s="687"/>
      <c r="C18" s="289">
        <v>2</v>
      </c>
      <c r="D18" s="247"/>
      <c r="E18" s="248"/>
      <c r="F18" s="249"/>
      <c r="G18" s="373"/>
      <c r="H18" s="315"/>
      <c r="I18" s="316"/>
      <c r="J18" s="326"/>
      <c r="K18" s="327"/>
      <c r="L18" s="328"/>
      <c r="M18" s="336">
        <f t="shared" ref="M18:M21" si="1">L18*J18</f>
        <v>0</v>
      </c>
      <c r="N18" s="328"/>
      <c r="O18" s="703"/>
      <c r="P18" s="704"/>
      <c r="S18" s="213"/>
      <c r="T18" s="354"/>
    </row>
    <row r="19" spans="1:20" s="299" customFormat="1" ht="20.149999999999999" customHeight="1">
      <c r="A19" s="674"/>
      <c r="B19" s="687"/>
      <c r="C19" s="289">
        <v>3</v>
      </c>
      <c r="D19" s="247"/>
      <c r="E19" s="291"/>
      <c r="F19" s="292"/>
      <c r="G19" s="373"/>
      <c r="H19" s="315"/>
      <c r="I19" s="316"/>
      <c r="J19" s="326"/>
      <c r="K19" s="327"/>
      <c r="L19" s="328"/>
      <c r="M19" s="336">
        <f t="shared" si="1"/>
        <v>0</v>
      </c>
      <c r="N19" s="298"/>
      <c r="O19" s="699"/>
      <c r="P19" s="700"/>
    </row>
    <row r="20" spans="1:20" s="299" customFormat="1" ht="20.149999999999999" customHeight="1">
      <c r="A20" s="674"/>
      <c r="B20" s="687"/>
      <c r="C20" s="289">
        <v>4</v>
      </c>
      <c r="D20" s="247"/>
      <c r="E20" s="291"/>
      <c r="F20" s="292"/>
      <c r="G20" s="373"/>
      <c r="H20" s="315"/>
      <c r="I20" s="316"/>
      <c r="J20" s="326"/>
      <c r="K20" s="327"/>
      <c r="L20" s="328"/>
      <c r="M20" s="336">
        <f t="shared" si="1"/>
        <v>0</v>
      </c>
      <c r="N20" s="298"/>
      <c r="O20" s="703"/>
      <c r="P20" s="704"/>
    </row>
    <row r="21" spans="1:20" s="299" customFormat="1" ht="20.149999999999999" customHeight="1" thickBot="1">
      <c r="A21" s="674"/>
      <c r="B21" s="687"/>
      <c r="C21" s="289">
        <v>5</v>
      </c>
      <c r="D21" s="254"/>
      <c r="E21" s="301"/>
      <c r="F21" s="302"/>
      <c r="G21" s="373"/>
      <c r="H21" s="315"/>
      <c r="I21" s="316"/>
      <c r="J21" s="439"/>
      <c r="K21" s="432"/>
      <c r="L21" s="331"/>
      <c r="M21" s="336">
        <f t="shared" si="1"/>
        <v>0</v>
      </c>
      <c r="N21" s="298"/>
      <c r="O21" s="793"/>
      <c r="P21" s="794"/>
      <c r="R21" s="214"/>
    </row>
    <row r="22" spans="1:20" s="299" customFormat="1" ht="15.75" customHeight="1" thickTop="1" thickBot="1">
      <c r="A22" s="675"/>
      <c r="B22" s="688"/>
      <c r="C22" s="683"/>
      <c r="D22" s="684"/>
      <c r="E22" s="684"/>
      <c r="F22" s="684"/>
      <c r="G22" s="684"/>
      <c r="H22" s="684"/>
      <c r="I22" s="685"/>
      <c r="J22" s="366" t="s">
        <v>58</v>
      </c>
      <c r="K22" s="215">
        <f>M22/'生產管理報表 7-1 (週)'!$B$9</f>
        <v>1.3993147347599696E-2</v>
      </c>
      <c r="L22" s="367" t="s">
        <v>59</v>
      </c>
      <c r="M22" s="440">
        <f>SUM(M17:M21)</f>
        <v>1008.9599999999998</v>
      </c>
      <c r="N22" s="660"/>
      <c r="O22" s="661"/>
      <c r="P22" s="662"/>
      <c r="R22" s="213"/>
    </row>
    <row r="23" spans="1:20" s="299" customFormat="1" ht="15.75" customHeight="1" thickTop="1">
      <c r="B23" s="307"/>
      <c r="C23" s="308"/>
      <c r="M23" s="343"/>
      <c r="R23" s="213"/>
    </row>
    <row r="24" spans="1:20" s="299" customFormat="1" ht="15.75" customHeight="1">
      <c r="A24" s="663" t="s">
        <v>193</v>
      </c>
      <c r="B24" s="664"/>
      <c r="C24" s="313" t="s">
        <v>47</v>
      </c>
      <c r="D24" s="665" t="s">
        <v>12</v>
      </c>
      <c r="E24" s="666"/>
      <c r="F24" s="667"/>
      <c r="G24" s="668" t="s">
        <v>53</v>
      </c>
      <c r="H24" s="669"/>
      <c r="I24" s="670"/>
      <c r="J24" s="314" t="s">
        <v>54</v>
      </c>
      <c r="K24" s="286" t="s">
        <v>55</v>
      </c>
      <c r="L24" s="286" t="s">
        <v>56</v>
      </c>
      <c r="M24" s="344" t="s">
        <v>11</v>
      </c>
      <c r="N24" s="287" t="s">
        <v>336</v>
      </c>
      <c r="O24" s="671" t="s">
        <v>51</v>
      </c>
      <c r="P24" s="672"/>
      <c r="R24" s="213"/>
      <c r="S24" s="2"/>
    </row>
    <row r="25" spans="1:20" s="299" customFormat="1" ht="40" customHeight="1">
      <c r="A25" s="673">
        <v>6</v>
      </c>
      <c r="B25" s="686" t="s">
        <v>219</v>
      </c>
      <c r="C25" s="289">
        <v>1</v>
      </c>
      <c r="D25" s="355" t="s">
        <v>344</v>
      </c>
      <c r="E25" s="291"/>
      <c r="F25" s="292"/>
      <c r="G25" s="316" t="s">
        <v>338</v>
      </c>
      <c r="H25" s="315"/>
      <c r="I25" s="316"/>
      <c r="J25" s="326">
        <v>15.450000000000001</v>
      </c>
      <c r="K25" s="327">
        <v>4.2819843342036552E-3</v>
      </c>
      <c r="L25" s="328">
        <v>82</v>
      </c>
      <c r="M25" s="336">
        <f t="shared" ref="M25" si="2">L25*J25</f>
        <v>1266.9000000000001</v>
      </c>
      <c r="N25" s="298"/>
      <c r="O25" s="699" t="s">
        <v>601</v>
      </c>
      <c r="P25" s="700"/>
      <c r="R25" s="354"/>
      <c r="S25" s="449"/>
    </row>
    <row r="26" spans="1:20" s="299" customFormat="1" ht="20.149999999999999" customHeight="1">
      <c r="A26" s="674"/>
      <c r="B26" s="687"/>
      <c r="C26" s="289">
        <v>2</v>
      </c>
      <c r="D26" s="290"/>
      <c r="E26" s="291"/>
      <c r="F26" s="292"/>
      <c r="G26" s="293"/>
      <c r="H26" s="294"/>
      <c r="I26" s="295"/>
      <c r="J26" s="296"/>
      <c r="K26" s="297"/>
      <c r="L26" s="298"/>
      <c r="M26" s="345">
        <v>0</v>
      </c>
      <c r="N26" s="298"/>
      <c r="O26" s="309"/>
      <c r="P26" s="310"/>
      <c r="S26" s="2"/>
    </row>
    <row r="27" spans="1:20" s="299" customFormat="1" ht="20.149999999999999" customHeight="1">
      <c r="A27" s="674"/>
      <c r="B27" s="687"/>
      <c r="C27" s="289">
        <v>3</v>
      </c>
      <c r="D27" s="290"/>
      <c r="E27" s="291"/>
      <c r="F27" s="292"/>
      <c r="G27" s="293"/>
      <c r="H27" s="294"/>
      <c r="I27" s="295"/>
      <c r="J27" s="296"/>
      <c r="K27" s="297"/>
      <c r="L27" s="298"/>
      <c r="M27" s="345">
        <v>0</v>
      </c>
      <c r="N27" s="298"/>
      <c r="O27" s="309"/>
      <c r="P27" s="310"/>
      <c r="S27" s="2"/>
    </row>
    <row r="28" spans="1:20" s="299" customFormat="1" ht="20.149999999999999" customHeight="1">
      <c r="A28" s="674"/>
      <c r="B28" s="687"/>
      <c r="C28" s="289">
        <v>4</v>
      </c>
      <c r="D28" s="290"/>
      <c r="E28" s="291"/>
      <c r="F28" s="292"/>
      <c r="G28" s="293"/>
      <c r="H28" s="294"/>
      <c r="I28" s="295"/>
      <c r="J28" s="296"/>
      <c r="K28" s="297"/>
      <c r="L28" s="298"/>
      <c r="M28" s="345">
        <v>0</v>
      </c>
      <c r="N28" s="298"/>
      <c r="O28" s="309"/>
      <c r="P28" s="310"/>
      <c r="R28" s="2"/>
      <c r="S28" s="2"/>
    </row>
    <row r="29" spans="1:20" s="299" customFormat="1" ht="20.149999999999999" customHeight="1" thickBot="1">
      <c r="A29" s="674"/>
      <c r="B29" s="687"/>
      <c r="C29" s="289">
        <v>5</v>
      </c>
      <c r="D29" s="300"/>
      <c r="E29" s="301"/>
      <c r="F29" s="302"/>
      <c r="G29" s="293"/>
      <c r="H29" s="294"/>
      <c r="I29" s="295"/>
      <c r="J29" s="439"/>
      <c r="K29" s="432"/>
      <c r="L29" s="331"/>
      <c r="M29" s="336">
        <v>0</v>
      </c>
      <c r="N29" s="298"/>
      <c r="O29" s="311"/>
      <c r="P29" s="312"/>
      <c r="R29" s="2"/>
      <c r="S29" s="2"/>
    </row>
    <row r="30" spans="1:20" s="299" customFormat="1" ht="15.75" customHeight="1" thickTop="1" thickBot="1">
      <c r="A30" s="675"/>
      <c r="B30" s="688"/>
      <c r="C30" s="683"/>
      <c r="D30" s="684"/>
      <c r="E30" s="684"/>
      <c r="F30" s="684"/>
      <c r="G30" s="684"/>
      <c r="H30" s="684"/>
      <c r="I30" s="685"/>
      <c r="J30" s="366" t="s">
        <v>58</v>
      </c>
      <c r="K30" s="215">
        <f>M30/'生產管理報表 7-1 (週)'!$B$9</f>
        <v>1.7570486812831094E-2</v>
      </c>
      <c r="L30" s="367" t="s">
        <v>59</v>
      </c>
      <c r="M30" s="440">
        <f>SUM(M25:M29)</f>
        <v>1266.9000000000001</v>
      </c>
      <c r="N30" s="660"/>
      <c r="O30" s="661"/>
      <c r="P30" s="662"/>
      <c r="R30" s="2"/>
      <c r="S30" s="2"/>
    </row>
    <row r="31" spans="1:20" s="299" customFormat="1" ht="15.75" customHeight="1" thickTop="1">
      <c r="B31" s="307"/>
      <c r="C31" s="308"/>
      <c r="M31" s="343"/>
      <c r="R31" s="2"/>
      <c r="S31" s="2"/>
    </row>
    <row r="32" spans="1:20" s="299" customFormat="1" ht="15.75" customHeight="1">
      <c r="A32" s="663" t="s">
        <v>193</v>
      </c>
      <c r="B32" s="664"/>
      <c r="C32" s="313" t="s">
        <v>47</v>
      </c>
      <c r="D32" s="665" t="s">
        <v>12</v>
      </c>
      <c r="E32" s="666"/>
      <c r="F32" s="667"/>
      <c r="G32" s="668" t="s">
        <v>53</v>
      </c>
      <c r="H32" s="669"/>
      <c r="I32" s="670"/>
      <c r="J32" s="314" t="s">
        <v>54</v>
      </c>
      <c r="K32" s="286" t="s">
        <v>55</v>
      </c>
      <c r="L32" s="286" t="s">
        <v>56</v>
      </c>
      <c r="M32" s="344" t="s">
        <v>11</v>
      </c>
      <c r="N32" s="287" t="s">
        <v>336</v>
      </c>
      <c r="O32" s="671" t="s">
        <v>51</v>
      </c>
      <c r="P32" s="672"/>
      <c r="R32" s="2"/>
      <c r="S32" s="2"/>
    </row>
    <row r="33" spans="1:20" s="299" customFormat="1" ht="20.149999999999999" customHeight="1">
      <c r="A33" s="673">
        <v>7</v>
      </c>
      <c r="B33" s="676" t="s">
        <v>252</v>
      </c>
      <c r="C33" s="289">
        <v>1</v>
      </c>
      <c r="D33" s="290"/>
      <c r="E33" s="291"/>
      <c r="F33" s="292"/>
      <c r="G33" s="293"/>
      <c r="H33" s="294"/>
      <c r="I33" s="295"/>
      <c r="J33" s="296"/>
      <c r="K33" s="297"/>
      <c r="L33" s="298"/>
      <c r="M33" s="345">
        <f t="shared" ref="M33:M35" si="3">L33*J33</f>
        <v>0</v>
      </c>
      <c r="N33" s="298"/>
      <c r="O33" s="679"/>
      <c r="P33" s="680"/>
      <c r="R33" s="2"/>
      <c r="S33" s="2"/>
    </row>
    <row r="34" spans="1:20" s="299" customFormat="1" ht="20.149999999999999" customHeight="1">
      <c r="A34" s="674"/>
      <c r="B34" s="677"/>
      <c r="C34" s="289">
        <v>2</v>
      </c>
      <c r="D34" s="290"/>
      <c r="E34" s="291"/>
      <c r="F34" s="292"/>
      <c r="G34" s="293"/>
      <c r="H34" s="294"/>
      <c r="I34" s="295"/>
      <c r="J34" s="296"/>
      <c r="K34" s="297"/>
      <c r="L34" s="298"/>
      <c r="M34" s="345">
        <f t="shared" si="3"/>
        <v>0</v>
      </c>
      <c r="N34" s="298"/>
      <c r="O34" s="681"/>
      <c r="P34" s="682"/>
      <c r="R34" s="2"/>
      <c r="S34" s="2"/>
    </row>
    <row r="35" spans="1:20" s="299" customFormat="1" ht="20.149999999999999" customHeight="1">
      <c r="A35" s="674"/>
      <c r="B35" s="677"/>
      <c r="C35" s="289">
        <v>3</v>
      </c>
      <c r="D35" s="290"/>
      <c r="E35" s="291"/>
      <c r="F35" s="292"/>
      <c r="G35" s="293"/>
      <c r="H35" s="294"/>
      <c r="I35" s="295"/>
      <c r="J35" s="296"/>
      <c r="K35" s="297"/>
      <c r="L35" s="298"/>
      <c r="M35" s="345">
        <f t="shared" si="3"/>
        <v>0</v>
      </c>
      <c r="N35" s="298"/>
      <c r="O35" s="681"/>
      <c r="P35" s="682"/>
      <c r="R35" s="2"/>
      <c r="S35" s="2"/>
    </row>
    <row r="36" spans="1:20" s="299" customFormat="1" ht="20.149999999999999" customHeight="1">
      <c r="A36" s="674"/>
      <c r="B36" s="677"/>
      <c r="C36" s="289">
        <v>4</v>
      </c>
      <c r="D36" s="290"/>
      <c r="E36" s="291"/>
      <c r="F36" s="292"/>
      <c r="G36" s="293"/>
      <c r="H36" s="294"/>
      <c r="I36" s="295"/>
      <c r="J36" s="296"/>
      <c r="K36" s="297"/>
      <c r="L36" s="298"/>
      <c r="M36" s="346">
        <v>0</v>
      </c>
      <c r="N36" s="298"/>
      <c r="O36" s="309"/>
      <c r="P36" s="310"/>
      <c r="R36" s="2"/>
      <c r="S36" s="2"/>
    </row>
    <row r="37" spans="1:20" s="299" customFormat="1" ht="20.149999999999999" customHeight="1" thickBot="1">
      <c r="A37" s="674"/>
      <c r="B37" s="677"/>
      <c r="C37" s="289">
        <v>5</v>
      </c>
      <c r="D37" s="300"/>
      <c r="E37" s="301"/>
      <c r="F37" s="302"/>
      <c r="G37" s="293"/>
      <c r="H37" s="294"/>
      <c r="I37" s="295"/>
      <c r="J37" s="439"/>
      <c r="K37" s="432"/>
      <c r="L37" s="331"/>
      <c r="M37" s="347">
        <v>0</v>
      </c>
      <c r="N37" s="298"/>
      <c r="O37" s="311"/>
      <c r="P37" s="312"/>
      <c r="R37" s="2"/>
      <c r="S37" s="2"/>
    </row>
    <row r="38" spans="1:20" s="299" customFormat="1" ht="15.75" customHeight="1" thickTop="1" thickBot="1">
      <c r="A38" s="675"/>
      <c r="B38" s="678"/>
      <c r="C38" s="683"/>
      <c r="D38" s="684"/>
      <c r="E38" s="684"/>
      <c r="F38" s="684"/>
      <c r="G38" s="684"/>
      <c r="H38" s="684"/>
      <c r="I38" s="685"/>
      <c r="J38" s="366" t="s">
        <v>58</v>
      </c>
      <c r="K38" s="215">
        <f>M38/'生產管理報表 7-1 (週)'!$B$9</f>
        <v>0</v>
      </c>
      <c r="L38" s="367" t="s">
        <v>59</v>
      </c>
      <c r="M38" s="440">
        <f>SUM(M33:M37)</f>
        <v>0</v>
      </c>
      <c r="N38" s="660"/>
      <c r="O38" s="661"/>
      <c r="P38" s="662"/>
      <c r="R38" s="2"/>
      <c r="S38" s="2"/>
      <c r="T38" s="2"/>
    </row>
    <row r="39" spans="1:20" ht="15.75" customHeight="1" thickTop="1"/>
  </sheetData>
  <mergeCells count="63"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A8:B8"/>
    <mergeCell ref="D8:F8"/>
    <mergeCell ref="G8:I8"/>
    <mergeCell ref="O8:P8"/>
    <mergeCell ref="N6:O6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</mergeCells>
  <phoneticPr fontId="12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BW31"/>
  <sheetViews>
    <sheetView view="pageBreakPreview" topLeftCell="A7" zoomScaleNormal="60" zoomScaleSheetLayoutView="100" workbookViewId="0">
      <selection activeCell="K14" sqref="K14"/>
    </sheetView>
  </sheetViews>
  <sheetFormatPr defaultColWidth="12.54296875" defaultRowHeight="15.75" customHeight="1"/>
  <cols>
    <col min="1" max="1" width="5.453125" style="138" customWidth="1"/>
    <col min="2" max="2" width="11.453125" style="242" customWidth="1"/>
    <col min="3" max="3" width="4" style="243" customWidth="1"/>
    <col min="4" max="15" width="9.54296875" style="138" customWidth="1"/>
    <col min="16" max="16" width="47.81640625" style="138" customWidth="1"/>
    <col min="17" max="17" width="9.54296875" style="138" customWidth="1"/>
    <col min="18" max="21" width="12.54296875" style="241"/>
    <col min="22" max="22" width="24.453125" style="138" bestFit="1" customWidth="1"/>
    <col min="23" max="23" width="19.453125" style="138" bestFit="1" customWidth="1"/>
    <col min="24" max="24" width="23" style="138" bestFit="1" customWidth="1"/>
    <col min="25" max="25" width="11.7265625" style="138" bestFit="1" customWidth="1"/>
    <col min="26" max="26" width="15.81640625" style="138" bestFit="1" customWidth="1"/>
    <col min="27" max="27" width="23.54296875" style="138" bestFit="1" customWidth="1"/>
    <col min="28" max="28" width="23" style="138" bestFit="1" customWidth="1"/>
    <col min="29" max="29" width="11.7265625" style="138" bestFit="1" customWidth="1"/>
    <col min="30" max="30" width="20.54296875" style="138" bestFit="1" customWidth="1"/>
    <col min="31" max="31" width="15" style="138" bestFit="1" customWidth="1"/>
    <col min="32" max="32" width="23" style="138" bestFit="1" customWidth="1"/>
    <col min="33" max="33" width="11.7265625" style="138" bestFit="1" customWidth="1"/>
    <col min="34" max="34" width="15.81640625" style="138" bestFit="1" customWidth="1"/>
    <col min="35" max="35" width="15" style="138" bestFit="1" customWidth="1"/>
    <col min="36" max="36" width="23" style="138" bestFit="1" customWidth="1"/>
    <col min="37" max="37" width="15" style="138" bestFit="1" customWidth="1"/>
    <col min="38" max="38" width="23" style="138" bestFit="1" customWidth="1"/>
    <col min="39" max="39" width="11.7265625" style="138" bestFit="1" customWidth="1"/>
    <col min="40" max="40" width="13.81640625" style="138" bestFit="1" customWidth="1"/>
    <col min="41" max="41" width="27.81640625" style="138" bestFit="1" customWidth="1"/>
    <col min="42" max="42" width="23" style="138" bestFit="1" customWidth="1"/>
    <col min="43" max="43" width="8" style="138" bestFit="1" customWidth="1"/>
    <col min="44" max="44" width="30.7265625" style="138" bestFit="1" customWidth="1"/>
    <col min="45" max="45" width="25.7265625" style="138" bestFit="1" customWidth="1"/>
    <col min="46" max="46" width="23" style="138" bestFit="1" customWidth="1"/>
    <col min="47" max="47" width="15" style="138" bestFit="1" customWidth="1"/>
    <col min="48" max="48" width="23" style="138" bestFit="1" customWidth="1"/>
    <col min="49" max="49" width="11.7265625" style="138" bestFit="1" customWidth="1"/>
    <col min="50" max="50" width="20.1796875" style="138" bestFit="1" customWidth="1"/>
    <col min="51" max="51" width="23.54296875" style="138" bestFit="1" customWidth="1"/>
    <col min="52" max="52" width="23" style="138" bestFit="1" customWidth="1"/>
    <col min="53" max="53" width="11.7265625" style="138" bestFit="1" customWidth="1"/>
    <col min="54" max="54" width="21.453125" style="138" bestFit="1" customWidth="1"/>
    <col min="55" max="55" width="15" style="138" bestFit="1" customWidth="1"/>
    <col min="56" max="56" width="23" style="138" bestFit="1" customWidth="1"/>
    <col min="57" max="57" width="11.7265625" style="138" bestFit="1" customWidth="1"/>
    <col min="58" max="58" width="13.81640625" style="138" bestFit="1" customWidth="1"/>
    <col min="59" max="59" width="22" style="138" bestFit="1" customWidth="1"/>
    <col min="60" max="60" width="23" style="138" bestFit="1" customWidth="1"/>
    <col min="61" max="61" width="15" style="138" bestFit="1" customWidth="1"/>
    <col min="62" max="62" width="23" style="138" bestFit="1" customWidth="1"/>
    <col min="63" max="63" width="11.7265625" style="138" bestFit="1" customWidth="1"/>
    <col min="64" max="64" width="24.7265625" style="138" bestFit="1" customWidth="1"/>
    <col min="65" max="65" width="18.7265625" style="138" bestFit="1" customWidth="1"/>
    <col min="66" max="66" width="23" style="138" bestFit="1" customWidth="1"/>
    <col min="67" max="67" width="15" style="138" bestFit="1" customWidth="1"/>
    <col min="68" max="68" width="23" style="138" bestFit="1" customWidth="1"/>
    <col min="69" max="69" width="15" style="138" bestFit="1" customWidth="1"/>
    <col min="70" max="70" width="23" style="138" bestFit="1" customWidth="1"/>
    <col min="71" max="71" width="15" style="138" bestFit="1" customWidth="1"/>
    <col min="72" max="72" width="21.81640625" style="138" bestFit="1" customWidth="1"/>
    <col min="73" max="73" width="10.54296875" style="138" bestFit="1" customWidth="1"/>
    <col min="74" max="74" width="21.453125" style="138" bestFit="1" customWidth="1"/>
    <col min="75" max="75" width="5.453125" style="138" bestFit="1" customWidth="1"/>
    <col min="76" max="16384" width="12.54296875" style="138"/>
  </cols>
  <sheetData>
    <row r="1" spans="1:75" ht="15.75" customHeight="1">
      <c r="A1" s="626" t="s">
        <v>376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  <c r="N1" s="626"/>
      <c r="O1" s="626"/>
      <c r="P1" s="626"/>
      <c r="Q1" s="626"/>
    </row>
    <row r="2" spans="1:75" s="139" customFormat="1" ht="15.75" customHeight="1">
      <c r="A2" s="626"/>
      <c r="B2" s="626"/>
      <c r="C2" s="626"/>
      <c r="D2" s="626"/>
      <c r="E2" s="626"/>
      <c r="F2" s="626"/>
      <c r="G2" s="626"/>
      <c r="H2" s="626"/>
      <c r="I2" s="626"/>
      <c r="J2" s="626"/>
      <c r="K2" s="626"/>
      <c r="L2" s="626"/>
      <c r="M2" s="626"/>
      <c r="N2" s="626"/>
      <c r="O2" s="626"/>
      <c r="P2" s="626"/>
      <c r="Q2" s="626"/>
    </row>
    <row r="3" spans="1:75" ht="15.75" customHeight="1">
      <c r="A3" s="627" t="s">
        <v>469</v>
      </c>
      <c r="B3" s="627"/>
      <c r="C3" s="627"/>
      <c r="D3" s="627"/>
      <c r="E3" s="627"/>
      <c r="F3" s="627"/>
      <c r="G3" s="627"/>
      <c r="H3" s="627"/>
      <c r="I3" s="627"/>
      <c r="J3" s="627"/>
      <c r="K3" s="627"/>
      <c r="L3" s="627"/>
      <c r="M3" s="627"/>
    </row>
    <row r="4" spans="1:75" s="139" customFormat="1" ht="15.75" customHeight="1">
      <c r="A4" s="627"/>
      <c r="B4" s="627"/>
      <c r="C4" s="627"/>
      <c r="D4" s="627"/>
      <c r="E4" s="627"/>
      <c r="F4" s="627"/>
      <c r="G4" s="627"/>
      <c r="H4" s="627"/>
      <c r="I4" s="627"/>
      <c r="J4" s="627"/>
      <c r="K4" s="627"/>
      <c r="L4" s="627"/>
      <c r="M4" s="627"/>
    </row>
    <row r="5" spans="1:75" ht="15.75" customHeight="1">
      <c r="A5" s="629" t="s">
        <v>193</v>
      </c>
      <c r="B5" s="657">
        <v>1</v>
      </c>
      <c r="C5" s="657"/>
      <c r="D5" s="657">
        <v>2</v>
      </c>
      <c r="E5" s="657"/>
      <c r="F5" s="657">
        <v>3</v>
      </c>
      <c r="G5" s="657"/>
      <c r="H5" s="632">
        <v>4</v>
      </c>
      <c r="I5" s="632"/>
      <c r="J5" s="632">
        <v>5</v>
      </c>
      <c r="K5" s="632"/>
      <c r="L5" s="632">
        <v>6</v>
      </c>
      <c r="M5" s="632"/>
      <c r="N5" s="632">
        <v>7</v>
      </c>
      <c r="O5" s="632"/>
      <c r="P5" s="632">
        <v>8</v>
      </c>
      <c r="Q5" s="632"/>
    </row>
    <row r="6" spans="1:75" ht="15.75" customHeight="1">
      <c r="A6" s="629"/>
      <c r="B6" s="658" t="s">
        <v>501</v>
      </c>
      <c r="C6" s="658"/>
      <c r="D6" s="658" t="s">
        <v>215</v>
      </c>
      <c r="E6" s="658"/>
      <c r="F6" s="658" t="s">
        <v>168</v>
      </c>
      <c r="G6" s="658"/>
      <c r="H6" s="629" t="s">
        <v>466</v>
      </c>
      <c r="I6" s="629"/>
      <c r="J6" s="629" t="s">
        <v>191</v>
      </c>
      <c r="K6" s="629"/>
      <c r="L6" s="629" t="s">
        <v>169</v>
      </c>
      <c r="M6" s="629"/>
      <c r="N6" s="629" t="s">
        <v>192</v>
      </c>
      <c r="O6" s="629"/>
      <c r="P6" s="749" t="s">
        <v>220</v>
      </c>
      <c r="Q6" s="749"/>
    </row>
    <row r="8" spans="1:75" s="245" customFormat="1" ht="15.75" customHeight="1">
      <c r="A8" s="728" t="s">
        <v>193</v>
      </c>
      <c r="B8" s="729"/>
      <c r="C8" s="244" t="s">
        <v>47</v>
      </c>
      <c r="D8" s="786" t="s">
        <v>12</v>
      </c>
      <c r="E8" s="642"/>
      <c r="F8" s="772"/>
      <c r="G8" s="787" t="s">
        <v>53</v>
      </c>
      <c r="H8" s="788"/>
      <c r="I8" s="789"/>
      <c r="J8" s="244" t="s">
        <v>54</v>
      </c>
      <c r="K8" s="244" t="s">
        <v>55</v>
      </c>
      <c r="L8" s="244" t="s">
        <v>56</v>
      </c>
      <c r="M8" s="244" t="s">
        <v>11</v>
      </c>
      <c r="N8" s="244" t="s">
        <v>336</v>
      </c>
      <c r="O8" s="790" t="s">
        <v>51</v>
      </c>
      <c r="P8" s="791"/>
    </row>
    <row r="9" spans="1:75" ht="20.149999999999999" customHeight="1">
      <c r="A9" s="773">
        <v>1</v>
      </c>
      <c r="B9" s="776" t="s">
        <v>502</v>
      </c>
      <c r="C9" s="246">
        <v>1</v>
      </c>
      <c r="D9" s="247"/>
      <c r="E9" s="248"/>
      <c r="F9" s="248"/>
      <c r="G9" s="247"/>
      <c r="H9" s="248"/>
      <c r="I9" s="249"/>
      <c r="J9" s="246"/>
      <c r="K9" s="252"/>
      <c r="L9" s="246"/>
      <c r="M9" s="336">
        <f>L9*J9</f>
        <v>0</v>
      </c>
      <c r="N9" s="253"/>
      <c r="O9" s="710"/>
      <c r="P9" s="711"/>
      <c r="S9" s="358"/>
      <c r="T9" s="357"/>
    </row>
    <row r="10" spans="1:75" ht="20.149999999999999" customHeight="1">
      <c r="A10" s="774"/>
      <c r="B10" s="777"/>
      <c r="C10" s="246">
        <v>2</v>
      </c>
      <c r="D10" s="247"/>
      <c r="E10" s="248"/>
      <c r="F10" s="249"/>
      <c r="G10" s="247"/>
      <c r="H10" s="248"/>
      <c r="I10" s="249"/>
      <c r="J10" s="246"/>
      <c r="K10" s="252"/>
      <c r="L10" s="246"/>
      <c r="M10" s="336">
        <f t="shared" ref="M10:M13" si="0">L10*J10</f>
        <v>0</v>
      </c>
      <c r="N10" s="253"/>
      <c r="O10" s="783"/>
      <c r="P10" s="731"/>
      <c r="S10" s="357"/>
      <c r="T10" s="357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1"/>
      <c r="AU10" s="241"/>
      <c r="AV10" s="241"/>
      <c r="AW10" s="241"/>
      <c r="AX10" s="241"/>
      <c r="AY10" s="241"/>
      <c r="AZ10" s="241"/>
      <c r="BA10" s="241"/>
      <c r="BB10" s="241"/>
      <c r="BC10" s="241"/>
      <c r="BD10" s="241"/>
      <c r="BE10" s="241"/>
      <c r="BF10" s="241"/>
      <c r="BG10" s="241"/>
      <c r="BH10" s="241"/>
      <c r="BI10" s="241"/>
      <c r="BJ10" s="241"/>
      <c r="BK10" s="241"/>
      <c r="BL10" s="241"/>
      <c r="BM10" s="241"/>
      <c r="BN10" s="241"/>
      <c r="BO10" s="241"/>
      <c r="BP10" s="241"/>
      <c r="BQ10" s="241"/>
      <c r="BR10" s="241"/>
      <c r="BS10" s="241"/>
      <c r="BT10" s="241"/>
      <c r="BU10" s="241"/>
      <c r="BV10" s="241"/>
      <c r="BW10" s="241"/>
    </row>
    <row r="11" spans="1:75" ht="20.149999999999999" customHeight="1">
      <c r="A11" s="774"/>
      <c r="B11" s="777"/>
      <c r="C11" s="246">
        <v>3</v>
      </c>
      <c r="D11" s="247"/>
      <c r="E11" s="248"/>
      <c r="F11" s="249"/>
      <c r="G11" s="247"/>
      <c r="H11" s="248"/>
      <c r="I11" s="249"/>
      <c r="J11" s="246"/>
      <c r="K11" s="252"/>
      <c r="L11" s="246"/>
      <c r="M11" s="336">
        <f t="shared" si="0"/>
        <v>0</v>
      </c>
      <c r="N11" s="253"/>
      <c r="O11" s="783"/>
      <c r="P11" s="731"/>
      <c r="S11" s="358"/>
      <c r="T11" s="357"/>
      <c r="V11" s="241"/>
      <c r="W11" s="241"/>
      <c r="X11" s="241"/>
      <c r="Y11" s="241"/>
      <c r="Z11" s="241"/>
      <c r="AA11" s="241"/>
      <c r="AB11" s="241"/>
      <c r="AC11" s="241"/>
      <c r="AD11" s="241"/>
      <c r="AE11" s="241"/>
      <c r="AF11" s="241"/>
      <c r="AG11" s="241"/>
      <c r="AH11" s="241"/>
      <c r="AI11" s="241"/>
      <c r="AJ11" s="241"/>
      <c r="AK11" s="241"/>
      <c r="AL11" s="241"/>
      <c r="AM11" s="241"/>
      <c r="AN11" s="241"/>
      <c r="AO11" s="241"/>
      <c r="AP11" s="241"/>
      <c r="AQ11" s="241"/>
      <c r="AR11" s="241"/>
      <c r="AS11" s="241"/>
      <c r="AT11" s="241"/>
      <c r="AU11" s="241"/>
      <c r="AV11" s="241"/>
      <c r="AW11" s="241"/>
      <c r="AX11" s="241"/>
      <c r="AY11" s="241"/>
      <c r="AZ11" s="241"/>
      <c r="BA11" s="241"/>
      <c r="BB11" s="241"/>
      <c r="BC11" s="241"/>
      <c r="BD11" s="241"/>
      <c r="BE11" s="241"/>
      <c r="BF11" s="241"/>
      <c r="BG11" s="241"/>
      <c r="BH11" s="241"/>
      <c r="BI11" s="241"/>
      <c r="BJ11" s="241"/>
      <c r="BK11" s="241"/>
      <c r="BL11" s="241"/>
      <c r="BM11" s="241"/>
      <c r="BN11" s="241"/>
      <c r="BO11" s="241"/>
      <c r="BP11" s="241"/>
      <c r="BQ11" s="241"/>
      <c r="BR11" s="241"/>
      <c r="BS11" s="241"/>
      <c r="BT11" s="241"/>
      <c r="BU11" s="241"/>
      <c r="BV11" s="241"/>
      <c r="BW11" s="241"/>
    </row>
    <row r="12" spans="1:75" ht="20.149999999999999" customHeight="1">
      <c r="A12" s="774"/>
      <c r="B12" s="777"/>
      <c r="C12" s="246">
        <v>4</v>
      </c>
      <c r="D12" s="247"/>
      <c r="E12" s="248"/>
      <c r="F12" s="249"/>
      <c r="G12" s="247"/>
      <c r="H12" s="248"/>
      <c r="I12" s="249"/>
      <c r="J12" s="246"/>
      <c r="K12" s="252"/>
      <c r="L12" s="246"/>
      <c r="M12" s="336">
        <f t="shared" si="0"/>
        <v>0</v>
      </c>
      <c r="N12" s="253"/>
      <c r="O12" s="783"/>
      <c r="P12" s="731"/>
      <c r="S12" s="357"/>
      <c r="T12" s="357"/>
      <c r="V12" s="241"/>
      <c r="W12" s="241"/>
      <c r="X12" s="241"/>
      <c r="Y12" s="241"/>
      <c r="Z12" s="241"/>
      <c r="AA12" s="241"/>
      <c r="AB12" s="241"/>
      <c r="AC12" s="241"/>
      <c r="AD12" s="241"/>
      <c r="AE12" s="241"/>
      <c r="AF12" s="241"/>
      <c r="AG12" s="241"/>
      <c r="AH12" s="241"/>
      <c r="AI12" s="241"/>
      <c r="AJ12" s="241"/>
      <c r="AK12" s="241"/>
      <c r="AL12" s="241"/>
      <c r="AM12" s="241"/>
      <c r="AN12" s="241"/>
      <c r="AO12" s="241"/>
      <c r="AP12" s="241"/>
      <c r="AQ12" s="241"/>
      <c r="AR12" s="241"/>
      <c r="AS12" s="241"/>
      <c r="AT12" s="241"/>
      <c r="AU12" s="241"/>
      <c r="AV12" s="241"/>
      <c r="AW12" s="241"/>
      <c r="AX12" s="241"/>
      <c r="AY12" s="241"/>
      <c r="AZ12" s="241"/>
      <c r="BA12" s="241"/>
      <c r="BB12" s="241"/>
      <c r="BC12" s="241"/>
      <c r="BD12" s="241"/>
      <c r="BE12" s="241"/>
      <c r="BF12" s="241"/>
      <c r="BG12" s="241"/>
      <c r="BH12" s="241"/>
      <c r="BI12" s="241"/>
      <c r="BJ12" s="241"/>
      <c r="BK12" s="241"/>
      <c r="BL12" s="241"/>
      <c r="BM12" s="241"/>
      <c r="BN12" s="241"/>
      <c r="BO12" s="241"/>
      <c r="BP12" s="241"/>
      <c r="BQ12" s="241"/>
      <c r="BR12" s="241"/>
      <c r="BS12" s="241"/>
      <c r="BT12" s="241"/>
      <c r="BU12" s="241"/>
      <c r="BV12" s="241"/>
      <c r="BW12" s="241"/>
    </row>
    <row r="13" spans="1:75" ht="20.149999999999999" customHeight="1" thickBot="1">
      <c r="A13" s="774"/>
      <c r="B13" s="777"/>
      <c r="C13" s="246">
        <v>5</v>
      </c>
      <c r="D13" s="254"/>
      <c r="E13" s="255"/>
      <c r="F13" s="256"/>
      <c r="G13" s="247"/>
      <c r="H13" s="248"/>
      <c r="I13" s="278"/>
      <c r="J13" s="257"/>
      <c r="K13" s="258"/>
      <c r="L13" s="257"/>
      <c r="M13" s="337">
        <f t="shared" si="0"/>
        <v>0</v>
      </c>
      <c r="N13" s="253"/>
      <c r="O13" s="783"/>
      <c r="P13" s="731"/>
      <c r="S13" s="358"/>
      <c r="T13" s="357"/>
      <c r="V13" s="241"/>
      <c r="W13" s="241"/>
      <c r="X13" s="241"/>
      <c r="Y13" s="241"/>
      <c r="Z13" s="241"/>
      <c r="AA13" s="241"/>
      <c r="AB13" s="241"/>
      <c r="AC13" s="241"/>
      <c r="AD13" s="241"/>
      <c r="AE13" s="241"/>
      <c r="AF13" s="241"/>
      <c r="AG13" s="241"/>
      <c r="AH13" s="241"/>
      <c r="AI13" s="241"/>
      <c r="AJ13" s="241"/>
      <c r="AK13" s="241"/>
      <c r="AL13" s="241"/>
      <c r="AM13" s="241"/>
      <c r="AN13" s="241"/>
      <c r="AO13" s="241"/>
      <c r="AP13" s="241"/>
      <c r="AQ13" s="241"/>
      <c r="AR13" s="241"/>
      <c r="AS13" s="241"/>
      <c r="AT13" s="241"/>
      <c r="AU13" s="241"/>
      <c r="AV13" s="241"/>
      <c r="AW13" s="241"/>
      <c r="AX13" s="241"/>
      <c r="AY13" s="241"/>
      <c r="AZ13" s="241"/>
      <c r="BA13" s="241"/>
      <c r="BB13" s="241"/>
      <c r="BC13" s="241"/>
      <c r="BD13" s="241"/>
      <c r="BE13" s="241"/>
      <c r="BF13" s="241"/>
      <c r="BG13" s="241"/>
      <c r="BH13" s="241"/>
      <c r="BI13" s="241"/>
      <c r="BJ13" s="241"/>
      <c r="BK13" s="241"/>
      <c r="BL13" s="241"/>
      <c r="BM13" s="241"/>
      <c r="BN13" s="241"/>
      <c r="BO13" s="241"/>
      <c r="BP13" s="241"/>
      <c r="BQ13" s="241"/>
      <c r="BR13" s="241"/>
      <c r="BS13" s="241"/>
      <c r="BT13" s="241"/>
      <c r="BU13" s="241"/>
      <c r="BV13" s="241"/>
      <c r="BW13" s="241"/>
    </row>
    <row r="14" spans="1:75" ht="15.75" customHeight="1" thickTop="1" thickBot="1">
      <c r="A14" s="775"/>
      <c r="B14" s="778"/>
      <c r="C14" s="644"/>
      <c r="D14" s="645"/>
      <c r="E14" s="645"/>
      <c r="F14" s="645"/>
      <c r="G14" s="645"/>
      <c r="H14" s="645"/>
      <c r="I14" s="781"/>
      <c r="J14" s="363" t="s">
        <v>58</v>
      </c>
      <c r="K14" s="364">
        <f>M14/'生產管理報表 7-1 (週)'!$B$10</f>
        <v>0</v>
      </c>
      <c r="L14" s="363" t="s">
        <v>59</v>
      </c>
      <c r="M14" s="338">
        <f>SUM(M9:M13)</f>
        <v>0</v>
      </c>
      <c r="N14" s="746"/>
      <c r="O14" s="747"/>
      <c r="P14" s="748"/>
      <c r="S14" s="357"/>
      <c r="V14" s="241"/>
      <c r="W14" s="241"/>
      <c r="X14" s="241"/>
      <c r="Y14" s="241"/>
      <c r="Z14" s="241"/>
      <c r="AA14" s="241"/>
      <c r="AB14" s="241"/>
      <c r="AC14" s="241"/>
      <c r="AD14" s="241"/>
      <c r="AE14" s="241"/>
      <c r="AF14" s="241"/>
      <c r="AG14" s="241"/>
      <c r="AH14" s="241"/>
      <c r="AI14" s="241"/>
      <c r="AJ14" s="241"/>
      <c r="AK14" s="241"/>
      <c r="AL14" s="241"/>
      <c r="AM14" s="241"/>
      <c r="AN14" s="241"/>
      <c r="AO14" s="241"/>
      <c r="AP14" s="241"/>
      <c r="AQ14" s="241"/>
      <c r="AR14" s="241"/>
      <c r="AS14" s="241"/>
      <c r="AT14" s="241"/>
      <c r="AU14" s="241"/>
      <c r="AV14" s="241"/>
      <c r="AW14" s="241"/>
      <c r="AX14" s="241"/>
      <c r="AY14" s="241"/>
      <c r="AZ14" s="241"/>
      <c r="BA14" s="241"/>
      <c r="BB14" s="241"/>
      <c r="BC14" s="241"/>
      <c r="BD14" s="241"/>
      <c r="BE14" s="241"/>
      <c r="BF14" s="241"/>
      <c r="BG14" s="241"/>
      <c r="BH14" s="241"/>
      <c r="BI14" s="241"/>
      <c r="BJ14" s="241"/>
      <c r="BK14" s="241"/>
      <c r="BL14" s="241"/>
      <c r="BM14" s="241"/>
      <c r="BN14" s="241"/>
      <c r="BO14" s="241"/>
      <c r="BP14" s="241"/>
      <c r="BQ14" s="241"/>
      <c r="BR14" s="241"/>
      <c r="BS14" s="241"/>
      <c r="BT14" s="241"/>
      <c r="BU14" s="241"/>
      <c r="BV14" s="241"/>
      <c r="BW14" s="241"/>
    </row>
    <row r="15" spans="1:75" ht="15.75" customHeight="1" thickTop="1">
      <c r="D15" s="243"/>
      <c r="E15" s="243"/>
      <c r="F15" s="243"/>
      <c r="G15" s="243"/>
      <c r="H15" s="243"/>
      <c r="I15" s="243"/>
      <c r="J15" s="243"/>
      <c r="K15" s="243"/>
      <c r="L15" s="243"/>
      <c r="M15" s="243"/>
      <c r="N15" s="261"/>
      <c r="O15" s="261"/>
      <c r="P15" s="261"/>
      <c r="S15" s="358"/>
      <c r="V15" s="241"/>
      <c r="W15" s="241"/>
      <c r="X15" s="241"/>
      <c r="Y15" s="241"/>
      <c r="Z15" s="241"/>
      <c r="AA15" s="241"/>
      <c r="AB15" s="241"/>
      <c r="AC15" s="241"/>
      <c r="AD15" s="241"/>
      <c r="AE15" s="241"/>
      <c r="AF15" s="241"/>
      <c r="AG15" s="241"/>
      <c r="AH15" s="241"/>
      <c r="AI15" s="241"/>
      <c r="AJ15" s="241"/>
      <c r="AK15" s="241"/>
      <c r="AL15" s="241"/>
      <c r="AM15" s="241"/>
      <c r="AN15" s="241"/>
      <c r="AO15" s="241"/>
      <c r="AP15" s="241"/>
      <c r="AQ15" s="241"/>
      <c r="AR15" s="241"/>
      <c r="AS15" s="241"/>
      <c r="AT15" s="241"/>
      <c r="AU15" s="241"/>
      <c r="AV15" s="241"/>
      <c r="AW15" s="241"/>
      <c r="AX15" s="241"/>
      <c r="AY15" s="241"/>
      <c r="AZ15" s="241"/>
      <c r="BA15" s="241"/>
      <c r="BB15" s="241"/>
      <c r="BC15" s="241"/>
      <c r="BD15" s="241"/>
      <c r="BE15" s="241"/>
      <c r="BF15" s="241"/>
      <c r="BG15" s="241"/>
      <c r="BH15" s="241"/>
      <c r="BI15" s="241"/>
      <c r="BJ15" s="241"/>
      <c r="BK15" s="241"/>
      <c r="BL15" s="241"/>
      <c r="BM15" s="241"/>
      <c r="BN15" s="241"/>
      <c r="BO15" s="241"/>
      <c r="BP15" s="241"/>
      <c r="BQ15" s="241"/>
      <c r="BR15" s="241"/>
      <c r="BS15" s="241"/>
      <c r="BT15" s="241"/>
      <c r="BU15" s="241"/>
      <c r="BV15" s="241"/>
      <c r="BW15" s="241"/>
    </row>
    <row r="16" spans="1:75" ht="15.75" customHeight="1">
      <c r="A16" s="728" t="s">
        <v>193</v>
      </c>
      <c r="B16" s="729"/>
      <c r="C16" s="262" t="s">
        <v>47</v>
      </c>
      <c r="D16" s="641" t="s">
        <v>12</v>
      </c>
      <c r="E16" s="642"/>
      <c r="F16" s="643"/>
      <c r="G16" s="641" t="s">
        <v>53</v>
      </c>
      <c r="H16" s="642"/>
      <c r="I16" s="643"/>
      <c r="J16" s="264" t="s">
        <v>54</v>
      </c>
      <c r="K16" s="264" t="s">
        <v>55</v>
      </c>
      <c r="L16" s="264" t="s">
        <v>56</v>
      </c>
      <c r="M16" s="264" t="s">
        <v>11</v>
      </c>
      <c r="N16" s="265" t="s">
        <v>336</v>
      </c>
      <c r="O16" s="737" t="s">
        <v>51</v>
      </c>
      <c r="P16" s="738"/>
      <c r="S16" s="357"/>
      <c r="V16" s="241"/>
      <c r="W16" s="241"/>
      <c r="X16" s="241"/>
      <c r="Y16" s="241"/>
      <c r="Z16" s="241"/>
      <c r="AA16" s="241"/>
      <c r="AB16" s="241"/>
      <c r="AC16" s="241"/>
      <c r="AD16" s="241"/>
      <c r="AE16" s="241"/>
      <c r="AF16" s="241"/>
      <c r="AG16" s="241"/>
      <c r="AH16" s="241"/>
      <c r="AI16" s="241"/>
      <c r="AJ16" s="241"/>
    </row>
    <row r="17" spans="1:36" ht="20.149999999999999" customHeight="1">
      <c r="A17" s="773">
        <v>2</v>
      </c>
      <c r="B17" s="776" t="s">
        <v>216</v>
      </c>
      <c r="C17" s="266">
        <v>1</v>
      </c>
      <c r="D17" s="247"/>
      <c r="E17" s="248"/>
      <c r="F17" s="249"/>
      <c r="G17" s="247"/>
      <c r="H17" s="248"/>
      <c r="I17" s="249"/>
      <c r="J17" s="267"/>
      <c r="K17" s="268"/>
      <c r="L17" s="267"/>
      <c r="M17" s="269">
        <f t="shared" ref="M17:M21" si="1">L17*J17</f>
        <v>0</v>
      </c>
      <c r="N17" s="270"/>
      <c r="O17" s="739"/>
      <c r="P17" s="740"/>
      <c r="S17" s="358"/>
      <c r="V17" s="241"/>
      <c r="W17" s="241"/>
      <c r="X17" s="241"/>
      <c r="Y17" s="241"/>
      <c r="Z17" s="241"/>
      <c r="AA17" s="241"/>
      <c r="AB17" s="241"/>
      <c r="AC17" s="241"/>
      <c r="AD17" s="241"/>
      <c r="AE17" s="241"/>
      <c r="AF17" s="241"/>
      <c r="AG17" s="241"/>
      <c r="AH17" s="241"/>
      <c r="AI17" s="241"/>
      <c r="AJ17" s="241"/>
    </row>
    <row r="18" spans="1:36" ht="20.149999999999999" customHeight="1">
      <c r="A18" s="774"/>
      <c r="B18" s="777"/>
      <c r="C18" s="266">
        <v>2</v>
      </c>
      <c r="D18" s="247"/>
      <c r="E18" s="248"/>
      <c r="F18" s="249"/>
      <c r="G18" s="247"/>
      <c r="H18" s="248"/>
      <c r="I18" s="249"/>
      <c r="J18" s="267"/>
      <c r="K18" s="268"/>
      <c r="L18" s="267"/>
      <c r="M18" s="269">
        <f t="shared" si="1"/>
        <v>0</v>
      </c>
      <c r="N18" s="270"/>
      <c r="O18" s="739"/>
      <c r="P18" s="740"/>
      <c r="S18" s="357"/>
      <c r="V18" s="241"/>
      <c r="W18" s="241"/>
      <c r="X18" s="241"/>
      <c r="Y18" s="241"/>
      <c r="Z18" s="241"/>
      <c r="AA18" s="241"/>
      <c r="AB18" s="241"/>
      <c r="AC18" s="241"/>
      <c r="AD18" s="241"/>
      <c r="AE18" s="241"/>
      <c r="AF18" s="241"/>
      <c r="AG18" s="241"/>
      <c r="AH18" s="241"/>
      <c r="AI18" s="241"/>
      <c r="AJ18" s="241"/>
    </row>
    <row r="19" spans="1:36" ht="20.149999999999999" customHeight="1">
      <c r="A19" s="774"/>
      <c r="B19" s="777"/>
      <c r="C19" s="266">
        <v>3</v>
      </c>
      <c r="D19" s="247"/>
      <c r="E19" s="248"/>
      <c r="F19" s="249"/>
      <c r="G19" s="247"/>
      <c r="H19" s="248"/>
      <c r="I19" s="249"/>
      <c r="J19" s="267"/>
      <c r="K19" s="268"/>
      <c r="L19" s="267"/>
      <c r="M19" s="269">
        <f t="shared" si="1"/>
        <v>0</v>
      </c>
      <c r="N19" s="270"/>
      <c r="O19" s="739"/>
      <c r="P19" s="740"/>
      <c r="S19" s="358"/>
      <c r="V19" s="241"/>
      <c r="W19" s="241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1"/>
    </row>
    <row r="20" spans="1:36" ht="20.149999999999999" customHeight="1">
      <c r="A20" s="774"/>
      <c r="B20" s="777"/>
      <c r="C20" s="266">
        <v>4</v>
      </c>
      <c r="D20" s="247"/>
      <c r="E20" s="248"/>
      <c r="F20" s="249"/>
      <c r="G20" s="247"/>
      <c r="H20" s="248"/>
      <c r="I20" s="249"/>
      <c r="J20" s="267"/>
      <c r="K20" s="268"/>
      <c r="L20" s="267"/>
      <c r="M20" s="269">
        <f t="shared" si="1"/>
        <v>0</v>
      </c>
      <c r="N20" s="270"/>
      <c r="O20" s="739"/>
      <c r="P20" s="740"/>
      <c r="S20" s="357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</row>
    <row r="21" spans="1:36" ht="20.149999999999999" customHeight="1" thickBot="1">
      <c r="A21" s="774"/>
      <c r="B21" s="777"/>
      <c r="C21" s="272">
        <v>5</v>
      </c>
      <c r="D21" s="254"/>
      <c r="E21" s="255"/>
      <c r="F21" s="256"/>
      <c r="G21" s="254"/>
      <c r="H21" s="255"/>
      <c r="I21" s="256"/>
      <c r="J21" s="273"/>
      <c r="K21" s="274"/>
      <c r="L21" s="273"/>
      <c r="M21" s="275">
        <f t="shared" si="1"/>
        <v>0</v>
      </c>
      <c r="N21" s="276"/>
      <c r="O21" s="739"/>
      <c r="P21" s="740"/>
      <c r="V21" s="241"/>
      <c r="W21" s="241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1"/>
    </row>
    <row r="22" spans="1:36" ht="15.75" customHeight="1" thickTop="1" thickBot="1">
      <c r="A22" s="775"/>
      <c r="B22" s="778"/>
      <c r="C22" s="644"/>
      <c r="D22" s="645"/>
      <c r="E22" s="645"/>
      <c r="F22" s="645"/>
      <c r="G22" s="645"/>
      <c r="H22" s="645"/>
      <c r="I22" s="781"/>
      <c r="J22" s="363" t="s">
        <v>58</v>
      </c>
      <c r="K22" s="364">
        <f>M22/'生產管理報表 7-1 (週)'!$B$10</f>
        <v>0</v>
      </c>
      <c r="L22" s="363" t="s">
        <v>59</v>
      </c>
      <c r="M22" s="260">
        <f>SUM(M17:M21)</f>
        <v>0</v>
      </c>
      <c r="N22" s="741"/>
      <c r="O22" s="742"/>
      <c r="P22" s="743"/>
      <c r="V22" s="241"/>
      <c r="W22" s="241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1"/>
    </row>
    <row r="23" spans="1:36" ht="15.75" customHeight="1" thickTop="1"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77"/>
      <c r="O23" s="277"/>
      <c r="P23" s="277"/>
      <c r="V23" s="241"/>
      <c r="W23" s="241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1"/>
    </row>
    <row r="24" spans="1:36" ht="15.75" customHeight="1">
      <c r="A24" s="728" t="s">
        <v>193</v>
      </c>
      <c r="B24" s="729"/>
      <c r="C24" s="262" t="s">
        <v>47</v>
      </c>
      <c r="D24" s="641" t="s">
        <v>12</v>
      </c>
      <c r="E24" s="642"/>
      <c r="F24" s="643"/>
      <c r="G24" s="641" t="s">
        <v>53</v>
      </c>
      <c r="H24" s="642"/>
      <c r="I24" s="772"/>
      <c r="J24" s="263" t="s">
        <v>54</v>
      </c>
      <c r="K24" s="264" t="s">
        <v>55</v>
      </c>
      <c r="L24" s="264" t="s">
        <v>56</v>
      </c>
      <c r="M24" s="264" t="s">
        <v>11</v>
      </c>
      <c r="N24" s="265" t="s">
        <v>336</v>
      </c>
      <c r="O24" s="735" t="s">
        <v>51</v>
      </c>
      <c r="P24" s="736"/>
      <c r="V24" s="241"/>
      <c r="W24" s="241"/>
      <c r="X24" s="241"/>
      <c r="Y24" s="241"/>
      <c r="Z24" s="241"/>
      <c r="AA24" s="241"/>
      <c r="AB24" s="241"/>
      <c r="AC24" s="241"/>
      <c r="AD24" s="241"/>
      <c r="AE24" s="241"/>
      <c r="AF24" s="241"/>
      <c r="AG24" s="241"/>
      <c r="AH24" s="241"/>
      <c r="AI24" s="241"/>
      <c r="AJ24" s="241"/>
    </row>
    <row r="25" spans="1:36" ht="20.149999999999999" customHeight="1">
      <c r="A25" s="773">
        <v>3</v>
      </c>
      <c r="B25" s="776" t="s">
        <v>452</v>
      </c>
      <c r="C25" s="266">
        <v>1</v>
      </c>
      <c r="D25" s="247"/>
      <c r="E25" s="248"/>
      <c r="F25" s="249"/>
      <c r="G25" s="247"/>
      <c r="H25" s="248"/>
      <c r="I25" s="249"/>
      <c r="J25" s="267"/>
      <c r="K25" s="268"/>
      <c r="L25" s="267"/>
      <c r="M25" s="339">
        <f t="shared" ref="M25:M29" si="2">L25*J25</f>
        <v>0</v>
      </c>
      <c r="N25" s="280"/>
      <c r="O25" s="730"/>
      <c r="P25" s="731"/>
      <c r="V25" s="241"/>
      <c r="W25" s="241"/>
      <c r="X25" s="241"/>
      <c r="Y25" s="241"/>
      <c r="Z25" s="241"/>
      <c r="AA25" s="241"/>
      <c r="AB25" s="241"/>
      <c r="AC25" s="241"/>
      <c r="AD25" s="241"/>
      <c r="AE25" s="241"/>
      <c r="AF25" s="241"/>
      <c r="AG25" s="241"/>
      <c r="AH25" s="241"/>
      <c r="AI25" s="241"/>
      <c r="AJ25" s="241"/>
    </row>
    <row r="26" spans="1:36" ht="20.149999999999999" customHeight="1">
      <c r="A26" s="774"/>
      <c r="B26" s="777"/>
      <c r="C26" s="266">
        <v>2</v>
      </c>
      <c r="D26" s="247"/>
      <c r="E26" s="248"/>
      <c r="F26" s="249"/>
      <c r="G26" s="247"/>
      <c r="H26" s="248"/>
      <c r="I26" s="249"/>
      <c r="J26" s="267"/>
      <c r="K26" s="268"/>
      <c r="L26" s="267"/>
      <c r="M26" s="339">
        <f t="shared" si="2"/>
        <v>0</v>
      </c>
      <c r="N26" s="280"/>
      <c r="O26" s="730"/>
      <c r="P26" s="731"/>
      <c r="V26" s="241"/>
      <c r="W26" s="241"/>
      <c r="X26" s="241"/>
      <c r="Y26" s="241"/>
      <c r="Z26" s="241"/>
      <c r="AA26" s="241"/>
      <c r="AB26" s="241"/>
      <c r="AC26" s="241"/>
      <c r="AD26" s="241"/>
      <c r="AE26" s="241"/>
      <c r="AF26" s="241"/>
      <c r="AG26" s="241"/>
      <c r="AH26" s="241"/>
      <c r="AI26" s="241"/>
      <c r="AJ26" s="241"/>
    </row>
    <row r="27" spans="1:36" ht="20.149999999999999" customHeight="1">
      <c r="A27" s="774"/>
      <c r="B27" s="777"/>
      <c r="C27" s="266">
        <v>3</v>
      </c>
      <c r="D27" s="247"/>
      <c r="E27" s="248"/>
      <c r="F27" s="249"/>
      <c r="G27" s="247"/>
      <c r="H27" s="248"/>
      <c r="I27" s="249"/>
      <c r="J27" s="267"/>
      <c r="K27" s="268"/>
      <c r="L27" s="267"/>
      <c r="M27" s="339">
        <f t="shared" si="2"/>
        <v>0</v>
      </c>
      <c r="N27" s="280"/>
      <c r="O27" s="730"/>
      <c r="P27" s="731"/>
      <c r="V27" s="241"/>
      <c r="W27" s="241"/>
      <c r="X27" s="241"/>
      <c r="Y27" s="241"/>
      <c r="Z27" s="241"/>
      <c r="AA27" s="241"/>
      <c r="AB27" s="241"/>
      <c r="AC27" s="241"/>
      <c r="AD27" s="241"/>
      <c r="AE27" s="241"/>
      <c r="AF27" s="241"/>
      <c r="AG27" s="241"/>
      <c r="AH27" s="241"/>
      <c r="AI27" s="241"/>
      <c r="AJ27" s="241"/>
    </row>
    <row r="28" spans="1:36" ht="20.149999999999999" customHeight="1">
      <c r="A28" s="774"/>
      <c r="B28" s="777"/>
      <c r="C28" s="266">
        <v>4</v>
      </c>
      <c r="D28" s="247"/>
      <c r="E28" s="248"/>
      <c r="F28" s="249"/>
      <c r="G28" s="247"/>
      <c r="H28" s="248"/>
      <c r="I28" s="278"/>
      <c r="J28" s="279"/>
      <c r="K28" s="268"/>
      <c r="L28" s="267"/>
      <c r="M28" s="339">
        <f t="shared" si="2"/>
        <v>0</v>
      </c>
      <c r="N28" s="280"/>
      <c r="O28" s="730"/>
      <c r="P28" s="731"/>
      <c r="V28" s="241"/>
      <c r="W28" s="241"/>
      <c r="X28" s="241"/>
      <c r="Y28" s="241"/>
      <c r="Z28" s="241"/>
      <c r="AA28" s="241"/>
      <c r="AB28" s="241"/>
      <c r="AC28" s="241"/>
      <c r="AD28" s="241"/>
      <c r="AE28" s="241"/>
      <c r="AF28" s="241"/>
      <c r="AG28" s="241"/>
      <c r="AH28" s="241"/>
      <c r="AI28" s="241"/>
      <c r="AJ28" s="241"/>
    </row>
    <row r="29" spans="1:36" ht="20.149999999999999" customHeight="1" thickBot="1">
      <c r="A29" s="774"/>
      <c r="B29" s="777"/>
      <c r="C29" s="272">
        <v>5</v>
      </c>
      <c r="D29" s="254"/>
      <c r="E29" s="255"/>
      <c r="F29" s="256"/>
      <c r="G29" s="254"/>
      <c r="H29" s="255"/>
      <c r="I29" s="281"/>
      <c r="J29" s="282"/>
      <c r="K29" s="274"/>
      <c r="L29" s="283"/>
      <c r="M29" s="339">
        <f t="shared" si="2"/>
        <v>0</v>
      </c>
      <c r="N29" s="280"/>
      <c r="O29" s="730"/>
      <c r="P29" s="731"/>
      <c r="V29" s="241"/>
      <c r="W29" s="241"/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241"/>
      <c r="AI29" s="241"/>
      <c r="AJ29" s="241"/>
    </row>
    <row r="30" spans="1:36" ht="15.75" customHeight="1" thickTop="1" thickBot="1">
      <c r="A30" s="775"/>
      <c r="B30" s="778"/>
      <c r="C30" s="644"/>
      <c r="D30" s="645"/>
      <c r="E30" s="645"/>
      <c r="F30" s="645"/>
      <c r="G30" s="645"/>
      <c r="H30" s="645"/>
      <c r="I30" s="781"/>
      <c r="J30" s="365" t="s">
        <v>58</v>
      </c>
      <c r="K30" s="364">
        <f>M30/'生產管理報表 7-1 (週)'!$B$10</f>
        <v>0</v>
      </c>
      <c r="L30" s="365" t="s">
        <v>59</v>
      </c>
      <c r="M30" s="340">
        <f>SUM(M25:M29)</f>
        <v>0</v>
      </c>
      <c r="N30" s="732"/>
      <c r="O30" s="733"/>
      <c r="P30" s="734"/>
      <c r="V30" s="241"/>
      <c r="W30" s="241"/>
      <c r="X30" s="241"/>
      <c r="Y30" s="241"/>
      <c r="Z30" s="241"/>
      <c r="AA30" s="241"/>
      <c r="AB30" s="241"/>
      <c r="AC30" s="241"/>
      <c r="AD30" s="241"/>
      <c r="AE30" s="241"/>
      <c r="AF30" s="241"/>
      <c r="AG30" s="241"/>
      <c r="AH30" s="241"/>
      <c r="AI30" s="241"/>
      <c r="AJ30" s="241"/>
    </row>
    <row r="31" spans="1:36" ht="15.75" customHeight="1" thickTop="1"/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T31"/>
  <sheetViews>
    <sheetView view="pageBreakPreview" zoomScale="91" zoomScaleNormal="60" zoomScaleSheetLayoutView="91" workbookViewId="0">
      <selection activeCell="K30" sqref="K30"/>
    </sheetView>
  </sheetViews>
  <sheetFormatPr defaultColWidth="12.54296875" defaultRowHeight="15.75" customHeight="1"/>
  <cols>
    <col min="1" max="1" width="5.453125" style="299" customWidth="1"/>
    <col min="2" max="2" width="11.453125" style="307" customWidth="1"/>
    <col min="3" max="3" width="4" style="308" customWidth="1"/>
    <col min="4" max="4" width="9.54296875" style="299" customWidth="1"/>
    <col min="5" max="5" width="10.26953125" style="299" customWidth="1"/>
    <col min="6" max="15" width="9.54296875" style="299" customWidth="1"/>
    <col min="16" max="16" width="35.453125" style="299" customWidth="1"/>
    <col min="17" max="16384" width="12.54296875" style="299"/>
  </cols>
  <sheetData>
    <row r="1" spans="1:20" s="138" customFormat="1" ht="15.75" customHeight="1">
      <c r="A1" s="626" t="s">
        <v>376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  <c r="N1" s="626"/>
      <c r="O1" s="626"/>
      <c r="P1" s="626"/>
    </row>
    <row r="2" spans="1:20" s="139" customFormat="1" ht="15.75" customHeight="1">
      <c r="A2" s="626"/>
      <c r="B2" s="626"/>
      <c r="C2" s="626"/>
      <c r="D2" s="626"/>
      <c r="E2" s="626"/>
      <c r="F2" s="626"/>
      <c r="G2" s="626"/>
      <c r="H2" s="626"/>
      <c r="I2" s="626"/>
      <c r="J2" s="626"/>
      <c r="K2" s="626"/>
      <c r="L2" s="626"/>
      <c r="M2" s="626"/>
      <c r="N2" s="626"/>
      <c r="O2" s="626"/>
      <c r="P2" s="626"/>
    </row>
    <row r="3" spans="1:20" s="138" customFormat="1" ht="15.75" customHeight="1">
      <c r="A3" s="627" t="s">
        <v>641</v>
      </c>
      <c r="B3" s="627"/>
      <c r="C3" s="627"/>
      <c r="D3" s="627"/>
      <c r="E3" s="627"/>
      <c r="F3" s="627"/>
      <c r="G3" s="627"/>
      <c r="H3" s="627"/>
      <c r="I3" s="627"/>
      <c r="J3" s="627"/>
      <c r="K3" s="627"/>
      <c r="L3" s="627"/>
      <c r="M3" s="627"/>
    </row>
    <row r="4" spans="1:20" s="139" customFormat="1" ht="15.75" customHeight="1">
      <c r="A4" s="725"/>
      <c r="B4" s="725"/>
      <c r="C4" s="725"/>
      <c r="D4" s="725"/>
      <c r="E4" s="725"/>
      <c r="F4" s="725"/>
      <c r="G4" s="725"/>
      <c r="H4" s="725"/>
      <c r="I4" s="725"/>
      <c r="J4" s="725"/>
      <c r="K4" s="725"/>
      <c r="L4" s="725"/>
      <c r="M4" s="725"/>
    </row>
    <row r="5" spans="1:20" s="138" customFormat="1" ht="15.75" customHeight="1">
      <c r="A5" s="726" t="s">
        <v>193</v>
      </c>
      <c r="B5" s="728">
        <v>1</v>
      </c>
      <c r="C5" s="729"/>
      <c r="D5" s="728">
        <v>2</v>
      </c>
      <c r="E5" s="729"/>
      <c r="F5" s="728">
        <v>3</v>
      </c>
      <c r="G5" s="729"/>
      <c r="H5" s="719">
        <v>4</v>
      </c>
      <c r="I5" s="720"/>
      <c r="J5" s="719">
        <v>5</v>
      </c>
      <c r="K5" s="720"/>
      <c r="L5" s="719">
        <v>6</v>
      </c>
      <c r="M5" s="720"/>
      <c r="N5" s="719">
        <v>7</v>
      </c>
      <c r="O5" s="720"/>
      <c r="P5" s="341">
        <v>8</v>
      </c>
    </row>
    <row r="6" spans="1:20" s="138" customFormat="1" ht="15.75" customHeight="1">
      <c r="A6" s="727"/>
      <c r="B6" s="723" t="s">
        <v>501</v>
      </c>
      <c r="C6" s="724"/>
      <c r="D6" s="723" t="s">
        <v>215</v>
      </c>
      <c r="E6" s="724"/>
      <c r="F6" s="723" t="s">
        <v>168</v>
      </c>
      <c r="G6" s="724"/>
      <c r="H6" s="721" t="s">
        <v>466</v>
      </c>
      <c r="I6" s="722"/>
      <c r="J6" s="721" t="s">
        <v>191</v>
      </c>
      <c r="K6" s="722"/>
      <c r="L6" s="721" t="s">
        <v>169</v>
      </c>
      <c r="M6" s="722"/>
      <c r="N6" s="721" t="s">
        <v>192</v>
      </c>
      <c r="O6" s="722"/>
      <c r="P6" s="342" t="s">
        <v>220</v>
      </c>
    </row>
    <row r="7" spans="1:20" s="138" customFormat="1" ht="15.75" customHeight="1">
      <c r="B7" s="242"/>
      <c r="C7" s="243"/>
    </row>
    <row r="8" spans="1:20" s="288" customFormat="1" ht="15.75" customHeight="1">
      <c r="A8" s="663" t="s">
        <v>193</v>
      </c>
      <c r="B8" s="664"/>
      <c r="C8" s="285" t="s">
        <v>47</v>
      </c>
      <c r="D8" s="691" t="s">
        <v>12</v>
      </c>
      <c r="E8" s="692"/>
      <c r="F8" s="693"/>
      <c r="G8" s="694" t="s">
        <v>53</v>
      </c>
      <c r="H8" s="695"/>
      <c r="I8" s="696"/>
      <c r="J8" s="286" t="s">
        <v>54</v>
      </c>
      <c r="K8" s="286" t="s">
        <v>55</v>
      </c>
      <c r="L8" s="286" t="s">
        <v>56</v>
      </c>
      <c r="M8" s="287" t="s">
        <v>11</v>
      </c>
      <c r="N8" s="287" t="s">
        <v>336</v>
      </c>
      <c r="O8" s="671" t="s">
        <v>51</v>
      </c>
      <c r="P8" s="672"/>
      <c r="R8" s="357"/>
      <c r="S8" s="358"/>
    </row>
    <row r="9" spans="1:20" s="308" customFormat="1" ht="60" customHeight="1">
      <c r="A9" s="673">
        <v>4</v>
      </c>
      <c r="B9" s="707" t="s">
        <v>466</v>
      </c>
      <c r="C9" s="289">
        <v>1</v>
      </c>
      <c r="D9" s="247" t="s">
        <v>512</v>
      </c>
      <c r="E9" s="248"/>
      <c r="F9" s="249"/>
      <c r="G9" s="316" t="s">
        <v>516</v>
      </c>
      <c r="H9" s="315"/>
      <c r="I9" s="316"/>
      <c r="J9" s="326">
        <v>144.78</v>
      </c>
      <c r="K9" s="327">
        <v>0</v>
      </c>
      <c r="L9" s="328">
        <v>63.080000000000155</v>
      </c>
      <c r="M9" s="336">
        <f t="shared" ref="M9:M13" si="0">L9*J9</f>
        <v>9132.7224000000224</v>
      </c>
      <c r="N9" s="328"/>
      <c r="O9" s="703" t="s">
        <v>577</v>
      </c>
      <c r="P9" s="704"/>
      <c r="R9" s="444"/>
      <c r="S9" s="358"/>
    </row>
    <row r="10" spans="1:20" s="308" customFormat="1" ht="60" customHeight="1">
      <c r="A10" s="674"/>
      <c r="B10" s="708"/>
      <c r="C10" s="289">
        <v>2</v>
      </c>
      <c r="D10" s="247" t="s">
        <v>345</v>
      </c>
      <c r="E10" s="248"/>
      <c r="F10" s="249"/>
      <c r="G10" s="316" t="s">
        <v>401</v>
      </c>
      <c r="H10" s="315"/>
      <c r="I10" s="316"/>
      <c r="J10" s="326">
        <v>127.84000000000002</v>
      </c>
      <c r="K10" s="327">
        <v>2.264398002407154E-4</v>
      </c>
      <c r="L10" s="328">
        <v>55.970000000000326</v>
      </c>
      <c r="M10" s="336">
        <f t="shared" si="0"/>
        <v>7155.2048000000423</v>
      </c>
      <c r="N10" s="328"/>
      <c r="O10" s="703" t="s">
        <v>576</v>
      </c>
      <c r="P10" s="704"/>
      <c r="R10" s="444"/>
      <c r="S10" s="445"/>
      <c r="T10" s="353"/>
    </row>
    <row r="11" spans="1:20" s="308" customFormat="1" ht="60" customHeight="1">
      <c r="A11" s="674"/>
      <c r="B11" s="708"/>
      <c r="C11" s="289">
        <v>3</v>
      </c>
      <c r="D11" s="247" t="s">
        <v>472</v>
      </c>
      <c r="E11" s="248"/>
      <c r="F11" s="249"/>
      <c r="G11" s="316" t="s">
        <v>540</v>
      </c>
      <c r="H11" s="315"/>
      <c r="I11" s="316"/>
      <c r="J11" s="326">
        <v>160.49</v>
      </c>
      <c r="K11" s="327">
        <v>0</v>
      </c>
      <c r="L11" s="328">
        <v>35.700000000000045</v>
      </c>
      <c r="M11" s="336">
        <f t="shared" si="0"/>
        <v>5729.4930000000077</v>
      </c>
      <c r="N11" s="328"/>
      <c r="O11" s="712" t="s">
        <v>576</v>
      </c>
      <c r="P11" s="713"/>
      <c r="R11" s="444"/>
      <c r="S11" s="446"/>
    </row>
    <row r="12" spans="1:20" s="308" customFormat="1" ht="60" customHeight="1">
      <c r="A12" s="674"/>
      <c r="B12" s="708"/>
      <c r="C12" s="289">
        <v>4</v>
      </c>
      <c r="D12" s="247" t="s">
        <v>373</v>
      </c>
      <c r="E12" s="248"/>
      <c r="F12" s="249"/>
      <c r="G12" s="316" t="s">
        <v>372</v>
      </c>
      <c r="H12" s="315"/>
      <c r="I12" s="316"/>
      <c r="J12" s="326">
        <v>426.69</v>
      </c>
      <c r="K12" s="327">
        <v>9.3066542577943234E-4</v>
      </c>
      <c r="L12" s="328">
        <v>12.080000000000027</v>
      </c>
      <c r="M12" s="336">
        <f t="shared" si="0"/>
        <v>5154.4152000000113</v>
      </c>
      <c r="N12" s="328"/>
      <c r="O12" s="712" t="s">
        <v>642</v>
      </c>
      <c r="P12" s="713"/>
      <c r="R12" s="444"/>
      <c r="S12" s="445"/>
      <c r="T12" s="353"/>
    </row>
    <row r="13" spans="1:20" s="308" customFormat="1" ht="60" customHeight="1" thickBot="1">
      <c r="A13" s="674"/>
      <c r="B13" s="708"/>
      <c r="C13" s="289">
        <v>5</v>
      </c>
      <c r="D13" s="247" t="s">
        <v>373</v>
      </c>
      <c r="E13" s="255"/>
      <c r="F13" s="256"/>
      <c r="G13" s="373" t="s">
        <v>370</v>
      </c>
      <c r="H13" s="315"/>
      <c r="I13" s="316"/>
      <c r="J13" s="330">
        <v>152.75</v>
      </c>
      <c r="K13" s="258">
        <v>1.5749158851743146E-3</v>
      </c>
      <c r="L13" s="331">
        <v>32.290000000000184</v>
      </c>
      <c r="M13" s="336">
        <f t="shared" si="0"/>
        <v>4932.2975000000279</v>
      </c>
      <c r="N13" s="328"/>
      <c r="O13" s="712" t="s">
        <v>643</v>
      </c>
      <c r="P13" s="713"/>
      <c r="R13" s="447"/>
      <c r="S13" s="446"/>
      <c r="T13" s="299"/>
    </row>
    <row r="14" spans="1:20" ht="15.75" customHeight="1" thickTop="1" thickBot="1">
      <c r="A14" s="675"/>
      <c r="B14" s="709"/>
      <c r="C14" s="716"/>
      <c r="D14" s="717"/>
      <c r="E14" s="717"/>
      <c r="F14" s="717"/>
      <c r="G14" s="717"/>
      <c r="H14" s="717"/>
      <c r="I14" s="718"/>
      <c r="J14" s="366" t="s">
        <v>58</v>
      </c>
      <c r="K14" s="364">
        <f>M14/'生產管理報表 7-1 (週)'!$B$10</f>
        <v>0.19533091737514185</v>
      </c>
      <c r="L14" s="367" t="s">
        <v>59</v>
      </c>
      <c r="M14" s="368">
        <f>SUM(M9:M13)</f>
        <v>32104.132900000113</v>
      </c>
      <c r="N14" s="660"/>
      <c r="O14" s="661"/>
      <c r="P14" s="662"/>
      <c r="R14" s="357"/>
      <c r="S14" s="357"/>
    </row>
    <row r="15" spans="1:20" ht="15.75" customHeight="1" thickTop="1">
      <c r="M15" s="343"/>
      <c r="S15" s="358"/>
    </row>
    <row r="16" spans="1:20" ht="15.75" customHeight="1">
      <c r="A16" s="663" t="s">
        <v>193</v>
      </c>
      <c r="B16" s="664"/>
      <c r="C16" s="285" t="s">
        <v>47</v>
      </c>
      <c r="D16" s="691" t="s">
        <v>12</v>
      </c>
      <c r="E16" s="692"/>
      <c r="F16" s="693"/>
      <c r="G16" s="694" t="s">
        <v>53</v>
      </c>
      <c r="H16" s="695"/>
      <c r="I16" s="696"/>
      <c r="J16" s="421" t="s">
        <v>54</v>
      </c>
      <c r="K16" s="286" t="s">
        <v>55</v>
      </c>
      <c r="L16" s="286" t="s">
        <v>56</v>
      </c>
      <c r="M16" s="344" t="s">
        <v>11</v>
      </c>
      <c r="N16" s="287" t="s">
        <v>336</v>
      </c>
      <c r="O16" s="671" t="s">
        <v>51</v>
      </c>
      <c r="P16" s="672"/>
      <c r="S16" s="357"/>
      <c r="T16" s="353"/>
    </row>
    <row r="17" spans="1:20" s="308" customFormat="1" ht="60" customHeight="1">
      <c r="A17" s="673">
        <v>5</v>
      </c>
      <c r="B17" s="686" t="s">
        <v>218</v>
      </c>
      <c r="C17" s="289">
        <v>1</v>
      </c>
      <c r="D17" s="247" t="s">
        <v>345</v>
      </c>
      <c r="E17" s="248"/>
      <c r="F17" s="249"/>
      <c r="G17" s="316" t="s">
        <v>340</v>
      </c>
      <c r="H17" s="315"/>
      <c r="I17" s="316"/>
      <c r="J17" s="326">
        <v>147.43000000000004</v>
      </c>
      <c r="K17" s="327">
        <v>0</v>
      </c>
      <c r="L17" s="328">
        <v>98.140000000000327</v>
      </c>
      <c r="M17" s="336">
        <f>L17*J17</f>
        <v>14468.780200000052</v>
      </c>
      <c r="N17" s="328"/>
      <c r="O17" s="752" t="s">
        <v>644</v>
      </c>
      <c r="P17" s="753"/>
      <c r="S17" s="446"/>
      <c r="T17" s="353"/>
    </row>
    <row r="18" spans="1:20" s="308" customFormat="1" ht="25" customHeight="1">
      <c r="A18" s="674"/>
      <c r="B18" s="687"/>
      <c r="C18" s="289">
        <v>2</v>
      </c>
      <c r="D18" s="247"/>
      <c r="E18" s="248"/>
      <c r="F18" s="249"/>
      <c r="G18" s="373"/>
      <c r="H18" s="315"/>
      <c r="I18" s="316"/>
      <c r="J18" s="326"/>
      <c r="K18" s="327"/>
      <c r="L18" s="328"/>
      <c r="M18" s="336">
        <f t="shared" ref="M18:M21" si="1">L18*J18</f>
        <v>0</v>
      </c>
      <c r="N18" s="328"/>
      <c r="O18" s="699"/>
      <c r="P18" s="700"/>
      <c r="S18" s="357"/>
      <c r="T18" s="354"/>
    </row>
    <row r="19" spans="1:20" ht="25" customHeight="1">
      <c r="A19" s="674"/>
      <c r="B19" s="687"/>
      <c r="C19" s="289">
        <v>3</v>
      </c>
      <c r="D19" s="247"/>
      <c r="E19" s="248"/>
      <c r="F19" s="249"/>
      <c r="G19" s="373"/>
      <c r="H19" s="315"/>
      <c r="I19" s="316"/>
      <c r="J19" s="326"/>
      <c r="K19" s="327"/>
      <c r="L19" s="328"/>
      <c r="M19" s="336">
        <f t="shared" si="1"/>
        <v>0</v>
      </c>
      <c r="N19" s="298"/>
      <c r="O19" s="681"/>
      <c r="P19" s="682"/>
    </row>
    <row r="20" spans="1:20" ht="25" customHeight="1">
      <c r="A20" s="674"/>
      <c r="B20" s="687"/>
      <c r="C20" s="289">
        <v>4</v>
      </c>
      <c r="D20" s="290"/>
      <c r="E20" s="291"/>
      <c r="F20" s="292"/>
      <c r="G20" s="373"/>
      <c r="H20" s="315"/>
      <c r="I20" s="316"/>
      <c r="J20" s="296"/>
      <c r="K20" s="297"/>
      <c r="L20" s="298"/>
      <c r="M20" s="336">
        <f t="shared" si="1"/>
        <v>0</v>
      </c>
      <c r="N20" s="298"/>
      <c r="O20" s="309"/>
      <c r="P20" s="310"/>
    </row>
    <row r="21" spans="1:20" ht="25" customHeight="1" thickBot="1">
      <c r="A21" s="674"/>
      <c r="B21" s="687"/>
      <c r="C21" s="289">
        <v>5</v>
      </c>
      <c r="D21" s="300"/>
      <c r="E21" s="301"/>
      <c r="F21" s="302"/>
      <c r="G21" s="373"/>
      <c r="H21" s="315"/>
      <c r="I21" s="316"/>
      <c r="J21" s="303"/>
      <c r="K21" s="258"/>
      <c r="L21" s="304"/>
      <c r="M21" s="336">
        <f t="shared" si="1"/>
        <v>0</v>
      </c>
      <c r="N21" s="298"/>
      <c r="O21" s="311"/>
      <c r="P21" s="312"/>
      <c r="R21" s="361"/>
    </row>
    <row r="22" spans="1:20" ht="15.75" customHeight="1" thickTop="1" thickBot="1">
      <c r="A22" s="675"/>
      <c r="B22" s="688"/>
      <c r="C22" s="683"/>
      <c r="D22" s="684"/>
      <c r="E22" s="684"/>
      <c r="F22" s="684"/>
      <c r="G22" s="684"/>
      <c r="H22" s="684"/>
      <c r="I22" s="685"/>
      <c r="J22" s="366" t="s">
        <v>58</v>
      </c>
      <c r="K22" s="364">
        <f>M22/'生產管理報表 7-1 (週)'!$B$10</f>
        <v>8.8032282901659945E-2</v>
      </c>
      <c r="L22" s="367" t="s">
        <v>59</v>
      </c>
      <c r="M22" s="368">
        <f>SUM(M17:M21)</f>
        <v>14468.780200000052</v>
      </c>
      <c r="N22" s="660"/>
      <c r="O22" s="661"/>
      <c r="P22" s="662"/>
      <c r="R22" s="357"/>
    </row>
    <row r="23" spans="1:20" ht="15.75" customHeight="1" thickTop="1">
      <c r="K23" s="299" t="s">
        <v>510</v>
      </c>
      <c r="M23" s="343"/>
      <c r="R23" s="357"/>
    </row>
    <row r="24" spans="1:20" ht="25" customHeight="1">
      <c r="A24" s="663" t="s">
        <v>193</v>
      </c>
      <c r="B24" s="664"/>
      <c r="C24" s="313" t="s">
        <v>47</v>
      </c>
      <c r="D24" s="665" t="s">
        <v>12</v>
      </c>
      <c r="E24" s="666"/>
      <c r="F24" s="667"/>
      <c r="G24" s="668" t="s">
        <v>53</v>
      </c>
      <c r="H24" s="669"/>
      <c r="I24" s="670"/>
      <c r="J24" s="314" t="s">
        <v>54</v>
      </c>
      <c r="K24" s="286" t="s">
        <v>55</v>
      </c>
      <c r="L24" s="286" t="s">
        <v>56</v>
      </c>
      <c r="M24" s="344" t="s">
        <v>11</v>
      </c>
      <c r="N24" s="287" t="s">
        <v>336</v>
      </c>
      <c r="O24" s="671" t="s">
        <v>51</v>
      </c>
      <c r="P24" s="672"/>
      <c r="R24" s="357"/>
    </row>
    <row r="25" spans="1:20" ht="55" customHeight="1">
      <c r="A25" s="673">
        <v>6</v>
      </c>
      <c r="B25" s="686" t="s">
        <v>219</v>
      </c>
      <c r="C25" s="289">
        <v>1</v>
      </c>
      <c r="D25" s="362" t="s">
        <v>347</v>
      </c>
      <c r="E25" s="291"/>
      <c r="F25" s="292"/>
      <c r="G25" s="316" t="s">
        <v>524</v>
      </c>
      <c r="H25" s="315"/>
      <c r="I25" s="316"/>
      <c r="J25" s="326">
        <v>605.77999999999986</v>
      </c>
      <c r="K25" s="327">
        <v>5.5499028766996565E-4</v>
      </c>
      <c r="L25" s="328">
        <v>8.9599999999996083</v>
      </c>
      <c r="M25" s="336">
        <f t="shared" ref="M25:M29" si="2">L25*J25</f>
        <v>5427.7887999997611</v>
      </c>
      <c r="N25" s="298"/>
      <c r="O25" s="714" t="s">
        <v>537</v>
      </c>
      <c r="P25" s="715"/>
      <c r="R25" s="354"/>
      <c r="S25" s="354"/>
    </row>
    <row r="26" spans="1:20" ht="55" customHeight="1">
      <c r="A26" s="674"/>
      <c r="B26" s="687"/>
      <c r="C26" s="289">
        <v>2</v>
      </c>
      <c r="D26" s="247" t="s">
        <v>512</v>
      </c>
      <c r="E26" s="291"/>
      <c r="F26" s="292"/>
      <c r="G26" s="316" t="s">
        <v>515</v>
      </c>
      <c r="H26" s="315"/>
      <c r="I26" s="316"/>
      <c r="J26" s="326">
        <v>327.16000000000003</v>
      </c>
      <c r="K26" s="327">
        <v>1.7909204498125783E-3</v>
      </c>
      <c r="L26" s="328">
        <v>14.630000000000067</v>
      </c>
      <c r="M26" s="336">
        <f t="shared" si="2"/>
        <v>4786.350800000022</v>
      </c>
      <c r="N26" s="298"/>
      <c r="O26" s="714" t="s">
        <v>581</v>
      </c>
      <c r="P26" s="715"/>
      <c r="R26" s="354"/>
      <c r="S26" s="354"/>
    </row>
    <row r="27" spans="1:20" ht="55" customHeight="1">
      <c r="A27" s="674"/>
      <c r="B27" s="687"/>
      <c r="C27" s="289">
        <v>3</v>
      </c>
      <c r="D27" s="247" t="s">
        <v>485</v>
      </c>
      <c r="E27" s="291"/>
      <c r="F27" s="292"/>
      <c r="G27" s="316" t="s">
        <v>486</v>
      </c>
      <c r="H27" s="315"/>
      <c r="I27" s="316"/>
      <c r="J27" s="326">
        <v>68.42</v>
      </c>
      <c r="K27" s="327">
        <v>2.2281138694732333E-3</v>
      </c>
      <c r="L27" s="328">
        <v>63.980000000000103</v>
      </c>
      <c r="M27" s="336">
        <f t="shared" si="2"/>
        <v>4377.5116000000071</v>
      </c>
      <c r="N27" s="298"/>
      <c r="O27" s="714" t="s">
        <v>536</v>
      </c>
      <c r="P27" s="715"/>
      <c r="R27" s="354"/>
    </row>
    <row r="28" spans="1:20" ht="55" customHeight="1">
      <c r="A28" s="674"/>
      <c r="B28" s="687"/>
      <c r="C28" s="289">
        <v>4</v>
      </c>
      <c r="D28" s="247" t="s">
        <v>345</v>
      </c>
      <c r="E28" s="291"/>
      <c r="F28" s="292"/>
      <c r="G28" s="316" t="s">
        <v>513</v>
      </c>
      <c r="H28" s="315"/>
      <c r="I28" s="316"/>
      <c r="J28" s="326">
        <v>3.2199999999999998</v>
      </c>
      <c r="K28" s="327">
        <v>0</v>
      </c>
      <c r="L28" s="328">
        <v>832</v>
      </c>
      <c r="M28" s="336">
        <f t="shared" si="2"/>
        <v>2679.04</v>
      </c>
      <c r="N28" s="298"/>
      <c r="O28" s="714" t="s">
        <v>542</v>
      </c>
      <c r="P28" s="715"/>
      <c r="R28" s="354"/>
      <c r="S28" s="354"/>
    </row>
    <row r="29" spans="1:20" ht="55" customHeight="1" thickBot="1">
      <c r="A29" s="674"/>
      <c r="B29" s="687"/>
      <c r="C29" s="289">
        <v>5</v>
      </c>
      <c r="D29" s="254" t="s">
        <v>550</v>
      </c>
      <c r="E29" s="301"/>
      <c r="F29" s="302"/>
      <c r="G29" s="316" t="s">
        <v>552</v>
      </c>
      <c r="H29" s="315"/>
      <c r="I29" s="316"/>
      <c r="J29" s="330">
        <v>65.12</v>
      </c>
      <c r="K29" s="258">
        <v>5.835652834008098E-3</v>
      </c>
      <c r="L29" s="331">
        <v>34.950000000000152</v>
      </c>
      <c r="M29" s="336">
        <f t="shared" si="2"/>
        <v>2275.94400000001</v>
      </c>
      <c r="N29" s="298"/>
      <c r="O29" s="714" t="s">
        <v>536</v>
      </c>
      <c r="P29" s="715"/>
    </row>
    <row r="30" spans="1:20" ht="15.75" customHeight="1" thickTop="1" thickBot="1">
      <c r="A30" s="675"/>
      <c r="B30" s="688"/>
      <c r="C30" s="683"/>
      <c r="D30" s="684"/>
      <c r="E30" s="684"/>
      <c r="F30" s="684"/>
      <c r="G30" s="684"/>
      <c r="H30" s="684"/>
      <c r="I30" s="685"/>
      <c r="J30" s="366" t="s">
        <v>58</v>
      </c>
      <c r="K30" s="364">
        <f>M30/'生產管理報表 7-1 (週)'!$B$10</f>
        <v>0.11892743520299802</v>
      </c>
      <c r="L30" s="367" t="s">
        <v>59</v>
      </c>
      <c r="M30" s="368">
        <f>SUM(M25:M29)</f>
        <v>19546.635199999801</v>
      </c>
      <c r="N30" s="660"/>
      <c r="O30" s="661"/>
      <c r="P30" s="662"/>
    </row>
    <row r="31" spans="1:20" ht="15.75" customHeight="1" thickTop="1"/>
  </sheetData>
  <mergeCells count="54"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R19" sqref="R19"/>
    </sheetView>
  </sheetViews>
  <sheetFormatPr defaultColWidth="12.54296875" defaultRowHeight="15.75" customHeight="1"/>
  <cols>
    <col min="1" max="1" width="5.453125" style="99" customWidth="1"/>
    <col min="2" max="2" width="7.81640625" style="135" customWidth="1"/>
    <col min="3" max="3" width="4" style="132" customWidth="1"/>
    <col min="4" max="17" width="8.54296875" style="99" customWidth="1"/>
    <col min="18" max="16384" width="12.54296875" style="99"/>
  </cols>
  <sheetData>
    <row r="1" spans="1:17" ht="15.75" customHeight="1">
      <c r="A1" s="463" t="s">
        <v>376</v>
      </c>
      <c r="B1" s="463"/>
      <c r="C1" s="463"/>
      <c r="D1" s="463"/>
      <c r="E1" s="463"/>
      <c r="F1" s="463"/>
      <c r="G1" s="463"/>
      <c r="H1" s="463"/>
      <c r="I1" s="463"/>
      <c r="J1" s="463"/>
      <c r="K1" s="463"/>
      <c r="L1" s="463"/>
      <c r="M1" s="463"/>
      <c r="N1" s="463"/>
      <c r="O1" s="463"/>
      <c r="P1" s="463"/>
      <c r="Q1" s="463"/>
    </row>
    <row r="2" spans="1:17" s="100" customFormat="1" ht="15.75" customHeight="1">
      <c r="A2" s="463"/>
      <c r="B2" s="463"/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</row>
    <row r="3" spans="1:17" ht="15.75" customHeight="1">
      <c r="A3" s="607" t="s">
        <v>397</v>
      </c>
      <c r="B3" s="607"/>
      <c r="C3" s="607"/>
      <c r="D3" s="607"/>
      <c r="E3" s="607"/>
      <c r="F3" s="607"/>
      <c r="G3" s="607"/>
      <c r="H3" s="607"/>
      <c r="I3" s="607"/>
      <c r="J3" s="607"/>
      <c r="K3" s="607"/>
      <c r="L3" s="607"/>
      <c r="M3" s="607"/>
      <c r="N3" s="607"/>
      <c r="O3" s="607"/>
      <c r="P3" s="607"/>
      <c r="Q3" s="607"/>
    </row>
    <row r="4" spans="1:17" s="100" customFormat="1" ht="15.75" customHeight="1">
      <c r="A4" s="797"/>
      <c r="B4" s="797"/>
      <c r="C4" s="797"/>
      <c r="D4" s="797"/>
      <c r="E4" s="797"/>
      <c r="F4" s="797"/>
      <c r="G4" s="797"/>
      <c r="H4" s="797"/>
      <c r="I4" s="797"/>
      <c r="J4" s="797"/>
      <c r="K4" s="797"/>
      <c r="L4" s="797"/>
      <c r="M4" s="797"/>
      <c r="N4" s="797"/>
      <c r="O4" s="797"/>
      <c r="P4" s="797"/>
      <c r="Q4" s="797"/>
    </row>
    <row r="5" spans="1:17" ht="15.75" customHeight="1">
      <c r="A5" s="496" t="s">
        <v>193</v>
      </c>
      <c r="B5" s="796">
        <v>1</v>
      </c>
      <c r="C5" s="796"/>
      <c r="D5" s="796">
        <v>2</v>
      </c>
      <c r="E5" s="796"/>
      <c r="F5" s="796">
        <v>3</v>
      </c>
      <c r="G5" s="796"/>
      <c r="H5" s="796">
        <v>4</v>
      </c>
      <c r="I5" s="796"/>
      <c r="J5" s="796">
        <v>5</v>
      </c>
      <c r="K5" s="796"/>
      <c r="L5" s="796">
        <v>6</v>
      </c>
      <c r="M5" s="796"/>
      <c r="N5" s="796">
        <v>7</v>
      </c>
      <c r="O5" s="796"/>
      <c r="P5" s="798">
        <v>8</v>
      </c>
      <c r="Q5" s="798"/>
    </row>
    <row r="6" spans="1:17" ht="15.75" customHeight="1">
      <c r="A6" s="496"/>
      <c r="B6" s="496" t="s">
        <v>254</v>
      </c>
      <c r="C6" s="496"/>
      <c r="D6" s="496" t="s">
        <v>343</v>
      </c>
      <c r="E6" s="496"/>
      <c r="F6" s="496" t="s">
        <v>168</v>
      </c>
      <c r="G6" s="496"/>
      <c r="H6" s="496" t="s">
        <v>466</v>
      </c>
      <c r="I6" s="496"/>
      <c r="J6" s="496" t="s">
        <v>191</v>
      </c>
      <c r="K6" s="496"/>
      <c r="L6" s="496" t="s">
        <v>169</v>
      </c>
      <c r="M6" s="496"/>
      <c r="N6" s="496" t="s">
        <v>192</v>
      </c>
      <c r="O6" s="496"/>
      <c r="P6" s="801" t="s">
        <v>221</v>
      </c>
      <c r="Q6" s="801"/>
    </row>
    <row r="8" spans="1:17" s="106" customFormat="1" ht="15.75" customHeight="1">
      <c r="A8" s="133" t="s">
        <v>195</v>
      </c>
      <c r="B8" s="133" t="s">
        <v>18</v>
      </c>
      <c r="C8" s="795" t="s">
        <v>12</v>
      </c>
      <c r="D8" s="795"/>
      <c r="E8" s="795"/>
      <c r="F8" s="795" t="s">
        <v>53</v>
      </c>
      <c r="G8" s="795"/>
      <c r="H8" s="795"/>
      <c r="I8" s="133" t="s">
        <v>54</v>
      </c>
      <c r="J8" s="136" t="s">
        <v>19</v>
      </c>
      <c r="K8" s="133" t="s">
        <v>57</v>
      </c>
      <c r="L8" s="133" t="s">
        <v>2</v>
      </c>
      <c r="M8" s="795" t="s">
        <v>50</v>
      </c>
      <c r="N8" s="795"/>
      <c r="O8" s="795"/>
      <c r="P8" s="795"/>
      <c r="Q8" s="795"/>
    </row>
    <row r="9" spans="1:17" ht="15.75" customHeight="1">
      <c r="A9" s="795" t="s">
        <v>194</v>
      </c>
      <c r="B9" s="131">
        <v>1</v>
      </c>
      <c r="C9" s="799"/>
      <c r="D9" s="800"/>
      <c r="E9" s="800"/>
      <c r="F9" s="799"/>
      <c r="G9" s="800"/>
      <c r="H9" s="800"/>
      <c r="I9" s="108"/>
      <c r="J9" s="119"/>
      <c r="K9" s="119"/>
      <c r="L9" s="137">
        <f t="shared" ref="L9:L13" si="0">K9-J9</f>
        <v>0</v>
      </c>
      <c r="M9" s="799"/>
      <c r="N9" s="799"/>
      <c r="O9" s="799"/>
      <c r="P9" s="799"/>
      <c r="Q9" s="799"/>
    </row>
    <row r="10" spans="1:17" ht="15.75" customHeight="1">
      <c r="A10" s="795"/>
      <c r="B10" s="131">
        <v>2</v>
      </c>
      <c r="C10" s="799"/>
      <c r="D10" s="800"/>
      <c r="E10" s="800"/>
      <c r="F10" s="799"/>
      <c r="G10" s="800"/>
      <c r="H10" s="800"/>
      <c r="I10" s="108"/>
      <c r="J10" s="119"/>
      <c r="K10" s="119"/>
      <c r="L10" s="137">
        <f t="shared" si="0"/>
        <v>0</v>
      </c>
      <c r="M10" s="799"/>
      <c r="N10" s="799"/>
      <c r="O10" s="799"/>
      <c r="P10" s="799"/>
      <c r="Q10" s="799"/>
    </row>
    <row r="11" spans="1:17" ht="15.75" customHeight="1">
      <c r="A11" s="795"/>
      <c r="B11" s="131">
        <v>3</v>
      </c>
      <c r="C11" s="799"/>
      <c r="D11" s="800"/>
      <c r="E11" s="800"/>
      <c r="F11" s="799"/>
      <c r="G11" s="800"/>
      <c r="H11" s="800"/>
      <c r="I11" s="108"/>
      <c r="J11" s="119"/>
      <c r="K11" s="119"/>
      <c r="L11" s="137">
        <f t="shared" si="0"/>
        <v>0</v>
      </c>
      <c r="M11" s="799"/>
      <c r="N11" s="799"/>
      <c r="O11" s="799"/>
      <c r="P11" s="799"/>
      <c r="Q11" s="799"/>
    </row>
    <row r="12" spans="1:17" ht="15.75" customHeight="1">
      <c r="A12" s="795"/>
      <c r="B12" s="131">
        <v>4</v>
      </c>
      <c r="C12" s="799"/>
      <c r="D12" s="800"/>
      <c r="E12" s="800"/>
      <c r="F12" s="799"/>
      <c r="G12" s="800"/>
      <c r="H12" s="800"/>
      <c r="I12" s="108"/>
      <c r="J12" s="119"/>
      <c r="K12" s="119"/>
      <c r="L12" s="137">
        <f t="shared" si="0"/>
        <v>0</v>
      </c>
      <c r="M12" s="799"/>
      <c r="N12" s="799"/>
      <c r="O12" s="799"/>
      <c r="P12" s="799"/>
      <c r="Q12" s="799"/>
    </row>
    <row r="13" spans="1:17" ht="15.75" customHeight="1">
      <c r="A13" s="795"/>
      <c r="B13" s="131">
        <v>5</v>
      </c>
      <c r="C13" s="799"/>
      <c r="D13" s="800"/>
      <c r="E13" s="800"/>
      <c r="F13" s="799"/>
      <c r="G13" s="800"/>
      <c r="H13" s="800"/>
      <c r="I13" s="108"/>
      <c r="J13" s="119"/>
      <c r="K13" s="119"/>
      <c r="L13" s="137">
        <f t="shared" si="0"/>
        <v>0</v>
      </c>
      <c r="M13" s="799"/>
      <c r="N13" s="799"/>
      <c r="O13" s="799"/>
      <c r="P13" s="799"/>
      <c r="Q13" s="799"/>
    </row>
    <row r="14" spans="1:17" ht="15.75" customHeight="1">
      <c r="A14" s="802"/>
      <c r="B14" s="802"/>
      <c r="C14" s="802"/>
      <c r="D14" s="802"/>
      <c r="E14" s="802"/>
      <c r="F14" s="802"/>
      <c r="G14" s="802"/>
      <c r="H14" s="802"/>
      <c r="I14" s="802"/>
      <c r="J14" s="802"/>
      <c r="K14" s="802"/>
      <c r="L14" s="802"/>
      <c r="M14" s="802"/>
      <c r="N14" s="802"/>
      <c r="O14" s="803"/>
    </row>
    <row r="15" spans="1:17" s="106" customFormat="1" ht="15.75" customHeight="1">
      <c r="A15" s="133" t="s">
        <v>195</v>
      </c>
      <c r="B15" s="133" t="s">
        <v>18</v>
      </c>
      <c r="C15" s="795" t="s">
        <v>12</v>
      </c>
      <c r="D15" s="795"/>
      <c r="E15" s="795"/>
      <c r="F15" s="795" t="s">
        <v>53</v>
      </c>
      <c r="G15" s="795"/>
      <c r="H15" s="795"/>
      <c r="I15" s="133" t="s">
        <v>54</v>
      </c>
      <c r="J15" s="136" t="s">
        <v>19</v>
      </c>
      <c r="K15" s="133" t="s">
        <v>57</v>
      </c>
      <c r="L15" s="133" t="s">
        <v>2</v>
      </c>
      <c r="M15" s="795" t="s">
        <v>50</v>
      </c>
      <c r="N15" s="795"/>
      <c r="O15" s="795"/>
      <c r="P15" s="795"/>
      <c r="Q15" s="795"/>
    </row>
    <row r="16" spans="1:17" ht="15.75" customHeight="1">
      <c r="A16" s="795" t="s">
        <v>196</v>
      </c>
      <c r="B16" s="131">
        <v>1</v>
      </c>
      <c r="C16" s="799"/>
      <c r="D16" s="800"/>
      <c r="E16" s="800"/>
      <c r="F16" s="799"/>
      <c r="G16" s="800"/>
      <c r="H16" s="800"/>
      <c r="I16" s="108"/>
      <c r="J16" s="119"/>
      <c r="K16" s="119"/>
      <c r="L16" s="137">
        <f t="shared" ref="L16:L19" si="1">K16-J16</f>
        <v>0</v>
      </c>
      <c r="M16" s="799"/>
      <c r="N16" s="799"/>
      <c r="O16" s="799"/>
      <c r="P16" s="799"/>
      <c r="Q16" s="799"/>
    </row>
    <row r="17" spans="1:17" ht="15.75" customHeight="1">
      <c r="A17" s="795"/>
      <c r="B17" s="131">
        <v>2</v>
      </c>
      <c r="C17" s="799"/>
      <c r="D17" s="800"/>
      <c r="E17" s="800"/>
      <c r="F17" s="799"/>
      <c r="G17" s="800"/>
      <c r="H17" s="800"/>
      <c r="I17" s="108"/>
      <c r="J17" s="119"/>
      <c r="K17" s="119"/>
      <c r="L17" s="137">
        <f t="shared" si="1"/>
        <v>0</v>
      </c>
      <c r="M17" s="799"/>
      <c r="N17" s="799"/>
      <c r="O17" s="799"/>
      <c r="P17" s="799"/>
      <c r="Q17" s="799"/>
    </row>
    <row r="18" spans="1:17" ht="15.75" customHeight="1">
      <c r="A18" s="795"/>
      <c r="B18" s="131">
        <v>3</v>
      </c>
      <c r="C18" s="799"/>
      <c r="D18" s="800"/>
      <c r="E18" s="800"/>
      <c r="F18" s="799"/>
      <c r="G18" s="800"/>
      <c r="H18" s="800"/>
      <c r="I18" s="108"/>
      <c r="J18" s="119"/>
      <c r="K18" s="119"/>
      <c r="L18" s="137">
        <f t="shared" si="1"/>
        <v>0</v>
      </c>
      <c r="M18" s="799"/>
      <c r="N18" s="799"/>
      <c r="O18" s="799"/>
      <c r="P18" s="799"/>
      <c r="Q18" s="799"/>
    </row>
    <row r="19" spans="1:17" ht="15.75" customHeight="1">
      <c r="A19" s="795"/>
      <c r="B19" s="131">
        <v>4</v>
      </c>
      <c r="C19" s="799"/>
      <c r="D19" s="800"/>
      <c r="E19" s="800"/>
      <c r="F19" s="799"/>
      <c r="G19" s="800"/>
      <c r="H19" s="800"/>
      <c r="I19" s="108"/>
      <c r="J19" s="119"/>
      <c r="K19" s="119"/>
      <c r="L19" s="137">
        <f t="shared" si="1"/>
        <v>0</v>
      </c>
      <c r="M19" s="799"/>
      <c r="N19" s="799"/>
      <c r="O19" s="799"/>
      <c r="P19" s="799"/>
      <c r="Q19" s="799"/>
    </row>
    <row r="20" spans="1:17" ht="15.75" customHeight="1">
      <c r="A20" s="795"/>
      <c r="B20" s="131">
        <v>5</v>
      </c>
      <c r="C20" s="799"/>
      <c r="D20" s="800"/>
      <c r="E20" s="800"/>
      <c r="F20" s="799"/>
      <c r="G20" s="800"/>
      <c r="H20" s="800"/>
      <c r="I20" s="108"/>
      <c r="J20" s="119"/>
      <c r="K20" s="119"/>
      <c r="L20" s="137">
        <f>K20-J20</f>
        <v>0</v>
      </c>
      <c r="M20" s="799"/>
      <c r="N20" s="799"/>
      <c r="O20" s="799"/>
      <c r="P20" s="799"/>
      <c r="Q20" s="799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L47"/>
  <sheetViews>
    <sheetView zoomScale="70" zoomScaleNormal="70" workbookViewId="0">
      <selection activeCell="B47" sqref="B47"/>
    </sheetView>
  </sheetViews>
  <sheetFormatPr defaultColWidth="9.1796875" defaultRowHeight="15.5"/>
  <cols>
    <col min="1" max="1" width="20.26953125" style="234" customWidth="1"/>
    <col min="2" max="2" width="22.54296875" style="234" bestFit="1" customWidth="1"/>
    <col min="3" max="4" width="15.7265625" style="234" customWidth="1"/>
    <col min="5" max="5" width="18.81640625" style="234" bestFit="1" customWidth="1"/>
    <col min="6" max="6" width="15.7265625" style="234" customWidth="1"/>
    <col min="7" max="10" width="20.26953125" style="234" customWidth="1"/>
    <col min="11" max="11" width="18.81640625" style="352" bestFit="1" customWidth="1"/>
    <col min="12" max="12" width="17.54296875" style="352" customWidth="1"/>
    <col min="13" max="13" width="18.81640625" style="234" bestFit="1" customWidth="1"/>
    <col min="14" max="14" width="15.453125" style="234" customWidth="1"/>
    <col min="15" max="15" width="9.1796875" style="234"/>
    <col min="16" max="17" width="12.453125" style="234" bestFit="1" customWidth="1"/>
    <col min="18" max="19" width="9.1796875" style="234"/>
    <col min="20" max="20" width="13.81640625" style="234" bestFit="1" customWidth="1"/>
    <col min="21" max="21" width="9.1796875" style="234"/>
    <col min="22" max="23" width="12.453125" style="234" bestFit="1" customWidth="1"/>
    <col min="24" max="25" width="9.1796875" style="234"/>
    <col min="26" max="26" width="13.81640625" style="234" bestFit="1" customWidth="1"/>
    <col min="27" max="28" width="9.1796875" style="234"/>
    <col min="29" max="29" width="12.453125" style="234" bestFit="1" customWidth="1"/>
    <col min="30" max="31" width="9.1796875" style="234"/>
    <col min="32" max="32" width="13.81640625" style="234" bestFit="1" customWidth="1"/>
    <col min="33" max="34" width="9.1796875" style="234"/>
    <col min="35" max="35" width="12.453125" style="234" bestFit="1" customWidth="1"/>
    <col min="36" max="37" width="9.1796875" style="234"/>
    <col min="38" max="38" width="13.81640625" style="234" bestFit="1" customWidth="1"/>
    <col min="39" max="16384" width="9.1796875" style="234"/>
  </cols>
  <sheetData>
    <row r="1" spans="1:38" ht="25.5">
      <c r="A1" s="806" t="s">
        <v>443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</row>
    <row r="2" spans="1:38" ht="16.5" customHeight="1">
      <c r="A2" s="809" t="s">
        <v>444</v>
      </c>
      <c r="B2" s="809" t="s">
        <v>136</v>
      </c>
      <c r="C2" s="809" t="s">
        <v>445</v>
      </c>
      <c r="D2" s="809" t="s">
        <v>446</v>
      </c>
      <c r="E2" s="809" t="s">
        <v>439</v>
      </c>
      <c r="F2" s="809" t="s">
        <v>440</v>
      </c>
      <c r="G2" s="809" t="s">
        <v>447</v>
      </c>
      <c r="H2" s="809"/>
      <c r="I2" s="809" t="s">
        <v>448</v>
      </c>
      <c r="J2" s="809"/>
      <c r="K2" s="805" t="s">
        <v>459</v>
      </c>
      <c r="L2" s="805"/>
      <c r="M2" s="808" t="s">
        <v>441</v>
      </c>
      <c r="N2" s="808" t="s">
        <v>442</v>
      </c>
    </row>
    <row r="3" spans="1:38" ht="37.5" customHeight="1">
      <c r="A3" s="809"/>
      <c r="B3" s="809"/>
      <c r="C3" s="809"/>
      <c r="D3" s="809"/>
      <c r="E3" s="809"/>
      <c r="F3" s="809"/>
      <c r="G3" s="235" t="s">
        <v>449</v>
      </c>
      <c r="H3" s="235" t="s">
        <v>450</v>
      </c>
      <c r="I3" s="235" t="s">
        <v>449</v>
      </c>
      <c r="J3" s="235" t="s">
        <v>450</v>
      </c>
      <c r="K3" s="349" t="s">
        <v>460</v>
      </c>
      <c r="L3" s="349" t="s">
        <v>461</v>
      </c>
      <c r="M3" s="808"/>
      <c r="N3" s="808"/>
      <c r="P3" s="430" t="s">
        <v>519</v>
      </c>
      <c r="Q3" s="369">
        <v>353129.03079999995</v>
      </c>
      <c r="S3" s="431" t="s">
        <v>520</v>
      </c>
      <c r="T3" s="369">
        <v>819267.9188799999</v>
      </c>
      <c r="V3" s="451" t="s">
        <v>602</v>
      </c>
      <c r="W3" s="369">
        <f>C47</f>
        <v>91732.971639999974</v>
      </c>
      <c r="Y3" s="431" t="s">
        <v>603</v>
      </c>
      <c r="Z3" s="369">
        <f>E47</f>
        <v>226815.14685999989</v>
      </c>
      <c r="AB3" s="416"/>
      <c r="AC3" s="369"/>
      <c r="AE3" s="416"/>
      <c r="AF3" s="369"/>
      <c r="AH3" s="416"/>
      <c r="AI3" s="369"/>
      <c r="AK3" s="416"/>
      <c r="AL3" s="369"/>
    </row>
    <row r="4" spans="1:38" ht="18">
      <c r="A4" s="237">
        <v>46077</v>
      </c>
      <c r="B4" s="371">
        <v>5238957.08</v>
      </c>
      <c r="C4" s="372">
        <v>12096.626799999998</v>
      </c>
      <c r="D4" s="317">
        <f t="shared" ref="D4:D17" si="0">C4/B4</f>
        <v>2.3089761216367891E-3</v>
      </c>
      <c r="E4" s="372">
        <v>26641.204400000006</v>
      </c>
      <c r="F4" s="233">
        <f t="shared" ref="F4:F45" si="1">E4/B4</f>
        <v>5.0852114253243713E-3</v>
      </c>
      <c r="G4" s="371">
        <v>2109.5826999999999</v>
      </c>
      <c r="H4" s="233">
        <f t="shared" ref="H4:H45" si="2">G4/C4</f>
        <v>0.17439429477976456</v>
      </c>
      <c r="I4" s="236">
        <v>9793.2510999999922</v>
      </c>
      <c r="J4" s="233">
        <f t="shared" ref="J4:J45" si="3">I4/E4</f>
        <v>0.36759791160192407</v>
      </c>
      <c r="K4" s="350">
        <v>1030.9449</v>
      </c>
      <c r="L4" s="351">
        <f t="shared" ref="L4:L45" si="4">K4/C4</f>
        <v>8.522581683680612E-2</v>
      </c>
      <c r="M4" s="804">
        <f>SUM(C4:C10)</f>
        <v>72103.864479999989</v>
      </c>
      <c r="N4" s="804">
        <f>SUM(E4:E10)</f>
        <v>164357.66202000002</v>
      </c>
    </row>
    <row r="5" spans="1:38" ht="18">
      <c r="A5" s="238">
        <f t="shared" ref="A5:A10" si="5">A4+1</f>
        <v>46078</v>
      </c>
      <c r="B5" s="371">
        <v>4692647.5</v>
      </c>
      <c r="C5" s="372">
        <v>10818.945299999999</v>
      </c>
      <c r="D5" s="317">
        <f t="shared" si="0"/>
        <v>2.3055099067210991E-3</v>
      </c>
      <c r="E5" s="372">
        <v>23743.868000000009</v>
      </c>
      <c r="F5" s="233">
        <f t="shared" si="1"/>
        <v>5.0598021692445493E-3</v>
      </c>
      <c r="G5" s="371">
        <v>1769.1214</v>
      </c>
      <c r="H5" s="233">
        <f t="shared" si="2"/>
        <v>0.16352068995117297</v>
      </c>
      <c r="I5" s="236">
        <v>10144.873699999998</v>
      </c>
      <c r="J5" s="233">
        <f t="shared" si="3"/>
        <v>0.42726289162321801</v>
      </c>
      <c r="K5" s="350">
        <v>1102.8848999999998</v>
      </c>
      <c r="L5" s="351">
        <f t="shared" si="4"/>
        <v>0.10194014937851657</v>
      </c>
      <c r="M5" s="804"/>
      <c r="N5" s="804"/>
    </row>
    <row r="6" spans="1:38" s="352" customFormat="1" ht="18">
      <c r="A6" s="237">
        <f t="shared" si="5"/>
        <v>46079</v>
      </c>
      <c r="B6" s="371">
        <v>3909306.83</v>
      </c>
      <c r="C6" s="372">
        <v>8990.5549999999967</v>
      </c>
      <c r="D6" s="317">
        <f t="shared" si="0"/>
        <v>2.2997823887873229E-3</v>
      </c>
      <c r="E6" s="372">
        <v>19741.525500000007</v>
      </c>
      <c r="F6" s="233">
        <f t="shared" si="1"/>
        <v>5.0498787530576118E-3</v>
      </c>
      <c r="G6" s="371">
        <v>2015.4870000000001</v>
      </c>
      <c r="H6" s="233">
        <f t="shared" si="2"/>
        <v>0.22417826263228474</v>
      </c>
      <c r="I6" s="236">
        <v>11396.703199999996</v>
      </c>
      <c r="J6" s="233">
        <f t="shared" si="3"/>
        <v>0.57729597441697156</v>
      </c>
      <c r="K6" s="350">
        <v>955.21399999999994</v>
      </c>
      <c r="L6" s="351">
        <f t="shared" si="4"/>
        <v>0.10624638857111716</v>
      </c>
      <c r="M6" s="804"/>
      <c r="N6" s="804"/>
      <c r="O6" s="234"/>
      <c r="P6" s="234"/>
      <c r="Q6" s="234"/>
      <c r="R6" s="234"/>
      <c r="S6" s="234"/>
    </row>
    <row r="7" spans="1:38" s="352" customFormat="1" ht="18">
      <c r="A7" s="237">
        <f t="shared" si="5"/>
        <v>46080</v>
      </c>
      <c r="B7" s="371">
        <v>3610052.06</v>
      </c>
      <c r="C7" s="372">
        <v>8296.0259999999998</v>
      </c>
      <c r="D7" s="317">
        <f t="shared" si="0"/>
        <v>2.29803500396058E-3</v>
      </c>
      <c r="E7" s="372">
        <v>18145.690100000007</v>
      </c>
      <c r="F7" s="233">
        <f t="shared" si="1"/>
        <v>5.0264344664325998E-3</v>
      </c>
      <c r="G7" s="371">
        <v>1977.2672</v>
      </c>
      <c r="H7" s="233">
        <f t="shared" si="2"/>
        <v>0.23833907945804414</v>
      </c>
      <c r="I7" s="236">
        <v>7518.8180999999986</v>
      </c>
      <c r="J7" s="233">
        <f t="shared" si="3"/>
        <v>0.41435834396841131</v>
      </c>
      <c r="K7" s="350">
        <v>490.67999999999995</v>
      </c>
      <c r="L7" s="351">
        <f t="shared" si="4"/>
        <v>5.9146391296266428E-2</v>
      </c>
      <c r="M7" s="804"/>
      <c r="N7" s="804"/>
      <c r="O7" s="234"/>
      <c r="P7" s="234"/>
      <c r="Q7" s="234"/>
      <c r="R7" s="234"/>
      <c r="S7" s="234"/>
    </row>
    <row r="8" spans="1:38" s="352" customFormat="1" ht="18">
      <c r="A8" s="237">
        <f t="shared" si="5"/>
        <v>46081</v>
      </c>
      <c r="B8" s="371">
        <v>3915929.62</v>
      </c>
      <c r="C8" s="372">
        <v>9023.3585000000003</v>
      </c>
      <c r="D8" s="317">
        <f t="shared" si="0"/>
        <v>2.3042698351662407E-3</v>
      </c>
      <c r="E8" s="372">
        <v>19845.366499999996</v>
      </c>
      <c r="F8" s="233">
        <f t="shared" si="1"/>
        <v>5.0678557649869093E-3</v>
      </c>
      <c r="G8" s="371">
        <v>1941.6584999999998</v>
      </c>
      <c r="H8" s="233">
        <f t="shared" si="2"/>
        <v>0.21518135403796709</v>
      </c>
      <c r="I8" s="236">
        <v>10268.872900000006</v>
      </c>
      <c r="J8" s="233">
        <f t="shared" si="3"/>
        <v>0.51744435659578303</v>
      </c>
      <c r="K8" s="350">
        <v>972.72490000000005</v>
      </c>
      <c r="L8" s="351">
        <f t="shared" si="4"/>
        <v>0.10780075955089227</v>
      </c>
      <c r="M8" s="804"/>
      <c r="N8" s="804"/>
      <c r="O8" s="234"/>
      <c r="P8" s="234"/>
      <c r="Q8" s="234"/>
      <c r="R8" s="234"/>
      <c r="S8" s="234"/>
    </row>
    <row r="9" spans="1:38" s="352" customFormat="1" ht="18">
      <c r="A9" s="237">
        <f t="shared" si="5"/>
        <v>46082</v>
      </c>
      <c r="B9" s="371">
        <v>5447490.2599999998</v>
      </c>
      <c r="C9" s="372">
        <v>11331.519379999996</v>
      </c>
      <c r="D9" s="317">
        <f t="shared" si="0"/>
        <v>2.0801357761399642E-3</v>
      </c>
      <c r="E9" s="372">
        <v>27881.750719999982</v>
      </c>
      <c r="F9" s="233">
        <f t="shared" si="1"/>
        <v>5.1182745428167108E-3</v>
      </c>
      <c r="G9" s="371">
        <v>2012.4623999999999</v>
      </c>
      <c r="H9" s="233">
        <f t="shared" si="2"/>
        <v>0.17759863726235806</v>
      </c>
      <c r="I9" s="236">
        <v>14137.703899999999</v>
      </c>
      <c r="J9" s="233">
        <f t="shared" si="3"/>
        <v>0.50705940390819215</v>
      </c>
      <c r="K9" s="350">
        <v>1075.69478</v>
      </c>
      <c r="L9" s="351">
        <f t="shared" si="4"/>
        <v>9.4929439197588034E-2</v>
      </c>
      <c r="M9" s="804"/>
      <c r="N9" s="804"/>
      <c r="O9" s="234"/>
      <c r="P9" s="234"/>
      <c r="Q9" s="234"/>
      <c r="R9" s="234"/>
      <c r="S9" s="234"/>
    </row>
    <row r="10" spans="1:38" s="352" customFormat="1" ht="18">
      <c r="A10" s="237">
        <f t="shared" si="5"/>
        <v>46083</v>
      </c>
      <c r="B10" s="371">
        <v>5524036.7599999998</v>
      </c>
      <c r="C10" s="372">
        <v>11546.833499999995</v>
      </c>
      <c r="D10" s="317">
        <f t="shared" si="0"/>
        <v>2.090289040726803E-3</v>
      </c>
      <c r="E10" s="372">
        <v>28358.25680000001</v>
      </c>
      <c r="F10" s="233">
        <f t="shared" si="1"/>
        <v>5.13361116735219E-3</v>
      </c>
      <c r="G10" s="371">
        <v>1947.1759</v>
      </c>
      <c r="H10" s="233">
        <f t="shared" si="2"/>
        <v>0.16863288970088647</v>
      </c>
      <c r="I10" s="236">
        <v>15618.587999999996</v>
      </c>
      <c r="J10" s="233">
        <f t="shared" si="3"/>
        <v>0.55075980551808779</v>
      </c>
      <c r="K10" s="350">
        <v>1277.4172000000001</v>
      </c>
      <c r="L10" s="351">
        <f t="shared" si="4"/>
        <v>0.11062922142247922</v>
      </c>
      <c r="M10" s="804"/>
      <c r="N10" s="804"/>
      <c r="O10" s="234"/>
      <c r="P10" s="234"/>
      <c r="Q10" s="234"/>
      <c r="R10" s="234"/>
      <c r="S10" s="234"/>
    </row>
    <row r="11" spans="1:38" s="352" customFormat="1" ht="18">
      <c r="A11" s="237">
        <f t="shared" ref="A11:A45" si="6">A10+1</f>
        <v>46084</v>
      </c>
      <c r="B11" s="371">
        <v>5503117.0599999996</v>
      </c>
      <c r="C11" s="372">
        <v>11225.2294</v>
      </c>
      <c r="D11" s="317">
        <f t="shared" si="0"/>
        <v>2.0397947704205296E-3</v>
      </c>
      <c r="E11" s="372">
        <v>27826.801499999969</v>
      </c>
      <c r="F11" s="233">
        <f t="shared" si="1"/>
        <v>5.0565527130545847E-3</v>
      </c>
      <c r="G11" s="371">
        <v>1914.2572</v>
      </c>
      <c r="H11" s="233">
        <f t="shared" si="2"/>
        <v>0.1705316775085238</v>
      </c>
      <c r="I11" s="236">
        <v>11959.049299999997</v>
      </c>
      <c r="J11" s="233">
        <f t="shared" si="3"/>
        <v>0.42976729826458893</v>
      </c>
      <c r="K11" s="350">
        <v>1048.8209000000002</v>
      </c>
      <c r="L11" s="351">
        <f t="shared" si="4"/>
        <v>9.3434250884886161E-2</v>
      </c>
      <c r="M11" s="804">
        <f>SUM(C11:C17)</f>
        <v>68854.618759999998</v>
      </c>
      <c r="N11" s="804">
        <f>SUM(E11:E17)</f>
        <v>170575.13933999991</v>
      </c>
      <c r="O11" s="234"/>
      <c r="P11" s="234"/>
      <c r="Q11" s="234"/>
      <c r="R11" s="234"/>
      <c r="S11" s="234"/>
    </row>
    <row r="12" spans="1:38" s="352" customFormat="1" ht="18">
      <c r="A12" s="238">
        <f t="shared" si="6"/>
        <v>46085</v>
      </c>
      <c r="B12" s="371">
        <v>5072703.08</v>
      </c>
      <c r="C12" s="372">
        <v>10287.0597</v>
      </c>
      <c r="D12" s="317">
        <f t="shared" si="0"/>
        <v>2.0279246661525476E-3</v>
      </c>
      <c r="E12" s="372">
        <v>25615.664999999975</v>
      </c>
      <c r="F12" s="233">
        <f t="shared" si="1"/>
        <v>5.0497071474563766E-3</v>
      </c>
      <c r="G12" s="371">
        <v>1937.019</v>
      </c>
      <c r="H12" s="233">
        <f t="shared" si="2"/>
        <v>0.18829666167874967</v>
      </c>
      <c r="I12" s="236">
        <v>15532.432200000005</v>
      </c>
      <c r="J12" s="233">
        <f t="shared" si="3"/>
        <v>0.60636458979300434</v>
      </c>
      <c r="K12" s="350">
        <v>963.33889999999997</v>
      </c>
      <c r="L12" s="351">
        <f t="shared" si="4"/>
        <v>9.3645699363443954E-2</v>
      </c>
      <c r="M12" s="804"/>
      <c r="N12" s="804"/>
      <c r="O12" s="234"/>
      <c r="P12" s="234"/>
      <c r="Q12" s="234"/>
      <c r="R12" s="234"/>
      <c r="S12" s="234"/>
    </row>
    <row r="13" spans="1:38" s="352" customFormat="1" ht="18">
      <c r="A13" s="237">
        <f t="shared" si="6"/>
        <v>46086</v>
      </c>
      <c r="B13" s="371">
        <v>4496569.9800000004</v>
      </c>
      <c r="C13" s="372">
        <v>9217.8333999999977</v>
      </c>
      <c r="D13" s="317">
        <f t="shared" si="0"/>
        <v>2.0499699639946441E-3</v>
      </c>
      <c r="E13" s="372">
        <v>22571.10649999998</v>
      </c>
      <c r="F13" s="233">
        <f t="shared" si="1"/>
        <v>5.0196275384109508E-3</v>
      </c>
      <c r="G13" s="371">
        <v>1774.4011999999998</v>
      </c>
      <c r="H13" s="233">
        <f t="shared" si="2"/>
        <v>0.19249655781368322</v>
      </c>
      <c r="I13" s="236">
        <v>12843.795599999976</v>
      </c>
      <c r="J13" s="233">
        <f t="shared" si="3"/>
        <v>0.56903703856964161</v>
      </c>
      <c r="K13" s="350">
        <v>919.69929999999999</v>
      </c>
      <c r="L13" s="351">
        <f t="shared" si="4"/>
        <v>9.9773912164652506E-2</v>
      </c>
      <c r="M13" s="804"/>
      <c r="N13" s="804"/>
      <c r="O13" s="234"/>
      <c r="P13" s="234"/>
      <c r="Q13" s="234"/>
      <c r="R13" s="234"/>
      <c r="S13" s="234"/>
    </row>
    <row r="14" spans="1:38" s="352" customFormat="1" ht="18">
      <c r="A14" s="237">
        <f t="shared" si="6"/>
        <v>46087</v>
      </c>
      <c r="B14" s="371">
        <v>3821772.9</v>
      </c>
      <c r="C14" s="372">
        <v>7757.3871999999992</v>
      </c>
      <c r="D14" s="317">
        <f t="shared" si="0"/>
        <v>2.029787588896242E-3</v>
      </c>
      <c r="E14" s="372">
        <v>19415.074500000013</v>
      </c>
      <c r="F14" s="233">
        <f t="shared" si="1"/>
        <v>5.0801225002144986E-3</v>
      </c>
      <c r="G14" s="371">
        <v>1692.1431</v>
      </c>
      <c r="H14" s="233">
        <f t="shared" si="2"/>
        <v>0.21813312348260766</v>
      </c>
      <c r="I14" s="236">
        <v>11933.283199999996</v>
      </c>
      <c r="J14" s="233">
        <f t="shared" si="3"/>
        <v>0.6146400931915037</v>
      </c>
      <c r="K14" s="350">
        <v>641.2088</v>
      </c>
      <c r="L14" s="351">
        <f t="shared" si="4"/>
        <v>8.2657830976904184E-2</v>
      </c>
      <c r="M14" s="804"/>
      <c r="N14" s="804"/>
      <c r="O14" s="234"/>
      <c r="P14" s="234"/>
      <c r="Q14" s="234"/>
      <c r="R14" s="234"/>
      <c r="S14" s="234"/>
    </row>
    <row r="15" spans="1:38" s="352" customFormat="1" ht="18">
      <c r="A15" s="237">
        <f t="shared" si="6"/>
        <v>46088</v>
      </c>
      <c r="B15" s="371">
        <v>4127790.83</v>
      </c>
      <c r="C15" s="372">
        <v>8486.7082000000009</v>
      </c>
      <c r="D15" s="317">
        <f t="shared" si="0"/>
        <v>2.0559927936077129E-3</v>
      </c>
      <c r="E15" s="372">
        <v>20645.393300000007</v>
      </c>
      <c r="F15" s="233">
        <f t="shared" si="1"/>
        <v>5.0015599506528308E-3</v>
      </c>
      <c r="G15" s="371">
        <v>1817.8358000000001</v>
      </c>
      <c r="H15" s="233">
        <f t="shared" si="2"/>
        <v>0.21419798550396724</v>
      </c>
      <c r="I15" s="236">
        <v>9199.0371000000014</v>
      </c>
      <c r="J15" s="233">
        <f t="shared" si="3"/>
        <v>0.44557335219184213</v>
      </c>
      <c r="K15" s="350">
        <v>945.21929999999998</v>
      </c>
      <c r="L15" s="351">
        <f t="shared" si="4"/>
        <v>0.11137643450495917</v>
      </c>
      <c r="M15" s="804"/>
      <c r="N15" s="804"/>
      <c r="O15" s="234"/>
      <c r="P15" s="234"/>
      <c r="Q15" s="234"/>
      <c r="R15" s="234"/>
      <c r="S15" s="234"/>
    </row>
    <row r="16" spans="1:38" s="352" customFormat="1" ht="18">
      <c r="A16" s="237">
        <f t="shared" si="6"/>
        <v>46089</v>
      </c>
      <c r="B16" s="371">
        <v>5624945.9800000004</v>
      </c>
      <c r="C16" s="372">
        <v>11342.494479999998</v>
      </c>
      <c r="D16" s="317">
        <f t="shared" si="0"/>
        <v>2.0164628283239078E-3</v>
      </c>
      <c r="E16" s="372">
        <v>28335.778019999991</v>
      </c>
      <c r="F16" s="233">
        <f t="shared" si="1"/>
        <v>5.0375200261034312E-3</v>
      </c>
      <c r="G16" s="371">
        <v>1900.5419999999997</v>
      </c>
      <c r="H16" s="233">
        <f t="shared" si="2"/>
        <v>0.16755943794825634</v>
      </c>
      <c r="I16" s="236">
        <v>12914.330299999992</v>
      </c>
      <c r="J16" s="233">
        <f t="shared" si="3"/>
        <v>0.45576056852523283</v>
      </c>
      <c r="K16" s="350">
        <v>758.50067999999999</v>
      </c>
      <c r="L16" s="351">
        <f t="shared" si="4"/>
        <v>6.6872475127711078E-2</v>
      </c>
      <c r="M16" s="804"/>
      <c r="N16" s="804"/>
      <c r="O16" s="234"/>
      <c r="P16" s="234"/>
      <c r="Q16" s="234"/>
      <c r="R16" s="234"/>
      <c r="S16" s="234"/>
    </row>
    <row r="17" spans="1:20" s="352" customFormat="1" ht="18">
      <c r="A17" s="237">
        <f t="shared" si="6"/>
        <v>46090</v>
      </c>
      <c r="B17" s="371">
        <v>5207196.28</v>
      </c>
      <c r="C17" s="372">
        <v>10537.906379999995</v>
      </c>
      <c r="D17" s="317">
        <f t="shared" si="0"/>
        <v>2.0237198318170551E-3</v>
      </c>
      <c r="E17" s="372">
        <v>26165.320519999983</v>
      </c>
      <c r="F17" s="233">
        <f t="shared" si="1"/>
        <v>5.0248385336455923E-3</v>
      </c>
      <c r="G17" s="371">
        <v>1913.7365</v>
      </c>
      <c r="H17" s="233">
        <f t="shared" si="2"/>
        <v>0.18160500112547032</v>
      </c>
      <c r="I17" s="236">
        <v>14514.80239999999</v>
      </c>
      <c r="J17" s="233">
        <f t="shared" si="3"/>
        <v>0.55473436256610398</v>
      </c>
      <c r="K17" s="350">
        <v>776.71068000000002</v>
      </c>
      <c r="L17" s="351">
        <f t="shared" si="4"/>
        <v>7.3706356081709695E-2</v>
      </c>
      <c r="M17" s="804"/>
      <c r="N17" s="804"/>
      <c r="O17" s="234"/>
      <c r="P17" s="234"/>
      <c r="Q17" s="234"/>
      <c r="R17" s="234"/>
      <c r="S17" s="234"/>
      <c r="T17" s="429"/>
    </row>
    <row r="18" spans="1:20" s="352" customFormat="1" ht="18">
      <c r="A18" s="237">
        <f t="shared" si="6"/>
        <v>46091</v>
      </c>
      <c r="B18" s="371"/>
      <c r="C18" s="372"/>
      <c r="D18" s="317" t="e">
        <f t="shared" ref="D18:D38" si="7">C18/B18</f>
        <v>#DIV/0!</v>
      </c>
      <c r="E18" s="372"/>
      <c r="F18" s="233" t="e">
        <f t="shared" si="1"/>
        <v>#DIV/0!</v>
      </c>
      <c r="G18" s="371"/>
      <c r="H18" s="233" t="e">
        <f t="shared" si="2"/>
        <v>#DIV/0!</v>
      </c>
      <c r="I18" s="236"/>
      <c r="J18" s="233" t="e">
        <f t="shared" si="3"/>
        <v>#DIV/0!</v>
      </c>
      <c r="K18" s="350"/>
      <c r="L18" s="351" t="e">
        <f t="shared" si="4"/>
        <v>#DIV/0!</v>
      </c>
      <c r="M18" s="804">
        <f t="shared" ref="M18" si="8">SUM(C18:C24)</f>
        <v>0</v>
      </c>
      <c r="N18" s="804">
        <f t="shared" ref="N18" si="9">SUM(E18:E24)</f>
        <v>0</v>
      </c>
      <c r="O18" s="234"/>
      <c r="P18" s="234"/>
      <c r="Q18" s="234"/>
      <c r="R18" s="234"/>
      <c r="S18" s="234"/>
    </row>
    <row r="19" spans="1:20" s="352" customFormat="1" ht="18">
      <c r="A19" s="238">
        <f t="shared" si="6"/>
        <v>46092</v>
      </c>
      <c r="B19" s="371"/>
      <c r="C19" s="372"/>
      <c r="D19" s="317" t="e">
        <f t="shared" si="7"/>
        <v>#DIV/0!</v>
      </c>
      <c r="E19" s="372"/>
      <c r="F19" s="233" t="e">
        <f t="shared" si="1"/>
        <v>#DIV/0!</v>
      </c>
      <c r="G19" s="371"/>
      <c r="H19" s="233" t="e">
        <f t="shared" si="2"/>
        <v>#DIV/0!</v>
      </c>
      <c r="I19" s="236"/>
      <c r="J19" s="233" t="e">
        <f t="shared" si="3"/>
        <v>#DIV/0!</v>
      </c>
      <c r="K19" s="350"/>
      <c r="L19" s="351" t="e">
        <f t="shared" si="4"/>
        <v>#DIV/0!</v>
      </c>
      <c r="M19" s="804"/>
      <c r="N19" s="804"/>
      <c r="O19" s="234"/>
      <c r="P19" s="234"/>
      <c r="Q19" s="234"/>
      <c r="R19" s="234"/>
      <c r="S19" s="234"/>
    </row>
    <row r="20" spans="1:20" s="352" customFormat="1" ht="18">
      <c r="A20" s="237">
        <f t="shared" si="6"/>
        <v>46093</v>
      </c>
      <c r="B20" s="371"/>
      <c r="C20" s="372"/>
      <c r="D20" s="317" t="e">
        <f t="shared" si="7"/>
        <v>#DIV/0!</v>
      </c>
      <c r="E20" s="372"/>
      <c r="F20" s="233" t="e">
        <f t="shared" si="1"/>
        <v>#DIV/0!</v>
      </c>
      <c r="G20" s="371"/>
      <c r="H20" s="233" t="e">
        <f t="shared" si="2"/>
        <v>#DIV/0!</v>
      </c>
      <c r="I20" s="236"/>
      <c r="J20" s="233" t="e">
        <f t="shared" si="3"/>
        <v>#DIV/0!</v>
      </c>
      <c r="K20" s="350"/>
      <c r="L20" s="351" t="e">
        <f t="shared" si="4"/>
        <v>#DIV/0!</v>
      </c>
      <c r="M20" s="804"/>
      <c r="N20" s="804"/>
      <c r="O20" s="234"/>
      <c r="P20" s="234"/>
      <c r="Q20" s="234"/>
      <c r="R20" s="234"/>
      <c r="S20" s="234"/>
    </row>
    <row r="21" spans="1:20" s="352" customFormat="1" ht="18">
      <c r="A21" s="237">
        <f t="shared" si="6"/>
        <v>46094</v>
      </c>
      <c r="B21" s="371"/>
      <c r="C21" s="372"/>
      <c r="D21" s="317" t="e">
        <f t="shared" si="7"/>
        <v>#DIV/0!</v>
      </c>
      <c r="E21" s="372"/>
      <c r="F21" s="233" t="e">
        <f t="shared" si="1"/>
        <v>#DIV/0!</v>
      </c>
      <c r="G21" s="371"/>
      <c r="H21" s="233" t="e">
        <f t="shared" si="2"/>
        <v>#DIV/0!</v>
      </c>
      <c r="I21" s="236"/>
      <c r="J21" s="233" t="e">
        <f t="shared" si="3"/>
        <v>#DIV/0!</v>
      </c>
      <c r="K21" s="350"/>
      <c r="L21" s="351" t="e">
        <f t="shared" si="4"/>
        <v>#DIV/0!</v>
      </c>
      <c r="M21" s="804"/>
      <c r="N21" s="804"/>
      <c r="O21" s="234"/>
      <c r="P21" s="234"/>
      <c r="Q21" s="234"/>
      <c r="R21" s="234"/>
      <c r="S21" s="234"/>
    </row>
    <row r="22" spans="1:20" s="352" customFormat="1" ht="18">
      <c r="A22" s="237">
        <f t="shared" si="6"/>
        <v>46095</v>
      </c>
      <c r="B22" s="371"/>
      <c r="C22" s="372"/>
      <c r="D22" s="317" t="e">
        <f t="shared" si="7"/>
        <v>#DIV/0!</v>
      </c>
      <c r="E22" s="372"/>
      <c r="F22" s="233" t="e">
        <f t="shared" si="1"/>
        <v>#DIV/0!</v>
      </c>
      <c r="G22" s="371"/>
      <c r="H22" s="233" t="e">
        <f t="shared" si="2"/>
        <v>#DIV/0!</v>
      </c>
      <c r="I22" s="236"/>
      <c r="J22" s="233" t="e">
        <f t="shared" si="3"/>
        <v>#DIV/0!</v>
      </c>
      <c r="K22" s="350"/>
      <c r="L22" s="351" t="e">
        <f t="shared" si="4"/>
        <v>#DIV/0!</v>
      </c>
      <c r="M22" s="804"/>
      <c r="N22" s="804"/>
      <c r="O22" s="234"/>
      <c r="P22" s="234"/>
      <c r="Q22" s="234"/>
      <c r="R22" s="234"/>
      <c r="S22" s="234"/>
    </row>
    <row r="23" spans="1:20" s="352" customFormat="1" ht="18">
      <c r="A23" s="237">
        <f t="shared" si="6"/>
        <v>46096</v>
      </c>
      <c r="B23" s="371"/>
      <c r="C23" s="372"/>
      <c r="D23" s="317" t="e">
        <f t="shared" si="7"/>
        <v>#DIV/0!</v>
      </c>
      <c r="E23" s="372"/>
      <c r="F23" s="233" t="e">
        <f t="shared" si="1"/>
        <v>#DIV/0!</v>
      </c>
      <c r="G23" s="371"/>
      <c r="H23" s="233" t="e">
        <f t="shared" si="2"/>
        <v>#DIV/0!</v>
      </c>
      <c r="I23" s="236"/>
      <c r="J23" s="233" t="e">
        <f t="shared" si="3"/>
        <v>#DIV/0!</v>
      </c>
      <c r="K23" s="350"/>
      <c r="L23" s="351" t="e">
        <f t="shared" si="4"/>
        <v>#DIV/0!</v>
      </c>
      <c r="M23" s="804"/>
      <c r="N23" s="804"/>
      <c r="O23" s="234"/>
      <c r="P23" s="234"/>
      <c r="Q23" s="234"/>
      <c r="R23" s="234"/>
      <c r="S23" s="234"/>
    </row>
    <row r="24" spans="1:20" s="352" customFormat="1" ht="18">
      <c r="A24" s="237">
        <f t="shared" si="6"/>
        <v>46097</v>
      </c>
      <c r="B24" s="371"/>
      <c r="C24" s="372"/>
      <c r="D24" s="317" t="e">
        <f t="shared" si="7"/>
        <v>#DIV/0!</v>
      </c>
      <c r="E24" s="372"/>
      <c r="F24" s="233" t="e">
        <f t="shared" si="1"/>
        <v>#DIV/0!</v>
      </c>
      <c r="G24" s="371"/>
      <c r="H24" s="233" t="e">
        <f t="shared" si="2"/>
        <v>#DIV/0!</v>
      </c>
      <c r="I24" s="236"/>
      <c r="J24" s="233" t="e">
        <f t="shared" si="3"/>
        <v>#DIV/0!</v>
      </c>
      <c r="K24" s="350"/>
      <c r="L24" s="351" t="e">
        <f t="shared" si="4"/>
        <v>#DIV/0!</v>
      </c>
      <c r="M24" s="804"/>
      <c r="N24" s="804"/>
      <c r="O24" s="234"/>
      <c r="P24" s="234"/>
      <c r="Q24" s="234"/>
      <c r="R24" s="234"/>
      <c r="S24" s="234"/>
    </row>
    <row r="25" spans="1:20" s="352" customFormat="1" ht="18">
      <c r="A25" s="237">
        <f t="shared" si="6"/>
        <v>46098</v>
      </c>
      <c r="B25" s="371"/>
      <c r="C25" s="372"/>
      <c r="D25" s="317" t="e">
        <f t="shared" si="7"/>
        <v>#DIV/0!</v>
      </c>
      <c r="E25" s="372"/>
      <c r="F25" s="233" t="e">
        <f t="shared" si="1"/>
        <v>#DIV/0!</v>
      </c>
      <c r="G25" s="371"/>
      <c r="H25" s="233" t="e">
        <f t="shared" si="2"/>
        <v>#DIV/0!</v>
      </c>
      <c r="I25" s="236"/>
      <c r="J25" s="233" t="e">
        <f t="shared" si="3"/>
        <v>#DIV/0!</v>
      </c>
      <c r="K25" s="350"/>
      <c r="L25" s="351" t="e">
        <f t="shared" si="4"/>
        <v>#DIV/0!</v>
      </c>
      <c r="M25" s="804">
        <f t="shared" ref="M25" si="10">SUM(C25:C31)</f>
        <v>0</v>
      </c>
      <c r="N25" s="804">
        <f t="shared" ref="N25" si="11">SUM(E25:E31)</f>
        <v>0</v>
      </c>
      <c r="O25" s="234"/>
      <c r="P25" s="234"/>
      <c r="Q25" s="234"/>
      <c r="R25" s="234"/>
      <c r="S25" s="234"/>
    </row>
    <row r="26" spans="1:20" s="352" customFormat="1" ht="18">
      <c r="A26" s="238">
        <f t="shared" si="6"/>
        <v>46099</v>
      </c>
      <c r="B26" s="371"/>
      <c r="C26" s="372"/>
      <c r="D26" s="317" t="e">
        <f t="shared" si="7"/>
        <v>#DIV/0!</v>
      </c>
      <c r="E26" s="372"/>
      <c r="F26" s="233" t="e">
        <f t="shared" si="1"/>
        <v>#DIV/0!</v>
      </c>
      <c r="G26" s="371"/>
      <c r="H26" s="233" t="e">
        <f t="shared" si="2"/>
        <v>#DIV/0!</v>
      </c>
      <c r="I26" s="236"/>
      <c r="J26" s="233" t="e">
        <f t="shared" si="3"/>
        <v>#DIV/0!</v>
      </c>
      <c r="K26" s="350"/>
      <c r="L26" s="351" t="e">
        <f t="shared" si="4"/>
        <v>#DIV/0!</v>
      </c>
      <c r="M26" s="804"/>
      <c r="N26" s="804"/>
      <c r="O26" s="234"/>
      <c r="P26" s="234"/>
      <c r="Q26" s="234"/>
      <c r="R26" s="234"/>
      <c r="S26" s="234"/>
    </row>
    <row r="27" spans="1:20" s="352" customFormat="1" ht="18">
      <c r="A27" s="237">
        <f t="shared" si="6"/>
        <v>46100</v>
      </c>
      <c r="B27" s="371"/>
      <c r="C27" s="372"/>
      <c r="D27" s="317" t="e">
        <f t="shared" si="7"/>
        <v>#DIV/0!</v>
      </c>
      <c r="E27" s="372"/>
      <c r="F27" s="233" t="e">
        <f t="shared" si="1"/>
        <v>#DIV/0!</v>
      </c>
      <c r="G27" s="371"/>
      <c r="H27" s="233" t="e">
        <f t="shared" si="2"/>
        <v>#DIV/0!</v>
      </c>
      <c r="I27" s="236"/>
      <c r="J27" s="233" t="e">
        <f t="shared" si="3"/>
        <v>#DIV/0!</v>
      </c>
      <c r="K27" s="350"/>
      <c r="L27" s="351" t="e">
        <f t="shared" si="4"/>
        <v>#DIV/0!</v>
      </c>
      <c r="M27" s="804"/>
      <c r="N27" s="804"/>
      <c r="O27" s="234"/>
      <c r="P27" s="234"/>
      <c r="Q27" s="234"/>
      <c r="R27" s="234"/>
      <c r="S27" s="234"/>
    </row>
    <row r="28" spans="1:20" s="352" customFormat="1" ht="18">
      <c r="A28" s="237">
        <f t="shared" si="6"/>
        <v>46101</v>
      </c>
      <c r="B28" s="371"/>
      <c r="C28" s="372"/>
      <c r="D28" s="317" t="e">
        <f t="shared" si="7"/>
        <v>#DIV/0!</v>
      </c>
      <c r="E28" s="372"/>
      <c r="F28" s="233" t="e">
        <f t="shared" si="1"/>
        <v>#DIV/0!</v>
      </c>
      <c r="G28" s="371"/>
      <c r="H28" s="233" t="e">
        <f t="shared" si="2"/>
        <v>#DIV/0!</v>
      </c>
      <c r="I28" s="236"/>
      <c r="J28" s="233" t="e">
        <f t="shared" si="3"/>
        <v>#DIV/0!</v>
      </c>
      <c r="K28" s="350"/>
      <c r="L28" s="351" t="e">
        <f t="shared" si="4"/>
        <v>#DIV/0!</v>
      </c>
      <c r="M28" s="804"/>
      <c r="N28" s="804"/>
      <c r="O28" s="234"/>
      <c r="P28" s="234"/>
      <c r="Q28" s="234"/>
      <c r="R28" s="234"/>
      <c r="S28" s="234"/>
    </row>
    <row r="29" spans="1:20" s="352" customFormat="1" ht="18">
      <c r="A29" s="237">
        <f t="shared" si="6"/>
        <v>46102</v>
      </c>
      <c r="B29" s="371"/>
      <c r="C29" s="372"/>
      <c r="D29" s="317" t="e">
        <f t="shared" si="7"/>
        <v>#DIV/0!</v>
      </c>
      <c r="E29" s="372"/>
      <c r="F29" s="233" t="e">
        <f t="shared" si="1"/>
        <v>#DIV/0!</v>
      </c>
      <c r="G29" s="371"/>
      <c r="H29" s="233" t="e">
        <f t="shared" si="2"/>
        <v>#DIV/0!</v>
      </c>
      <c r="I29" s="236"/>
      <c r="J29" s="233" t="e">
        <f t="shared" si="3"/>
        <v>#DIV/0!</v>
      </c>
      <c r="K29" s="350"/>
      <c r="L29" s="351" t="e">
        <f t="shared" si="4"/>
        <v>#DIV/0!</v>
      </c>
      <c r="M29" s="804"/>
      <c r="N29" s="804"/>
      <c r="O29" s="234"/>
      <c r="P29" s="234"/>
      <c r="Q29" s="234"/>
      <c r="R29" s="234"/>
      <c r="S29" s="234"/>
    </row>
    <row r="30" spans="1:20" s="352" customFormat="1" ht="18">
      <c r="A30" s="237">
        <f t="shared" si="6"/>
        <v>46103</v>
      </c>
      <c r="B30" s="371"/>
      <c r="C30" s="372"/>
      <c r="D30" s="317" t="e">
        <f t="shared" si="7"/>
        <v>#DIV/0!</v>
      </c>
      <c r="E30" s="372"/>
      <c r="F30" s="233" t="e">
        <f t="shared" si="1"/>
        <v>#DIV/0!</v>
      </c>
      <c r="G30" s="371"/>
      <c r="H30" s="233" t="e">
        <f t="shared" si="2"/>
        <v>#DIV/0!</v>
      </c>
      <c r="I30" s="236"/>
      <c r="J30" s="233" t="e">
        <f t="shared" si="3"/>
        <v>#DIV/0!</v>
      </c>
      <c r="K30" s="350"/>
      <c r="L30" s="351" t="e">
        <f t="shared" si="4"/>
        <v>#DIV/0!</v>
      </c>
      <c r="M30" s="804"/>
      <c r="N30" s="804"/>
      <c r="O30" s="234"/>
      <c r="P30" s="234"/>
      <c r="Q30" s="234"/>
      <c r="R30" s="234"/>
      <c r="S30" s="234"/>
    </row>
    <row r="31" spans="1:20" s="352" customFormat="1" ht="18">
      <c r="A31" s="237">
        <f t="shared" si="6"/>
        <v>46104</v>
      </c>
      <c r="B31" s="371"/>
      <c r="C31" s="372"/>
      <c r="D31" s="317" t="e">
        <f t="shared" si="7"/>
        <v>#DIV/0!</v>
      </c>
      <c r="E31" s="372"/>
      <c r="F31" s="233" t="e">
        <f t="shared" si="1"/>
        <v>#DIV/0!</v>
      </c>
      <c r="G31" s="371"/>
      <c r="H31" s="233" t="e">
        <f t="shared" si="2"/>
        <v>#DIV/0!</v>
      </c>
      <c r="I31" s="236"/>
      <c r="J31" s="233" t="e">
        <f t="shared" si="3"/>
        <v>#DIV/0!</v>
      </c>
      <c r="K31" s="350"/>
      <c r="L31" s="351" t="e">
        <f t="shared" si="4"/>
        <v>#DIV/0!</v>
      </c>
      <c r="M31" s="804"/>
      <c r="N31" s="804"/>
      <c r="O31" s="234"/>
      <c r="P31" s="234"/>
      <c r="Q31" s="234"/>
      <c r="R31" s="234"/>
      <c r="S31" s="234"/>
    </row>
    <row r="32" spans="1:20" s="352" customFormat="1" ht="18">
      <c r="A32" s="237">
        <f t="shared" si="6"/>
        <v>46105</v>
      </c>
      <c r="B32" s="371"/>
      <c r="C32" s="372"/>
      <c r="D32" s="317" t="e">
        <f t="shared" si="7"/>
        <v>#DIV/0!</v>
      </c>
      <c r="E32" s="372"/>
      <c r="F32" s="233" t="e">
        <f t="shared" si="1"/>
        <v>#DIV/0!</v>
      </c>
      <c r="G32" s="371"/>
      <c r="H32" s="233" t="e">
        <f t="shared" si="2"/>
        <v>#DIV/0!</v>
      </c>
      <c r="I32" s="236"/>
      <c r="J32" s="233" t="e">
        <f t="shared" si="3"/>
        <v>#DIV/0!</v>
      </c>
      <c r="K32" s="350"/>
      <c r="L32" s="351" t="e">
        <f t="shared" si="4"/>
        <v>#DIV/0!</v>
      </c>
      <c r="M32" s="804">
        <f>SUM(C32:C38)</f>
        <v>0</v>
      </c>
      <c r="N32" s="804">
        <f>SUM(E32:E38)</f>
        <v>0</v>
      </c>
      <c r="O32" s="234"/>
      <c r="P32" s="234"/>
      <c r="Q32" s="234"/>
      <c r="R32" s="234"/>
      <c r="S32" s="234"/>
    </row>
    <row r="33" spans="1:19" s="352" customFormat="1" ht="18">
      <c r="A33" s="237">
        <f t="shared" si="6"/>
        <v>46106</v>
      </c>
      <c r="B33" s="371"/>
      <c r="C33" s="372"/>
      <c r="D33" s="317" t="e">
        <f t="shared" si="7"/>
        <v>#DIV/0!</v>
      </c>
      <c r="E33" s="372"/>
      <c r="F33" s="233" t="e">
        <f t="shared" si="1"/>
        <v>#DIV/0!</v>
      </c>
      <c r="G33" s="371"/>
      <c r="H33" s="233" t="e">
        <f t="shared" si="2"/>
        <v>#DIV/0!</v>
      </c>
      <c r="I33" s="236"/>
      <c r="J33" s="233" t="e">
        <f t="shared" si="3"/>
        <v>#DIV/0!</v>
      </c>
      <c r="K33" s="350"/>
      <c r="L33" s="351" t="e">
        <f t="shared" si="4"/>
        <v>#DIV/0!</v>
      </c>
      <c r="M33" s="804"/>
      <c r="N33" s="804"/>
      <c r="O33" s="234"/>
      <c r="P33" s="234"/>
      <c r="Q33" s="234"/>
      <c r="R33" s="234"/>
      <c r="S33" s="234"/>
    </row>
    <row r="34" spans="1:19" s="352" customFormat="1" ht="18">
      <c r="A34" s="237">
        <f t="shared" si="6"/>
        <v>46107</v>
      </c>
      <c r="B34" s="371"/>
      <c r="C34" s="372"/>
      <c r="D34" s="317" t="e">
        <f t="shared" si="7"/>
        <v>#DIV/0!</v>
      </c>
      <c r="E34" s="372"/>
      <c r="F34" s="233" t="e">
        <f t="shared" si="1"/>
        <v>#DIV/0!</v>
      </c>
      <c r="G34" s="371"/>
      <c r="H34" s="233" t="e">
        <f t="shared" si="2"/>
        <v>#DIV/0!</v>
      </c>
      <c r="I34" s="236"/>
      <c r="J34" s="233" t="e">
        <f t="shared" si="3"/>
        <v>#DIV/0!</v>
      </c>
      <c r="K34" s="350"/>
      <c r="L34" s="351" t="e">
        <f t="shared" si="4"/>
        <v>#DIV/0!</v>
      </c>
      <c r="M34" s="804"/>
      <c r="N34" s="804"/>
      <c r="O34" s="234"/>
      <c r="P34" s="234"/>
      <c r="Q34" s="234"/>
      <c r="R34" s="234"/>
      <c r="S34" s="234"/>
    </row>
    <row r="35" spans="1:19" s="352" customFormat="1" ht="18">
      <c r="A35" s="237">
        <f t="shared" si="6"/>
        <v>46108</v>
      </c>
      <c r="B35" s="371"/>
      <c r="C35" s="372"/>
      <c r="D35" s="317" t="e">
        <f t="shared" si="7"/>
        <v>#DIV/0!</v>
      </c>
      <c r="E35" s="372"/>
      <c r="F35" s="233" t="e">
        <f t="shared" si="1"/>
        <v>#DIV/0!</v>
      </c>
      <c r="G35" s="371"/>
      <c r="H35" s="233" t="e">
        <f t="shared" si="2"/>
        <v>#DIV/0!</v>
      </c>
      <c r="I35" s="236"/>
      <c r="J35" s="233" t="e">
        <f t="shared" si="3"/>
        <v>#DIV/0!</v>
      </c>
      <c r="K35" s="350"/>
      <c r="L35" s="351" t="e">
        <f t="shared" si="4"/>
        <v>#DIV/0!</v>
      </c>
      <c r="M35" s="804"/>
      <c r="N35" s="804"/>
      <c r="O35" s="234"/>
      <c r="P35" s="234"/>
      <c r="Q35" s="234"/>
      <c r="R35" s="234"/>
      <c r="S35" s="234"/>
    </row>
    <row r="36" spans="1:19" s="352" customFormat="1" ht="18">
      <c r="A36" s="237">
        <f t="shared" si="6"/>
        <v>46109</v>
      </c>
      <c r="B36" s="371"/>
      <c r="C36" s="372"/>
      <c r="D36" s="317" t="e">
        <f t="shared" si="7"/>
        <v>#DIV/0!</v>
      </c>
      <c r="E36" s="372"/>
      <c r="F36" s="233" t="e">
        <f t="shared" si="1"/>
        <v>#DIV/0!</v>
      </c>
      <c r="G36" s="371"/>
      <c r="H36" s="233" t="e">
        <f t="shared" si="2"/>
        <v>#DIV/0!</v>
      </c>
      <c r="I36" s="236"/>
      <c r="J36" s="233" t="e">
        <f t="shared" si="3"/>
        <v>#DIV/0!</v>
      </c>
      <c r="K36" s="350"/>
      <c r="L36" s="351" t="e">
        <f t="shared" si="4"/>
        <v>#DIV/0!</v>
      </c>
      <c r="M36" s="804"/>
      <c r="N36" s="804"/>
      <c r="O36" s="234"/>
      <c r="P36" s="234"/>
      <c r="Q36" s="234"/>
      <c r="R36" s="234"/>
      <c r="S36" s="234"/>
    </row>
    <row r="37" spans="1:19" s="352" customFormat="1" ht="18">
      <c r="A37" s="237">
        <f t="shared" si="6"/>
        <v>46110</v>
      </c>
      <c r="B37" s="371"/>
      <c r="C37" s="372"/>
      <c r="D37" s="317" t="e">
        <f t="shared" si="7"/>
        <v>#DIV/0!</v>
      </c>
      <c r="E37" s="372"/>
      <c r="F37" s="233" t="e">
        <f t="shared" si="1"/>
        <v>#DIV/0!</v>
      </c>
      <c r="G37" s="371"/>
      <c r="H37" s="233" t="e">
        <f t="shared" si="2"/>
        <v>#DIV/0!</v>
      </c>
      <c r="I37" s="236"/>
      <c r="J37" s="233" t="e">
        <f t="shared" si="3"/>
        <v>#DIV/0!</v>
      </c>
      <c r="K37" s="350"/>
      <c r="L37" s="351" t="e">
        <f t="shared" si="4"/>
        <v>#DIV/0!</v>
      </c>
      <c r="M37" s="804"/>
      <c r="N37" s="804"/>
      <c r="O37" s="234"/>
      <c r="P37" s="234"/>
      <c r="Q37" s="234"/>
      <c r="R37" s="234"/>
      <c r="S37" s="234"/>
    </row>
    <row r="38" spans="1:19" s="352" customFormat="1" ht="18">
      <c r="A38" s="237">
        <f t="shared" si="6"/>
        <v>46111</v>
      </c>
      <c r="B38" s="371"/>
      <c r="C38" s="372"/>
      <c r="D38" s="317" t="e">
        <f t="shared" si="7"/>
        <v>#DIV/0!</v>
      </c>
      <c r="E38" s="372"/>
      <c r="F38" s="233" t="e">
        <f t="shared" si="1"/>
        <v>#DIV/0!</v>
      </c>
      <c r="G38" s="371"/>
      <c r="H38" s="233" t="e">
        <f t="shared" si="2"/>
        <v>#DIV/0!</v>
      </c>
      <c r="I38" s="236"/>
      <c r="J38" s="233" t="e">
        <f t="shared" si="3"/>
        <v>#DIV/0!</v>
      </c>
      <c r="K38" s="350"/>
      <c r="L38" s="351" t="e">
        <f t="shared" si="4"/>
        <v>#DIV/0!</v>
      </c>
      <c r="M38" s="804"/>
      <c r="N38" s="804"/>
      <c r="O38" s="234"/>
      <c r="P38" s="234"/>
      <c r="Q38" s="234"/>
      <c r="R38" s="234"/>
      <c r="S38" s="234"/>
    </row>
    <row r="39" spans="1:19" s="352" customFormat="1" ht="18">
      <c r="A39" s="237">
        <f t="shared" si="6"/>
        <v>46112</v>
      </c>
      <c r="B39" s="371"/>
      <c r="C39" s="372"/>
      <c r="D39" s="317" t="e">
        <f t="shared" ref="D39:D45" si="12">C39/B39</f>
        <v>#DIV/0!</v>
      </c>
      <c r="E39" s="372"/>
      <c r="F39" s="233" t="e">
        <f t="shared" si="1"/>
        <v>#DIV/0!</v>
      </c>
      <c r="G39" s="371"/>
      <c r="H39" s="233" t="e">
        <f t="shared" si="2"/>
        <v>#DIV/0!</v>
      </c>
      <c r="I39" s="236"/>
      <c r="J39" s="233" t="e">
        <f t="shared" si="3"/>
        <v>#DIV/0!</v>
      </c>
      <c r="K39" s="350"/>
      <c r="L39" s="351" t="e">
        <f t="shared" si="4"/>
        <v>#DIV/0!</v>
      </c>
      <c r="M39" s="804">
        <f>SUM(C39:C45)</f>
        <v>0</v>
      </c>
      <c r="N39" s="804">
        <f>SUM(E39:E45)</f>
        <v>0</v>
      </c>
      <c r="O39" s="234"/>
      <c r="P39" s="234"/>
      <c r="Q39" s="234"/>
      <c r="R39" s="234"/>
      <c r="S39" s="234"/>
    </row>
    <row r="40" spans="1:19" s="352" customFormat="1" ht="18">
      <c r="A40" s="237">
        <f t="shared" si="6"/>
        <v>46113</v>
      </c>
      <c r="B40" s="371"/>
      <c r="C40" s="372"/>
      <c r="D40" s="317" t="e">
        <f t="shared" si="12"/>
        <v>#DIV/0!</v>
      </c>
      <c r="E40" s="372"/>
      <c r="F40" s="233" t="e">
        <f t="shared" si="1"/>
        <v>#DIV/0!</v>
      </c>
      <c r="G40" s="371"/>
      <c r="H40" s="233" t="e">
        <f t="shared" si="2"/>
        <v>#DIV/0!</v>
      </c>
      <c r="I40" s="236"/>
      <c r="J40" s="233" t="e">
        <f t="shared" si="3"/>
        <v>#DIV/0!</v>
      </c>
      <c r="K40" s="350"/>
      <c r="L40" s="351" t="e">
        <f t="shared" si="4"/>
        <v>#DIV/0!</v>
      </c>
      <c r="M40" s="804"/>
      <c r="N40" s="804"/>
      <c r="O40" s="234"/>
      <c r="P40" s="234"/>
      <c r="Q40" s="234"/>
      <c r="R40" s="234"/>
      <c r="S40" s="234"/>
    </row>
    <row r="41" spans="1:19" s="352" customFormat="1" ht="18">
      <c r="A41" s="237">
        <f t="shared" si="6"/>
        <v>46114</v>
      </c>
      <c r="B41" s="371"/>
      <c r="C41" s="372"/>
      <c r="D41" s="317" t="e">
        <f t="shared" si="12"/>
        <v>#DIV/0!</v>
      </c>
      <c r="E41" s="372"/>
      <c r="F41" s="233" t="e">
        <f t="shared" si="1"/>
        <v>#DIV/0!</v>
      </c>
      <c r="G41" s="371"/>
      <c r="H41" s="233" t="e">
        <f t="shared" si="2"/>
        <v>#DIV/0!</v>
      </c>
      <c r="I41" s="236"/>
      <c r="J41" s="233" t="e">
        <f t="shared" si="3"/>
        <v>#DIV/0!</v>
      </c>
      <c r="K41" s="350"/>
      <c r="L41" s="351" t="e">
        <f t="shared" si="4"/>
        <v>#DIV/0!</v>
      </c>
      <c r="M41" s="804"/>
      <c r="N41" s="804"/>
      <c r="O41" s="234"/>
      <c r="P41" s="234"/>
      <c r="Q41" s="234"/>
      <c r="R41" s="234"/>
      <c r="S41" s="234"/>
    </row>
    <row r="42" spans="1:19" s="352" customFormat="1" ht="18">
      <c r="A42" s="237">
        <f t="shared" si="6"/>
        <v>46115</v>
      </c>
      <c r="B42" s="371"/>
      <c r="C42" s="372"/>
      <c r="D42" s="317" t="e">
        <f t="shared" si="12"/>
        <v>#DIV/0!</v>
      </c>
      <c r="E42" s="372"/>
      <c r="F42" s="233" t="e">
        <f t="shared" si="1"/>
        <v>#DIV/0!</v>
      </c>
      <c r="G42" s="371"/>
      <c r="H42" s="233" t="e">
        <f t="shared" si="2"/>
        <v>#DIV/0!</v>
      </c>
      <c r="I42" s="236"/>
      <c r="J42" s="233" t="e">
        <f t="shared" si="3"/>
        <v>#DIV/0!</v>
      </c>
      <c r="K42" s="350"/>
      <c r="L42" s="351" t="e">
        <f t="shared" si="4"/>
        <v>#DIV/0!</v>
      </c>
      <c r="M42" s="804"/>
      <c r="N42" s="804"/>
      <c r="O42" s="234"/>
      <c r="P42" s="234"/>
      <c r="Q42" s="234"/>
      <c r="R42" s="234"/>
      <c r="S42" s="234"/>
    </row>
    <row r="43" spans="1:19" s="352" customFormat="1" ht="18">
      <c r="A43" s="237">
        <f t="shared" si="6"/>
        <v>46116</v>
      </c>
      <c r="B43" s="371"/>
      <c r="C43" s="372"/>
      <c r="D43" s="317" t="e">
        <f t="shared" si="12"/>
        <v>#DIV/0!</v>
      </c>
      <c r="E43" s="372"/>
      <c r="F43" s="233" t="e">
        <f t="shared" si="1"/>
        <v>#DIV/0!</v>
      </c>
      <c r="G43" s="371"/>
      <c r="H43" s="233" t="e">
        <f t="shared" si="2"/>
        <v>#DIV/0!</v>
      </c>
      <c r="I43" s="236"/>
      <c r="J43" s="233" t="e">
        <f t="shared" si="3"/>
        <v>#DIV/0!</v>
      </c>
      <c r="K43" s="350"/>
      <c r="L43" s="351" t="e">
        <f t="shared" si="4"/>
        <v>#DIV/0!</v>
      </c>
      <c r="M43" s="804"/>
      <c r="N43" s="804"/>
      <c r="O43" s="234"/>
      <c r="P43" s="234"/>
      <c r="Q43" s="234"/>
      <c r="R43" s="234"/>
      <c r="S43" s="234"/>
    </row>
    <row r="44" spans="1:19" s="352" customFormat="1" ht="18">
      <c r="A44" s="237">
        <f t="shared" si="6"/>
        <v>46117</v>
      </c>
      <c r="B44" s="371"/>
      <c r="C44" s="372"/>
      <c r="D44" s="317" t="e">
        <f t="shared" si="12"/>
        <v>#DIV/0!</v>
      </c>
      <c r="E44" s="372"/>
      <c r="F44" s="233" t="e">
        <f t="shared" si="1"/>
        <v>#DIV/0!</v>
      </c>
      <c r="G44" s="371"/>
      <c r="H44" s="233" t="e">
        <f t="shared" si="2"/>
        <v>#DIV/0!</v>
      </c>
      <c r="I44" s="236"/>
      <c r="J44" s="233" t="e">
        <f t="shared" si="3"/>
        <v>#DIV/0!</v>
      </c>
      <c r="K44" s="350"/>
      <c r="L44" s="351" t="e">
        <f t="shared" si="4"/>
        <v>#DIV/0!</v>
      </c>
      <c r="M44" s="804"/>
      <c r="N44" s="804"/>
      <c r="O44" s="234"/>
      <c r="P44" s="234"/>
      <c r="Q44" s="234"/>
      <c r="R44" s="234"/>
      <c r="S44" s="234"/>
    </row>
    <row r="45" spans="1:19" s="352" customFormat="1" ht="18">
      <c r="A45" s="237">
        <f t="shared" si="6"/>
        <v>46118</v>
      </c>
      <c r="B45" s="371"/>
      <c r="C45" s="372"/>
      <c r="D45" s="317" t="e">
        <f t="shared" si="12"/>
        <v>#DIV/0!</v>
      </c>
      <c r="E45" s="372"/>
      <c r="F45" s="233" t="e">
        <f t="shared" si="1"/>
        <v>#DIV/0!</v>
      </c>
      <c r="G45" s="371"/>
      <c r="H45" s="233" t="e">
        <f t="shared" si="2"/>
        <v>#DIV/0!</v>
      </c>
      <c r="I45" s="236"/>
      <c r="J45" s="233" t="e">
        <f t="shared" si="3"/>
        <v>#DIV/0!</v>
      </c>
      <c r="K45" s="350"/>
      <c r="L45" s="351" t="e">
        <f t="shared" si="4"/>
        <v>#DIV/0!</v>
      </c>
      <c r="M45" s="804"/>
      <c r="N45" s="804"/>
      <c r="O45" s="234"/>
      <c r="P45" s="234"/>
      <c r="Q45" s="234"/>
      <c r="R45" s="234"/>
      <c r="S45" s="234"/>
    </row>
    <row r="47" spans="1:19" ht="18">
      <c r="A47" s="237" t="s">
        <v>477</v>
      </c>
      <c r="B47" s="374">
        <f>SUM(B9:B39)</f>
        <v>44825623.129999995</v>
      </c>
      <c r="C47" s="374">
        <f>SUM(C9:C39)</f>
        <v>91732.971639999974</v>
      </c>
      <c r="D47" s="375">
        <f>C47/B47</f>
        <v>2.0464405229563172E-3</v>
      </c>
      <c r="E47" s="374">
        <f>SUM(E9:E39)</f>
        <v>226815.14685999989</v>
      </c>
      <c r="F47" s="376">
        <f>E47/B47</f>
        <v>5.0599440905083944E-3</v>
      </c>
      <c r="G47" s="374">
        <f>SUM(G9:G39)</f>
        <v>16909.573099999998</v>
      </c>
      <c r="H47" s="377">
        <f>G47/C47</f>
        <v>0.18433473589366001</v>
      </c>
      <c r="I47" s="374">
        <f>SUM(I9:I39)</f>
        <v>118653.02199999994</v>
      </c>
      <c r="J47" s="377">
        <f>I47/E47</f>
        <v>0.52312653560671463</v>
      </c>
      <c r="K47" s="374">
        <f>SUM(K9:K39)</f>
        <v>8406.6105399999997</v>
      </c>
      <c r="L47" s="378">
        <f>K47/C47</f>
        <v>9.1642191348506527E-2</v>
      </c>
    </row>
  </sheetData>
  <mergeCells count="24">
    <mergeCell ref="K2:L2"/>
    <mergeCell ref="A1:N1"/>
    <mergeCell ref="M2:M3"/>
    <mergeCell ref="N2:N3"/>
    <mergeCell ref="I2:J2"/>
    <mergeCell ref="A2:A3"/>
    <mergeCell ref="B2:B3"/>
    <mergeCell ref="C2:C3"/>
    <mergeCell ref="D2:D3"/>
    <mergeCell ref="E2:E3"/>
    <mergeCell ref="F2:F3"/>
    <mergeCell ref="G2:H2"/>
    <mergeCell ref="M4:M10"/>
    <mergeCell ref="N4:N10"/>
    <mergeCell ref="M11:M17"/>
    <mergeCell ref="N11:N17"/>
    <mergeCell ref="M18:M24"/>
    <mergeCell ref="N18:N24"/>
    <mergeCell ref="M32:M38"/>
    <mergeCell ref="N32:N38"/>
    <mergeCell ref="M25:M31"/>
    <mergeCell ref="N25:N31"/>
    <mergeCell ref="M39:M45"/>
    <mergeCell ref="N39:N45"/>
  </mergeCells>
  <phoneticPr fontId="15" type="noConversion"/>
  <conditionalFormatting sqref="A4:A45">
    <cfRule type="timePeriod" dxfId="6" priority="1" timePeriod="yesterday">
      <formula>FLOOR(A4,1)=TODAY()-1</formula>
    </cfRule>
  </conditionalFormatting>
  <conditionalFormatting sqref="D4:D45">
    <cfRule type="cellIs" dxfId="5" priority="4" operator="greaterThan">
      <formula>0.0025</formula>
    </cfRule>
  </conditionalFormatting>
  <conditionalFormatting sqref="D47">
    <cfRule type="cellIs" dxfId="4" priority="16" operator="greaterThan">
      <formula>0.0025</formula>
    </cfRule>
  </conditionalFormatting>
  <conditionalFormatting sqref="H47 J47">
    <cfRule type="cellIs" dxfId="3" priority="15" operator="greaterThan">
      <formula>0.16</formula>
    </cfRule>
  </conditionalFormatting>
  <conditionalFormatting sqref="H4:J45">
    <cfRule type="cellIs" dxfId="2" priority="2" operator="greaterThan">
      <formula>0.16</formula>
    </cfRule>
  </conditionalFormatting>
  <conditionalFormatting sqref="L4:L45">
    <cfRule type="cellIs" dxfId="1" priority="3" operator="greaterThan">
      <formula>0.15</formula>
    </cfRule>
  </conditionalFormatting>
  <conditionalFormatting sqref="L47">
    <cfRule type="cellIs" dxfId="0" priority="14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H200"/>
  <sheetViews>
    <sheetView zoomScale="70" zoomScaleNormal="70" workbookViewId="0">
      <pane xSplit="3" ySplit="2" topLeftCell="D15" activePane="bottomRight" state="frozen"/>
      <selection pane="topRight" activeCell="D1" sqref="D1"/>
      <selection pane="bottomLeft" activeCell="A4" sqref="A4"/>
      <selection pane="bottomRight" activeCell="U50" sqref="U50"/>
    </sheetView>
  </sheetViews>
  <sheetFormatPr defaultColWidth="8.81640625" defaultRowHeight="16"/>
  <cols>
    <col min="1" max="1" width="8.81640625" style="148"/>
    <col min="2" max="2" width="12.453125" style="148" customWidth="1"/>
    <col min="3" max="3" width="8.81640625" style="148"/>
    <col min="4" max="4" width="11.54296875" style="148" customWidth="1"/>
    <col min="5" max="5" width="39.26953125" style="148" bestFit="1" customWidth="1"/>
    <col min="6" max="6" width="11.453125" style="148" bestFit="1" customWidth="1"/>
    <col min="7" max="8" width="17.26953125" style="148" bestFit="1" customWidth="1"/>
    <col min="9" max="9" width="16.81640625" style="148" customWidth="1"/>
    <col min="10" max="10" width="14" style="148" customWidth="1"/>
    <col min="11" max="11" width="11.54296875" style="148" bestFit="1" customWidth="1"/>
    <col min="12" max="12" width="10.81640625" style="148" bestFit="1" customWidth="1"/>
    <col min="13" max="13" width="19.1796875" style="148" bestFit="1" customWidth="1"/>
    <col min="14" max="14" width="15.26953125" style="148" bestFit="1" customWidth="1"/>
    <col min="15" max="15" width="12.54296875" style="148" bestFit="1" customWidth="1"/>
    <col min="16" max="16" width="12.81640625" style="148" bestFit="1" customWidth="1"/>
    <col min="17" max="17" width="13.453125" style="148" bestFit="1" customWidth="1"/>
    <col min="18" max="18" width="12.81640625" style="148" bestFit="1" customWidth="1"/>
    <col min="19" max="19" width="10.81640625" style="148" bestFit="1" customWidth="1"/>
    <col min="20" max="20" width="12.453125" style="148" bestFit="1" customWidth="1"/>
    <col min="21" max="21" width="25.26953125" style="148" bestFit="1" customWidth="1"/>
    <col min="22" max="22" width="88.26953125" style="148" customWidth="1"/>
    <col min="23" max="23" width="117.7265625" style="148" bestFit="1" customWidth="1"/>
    <col min="24" max="24" width="7.453125" style="148" bestFit="1" customWidth="1"/>
    <col min="25" max="25" width="69.54296875" style="148" bestFit="1" customWidth="1"/>
    <col min="26" max="26" width="11.453125" style="148" bestFit="1" customWidth="1"/>
    <col min="27" max="27" width="21.54296875" style="148" customWidth="1"/>
    <col min="28" max="28" width="19.453125" style="148" bestFit="1" customWidth="1"/>
    <col min="29" max="34" width="14.453125" style="148" customWidth="1"/>
    <col min="35" max="16384" width="8.81640625" style="148"/>
  </cols>
  <sheetData>
    <row r="2" spans="2:34" ht="41.15" customHeight="1">
      <c r="B2" s="841" t="s">
        <v>488</v>
      </c>
      <c r="C2" s="842"/>
      <c r="D2" s="842"/>
      <c r="E2" s="842"/>
      <c r="F2" s="842"/>
      <c r="G2" s="842"/>
      <c r="H2" s="842"/>
      <c r="I2" s="842"/>
      <c r="J2" s="842"/>
      <c r="K2" s="842"/>
      <c r="L2" s="842"/>
      <c r="M2" s="842"/>
      <c r="N2" s="842"/>
      <c r="O2" s="842"/>
      <c r="P2" s="842"/>
      <c r="Q2" s="842"/>
      <c r="R2" s="842"/>
      <c r="S2" s="842"/>
      <c r="T2" s="842"/>
      <c r="U2" s="842"/>
      <c r="V2" s="842"/>
      <c r="W2" s="842"/>
      <c r="X2" s="842"/>
      <c r="Y2" s="842"/>
      <c r="AA2" s="149"/>
      <c r="AB2" s="149"/>
    </row>
    <row r="3" spans="2:34" ht="17.149999999999999" customHeight="1">
      <c r="B3" s="829" t="s">
        <v>489</v>
      </c>
      <c r="C3" s="830"/>
      <c r="D3" s="826" t="s">
        <v>172</v>
      </c>
      <c r="E3" s="826"/>
      <c r="F3" s="826"/>
      <c r="G3" s="826" t="s">
        <v>186</v>
      </c>
      <c r="H3" s="826"/>
      <c r="I3" s="826"/>
      <c r="J3" s="826"/>
      <c r="K3" s="826"/>
      <c r="L3" s="826"/>
      <c r="M3" s="826"/>
      <c r="N3" s="826"/>
      <c r="O3" s="826"/>
      <c r="P3" s="826"/>
      <c r="Q3" s="826"/>
      <c r="R3" s="826"/>
      <c r="S3" s="826"/>
      <c r="T3" s="826" t="s">
        <v>173</v>
      </c>
      <c r="U3" s="816" t="s">
        <v>248</v>
      </c>
      <c r="V3" s="835" t="s">
        <v>490</v>
      </c>
      <c r="W3" s="835" t="s">
        <v>491</v>
      </c>
      <c r="X3" s="838" t="s">
        <v>249</v>
      </c>
      <c r="Y3" s="827" t="s">
        <v>174</v>
      </c>
      <c r="AA3" s="816" t="s">
        <v>250</v>
      </c>
      <c r="AB3" s="817"/>
      <c r="AC3" s="817"/>
      <c r="AD3" s="817"/>
      <c r="AE3" s="817"/>
      <c r="AF3" s="817"/>
      <c r="AG3" s="817"/>
      <c r="AH3" s="818"/>
    </row>
    <row r="4" spans="2:34" ht="17.149999999999999" customHeight="1">
      <c r="B4" s="831"/>
      <c r="C4" s="832"/>
      <c r="D4" s="825" t="s">
        <v>171</v>
      </c>
      <c r="E4" s="826" t="s">
        <v>175</v>
      </c>
      <c r="F4" s="826"/>
      <c r="G4" s="826" t="s">
        <v>187</v>
      </c>
      <c r="H4" s="826"/>
      <c r="I4" s="826"/>
      <c r="J4" s="826"/>
      <c r="K4" s="826"/>
      <c r="L4" s="826"/>
      <c r="M4" s="826"/>
      <c r="N4" s="826"/>
      <c r="O4" s="826" t="s">
        <v>176</v>
      </c>
      <c r="P4" s="826"/>
      <c r="Q4" s="826"/>
      <c r="R4" s="826"/>
      <c r="S4" s="826"/>
      <c r="T4" s="826"/>
      <c r="U4" s="819"/>
      <c r="V4" s="836"/>
      <c r="W4" s="836"/>
      <c r="X4" s="839"/>
      <c r="Y4" s="827"/>
      <c r="AA4" s="819"/>
      <c r="AB4" s="820"/>
      <c r="AC4" s="820"/>
      <c r="AD4" s="820"/>
      <c r="AE4" s="820"/>
      <c r="AF4" s="820"/>
      <c r="AG4" s="820"/>
      <c r="AH4" s="821"/>
    </row>
    <row r="5" spans="2:34" ht="17.149999999999999" customHeight="1">
      <c r="B5" s="831"/>
      <c r="C5" s="832"/>
      <c r="D5" s="825"/>
      <c r="E5" s="825" t="s">
        <v>177</v>
      </c>
      <c r="F5" s="827" t="s">
        <v>251</v>
      </c>
      <c r="G5" s="828" t="s">
        <v>188</v>
      </c>
      <c r="H5" s="828"/>
      <c r="I5" s="828"/>
      <c r="J5" s="828"/>
      <c r="K5" s="828"/>
      <c r="L5" s="828"/>
      <c r="M5" s="828"/>
      <c r="N5" s="828"/>
      <c r="O5" s="828" t="s">
        <v>170</v>
      </c>
      <c r="P5" s="828"/>
      <c r="Q5" s="828" t="s">
        <v>178</v>
      </c>
      <c r="R5" s="828"/>
      <c r="S5" s="828"/>
      <c r="T5" s="826"/>
      <c r="U5" s="819"/>
      <c r="V5" s="836"/>
      <c r="W5" s="836"/>
      <c r="X5" s="839"/>
      <c r="Y5" s="827"/>
      <c r="AA5" s="822"/>
      <c r="AB5" s="823"/>
      <c r="AC5" s="823"/>
      <c r="AD5" s="823"/>
      <c r="AE5" s="823"/>
      <c r="AF5" s="823"/>
      <c r="AG5" s="823"/>
      <c r="AH5" s="824"/>
    </row>
    <row r="6" spans="2:34" ht="38.5" customHeight="1">
      <c r="B6" s="833"/>
      <c r="C6" s="834"/>
      <c r="D6" s="825"/>
      <c r="E6" s="825"/>
      <c r="F6" s="827"/>
      <c r="G6" s="391" t="s">
        <v>179</v>
      </c>
      <c r="H6" s="391" t="s">
        <v>255</v>
      </c>
      <c r="I6" s="391" t="s">
        <v>256</v>
      </c>
      <c r="J6" s="391" t="s">
        <v>180</v>
      </c>
      <c r="K6" s="391" t="s">
        <v>253</v>
      </c>
      <c r="L6" s="391" t="s">
        <v>181</v>
      </c>
      <c r="M6" s="391" t="s">
        <v>189</v>
      </c>
      <c r="N6" s="391" t="s">
        <v>182</v>
      </c>
      <c r="O6" s="392" t="s">
        <v>183</v>
      </c>
      <c r="P6" s="392" t="s">
        <v>184</v>
      </c>
      <c r="Q6" s="392" t="s">
        <v>183</v>
      </c>
      <c r="R6" s="392" t="s">
        <v>184</v>
      </c>
      <c r="S6" s="391" t="s">
        <v>185</v>
      </c>
      <c r="T6" s="826"/>
      <c r="U6" s="822"/>
      <c r="V6" s="837"/>
      <c r="W6" s="837"/>
      <c r="X6" s="840"/>
      <c r="Y6" s="827"/>
      <c r="AA6" s="163" t="s">
        <v>247</v>
      </c>
      <c r="AB6" s="163" t="s">
        <v>492</v>
      </c>
      <c r="AC6" s="158" t="s">
        <v>398</v>
      </c>
      <c r="AD6" s="158" t="s">
        <v>342</v>
      </c>
      <c r="AE6" s="158" t="s">
        <v>466</v>
      </c>
      <c r="AF6" s="158" t="s">
        <v>218</v>
      </c>
      <c r="AG6" s="158" t="s">
        <v>219</v>
      </c>
      <c r="AH6" s="158" t="s">
        <v>399</v>
      </c>
    </row>
    <row r="7" spans="2:34" s="150" customFormat="1" ht="27" customHeight="1">
      <c r="B7" s="810" t="s">
        <v>561</v>
      </c>
      <c r="C7" s="811"/>
      <c r="D7" s="390">
        <v>1</v>
      </c>
      <c r="E7" s="393" t="s">
        <v>481</v>
      </c>
      <c r="F7" s="394">
        <v>1710.7662</v>
      </c>
      <c r="G7" s="395">
        <v>488.12</v>
      </c>
      <c r="H7" s="395">
        <v>498.69</v>
      </c>
      <c r="I7" s="396">
        <f>H7/G7</f>
        <v>1.021654511185774</v>
      </c>
      <c r="J7" s="395">
        <v>0</v>
      </c>
      <c r="K7" s="396">
        <f>J7/G7</f>
        <v>0</v>
      </c>
      <c r="L7" s="395">
        <v>181.60999999999999</v>
      </c>
      <c r="M7" s="396">
        <f>(H7+J7)/G7</f>
        <v>1.021654511185774</v>
      </c>
      <c r="N7" s="397">
        <v>1919.6177</v>
      </c>
      <c r="O7" s="395">
        <v>9.4200000000000017</v>
      </c>
      <c r="P7" s="396">
        <f>O7/G7</f>
        <v>1.9298533147586661E-2</v>
      </c>
      <c r="Q7" s="398">
        <f>((H7+J7)-G7)-O7</f>
        <v>1.1499999999999915</v>
      </c>
      <c r="R7" s="396">
        <f>Q7/G7</f>
        <v>2.3559780381873134E-3</v>
      </c>
      <c r="S7" s="399">
        <f>Q7*L7</f>
        <v>208.85149999999842</v>
      </c>
      <c r="T7" s="400" t="s">
        <v>433</v>
      </c>
      <c r="U7" s="400" t="s">
        <v>492</v>
      </c>
      <c r="V7" s="401" t="s">
        <v>503</v>
      </c>
      <c r="W7" s="401" t="s">
        <v>504</v>
      </c>
      <c r="X7" s="401">
        <v>1</v>
      </c>
      <c r="Y7" s="402" t="s">
        <v>480</v>
      </c>
      <c r="Z7" s="403" t="s">
        <v>493</v>
      </c>
      <c r="AA7" s="413">
        <f>SUM(X7:X26)</f>
        <v>20</v>
      </c>
      <c r="AB7" s="405">
        <f>SUMIF($U$7:$U$26,TRIM(AB6),$X$7:$X$26)</f>
        <v>14</v>
      </c>
      <c r="AC7" s="405">
        <f t="shared" ref="AC7:AG7" si="0">SUMIF($U$7:$U$26,TRIM(AC6),$X$7:$X$26)</f>
        <v>0</v>
      </c>
      <c r="AD7" s="405">
        <f t="shared" si="0"/>
        <v>4</v>
      </c>
      <c r="AE7" s="405">
        <f t="shared" si="0"/>
        <v>0</v>
      </c>
      <c r="AF7" s="405">
        <f t="shared" si="0"/>
        <v>1</v>
      </c>
      <c r="AG7" s="405">
        <f t="shared" si="0"/>
        <v>1</v>
      </c>
      <c r="AH7" s="405">
        <f>SUMIF($U$7:$U$26,TRIM(AH6),$X$7:$X$26)</f>
        <v>0</v>
      </c>
    </row>
    <row r="8" spans="2:34" s="150" customFormat="1" ht="27" customHeight="1">
      <c r="B8" s="812"/>
      <c r="C8" s="813"/>
      <c r="D8" s="390">
        <v>2</v>
      </c>
      <c r="E8" s="393" t="s">
        <v>495</v>
      </c>
      <c r="F8" s="394">
        <v>1376.9</v>
      </c>
      <c r="G8" s="395">
        <v>136778</v>
      </c>
      <c r="H8" s="395">
        <v>137340</v>
      </c>
      <c r="I8" s="396">
        <f t="shared" ref="I8:I9" si="1">H8/G8</f>
        <v>1.0041088479141382</v>
      </c>
      <c r="J8" s="395">
        <v>0</v>
      </c>
      <c r="K8" s="396">
        <f t="shared" ref="K8:K13" si="2">J8/G8</f>
        <v>0</v>
      </c>
      <c r="L8" s="395">
        <v>2.4499999999999997</v>
      </c>
      <c r="M8" s="396">
        <f t="shared" ref="M8:M13" si="3">(H8+J8)/G8</f>
        <v>1.0041088479141382</v>
      </c>
      <c r="N8" s="397">
        <v>1376.9</v>
      </c>
      <c r="O8" s="395">
        <v>562</v>
      </c>
      <c r="P8" s="396">
        <f t="shared" ref="P8:P26" si="4">O8/G8</f>
        <v>4.1088479141382387E-3</v>
      </c>
      <c r="Q8" s="398">
        <f t="shared" ref="Q8:Q26" si="5">((H8+J8)-G8)-O8</f>
        <v>0</v>
      </c>
      <c r="R8" s="396">
        <f t="shared" ref="R8:R26" si="6">Q8/G8</f>
        <v>0</v>
      </c>
      <c r="S8" s="399">
        <f t="shared" ref="S8:S26" si="7">Q8*L8</f>
        <v>0</v>
      </c>
      <c r="T8" s="400" t="s">
        <v>433</v>
      </c>
      <c r="U8" s="400" t="s">
        <v>342</v>
      </c>
      <c r="V8" s="401" t="s">
        <v>588</v>
      </c>
      <c r="W8" s="401" t="s">
        <v>589</v>
      </c>
      <c r="X8" s="401">
        <v>1</v>
      </c>
      <c r="Y8" s="402" t="s">
        <v>345</v>
      </c>
      <c r="AA8" s="414"/>
      <c r="AB8" s="411">
        <f>SUMIF($U7:$U$26,TRIM(AB6),$F$7:$F$26)</f>
        <v>15102.013300000001</v>
      </c>
      <c r="AC8" s="411">
        <f>SUMIF($U7:$U$26,TRIM(AC6),$F$7:$F$26)</f>
        <v>0</v>
      </c>
      <c r="AD8" s="411">
        <f>SUMIF($U7:$U$26,TRIM(AD6),$F$7:$F$26)</f>
        <v>4863.9854000000005</v>
      </c>
      <c r="AE8" s="411">
        <f>SUMIF($U7:$U$26,TRIM(AE6),$F$7:$F$26)</f>
        <v>0</v>
      </c>
      <c r="AF8" s="411">
        <f>SUMIF($U7:$U$26,TRIM(AF6),$F$7:$F$26)</f>
        <v>1008.96</v>
      </c>
      <c r="AG8" s="411">
        <f>SUMIF($U7:$U$26,TRIM(AG6),$F$7:$F$26)</f>
        <v>1266.9000000000001</v>
      </c>
      <c r="AH8" s="411">
        <f>SUMIF($U7:$U$26,TRIM(AH6),$F$7:$F$26)</f>
        <v>0</v>
      </c>
    </row>
    <row r="9" spans="2:34" s="150" customFormat="1" ht="27" customHeight="1">
      <c r="B9" s="812"/>
      <c r="C9" s="813"/>
      <c r="D9" s="390">
        <v>3</v>
      </c>
      <c r="E9" s="393" t="s">
        <v>494</v>
      </c>
      <c r="F9" s="394">
        <v>1295.1899999999998</v>
      </c>
      <c r="G9" s="395">
        <v>235161</v>
      </c>
      <c r="H9" s="395">
        <v>236268</v>
      </c>
      <c r="I9" s="396">
        <f t="shared" si="1"/>
        <v>1.0047074132190286</v>
      </c>
      <c r="J9" s="395">
        <v>0</v>
      </c>
      <c r="K9" s="396">
        <f t="shared" si="2"/>
        <v>0</v>
      </c>
      <c r="L9" s="395">
        <v>1.17</v>
      </c>
      <c r="M9" s="396">
        <f t="shared" si="3"/>
        <v>1.0047074132190286</v>
      </c>
      <c r="N9" s="397">
        <v>1295.1899999999998</v>
      </c>
      <c r="O9" s="395">
        <v>1107</v>
      </c>
      <c r="P9" s="396">
        <f t="shared" si="4"/>
        <v>4.7074132190286656E-3</v>
      </c>
      <c r="Q9" s="398">
        <f t="shared" si="5"/>
        <v>0</v>
      </c>
      <c r="R9" s="396">
        <f t="shared" si="6"/>
        <v>0</v>
      </c>
      <c r="S9" s="399">
        <f t="shared" si="7"/>
        <v>0</v>
      </c>
      <c r="T9" s="400" t="s">
        <v>433</v>
      </c>
      <c r="U9" s="400" t="s">
        <v>342</v>
      </c>
      <c r="V9" s="401" t="s">
        <v>591</v>
      </c>
      <c r="W9" s="401" t="s">
        <v>592</v>
      </c>
      <c r="X9" s="401">
        <v>1</v>
      </c>
      <c r="Y9" s="402" t="s">
        <v>345</v>
      </c>
      <c r="AA9" s="390"/>
      <c r="AB9" s="412">
        <f>AB7/$AA7</f>
        <v>0.7</v>
      </c>
      <c r="AC9" s="412">
        <f t="shared" ref="AC9:AH9" si="8">AC7/$AA7</f>
        <v>0</v>
      </c>
      <c r="AD9" s="412">
        <f t="shared" si="8"/>
        <v>0.2</v>
      </c>
      <c r="AE9" s="412">
        <f t="shared" si="8"/>
        <v>0</v>
      </c>
      <c r="AF9" s="412">
        <f t="shared" si="8"/>
        <v>0.05</v>
      </c>
      <c r="AG9" s="412">
        <f t="shared" si="8"/>
        <v>0.05</v>
      </c>
      <c r="AH9" s="412">
        <f t="shared" si="8"/>
        <v>0</v>
      </c>
    </row>
    <row r="10" spans="2:34" s="150" customFormat="1" ht="27" customHeight="1">
      <c r="B10" s="812"/>
      <c r="C10" s="813"/>
      <c r="D10" s="390">
        <v>4</v>
      </c>
      <c r="E10" s="393" t="s">
        <v>338</v>
      </c>
      <c r="F10" s="394">
        <v>1266.9000000000001</v>
      </c>
      <c r="G10" s="395">
        <v>19150</v>
      </c>
      <c r="H10" s="395">
        <v>19020</v>
      </c>
      <c r="I10" s="396">
        <f>H10/G10</f>
        <v>0.99321148825065275</v>
      </c>
      <c r="J10" s="395">
        <v>212</v>
      </c>
      <c r="K10" s="396">
        <f t="shared" si="2"/>
        <v>1.1070496083550914E-2</v>
      </c>
      <c r="L10" s="395">
        <v>15.450000000000001</v>
      </c>
      <c r="M10" s="396">
        <f t="shared" si="3"/>
        <v>1.0042819843342037</v>
      </c>
      <c r="N10" s="397">
        <v>1266.9000000000001</v>
      </c>
      <c r="O10" s="395">
        <v>82</v>
      </c>
      <c r="P10" s="396">
        <f t="shared" si="4"/>
        <v>4.2819843342036552E-3</v>
      </c>
      <c r="Q10" s="398">
        <f t="shared" si="5"/>
        <v>0</v>
      </c>
      <c r="R10" s="396">
        <f t="shared" si="6"/>
        <v>0</v>
      </c>
      <c r="S10" s="399">
        <f t="shared" si="7"/>
        <v>0</v>
      </c>
      <c r="T10" s="400" t="s">
        <v>433</v>
      </c>
      <c r="U10" s="400" t="s">
        <v>551</v>
      </c>
      <c r="V10" s="401" t="s">
        <v>587</v>
      </c>
      <c r="W10" s="401" t="s">
        <v>578</v>
      </c>
      <c r="X10" s="401">
        <v>1</v>
      </c>
      <c r="Y10" s="402" t="s">
        <v>344</v>
      </c>
    </row>
    <row r="11" spans="2:34" s="150" customFormat="1" ht="27" customHeight="1">
      <c r="B11" s="812"/>
      <c r="C11" s="813"/>
      <c r="D11" s="390">
        <v>5</v>
      </c>
      <c r="E11" s="393" t="s">
        <v>339</v>
      </c>
      <c r="F11" s="394">
        <v>1232.529</v>
      </c>
      <c r="G11" s="395">
        <v>724.08999999999992</v>
      </c>
      <c r="H11" s="395">
        <v>719.87</v>
      </c>
      <c r="I11" s="396">
        <f t="shared" ref="I11:I26" si="9">H11/G11</f>
        <v>0.99417199519396771</v>
      </c>
      <c r="J11" s="395">
        <v>13.780000000000001</v>
      </c>
      <c r="K11" s="396">
        <f t="shared" si="2"/>
        <v>1.9030783466143716E-2</v>
      </c>
      <c r="L11" s="395">
        <v>141.66999999999999</v>
      </c>
      <c r="M11" s="396">
        <f t="shared" si="3"/>
        <v>1.0132027786601114</v>
      </c>
      <c r="N11" s="397">
        <v>1354.3652000000063</v>
      </c>
      <c r="O11" s="395">
        <v>8.6999999999999993</v>
      </c>
      <c r="P11" s="396">
        <f t="shared" si="4"/>
        <v>1.2015080998218453E-2</v>
      </c>
      <c r="Q11" s="398">
        <f t="shared" si="5"/>
        <v>0.86000000000005983</v>
      </c>
      <c r="R11" s="396">
        <f t="shared" si="6"/>
        <v>1.1876976618929414E-3</v>
      </c>
      <c r="S11" s="399">
        <f t="shared" si="7"/>
        <v>121.83620000000846</v>
      </c>
      <c r="T11" s="400" t="s">
        <v>433</v>
      </c>
      <c r="U11" s="400" t="s">
        <v>492</v>
      </c>
      <c r="V11" s="401" t="s">
        <v>511</v>
      </c>
      <c r="W11" s="401" t="s">
        <v>590</v>
      </c>
      <c r="X11" s="401">
        <v>1</v>
      </c>
      <c r="Y11" s="402" t="s">
        <v>347</v>
      </c>
    </row>
    <row r="12" spans="2:34" s="150" customFormat="1" ht="27" customHeight="1">
      <c r="B12" s="812"/>
      <c r="C12" s="813"/>
      <c r="D12" s="390">
        <v>6</v>
      </c>
      <c r="E12" s="393" t="s">
        <v>369</v>
      </c>
      <c r="F12" s="394">
        <v>1114.7087999999999</v>
      </c>
      <c r="G12" s="395">
        <v>283.81</v>
      </c>
      <c r="H12" s="395">
        <v>285.74</v>
      </c>
      <c r="I12" s="396">
        <f t="shared" si="9"/>
        <v>1.0068003241605299</v>
      </c>
      <c r="J12" s="395">
        <v>6.04</v>
      </c>
      <c r="K12" s="396">
        <f t="shared" si="2"/>
        <v>2.1281843486839785E-2</v>
      </c>
      <c r="L12" s="395">
        <v>253.92000000000002</v>
      </c>
      <c r="M12" s="396">
        <f t="shared" si="3"/>
        <v>1.0280821676473697</v>
      </c>
      <c r="N12" s="397">
        <v>2023.7424000000015</v>
      </c>
      <c r="O12" s="395">
        <v>4.3899999999999997</v>
      </c>
      <c r="P12" s="396">
        <f t="shared" si="4"/>
        <v>1.5468094852189845E-2</v>
      </c>
      <c r="Q12" s="398">
        <f t="shared" si="5"/>
        <v>3.5800000000000276</v>
      </c>
      <c r="R12" s="396">
        <f t="shared" si="6"/>
        <v>1.2614072795179971E-2</v>
      </c>
      <c r="S12" s="399">
        <f t="shared" si="7"/>
        <v>909.03360000000703</v>
      </c>
      <c r="T12" s="400" t="s">
        <v>433</v>
      </c>
      <c r="U12" s="400" t="s">
        <v>492</v>
      </c>
      <c r="V12" s="401" t="s">
        <v>595</v>
      </c>
      <c r="W12" s="401" t="s">
        <v>596</v>
      </c>
      <c r="X12" s="401">
        <v>1</v>
      </c>
      <c r="Y12" s="402" t="s">
        <v>361</v>
      </c>
    </row>
    <row r="13" spans="2:34" s="150" customFormat="1" ht="27" customHeight="1">
      <c r="B13" s="812"/>
      <c r="C13" s="813"/>
      <c r="D13" s="390">
        <v>7</v>
      </c>
      <c r="E13" s="393" t="s">
        <v>454</v>
      </c>
      <c r="F13" s="394">
        <v>1101.6954000000001</v>
      </c>
      <c r="G13" s="395">
        <v>587.61</v>
      </c>
      <c r="H13" s="395">
        <v>575.6</v>
      </c>
      <c r="I13" s="396">
        <f t="shared" si="9"/>
        <v>0.9795612736338728</v>
      </c>
      <c r="J13" s="395">
        <v>26.54</v>
      </c>
      <c r="K13" s="396">
        <f t="shared" si="2"/>
        <v>4.5166011470192814E-2</v>
      </c>
      <c r="L13" s="395">
        <v>122.81999999999996</v>
      </c>
      <c r="M13" s="396">
        <f t="shared" si="3"/>
        <v>1.0247272851040656</v>
      </c>
      <c r="N13" s="397">
        <v>1784.5746000000026</v>
      </c>
      <c r="O13" s="395">
        <v>8.9700000000000006</v>
      </c>
      <c r="P13" s="396">
        <f t="shared" si="4"/>
        <v>1.5265226936233217E-2</v>
      </c>
      <c r="Q13" s="398">
        <f t="shared" si="5"/>
        <v>5.5599999999999721</v>
      </c>
      <c r="R13" s="396">
        <f t="shared" si="6"/>
        <v>9.462058167832358E-3</v>
      </c>
      <c r="S13" s="399">
        <f t="shared" si="7"/>
        <v>682.87919999999633</v>
      </c>
      <c r="T13" s="400" t="s">
        <v>433</v>
      </c>
      <c r="U13" s="400" t="s">
        <v>342</v>
      </c>
      <c r="V13" s="401" t="s">
        <v>505</v>
      </c>
      <c r="W13" s="425" t="s">
        <v>506</v>
      </c>
      <c r="X13" s="401">
        <v>1</v>
      </c>
      <c r="Y13" s="402" t="s">
        <v>438</v>
      </c>
      <c r="AC13" s="406"/>
    </row>
    <row r="14" spans="2:34" s="150" customFormat="1" ht="27" customHeight="1">
      <c r="B14" s="812"/>
      <c r="C14" s="813"/>
      <c r="D14" s="390">
        <v>8</v>
      </c>
      <c r="E14" s="393" t="s">
        <v>522</v>
      </c>
      <c r="F14" s="394">
        <v>1098.5412999999999</v>
      </c>
      <c r="G14" s="395">
        <v>181.01999999999998</v>
      </c>
      <c r="H14" s="395">
        <v>186.66</v>
      </c>
      <c r="I14" s="396">
        <f t="shared" si="9"/>
        <v>1.0311567782565463</v>
      </c>
      <c r="J14" s="395">
        <v>3.6</v>
      </c>
      <c r="K14" s="396">
        <f>J14/G14</f>
        <v>1.9887305270135901E-2</v>
      </c>
      <c r="L14" s="395">
        <v>169.79</v>
      </c>
      <c r="M14" s="396">
        <f>(H14+J14)/G14</f>
        <v>1.0510440835266821</v>
      </c>
      <c r="N14" s="397">
        <v>1568.8596000000002</v>
      </c>
      <c r="O14" s="395">
        <v>6.4700000000000006</v>
      </c>
      <c r="P14" s="396">
        <f t="shared" si="4"/>
        <v>3.5741906971605356E-2</v>
      </c>
      <c r="Q14" s="398">
        <f t="shared" si="5"/>
        <v>2.7700000000000085</v>
      </c>
      <c r="R14" s="396">
        <f t="shared" si="6"/>
        <v>1.5302176555076836E-2</v>
      </c>
      <c r="S14" s="399">
        <f t="shared" si="7"/>
        <v>470.31830000000139</v>
      </c>
      <c r="T14" s="400" t="s">
        <v>433</v>
      </c>
      <c r="U14" s="400" t="s">
        <v>492</v>
      </c>
      <c r="V14" s="401" t="s">
        <v>503</v>
      </c>
      <c r="W14" s="401" t="s">
        <v>504</v>
      </c>
      <c r="X14" s="401">
        <v>1</v>
      </c>
      <c r="Y14" s="402" t="s">
        <v>475</v>
      </c>
      <c r="AC14" s="406"/>
    </row>
    <row r="15" spans="2:34" s="150" customFormat="1" ht="27" customHeight="1">
      <c r="B15" s="812"/>
      <c r="C15" s="813"/>
      <c r="D15" s="390">
        <v>9</v>
      </c>
      <c r="E15" s="393" t="s">
        <v>564</v>
      </c>
      <c r="F15" s="394">
        <v>1090.2</v>
      </c>
      <c r="G15" s="395">
        <v>19266</v>
      </c>
      <c r="H15" s="395">
        <v>19680</v>
      </c>
      <c r="I15" s="396">
        <f t="shared" si="9"/>
        <v>1.0214886328246653</v>
      </c>
      <c r="J15" s="395">
        <v>60</v>
      </c>
      <c r="K15" s="396">
        <f t="shared" ref="K15:K26" si="10">J15/G15</f>
        <v>3.1142946122703209E-3</v>
      </c>
      <c r="L15" s="395">
        <v>2.3000000000000003</v>
      </c>
      <c r="M15" s="396">
        <f t="shared" ref="M15:M20" si="11">(H15+J15)/G15</f>
        <v>1.0246029274369355</v>
      </c>
      <c r="N15" s="397">
        <v>1090.2</v>
      </c>
      <c r="O15" s="395">
        <v>474</v>
      </c>
      <c r="P15" s="396">
        <f t="shared" si="4"/>
        <v>2.4602927436935533E-2</v>
      </c>
      <c r="Q15" s="398">
        <f t="shared" si="5"/>
        <v>0</v>
      </c>
      <c r="R15" s="396">
        <f t="shared" si="6"/>
        <v>0</v>
      </c>
      <c r="S15" s="399">
        <f t="shared" si="7"/>
        <v>0</v>
      </c>
      <c r="T15" s="400" t="s">
        <v>433</v>
      </c>
      <c r="U15" s="400" t="s">
        <v>342</v>
      </c>
      <c r="V15" s="401" t="s">
        <v>568</v>
      </c>
      <c r="W15" s="401" t="s">
        <v>569</v>
      </c>
      <c r="X15" s="401">
        <v>1</v>
      </c>
      <c r="Y15" s="402" t="s">
        <v>438</v>
      </c>
      <c r="AC15" s="406"/>
    </row>
    <row r="16" spans="2:34" s="150" customFormat="1" ht="27" customHeight="1">
      <c r="B16" s="812"/>
      <c r="C16" s="813"/>
      <c r="D16" s="390">
        <v>10</v>
      </c>
      <c r="E16" s="393" t="s">
        <v>368</v>
      </c>
      <c r="F16" s="394">
        <v>1072.5160000000001</v>
      </c>
      <c r="G16" s="395">
        <v>351.39</v>
      </c>
      <c r="H16" s="395">
        <v>356.78000000000003</v>
      </c>
      <c r="I16" s="396">
        <f t="shared" si="9"/>
        <v>1.0153390819317569</v>
      </c>
      <c r="J16" s="395">
        <v>7.57</v>
      </c>
      <c r="K16" s="396">
        <f t="shared" si="10"/>
        <v>2.1543014883747404E-2</v>
      </c>
      <c r="L16" s="395">
        <v>183.65000000000003</v>
      </c>
      <c r="M16" s="396">
        <f t="shared" si="11"/>
        <v>1.0368820968155041</v>
      </c>
      <c r="N16" s="397">
        <v>2380.1040000000016</v>
      </c>
      <c r="O16" s="395">
        <v>5.84</v>
      </c>
      <c r="P16" s="396">
        <f t="shared" si="4"/>
        <v>1.6619710293406188E-2</v>
      </c>
      <c r="Q16" s="398">
        <f t="shared" si="5"/>
        <v>7.1200000000000365</v>
      </c>
      <c r="R16" s="396">
        <f t="shared" si="6"/>
        <v>2.026238652209806E-2</v>
      </c>
      <c r="S16" s="399">
        <f t="shared" si="7"/>
        <v>1307.588000000007</v>
      </c>
      <c r="T16" s="400" t="s">
        <v>433</v>
      </c>
      <c r="U16" s="400" t="s">
        <v>492</v>
      </c>
      <c r="V16" s="401" t="s">
        <v>529</v>
      </c>
      <c r="W16" s="401" t="s">
        <v>530</v>
      </c>
      <c r="X16" s="401">
        <v>1</v>
      </c>
      <c r="Y16" s="402" t="s">
        <v>361</v>
      </c>
      <c r="AC16" s="406"/>
    </row>
    <row r="17" spans="2:34" s="150" customFormat="1" ht="27" customHeight="1">
      <c r="B17" s="812"/>
      <c r="C17" s="813"/>
      <c r="D17" s="390">
        <v>11</v>
      </c>
      <c r="E17" s="393" t="s">
        <v>521</v>
      </c>
      <c r="F17" s="394">
        <v>1057.011</v>
      </c>
      <c r="G17" s="395">
        <v>268.32</v>
      </c>
      <c r="H17" s="395">
        <v>276.11</v>
      </c>
      <c r="I17" s="396">
        <f t="shared" si="9"/>
        <v>1.0290324985092427</v>
      </c>
      <c r="J17" s="395">
        <v>3</v>
      </c>
      <c r="K17" s="396">
        <f t="shared" si="10"/>
        <v>1.1180679785330949E-2</v>
      </c>
      <c r="L17" s="395">
        <v>153.19000000000003</v>
      </c>
      <c r="M17" s="396">
        <f t="shared" si="11"/>
        <v>1.0402131782945738</v>
      </c>
      <c r="N17" s="397">
        <v>1652.9201000000016</v>
      </c>
      <c r="O17" s="395">
        <v>6.9</v>
      </c>
      <c r="P17" s="396">
        <f t="shared" si="4"/>
        <v>2.5715563506261183E-2</v>
      </c>
      <c r="Q17" s="398">
        <f t="shared" si="5"/>
        <v>3.8900000000000201</v>
      </c>
      <c r="R17" s="396">
        <f t="shared" si="6"/>
        <v>1.4497614788312537E-2</v>
      </c>
      <c r="S17" s="399">
        <f t="shared" si="7"/>
        <v>595.90910000000315</v>
      </c>
      <c r="T17" s="400" t="s">
        <v>433</v>
      </c>
      <c r="U17" s="400" t="s">
        <v>492</v>
      </c>
      <c r="V17" s="401" t="s">
        <v>594</v>
      </c>
      <c r="W17" s="401" t="s">
        <v>506</v>
      </c>
      <c r="X17" s="401">
        <v>1</v>
      </c>
      <c r="Y17" s="402" t="s">
        <v>523</v>
      </c>
      <c r="AC17" s="406"/>
    </row>
    <row r="18" spans="2:34" s="150" customFormat="1" ht="27" customHeight="1">
      <c r="B18" s="812"/>
      <c r="C18" s="813"/>
      <c r="D18" s="390">
        <v>12</v>
      </c>
      <c r="E18" s="393" t="s">
        <v>605</v>
      </c>
      <c r="F18" s="394">
        <v>1025.3556000000001</v>
      </c>
      <c r="G18" s="395">
        <v>478.12</v>
      </c>
      <c r="H18" s="395">
        <v>485.41</v>
      </c>
      <c r="I18" s="396">
        <f t="shared" si="9"/>
        <v>1.0152472182715637</v>
      </c>
      <c r="J18" s="395">
        <v>0</v>
      </c>
      <c r="K18" s="396">
        <f t="shared" si="10"/>
        <v>0</v>
      </c>
      <c r="L18" s="395">
        <v>189.18000000000004</v>
      </c>
      <c r="M18" s="396">
        <f t="shared" si="11"/>
        <v>1.0152472182715637</v>
      </c>
      <c r="N18" s="397">
        <v>1379.1221999999998</v>
      </c>
      <c r="O18" s="395">
        <v>5.419999999999999</v>
      </c>
      <c r="P18" s="396">
        <f t="shared" si="4"/>
        <v>1.1336066259516437E-2</v>
      </c>
      <c r="Q18" s="398">
        <f t="shared" si="5"/>
        <v>1.8700000000000214</v>
      </c>
      <c r="R18" s="396">
        <f t="shared" si="6"/>
        <v>3.9111520120472297E-3</v>
      </c>
      <c r="S18" s="399">
        <f t="shared" si="7"/>
        <v>353.76660000000413</v>
      </c>
      <c r="T18" s="400" t="s">
        <v>433</v>
      </c>
      <c r="U18" s="400" t="s">
        <v>492</v>
      </c>
      <c r="V18" s="401" t="s">
        <v>503</v>
      </c>
      <c r="W18" s="401" t="s">
        <v>504</v>
      </c>
      <c r="X18" s="401">
        <v>1</v>
      </c>
      <c r="Y18" s="402" t="s">
        <v>363</v>
      </c>
    </row>
    <row r="19" spans="2:34" s="150" customFormat="1" ht="27" customHeight="1">
      <c r="B19" s="812"/>
      <c r="C19" s="813"/>
      <c r="D19" s="390">
        <v>13</v>
      </c>
      <c r="E19" s="393" t="s">
        <v>371</v>
      </c>
      <c r="F19" s="394">
        <v>1008.96</v>
      </c>
      <c r="G19" s="395">
        <v>548.72</v>
      </c>
      <c r="H19" s="395">
        <v>543.64</v>
      </c>
      <c r="I19" s="396">
        <f t="shared" si="9"/>
        <v>0.99074209068377306</v>
      </c>
      <c r="J19" s="395">
        <v>23.590000000000003</v>
      </c>
      <c r="K19" s="396">
        <f t="shared" si="10"/>
        <v>4.2990960781455027E-2</v>
      </c>
      <c r="L19" s="395">
        <v>96</v>
      </c>
      <c r="M19" s="396">
        <f t="shared" si="11"/>
        <v>1.0337330514652281</v>
      </c>
      <c r="N19" s="397">
        <v>1776.9599999999984</v>
      </c>
      <c r="O19" s="395">
        <v>10.509999999999998</v>
      </c>
      <c r="P19" s="396">
        <f t="shared" si="4"/>
        <v>1.9153666715264611E-2</v>
      </c>
      <c r="Q19" s="398">
        <f t="shared" si="5"/>
        <v>7.9999999999999929</v>
      </c>
      <c r="R19" s="396">
        <f t="shared" si="6"/>
        <v>1.4579384749963538E-2</v>
      </c>
      <c r="S19" s="399">
        <f t="shared" si="7"/>
        <v>767.99999999999932</v>
      </c>
      <c r="T19" s="400" t="s">
        <v>433</v>
      </c>
      <c r="U19" s="400" t="s">
        <v>218</v>
      </c>
      <c r="V19" s="401" t="s">
        <v>593</v>
      </c>
      <c r="W19" s="401" t="s">
        <v>578</v>
      </c>
      <c r="X19" s="401">
        <v>1</v>
      </c>
      <c r="Y19" s="402" t="s">
        <v>360</v>
      </c>
    </row>
    <row r="20" spans="2:34" s="150" customFormat="1" ht="27" customHeight="1">
      <c r="B20" s="812"/>
      <c r="C20" s="813"/>
      <c r="D20" s="390">
        <v>14</v>
      </c>
      <c r="E20" s="393" t="s">
        <v>557</v>
      </c>
      <c r="F20" s="394">
        <v>1003.7986000000002</v>
      </c>
      <c r="G20" s="395">
        <v>108.61000000000001</v>
      </c>
      <c r="H20" s="395">
        <v>111.14999999999999</v>
      </c>
      <c r="I20" s="396">
        <f t="shared" si="9"/>
        <v>1.0233864285056622</v>
      </c>
      <c r="J20" s="395">
        <v>3.3600000000000003</v>
      </c>
      <c r="K20" s="396">
        <f t="shared" si="10"/>
        <v>3.0936377865758216E-2</v>
      </c>
      <c r="L20" s="395">
        <v>496.92999999999995</v>
      </c>
      <c r="M20" s="396">
        <f t="shared" si="11"/>
        <v>1.0543228063714205</v>
      </c>
      <c r="N20" s="397">
        <v>2931.8869999999988</v>
      </c>
      <c r="O20" s="395">
        <v>2.02</v>
      </c>
      <c r="P20" s="396">
        <f t="shared" si="4"/>
        <v>1.8598655740723689E-2</v>
      </c>
      <c r="Q20" s="398">
        <f t="shared" si="5"/>
        <v>3.8799999999999772</v>
      </c>
      <c r="R20" s="396">
        <f t="shared" si="6"/>
        <v>3.5724150630696776E-2</v>
      </c>
      <c r="S20" s="399">
        <f t="shared" si="7"/>
        <v>1928.0883999999885</v>
      </c>
      <c r="T20" s="400" t="s">
        <v>433</v>
      </c>
      <c r="U20" s="400" t="s">
        <v>492</v>
      </c>
      <c r="V20" s="401" t="s">
        <v>553</v>
      </c>
      <c r="W20" s="401" t="s">
        <v>545</v>
      </c>
      <c r="X20" s="401">
        <v>1</v>
      </c>
      <c r="Y20" s="402" t="s">
        <v>475</v>
      </c>
    </row>
    <row r="21" spans="2:34" s="150" customFormat="1" ht="27" customHeight="1">
      <c r="B21" s="812"/>
      <c r="C21" s="813"/>
      <c r="D21" s="390">
        <v>15</v>
      </c>
      <c r="E21" s="393" t="s">
        <v>539</v>
      </c>
      <c r="F21" s="394">
        <v>990.80820000000006</v>
      </c>
      <c r="G21" s="395">
        <v>1095.1600000000001</v>
      </c>
      <c r="H21" s="395">
        <v>1087.8600000000001</v>
      </c>
      <c r="I21" s="396">
        <f t="shared" si="9"/>
        <v>0.99333430731582606</v>
      </c>
      <c r="J21" s="395">
        <v>13.91</v>
      </c>
      <c r="K21" s="396">
        <f t="shared" si="10"/>
        <v>1.270134044340553E-2</v>
      </c>
      <c r="L21" s="395">
        <v>407.74000000000007</v>
      </c>
      <c r="M21" s="396">
        <f>(H21+J21)/G21</f>
        <v>1.0060356477592316</v>
      </c>
      <c r="N21" s="397">
        <v>2695.1613999999995</v>
      </c>
      <c r="O21" s="395">
        <v>2.4300000000000002</v>
      </c>
      <c r="P21" s="396">
        <f t="shared" si="4"/>
        <v>2.218853866101757E-3</v>
      </c>
      <c r="Q21" s="398">
        <f t="shared" si="5"/>
        <v>4.1800000000001276</v>
      </c>
      <c r="R21" s="396">
        <f t="shared" si="6"/>
        <v>3.8167938931298871E-3</v>
      </c>
      <c r="S21" s="399">
        <f t="shared" si="7"/>
        <v>1704.3532000000523</v>
      </c>
      <c r="T21" s="400" t="s">
        <v>433</v>
      </c>
      <c r="U21" s="400" t="s">
        <v>492</v>
      </c>
      <c r="V21" s="401" t="s">
        <v>579</v>
      </c>
      <c r="W21" s="401" t="s">
        <v>527</v>
      </c>
      <c r="X21" s="401">
        <v>1</v>
      </c>
      <c r="Y21" s="402" t="s">
        <v>541</v>
      </c>
    </row>
    <row r="22" spans="2:34" s="150" customFormat="1" ht="27" customHeight="1">
      <c r="B22" s="812"/>
      <c r="C22" s="813"/>
      <c r="D22" s="390">
        <v>16</v>
      </c>
      <c r="E22" s="393" t="s">
        <v>582</v>
      </c>
      <c r="F22" s="394">
        <v>970.32240000000002</v>
      </c>
      <c r="G22" s="395">
        <v>397.64000000000004</v>
      </c>
      <c r="H22" s="395">
        <v>402.19000000000005</v>
      </c>
      <c r="I22" s="396">
        <f t="shared" si="9"/>
        <v>1.0114425108138014</v>
      </c>
      <c r="J22" s="395">
        <v>0</v>
      </c>
      <c r="K22" s="396">
        <f t="shared" si="10"/>
        <v>0</v>
      </c>
      <c r="L22" s="395">
        <v>425.58</v>
      </c>
      <c r="M22" s="396">
        <f t="shared" ref="M22:M26" si="12">(H22+J22)/G22</f>
        <v>1.0114425108138014</v>
      </c>
      <c r="N22" s="397">
        <v>1936.3889999999988</v>
      </c>
      <c r="O22" s="395">
        <v>2.2800000000000002</v>
      </c>
      <c r="P22" s="396">
        <f t="shared" si="4"/>
        <v>5.7338295946081884E-3</v>
      </c>
      <c r="Q22" s="398">
        <f t="shared" si="5"/>
        <v>2.2700000000000111</v>
      </c>
      <c r="R22" s="396">
        <f t="shared" si="6"/>
        <v>5.7086812191932679E-3</v>
      </c>
      <c r="S22" s="399">
        <f t="shared" si="7"/>
        <v>966.06660000000466</v>
      </c>
      <c r="T22" s="400" t="s">
        <v>433</v>
      </c>
      <c r="U22" s="400" t="s">
        <v>492</v>
      </c>
      <c r="V22" s="401" t="s">
        <v>511</v>
      </c>
      <c r="W22" s="401" t="s">
        <v>597</v>
      </c>
      <c r="X22" s="401">
        <v>1</v>
      </c>
      <c r="Y22" s="402" t="s">
        <v>584</v>
      </c>
    </row>
    <row r="23" spans="2:34" s="150" customFormat="1" ht="27" customHeight="1">
      <c r="B23" s="812"/>
      <c r="C23" s="813"/>
      <c r="D23" s="390">
        <v>17</v>
      </c>
      <c r="E23" s="393" t="s">
        <v>606</v>
      </c>
      <c r="F23" s="394">
        <v>961.46299999999997</v>
      </c>
      <c r="G23" s="395">
        <v>133.63</v>
      </c>
      <c r="H23" s="395">
        <v>131.31</v>
      </c>
      <c r="I23" s="396">
        <f t="shared" si="9"/>
        <v>0.98263862905036303</v>
      </c>
      <c r="J23" s="395">
        <v>7.8199999999999994</v>
      </c>
      <c r="K23" s="396">
        <f t="shared" si="10"/>
        <v>5.8519793459552494E-2</v>
      </c>
      <c r="L23" s="395">
        <v>345.84999999999997</v>
      </c>
      <c r="M23" s="396">
        <f t="shared" si="12"/>
        <v>1.0411584225099155</v>
      </c>
      <c r="N23" s="397">
        <v>1902.1750000000006</v>
      </c>
      <c r="O23" s="395">
        <v>2.78</v>
      </c>
      <c r="P23" s="396">
        <f t="shared" si="4"/>
        <v>2.0803711741375439E-2</v>
      </c>
      <c r="Q23" s="398">
        <f t="shared" si="5"/>
        <v>2.72</v>
      </c>
      <c r="R23" s="396">
        <f t="shared" si="6"/>
        <v>2.0354710768540001E-2</v>
      </c>
      <c r="S23" s="399">
        <f t="shared" si="7"/>
        <v>940.71199999999999</v>
      </c>
      <c r="T23" s="400" t="s">
        <v>433</v>
      </c>
      <c r="U23" s="400" t="s">
        <v>492</v>
      </c>
      <c r="V23" s="401" t="s">
        <v>598</v>
      </c>
      <c r="W23" s="401" t="s">
        <v>622</v>
      </c>
      <c r="X23" s="401">
        <v>1</v>
      </c>
      <c r="Y23" s="402" t="s">
        <v>463</v>
      </c>
    </row>
    <row r="24" spans="2:34" s="150" customFormat="1" ht="27" customHeight="1">
      <c r="B24" s="812"/>
      <c r="C24" s="813"/>
      <c r="D24" s="390">
        <v>18</v>
      </c>
      <c r="E24" s="393" t="s">
        <v>583</v>
      </c>
      <c r="F24" s="394">
        <v>960.16480000000001</v>
      </c>
      <c r="G24" s="395">
        <v>210.45000000000002</v>
      </c>
      <c r="H24" s="395">
        <v>221.50999999999996</v>
      </c>
      <c r="I24" s="396">
        <f t="shared" si="9"/>
        <v>1.0525540508434306</v>
      </c>
      <c r="J24" s="395">
        <v>1.6</v>
      </c>
      <c r="K24" s="396">
        <f t="shared" si="10"/>
        <v>7.6027559990496556E-3</v>
      </c>
      <c r="L24" s="395">
        <v>145.04</v>
      </c>
      <c r="M24" s="396">
        <f t="shared" si="12"/>
        <v>1.06015680684248</v>
      </c>
      <c r="N24" s="397">
        <v>1836.2063999999996</v>
      </c>
      <c r="O24" s="395">
        <v>6.62</v>
      </c>
      <c r="P24" s="396">
        <f t="shared" si="4"/>
        <v>3.1456402946067948E-2</v>
      </c>
      <c r="Q24" s="398">
        <f t="shared" si="5"/>
        <v>6.0399999999999396</v>
      </c>
      <c r="R24" s="396">
        <f t="shared" si="6"/>
        <v>2.8700403896412159E-2</v>
      </c>
      <c r="S24" s="399">
        <f t="shared" si="7"/>
        <v>876.04159999999115</v>
      </c>
      <c r="T24" s="400" t="s">
        <v>433</v>
      </c>
      <c r="U24" s="400" t="s">
        <v>492</v>
      </c>
      <c r="V24" s="401" t="s">
        <v>511</v>
      </c>
      <c r="W24" s="401" t="s">
        <v>597</v>
      </c>
      <c r="X24" s="401">
        <v>1</v>
      </c>
      <c r="Y24" s="402" t="s">
        <v>346</v>
      </c>
    </row>
    <row r="25" spans="2:34" s="150" customFormat="1" ht="27" customHeight="1">
      <c r="B25" s="812"/>
      <c r="C25" s="813"/>
      <c r="D25" s="390">
        <v>19</v>
      </c>
      <c r="E25" s="393" t="s">
        <v>563</v>
      </c>
      <c r="F25" s="394">
        <v>954.37840000000006</v>
      </c>
      <c r="G25" s="395">
        <v>226.28</v>
      </c>
      <c r="H25" s="395">
        <v>222.02</v>
      </c>
      <c r="I25" s="396">
        <f t="shared" si="9"/>
        <v>0.98117376701431858</v>
      </c>
      <c r="J25" s="395">
        <v>8.93</v>
      </c>
      <c r="K25" s="396">
        <f t="shared" si="10"/>
        <v>3.9464380413646805E-2</v>
      </c>
      <c r="L25" s="395">
        <v>411.36999999999995</v>
      </c>
      <c r="M25" s="396">
        <f t="shared" si="12"/>
        <v>1.0206381474279653</v>
      </c>
      <c r="N25" s="397">
        <v>1921.0978999999988</v>
      </c>
      <c r="O25" s="395">
        <v>2.3199999999999998</v>
      </c>
      <c r="P25" s="396">
        <f t="shared" si="4"/>
        <v>1.0252784161216192E-2</v>
      </c>
      <c r="Q25" s="398">
        <f t="shared" si="5"/>
        <v>2.3500000000000161</v>
      </c>
      <c r="R25" s="396">
        <f t="shared" si="6"/>
        <v>1.0385363266749232E-2</v>
      </c>
      <c r="S25" s="399">
        <f t="shared" si="7"/>
        <v>966.71950000000652</v>
      </c>
      <c r="T25" s="400" t="s">
        <v>433</v>
      </c>
      <c r="U25" s="400" t="s">
        <v>492</v>
      </c>
      <c r="V25" s="400" t="s">
        <v>567</v>
      </c>
      <c r="W25" s="401" t="s">
        <v>528</v>
      </c>
      <c r="X25" s="401">
        <v>1</v>
      </c>
      <c r="Y25" s="402" t="s">
        <v>475</v>
      </c>
    </row>
    <row r="26" spans="2:34" s="150" customFormat="1" ht="27" customHeight="1">
      <c r="B26" s="814"/>
      <c r="C26" s="815"/>
      <c r="D26" s="390">
        <v>20</v>
      </c>
      <c r="E26" s="393" t="s">
        <v>607</v>
      </c>
      <c r="F26" s="394">
        <v>949.64999999999986</v>
      </c>
      <c r="G26" s="395">
        <v>144.51000000000002</v>
      </c>
      <c r="H26" s="395">
        <v>143.73000000000002</v>
      </c>
      <c r="I26" s="396">
        <f t="shared" si="9"/>
        <v>0.99460244965746314</v>
      </c>
      <c r="J26" s="395">
        <v>9.66</v>
      </c>
      <c r="K26" s="396">
        <f t="shared" si="10"/>
        <v>6.6846585011417881E-2</v>
      </c>
      <c r="L26" s="395">
        <v>189.93000000000004</v>
      </c>
      <c r="M26" s="396">
        <f t="shared" si="12"/>
        <v>1.061449034668881</v>
      </c>
      <c r="N26" s="397">
        <v>1686.5784000000012</v>
      </c>
      <c r="O26" s="395">
        <v>5.0000000000000009</v>
      </c>
      <c r="P26" s="396">
        <f t="shared" si="4"/>
        <v>3.4599681682928519E-2</v>
      </c>
      <c r="Q26" s="398">
        <f t="shared" si="5"/>
        <v>3.8799999999999946</v>
      </c>
      <c r="R26" s="396">
        <f t="shared" si="6"/>
        <v>2.684935298595249E-2</v>
      </c>
      <c r="S26" s="399">
        <f t="shared" si="7"/>
        <v>736.9283999999991</v>
      </c>
      <c r="T26" s="400" t="s">
        <v>433</v>
      </c>
      <c r="U26" s="400" t="s">
        <v>492</v>
      </c>
      <c r="V26" s="401" t="s">
        <v>511</v>
      </c>
      <c r="W26" s="401" t="s">
        <v>597</v>
      </c>
      <c r="X26" s="401">
        <v>1</v>
      </c>
      <c r="Y26" s="402" t="s">
        <v>438</v>
      </c>
    </row>
    <row r="27" spans="2:34" ht="17.149999999999999" customHeight="1">
      <c r="B27" s="829" t="s">
        <v>489</v>
      </c>
      <c r="C27" s="830"/>
      <c r="D27" s="826" t="s">
        <v>172</v>
      </c>
      <c r="E27" s="826"/>
      <c r="F27" s="826"/>
      <c r="G27" s="826" t="s">
        <v>186</v>
      </c>
      <c r="H27" s="826"/>
      <c r="I27" s="826"/>
      <c r="J27" s="826"/>
      <c r="K27" s="826"/>
      <c r="L27" s="826"/>
      <c r="M27" s="826"/>
      <c r="N27" s="826"/>
      <c r="O27" s="826"/>
      <c r="P27" s="826"/>
      <c r="Q27" s="826"/>
      <c r="R27" s="826"/>
      <c r="S27" s="826"/>
      <c r="T27" s="826" t="s">
        <v>173</v>
      </c>
      <c r="U27" s="816" t="s">
        <v>248</v>
      </c>
      <c r="V27" s="835" t="s">
        <v>490</v>
      </c>
      <c r="W27" s="835" t="s">
        <v>491</v>
      </c>
      <c r="X27" s="838" t="s">
        <v>249</v>
      </c>
      <c r="Y27" s="827" t="s">
        <v>174</v>
      </c>
      <c r="AA27" s="816" t="s">
        <v>250</v>
      </c>
      <c r="AB27" s="817"/>
      <c r="AC27" s="817"/>
      <c r="AD27" s="817"/>
      <c r="AE27" s="817"/>
      <c r="AF27" s="817"/>
      <c r="AG27" s="817"/>
      <c r="AH27" s="818"/>
    </row>
    <row r="28" spans="2:34" ht="17.149999999999999" customHeight="1">
      <c r="B28" s="831"/>
      <c r="C28" s="832"/>
      <c r="D28" s="825" t="s">
        <v>171</v>
      </c>
      <c r="E28" s="826" t="s">
        <v>175</v>
      </c>
      <c r="F28" s="826"/>
      <c r="G28" s="826" t="s">
        <v>187</v>
      </c>
      <c r="H28" s="826"/>
      <c r="I28" s="826"/>
      <c r="J28" s="826"/>
      <c r="K28" s="826"/>
      <c r="L28" s="826"/>
      <c r="M28" s="826"/>
      <c r="N28" s="826"/>
      <c r="O28" s="826" t="s">
        <v>176</v>
      </c>
      <c r="P28" s="826"/>
      <c r="Q28" s="826"/>
      <c r="R28" s="826"/>
      <c r="S28" s="826"/>
      <c r="T28" s="826"/>
      <c r="U28" s="819"/>
      <c r="V28" s="836"/>
      <c r="W28" s="836"/>
      <c r="X28" s="839"/>
      <c r="Y28" s="827"/>
      <c r="AA28" s="819"/>
      <c r="AB28" s="820"/>
      <c r="AC28" s="820"/>
      <c r="AD28" s="820"/>
      <c r="AE28" s="820"/>
      <c r="AF28" s="820"/>
      <c r="AG28" s="820"/>
      <c r="AH28" s="821"/>
    </row>
    <row r="29" spans="2:34" ht="17.149999999999999" customHeight="1">
      <c r="B29" s="831"/>
      <c r="C29" s="832"/>
      <c r="D29" s="825"/>
      <c r="E29" s="825" t="s">
        <v>177</v>
      </c>
      <c r="F29" s="827" t="s">
        <v>251</v>
      </c>
      <c r="G29" s="828" t="s">
        <v>188</v>
      </c>
      <c r="H29" s="828"/>
      <c r="I29" s="828"/>
      <c r="J29" s="828"/>
      <c r="K29" s="828"/>
      <c r="L29" s="828"/>
      <c r="M29" s="828"/>
      <c r="N29" s="828"/>
      <c r="O29" s="828" t="s">
        <v>170</v>
      </c>
      <c r="P29" s="828"/>
      <c r="Q29" s="828" t="s">
        <v>178</v>
      </c>
      <c r="R29" s="828"/>
      <c r="S29" s="828"/>
      <c r="T29" s="826"/>
      <c r="U29" s="819"/>
      <c r="V29" s="836"/>
      <c r="W29" s="836"/>
      <c r="X29" s="839"/>
      <c r="Y29" s="827"/>
      <c r="AA29" s="822"/>
      <c r="AB29" s="823"/>
      <c r="AC29" s="823"/>
      <c r="AD29" s="823"/>
      <c r="AE29" s="823"/>
      <c r="AF29" s="823"/>
      <c r="AG29" s="823"/>
      <c r="AH29" s="824"/>
    </row>
    <row r="30" spans="2:34" ht="38.5" customHeight="1">
      <c r="B30" s="833"/>
      <c r="C30" s="834"/>
      <c r="D30" s="825"/>
      <c r="E30" s="825"/>
      <c r="F30" s="827"/>
      <c r="G30" s="391" t="s">
        <v>179</v>
      </c>
      <c r="H30" s="391" t="s">
        <v>255</v>
      </c>
      <c r="I30" s="391" t="s">
        <v>256</v>
      </c>
      <c r="J30" s="391" t="s">
        <v>180</v>
      </c>
      <c r="K30" s="391" t="s">
        <v>253</v>
      </c>
      <c r="L30" s="391" t="s">
        <v>181</v>
      </c>
      <c r="M30" s="391" t="s">
        <v>189</v>
      </c>
      <c r="N30" s="391" t="s">
        <v>182</v>
      </c>
      <c r="O30" s="392" t="s">
        <v>183</v>
      </c>
      <c r="P30" s="392" t="s">
        <v>184</v>
      </c>
      <c r="Q30" s="392" t="s">
        <v>183</v>
      </c>
      <c r="R30" s="392" t="s">
        <v>184</v>
      </c>
      <c r="S30" s="391" t="s">
        <v>185</v>
      </c>
      <c r="T30" s="826"/>
      <c r="U30" s="822"/>
      <c r="V30" s="837"/>
      <c r="W30" s="837"/>
      <c r="X30" s="840"/>
      <c r="Y30" s="827"/>
      <c r="AA30" s="163" t="s">
        <v>247</v>
      </c>
      <c r="AB30" s="163" t="s">
        <v>492</v>
      </c>
      <c r="AC30" s="158" t="s">
        <v>398</v>
      </c>
      <c r="AD30" s="158" t="s">
        <v>342</v>
      </c>
      <c r="AE30" s="158" t="s">
        <v>466</v>
      </c>
      <c r="AF30" s="158" t="s">
        <v>218</v>
      </c>
      <c r="AG30" s="158" t="s">
        <v>219</v>
      </c>
      <c r="AH30" s="158" t="s">
        <v>399</v>
      </c>
    </row>
    <row r="31" spans="2:34" s="150" customFormat="1" ht="27" customHeight="1">
      <c r="B31" s="810" t="s">
        <v>623</v>
      </c>
      <c r="C31" s="811"/>
      <c r="D31" s="390">
        <v>1</v>
      </c>
      <c r="E31" s="393" t="s">
        <v>481</v>
      </c>
      <c r="F31" s="394">
        <v>1599.9841000000001</v>
      </c>
      <c r="G31" s="395">
        <v>477.64</v>
      </c>
      <c r="H31" s="395">
        <v>484.28</v>
      </c>
      <c r="I31" s="396">
        <f>H31/G31</f>
        <v>1.0139016832761074</v>
      </c>
      <c r="J31" s="395">
        <v>3.55</v>
      </c>
      <c r="K31" s="396">
        <f>J31/G31</f>
        <v>7.4323758479189345E-3</v>
      </c>
      <c r="L31" s="395">
        <v>181.60999999999999</v>
      </c>
      <c r="M31" s="396">
        <f>(H31+J31)/G31</f>
        <v>1.0213340591240265</v>
      </c>
      <c r="N31" s="397">
        <v>1850.6059000000027</v>
      </c>
      <c r="O31" s="395">
        <v>8.81</v>
      </c>
      <c r="P31" s="396">
        <f>O31/G31</f>
        <v>1.8444853864835443E-2</v>
      </c>
      <c r="Q31" s="398">
        <f>((H31+J31)-G31)-O31</f>
        <v>1.3799999999999972</v>
      </c>
      <c r="R31" s="396">
        <f>Q31/G31</f>
        <v>2.8892052591910169E-3</v>
      </c>
      <c r="S31" s="399">
        <f>Q31*L31</f>
        <v>250.62179999999947</v>
      </c>
      <c r="T31" s="400" t="s">
        <v>433</v>
      </c>
      <c r="U31" s="400" t="s">
        <v>492</v>
      </c>
      <c r="V31" s="401"/>
      <c r="W31" s="401"/>
      <c r="X31" s="401">
        <v>1</v>
      </c>
      <c r="Y31" s="402" t="s">
        <v>480</v>
      </c>
      <c r="Z31" s="403" t="s">
        <v>493</v>
      </c>
      <c r="AA31" s="413">
        <f>SUM(X31:X50)</f>
        <v>20</v>
      </c>
      <c r="AB31" s="405">
        <f>SUMIF($U$31:$U$50,TRIM(AB30),$X$31:$X$50)</f>
        <v>15</v>
      </c>
      <c r="AC31" s="405">
        <f t="shared" ref="AC31:AH31" si="13">SUMIF($U$31:$U$50,TRIM(AC30),$X$31:$X$50)</f>
        <v>0</v>
      </c>
      <c r="AD31" s="405">
        <f t="shared" si="13"/>
        <v>3</v>
      </c>
      <c r="AE31" s="405">
        <f t="shared" si="13"/>
        <v>0</v>
      </c>
      <c r="AF31" s="405">
        <f t="shared" si="13"/>
        <v>1</v>
      </c>
      <c r="AG31" s="405">
        <f t="shared" si="13"/>
        <v>1</v>
      </c>
      <c r="AH31" s="405">
        <f t="shared" si="13"/>
        <v>0</v>
      </c>
    </row>
    <row r="32" spans="2:34" s="150" customFormat="1" ht="27" customHeight="1">
      <c r="B32" s="812"/>
      <c r="C32" s="813"/>
      <c r="D32" s="390">
        <v>2</v>
      </c>
      <c r="E32" s="393" t="s">
        <v>338</v>
      </c>
      <c r="F32" s="394">
        <v>1282.3499999999999</v>
      </c>
      <c r="G32" s="395">
        <v>20736</v>
      </c>
      <c r="H32" s="395">
        <v>20449</v>
      </c>
      <c r="I32" s="396">
        <f t="shared" ref="I32:I33" si="14">H32/G32</f>
        <v>0.98615933641975306</v>
      </c>
      <c r="J32" s="395">
        <v>370</v>
      </c>
      <c r="K32" s="396">
        <f t="shared" ref="K32:K37" si="15">J32/G32</f>
        <v>1.7843364197530864E-2</v>
      </c>
      <c r="L32" s="395">
        <v>15.450000000000001</v>
      </c>
      <c r="M32" s="396">
        <f t="shared" ref="M32:M37" si="16">(H32+J32)/G32</f>
        <v>1.004002700617284</v>
      </c>
      <c r="N32" s="397">
        <v>1282.3499999999999</v>
      </c>
      <c r="O32" s="395">
        <v>83</v>
      </c>
      <c r="P32" s="396">
        <f t="shared" ref="P32:P50" si="17">O32/G32</f>
        <v>4.002700617283951E-3</v>
      </c>
      <c r="Q32" s="398">
        <f t="shared" ref="Q32:Q50" si="18">((H32+J32)-G32)-O32</f>
        <v>0</v>
      </c>
      <c r="R32" s="396">
        <f t="shared" ref="R32:R50" si="19">Q32/G32</f>
        <v>0</v>
      </c>
      <c r="S32" s="399">
        <f t="shared" ref="S32:S50" si="20">Q32*L32</f>
        <v>0</v>
      </c>
      <c r="T32" s="400" t="s">
        <v>433</v>
      </c>
      <c r="U32" s="400" t="s">
        <v>551</v>
      </c>
      <c r="V32" s="400"/>
      <c r="W32" s="401"/>
      <c r="X32" s="401">
        <v>1</v>
      </c>
      <c r="Y32" s="402" t="s">
        <v>344</v>
      </c>
      <c r="AA32" s="414"/>
      <c r="AB32" s="411">
        <f>SUMIF($U$31:$U$50,TRIM(AB30),$F$31:$F$50)</f>
        <v>15620.086900000002</v>
      </c>
      <c r="AC32" s="411">
        <f t="shared" ref="AC32:AH32" si="21">SUMIF($U$31:$U$50,TRIM(AC30),$F$31:$F$50)</f>
        <v>0</v>
      </c>
      <c r="AD32" s="411">
        <f t="shared" si="21"/>
        <v>3526.3887999999997</v>
      </c>
      <c r="AE32" s="411">
        <f t="shared" si="21"/>
        <v>0</v>
      </c>
      <c r="AF32" s="411">
        <f t="shared" si="21"/>
        <v>1092.48</v>
      </c>
      <c r="AG32" s="411">
        <f t="shared" si="21"/>
        <v>1282.3499999999999</v>
      </c>
      <c r="AH32" s="411">
        <f t="shared" si="21"/>
        <v>0</v>
      </c>
    </row>
    <row r="33" spans="2:34" s="150" customFormat="1" ht="27" customHeight="1">
      <c r="B33" s="812"/>
      <c r="C33" s="813"/>
      <c r="D33" s="390">
        <v>3</v>
      </c>
      <c r="E33" s="393" t="s">
        <v>494</v>
      </c>
      <c r="F33" s="394">
        <v>1267.1099999999999</v>
      </c>
      <c r="G33" s="395">
        <v>254025</v>
      </c>
      <c r="H33" s="395">
        <v>255108</v>
      </c>
      <c r="I33" s="396">
        <f t="shared" si="14"/>
        <v>1.0042633599055211</v>
      </c>
      <c r="J33" s="395">
        <v>0</v>
      </c>
      <c r="K33" s="396">
        <f t="shared" si="15"/>
        <v>0</v>
      </c>
      <c r="L33" s="395">
        <v>1.17</v>
      </c>
      <c r="M33" s="396">
        <f t="shared" si="16"/>
        <v>1.0042633599055211</v>
      </c>
      <c r="N33" s="397">
        <v>1267.1099999999999</v>
      </c>
      <c r="O33" s="395">
        <v>1083</v>
      </c>
      <c r="P33" s="396">
        <f t="shared" si="17"/>
        <v>4.2633599055211099E-3</v>
      </c>
      <c r="Q33" s="398">
        <f t="shared" si="18"/>
        <v>0</v>
      </c>
      <c r="R33" s="396">
        <f t="shared" si="19"/>
        <v>0</v>
      </c>
      <c r="S33" s="399">
        <f t="shared" si="20"/>
        <v>0</v>
      </c>
      <c r="T33" s="400" t="s">
        <v>433</v>
      </c>
      <c r="U33" s="400" t="s">
        <v>342</v>
      </c>
      <c r="V33" s="401"/>
      <c r="W33" s="401"/>
      <c r="X33" s="401">
        <v>1</v>
      </c>
      <c r="Y33" s="402" t="s">
        <v>345</v>
      </c>
      <c r="AA33" s="390"/>
      <c r="AB33" s="412">
        <f>AB31/$AA31</f>
        <v>0.75</v>
      </c>
      <c r="AC33" s="412">
        <f t="shared" ref="AC33:AH33" si="22">AC31/$AA31</f>
        <v>0</v>
      </c>
      <c r="AD33" s="412">
        <f t="shared" si="22"/>
        <v>0.15</v>
      </c>
      <c r="AE33" s="412">
        <f t="shared" si="22"/>
        <v>0</v>
      </c>
      <c r="AF33" s="412">
        <f t="shared" si="22"/>
        <v>0.05</v>
      </c>
      <c r="AG33" s="412">
        <f t="shared" si="22"/>
        <v>0.05</v>
      </c>
      <c r="AH33" s="412">
        <f t="shared" si="22"/>
        <v>0</v>
      </c>
    </row>
    <row r="34" spans="2:34" s="150" customFormat="1" ht="27" customHeight="1">
      <c r="B34" s="812"/>
      <c r="C34" s="813"/>
      <c r="D34" s="390">
        <v>4</v>
      </c>
      <c r="E34" s="393" t="s">
        <v>495</v>
      </c>
      <c r="F34" s="394">
        <v>1173.55</v>
      </c>
      <c r="G34" s="395">
        <v>151801</v>
      </c>
      <c r="H34" s="395">
        <v>152280</v>
      </c>
      <c r="I34" s="396">
        <f>H34/G34</f>
        <v>1.0031554469338146</v>
      </c>
      <c r="J34" s="395">
        <v>0</v>
      </c>
      <c r="K34" s="396">
        <f t="shared" si="15"/>
        <v>0</v>
      </c>
      <c r="L34" s="395">
        <v>2.4499999999999997</v>
      </c>
      <c r="M34" s="396">
        <f t="shared" si="16"/>
        <v>1.0031554469338146</v>
      </c>
      <c r="N34" s="397">
        <v>1173.55</v>
      </c>
      <c r="O34" s="395">
        <v>479</v>
      </c>
      <c r="P34" s="396">
        <f t="shared" si="17"/>
        <v>3.1554469338146655E-3</v>
      </c>
      <c r="Q34" s="398">
        <f t="shared" si="18"/>
        <v>0</v>
      </c>
      <c r="R34" s="396">
        <f t="shared" si="19"/>
        <v>0</v>
      </c>
      <c r="S34" s="399">
        <f t="shared" si="20"/>
        <v>0</v>
      </c>
      <c r="T34" s="400" t="s">
        <v>433</v>
      </c>
      <c r="U34" s="400" t="s">
        <v>342</v>
      </c>
      <c r="V34" s="401"/>
      <c r="W34" s="401"/>
      <c r="X34" s="401">
        <v>1</v>
      </c>
      <c r="Y34" s="402" t="s">
        <v>345</v>
      </c>
    </row>
    <row r="35" spans="2:34" s="150" customFormat="1" ht="27" customHeight="1">
      <c r="B35" s="812"/>
      <c r="C35" s="813"/>
      <c r="D35" s="390">
        <v>5</v>
      </c>
      <c r="E35" s="393" t="s">
        <v>368</v>
      </c>
      <c r="F35" s="394">
        <v>1127.6110000000001</v>
      </c>
      <c r="G35" s="395">
        <v>354.28000000000003</v>
      </c>
      <c r="H35" s="395">
        <v>363.29</v>
      </c>
      <c r="I35" s="396">
        <f t="shared" ref="I35:I50" si="23">H35/G35</f>
        <v>1.0254318618042226</v>
      </c>
      <c r="J35" s="395">
        <v>1.3</v>
      </c>
      <c r="K35" s="396">
        <f t="shared" si="15"/>
        <v>3.6694140228068191E-3</v>
      </c>
      <c r="L35" s="395">
        <v>183.65000000000003</v>
      </c>
      <c r="M35" s="396">
        <f t="shared" si="16"/>
        <v>1.0291012758270295</v>
      </c>
      <c r="N35" s="397">
        <v>1893.4315000000017</v>
      </c>
      <c r="O35" s="395">
        <v>6.1400000000000006</v>
      </c>
      <c r="P35" s="396">
        <f t="shared" si="17"/>
        <v>1.7330924692333747E-2</v>
      </c>
      <c r="Q35" s="398">
        <f t="shared" si="18"/>
        <v>4.1700000000000017</v>
      </c>
      <c r="R35" s="396">
        <f t="shared" si="19"/>
        <v>1.1770351134695725E-2</v>
      </c>
      <c r="S35" s="399">
        <f t="shared" si="20"/>
        <v>765.82050000000049</v>
      </c>
      <c r="T35" s="400" t="s">
        <v>433</v>
      </c>
      <c r="U35" s="400" t="s">
        <v>492</v>
      </c>
      <c r="V35" s="401"/>
      <c r="W35" s="401"/>
      <c r="X35" s="401">
        <v>1</v>
      </c>
      <c r="Y35" s="402" t="s">
        <v>361</v>
      </c>
    </row>
    <row r="36" spans="2:34" s="150" customFormat="1" ht="27" customHeight="1">
      <c r="B36" s="812"/>
      <c r="C36" s="813"/>
      <c r="D36" s="390">
        <v>6</v>
      </c>
      <c r="E36" s="393" t="s">
        <v>371</v>
      </c>
      <c r="F36" s="394">
        <v>1092.48</v>
      </c>
      <c r="G36" s="395">
        <v>627.79999999999995</v>
      </c>
      <c r="H36" s="395">
        <v>637.78</v>
      </c>
      <c r="I36" s="396">
        <f t="shared" si="23"/>
        <v>1.0158967824147818</v>
      </c>
      <c r="J36" s="395">
        <v>3.2</v>
      </c>
      <c r="K36" s="396">
        <f t="shared" si="15"/>
        <v>5.0971647021344386E-3</v>
      </c>
      <c r="L36" s="395">
        <v>96</v>
      </c>
      <c r="M36" s="396">
        <f t="shared" si="16"/>
        <v>1.0209939471169163</v>
      </c>
      <c r="N36" s="397">
        <v>1265.280000000002</v>
      </c>
      <c r="O36" s="395">
        <v>11.38</v>
      </c>
      <c r="P36" s="396">
        <f t="shared" si="17"/>
        <v>1.8126791971965598E-2</v>
      </c>
      <c r="Q36" s="398">
        <f t="shared" si="18"/>
        <v>1.8000000000000629</v>
      </c>
      <c r="R36" s="396">
        <f t="shared" si="19"/>
        <v>2.8671551449507217E-3</v>
      </c>
      <c r="S36" s="399">
        <f t="shared" si="20"/>
        <v>172.80000000000604</v>
      </c>
      <c r="T36" s="400" t="s">
        <v>433</v>
      </c>
      <c r="U36" s="400" t="s">
        <v>218</v>
      </c>
      <c r="V36" s="401"/>
      <c r="W36" s="401"/>
      <c r="X36" s="401">
        <v>1</v>
      </c>
      <c r="Y36" s="402" t="s">
        <v>360</v>
      </c>
    </row>
    <row r="37" spans="2:34" s="150" customFormat="1" ht="27" customHeight="1">
      <c r="B37" s="812"/>
      <c r="C37" s="813"/>
      <c r="D37" s="390">
        <v>7</v>
      </c>
      <c r="E37" s="393" t="s">
        <v>454</v>
      </c>
      <c r="F37" s="394">
        <v>1085.7288000000001</v>
      </c>
      <c r="G37" s="395">
        <v>624.21999999999991</v>
      </c>
      <c r="H37" s="395">
        <v>614.27</v>
      </c>
      <c r="I37" s="396">
        <f t="shared" si="23"/>
        <v>0.98406010701355306</v>
      </c>
      <c r="J37" s="395">
        <v>24.1</v>
      </c>
      <c r="K37" s="396">
        <f t="shared" si="15"/>
        <v>3.8608183012399482E-2</v>
      </c>
      <c r="L37" s="395">
        <v>122.81999999999996</v>
      </c>
      <c r="M37" s="396">
        <f t="shared" si="16"/>
        <v>1.0226682900259525</v>
      </c>
      <c r="N37" s="397">
        <v>1737.9030000000005</v>
      </c>
      <c r="O37" s="395">
        <v>8.84</v>
      </c>
      <c r="P37" s="396">
        <f t="shared" si="17"/>
        <v>1.4161673768863544E-2</v>
      </c>
      <c r="Q37" s="398">
        <f t="shared" si="18"/>
        <v>5.3100000000000911</v>
      </c>
      <c r="R37" s="396">
        <f t="shared" si="19"/>
        <v>8.506616257088994E-3</v>
      </c>
      <c r="S37" s="399">
        <f t="shared" si="20"/>
        <v>652.17420000001096</v>
      </c>
      <c r="T37" s="400" t="s">
        <v>433</v>
      </c>
      <c r="U37" s="400" t="s">
        <v>342</v>
      </c>
      <c r="V37" s="401"/>
      <c r="W37" s="401"/>
      <c r="X37" s="401">
        <v>1</v>
      </c>
      <c r="Y37" s="402" t="s">
        <v>438</v>
      </c>
    </row>
    <row r="38" spans="2:34" s="150" customFormat="1" ht="27" customHeight="1">
      <c r="B38" s="812"/>
      <c r="C38" s="813"/>
      <c r="D38" s="390">
        <v>8</v>
      </c>
      <c r="E38" s="393" t="s">
        <v>339</v>
      </c>
      <c r="F38" s="394">
        <v>1080.9420999999998</v>
      </c>
      <c r="G38" s="395">
        <v>621.56999999999994</v>
      </c>
      <c r="H38" s="395">
        <v>625.6</v>
      </c>
      <c r="I38" s="396">
        <f t="shared" si="23"/>
        <v>1.0064835818974533</v>
      </c>
      <c r="J38" s="395">
        <v>4.88</v>
      </c>
      <c r="K38" s="396">
        <f>J38/G38</f>
        <v>7.8510867641617202E-3</v>
      </c>
      <c r="L38" s="395">
        <v>141.66999999999999</v>
      </c>
      <c r="M38" s="396">
        <f>(H38+J38)/G38</f>
        <v>1.014334668661615</v>
      </c>
      <c r="N38" s="397">
        <v>1262.2796999999973</v>
      </c>
      <c r="O38" s="395">
        <v>7.63</v>
      </c>
      <c r="P38" s="396">
        <f t="shared" si="17"/>
        <v>1.2275367215277444E-2</v>
      </c>
      <c r="Q38" s="398">
        <f t="shared" si="18"/>
        <v>1.280000000000082</v>
      </c>
      <c r="R38" s="396">
        <f t="shared" si="19"/>
        <v>2.0593014463376321E-3</v>
      </c>
      <c r="S38" s="399">
        <f t="shared" si="20"/>
        <v>181.33760000001161</v>
      </c>
      <c r="T38" s="400" t="s">
        <v>433</v>
      </c>
      <c r="U38" s="400" t="s">
        <v>492</v>
      </c>
      <c r="V38" s="438"/>
      <c r="W38" s="401"/>
      <c r="X38" s="401">
        <v>1</v>
      </c>
      <c r="Y38" s="402" t="s">
        <v>347</v>
      </c>
    </row>
    <row r="39" spans="2:34" s="150" customFormat="1" ht="27" customHeight="1">
      <c r="B39" s="812"/>
      <c r="C39" s="813"/>
      <c r="D39" s="390">
        <v>9</v>
      </c>
      <c r="E39" s="393" t="s">
        <v>521</v>
      </c>
      <c r="F39" s="394">
        <v>1053.9471999999998</v>
      </c>
      <c r="G39" s="395">
        <v>279.83</v>
      </c>
      <c r="H39" s="395">
        <v>287.64999999999998</v>
      </c>
      <c r="I39" s="396">
        <f t="shared" si="23"/>
        <v>1.0279455383625773</v>
      </c>
      <c r="J39" s="395">
        <v>3.9400000000000004</v>
      </c>
      <c r="K39" s="396">
        <f t="shared" ref="K39:K50" si="24">J39/G39</f>
        <v>1.4079977128971164E-2</v>
      </c>
      <c r="L39" s="395">
        <v>153.19000000000003</v>
      </c>
      <c r="M39" s="396">
        <f t="shared" ref="M39:M50" si="25">(H39+J39)/G39</f>
        <v>1.0420255154915483</v>
      </c>
      <c r="N39" s="397">
        <v>1801.5144000000018</v>
      </c>
      <c r="O39" s="395">
        <v>6.88</v>
      </c>
      <c r="P39" s="396">
        <f t="shared" si="17"/>
        <v>2.4586356001858271E-2</v>
      </c>
      <c r="Q39" s="398">
        <f t="shared" si="18"/>
        <v>4.879999999999991</v>
      </c>
      <c r="R39" s="396">
        <f t="shared" si="19"/>
        <v>1.7439159489690138E-2</v>
      </c>
      <c r="S39" s="399">
        <f t="shared" si="20"/>
        <v>747.56719999999871</v>
      </c>
      <c r="T39" s="400" t="s">
        <v>433</v>
      </c>
      <c r="U39" s="400" t="s">
        <v>492</v>
      </c>
      <c r="V39" s="401"/>
      <c r="W39" s="401"/>
      <c r="X39" s="401">
        <v>1</v>
      </c>
      <c r="Y39" s="402" t="s">
        <v>523</v>
      </c>
    </row>
    <row r="40" spans="2:34" s="150" customFormat="1" ht="27" customHeight="1">
      <c r="B40" s="812"/>
      <c r="C40" s="813"/>
      <c r="D40" s="390">
        <v>10</v>
      </c>
      <c r="E40" s="393" t="s">
        <v>522</v>
      </c>
      <c r="F40" s="394">
        <v>1052.6980000000001</v>
      </c>
      <c r="G40" s="395">
        <v>168.70000000000002</v>
      </c>
      <c r="H40" s="395">
        <v>170.52</v>
      </c>
      <c r="I40" s="396">
        <f t="shared" si="23"/>
        <v>1.0107883817427386</v>
      </c>
      <c r="J40" s="395">
        <v>9.83</v>
      </c>
      <c r="K40" s="396">
        <f t="shared" si="24"/>
        <v>5.8269116775340836E-2</v>
      </c>
      <c r="L40" s="395">
        <v>169.79</v>
      </c>
      <c r="M40" s="396">
        <f t="shared" si="25"/>
        <v>1.0690574985180794</v>
      </c>
      <c r="N40" s="397">
        <v>1978.0535000000004</v>
      </c>
      <c r="O40" s="395">
        <v>6.2</v>
      </c>
      <c r="P40" s="396">
        <f t="shared" si="17"/>
        <v>3.6751630112625958E-2</v>
      </c>
      <c r="Q40" s="398">
        <f t="shared" si="18"/>
        <v>5.4500000000000055</v>
      </c>
      <c r="R40" s="396">
        <f t="shared" si="19"/>
        <v>3.2305868405453499E-2</v>
      </c>
      <c r="S40" s="399">
        <f t="shared" si="20"/>
        <v>925.35550000000092</v>
      </c>
      <c r="T40" s="400" t="s">
        <v>433</v>
      </c>
      <c r="U40" s="400" t="s">
        <v>492</v>
      </c>
      <c r="V40" s="401"/>
      <c r="W40" s="401"/>
      <c r="X40" s="401">
        <v>1</v>
      </c>
      <c r="Y40" s="402" t="s">
        <v>475</v>
      </c>
    </row>
    <row r="41" spans="2:34" s="150" customFormat="1" ht="27" customHeight="1">
      <c r="B41" s="812"/>
      <c r="C41" s="813"/>
      <c r="D41" s="390">
        <v>11</v>
      </c>
      <c r="E41" s="393" t="s">
        <v>369</v>
      </c>
      <c r="F41" s="394">
        <v>1015.68</v>
      </c>
      <c r="G41" s="395">
        <v>286.14</v>
      </c>
      <c r="H41" s="395">
        <v>290</v>
      </c>
      <c r="I41" s="396">
        <f t="shared" si="23"/>
        <v>1.0134899000489273</v>
      </c>
      <c r="J41" s="395">
        <v>3.8499999999999996</v>
      </c>
      <c r="K41" s="396">
        <f t="shared" si="24"/>
        <v>1.3454952121339203E-2</v>
      </c>
      <c r="L41" s="395">
        <v>253.92000000000002</v>
      </c>
      <c r="M41" s="396">
        <f t="shared" si="25"/>
        <v>1.0269448521702664</v>
      </c>
      <c r="N41" s="397">
        <v>1957.7231999999958</v>
      </c>
      <c r="O41" s="395">
        <v>4</v>
      </c>
      <c r="P41" s="396">
        <f t="shared" si="17"/>
        <v>1.3979171035157615E-2</v>
      </c>
      <c r="Q41" s="398">
        <f t="shared" si="18"/>
        <v>3.7100000000000364</v>
      </c>
      <c r="R41" s="396">
        <f t="shared" si="19"/>
        <v>1.2965681135108816E-2</v>
      </c>
      <c r="S41" s="399">
        <f t="shared" si="20"/>
        <v>942.04320000000928</v>
      </c>
      <c r="T41" s="400" t="s">
        <v>433</v>
      </c>
      <c r="U41" s="400" t="s">
        <v>492</v>
      </c>
      <c r="V41" s="401"/>
      <c r="W41" s="401"/>
      <c r="X41" s="401">
        <v>1</v>
      </c>
      <c r="Y41" s="402" t="s">
        <v>361</v>
      </c>
    </row>
    <row r="42" spans="2:34" s="150" customFormat="1" ht="27" customHeight="1">
      <c r="B42" s="812"/>
      <c r="C42" s="813"/>
      <c r="D42" s="390">
        <v>12</v>
      </c>
      <c r="E42" s="393" t="s">
        <v>653</v>
      </c>
      <c r="F42" s="394">
        <v>985.41520000000014</v>
      </c>
      <c r="G42" s="395">
        <v>623.01</v>
      </c>
      <c r="H42" s="395">
        <v>595.21</v>
      </c>
      <c r="I42" s="396">
        <f t="shared" si="23"/>
        <v>0.95537792330781213</v>
      </c>
      <c r="J42" s="395">
        <v>67.580000000000013</v>
      </c>
      <c r="K42" s="396">
        <f t="shared" si="24"/>
        <v>0.10847337923949858</v>
      </c>
      <c r="L42" s="395">
        <v>65.87</v>
      </c>
      <c r="M42" s="396">
        <f t="shared" si="25"/>
        <v>1.0638513025473109</v>
      </c>
      <c r="N42" s="397">
        <v>2620.3086000000012</v>
      </c>
      <c r="O42" s="395">
        <v>14.959999999999999</v>
      </c>
      <c r="P42" s="396">
        <f t="shared" si="17"/>
        <v>2.4012455658817676E-2</v>
      </c>
      <c r="Q42" s="398">
        <f t="shared" si="18"/>
        <v>24.820000000000086</v>
      </c>
      <c r="R42" s="396">
        <f t="shared" si="19"/>
        <v>3.9838846888493103E-2</v>
      </c>
      <c r="S42" s="399">
        <f t="shared" si="20"/>
        <v>1634.8934000000058</v>
      </c>
      <c r="T42" s="400" t="s">
        <v>433</v>
      </c>
      <c r="U42" s="400" t="s">
        <v>492</v>
      </c>
      <c r="V42" s="401"/>
      <c r="W42" s="401"/>
      <c r="X42" s="401">
        <v>1</v>
      </c>
      <c r="Y42" s="402" t="s">
        <v>480</v>
      </c>
    </row>
    <row r="43" spans="2:34" s="150" customFormat="1" ht="27" customHeight="1">
      <c r="B43" s="812"/>
      <c r="C43" s="813"/>
      <c r="D43" s="390">
        <v>13</v>
      </c>
      <c r="E43" s="393" t="s">
        <v>654</v>
      </c>
      <c r="F43" s="394">
        <v>978.17279999999982</v>
      </c>
      <c r="G43" s="395">
        <v>873.16</v>
      </c>
      <c r="H43" s="395">
        <v>848.9</v>
      </c>
      <c r="I43" s="396">
        <v>0.97221585963626367</v>
      </c>
      <c r="J43" s="395">
        <v>53.94</v>
      </c>
      <c r="K43" s="396">
        <v>6.1775619588620642E-2</v>
      </c>
      <c r="L43" s="395">
        <v>75.36</v>
      </c>
      <c r="M43" s="396">
        <f t="shared" si="25"/>
        <v>1.0339914792248843</v>
      </c>
      <c r="N43" s="397">
        <v>2236.6847999999986</v>
      </c>
      <c r="O43" s="395">
        <v>12.98</v>
      </c>
      <c r="P43" s="396">
        <f t="shared" si="17"/>
        <v>1.4865545833524212E-2</v>
      </c>
      <c r="Q43" s="398">
        <f t="shared" si="18"/>
        <v>16.69999999999995</v>
      </c>
      <c r="R43" s="396">
        <f t="shared" si="19"/>
        <v>1.912593339136006E-2</v>
      </c>
      <c r="S43" s="399">
        <f t="shared" si="20"/>
        <v>1258.5119999999961</v>
      </c>
      <c r="T43" s="400" t="s">
        <v>433</v>
      </c>
      <c r="U43" s="400" t="s">
        <v>492</v>
      </c>
      <c r="V43" s="401"/>
      <c r="W43" s="401"/>
      <c r="X43" s="401">
        <v>1</v>
      </c>
      <c r="Y43" s="402" t="s">
        <v>487</v>
      </c>
    </row>
    <row r="44" spans="2:34" s="150" customFormat="1" ht="27" customHeight="1">
      <c r="B44" s="812"/>
      <c r="C44" s="813"/>
      <c r="D44" s="390">
        <v>14</v>
      </c>
      <c r="E44" s="393" t="s">
        <v>655</v>
      </c>
      <c r="F44" s="394">
        <v>970.32000000000016</v>
      </c>
      <c r="G44" s="395">
        <v>134.57</v>
      </c>
      <c r="H44" s="395">
        <v>129.13</v>
      </c>
      <c r="I44" s="396">
        <v>0.95957494240915508</v>
      </c>
      <c r="J44" s="395">
        <v>8.99</v>
      </c>
      <c r="K44" s="396">
        <v>6.6805380099576428E-2</v>
      </c>
      <c r="L44" s="395">
        <v>485.15999999999997</v>
      </c>
      <c r="M44" s="396">
        <f t="shared" si="25"/>
        <v>1.0263803225087316</v>
      </c>
      <c r="N44" s="397">
        <v>1722.3180000000004</v>
      </c>
      <c r="O44" s="395">
        <v>2</v>
      </c>
      <c r="P44" s="396">
        <f t="shared" si="17"/>
        <v>1.4862153526045925E-2</v>
      </c>
      <c r="Q44" s="398">
        <f t="shared" si="18"/>
        <v>1.5500000000000114</v>
      </c>
      <c r="R44" s="396">
        <f t="shared" si="19"/>
        <v>1.1518168982685676E-2</v>
      </c>
      <c r="S44" s="399">
        <f t="shared" si="20"/>
        <v>751.9980000000055</v>
      </c>
      <c r="T44" s="400" t="s">
        <v>433</v>
      </c>
      <c r="U44" s="400" t="s">
        <v>492</v>
      </c>
      <c r="V44" s="401"/>
      <c r="W44" s="401"/>
      <c r="X44" s="401">
        <v>1</v>
      </c>
      <c r="Y44" s="402" t="s">
        <v>348</v>
      </c>
    </row>
    <row r="45" spans="2:34" s="150" customFormat="1" ht="27" customHeight="1">
      <c r="B45" s="812"/>
      <c r="C45" s="813"/>
      <c r="D45" s="390">
        <v>15</v>
      </c>
      <c r="E45" s="393" t="s">
        <v>656</v>
      </c>
      <c r="F45" s="394">
        <v>968.50199999999995</v>
      </c>
      <c r="G45" s="395">
        <v>148.4</v>
      </c>
      <c r="H45" s="395">
        <v>152.67000000000002</v>
      </c>
      <c r="I45" s="396">
        <v>1.0287735849056605</v>
      </c>
      <c r="J45" s="395">
        <v>3.74</v>
      </c>
      <c r="K45" s="396">
        <v>2.5202156334231805E-2</v>
      </c>
      <c r="L45" s="395">
        <v>190.65000000000003</v>
      </c>
      <c r="M45" s="396">
        <f t="shared" si="25"/>
        <v>1.0539757412398922</v>
      </c>
      <c r="N45" s="397">
        <v>1527.106500000001</v>
      </c>
      <c r="O45" s="395">
        <v>5.080000000000001</v>
      </c>
      <c r="P45" s="396">
        <f t="shared" si="17"/>
        <v>3.4231805929919146E-2</v>
      </c>
      <c r="Q45" s="398">
        <f t="shared" si="18"/>
        <v>2.9300000000000184</v>
      </c>
      <c r="R45" s="396">
        <f t="shared" si="19"/>
        <v>1.9743935309973169E-2</v>
      </c>
      <c r="S45" s="399">
        <f t="shared" si="20"/>
        <v>558.60450000000355</v>
      </c>
      <c r="T45" s="400" t="s">
        <v>433</v>
      </c>
      <c r="U45" s="400" t="s">
        <v>492</v>
      </c>
      <c r="V45" s="400"/>
      <c r="W45" s="401"/>
      <c r="X45" s="401">
        <v>1</v>
      </c>
      <c r="Y45" s="402" t="s">
        <v>473</v>
      </c>
    </row>
    <row r="46" spans="2:34" s="150" customFormat="1" ht="27" customHeight="1">
      <c r="B46" s="812"/>
      <c r="C46" s="813"/>
      <c r="D46" s="390">
        <v>16</v>
      </c>
      <c r="E46" s="393" t="s">
        <v>583</v>
      </c>
      <c r="F46" s="394">
        <v>960.16480000000001</v>
      </c>
      <c r="G46" s="395">
        <v>209.97000000000003</v>
      </c>
      <c r="H46" s="395">
        <v>213.32</v>
      </c>
      <c r="I46" s="396">
        <v>1.0159546601895508</v>
      </c>
      <c r="J46" s="395">
        <v>10</v>
      </c>
      <c r="K46" s="396">
        <v>4.7625851312092196E-2</v>
      </c>
      <c r="L46" s="395">
        <v>145.04</v>
      </c>
      <c r="M46" s="396">
        <f t="shared" si="25"/>
        <v>1.063580511501643</v>
      </c>
      <c r="N46" s="397">
        <v>1936.2839999999997</v>
      </c>
      <c r="O46" s="395">
        <v>6.62</v>
      </c>
      <c r="P46" s="396">
        <f t="shared" si="17"/>
        <v>3.1528313568605033E-2</v>
      </c>
      <c r="Q46" s="398">
        <f t="shared" si="18"/>
        <v>6.7299999999999658</v>
      </c>
      <c r="R46" s="396">
        <f t="shared" si="19"/>
        <v>3.2052197933037888E-2</v>
      </c>
      <c r="S46" s="399">
        <f t="shared" si="20"/>
        <v>976.11919999999498</v>
      </c>
      <c r="T46" s="400" t="s">
        <v>433</v>
      </c>
      <c r="U46" s="400" t="s">
        <v>492</v>
      </c>
      <c r="V46" s="401"/>
      <c r="W46" s="401"/>
      <c r="X46" s="401">
        <v>1</v>
      </c>
      <c r="Y46" s="402" t="s">
        <v>346</v>
      </c>
      <c r="AC46" s="406"/>
    </row>
    <row r="47" spans="2:34" s="150" customFormat="1" ht="27" customHeight="1">
      <c r="B47" s="812"/>
      <c r="C47" s="813"/>
      <c r="D47" s="390">
        <v>17</v>
      </c>
      <c r="E47" s="393" t="s">
        <v>657</v>
      </c>
      <c r="F47" s="394">
        <v>960.04440000000022</v>
      </c>
      <c r="G47" s="395">
        <v>1040.04</v>
      </c>
      <c r="H47" s="395">
        <v>1038.6200000000001</v>
      </c>
      <c r="I47" s="396">
        <v>0.99863466789738875</v>
      </c>
      <c r="J47" s="395">
        <v>15.23</v>
      </c>
      <c r="K47" s="396">
        <v>1.4643667551248031E-2</v>
      </c>
      <c r="L47" s="395">
        <v>126.99</v>
      </c>
      <c r="M47" s="396">
        <f t="shared" si="25"/>
        <v>1.0132783354486368</v>
      </c>
      <c r="N47" s="397">
        <v>1753.7319000000005</v>
      </c>
      <c r="O47" s="395">
        <v>7.5600000000000005</v>
      </c>
      <c r="P47" s="396">
        <f t="shared" si="17"/>
        <v>7.2689511941848401E-3</v>
      </c>
      <c r="Q47" s="398">
        <f t="shared" si="18"/>
        <v>6.2500000000001723</v>
      </c>
      <c r="R47" s="396">
        <f t="shared" si="19"/>
        <v>6.0093842544519174E-3</v>
      </c>
      <c r="S47" s="399">
        <f t="shared" si="20"/>
        <v>793.68750000002183</v>
      </c>
      <c r="T47" s="400" t="s">
        <v>433</v>
      </c>
      <c r="U47" s="400" t="s">
        <v>492</v>
      </c>
      <c r="V47" s="401"/>
      <c r="W47" s="401"/>
      <c r="X47" s="401">
        <v>1</v>
      </c>
      <c r="Y47" s="402" t="s">
        <v>345</v>
      </c>
      <c r="AB47" s="408"/>
      <c r="AC47" s="406"/>
    </row>
    <row r="48" spans="2:34" s="150" customFormat="1" ht="27" customHeight="1">
      <c r="B48" s="812"/>
      <c r="C48" s="813"/>
      <c r="D48" s="390">
        <v>18</v>
      </c>
      <c r="E48" s="393" t="s">
        <v>658</v>
      </c>
      <c r="F48" s="394">
        <v>957.83969999999999</v>
      </c>
      <c r="G48" s="395">
        <v>37.75</v>
      </c>
      <c r="H48" s="395">
        <v>40.56</v>
      </c>
      <c r="I48" s="396">
        <v>1.0744370860927153</v>
      </c>
      <c r="J48" s="395">
        <v>0.6</v>
      </c>
      <c r="K48" s="396">
        <v>1.5894039735099338E-2</v>
      </c>
      <c r="L48" s="395">
        <v>496.29</v>
      </c>
      <c r="M48" s="396">
        <f t="shared" si="25"/>
        <v>1.0903311258278148</v>
      </c>
      <c r="N48" s="397">
        <v>1692.3489000000011</v>
      </c>
      <c r="O48" s="395">
        <v>1.9300000000000002</v>
      </c>
      <c r="P48" s="396">
        <f t="shared" si="17"/>
        <v>5.1125827814569542E-2</v>
      </c>
      <c r="Q48" s="398">
        <f t="shared" si="18"/>
        <v>1.4800000000000035</v>
      </c>
      <c r="R48" s="396">
        <f t="shared" si="19"/>
        <v>3.9205298013245127E-2</v>
      </c>
      <c r="S48" s="399">
        <f t="shared" si="20"/>
        <v>734.50920000000178</v>
      </c>
      <c r="T48" s="400" t="s">
        <v>433</v>
      </c>
      <c r="U48" s="400" t="s">
        <v>492</v>
      </c>
      <c r="V48" s="425"/>
      <c r="W48" s="401"/>
      <c r="X48" s="401">
        <v>1</v>
      </c>
      <c r="Y48" s="402" t="s">
        <v>411</v>
      </c>
      <c r="AC48" s="406"/>
    </row>
    <row r="49" spans="2:34" s="150" customFormat="1" ht="27" customHeight="1">
      <c r="B49" s="812"/>
      <c r="C49" s="813"/>
      <c r="D49" s="390">
        <v>19</v>
      </c>
      <c r="E49" s="393" t="s">
        <v>659</v>
      </c>
      <c r="F49" s="394">
        <v>954.79020000000014</v>
      </c>
      <c r="G49" s="395">
        <v>207.19</v>
      </c>
      <c r="H49" s="395">
        <v>209.46000000000004</v>
      </c>
      <c r="I49" s="396">
        <v>1.0109561272262177</v>
      </c>
      <c r="J49" s="395">
        <v>3.25</v>
      </c>
      <c r="K49" s="396">
        <v>1.5686085235773927E-2</v>
      </c>
      <c r="L49" s="395">
        <v>203.57999999999998</v>
      </c>
      <c r="M49" s="396">
        <f t="shared" si="25"/>
        <v>1.0266422124619916</v>
      </c>
      <c r="N49" s="397">
        <v>1123.7616000000014</v>
      </c>
      <c r="O49" s="395">
        <v>4.6899999999999995</v>
      </c>
      <c r="P49" s="396">
        <f t="shared" si="17"/>
        <v>2.2636227617162989E-2</v>
      </c>
      <c r="Q49" s="398">
        <f t="shared" si="18"/>
        <v>0.83000000000003915</v>
      </c>
      <c r="R49" s="396">
        <f t="shared" si="19"/>
        <v>4.005984844828607E-3</v>
      </c>
      <c r="S49" s="399">
        <f t="shared" si="20"/>
        <v>168.97140000000795</v>
      </c>
      <c r="T49" s="400" t="s">
        <v>433</v>
      </c>
      <c r="U49" s="400" t="s">
        <v>492</v>
      </c>
      <c r="V49" s="401"/>
      <c r="W49" s="401"/>
      <c r="X49" s="401">
        <v>1</v>
      </c>
      <c r="Y49" s="402" t="s">
        <v>347</v>
      </c>
      <c r="AB49" s="409"/>
      <c r="AC49" s="406"/>
    </row>
    <row r="50" spans="2:34" s="150" customFormat="1" ht="27" customHeight="1">
      <c r="B50" s="814"/>
      <c r="C50" s="815"/>
      <c r="D50" s="390">
        <v>20</v>
      </c>
      <c r="E50" s="393" t="s">
        <v>660</v>
      </c>
      <c r="F50" s="394">
        <v>953.97540000000015</v>
      </c>
      <c r="G50" s="395">
        <v>609.21999999999991</v>
      </c>
      <c r="H50" s="395">
        <v>620.47</v>
      </c>
      <c r="I50" s="396">
        <f t="shared" si="23"/>
        <v>1.0184662355142644</v>
      </c>
      <c r="J50" s="395">
        <v>0</v>
      </c>
      <c r="K50" s="396">
        <f t="shared" si="24"/>
        <v>0</v>
      </c>
      <c r="L50" s="395">
        <v>110.66999999999999</v>
      </c>
      <c r="M50" s="396">
        <f t="shared" si="25"/>
        <v>1.0184662355142644</v>
      </c>
      <c r="N50" s="397">
        <v>1245.0375000000008</v>
      </c>
      <c r="O50" s="395">
        <v>8.6199999999999992</v>
      </c>
      <c r="P50" s="396">
        <f t="shared" si="17"/>
        <v>1.4149240011818392E-2</v>
      </c>
      <c r="Q50" s="398">
        <f t="shared" si="18"/>
        <v>2.6300000000001145</v>
      </c>
      <c r="R50" s="396">
        <f t="shared" si="19"/>
        <v>4.3169955024459387E-3</v>
      </c>
      <c r="S50" s="399">
        <f t="shared" si="20"/>
        <v>291.06210000001266</v>
      </c>
      <c r="T50" s="400" t="s">
        <v>433</v>
      </c>
      <c r="U50" s="400" t="s">
        <v>492</v>
      </c>
      <c r="V50" s="401"/>
      <c r="W50" s="401"/>
      <c r="X50" s="401">
        <v>1</v>
      </c>
      <c r="Y50" s="402" t="s">
        <v>541</v>
      </c>
      <c r="AB50" s="409"/>
      <c r="AC50" s="406"/>
    </row>
    <row r="51" spans="2:34" ht="17.149999999999999" customHeight="1">
      <c r="B51" s="829" t="s">
        <v>489</v>
      </c>
      <c r="C51" s="830"/>
      <c r="D51" s="826" t="s">
        <v>172</v>
      </c>
      <c r="E51" s="826"/>
      <c r="F51" s="826"/>
      <c r="G51" s="826" t="s">
        <v>186</v>
      </c>
      <c r="H51" s="826"/>
      <c r="I51" s="826"/>
      <c r="J51" s="826"/>
      <c r="K51" s="826"/>
      <c r="L51" s="826"/>
      <c r="M51" s="826"/>
      <c r="N51" s="826"/>
      <c r="O51" s="826"/>
      <c r="P51" s="826"/>
      <c r="Q51" s="826"/>
      <c r="R51" s="826"/>
      <c r="S51" s="826"/>
      <c r="T51" s="826" t="s">
        <v>173</v>
      </c>
      <c r="U51" s="816" t="s">
        <v>248</v>
      </c>
      <c r="V51" s="835" t="s">
        <v>490</v>
      </c>
      <c r="W51" s="835" t="s">
        <v>491</v>
      </c>
      <c r="X51" s="838" t="s">
        <v>249</v>
      </c>
      <c r="Y51" s="827" t="s">
        <v>174</v>
      </c>
      <c r="AA51" s="816" t="s">
        <v>250</v>
      </c>
      <c r="AB51" s="817"/>
      <c r="AC51" s="817"/>
      <c r="AD51" s="817"/>
      <c r="AE51" s="817"/>
      <c r="AF51" s="817"/>
      <c r="AG51" s="817"/>
      <c r="AH51" s="818"/>
    </row>
    <row r="52" spans="2:34" ht="17.149999999999999" customHeight="1">
      <c r="B52" s="831"/>
      <c r="C52" s="832"/>
      <c r="D52" s="825" t="s">
        <v>171</v>
      </c>
      <c r="E52" s="826" t="s">
        <v>175</v>
      </c>
      <c r="F52" s="826"/>
      <c r="G52" s="826" t="s">
        <v>187</v>
      </c>
      <c r="H52" s="826"/>
      <c r="I52" s="826"/>
      <c r="J52" s="826"/>
      <c r="K52" s="826"/>
      <c r="L52" s="826"/>
      <c r="M52" s="826"/>
      <c r="N52" s="826"/>
      <c r="O52" s="826" t="s">
        <v>176</v>
      </c>
      <c r="P52" s="826"/>
      <c r="Q52" s="826"/>
      <c r="R52" s="826"/>
      <c r="S52" s="826"/>
      <c r="T52" s="826"/>
      <c r="U52" s="819"/>
      <c r="V52" s="836"/>
      <c r="W52" s="836"/>
      <c r="X52" s="839"/>
      <c r="Y52" s="827"/>
      <c r="AA52" s="819"/>
      <c r="AB52" s="820"/>
      <c r="AC52" s="820"/>
      <c r="AD52" s="820"/>
      <c r="AE52" s="820"/>
      <c r="AF52" s="820"/>
      <c r="AG52" s="820"/>
      <c r="AH52" s="821"/>
    </row>
    <row r="53" spans="2:34" ht="17.149999999999999" customHeight="1">
      <c r="B53" s="831"/>
      <c r="C53" s="832"/>
      <c r="D53" s="825"/>
      <c r="E53" s="825" t="s">
        <v>177</v>
      </c>
      <c r="F53" s="827" t="s">
        <v>251</v>
      </c>
      <c r="G53" s="828" t="s">
        <v>188</v>
      </c>
      <c r="H53" s="828"/>
      <c r="I53" s="828"/>
      <c r="J53" s="828"/>
      <c r="K53" s="828"/>
      <c r="L53" s="828"/>
      <c r="M53" s="828"/>
      <c r="N53" s="828"/>
      <c r="O53" s="828" t="s">
        <v>170</v>
      </c>
      <c r="P53" s="828"/>
      <c r="Q53" s="828" t="s">
        <v>178</v>
      </c>
      <c r="R53" s="828"/>
      <c r="S53" s="828"/>
      <c r="T53" s="826"/>
      <c r="U53" s="819"/>
      <c r="V53" s="836"/>
      <c r="W53" s="836"/>
      <c r="X53" s="839"/>
      <c r="Y53" s="827"/>
      <c r="AA53" s="822"/>
      <c r="AB53" s="823"/>
      <c r="AC53" s="823"/>
      <c r="AD53" s="823"/>
      <c r="AE53" s="823"/>
      <c r="AF53" s="823"/>
      <c r="AG53" s="823"/>
      <c r="AH53" s="824"/>
    </row>
    <row r="54" spans="2:34" ht="38.5" customHeight="1">
      <c r="B54" s="833"/>
      <c r="C54" s="834"/>
      <c r="D54" s="825"/>
      <c r="E54" s="825"/>
      <c r="F54" s="827"/>
      <c r="G54" s="391" t="s">
        <v>179</v>
      </c>
      <c r="H54" s="391" t="s">
        <v>255</v>
      </c>
      <c r="I54" s="391" t="s">
        <v>256</v>
      </c>
      <c r="J54" s="391" t="s">
        <v>180</v>
      </c>
      <c r="K54" s="391" t="s">
        <v>253</v>
      </c>
      <c r="L54" s="391" t="s">
        <v>181</v>
      </c>
      <c r="M54" s="391" t="s">
        <v>189</v>
      </c>
      <c r="N54" s="391" t="s">
        <v>182</v>
      </c>
      <c r="O54" s="392" t="s">
        <v>183</v>
      </c>
      <c r="P54" s="392" t="s">
        <v>184</v>
      </c>
      <c r="Q54" s="392" t="s">
        <v>183</v>
      </c>
      <c r="R54" s="392" t="s">
        <v>184</v>
      </c>
      <c r="S54" s="391" t="s">
        <v>185</v>
      </c>
      <c r="T54" s="826"/>
      <c r="U54" s="822"/>
      <c r="V54" s="837"/>
      <c r="W54" s="837"/>
      <c r="X54" s="840"/>
      <c r="Y54" s="827"/>
      <c r="AA54" s="163" t="s">
        <v>247</v>
      </c>
      <c r="AB54" s="163" t="s">
        <v>492</v>
      </c>
      <c r="AC54" s="158" t="s">
        <v>398</v>
      </c>
      <c r="AD54" s="158" t="s">
        <v>342</v>
      </c>
      <c r="AE54" s="158" t="s">
        <v>466</v>
      </c>
      <c r="AF54" s="158" t="s">
        <v>218</v>
      </c>
      <c r="AG54" s="158" t="s">
        <v>219</v>
      </c>
      <c r="AH54" s="158" t="s">
        <v>399</v>
      </c>
    </row>
    <row r="55" spans="2:34" s="150" customFormat="1" ht="27" customHeight="1">
      <c r="B55" s="810" t="s">
        <v>624</v>
      </c>
      <c r="C55" s="811"/>
      <c r="D55" s="390">
        <v>1</v>
      </c>
      <c r="E55" s="393"/>
      <c r="F55" s="394"/>
      <c r="G55" s="395"/>
      <c r="H55" s="395"/>
      <c r="I55" s="396" t="e">
        <f>H55/G55</f>
        <v>#DIV/0!</v>
      </c>
      <c r="J55" s="395"/>
      <c r="K55" s="396" t="e">
        <f>J55/G55</f>
        <v>#DIV/0!</v>
      </c>
      <c r="L55" s="395"/>
      <c r="M55" s="396" t="e">
        <f>(H55+J55)/G55</f>
        <v>#DIV/0!</v>
      </c>
      <c r="N55" s="397"/>
      <c r="O55" s="395"/>
      <c r="P55" s="396" t="e">
        <f>O55/G55</f>
        <v>#DIV/0!</v>
      </c>
      <c r="Q55" s="398">
        <f>((H55+J55)-G55)-O55</f>
        <v>0</v>
      </c>
      <c r="R55" s="396" t="e">
        <f>Q55/G55</f>
        <v>#DIV/0!</v>
      </c>
      <c r="S55" s="399">
        <f>Q55*L55</f>
        <v>0</v>
      </c>
      <c r="T55" s="400" t="s">
        <v>433</v>
      </c>
      <c r="U55" s="400"/>
      <c r="V55" s="401"/>
      <c r="W55" s="401"/>
      <c r="X55" s="401">
        <v>1</v>
      </c>
      <c r="Y55" s="402"/>
      <c r="Z55" s="403" t="s">
        <v>493</v>
      </c>
      <c r="AA55" s="413">
        <f>SUM(X55:X74)</f>
        <v>20</v>
      </c>
      <c r="AB55" s="405">
        <f>SUMIF($U$55:$U$74,TRIM(AB54),$X$55:$X$74)</f>
        <v>0</v>
      </c>
      <c r="AC55" s="405">
        <f t="shared" ref="AC55:AH55" si="26">SUMIF($U$55:$U$74,TRIM(AC54),$X$55:$X$74)</f>
        <v>0</v>
      </c>
      <c r="AD55" s="405">
        <f t="shared" si="26"/>
        <v>0</v>
      </c>
      <c r="AE55" s="405">
        <f t="shared" si="26"/>
        <v>0</v>
      </c>
      <c r="AF55" s="405">
        <f t="shared" si="26"/>
        <v>0</v>
      </c>
      <c r="AG55" s="405">
        <f t="shared" si="26"/>
        <v>0</v>
      </c>
      <c r="AH55" s="405">
        <f t="shared" si="26"/>
        <v>0</v>
      </c>
    </row>
    <row r="56" spans="2:34" s="150" customFormat="1" ht="27" customHeight="1">
      <c r="B56" s="812"/>
      <c r="C56" s="813"/>
      <c r="D56" s="390">
        <v>2</v>
      </c>
      <c r="E56" s="393"/>
      <c r="F56" s="394"/>
      <c r="G56" s="395"/>
      <c r="H56" s="395"/>
      <c r="I56" s="396" t="e">
        <f t="shared" ref="I56:I57" si="27">H56/G56</f>
        <v>#DIV/0!</v>
      </c>
      <c r="J56" s="395"/>
      <c r="K56" s="396" t="e">
        <f t="shared" ref="K56:K61" si="28">J56/G56</f>
        <v>#DIV/0!</v>
      </c>
      <c r="L56" s="395"/>
      <c r="M56" s="396" t="e">
        <f t="shared" ref="M56:M61" si="29">(H56+J56)/G56</f>
        <v>#DIV/0!</v>
      </c>
      <c r="N56" s="397"/>
      <c r="O56" s="395"/>
      <c r="P56" s="396" t="e">
        <f t="shared" ref="P56:P74" si="30">O56/G56</f>
        <v>#DIV/0!</v>
      </c>
      <c r="Q56" s="398">
        <f t="shared" ref="Q56:Q74" si="31">((H56+J56)-G56)-O56</f>
        <v>0</v>
      </c>
      <c r="R56" s="396" t="e">
        <f t="shared" ref="R56:R74" si="32">Q56/G56</f>
        <v>#DIV/0!</v>
      </c>
      <c r="S56" s="399">
        <f t="shared" ref="S56:S74" si="33">Q56*L56</f>
        <v>0</v>
      </c>
      <c r="T56" s="400" t="s">
        <v>433</v>
      </c>
      <c r="U56" s="400"/>
      <c r="V56" s="400"/>
      <c r="W56" s="401"/>
      <c r="X56" s="401">
        <v>1</v>
      </c>
      <c r="Y56" s="402"/>
      <c r="AA56" s="414"/>
      <c r="AB56" s="411">
        <f>SUMIF($U$55:$U$74,TRIM(AB54),$F$55:$F$74)</f>
        <v>0</v>
      </c>
      <c r="AC56" s="411">
        <f t="shared" ref="AC56:AH56" si="34">SUMIF($U$55:$U$74,TRIM(AC54),$F$55:$F$74)</f>
        <v>0</v>
      </c>
      <c r="AD56" s="411">
        <f t="shared" si="34"/>
        <v>0</v>
      </c>
      <c r="AE56" s="411">
        <f t="shared" si="34"/>
        <v>0</v>
      </c>
      <c r="AF56" s="411">
        <f t="shared" si="34"/>
        <v>0</v>
      </c>
      <c r="AG56" s="411">
        <f t="shared" si="34"/>
        <v>0</v>
      </c>
      <c r="AH56" s="411">
        <f t="shared" si="34"/>
        <v>0</v>
      </c>
    </row>
    <row r="57" spans="2:34" s="150" customFormat="1" ht="27" customHeight="1">
      <c r="B57" s="812"/>
      <c r="C57" s="813"/>
      <c r="D57" s="390">
        <v>3</v>
      </c>
      <c r="E57" s="393"/>
      <c r="F57" s="394"/>
      <c r="G57" s="395"/>
      <c r="H57" s="395"/>
      <c r="I57" s="396" t="e">
        <f t="shared" si="27"/>
        <v>#DIV/0!</v>
      </c>
      <c r="J57" s="395"/>
      <c r="K57" s="396" t="e">
        <f t="shared" si="28"/>
        <v>#DIV/0!</v>
      </c>
      <c r="L57" s="395"/>
      <c r="M57" s="396" t="e">
        <f t="shared" si="29"/>
        <v>#DIV/0!</v>
      </c>
      <c r="N57" s="397"/>
      <c r="O57" s="395"/>
      <c r="P57" s="396" t="e">
        <f t="shared" si="30"/>
        <v>#DIV/0!</v>
      </c>
      <c r="Q57" s="398">
        <f t="shared" si="31"/>
        <v>0</v>
      </c>
      <c r="R57" s="396" t="e">
        <f t="shared" si="32"/>
        <v>#DIV/0!</v>
      </c>
      <c r="S57" s="399">
        <f t="shared" si="33"/>
        <v>0</v>
      </c>
      <c r="T57" s="400" t="s">
        <v>433</v>
      </c>
      <c r="U57" s="400"/>
      <c r="V57" s="401"/>
      <c r="W57" s="401"/>
      <c r="X57" s="401">
        <v>1</v>
      </c>
      <c r="Y57" s="402"/>
      <c r="AA57" s="390"/>
      <c r="AB57" s="412">
        <f>AB55/$AA55</f>
        <v>0</v>
      </c>
      <c r="AC57" s="412">
        <f t="shared" ref="AC57:AH57" si="35">AC55/$AA55</f>
        <v>0</v>
      </c>
      <c r="AD57" s="412">
        <f t="shared" si="35"/>
        <v>0</v>
      </c>
      <c r="AE57" s="412">
        <f t="shared" si="35"/>
        <v>0</v>
      </c>
      <c r="AF57" s="412">
        <f t="shared" si="35"/>
        <v>0</v>
      </c>
      <c r="AG57" s="412">
        <f t="shared" si="35"/>
        <v>0</v>
      </c>
      <c r="AH57" s="412">
        <f t="shared" si="35"/>
        <v>0</v>
      </c>
    </row>
    <row r="58" spans="2:34" s="150" customFormat="1" ht="27" customHeight="1">
      <c r="B58" s="812"/>
      <c r="C58" s="813"/>
      <c r="D58" s="390">
        <v>4</v>
      </c>
      <c r="E58" s="393"/>
      <c r="F58" s="394"/>
      <c r="G58" s="395"/>
      <c r="H58" s="395"/>
      <c r="I58" s="396" t="e">
        <f>H58/G58</f>
        <v>#DIV/0!</v>
      </c>
      <c r="J58" s="395"/>
      <c r="K58" s="396" t="e">
        <f t="shared" si="28"/>
        <v>#DIV/0!</v>
      </c>
      <c r="L58" s="395"/>
      <c r="M58" s="396" t="e">
        <f t="shared" si="29"/>
        <v>#DIV/0!</v>
      </c>
      <c r="N58" s="397"/>
      <c r="O58" s="395"/>
      <c r="P58" s="396" t="e">
        <f t="shared" si="30"/>
        <v>#DIV/0!</v>
      </c>
      <c r="Q58" s="398">
        <f t="shared" si="31"/>
        <v>0</v>
      </c>
      <c r="R58" s="396" t="e">
        <f t="shared" si="32"/>
        <v>#DIV/0!</v>
      </c>
      <c r="S58" s="399">
        <f t="shared" si="33"/>
        <v>0</v>
      </c>
      <c r="T58" s="400" t="s">
        <v>433</v>
      </c>
      <c r="U58" s="400"/>
      <c r="V58" s="401"/>
      <c r="W58" s="401"/>
      <c r="X58" s="401">
        <v>1</v>
      </c>
      <c r="Y58" s="402"/>
    </row>
    <row r="59" spans="2:34" s="150" customFormat="1" ht="27" customHeight="1">
      <c r="B59" s="812"/>
      <c r="C59" s="813"/>
      <c r="D59" s="390">
        <v>5</v>
      </c>
      <c r="E59" s="393"/>
      <c r="F59" s="394"/>
      <c r="G59" s="395"/>
      <c r="H59" s="395"/>
      <c r="I59" s="396" t="e">
        <f t="shared" ref="I59:I74" si="36">H59/G59</f>
        <v>#DIV/0!</v>
      </c>
      <c r="J59" s="395"/>
      <c r="K59" s="396" t="e">
        <f t="shared" si="28"/>
        <v>#DIV/0!</v>
      </c>
      <c r="L59" s="395"/>
      <c r="M59" s="396" t="e">
        <f t="shared" si="29"/>
        <v>#DIV/0!</v>
      </c>
      <c r="N59" s="397"/>
      <c r="O59" s="395"/>
      <c r="P59" s="396" t="e">
        <f t="shared" si="30"/>
        <v>#DIV/0!</v>
      </c>
      <c r="Q59" s="398">
        <f t="shared" si="31"/>
        <v>0</v>
      </c>
      <c r="R59" s="396" t="e">
        <f t="shared" si="32"/>
        <v>#DIV/0!</v>
      </c>
      <c r="S59" s="399">
        <f t="shared" si="33"/>
        <v>0</v>
      </c>
      <c r="T59" s="400" t="s">
        <v>433</v>
      </c>
      <c r="U59" s="400"/>
      <c r="V59" s="401"/>
      <c r="W59" s="401"/>
      <c r="X59" s="401">
        <v>1</v>
      </c>
      <c r="Y59" s="402"/>
    </row>
    <row r="60" spans="2:34" s="150" customFormat="1" ht="27" customHeight="1">
      <c r="B60" s="812"/>
      <c r="C60" s="813"/>
      <c r="D60" s="390">
        <v>6</v>
      </c>
      <c r="E60" s="393"/>
      <c r="F60" s="394"/>
      <c r="G60" s="395"/>
      <c r="H60" s="395"/>
      <c r="I60" s="396" t="e">
        <f t="shared" si="36"/>
        <v>#DIV/0!</v>
      </c>
      <c r="J60" s="395"/>
      <c r="K60" s="396" t="e">
        <f t="shared" si="28"/>
        <v>#DIV/0!</v>
      </c>
      <c r="L60" s="395"/>
      <c r="M60" s="396" t="e">
        <f t="shared" si="29"/>
        <v>#DIV/0!</v>
      </c>
      <c r="N60" s="397"/>
      <c r="O60" s="395"/>
      <c r="P60" s="396" t="e">
        <f t="shared" si="30"/>
        <v>#DIV/0!</v>
      </c>
      <c r="Q60" s="398">
        <f t="shared" si="31"/>
        <v>0</v>
      </c>
      <c r="R60" s="396" t="e">
        <f t="shared" si="32"/>
        <v>#DIV/0!</v>
      </c>
      <c r="S60" s="399">
        <f t="shared" si="33"/>
        <v>0</v>
      </c>
      <c r="T60" s="400" t="s">
        <v>433</v>
      </c>
      <c r="U60" s="400"/>
      <c r="V60" s="401"/>
      <c r="W60" s="401"/>
      <c r="X60" s="401">
        <v>1</v>
      </c>
      <c r="Y60" s="402"/>
    </row>
    <row r="61" spans="2:34" s="150" customFormat="1" ht="27" customHeight="1">
      <c r="B61" s="812"/>
      <c r="C61" s="813"/>
      <c r="D61" s="390">
        <v>7</v>
      </c>
      <c r="E61" s="393"/>
      <c r="F61" s="394"/>
      <c r="G61" s="395"/>
      <c r="H61" s="395"/>
      <c r="I61" s="396" t="e">
        <f t="shared" si="36"/>
        <v>#DIV/0!</v>
      </c>
      <c r="J61" s="395"/>
      <c r="K61" s="396" t="e">
        <f t="shared" si="28"/>
        <v>#DIV/0!</v>
      </c>
      <c r="L61" s="395"/>
      <c r="M61" s="396" t="e">
        <f t="shared" si="29"/>
        <v>#DIV/0!</v>
      </c>
      <c r="N61" s="397"/>
      <c r="O61" s="395"/>
      <c r="P61" s="396" t="e">
        <f t="shared" si="30"/>
        <v>#DIV/0!</v>
      </c>
      <c r="Q61" s="398">
        <f t="shared" si="31"/>
        <v>0</v>
      </c>
      <c r="R61" s="396" t="e">
        <f t="shared" si="32"/>
        <v>#DIV/0!</v>
      </c>
      <c r="S61" s="399">
        <f t="shared" si="33"/>
        <v>0</v>
      </c>
      <c r="T61" s="400" t="s">
        <v>433</v>
      </c>
      <c r="U61" s="400"/>
      <c r="V61" s="401"/>
      <c r="W61" s="401"/>
      <c r="X61" s="401">
        <v>1</v>
      </c>
      <c r="Y61" s="402"/>
    </row>
    <row r="62" spans="2:34" s="150" customFormat="1" ht="27" customHeight="1">
      <c r="B62" s="812"/>
      <c r="C62" s="813"/>
      <c r="D62" s="390">
        <v>8</v>
      </c>
      <c r="E62" s="393"/>
      <c r="F62" s="394"/>
      <c r="G62" s="395"/>
      <c r="H62" s="395"/>
      <c r="I62" s="396" t="e">
        <f t="shared" si="36"/>
        <v>#DIV/0!</v>
      </c>
      <c r="J62" s="395"/>
      <c r="K62" s="396" t="e">
        <f>J62/G62</f>
        <v>#DIV/0!</v>
      </c>
      <c r="L62" s="395"/>
      <c r="M62" s="396" t="e">
        <f>(H62+J62)/G62</f>
        <v>#DIV/0!</v>
      </c>
      <c r="N62" s="397"/>
      <c r="O62" s="395"/>
      <c r="P62" s="396" t="e">
        <f t="shared" si="30"/>
        <v>#DIV/0!</v>
      </c>
      <c r="Q62" s="398">
        <f t="shared" si="31"/>
        <v>0</v>
      </c>
      <c r="R62" s="396" t="e">
        <f t="shared" si="32"/>
        <v>#DIV/0!</v>
      </c>
      <c r="S62" s="399">
        <f t="shared" si="33"/>
        <v>0</v>
      </c>
      <c r="T62" s="400" t="s">
        <v>433</v>
      </c>
      <c r="U62" s="400"/>
      <c r="V62" s="438"/>
      <c r="W62" s="401"/>
      <c r="X62" s="401">
        <v>1</v>
      </c>
      <c r="Y62" s="402"/>
    </row>
    <row r="63" spans="2:34" s="150" customFormat="1" ht="27" customHeight="1">
      <c r="B63" s="812"/>
      <c r="C63" s="813"/>
      <c r="D63" s="390">
        <v>9</v>
      </c>
      <c r="E63" s="393"/>
      <c r="F63" s="394"/>
      <c r="G63" s="395"/>
      <c r="H63" s="395"/>
      <c r="I63" s="396" t="e">
        <f t="shared" si="36"/>
        <v>#DIV/0!</v>
      </c>
      <c r="J63" s="395"/>
      <c r="K63" s="396" t="e">
        <f t="shared" ref="K63:K74" si="37">J63/G63</f>
        <v>#DIV/0!</v>
      </c>
      <c r="L63" s="395"/>
      <c r="M63" s="396" t="e">
        <f t="shared" ref="M63:M74" si="38">(H63+J63)/G63</f>
        <v>#DIV/0!</v>
      </c>
      <c r="N63" s="397"/>
      <c r="O63" s="395"/>
      <c r="P63" s="396" t="e">
        <f t="shared" si="30"/>
        <v>#DIV/0!</v>
      </c>
      <c r="Q63" s="398">
        <f t="shared" si="31"/>
        <v>0</v>
      </c>
      <c r="R63" s="396" t="e">
        <f t="shared" si="32"/>
        <v>#DIV/0!</v>
      </c>
      <c r="S63" s="399">
        <f t="shared" si="33"/>
        <v>0</v>
      </c>
      <c r="T63" s="400" t="s">
        <v>433</v>
      </c>
      <c r="U63" s="400"/>
      <c r="V63" s="401"/>
      <c r="W63" s="401"/>
      <c r="X63" s="401">
        <v>1</v>
      </c>
      <c r="Y63" s="402"/>
    </row>
    <row r="64" spans="2:34" s="150" customFormat="1" ht="27" customHeight="1">
      <c r="B64" s="812"/>
      <c r="C64" s="813"/>
      <c r="D64" s="390">
        <v>10</v>
      </c>
      <c r="E64" s="393"/>
      <c r="F64" s="394"/>
      <c r="G64" s="395"/>
      <c r="H64" s="395"/>
      <c r="I64" s="396" t="e">
        <f t="shared" si="36"/>
        <v>#DIV/0!</v>
      </c>
      <c r="J64" s="395"/>
      <c r="K64" s="396" t="e">
        <f t="shared" si="37"/>
        <v>#DIV/0!</v>
      </c>
      <c r="L64" s="395"/>
      <c r="M64" s="396" t="e">
        <f t="shared" si="38"/>
        <v>#DIV/0!</v>
      </c>
      <c r="N64" s="397"/>
      <c r="O64" s="395"/>
      <c r="P64" s="396" t="e">
        <f t="shared" si="30"/>
        <v>#DIV/0!</v>
      </c>
      <c r="Q64" s="398">
        <f t="shared" si="31"/>
        <v>0</v>
      </c>
      <c r="R64" s="396" t="e">
        <f t="shared" si="32"/>
        <v>#DIV/0!</v>
      </c>
      <c r="S64" s="399">
        <f t="shared" si="33"/>
        <v>0</v>
      </c>
      <c r="T64" s="400" t="s">
        <v>433</v>
      </c>
      <c r="U64" s="400"/>
      <c r="V64" s="401"/>
      <c r="W64" s="401"/>
      <c r="X64" s="401">
        <v>1</v>
      </c>
      <c r="Y64" s="402"/>
    </row>
    <row r="65" spans="2:34" s="150" customFormat="1" ht="27" customHeight="1">
      <c r="B65" s="812"/>
      <c r="C65" s="813"/>
      <c r="D65" s="390">
        <v>11</v>
      </c>
      <c r="E65" s="393"/>
      <c r="F65" s="394"/>
      <c r="G65" s="395"/>
      <c r="H65" s="395"/>
      <c r="I65" s="396" t="e">
        <f t="shared" si="36"/>
        <v>#DIV/0!</v>
      </c>
      <c r="J65" s="395"/>
      <c r="K65" s="396" t="e">
        <f t="shared" si="37"/>
        <v>#DIV/0!</v>
      </c>
      <c r="L65" s="395"/>
      <c r="M65" s="396" t="e">
        <f t="shared" si="38"/>
        <v>#DIV/0!</v>
      </c>
      <c r="N65" s="397"/>
      <c r="O65" s="395"/>
      <c r="P65" s="396" t="e">
        <f t="shared" si="30"/>
        <v>#DIV/0!</v>
      </c>
      <c r="Q65" s="398">
        <f t="shared" si="31"/>
        <v>0</v>
      </c>
      <c r="R65" s="396" t="e">
        <f t="shared" si="32"/>
        <v>#DIV/0!</v>
      </c>
      <c r="S65" s="399">
        <f t="shared" si="33"/>
        <v>0</v>
      </c>
      <c r="T65" s="400" t="s">
        <v>433</v>
      </c>
      <c r="U65" s="400"/>
      <c r="V65" s="401"/>
      <c r="W65" s="401"/>
      <c r="X65" s="401">
        <v>1</v>
      </c>
      <c r="Y65" s="402"/>
    </row>
    <row r="66" spans="2:34" s="150" customFormat="1" ht="27" customHeight="1">
      <c r="B66" s="812"/>
      <c r="C66" s="813"/>
      <c r="D66" s="390">
        <v>12</v>
      </c>
      <c r="E66" s="393"/>
      <c r="F66" s="394"/>
      <c r="G66" s="395"/>
      <c r="H66" s="395"/>
      <c r="I66" s="396" t="e">
        <f t="shared" si="36"/>
        <v>#DIV/0!</v>
      </c>
      <c r="J66" s="395"/>
      <c r="K66" s="396" t="e">
        <f t="shared" si="37"/>
        <v>#DIV/0!</v>
      </c>
      <c r="L66" s="395"/>
      <c r="M66" s="396" t="e">
        <f t="shared" si="38"/>
        <v>#DIV/0!</v>
      </c>
      <c r="N66" s="397"/>
      <c r="O66" s="395"/>
      <c r="P66" s="396" t="e">
        <f t="shared" si="30"/>
        <v>#DIV/0!</v>
      </c>
      <c r="Q66" s="398">
        <f t="shared" si="31"/>
        <v>0</v>
      </c>
      <c r="R66" s="396" t="e">
        <f t="shared" si="32"/>
        <v>#DIV/0!</v>
      </c>
      <c r="S66" s="399">
        <f t="shared" si="33"/>
        <v>0</v>
      </c>
      <c r="T66" s="400" t="s">
        <v>433</v>
      </c>
      <c r="U66" s="400"/>
      <c r="V66" s="401"/>
      <c r="W66" s="401"/>
      <c r="X66" s="401">
        <v>1</v>
      </c>
      <c r="Y66" s="402"/>
    </row>
    <row r="67" spans="2:34" s="150" customFormat="1" ht="27" customHeight="1">
      <c r="B67" s="812"/>
      <c r="C67" s="813"/>
      <c r="D67" s="390">
        <v>13</v>
      </c>
      <c r="E67" s="393"/>
      <c r="F67" s="394"/>
      <c r="G67" s="395"/>
      <c r="H67" s="395"/>
      <c r="I67" s="396" t="e">
        <f t="shared" si="36"/>
        <v>#DIV/0!</v>
      </c>
      <c r="J67" s="395"/>
      <c r="K67" s="396" t="e">
        <f t="shared" si="37"/>
        <v>#DIV/0!</v>
      </c>
      <c r="L67" s="395"/>
      <c r="M67" s="396" t="e">
        <f t="shared" si="38"/>
        <v>#DIV/0!</v>
      </c>
      <c r="N67" s="397"/>
      <c r="O67" s="395"/>
      <c r="P67" s="396" t="e">
        <f t="shared" si="30"/>
        <v>#DIV/0!</v>
      </c>
      <c r="Q67" s="398">
        <f t="shared" si="31"/>
        <v>0</v>
      </c>
      <c r="R67" s="396" t="e">
        <f t="shared" si="32"/>
        <v>#DIV/0!</v>
      </c>
      <c r="S67" s="399">
        <f t="shared" si="33"/>
        <v>0</v>
      </c>
      <c r="T67" s="400" t="s">
        <v>433</v>
      </c>
      <c r="U67" s="400"/>
      <c r="V67" s="401"/>
      <c r="W67" s="401"/>
      <c r="X67" s="401">
        <v>1</v>
      </c>
      <c r="Y67" s="402"/>
    </row>
    <row r="68" spans="2:34" s="150" customFormat="1" ht="27" customHeight="1">
      <c r="B68" s="812"/>
      <c r="C68" s="813"/>
      <c r="D68" s="390">
        <v>14</v>
      </c>
      <c r="E68" s="393"/>
      <c r="F68" s="394"/>
      <c r="G68" s="395"/>
      <c r="H68" s="395"/>
      <c r="I68" s="396" t="e">
        <f t="shared" si="36"/>
        <v>#DIV/0!</v>
      </c>
      <c r="J68" s="395"/>
      <c r="K68" s="396" t="e">
        <f t="shared" si="37"/>
        <v>#DIV/0!</v>
      </c>
      <c r="L68" s="395"/>
      <c r="M68" s="396" t="e">
        <f t="shared" si="38"/>
        <v>#DIV/0!</v>
      </c>
      <c r="N68" s="397"/>
      <c r="O68" s="395"/>
      <c r="P68" s="396" t="e">
        <f t="shared" si="30"/>
        <v>#DIV/0!</v>
      </c>
      <c r="Q68" s="398">
        <f t="shared" si="31"/>
        <v>0</v>
      </c>
      <c r="R68" s="396" t="e">
        <f t="shared" si="32"/>
        <v>#DIV/0!</v>
      </c>
      <c r="S68" s="399">
        <f t="shared" si="33"/>
        <v>0</v>
      </c>
      <c r="T68" s="400" t="s">
        <v>433</v>
      </c>
      <c r="U68" s="400"/>
      <c r="V68" s="401"/>
      <c r="W68" s="401"/>
      <c r="X68" s="401">
        <v>1</v>
      </c>
      <c r="Y68" s="402"/>
    </row>
    <row r="69" spans="2:34" s="150" customFormat="1" ht="27" customHeight="1">
      <c r="B69" s="812"/>
      <c r="C69" s="813"/>
      <c r="D69" s="390">
        <v>15</v>
      </c>
      <c r="E69" s="393"/>
      <c r="F69" s="394"/>
      <c r="G69" s="395"/>
      <c r="H69" s="395"/>
      <c r="I69" s="396" t="e">
        <f t="shared" si="36"/>
        <v>#DIV/0!</v>
      </c>
      <c r="J69" s="395"/>
      <c r="K69" s="396" t="e">
        <f t="shared" si="37"/>
        <v>#DIV/0!</v>
      </c>
      <c r="L69" s="395"/>
      <c r="M69" s="396" t="e">
        <f t="shared" si="38"/>
        <v>#DIV/0!</v>
      </c>
      <c r="N69" s="397"/>
      <c r="O69" s="395"/>
      <c r="P69" s="396" t="e">
        <f t="shared" si="30"/>
        <v>#DIV/0!</v>
      </c>
      <c r="Q69" s="398">
        <f t="shared" si="31"/>
        <v>0</v>
      </c>
      <c r="R69" s="396" t="e">
        <f t="shared" si="32"/>
        <v>#DIV/0!</v>
      </c>
      <c r="S69" s="399">
        <f t="shared" si="33"/>
        <v>0</v>
      </c>
      <c r="T69" s="400" t="s">
        <v>433</v>
      </c>
      <c r="U69" s="400"/>
      <c r="V69" s="400"/>
      <c r="W69" s="401"/>
      <c r="X69" s="401">
        <v>1</v>
      </c>
      <c r="Y69" s="402"/>
    </row>
    <row r="70" spans="2:34" s="150" customFormat="1" ht="27" customHeight="1">
      <c r="B70" s="812"/>
      <c r="C70" s="813"/>
      <c r="D70" s="390">
        <v>16</v>
      </c>
      <c r="E70" s="393"/>
      <c r="F70" s="394"/>
      <c r="G70" s="395"/>
      <c r="H70" s="395"/>
      <c r="I70" s="396" t="e">
        <f t="shared" si="36"/>
        <v>#DIV/0!</v>
      </c>
      <c r="J70" s="395"/>
      <c r="K70" s="396" t="e">
        <f t="shared" si="37"/>
        <v>#DIV/0!</v>
      </c>
      <c r="L70" s="395"/>
      <c r="M70" s="396" t="e">
        <f t="shared" si="38"/>
        <v>#DIV/0!</v>
      </c>
      <c r="N70" s="397"/>
      <c r="O70" s="395"/>
      <c r="P70" s="396" t="e">
        <f t="shared" si="30"/>
        <v>#DIV/0!</v>
      </c>
      <c r="Q70" s="398">
        <f t="shared" si="31"/>
        <v>0</v>
      </c>
      <c r="R70" s="396" t="e">
        <f t="shared" si="32"/>
        <v>#DIV/0!</v>
      </c>
      <c r="S70" s="399">
        <f t="shared" si="33"/>
        <v>0</v>
      </c>
      <c r="T70" s="400" t="s">
        <v>433</v>
      </c>
      <c r="U70" s="400"/>
      <c r="V70" s="401"/>
      <c r="W70" s="401"/>
      <c r="X70" s="401">
        <v>1</v>
      </c>
      <c r="Y70" s="402"/>
      <c r="AC70" s="406"/>
    </row>
    <row r="71" spans="2:34" s="150" customFormat="1" ht="27" customHeight="1">
      <c r="B71" s="812"/>
      <c r="C71" s="813"/>
      <c r="D71" s="390">
        <v>17</v>
      </c>
      <c r="E71" s="393"/>
      <c r="F71" s="394"/>
      <c r="G71" s="395"/>
      <c r="H71" s="395"/>
      <c r="I71" s="396" t="e">
        <f t="shared" si="36"/>
        <v>#DIV/0!</v>
      </c>
      <c r="J71" s="395"/>
      <c r="K71" s="396" t="e">
        <f t="shared" si="37"/>
        <v>#DIV/0!</v>
      </c>
      <c r="L71" s="395"/>
      <c r="M71" s="396" t="e">
        <f t="shared" si="38"/>
        <v>#DIV/0!</v>
      </c>
      <c r="N71" s="397"/>
      <c r="O71" s="395"/>
      <c r="P71" s="396" t="e">
        <f t="shared" si="30"/>
        <v>#DIV/0!</v>
      </c>
      <c r="Q71" s="398">
        <f t="shared" si="31"/>
        <v>0</v>
      </c>
      <c r="R71" s="396" t="e">
        <f t="shared" si="32"/>
        <v>#DIV/0!</v>
      </c>
      <c r="S71" s="399">
        <f t="shared" si="33"/>
        <v>0</v>
      </c>
      <c r="T71" s="400" t="s">
        <v>433</v>
      </c>
      <c r="U71" s="400"/>
      <c r="V71" s="401"/>
      <c r="W71" s="401"/>
      <c r="X71" s="401">
        <v>1</v>
      </c>
      <c r="Y71" s="402"/>
      <c r="AB71" s="408"/>
      <c r="AC71" s="406"/>
    </row>
    <row r="72" spans="2:34" s="150" customFormat="1" ht="27" customHeight="1">
      <c r="B72" s="812"/>
      <c r="C72" s="813"/>
      <c r="D72" s="390">
        <v>18</v>
      </c>
      <c r="E72" s="393"/>
      <c r="F72" s="394"/>
      <c r="G72" s="395"/>
      <c r="H72" s="395"/>
      <c r="I72" s="396" t="e">
        <f t="shared" si="36"/>
        <v>#DIV/0!</v>
      </c>
      <c r="J72" s="395"/>
      <c r="K72" s="396" t="e">
        <f t="shared" si="37"/>
        <v>#DIV/0!</v>
      </c>
      <c r="L72" s="395"/>
      <c r="M72" s="396" t="e">
        <f t="shared" si="38"/>
        <v>#DIV/0!</v>
      </c>
      <c r="N72" s="397"/>
      <c r="O72" s="395"/>
      <c r="P72" s="396" t="e">
        <f t="shared" si="30"/>
        <v>#DIV/0!</v>
      </c>
      <c r="Q72" s="398">
        <f t="shared" si="31"/>
        <v>0</v>
      </c>
      <c r="R72" s="396" t="e">
        <f t="shared" si="32"/>
        <v>#DIV/0!</v>
      </c>
      <c r="S72" s="399">
        <f t="shared" si="33"/>
        <v>0</v>
      </c>
      <c r="T72" s="400" t="s">
        <v>433</v>
      </c>
      <c r="U72" s="400"/>
      <c r="V72" s="425"/>
      <c r="W72" s="401"/>
      <c r="X72" s="401">
        <v>1</v>
      </c>
      <c r="Y72" s="402"/>
      <c r="AC72" s="406"/>
    </row>
    <row r="73" spans="2:34" s="150" customFormat="1" ht="27" customHeight="1">
      <c r="B73" s="812"/>
      <c r="C73" s="813"/>
      <c r="D73" s="390">
        <v>19</v>
      </c>
      <c r="E73" s="393"/>
      <c r="F73" s="394"/>
      <c r="G73" s="395"/>
      <c r="H73" s="395"/>
      <c r="I73" s="396" t="e">
        <f t="shared" si="36"/>
        <v>#DIV/0!</v>
      </c>
      <c r="J73" s="395"/>
      <c r="K73" s="396" t="e">
        <f t="shared" si="37"/>
        <v>#DIV/0!</v>
      </c>
      <c r="L73" s="395"/>
      <c r="M73" s="396" t="e">
        <f t="shared" si="38"/>
        <v>#DIV/0!</v>
      </c>
      <c r="N73" s="397"/>
      <c r="O73" s="395"/>
      <c r="P73" s="396" t="e">
        <f t="shared" si="30"/>
        <v>#DIV/0!</v>
      </c>
      <c r="Q73" s="398">
        <f t="shared" si="31"/>
        <v>0</v>
      </c>
      <c r="R73" s="396" t="e">
        <f t="shared" si="32"/>
        <v>#DIV/0!</v>
      </c>
      <c r="S73" s="399">
        <f t="shared" si="33"/>
        <v>0</v>
      </c>
      <c r="T73" s="400" t="s">
        <v>433</v>
      </c>
      <c r="U73" s="400"/>
      <c r="V73" s="401"/>
      <c r="W73" s="401"/>
      <c r="X73" s="401">
        <v>1</v>
      </c>
      <c r="Y73" s="402"/>
      <c r="AB73" s="409"/>
      <c r="AC73" s="406"/>
    </row>
    <row r="74" spans="2:34" s="150" customFormat="1" ht="27" customHeight="1">
      <c r="B74" s="814"/>
      <c r="C74" s="815"/>
      <c r="D74" s="390">
        <v>20</v>
      </c>
      <c r="E74" s="393"/>
      <c r="F74" s="394"/>
      <c r="G74" s="395"/>
      <c r="H74" s="395"/>
      <c r="I74" s="396" t="e">
        <f t="shared" si="36"/>
        <v>#DIV/0!</v>
      </c>
      <c r="J74" s="395"/>
      <c r="K74" s="396" t="e">
        <f t="shared" si="37"/>
        <v>#DIV/0!</v>
      </c>
      <c r="L74" s="395"/>
      <c r="M74" s="396" t="e">
        <f t="shared" si="38"/>
        <v>#DIV/0!</v>
      </c>
      <c r="N74" s="397"/>
      <c r="O74" s="395"/>
      <c r="P74" s="396" t="e">
        <f t="shared" si="30"/>
        <v>#DIV/0!</v>
      </c>
      <c r="Q74" s="398">
        <f t="shared" si="31"/>
        <v>0</v>
      </c>
      <c r="R74" s="396" t="e">
        <f t="shared" si="32"/>
        <v>#DIV/0!</v>
      </c>
      <c r="S74" s="399">
        <f t="shared" si="33"/>
        <v>0</v>
      </c>
      <c r="T74" s="400" t="s">
        <v>433</v>
      </c>
      <c r="U74" s="400"/>
      <c r="V74" s="401"/>
      <c r="W74" s="401"/>
      <c r="X74" s="401">
        <v>1</v>
      </c>
      <c r="Y74" s="402"/>
      <c r="AB74" s="409"/>
      <c r="AC74" s="406"/>
    </row>
    <row r="75" spans="2:34" ht="17.149999999999999" customHeight="1">
      <c r="B75" s="829" t="s">
        <v>489</v>
      </c>
      <c r="C75" s="830"/>
      <c r="D75" s="826" t="s">
        <v>172</v>
      </c>
      <c r="E75" s="826"/>
      <c r="F75" s="826"/>
      <c r="G75" s="826" t="s">
        <v>186</v>
      </c>
      <c r="H75" s="826"/>
      <c r="I75" s="826"/>
      <c r="J75" s="826"/>
      <c r="K75" s="826"/>
      <c r="L75" s="826"/>
      <c r="M75" s="826"/>
      <c r="N75" s="826"/>
      <c r="O75" s="826"/>
      <c r="P75" s="826"/>
      <c r="Q75" s="826"/>
      <c r="R75" s="826"/>
      <c r="S75" s="826"/>
      <c r="T75" s="826" t="s">
        <v>173</v>
      </c>
      <c r="U75" s="816" t="s">
        <v>248</v>
      </c>
      <c r="V75" s="835" t="s">
        <v>490</v>
      </c>
      <c r="W75" s="835" t="s">
        <v>491</v>
      </c>
      <c r="X75" s="838" t="s">
        <v>249</v>
      </c>
      <c r="Y75" s="827" t="s">
        <v>174</v>
      </c>
      <c r="AA75" s="816" t="s">
        <v>250</v>
      </c>
      <c r="AB75" s="817"/>
      <c r="AC75" s="817"/>
      <c r="AD75" s="817"/>
      <c r="AE75" s="817"/>
      <c r="AF75" s="817"/>
      <c r="AG75" s="817"/>
      <c r="AH75" s="818"/>
    </row>
    <row r="76" spans="2:34" ht="17.149999999999999" customHeight="1">
      <c r="B76" s="831"/>
      <c r="C76" s="832"/>
      <c r="D76" s="825" t="s">
        <v>171</v>
      </c>
      <c r="E76" s="826" t="s">
        <v>175</v>
      </c>
      <c r="F76" s="826"/>
      <c r="G76" s="826" t="s">
        <v>187</v>
      </c>
      <c r="H76" s="826"/>
      <c r="I76" s="826"/>
      <c r="J76" s="826"/>
      <c r="K76" s="826"/>
      <c r="L76" s="826"/>
      <c r="M76" s="826"/>
      <c r="N76" s="826"/>
      <c r="O76" s="826" t="s">
        <v>176</v>
      </c>
      <c r="P76" s="826"/>
      <c r="Q76" s="826"/>
      <c r="R76" s="826"/>
      <c r="S76" s="826"/>
      <c r="T76" s="826"/>
      <c r="U76" s="819"/>
      <c r="V76" s="836"/>
      <c r="W76" s="836"/>
      <c r="X76" s="839"/>
      <c r="Y76" s="827"/>
      <c r="AA76" s="819"/>
      <c r="AB76" s="820"/>
      <c r="AC76" s="820"/>
      <c r="AD76" s="820"/>
      <c r="AE76" s="820"/>
      <c r="AF76" s="820"/>
      <c r="AG76" s="820"/>
      <c r="AH76" s="821"/>
    </row>
    <row r="77" spans="2:34" ht="17.149999999999999" customHeight="1">
      <c r="B77" s="831"/>
      <c r="C77" s="832"/>
      <c r="D77" s="825"/>
      <c r="E77" s="825" t="s">
        <v>177</v>
      </c>
      <c r="F77" s="827" t="s">
        <v>251</v>
      </c>
      <c r="G77" s="828" t="s">
        <v>188</v>
      </c>
      <c r="H77" s="828"/>
      <c r="I77" s="828"/>
      <c r="J77" s="828"/>
      <c r="K77" s="828"/>
      <c r="L77" s="828"/>
      <c r="M77" s="828"/>
      <c r="N77" s="828"/>
      <c r="O77" s="828" t="s">
        <v>170</v>
      </c>
      <c r="P77" s="828"/>
      <c r="Q77" s="828" t="s">
        <v>178</v>
      </c>
      <c r="R77" s="828"/>
      <c r="S77" s="828"/>
      <c r="T77" s="826"/>
      <c r="U77" s="819"/>
      <c r="V77" s="836"/>
      <c r="W77" s="836"/>
      <c r="X77" s="839"/>
      <c r="Y77" s="827"/>
      <c r="AA77" s="822"/>
      <c r="AB77" s="823"/>
      <c r="AC77" s="823"/>
      <c r="AD77" s="823"/>
      <c r="AE77" s="823"/>
      <c r="AF77" s="823"/>
      <c r="AG77" s="823"/>
      <c r="AH77" s="824"/>
    </row>
    <row r="78" spans="2:34" ht="38.5" customHeight="1">
      <c r="B78" s="833"/>
      <c r="C78" s="834"/>
      <c r="D78" s="825"/>
      <c r="E78" s="825"/>
      <c r="F78" s="827"/>
      <c r="G78" s="391" t="s">
        <v>179</v>
      </c>
      <c r="H78" s="391" t="s">
        <v>255</v>
      </c>
      <c r="I78" s="391" t="s">
        <v>256</v>
      </c>
      <c r="J78" s="391" t="s">
        <v>180</v>
      </c>
      <c r="K78" s="391" t="s">
        <v>253</v>
      </c>
      <c r="L78" s="391" t="s">
        <v>181</v>
      </c>
      <c r="M78" s="391" t="s">
        <v>189</v>
      </c>
      <c r="N78" s="391" t="s">
        <v>182</v>
      </c>
      <c r="O78" s="392" t="s">
        <v>183</v>
      </c>
      <c r="P78" s="392" t="s">
        <v>184</v>
      </c>
      <c r="Q78" s="392" t="s">
        <v>183</v>
      </c>
      <c r="R78" s="392" t="s">
        <v>184</v>
      </c>
      <c r="S78" s="391" t="s">
        <v>185</v>
      </c>
      <c r="T78" s="826"/>
      <c r="U78" s="822"/>
      <c r="V78" s="837"/>
      <c r="W78" s="837"/>
      <c r="X78" s="840"/>
      <c r="Y78" s="827"/>
      <c r="AA78" s="163" t="s">
        <v>247</v>
      </c>
      <c r="AB78" s="163" t="s">
        <v>492</v>
      </c>
      <c r="AC78" s="158" t="s">
        <v>398</v>
      </c>
      <c r="AD78" s="158" t="s">
        <v>342</v>
      </c>
      <c r="AE78" s="158" t="s">
        <v>466</v>
      </c>
      <c r="AF78" s="158" t="s">
        <v>218</v>
      </c>
      <c r="AG78" s="158" t="s">
        <v>219</v>
      </c>
      <c r="AH78" s="158" t="s">
        <v>399</v>
      </c>
    </row>
    <row r="79" spans="2:34" s="150" customFormat="1" ht="27" customHeight="1">
      <c r="B79" s="810" t="s">
        <v>625</v>
      </c>
      <c r="C79" s="811"/>
      <c r="D79" s="390">
        <v>1</v>
      </c>
      <c r="E79" s="393"/>
      <c r="F79" s="394"/>
      <c r="G79" s="395"/>
      <c r="H79" s="395"/>
      <c r="I79" s="396" t="e">
        <f>H79/G79</f>
        <v>#DIV/0!</v>
      </c>
      <c r="J79" s="395"/>
      <c r="K79" s="396" t="e">
        <f>J79/G79</f>
        <v>#DIV/0!</v>
      </c>
      <c r="L79" s="395"/>
      <c r="M79" s="396" t="e">
        <f>(H79+J79)/G79</f>
        <v>#DIV/0!</v>
      </c>
      <c r="N79" s="397"/>
      <c r="O79" s="395"/>
      <c r="P79" s="396" t="e">
        <f>O79/G79</f>
        <v>#DIV/0!</v>
      </c>
      <c r="Q79" s="398">
        <f>((H79+J79)-G79)-O79</f>
        <v>0</v>
      </c>
      <c r="R79" s="396" t="e">
        <f>Q79/G79</f>
        <v>#DIV/0!</v>
      </c>
      <c r="S79" s="399">
        <f>Q79*L79</f>
        <v>0</v>
      </c>
      <c r="T79" s="400" t="s">
        <v>433</v>
      </c>
      <c r="U79" s="400"/>
      <c r="V79" s="401"/>
      <c r="W79" s="401"/>
      <c r="X79" s="401">
        <v>1</v>
      </c>
      <c r="Y79" s="402"/>
      <c r="Z79" s="403" t="s">
        <v>493</v>
      </c>
      <c r="AA79" s="413">
        <f>SUM(X79:X98)</f>
        <v>20</v>
      </c>
      <c r="AB79" s="405">
        <f>SUMIF($U$79:$U$98,TRIM(AB78),$X$79:$X$98)</f>
        <v>0</v>
      </c>
      <c r="AC79" s="405">
        <f t="shared" ref="AC79:AH79" si="39">SUMIF($U$79:$U$98,TRIM(AC78),$X$79:$X$98)</f>
        <v>0</v>
      </c>
      <c r="AD79" s="405">
        <f t="shared" si="39"/>
        <v>0</v>
      </c>
      <c r="AE79" s="405">
        <f t="shared" si="39"/>
        <v>0</v>
      </c>
      <c r="AF79" s="405">
        <f t="shared" si="39"/>
        <v>0</v>
      </c>
      <c r="AG79" s="405">
        <f t="shared" si="39"/>
        <v>0</v>
      </c>
      <c r="AH79" s="405">
        <f t="shared" si="39"/>
        <v>0</v>
      </c>
    </row>
    <row r="80" spans="2:34" s="150" customFormat="1" ht="27" customHeight="1">
      <c r="B80" s="812"/>
      <c r="C80" s="813"/>
      <c r="D80" s="390">
        <v>2</v>
      </c>
      <c r="E80" s="393"/>
      <c r="F80" s="394"/>
      <c r="G80" s="395"/>
      <c r="H80" s="395"/>
      <c r="I80" s="396" t="e">
        <f t="shared" ref="I80:I81" si="40">H80/G80</f>
        <v>#DIV/0!</v>
      </c>
      <c r="J80" s="395"/>
      <c r="K80" s="396" t="e">
        <f t="shared" ref="K80:K85" si="41">J80/G80</f>
        <v>#DIV/0!</v>
      </c>
      <c r="L80" s="395"/>
      <c r="M80" s="396" t="e">
        <f t="shared" ref="M80:M85" si="42">(H80+J80)/G80</f>
        <v>#DIV/0!</v>
      </c>
      <c r="N80" s="397"/>
      <c r="O80" s="395"/>
      <c r="P80" s="396" t="e">
        <f t="shared" ref="P80:P98" si="43">O80/G80</f>
        <v>#DIV/0!</v>
      </c>
      <c r="Q80" s="398">
        <f t="shared" ref="Q80:Q98" si="44">((H80+J80)-G80)-O80</f>
        <v>0</v>
      </c>
      <c r="R80" s="396" t="e">
        <f t="shared" ref="R80:R98" si="45">Q80/G80</f>
        <v>#DIV/0!</v>
      </c>
      <c r="S80" s="399">
        <f t="shared" ref="S80:S98" si="46">Q80*L80</f>
        <v>0</v>
      </c>
      <c r="T80" s="400" t="s">
        <v>433</v>
      </c>
      <c r="U80" s="400"/>
      <c r="V80" s="400"/>
      <c r="W80" s="401"/>
      <c r="X80" s="401">
        <v>1</v>
      </c>
      <c r="Y80" s="402"/>
      <c r="AA80" s="414"/>
      <c r="AB80" s="411">
        <f>SUMIF($U$79:$U$98,TRIM(AB78),$F$79:$F$98)</f>
        <v>0</v>
      </c>
      <c r="AC80" s="411">
        <f t="shared" ref="AC80:AH80" si="47">SUMIF($U$79:$U$98,TRIM(AC78),$F$79:$F$98)</f>
        <v>0</v>
      </c>
      <c r="AD80" s="411">
        <f t="shared" si="47"/>
        <v>0</v>
      </c>
      <c r="AE80" s="411">
        <f t="shared" si="47"/>
        <v>0</v>
      </c>
      <c r="AF80" s="411">
        <f t="shared" si="47"/>
        <v>0</v>
      </c>
      <c r="AG80" s="411">
        <f t="shared" si="47"/>
        <v>0</v>
      </c>
      <c r="AH80" s="411">
        <f t="shared" si="47"/>
        <v>0</v>
      </c>
    </row>
    <row r="81" spans="2:34" s="150" customFormat="1" ht="27" customHeight="1">
      <c r="B81" s="812"/>
      <c r="C81" s="813"/>
      <c r="D81" s="390">
        <v>3</v>
      </c>
      <c r="E81" s="393"/>
      <c r="F81" s="394"/>
      <c r="G81" s="395"/>
      <c r="H81" s="395"/>
      <c r="I81" s="396" t="e">
        <f t="shared" si="40"/>
        <v>#DIV/0!</v>
      </c>
      <c r="J81" s="395"/>
      <c r="K81" s="396" t="e">
        <f t="shared" si="41"/>
        <v>#DIV/0!</v>
      </c>
      <c r="L81" s="395"/>
      <c r="M81" s="396" t="e">
        <f t="shared" si="42"/>
        <v>#DIV/0!</v>
      </c>
      <c r="N81" s="397"/>
      <c r="O81" s="395"/>
      <c r="P81" s="396" t="e">
        <f t="shared" si="43"/>
        <v>#DIV/0!</v>
      </c>
      <c r="Q81" s="398">
        <f t="shared" si="44"/>
        <v>0</v>
      </c>
      <c r="R81" s="396" t="e">
        <f t="shared" si="45"/>
        <v>#DIV/0!</v>
      </c>
      <c r="S81" s="399">
        <f t="shared" si="46"/>
        <v>0</v>
      </c>
      <c r="T81" s="400" t="s">
        <v>433</v>
      </c>
      <c r="U81" s="400"/>
      <c r="V81" s="401"/>
      <c r="W81" s="401"/>
      <c r="X81" s="401">
        <v>1</v>
      </c>
      <c r="Y81" s="402"/>
      <c r="AA81" s="390"/>
      <c r="AB81" s="412">
        <f>AB79/$AA79</f>
        <v>0</v>
      </c>
      <c r="AC81" s="412">
        <f t="shared" ref="AC81:AH81" si="48">AC79/$AA79</f>
        <v>0</v>
      </c>
      <c r="AD81" s="412">
        <f t="shared" si="48"/>
        <v>0</v>
      </c>
      <c r="AE81" s="412">
        <f t="shared" si="48"/>
        <v>0</v>
      </c>
      <c r="AF81" s="412">
        <f t="shared" si="48"/>
        <v>0</v>
      </c>
      <c r="AG81" s="412">
        <f t="shared" si="48"/>
        <v>0</v>
      </c>
      <c r="AH81" s="412">
        <f t="shared" si="48"/>
        <v>0</v>
      </c>
    </row>
    <row r="82" spans="2:34" s="150" customFormat="1" ht="27" customHeight="1">
      <c r="B82" s="812"/>
      <c r="C82" s="813"/>
      <c r="D82" s="390">
        <v>4</v>
      </c>
      <c r="E82" s="393"/>
      <c r="F82" s="394"/>
      <c r="G82" s="395"/>
      <c r="H82" s="395"/>
      <c r="I82" s="396" t="e">
        <f>H82/G82</f>
        <v>#DIV/0!</v>
      </c>
      <c r="J82" s="395"/>
      <c r="K82" s="396" t="e">
        <f t="shared" si="41"/>
        <v>#DIV/0!</v>
      </c>
      <c r="L82" s="395"/>
      <c r="M82" s="396" t="e">
        <f t="shared" si="42"/>
        <v>#DIV/0!</v>
      </c>
      <c r="N82" s="397"/>
      <c r="O82" s="395"/>
      <c r="P82" s="396" t="e">
        <f t="shared" si="43"/>
        <v>#DIV/0!</v>
      </c>
      <c r="Q82" s="398">
        <f t="shared" si="44"/>
        <v>0</v>
      </c>
      <c r="R82" s="396" t="e">
        <f t="shared" si="45"/>
        <v>#DIV/0!</v>
      </c>
      <c r="S82" s="399">
        <f t="shared" si="46"/>
        <v>0</v>
      </c>
      <c r="T82" s="400" t="s">
        <v>433</v>
      </c>
      <c r="U82" s="400"/>
      <c r="V82" s="401"/>
      <c r="W82" s="401"/>
      <c r="X82" s="401">
        <v>1</v>
      </c>
      <c r="Y82" s="402"/>
    </row>
    <row r="83" spans="2:34" s="150" customFormat="1" ht="27" customHeight="1">
      <c r="B83" s="812"/>
      <c r="C83" s="813"/>
      <c r="D83" s="390">
        <v>5</v>
      </c>
      <c r="E83" s="393"/>
      <c r="F83" s="394"/>
      <c r="G83" s="395"/>
      <c r="H83" s="395"/>
      <c r="I83" s="396" t="e">
        <f t="shared" ref="I83:I98" si="49">H83/G83</f>
        <v>#DIV/0!</v>
      </c>
      <c r="J83" s="395"/>
      <c r="K83" s="396" t="e">
        <f t="shared" si="41"/>
        <v>#DIV/0!</v>
      </c>
      <c r="L83" s="395"/>
      <c r="M83" s="396" t="e">
        <f t="shared" si="42"/>
        <v>#DIV/0!</v>
      </c>
      <c r="N83" s="397"/>
      <c r="O83" s="395"/>
      <c r="P83" s="396" t="e">
        <f t="shared" si="43"/>
        <v>#DIV/0!</v>
      </c>
      <c r="Q83" s="398">
        <f t="shared" si="44"/>
        <v>0</v>
      </c>
      <c r="R83" s="396" t="e">
        <f t="shared" si="45"/>
        <v>#DIV/0!</v>
      </c>
      <c r="S83" s="399">
        <f t="shared" si="46"/>
        <v>0</v>
      </c>
      <c r="T83" s="400" t="s">
        <v>433</v>
      </c>
      <c r="U83" s="400"/>
      <c r="V83" s="401"/>
      <c r="W83" s="401"/>
      <c r="X83" s="401">
        <v>1</v>
      </c>
      <c r="Y83" s="402"/>
    </row>
    <row r="84" spans="2:34" s="150" customFormat="1" ht="27" customHeight="1">
      <c r="B84" s="812"/>
      <c r="C84" s="813"/>
      <c r="D84" s="390">
        <v>6</v>
      </c>
      <c r="E84" s="393"/>
      <c r="F84" s="394"/>
      <c r="G84" s="395"/>
      <c r="H84" s="395"/>
      <c r="I84" s="396" t="e">
        <f t="shared" si="49"/>
        <v>#DIV/0!</v>
      </c>
      <c r="J84" s="395"/>
      <c r="K84" s="396" t="e">
        <f t="shared" si="41"/>
        <v>#DIV/0!</v>
      </c>
      <c r="L84" s="395"/>
      <c r="M84" s="396" t="e">
        <f t="shared" si="42"/>
        <v>#DIV/0!</v>
      </c>
      <c r="N84" s="397"/>
      <c r="O84" s="395"/>
      <c r="P84" s="396" t="e">
        <f t="shared" si="43"/>
        <v>#DIV/0!</v>
      </c>
      <c r="Q84" s="398">
        <f t="shared" si="44"/>
        <v>0</v>
      </c>
      <c r="R84" s="396" t="e">
        <f t="shared" si="45"/>
        <v>#DIV/0!</v>
      </c>
      <c r="S84" s="399">
        <f t="shared" si="46"/>
        <v>0</v>
      </c>
      <c r="T84" s="400" t="s">
        <v>433</v>
      </c>
      <c r="U84" s="400"/>
      <c r="V84" s="401"/>
      <c r="W84" s="401"/>
      <c r="X84" s="401">
        <v>1</v>
      </c>
      <c r="Y84" s="402"/>
    </row>
    <row r="85" spans="2:34" s="150" customFormat="1" ht="27" customHeight="1">
      <c r="B85" s="812"/>
      <c r="C85" s="813"/>
      <c r="D85" s="390">
        <v>7</v>
      </c>
      <c r="E85" s="393"/>
      <c r="F85" s="394"/>
      <c r="G85" s="395"/>
      <c r="H85" s="395"/>
      <c r="I85" s="396" t="e">
        <f t="shared" si="49"/>
        <v>#DIV/0!</v>
      </c>
      <c r="J85" s="395"/>
      <c r="K85" s="396" t="e">
        <f t="shared" si="41"/>
        <v>#DIV/0!</v>
      </c>
      <c r="L85" s="395"/>
      <c r="M85" s="396" t="e">
        <f t="shared" si="42"/>
        <v>#DIV/0!</v>
      </c>
      <c r="N85" s="397"/>
      <c r="O85" s="395"/>
      <c r="P85" s="396" t="e">
        <f t="shared" si="43"/>
        <v>#DIV/0!</v>
      </c>
      <c r="Q85" s="398">
        <f t="shared" si="44"/>
        <v>0</v>
      </c>
      <c r="R85" s="396" t="e">
        <f t="shared" si="45"/>
        <v>#DIV/0!</v>
      </c>
      <c r="S85" s="399">
        <f t="shared" si="46"/>
        <v>0</v>
      </c>
      <c r="T85" s="400" t="s">
        <v>433</v>
      </c>
      <c r="U85" s="400"/>
      <c r="V85" s="401"/>
      <c r="W85" s="401"/>
      <c r="X85" s="401">
        <v>1</v>
      </c>
      <c r="Y85" s="402"/>
      <c r="AC85" s="406"/>
    </row>
    <row r="86" spans="2:34" s="150" customFormat="1" ht="27" customHeight="1">
      <c r="B86" s="812"/>
      <c r="C86" s="813"/>
      <c r="D86" s="390">
        <v>8</v>
      </c>
      <c r="E86" s="393"/>
      <c r="F86" s="394"/>
      <c r="G86" s="395"/>
      <c r="H86" s="395"/>
      <c r="I86" s="396" t="e">
        <f t="shared" si="49"/>
        <v>#DIV/0!</v>
      </c>
      <c r="J86" s="395"/>
      <c r="K86" s="396" t="e">
        <f>J86/G86</f>
        <v>#DIV/0!</v>
      </c>
      <c r="L86" s="395"/>
      <c r="M86" s="396" t="e">
        <f>(H86+J86)/G86</f>
        <v>#DIV/0!</v>
      </c>
      <c r="N86" s="397"/>
      <c r="O86" s="395"/>
      <c r="P86" s="396" t="e">
        <f t="shared" si="43"/>
        <v>#DIV/0!</v>
      </c>
      <c r="Q86" s="398">
        <f t="shared" si="44"/>
        <v>0</v>
      </c>
      <c r="R86" s="396" t="e">
        <f t="shared" si="45"/>
        <v>#DIV/0!</v>
      </c>
      <c r="S86" s="399">
        <f t="shared" si="46"/>
        <v>0</v>
      </c>
      <c r="T86" s="400" t="s">
        <v>433</v>
      </c>
      <c r="U86" s="400"/>
      <c r="V86" s="438"/>
      <c r="W86" s="401"/>
      <c r="X86" s="401">
        <v>1</v>
      </c>
      <c r="Y86" s="402"/>
      <c r="AC86" s="406"/>
    </row>
    <row r="87" spans="2:34" s="150" customFormat="1" ht="27" customHeight="1">
      <c r="B87" s="812"/>
      <c r="C87" s="813"/>
      <c r="D87" s="390">
        <v>9</v>
      </c>
      <c r="E87" s="393"/>
      <c r="F87" s="394"/>
      <c r="G87" s="395"/>
      <c r="H87" s="395"/>
      <c r="I87" s="396" t="e">
        <f t="shared" si="49"/>
        <v>#DIV/0!</v>
      </c>
      <c r="J87" s="395"/>
      <c r="K87" s="396" t="e">
        <f t="shared" ref="K87:K98" si="50">J87/G87</f>
        <v>#DIV/0!</v>
      </c>
      <c r="L87" s="395"/>
      <c r="M87" s="396" t="e">
        <f t="shared" ref="M87:M98" si="51">(H87+J87)/G87</f>
        <v>#DIV/0!</v>
      </c>
      <c r="N87" s="397"/>
      <c r="O87" s="395"/>
      <c r="P87" s="396" t="e">
        <f t="shared" si="43"/>
        <v>#DIV/0!</v>
      </c>
      <c r="Q87" s="398">
        <f t="shared" si="44"/>
        <v>0</v>
      </c>
      <c r="R87" s="396" t="e">
        <f t="shared" si="45"/>
        <v>#DIV/0!</v>
      </c>
      <c r="S87" s="399">
        <f t="shared" si="46"/>
        <v>0</v>
      </c>
      <c r="T87" s="400" t="s">
        <v>433</v>
      </c>
      <c r="U87" s="400"/>
      <c r="V87" s="401"/>
      <c r="W87" s="401"/>
      <c r="X87" s="401">
        <v>1</v>
      </c>
      <c r="Y87" s="402"/>
      <c r="AC87" s="406"/>
    </row>
    <row r="88" spans="2:34" s="150" customFormat="1" ht="27" customHeight="1">
      <c r="B88" s="812"/>
      <c r="C88" s="813"/>
      <c r="D88" s="390">
        <v>10</v>
      </c>
      <c r="E88" s="393"/>
      <c r="F88" s="394"/>
      <c r="G88" s="395"/>
      <c r="H88" s="395"/>
      <c r="I88" s="396" t="e">
        <f t="shared" si="49"/>
        <v>#DIV/0!</v>
      </c>
      <c r="J88" s="395"/>
      <c r="K88" s="396" t="e">
        <f t="shared" si="50"/>
        <v>#DIV/0!</v>
      </c>
      <c r="L88" s="395"/>
      <c r="M88" s="396" t="e">
        <f t="shared" si="51"/>
        <v>#DIV/0!</v>
      </c>
      <c r="N88" s="397"/>
      <c r="O88" s="395"/>
      <c r="P88" s="396" t="e">
        <f t="shared" si="43"/>
        <v>#DIV/0!</v>
      </c>
      <c r="Q88" s="398">
        <f t="shared" si="44"/>
        <v>0</v>
      </c>
      <c r="R88" s="396" t="e">
        <f t="shared" si="45"/>
        <v>#DIV/0!</v>
      </c>
      <c r="S88" s="399">
        <f t="shared" si="46"/>
        <v>0</v>
      </c>
      <c r="T88" s="400" t="s">
        <v>433</v>
      </c>
      <c r="U88" s="400"/>
      <c r="V88" s="401"/>
      <c r="W88" s="401"/>
      <c r="X88" s="401">
        <v>1</v>
      </c>
      <c r="Y88" s="402"/>
      <c r="AC88" s="406"/>
    </row>
    <row r="89" spans="2:34" s="150" customFormat="1" ht="27" customHeight="1">
      <c r="B89" s="812"/>
      <c r="C89" s="813"/>
      <c r="D89" s="390">
        <v>11</v>
      </c>
      <c r="E89" s="393"/>
      <c r="F89" s="394"/>
      <c r="G89" s="395"/>
      <c r="H89" s="395"/>
      <c r="I89" s="396" t="e">
        <f t="shared" si="49"/>
        <v>#DIV/0!</v>
      </c>
      <c r="J89" s="395"/>
      <c r="K89" s="396" t="e">
        <f t="shared" si="50"/>
        <v>#DIV/0!</v>
      </c>
      <c r="L89" s="395"/>
      <c r="M89" s="396" t="e">
        <f t="shared" si="51"/>
        <v>#DIV/0!</v>
      </c>
      <c r="N89" s="397"/>
      <c r="O89" s="395"/>
      <c r="P89" s="396" t="e">
        <f t="shared" si="43"/>
        <v>#DIV/0!</v>
      </c>
      <c r="Q89" s="398">
        <f t="shared" si="44"/>
        <v>0</v>
      </c>
      <c r="R89" s="396" t="e">
        <f t="shared" si="45"/>
        <v>#DIV/0!</v>
      </c>
      <c r="S89" s="399">
        <f t="shared" si="46"/>
        <v>0</v>
      </c>
      <c r="T89" s="400" t="s">
        <v>433</v>
      </c>
      <c r="U89" s="400"/>
      <c r="V89" s="401"/>
      <c r="W89" s="401"/>
      <c r="X89" s="401">
        <v>1</v>
      </c>
      <c r="Y89" s="402"/>
      <c r="AC89" s="406"/>
    </row>
    <row r="90" spans="2:34" s="150" customFormat="1" ht="27" customHeight="1">
      <c r="B90" s="812"/>
      <c r="C90" s="813"/>
      <c r="D90" s="390">
        <v>12</v>
      </c>
      <c r="E90" s="393"/>
      <c r="F90" s="394"/>
      <c r="G90" s="395"/>
      <c r="H90" s="395"/>
      <c r="I90" s="396" t="e">
        <f t="shared" si="49"/>
        <v>#DIV/0!</v>
      </c>
      <c r="J90" s="395"/>
      <c r="K90" s="396" t="e">
        <f t="shared" si="50"/>
        <v>#DIV/0!</v>
      </c>
      <c r="L90" s="395"/>
      <c r="M90" s="396" t="e">
        <f t="shared" si="51"/>
        <v>#DIV/0!</v>
      </c>
      <c r="N90" s="397"/>
      <c r="O90" s="395"/>
      <c r="P90" s="396" t="e">
        <f t="shared" si="43"/>
        <v>#DIV/0!</v>
      </c>
      <c r="Q90" s="398">
        <f t="shared" si="44"/>
        <v>0</v>
      </c>
      <c r="R90" s="396" t="e">
        <f t="shared" si="45"/>
        <v>#DIV/0!</v>
      </c>
      <c r="S90" s="399">
        <f t="shared" si="46"/>
        <v>0</v>
      </c>
      <c r="T90" s="400" t="s">
        <v>433</v>
      </c>
      <c r="U90" s="400"/>
      <c r="V90" s="401"/>
      <c r="W90" s="401"/>
      <c r="X90" s="401">
        <v>1</v>
      </c>
      <c r="Y90" s="402"/>
      <c r="AC90" s="406"/>
    </row>
    <row r="91" spans="2:34" s="150" customFormat="1" ht="27" customHeight="1">
      <c r="B91" s="812"/>
      <c r="C91" s="813"/>
      <c r="D91" s="390">
        <v>13</v>
      </c>
      <c r="E91" s="393"/>
      <c r="F91" s="394"/>
      <c r="G91" s="395"/>
      <c r="H91" s="395"/>
      <c r="I91" s="396" t="e">
        <f t="shared" si="49"/>
        <v>#DIV/0!</v>
      </c>
      <c r="J91" s="395"/>
      <c r="K91" s="396" t="e">
        <f t="shared" si="50"/>
        <v>#DIV/0!</v>
      </c>
      <c r="L91" s="395"/>
      <c r="M91" s="396" t="e">
        <f t="shared" si="51"/>
        <v>#DIV/0!</v>
      </c>
      <c r="N91" s="397"/>
      <c r="O91" s="395"/>
      <c r="P91" s="396" t="e">
        <f t="shared" si="43"/>
        <v>#DIV/0!</v>
      </c>
      <c r="Q91" s="398">
        <f t="shared" si="44"/>
        <v>0</v>
      </c>
      <c r="R91" s="396" t="e">
        <f t="shared" si="45"/>
        <v>#DIV/0!</v>
      </c>
      <c r="S91" s="399">
        <f t="shared" si="46"/>
        <v>0</v>
      </c>
      <c r="T91" s="400" t="s">
        <v>433</v>
      </c>
      <c r="U91" s="400"/>
      <c r="V91" s="401"/>
      <c r="W91" s="401"/>
      <c r="X91" s="401">
        <v>1</v>
      </c>
      <c r="Y91" s="402"/>
      <c r="AC91" s="406"/>
    </row>
    <row r="92" spans="2:34" s="150" customFormat="1" ht="27" customHeight="1">
      <c r="B92" s="812"/>
      <c r="C92" s="813"/>
      <c r="D92" s="390">
        <v>14</v>
      </c>
      <c r="E92" s="393"/>
      <c r="F92" s="394"/>
      <c r="G92" s="395"/>
      <c r="H92" s="395"/>
      <c r="I92" s="396" t="e">
        <f t="shared" si="49"/>
        <v>#DIV/0!</v>
      </c>
      <c r="J92" s="395"/>
      <c r="K92" s="396" t="e">
        <f t="shared" si="50"/>
        <v>#DIV/0!</v>
      </c>
      <c r="L92" s="395"/>
      <c r="M92" s="396" t="e">
        <f t="shared" si="51"/>
        <v>#DIV/0!</v>
      </c>
      <c r="N92" s="397"/>
      <c r="O92" s="395"/>
      <c r="P92" s="396" t="e">
        <f t="shared" si="43"/>
        <v>#DIV/0!</v>
      </c>
      <c r="Q92" s="398">
        <f t="shared" si="44"/>
        <v>0</v>
      </c>
      <c r="R92" s="396" t="e">
        <f t="shared" si="45"/>
        <v>#DIV/0!</v>
      </c>
      <c r="S92" s="399">
        <f t="shared" si="46"/>
        <v>0</v>
      </c>
      <c r="T92" s="400" t="s">
        <v>433</v>
      </c>
      <c r="U92" s="400"/>
      <c r="V92" s="401"/>
      <c r="W92" s="401"/>
      <c r="X92" s="401">
        <v>1</v>
      </c>
      <c r="Y92" s="402"/>
      <c r="AC92" s="407"/>
    </row>
    <row r="93" spans="2:34" s="150" customFormat="1" ht="27" customHeight="1">
      <c r="B93" s="812"/>
      <c r="C93" s="813"/>
      <c r="D93" s="390">
        <v>15</v>
      </c>
      <c r="E93" s="393"/>
      <c r="F93" s="394"/>
      <c r="G93" s="395"/>
      <c r="H93" s="395"/>
      <c r="I93" s="396" t="e">
        <f t="shared" si="49"/>
        <v>#DIV/0!</v>
      </c>
      <c r="J93" s="395"/>
      <c r="K93" s="396" t="e">
        <f t="shared" si="50"/>
        <v>#DIV/0!</v>
      </c>
      <c r="L93" s="395"/>
      <c r="M93" s="396" t="e">
        <f t="shared" si="51"/>
        <v>#DIV/0!</v>
      </c>
      <c r="N93" s="397"/>
      <c r="O93" s="395"/>
      <c r="P93" s="396" t="e">
        <f t="shared" si="43"/>
        <v>#DIV/0!</v>
      </c>
      <c r="Q93" s="398">
        <f t="shared" si="44"/>
        <v>0</v>
      </c>
      <c r="R93" s="396" t="e">
        <f t="shared" si="45"/>
        <v>#DIV/0!</v>
      </c>
      <c r="S93" s="399">
        <f t="shared" si="46"/>
        <v>0</v>
      </c>
      <c r="T93" s="400" t="s">
        <v>433</v>
      </c>
      <c r="U93" s="400"/>
      <c r="V93" s="400"/>
      <c r="W93" s="401"/>
      <c r="X93" s="401">
        <v>1</v>
      </c>
      <c r="Y93" s="402"/>
      <c r="AC93" s="406"/>
    </row>
    <row r="94" spans="2:34" s="150" customFormat="1" ht="27" customHeight="1">
      <c r="B94" s="812"/>
      <c r="C94" s="813"/>
      <c r="D94" s="390">
        <v>16</v>
      </c>
      <c r="E94" s="393"/>
      <c r="F94" s="394"/>
      <c r="G94" s="395"/>
      <c r="H94" s="395"/>
      <c r="I94" s="396" t="e">
        <f t="shared" si="49"/>
        <v>#DIV/0!</v>
      </c>
      <c r="J94" s="395"/>
      <c r="K94" s="396" t="e">
        <f t="shared" si="50"/>
        <v>#DIV/0!</v>
      </c>
      <c r="L94" s="395"/>
      <c r="M94" s="396" t="e">
        <f t="shared" si="51"/>
        <v>#DIV/0!</v>
      </c>
      <c r="N94" s="397"/>
      <c r="O94" s="395"/>
      <c r="P94" s="396" t="e">
        <f t="shared" si="43"/>
        <v>#DIV/0!</v>
      </c>
      <c r="Q94" s="398">
        <f t="shared" si="44"/>
        <v>0</v>
      </c>
      <c r="R94" s="396" t="e">
        <f t="shared" si="45"/>
        <v>#DIV/0!</v>
      </c>
      <c r="S94" s="399">
        <f t="shared" si="46"/>
        <v>0</v>
      </c>
      <c r="T94" s="400" t="s">
        <v>433</v>
      </c>
      <c r="U94" s="400"/>
      <c r="V94" s="401"/>
      <c r="W94" s="401"/>
      <c r="X94" s="401">
        <v>1</v>
      </c>
      <c r="Y94" s="402"/>
      <c r="AC94" s="406"/>
    </row>
    <row r="95" spans="2:34" s="150" customFormat="1" ht="27" customHeight="1">
      <c r="B95" s="812"/>
      <c r="C95" s="813"/>
      <c r="D95" s="390">
        <v>17</v>
      </c>
      <c r="E95" s="393"/>
      <c r="F95" s="394"/>
      <c r="G95" s="395"/>
      <c r="H95" s="395"/>
      <c r="I95" s="396" t="e">
        <f t="shared" si="49"/>
        <v>#DIV/0!</v>
      </c>
      <c r="J95" s="395"/>
      <c r="K95" s="396" t="e">
        <f t="shared" si="50"/>
        <v>#DIV/0!</v>
      </c>
      <c r="L95" s="395"/>
      <c r="M95" s="396" t="e">
        <f t="shared" si="51"/>
        <v>#DIV/0!</v>
      </c>
      <c r="N95" s="397"/>
      <c r="O95" s="395"/>
      <c r="P95" s="396" t="e">
        <f t="shared" si="43"/>
        <v>#DIV/0!</v>
      </c>
      <c r="Q95" s="398">
        <f t="shared" si="44"/>
        <v>0</v>
      </c>
      <c r="R95" s="396" t="e">
        <f t="shared" si="45"/>
        <v>#DIV/0!</v>
      </c>
      <c r="S95" s="399">
        <f t="shared" si="46"/>
        <v>0</v>
      </c>
      <c r="T95" s="400" t="s">
        <v>433</v>
      </c>
      <c r="U95" s="400"/>
      <c r="V95" s="401"/>
      <c r="W95" s="401"/>
      <c r="X95" s="401">
        <v>1</v>
      </c>
      <c r="Y95" s="402"/>
      <c r="AB95" s="408"/>
      <c r="AC95" s="406"/>
    </row>
    <row r="96" spans="2:34" s="150" customFormat="1" ht="27" customHeight="1">
      <c r="B96" s="812"/>
      <c r="C96" s="813"/>
      <c r="D96" s="390">
        <v>18</v>
      </c>
      <c r="E96" s="393"/>
      <c r="F96" s="394"/>
      <c r="G96" s="395"/>
      <c r="H96" s="395"/>
      <c r="I96" s="396" t="e">
        <f t="shared" si="49"/>
        <v>#DIV/0!</v>
      </c>
      <c r="J96" s="395"/>
      <c r="K96" s="396" t="e">
        <f t="shared" si="50"/>
        <v>#DIV/0!</v>
      </c>
      <c r="L96" s="395"/>
      <c r="M96" s="396" t="e">
        <f t="shared" si="51"/>
        <v>#DIV/0!</v>
      </c>
      <c r="N96" s="397"/>
      <c r="O96" s="395"/>
      <c r="P96" s="396" t="e">
        <f t="shared" si="43"/>
        <v>#DIV/0!</v>
      </c>
      <c r="Q96" s="398">
        <f t="shared" si="44"/>
        <v>0</v>
      </c>
      <c r="R96" s="396" t="e">
        <f t="shared" si="45"/>
        <v>#DIV/0!</v>
      </c>
      <c r="S96" s="399">
        <f t="shared" si="46"/>
        <v>0</v>
      </c>
      <c r="T96" s="400" t="s">
        <v>433</v>
      </c>
      <c r="U96" s="400"/>
      <c r="V96" s="425"/>
      <c r="W96" s="401"/>
      <c r="X96" s="401">
        <v>1</v>
      </c>
      <c r="Y96" s="402"/>
      <c r="AC96" s="406"/>
    </row>
    <row r="97" spans="2:34" s="150" customFormat="1" ht="27" customHeight="1">
      <c r="B97" s="812"/>
      <c r="C97" s="813"/>
      <c r="D97" s="390">
        <v>19</v>
      </c>
      <c r="E97" s="393"/>
      <c r="F97" s="394"/>
      <c r="G97" s="395"/>
      <c r="H97" s="395"/>
      <c r="I97" s="396" t="e">
        <f t="shared" si="49"/>
        <v>#DIV/0!</v>
      </c>
      <c r="J97" s="395"/>
      <c r="K97" s="396" t="e">
        <f t="shared" si="50"/>
        <v>#DIV/0!</v>
      </c>
      <c r="L97" s="395"/>
      <c r="M97" s="396" t="e">
        <f t="shared" si="51"/>
        <v>#DIV/0!</v>
      </c>
      <c r="N97" s="397"/>
      <c r="O97" s="395"/>
      <c r="P97" s="396" t="e">
        <f t="shared" si="43"/>
        <v>#DIV/0!</v>
      </c>
      <c r="Q97" s="398">
        <f t="shared" si="44"/>
        <v>0</v>
      </c>
      <c r="R97" s="396" t="e">
        <f t="shared" si="45"/>
        <v>#DIV/0!</v>
      </c>
      <c r="S97" s="399">
        <f t="shared" si="46"/>
        <v>0</v>
      </c>
      <c r="T97" s="400" t="s">
        <v>433</v>
      </c>
      <c r="U97" s="400"/>
      <c r="V97" s="401"/>
      <c r="W97" s="401"/>
      <c r="X97" s="401">
        <v>1</v>
      </c>
      <c r="Y97" s="402"/>
      <c r="AB97" s="409"/>
      <c r="AC97" s="406"/>
    </row>
    <row r="98" spans="2:34" s="150" customFormat="1" ht="27" customHeight="1">
      <c r="B98" s="814"/>
      <c r="C98" s="815"/>
      <c r="D98" s="390">
        <v>20</v>
      </c>
      <c r="E98" s="393"/>
      <c r="F98" s="394"/>
      <c r="G98" s="395"/>
      <c r="H98" s="395"/>
      <c r="I98" s="396" t="e">
        <f t="shared" si="49"/>
        <v>#DIV/0!</v>
      </c>
      <c r="J98" s="395"/>
      <c r="K98" s="396" t="e">
        <f t="shared" si="50"/>
        <v>#DIV/0!</v>
      </c>
      <c r="L98" s="395"/>
      <c r="M98" s="396" t="e">
        <f t="shared" si="51"/>
        <v>#DIV/0!</v>
      </c>
      <c r="N98" s="397"/>
      <c r="O98" s="395"/>
      <c r="P98" s="396" t="e">
        <f t="shared" si="43"/>
        <v>#DIV/0!</v>
      </c>
      <c r="Q98" s="398">
        <f t="shared" si="44"/>
        <v>0</v>
      </c>
      <c r="R98" s="396" t="e">
        <f t="shared" si="45"/>
        <v>#DIV/0!</v>
      </c>
      <c r="S98" s="399">
        <f t="shared" si="46"/>
        <v>0</v>
      </c>
      <c r="T98" s="400" t="s">
        <v>433</v>
      </c>
      <c r="U98" s="400"/>
      <c r="V98" s="401"/>
      <c r="W98" s="401"/>
      <c r="X98" s="401">
        <v>1</v>
      </c>
      <c r="Y98" s="402"/>
      <c r="AB98" s="409"/>
      <c r="AC98" s="406"/>
    </row>
    <row r="99" spans="2:34" ht="17.149999999999999" customHeight="1">
      <c r="B99" s="829" t="s">
        <v>489</v>
      </c>
      <c r="C99" s="830"/>
      <c r="D99" s="826" t="s">
        <v>172</v>
      </c>
      <c r="E99" s="826"/>
      <c r="F99" s="826"/>
      <c r="G99" s="826" t="s">
        <v>186</v>
      </c>
      <c r="H99" s="826"/>
      <c r="I99" s="826"/>
      <c r="J99" s="826"/>
      <c r="K99" s="826"/>
      <c r="L99" s="826"/>
      <c r="M99" s="826"/>
      <c r="N99" s="826"/>
      <c r="O99" s="826"/>
      <c r="P99" s="826"/>
      <c r="Q99" s="826"/>
      <c r="R99" s="826"/>
      <c r="S99" s="826"/>
      <c r="T99" s="826" t="s">
        <v>173</v>
      </c>
      <c r="U99" s="816" t="s">
        <v>248</v>
      </c>
      <c r="V99" s="835" t="s">
        <v>490</v>
      </c>
      <c r="W99" s="835" t="s">
        <v>491</v>
      </c>
      <c r="X99" s="838" t="s">
        <v>249</v>
      </c>
      <c r="Y99" s="827" t="s">
        <v>174</v>
      </c>
      <c r="AA99" s="816" t="s">
        <v>250</v>
      </c>
      <c r="AB99" s="817"/>
      <c r="AC99" s="817"/>
      <c r="AD99" s="817"/>
      <c r="AE99" s="817"/>
      <c r="AF99" s="817"/>
      <c r="AG99" s="817"/>
      <c r="AH99" s="818"/>
    </row>
    <row r="100" spans="2:34" ht="17.149999999999999" customHeight="1">
      <c r="B100" s="831"/>
      <c r="C100" s="832"/>
      <c r="D100" s="825" t="s">
        <v>171</v>
      </c>
      <c r="E100" s="826" t="s">
        <v>175</v>
      </c>
      <c r="F100" s="826"/>
      <c r="G100" s="826" t="s">
        <v>187</v>
      </c>
      <c r="H100" s="826"/>
      <c r="I100" s="826"/>
      <c r="J100" s="826"/>
      <c r="K100" s="826"/>
      <c r="L100" s="826"/>
      <c r="M100" s="826"/>
      <c r="N100" s="826"/>
      <c r="O100" s="826" t="s">
        <v>176</v>
      </c>
      <c r="P100" s="826"/>
      <c r="Q100" s="826"/>
      <c r="R100" s="826"/>
      <c r="S100" s="826"/>
      <c r="T100" s="826"/>
      <c r="U100" s="819"/>
      <c r="V100" s="836"/>
      <c r="W100" s="836"/>
      <c r="X100" s="839"/>
      <c r="Y100" s="827"/>
      <c r="AA100" s="819"/>
      <c r="AB100" s="820"/>
      <c r="AC100" s="820"/>
      <c r="AD100" s="820"/>
      <c r="AE100" s="820"/>
      <c r="AF100" s="820"/>
      <c r="AG100" s="820"/>
      <c r="AH100" s="821"/>
    </row>
    <row r="101" spans="2:34" ht="17.149999999999999" customHeight="1">
      <c r="B101" s="831"/>
      <c r="C101" s="832"/>
      <c r="D101" s="825"/>
      <c r="E101" s="825" t="s">
        <v>177</v>
      </c>
      <c r="F101" s="827" t="s">
        <v>251</v>
      </c>
      <c r="G101" s="828" t="s">
        <v>188</v>
      </c>
      <c r="H101" s="828"/>
      <c r="I101" s="828"/>
      <c r="J101" s="828"/>
      <c r="K101" s="828"/>
      <c r="L101" s="828"/>
      <c r="M101" s="828"/>
      <c r="N101" s="828"/>
      <c r="O101" s="828" t="s">
        <v>170</v>
      </c>
      <c r="P101" s="828"/>
      <c r="Q101" s="828" t="s">
        <v>178</v>
      </c>
      <c r="R101" s="828"/>
      <c r="S101" s="828"/>
      <c r="T101" s="826"/>
      <c r="U101" s="819"/>
      <c r="V101" s="836"/>
      <c r="W101" s="836"/>
      <c r="X101" s="839"/>
      <c r="Y101" s="827"/>
      <c r="AA101" s="822"/>
      <c r="AB101" s="823"/>
      <c r="AC101" s="823"/>
      <c r="AD101" s="823"/>
      <c r="AE101" s="823"/>
      <c r="AF101" s="823"/>
      <c r="AG101" s="823"/>
      <c r="AH101" s="824"/>
    </row>
    <row r="102" spans="2:34" ht="38.5" customHeight="1">
      <c r="B102" s="833"/>
      <c r="C102" s="834"/>
      <c r="D102" s="825"/>
      <c r="E102" s="825"/>
      <c r="F102" s="827"/>
      <c r="G102" s="391" t="s">
        <v>179</v>
      </c>
      <c r="H102" s="391" t="s">
        <v>255</v>
      </c>
      <c r="I102" s="391" t="s">
        <v>256</v>
      </c>
      <c r="J102" s="391" t="s">
        <v>180</v>
      </c>
      <c r="K102" s="391" t="s">
        <v>253</v>
      </c>
      <c r="L102" s="391" t="s">
        <v>181</v>
      </c>
      <c r="M102" s="391" t="s">
        <v>189</v>
      </c>
      <c r="N102" s="391" t="s">
        <v>182</v>
      </c>
      <c r="O102" s="392" t="s">
        <v>183</v>
      </c>
      <c r="P102" s="392" t="s">
        <v>184</v>
      </c>
      <c r="Q102" s="392" t="s">
        <v>183</v>
      </c>
      <c r="R102" s="392" t="s">
        <v>184</v>
      </c>
      <c r="S102" s="391" t="s">
        <v>185</v>
      </c>
      <c r="T102" s="826"/>
      <c r="U102" s="822"/>
      <c r="V102" s="837"/>
      <c r="W102" s="837"/>
      <c r="X102" s="840"/>
      <c r="Y102" s="827"/>
      <c r="AA102" s="163" t="s">
        <v>247</v>
      </c>
      <c r="AB102" s="163" t="s">
        <v>492</v>
      </c>
      <c r="AC102" s="158" t="s">
        <v>398</v>
      </c>
      <c r="AD102" s="158" t="s">
        <v>342</v>
      </c>
      <c r="AE102" s="158" t="s">
        <v>466</v>
      </c>
      <c r="AF102" s="158" t="s">
        <v>218</v>
      </c>
      <c r="AG102" s="158" t="s">
        <v>219</v>
      </c>
      <c r="AH102" s="158" t="s">
        <v>399</v>
      </c>
    </row>
    <row r="103" spans="2:34" s="150" customFormat="1" ht="27" customHeight="1">
      <c r="B103" s="810" t="s">
        <v>626</v>
      </c>
      <c r="C103" s="811"/>
      <c r="D103" s="390">
        <v>1</v>
      </c>
      <c r="E103" s="393"/>
      <c r="F103" s="394"/>
      <c r="G103" s="395"/>
      <c r="H103" s="395"/>
      <c r="I103" s="396" t="e">
        <f>H103/G103</f>
        <v>#DIV/0!</v>
      </c>
      <c r="J103" s="395"/>
      <c r="K103" s="396" t="e">
        <f>J103/G103</f>
        <v>#DIV/0!</v>
      </c>
      <c r="L103" s="395"/>
      <c r="M103" s="396" t="e">
        <f>(H103+J103)/G103</f>
        <v>#DIV/0!</v>
      </c>
      <c r="N103" s="397"/>
      <c r="O103" s="395"/>
      <c r="P103" s="396" t="e">
        <f>O103/G103</f>
        <v>#DIV/0!</v>
      </c>
      <c r="Q103" s="398">
        <f>((H103+J103)-G103)-O103</f>
        <v>0</v>
      </c>
      <c r="R103" s="396" t="e">
        <f>Q103/G103</f>
        <v>#DIV/0!</v>
      </c>
      <c r="S103" s="399">
        <f>Q103*L103</f>
        <v>0</v>
      </c>
      <c r="T103" s="400" t="s">
        <v>433</v>
      </c>
      <c r="U103" s="400"/>
      <c r="V103" s="401"/>
      <c r="W103" s="401"/>
      <c r="X103" s="401">
        <v>1</v>
      </c>
      <c r="Y103" s="402"/>
      <c r="Z103" s="403" t="s">
        <v>493</v>
      </c>
      <c r="AA103" s="413">
        <f>SUM(X103:X122)</f>
        <v>20</v>
      </c>
      <c r="AB103" s="405">
        <f>SUMIF($U$103:$U$122,TRIM(AB102),$X$103:$X$122)</f>
        <v>0</v>
      </c>
      <c r="AC103" s="405">
        <f t="shared" ref="AC103:AH103" si="52">SUMIF($U$103:$U$122,TRIM(AC102),$X$103:$X$122)</f>
        <v>0</v>
      </c>
      <c r="AD103" s="405">
        <f t="shared" si="52"/>
        <v>0</v>
      </c>
      <c r="AE103" s="405">
        <f t="shared" si="52"/>
        <v>0</v>
      </c>
      <c r="AF103" s="405">
        <f t="shared" si="52"/>
        <v>0</v>
      </c>
      <c r="AG103" s="405">
        <f t="shared" si="52"/>
        <v>0</v>
      </c>
      <c r="AH103" s="405">
        <f t="shared" si="52"/>
        <v>0</v>
      </c>
    </row>
    <row r="104" spans="2:34" s="150" customFormat="1" ht="27" customHeight="1">
      <c r="B104" s="812"/>
      <c r="C104" s="813"/>
      <c r="D104" s="390">
        <v>2</v>
      </c>
      <c r="E104" s="393"/>
      <c r="F104" s="394"/>
      <c r="G104" s="395"/>
      <c r="H104" s="395"/>
      <c r="I104" s="396" t="e">
        <f t="shared" ref="I104:I105" si="53">H104/G104</f>
        <v>#DIV/0!</v>
      </c>
      <c r="J104" s="395"/>
      <c r="K104" s="396" t="e">
        <f t="shared" ref="K104:K109" si="54">J104/G104</f>
        <v>#DIV/0!</v>
      </c>
      <c r="L104" s="395"/>
      <c r="M104" s="396" t="e">
        <f t="shared" ref="M104:M109" si="55">(H104+J104)/G104</f>
        <v>#DIV/0!</v>
      </c>
      <c r="N104" s="397"/>
      <c r="O104" s="395"/>
      <c r="P104" s="396" t="e">
        <f t="shared" ref="P104:P122" si="56">O104/G104</f>
        <v>#DIV/0!</v>
      </c>
      <c r="Q104" s="398">
        <f t="shared" ref="Q104:Q122" si="57">((H104+J104)-G104)-O104</f>
        <v>0</v>
      </c>
      <c r="R104" s="396" t="e">
        <f t="shared" ref="R104:R122" si="58">Q104/G104</f>
        <v>#DIV/0!</v>
      </c>
      <c r="S104" s="399">
        <f t="shared" ref="S104:S122" si="59">Q104*L104</f>
        <v>0</v>
      </c>
      <c r="T104" s="400" t="s">
        <v>433</v>
      </c>
      <c r="U104" s="400"/>
      <c r="V104" s="400"/>
      <c r="W104" s="401"/>
      <c r="X104" s="401">
        <v>1</v>
      </c>
      <c r="Y104" s="402"/>
      <c r="AA104" s="414"/>
      <c r="AB104" s="411">
        <f>SUMIF($U$103:$U122,TRIM(AB102),$F$103:$F$122)</f>
        <v>0</v>
      </c>
      <c r="AC104" s="411">
        <f>SUMIF($U$103:$U122,TRIM(AC102),$F$103:$F$122)</f>
        <v>0</v>
      </c>
      <c r="AD104" s="411">
        <f>SUMIF($U$103:$U122,TRIM(AD102),$F$103:$F$122)</f>
        <v>0</v>
      </c>
      <c r="AE104" s="411">
        <f>SUMIF($U$103:$U122,TRIM(AE102),$F$103:$F$122)</f>
        <v>0</v>
      </c>
      <c r="AF104" s="411">
        <f>SUMIF($U$103:$U122,TRIM(AF102),$F$103:$F$122)</f>
        <v>0</v>
      </c>
      <c r="AG104" s="411">
        <f>SUMIF($U$103:$U122,TRIM(AG102),$F$103:$F$122)</f>
        <v>0</v>
      </c>
      <c r="AH104" s="411">
        <f>SUMIF($U$103:$U122,TRIM(AH102),$F$103:$F$122)</f>
        <v>0</v>
      </c>
    </row>
    <row r="105" spans="2:34" s="150" customFormat="1" ht="27" customHeight="1">
      <c r="B105" s="812"/>
      <c r="C105" s="813"/>
      <c r="D105" s="390">
        <v>3</v>
      </c>
      <c r="E105" s="393"/>
      <c r="F105" s="394"/>
      <c r="G105" s="395"/>
      <c r="H105" s="395"/>
      <c r="I105" s="396" t="e">
        <f t="shared" si="53"/>
        <v>#DIV/0!</v>
      </c>
      <c r="J105" s="395"/>
      <c r="K105" s="396" t="e">
        <f t="shared" si="54"/>
        <v>#DIV/0!</v>
      </c>
      <c r="L105" s="395"/>
      <c r="M105" s="396" t="e">
        <f t="shared" si="55"/>
        <v>#DIV/0!</v>
      </c>
      <c r="N105" s="397"/>
      <c r="O105" s="395"/>
      <c r="P105" s="396" t="e">
        <f t="shared" si="56"/>
        <v>#DIV/0!</v>
      </c>
      <c r="Q105" s="398">
        <f t="shared" si="57"/>
        <v>0</v>
      </c>
      <c r="R105" s="396" t="e">
        <f t="shared" si="58"/>
        <v>#DIV/0!</v>
      </c>
      <c r="S105" s="399">
        <f t="shared" si="59"/>
        <v>0</v>
      </c>
      <c r="T105" s="400" t="s">
        <v>433</v>
      </c>
      <c r="U105" s="400"/>
      <c r="V105" s="401"/>
      <c r="W105" s="401"/>
      <c r="X105" s="401">
        <v>1</v>
      </c>
      <c r="Y105" s="402"/>
      <c r="AA105" s="390"/>
      <c r="AB105" s="412">
        <f>AB103/$AA103</f>
        <v>0</v>
      </c>
      <c r="AC105" s="412">
        <f t="shared" ref="AC105:AH105" si="60">AC103/$AA103</f>
        <v>0</v>
      </c>
      <c r="AD105" s="412">
        <f t="shared" si="60"/>
        <v>0</v>
      </c>
      <c r="AE105" s="412">
        <f t="shared" si="60"/>
        <v>0</v>
      </c>
      <c r="AF105" s="412">
        <f t="shared" si="60"/>
        <v>0</v>
      </c>
      <c r="AG105" s="412">
        <f t="shared" si="60"/>
        <v>0</v>
      </c>
      <c r="AH105" s="412">
        <f t="shared" si="60"/>
        <v>0</v>
      </c>
    </row>
    <row r="106" spans="2:34" s="150" customFormat="1" ht="27" customHeight="1">
      <c r="B106" s="812"/>
      <c r="C106" s="813"/>
      <c r="D106" s="390">
        <v>4</v>
      </c>
      <c r="E106" s="393"/>
      <c r="F106" s="394"/>
      <c r="G106" s="395"/>
      <c r="H106" s="395"/>
      <c r="I106" s="396" t="e">
        <f>H106/G106</f>
        <v>#DIV/0!</v>
      </c>
      <c r="J106" s="395"/>
      <c r="K106" s="396" t="e">
        <f t="shared" si="54"/>
        <v>#DIV/0!</v>
      </c>
      <c r="L106" s="395"/>
      <c r="M106" s="396" t="e">
        <f t="shared" si="55"/>
        <v>#DIV/0!</v>
      </c>
      <c r="N106" s="397"/>
      <c r="O106" s="395"/>
      <c r="P106" s="396" t="e">
        <f t="shared" si="56"/>
        <v>#DIV/0!</v>
      </c>
      <c r="Q106" s="398">
        <f t="shared" si="57"/>
        <v>0</v>
      </c>
      <c r="R106" s="396" t="e">
        <f t="shared" si="58"/>
        <v>#DIV/0!</v>
      </c>
      <c r="S106" s="399">
        <f t="shared" si="59"/>
        <v>0</v>
      </c>
      <c r="T106" s="400" t="s">
        <v>433</v>
      </c>
      <c r="U106" s="400"/>
      <c r="V106" s="401"/>
      <c r="W106" s="401"/>
      <c r="X106" s="401">
        <v>1</v>
      </c>
      <c r="Y106" s="402"/>
    </row>
    <row r="107" spans="2:34" s="150" customFormat="1" ht="27" customHeight="1">
      <c r="B107" s="812"/>
      <c r="C107" s="813"/>
      <c r="D107" s="390">
        <v>5</v>
      </c>
      <c r="E107" s="393"/>
      <c r="F107" s="394"/>
      <c r="G107" s="395"/>
      <c r="H107" s="395"/>
      <c r="I107" s="396" t="e">
        <f t="shared" ref="I107:I122" si="61">H107/G107</f>
        <v>#DIV/0!</v>
      </c>
      <c r="J107" s="395"/>
      <c r="K107" s="396" t="e">
        <f t="shared" si="54"/>
        <v>#DIV/0!</v>
      </c>
      <c r="L107" s="395"/>
      <c r="M107" s="396" t="e">
        <f t="shared" si="55"/>
        <v>#DIV/0!</v>
      </c>
      <c r="N107" s="397"/>
      <c r="O107" s="395"/>
      <c r="P107" s="396" t="e">
        <f t="shared" si="56"/>
        <v>#DIV/0!</v>
      </c>
      <c r="Q107" s="398">
        <f t="shared" si="57"/>
        <v>0</v>
      </c>
      <c r="R107" s="396" t="e">
        <f t="shared" si="58"/>
        <v>#DIV/0!</v>
      </c>
      <c r="S107" s="399">
        <f t="shared" si="59"/>
        <v>0</v>
      </c>
      <c r="T107" s="400" t="s">
        <v>433</v>
      </c>
      <c r="U107" s="400"/>
      <c r="V107" s="401"/>
      <c r="W107" s="401"/>
      <c r="X107" s="401">
        <v>1</v>
      </c>
      <c r="Y107" s="402"/>
    </row>
    <row r="108" spans="2:34" s="150" customFormat="1" ht="27" customHeight="1">
      <c r="B108" s="812"/>
      <c r="C108" s="813"/>
      <c r="D108" s="390">
        <v>6</v>
      </c>
      <c r="E108" s="393"/>
      <c r="F108" s="394"/>
      <c r="G108" s="395"/>
      <c r="H108" s="395"/>
      <c r="I108" s="396" t="e">
        <f t="shared" si="61"/>
        <v>#DIV/0!</v>
      </c>
      <c r="J108" s="395"/>
      <c r="K108" s="396" t="e">
        <f t="shared" si="54"/>
        <v>#DIV/0!</v>
      </c>
      <c r="L108" s="395"/>
      <c r="M108" s="396" t="e">
        <f t="shared" si="55"/>
        <v>#DIV/0!</v>
      </c>
      <c r="N108" s="397"/>
      <c r="O108" s="395"/>
      <c r="P108" s="396" t="e">
        <f t="shared" si="56"/>
        <v>#DIV/0!</v>
      </c>
      <c r="Q108" s="398">
        <f t="shared" si="57"/>
        <v>0</v>
      </c>
      <c r="R108" s="396" t="e">
        <f t="shared" si="58"/>
        <v>#DIV/0!</v>
      </c>
      <c r="S108" s="399">
        <f t="shared" si="59"/>
        <v>0</v>
      </c>
      <c r="T108" s="400" t="s">
        <v>433</v>
      </c>
      <c r="U108" s="400"/>
      <c r="V108" s="401"/>
      <c r="W108" s="401"/>
      <c r="X108" s="401">
        <v>1</v>
      </c>
      <c r="Y108" s="402"/>
    </row>
    <row r="109" spans="2:34" s="150" customFormat="1" ht="27" customHeight="1">
      <c r="B109" s="812"/>
      <c r="C109" s="813"/>
      <c r="D109" s="390">
        <v>7</v>
      </c>
      <c r="E109" s="393"/>
      <c r="F109" s="394"/>
      <c r="G109" s="395"/>
      <c r="H109" s="395"/>
      <c r="I109" s="396" t="e">
        <f t="shared" si="61"/>
        <v>#DIV/0!</v>
      </c>
      <c r="J109" s="395"/>
      <c r="K109" s="396" t="e">
        <f t="shared" si="54"/>
        <v>#DIV/0!</v>
      </c>
      <c r="L109" s="395"/>
      <c r="M109" s="396" t="e">
        <f t="shared" si="55"/>
        <v>#DIV/0!</v>
      </c>
      <c r="N109" s="397"/>
      <c r="O109" s="395"/>
      <c r="P109" s="396" t="e">
        <f t="shared" si="56"/>
        <v>#DIV/0!</v>
      </c>
      <c r="Q109" s="398">
        <f t="shared" si="57"/>
        <v>0</v>
      </c>
      <c r="R109" s="396" t="e">
        <f t="shared" si="58"/>
        <v>#DIV/0!</v>
      </c>
      <c r="S109" s="399">
        <f t="shared" si="59"/>
        <v>0</v>
      </c>
      <c r="T109" s="400" t="s">
        <v>433</v>
      </c>
      <c r="U109" s="400"/>
      <c r="V109" s="401"/>
      <c r="W109" s="401"/>
      <c r="X109" s="401">
        <v>1</v>
      </c>
      <c r="Y109" s="402"/>
      <c r="AC109" s="406"/>
    </row>
    <row r="110" spans="2:34" s="150" customFormat="1" ht="27" customHeight="1">
      <c r="B110" s="812"/>
      <c r="C110" s="813"/>
      <c r="D110" s="390">
        <v>8</v>
      </c>
      <c r="E110" s="393"/>
      <c r="F110" s="394"/>
      <c r="G110" s="395"/>
      <c r="H110" s="395"/>
      <c r="I110" s="396" t="e">
        <f t="shared" si="61"/>
        <v>#DIV/0!</v>
      </c>
      <c r="J110" s="395"/>
      <c r="K110" s="396" t="e">
        <f>J110/G110</f>
        <v>#DIV/0!</v>
      </c>
      <c r="L110" s="395"/>
      <c r="M110" s="396" t="e">
        <f>(H110+J110)/G110</f>
        <v>#DIV/0!</v>
      </c>
      <c r="N110" s="397"/>
      <c r="O110" s="395"/>
      <c r="P110" s="396" t="e">
        <f t="shared" si="56"/>
        <v>#DIV/0!</v>
      </c>
      <c r="Q110" s="398">
        <f t="shared" si="57"/>
        <v>0</v>
      </c>
      <c r="R110" s="396" t="e">
        <f t="shared" si="58"/>
        <v>#DIV/0!</v>
      </c>
      <c r="S110" s="399">
        <f t="shared" si="59"/>
        <v>0</v>
      </c>
      <c r="T110" s="400" t="s">
        <v>433</v>
      </c>
      <c r="U110" s="400"/>
      <c r="V110" s="438"/>
      <c r="W110" s="401"/>
      <c r="X110" s="401">
        <v>1</v>
      </c>
      <c r="Y110" s="402"/>
      <c r="AC110" s="406"/>
    </row>
    <row r="111" spans="2:34" s="150" customFormat="1" ht="27" customHeight="1">
      <c r="B111" s="812"/>
      <c r="C111" s="813"/>
      <c r="D111" s="390">
        <v>9</v>
      </c>
      <c r="E111" s="393"/>
      <c r="F111" s="394"/>
      <c r="G111" s="395"/>
      <c r="H111" s="395"/>
      <c r="I111" s="396" t="e">
        <f t="shared" si="61"/>
        <v>#DIV/0!</v>
      </c>
      <c r="J111" s="395"/>
      <c r="K111" s="396" t="e">
        <f t="shared" ref="K111:K122" si="62">J111/G111</f>
        <v>#DIV/0!</v>
      </c>
      <c r="L111" s="395"/>
      <c r="M111" s="396" t="e">
        <f t="shared" ref="M111:M122" si="63">(H111+J111)/G111</f>
        <v>#DIV/0!</v>
      </c>
      <c r="N111" s="397"/>
      <c r="O111" s="395"/>
      <c r="P111" s="396" t="e">
        <f t="shared" si="56"/>
        <v>#DIV/0!</v>
      </c>
      <c r="Q111" s="398">
        <f t="shared" si="57"/>
        <v>0</v>
      </c>
      <c r="R111" s="396" t="e">
        <f t="shared" si="58"/>
        <v>#DIV/0!</v>
      </c>
      <c r="S111" s="399">
        <f t="shared" si="59"/>
        <v>0</v>
      </c>
      <c r="T111" s="400" t="s">
        <v>433</v>
      </c>
      <c r="U111" s="400"/>
      <c r="V111" s="401"/>
      <c r="W111" s="401"/>
      <c r="X111" s="401">
        <v>1</v>
      </c>
      <c r="Y111" s="402"/>
      <c r="AC111" s="406"/>
    </row>
    <row r="112" spans="2:34" s="150" customFormat="1" ht="27" customHeight="1">
      <c r="B112" s="812"/>
      <c r="C112" s="813"/>
      <c r="D112" s="390">
        <v>10</v>
      </c>
      <c r="E112" s="393"/>
      <c r="F112" s="394"/>
      <c r="G112" s="395"/>
      <c r="H112" s="395"/>
      <c r="I112" s="396" t="e">
        <f t="shared" si="61"/>
        <v>#DIV/0!</v>
      </c>
      <c r="J112" s="395"/>
      <c r="K112" s="396" t="e">
        <f t="shared" si="62"/>
        <v>#DIV/0!</v>
      </c>
      <c r="L112" s="395"/>
      <c r="M112" s="396" t="e">
        <f t="shared" si="63"/>
        <v>#DIV/0!</v>
      </c>
      <c r="N112" s="397"/>
      <c r="O112" s="395"/>
      <c r="P112" s="396" t="e">
        <f t="shared" si="56"/>
        <v>#DIV/0!</v>
      </c>
      <c r="Q112" s="398">
        <f t="shared" si="57"/>
        <v>0</v>
      </c>
      <c r="R112" s="396" t="e">
        <f t="shared" si="58"/>
        <v>#DIV/0!</v>
      </c>
      <c r="S112" s="399">
        <f t="shared" si="59"/>
        <v>0</v>
      </c>
      <c r="T112" s="400" t="s">
        <v>433</v>
      </c>
      <c r="U112" s="400"/>
      <c r="V112" s="401"/>
      <c r="W112" s="401"/>
      <c r="X112" s="401">
        <v>1</v>
      </c>
      <c r="Y112" s="402"/>
      <c r="AC112" s="406"/>
    </row>
    <row r="113" spans="2:34" s="150" customFormat="1" ht="27" customHeight="1">
      <c r="B113" s="812"/>
      <c r="C113" s="813"/>
      <c r="D113" s="390">
        <v>11</v>
      </c>
      <c r="E113" s="393"/>
      <c r="F113" s="394"/>
      <c r="G113" s="395"/>
      <c r="H113" s="395"/>
      <c r="I113" s="396" t="e">
        <f t="shared" si="61"/>
        <v>#DIV/0!</v>
      </c>
      <c r="J113" s="395"/>
      <c r="K113" s="396" t="e">
        <f t="shared" si="62"/>
        <v>#DIV/0!</v>
      </c>
      <c r="L113" s="395"/>
      <c r="M113" s="396" t="e">
        <f t="shared" si="63"/>
        <v>#DIV/0!</v>
      </c>
      <c r="N113" s="397"/>
      <c r="O113" s="395"/>
      <c r="P113" s="396" t="e">
        <f t="shared" si="56"/>
        <v>#DIV/0!</v>
      </c>
      <c r="Q113" s="398">
        <f t="shared" si="57"/>
        <v>0</v>
      </c>
      <c r="R113" s="396" t="e">
        <f t="shared" si="58"/>
        <v>#DIV/0!</v>
      </c>
      <c r="S113" s="399">
        <f t="shared" si="59"/>
        <v>0</v>
      </c>
      <c r="T113" s="400" t="s">
        <v>433</v>
      </c>
      <c r="U113" s="400"/>
      <c r="V113" s="401"/>
      <c r="W113" s="401"/>
      <c r="X113" s="401">
        <v>1</v>
      </c>
      <c r="Y113" s="402"/>
      <c r="AC113" s="406"/>
    </row>
    <row r="114" spans="2:34" s="150" customFormat="1" ht="27" customHeight="1">
      <c r="B114" s="812"/>
      <c r="C114" s="813"/>
      <c r="D114" s="390">
        <v>12</v>
      </c>
      <c r="E114" s="393"/>
      <c r="F114" s="394"/>
      <c r="G114" s="395"/>
      <c r="H114" s="395"/>
      <c r="I114" s="396" t="e">
        <f t="shared" si="61"/>
        <v>#DIV/0!</v>
      </c>
      <c r="J114" s="395"/>
      <c r="K114" s="396" t="e">
        <f t="shared" si="62"/>
        <v>#DIV/0!</v>
      </c>
      <c r="L114" s="395"/>
      <c r="M114" s="396" t="e">
        <f t="shared" si="63"/>
        <v>#DIV/0!</v>
      </c>
      <c r="N114" s="397"/>
      <c r="O114" s="395"/>
      <c r="P114" s="396" t="e">
        <f t="shared" si="56"/>
        <v>#DIV/0!</v>
      </c>
      <c r="Q114" s="398">
        <f t="shared" si="57"/>
        <v>0</v>
      </c>
      <c r="R114" s="396" t="e">
        <f t="shared" si="58"/>
        <v>#DIV/0!</v>
      </c>
      <c r="S114" s="399">
        <f t="shared" si="59"/>
        <v>0</v>
      </c>
      <c r="T114" s="400" t="s">
        <v>433</v>
      </c>
      <c r="U114" s="400"/>
      <c r="V114" s="401"/>
      <c r="W114" s="401"/>
      <c r="X114" s="401">
        <v>1</v>
      </c>
      <c r="Y114" s="402"/>
    </row>
    <row r="115" spans="2:34" s="150" customFormat="1" ht="27" customHeight="1">
      <c r="B115" s="812"/>
      <c r="C115" s="813"/>
      <c r="D115" s="390">
        <v>13</v>
      </c>
      <c r="E115" s="393"/>
      <c r="F115" s="394"/>
      <c r="G115" s="395"/>
      <c r="H115" s="395"/>
      <c r="I115" s="396" t="e">
        <f t="shared" si="61"/>
        <v>#DIV/0!</v>
      </c>
      <c r="J115" s="395"/>
      <c r="K115" s="396" t="e">
        <f t="shared" si="62"/>
        <v>#DIV/0!</v>
      </c>
      <c r="L115" s="395"/>
      <c r="M115" s="396" t="e">
        <f t="shared" si="63"/>
        <v>#DIV/0!</v>
      </c>
      <c r="N115" s="397"/>
      <c r="O115" s="395"/>
      <c r="P115" s="396" t="e">
        <f t="shared" si="56"/>
        <v>#DIV/0!</v>
      </c>
      <c r="Q115" s="398">
        <f t="shared" si="57"/>
        <v>0</v>
      </c>
      <c r="R115" s="396" t="e">
        <f t="shared" si="58"/>
        <v>#DIV/0!</v>
      </c>
      <c r="S115" s="399">
        <f t="shared" si="59"/>
        <v>0</v>
      </c>
      <c r="T115" s="400" t="s">
        <v>433</v>
      </c>
      <c r="U115" s="400"/>
      <c r="V115" s="401"/>
      <c r="W115" s="401"/>
      <c r="X115" s="401">
        <v>1</v>
      </c>
      <c r="Y115" s="402"/>
    </row>
    <row r="116" spans="2:34" s="150" customFormat="1" ht="27" customHeight="1">
      <c r="B116" s="812"/>
      <c r="C116" s="813"/>
      <c r="D116" s="390">
        <v>14</v>
      </c>
      <c r="E116" s="393"/>
      <c r="F116" s="394"/>
      <c r="G116" s="395"/>
      <c r="H116" s="395"/>
      <c r="I116" s="396" t="e">
        <f t="shared" si="61"/>
        <v>#DIV/0!</v>
      </c>
      <c r="J116" s="395"/>
      <c r="K116" s="396" t="e">
        <f t="shared" si="62"/>
        <v>#DIV/0!</v>
      </c>
      <c r="L116" s="395"/>
      <c r="M116" s="396" t="e">
        <f t="shared" si="63"/>
        <v>#DIV/0!</v>
      </c>
      <c r="N116" s="397"/>
      <c r="O116" s="395"/>
      <c r="P116" s="396" t="e">
        <f t="shared" si="56"/>
        <v>#DIV/0!</v>
      </c>
      <c r="Q116" s="398">
        <f t="shared" si="57"/>
        <v>0</v>
      </c>
      <c r="R116" s="396" t="e">
        <f t="shared" si="58"/>
        <v>#DIV/0!</v>
      </c>
      <c r="S116" s="399">
        <f t="shared" si="59"/>
        <v>0</v>
      </c>
      <c r="T116" s="400" t="s">
        <v>433</v>
      </c>
      <c r="U116" s="400"/>
      <c r="V116" s="401"/>
      <c r="W116" s="401"/>
      <c r="X116" s="401">
        <v>1</v>
      </c>
      <c r="Y116" s="402"/>
    </row>
    <row r="117" spans="2:34" s="150" customFormat="1" ht="27" customHeight="1">
      <c r="B117" s="812"/>
      <c r="C117" s="813"/>
      <c r="D117" s="390">
        <v>15</v>
      </c>
      <c r="E117" s="393"/>
      <c r="F117" s="394"/>
      <c r="G117" s="395"/>
      <c r="H117" s="395"/>
      <c r="I117" s="396" t="e">
        <f t="shared" si="61"/>
        <v>#DIV/0!</v>
      </c>
      <c r="J117" s="395"/>
      <c r="K117" s="396" t="e">
        <f t="shared" si="62"/>
        <v>#DIV/0!</v>
      </c>
      <c r="L117" s="395"/>
      <c r="M117" s="396" t="e">
        <f t="shared" si="63"/>
        <v>#DIV/0!</v>
      </c>
      <c r="N117" s="397"/>
      <c r="O117" s="395"/>
      <c r="P117" s="396" t="e">
        <f t="shared" si="56"/>
        <v>#DIV/0!</v>
      </c>
      <c r="Q117" s="398">
        <f t="shared" si="57"/>
        <v>0</v>
      </c>
      <c r="R117" s="396" t="e">
        <f t="shared" si="58"/>
        <v>#DIV/0!</v>
      </c>
      <c r="S117" s="399">
        <f t="shared" si="59"/>
        <v>0</v>
      </c>
      <c r="T117" s="400" t="s">
        <v>433</v>
      </c>
      <c r="U117" s="400"/>
      <c r="V117" s="400"/>
      <c r="W117" s="401"/>
      <c r="X117" s="401">
        <v>1</v>
      </c>
      <c r="Y117" s="402"/>
    </row>
    <row r="118" spans="2:34" s="150" customFormat="1" ht="27" customHeight="1">
      <c r="B118" s="812"/>
      <c r="C118" s="813"/>
      <c r="D118" s="390">
        <v>16</v>
      </c>
      <c r="E118" s="393"/>
      <c r="F118" s="394"/>
      <c r="G118" s="395"/>
      <c r="H118" s="395"/>
      <c r="I118" s="396" t="e">
        <f t="shared" si="61"/>
        <v>#DIV/0!</v>
      </c>
      <c r="J118" s="395"/>
      <c r="K118" s="396" t="e">
        <f t="shared" si="62"/>
        <v>#DIV/0!</v>
      </c>
      <c r="L118" s="395"/>
      <c r="M118" s="396" t="e">
        <f t="shared" si="63"/>
        <v>#DIV/0!</v>
      </c>
      <c r="N118" s="397"/>
      <c r="O118" s="395"/>
      <c r="P118" s="396" t="e">
        <f t="shared" si="56"/>
        <v>#DIV/0!</v>
      </c>
      <c r="Q118" s="398">
        <f t="shared" si="57"/>
        <v>0</v>
      </c>
      <c r="R118" s="396" t="e">
        <f t="shared" si="58"/>
        <v>#DIV/0!</v>
      </c>
      <c r="S118" s="399">
        <f t="shared" si="59"/>
        <v>0</v>
      </c>
      <c r="T118" s="400" t="s">
        <v>433</v>
      </c>
      <c r="U118" s="400"/>
      <c r="V118" s="401"/>
      <c r="W118" s="401"/>
      <c r="X118" s="401">
        <v>1</v>
      </c>
      <c r="Y118" s="402"/>
    </row>
    <row r="119" spans="2:34" s="150" customFormat="1" ht="27" customHeight="1">
      <c r="B119" s="812"/>
      <c r="C119" s="813"/>
      <c r="D119" s="390">
        <v>17</v>
      </c>
      <c r="E119" s="393"/>
      <c r="F119" s="394"/>
      <c r="G119" s="395"/>
      <c r="H119" s="395"/>
      <c r="I119" s="396" t="e">
        <f t="shared" si="61"/>
        <v>#DIV/0!</v>
      </c>
      <c r="J119" s="395"/>
      <c r="K119" s="396" t="e">
        <f t="shared" si="62"/>
        <v>#DIV/0!</v>
      </c>
      <c r="L119" s="395"/>
      <c r="M119" s="396" t="e">
        <f t="shared" si="63"/>
        <v>#DIV/0!</v>
      </c>
      <c r="N119" s="397"/>
      <c r="O119" s="395"/>
      <c r="P119" s="396" t="e">
        <f t="shared" si="56"/>
        <v>#DIV/0!</v>
      </c>
      <c r="Q119" s="398">
        <f t="shared" si="57"/>
        <v>0</v>
      </c>
      <c r="R119" s="396" t="e">
        <f t="shared" si="58"/>
        <v>#DIV/0!</v>
      </c>
      <c r="S119" s="399">
        <f t="shared" si="59"/>
        <v>0</v>
      </c>
      <c r="T119" s="400" t="s">
        <v>433</v>
      </c>
      <c r="U119" s="400"/>
      <c r="V119" s="401"/>
      <c r="W119" s="401"/>
      <c r="X119" s="401">
        <v>1</v>
      </c>
      <c r="Y119" s="402"/>
    </row>
    <row r="120" spans="2:34" s="150" customFormat="1" ht="27" customHeight="1">
      <c r="B120" s="812"/>
      <c r="C120" s="813"/>
      <c r="D120" s="390">
        <v>18</v>
      </c>
      <c r="E120" s="393"/>
      <c r="F120" s="394"/>
      <c r="G120" s="395"/>
      <c r="H120" s="395"/>
      <c r="I120" s="396" t="e">
        <f t="shared" si="61"/>
        <v>#DIV/0!</v>
      </c>
      <c r="J120" s="395"/>
      <c r="K120" s="396" t="e">
        <f t="shared" si="62"/>
        <v>#DIV/0!</v>
      </c>
      <c r="L120" s="395"/>
      <c r="M120" s="396" t="e">
        <f t="shared" si="63"/>
        <v>#DIV/0!</v>
      </c>
      <c r="N120" s="397"/>
      <c r="O120" s="395"/>
      <c r="P120" s="396" t="e">
        <f t="shared" si="56"/>
        <v>#DIV/0!</v>
      </c>
      <c r="Q120" s="398">
        <f t="shared" si="57"/>
        <v>0</v>
      </c>
      <c r="R120" s="396" t="e">
        <f t="shared" si="58"/>
        <v>#DIV/0!</v>
      </c>
      <c r="S120" s="399">
        <f t="shared" si="59"/>
        <v>0</v>
      </c>
      <c r="T120" s="400" t="s">
        <v>433</v>
      </c>
      <c r="U120" s="400"/>
      <c r="V120" s="425"/>
      <c r="W120" s="401"/>
      <c r="X120" s="401">
        <v>1</v>
      </c>
      <c r="Y120" s="402"/>
    </row>
    <row r="121" spans="2:34" s="150" customFormat="1" ht="27" customHeight="1">
      <c r="B121" s="812"/>
      <c r="C121" s="813"/>
      <c r="D121" s="390">
        <v>19</v>
      </c>
      <c r="E121" s="393"/>
      <c r="F121" s="394"/>
      <c r="G121" s="395"/>
      <c r="H121" s="395"/>
      <c r="I121" s="396" t="e">
        <f t="shared" si="61"/>
        <v>#DIV/0!</v>
      </c>
      <c r="J121" s="395"/>
      <c r="K121" s="396" t="e">
        <f t="shared" si="62"/>
        <v>#DIV/0!</v>
      </c>
      <c r="L121" s="395"/>
      <c r="M121" s="396" t="e">
        <f t="shared" si="63"/>
        <v>#DIV/0!</v>
      </c>
      <c r="N121" s="397"/>
      <c r="O121" s="395"/>
      <c r="P121" s="396" t="e">
        <f t="shared" si="56"/>
        <v>#DIV/0!</v>
      </c>
      <c r="Q121" s="398">
        <f t="shared" si="57"/>
        <v>0</v>
      </c>
      <c r="R121" s="396" t="e">
        <f t="shared" si="58"/>
        <v>#DIV/0!</v>
      </c>
      <c r="S121" s="399">
        <f t="shared" si="59"/>
        <v>0</v>
      </c>
      <c r="T121" s="400" t="s">
        <v>433</v>
      </c>
      <c r="U121" s="400"/>
      <c r="V121" s="401"/>
      <c r="W121" s="401"/>
      <c r="X121" s="401">
        <v>1</v>
      </c>
      <c r="Y121" s="402"/>
      <c r="AB121" s="409"/>
      <c r="AC121" s="406"/>
    </row>
    <row r="122" spans="2:34" s="150" customFormat="1" ht="27" customHeight="1">
      <c r="B122" s="814"/>
      <c r="C122" s="815"/>
      <c r="D122" s="390">
        <v>20</v>
      </c>
      <c r="E122" s="393"/>
      <c r="F122" s="394"/>
      <c r="G122" s="395"/>
      <c r="H122" s="395"/>
      <c r="I122" s="396" t="e">
        <f t="shared" si="61"/>
        <v>#DIV/0!</v>
      </c>
      <c r="J122" s="395"/>
      <c r="K122" s="396" t="e">
        <f t="shared" si="62"/>
        <v>#DIV/0!</v>
      </c>
      <c r="L122" s="395"/>
      <c r="M122" s="396" t="e">
        <f t="shared" si="63"/>
        <v>#DIV/0!</v>
      </c>
      <c r="N122" s="397"/>
      <c r="O122" s="395"/>
      <c r="P122" s="396" t="e">
        <f t="shared" si="56"/>
        <v>#DIV/0!</v>
      </c>
      <c r="Q122" s="398">
        <f t="shared" si="57"/>
        <v>0</v>
      </c>
      <c r="R122" s="396" t="e">
        <f t="shared" si="58"/>
        <v>#DIV/0!</v>
      </c>
      <c r="S122" s="399">
        <f t="shared" si="59"/>
        <v>0</v>
      </c>
      <c r="T122" s="400" t="s">
        <v>433</v>
      </c>
      <c r="U122" s="400"/>
      <c r="V122" s="401"/>
      <c r="W122" s="401"/>
      <c r="X122" s="401">
        <v>1</v>
      </c>
      <c r="Y122" s="402"/>
      <c r="AB122" s="409"/>
      <c r="AC122" s="406"/>
    </row>
    <row r="123" spans="2:34" ht="17.149999999999999" customHeight="1">
      <c r="B123" s="829" t="s">
        <v>489</v>
      </c>
      <c r="C123" s="830"/>
      <c r="D123" s="826" t="s">
        <v>172</v>
      </c>
      <c r="E123" s="826"/>
      <c r="F123" s="826"/>
      <c r="G123" s="826" t="s">
        <v>186</v>
      </c>
      <c r="H123" s="826"/>
      <c r="I123" s="826"/>
      <c r="J123" s="826"/>
      <c r="K123" s="826"/>
      <c r="L123" s="826"/>
      <c r="M123" s="826"/>
      <c r="N123" s="826"/>
      <c r="O123" s="826"/>
      <c r="P123" s="826"/>
      <c r="Q123" s="826"/>
      <c r="R123" s="826"/>
      <c r="S123" s="826"/>
      <c r="T123" s="826" t="s">
        <v>173</v>
      </c>
      <c r="U123" s="816" t="s">
        <v>248</v>
      </c>
      <c r="V123" s="835" t="s">
        <v>490</v>
      </c>
      <c r="W123" s="835" t="s">
        <v>491</v>
      </c>
      <c r="X123" s="838" t="s">
        <v>249</v>
      </c>
      <c r="Y123" s="827" t="s">
        <v>174</v>
      </c>
      <c r="AA123" s="816" t="s">
        <v>250</v>
      </c>
      <c r="AB123" s="817"/>
      <c r="AC123" s="817"/>
      <c r="AD123" s="817"/>
      <c r="AE123" s="817"/>
      <c r="AF123" s="817"/>
      <c r="AG123" s="817"/>
      <c r="AH123" s="818"/>
    </row>
    <row r="124" spans="2:34" ht="17.149999999999999" customHeight="1">
      <c r="B124" s="831"/>
      <c r="C124" s="832"/>
      <c r="D124" s="825" t="s">
        <v>171</v>
      </c>
      <c r="E124" s="826" t="s">
        <v>175</v>
      </c>
      <c r="F124" s="826"/>
      <c r="G124" s="826" t="s">
        <v>187</v>
      </c>
      <c r="H124" s="826"/>
      <c r="I124" s="826"/>
      <c r="J124" s="826"/>
      <c r="K124" s="826"/>
      <c r="L124" s="826"/>
      <c r="M124" s="826"/>
      <c r="N124" s="826"/>
      <c r="O124" s="826" t="s">
        <v>176</v>
      </c>
      <c r="P124" s="826"/>
      <c r="Q124" s="826"/>
      <c r="R124" s="826"/>
      <c r="S124" s="826"/>
      <c r="T124" s="826"/>
      <c r="U124" s="819"/>
      <c r="V124" s="836"/>
      <c r="W124" s="836"/>
      <c r="X124" s="839"/>
      <c r="Y124" s="827"/>
      <c r="AA124" s="819"/>
      <c r="AB124" s="820"/>
      <c r="AC124" s="820"/>
      <c r="AD124" s="820"/>
      <c r="AE124" s="820"/>
      <c r="AF124" s="820"/>
      <c r="AG124" s="820"/>
      <c r="AH124" s="821"/>
    </row>
    <row r="125" spans="2:34" ht="17.149999999999999" customHeight="1">
      <c r="B125" s="831"/>
      <c r="C125" s="832"/>
      <c r="D125" s="825"/>
      <c r="E125" s="825" t="s">
        <v>177</v>
      </c>
      <c r="F125" s="827" t="s">
        <v>251</v>
      </c>
      <c r="G125" s="828" t="s">
        <v>188</v>
      </c>
      <c r="H125" s="828"/>
      <c r="I125" s="828"/>
      <c r="J125" s="828"/>
      <c r="K125" s="828"/>
      <c r="L125" s="828"/>
      <c r="M125" s="828"/>
      <c r="N125" s="828"/>
      <c r="O125" s="828" t="s">
        <v>170</v>
      </c>
      <c r="P125" s="828"/>
      <c r="Q125" s="828" t="s">
        <v>178</v>
      </c>
      <c r="R125" s="828"/>
      <c r="S125" s="828"/>
      <c r="T125" s="826"/>
      <c r="U125" s="819"/>
      <c r="V125" s="836"/>
      <c r="W125" s="836"/>
      <c r="X125" s="839"/>
      <c r="Y125" s="827"/>
      <c r="AA125" s="822"/>
      <c r="AB125" s="823"/>
      <c r="AC125" s="823"/>
      <c r="AD125" s="823"/>
      <c r="AE125" s="823"/>
      <c r="AF125" s="823"/>
      <c r="AG125" s="823"/>
      <c r="AH125" s="824"/>
    </row>
    <row r="126" spans="2:34" ht="38.5" customHeight="1">
      <c r="B126" s="833"/>
      <c r="C126" s="834"/>
      <c r="D126" s="825"/>
      <c r="E126" s="825"/>
      <c r="F126" s="827"/>
      <c r="G126" s="391" t="s">
        <v>179</v>
      </c>
      <c r="H126" s="391" t="s">
        <v>255</v>
      </c>
      <c r="I126" s="391" t="s">
        <v>256</v>
      </c>
      <c r="J126" s="391" t="s">
        <v>180</v>
      </c>
      <c r="K126" s="391" t="s">
        <v>253</v>
      </c>
      <c r="L126" s="391" t="s">
        <v>181</v>
      </c>
      <c r="M126" s="391" t="s">
        <v>189</v>
      </c>
      <c r="N126" s="391" t="s">
        <v>182</v>
      </c>
      <c r="O126" s="392" t="s">
        <v>183</v>
      </c>
      <c r="P126" s="392" t="s">
        <v>184</v>
      </c>
      <c r="Q126" s="392" t="s">
        <v>183</v>
      </c>
      <c r="R126" s="392" t="s">
        <v>184</v>
      </c>
      <c r="S126" s="391" t="s">
        <v>185</v>
      </c>
      <c r="T126" s="826"/>
      <c r="U126" s="822"/>
      <c r="V126" s="837"/>
      <c r="W126" s="837"/>
      <c r="X126" s="840"/>
      <c r="Y126" s="827"/>
      <c r="AA126" s="163" t="s">
        <v>247</v>
      </c>
      <c r="AB126" s="163" t="s">
        <v>492</v>
      </c>
      <c r="AC126" s="158" t="s">
        <v>398</v>
      </c>
      <c r="AD126" s="158" t="s">
        <v>342</v>
      </c>
      <c r="AE126" s="158" t="s">
        <v>466</v>
      </c>
      <c r="AF126" s="158" t="s">
        <v>218</v>
      </c>
      <c r="AG126" s="158" t="s">
        <v>219</v>
      </c>
      <c r="AH126" s="158" t="s">
        <v>399</v>
      </c>
    </row>
    <row r="127" spans="2:34" s="150" customFormat="1" ht="27" customHeight="1">
      <c r="B127" s="810" t="s">
        <v>627</v>
      </c>
      <c r="C127" s="811"/>
      <c r="D127" s="390">
        <v>1</v>
      </c>
      <c r="E127" s="393"/>
      <c r="F127" s="394"/>
      <c r="G127" s="395"/>
      <c r="H127" s="395"/>
      <c r="I127" s="396" t="e">
        <f>H127/G127</f>
        <v>#DIV/0!</v>
      </c>
      <c r="J127" s="395"/>
      <c r="K127" s="396" t="e">
        <f>J127/G127</f>
        <v>#DIV/0!</v>
      </c>
      <c r="L127" s="395"/>
      <c r="M127" s="396" t="e">
        <f>(H127+J127)/G127</f>
        <v>#DIV/0!</v>
      </c>
      <c r="N127" s="397"/>
      <c r="O127" s="395"/>
      <c r="P127" s="396" t="e">
        <f>O127/G127</f>
        <v>#DIV/0!</v>
      </c>
      <c r="Q127" s="398">
        <f>((H127+J127)-G127)-O127</f>
        <v>0</v>
      </c>
      <c r="R127" s="396" t="e">
        <f>Q127/G127</f>
        <v>#DIV/0!</v>
      </c>
      <c r="S127" s="399">
        <f>Q127*L127</f>
        <v>0</v>
      </c>
      <c r="T127" s="400" t="s">
        <v>433</v>
      </c>
      <c r="U127" s="400"/>
      <c r="V127" s="401"/>
      <c r="W127" s="401"/>
      <c r="X127" s="401">
        <v>1</v>
      </c>
      <c r="Y127" s="402"/>
      <c r="Z127" s="403" t="s">
        <v>493</v>
      </c>
      <c r="AA127" s="413">
        <f>SUM(X127:X146)</f>
        <v>20</v>
      </c>
      <c r="AB127" s="405">
        <f>SUMIF($U$103:$U$122,TRIM(AB126),$X$103:$X$122)</f>
        <v>0</v>
      </c>
      <c r="AC127" s="405">
        <f t="shared" ref="AC127:AH127" si="64">SUMIF($U$103:$U$122,TRIM(AC126),$X$103:$X$122)</f>
        <v>0</v>
      </c>
      <c r="AD127" s="405">
        <f t="shared" si="64"/>
        <v>0</v>
      </c>
      <c r="AE127" s="405">
        <f t="shared" si="64"/>
        <v>0</v>
      </c>
      <c r="AF127" s="405">
        <f t="shared" si="64"/>
        <v>0</v>
      </c>
      <c r="AG127" s="405">
        <f t="shared" si="64"/>
        <v>0</v>
      </c>
      <c r="AH127" s="405">
        <f t="shared" si="64"/>
        <v>0</v>
      </c>
    </row>
    <row r="128" spans="2:34" s="150" customFormat="1" ht="27" customHeight="1">
      <c r="B128" s="812"/>
      <c r="C128" s="813"/>
      <c r="D128" s="390">
        <v>2</v>
      </c>
      <c r="E128" s="393"/>
      <c r="F128" s="394"/>
      <c r="G128" s="395"/>
      <c r="H128" s="395"/>
      <c r="I128" s="396" t="e">
        <f t="shared" ref="I128:I129" si="65">H128/G128</f>
        <v>#DIV/0!</v>
      </c>
      <c r="J128" s="395"/>
      <c r="K128" s="396" t="e">
        <f t="shared" ref="K128:K133" si="66">J128/G128</f>
        <v>#DIV/0!</v>
      </c>
      <c r="L128" s="395"/>
      <c r="M128" s="396" t="e">
        <f t="shared" ref="M128:M133" si="67">(H128+J128)/G128</f>
        <v>#DIV/0!</v>
      </c>
      <c r="N128" s="397"/>
      <c r="O128" s="395"/>
      <c r="P128" s="396" t="e">
        <f t="shared" ref="P128:P146" si="68">O128/G128</f>
        <v>#DIV/0!</v>
      </c>
      <c r="Q128" s="398">
        <f t="shared" ref="Q128:Q146" si="69">((H128+J128)-G128)-O128</f>
        <v>0</v>
      </c>
      <c r="R128" s="396" t="e">
        <f t="shared" ref="R128:R146" si="70">Q128/G128</f>
        <v>#DIV/0!</v>
      </c>
      <c r="S128" s="399">
        <f t="shared" ref="S128:S146" si="71">Q128*L128</f>
        <v>0</v>
      </c>
      <c r="T128" s="400" t="s">
        <v>433</v>
      </c>
      <c r="U128" s="400"/>
      <c r="V128" s="400"/>
      <c r="W128" s="401"/>
      <c r="X128" s="401">
        <v>1</v>
      </c>
      <c r="Y128" s="402"/>
      <c r="AA128" s="414"/>
      <c r="AB128" s="411">
        <f ca="1">SUMIF($U$103:$U146,TRIM(AB126),$F$103:$F$122)</f>
        <v>0</v>
      </c>
      <c r="AC128" s="411">
        <f ca="1">SUMIF($U$103:$U146,TRIM(AC126),$F$103:$F$122)</f>
        <v>0</v>
      </c>
      <c r="AD128" s="411">
        <f ca="1">SUMIF($U$103:$U146,TRIM(AD126),$F$103:$F$122)</f>
        <v>0</v>
      </c>
      <c r="AE128" s="411">
        <f ca="1">SUMIF($U$103:$U146,TRIM(AE126),$F$103:$F$122)</f>
        <v>0</v>
      </c>
      <c r="AF128" s="411">
        <f ca="1">SUMIF($U$103:$U146,TRIM(AF126),$F$103:$F$122)</f>
        <v>0</v>
      </c>
      <c r="AG128" s="411">
        <f ca="1">SUMIF($U$103:$U146,TRIM(AG126),$F$103:$F$122)</f>
        <v>0</v>
      </c>
      <c r="AH128" s="411">
        <f ca="1">SUMIF($U$103:$U146,TRIM(AH126),$F$103:$F$122)</f>
        <v>0</v>
      </c>
    </row>
    <row r="129" spans="2:34" s="150" customFormat="1" ht="27" customHeight="1">
      <c r="B129" s="812"/>
      <c r="C129" s="813"/>
      <c r="D129" s="390">
        <v>3</v>
      </c>
      <c r="E129" s="393"/>
      <c r="F129" s="394"/>
      <c r="G129" s="395"/>
      <c r="H129" s="395"/>
      <c r="I129" s="396" t="e">
        <f t="shared" si="65"/>
        <v>#DIV/0!</v>
      </c>
      <c r="J129" s="395"/>
      <c r="K129" s="396" t="e">
        <f t="shared" si="66"/>
        <v>#DIV/0!</v>
      </c>
      <c r="L129" s="395"/>
      <c r="M129" s="396" t="e">
        <f t="shared" si="67"/>
        <v>#DIV/0!</v>
      </c>
      <c r="N129" s="397"/>
      <c r="O129" s="395"/>
      <c r="P129" s="396" t="e">
        <f t="shared" si="68"/>
        <v>#DIV/0!</v>
      </c>
      <c r="Q129" s="398">
        <f t="shared" si="69"/>
        <v>0</v>
      </c>
      <c r="R129" s="396" t="e">
        <f t="shared" si="70"/>
        <v>#DIV/0!</v>
      </c>
      <c r="S129" s="399">
        <f t="shared" si="71"/>
        <v>0</v>
      </c>
      <c r="T129" s="400" t="s">
        <v>433</v>
      </c>
      <c r="U129" s="400"/>
      <c r="V129" s="401"/>
      <c r="W129" s="401"/>
      <c r="X129" s="401">
        <v>1</v>
      </c>
      <c r="Y129" s="402"/>
      <c r="AA129" s="390"/>
      <c r="AB129" s="412">
        <f>AB127/$AA127</f>
        <v>0</v>
      </c>
      <c r="AC129" s="412">
        <f t="shared" ref="AC129:AH129" si="72">AC127/$AA127</f>
        <v>0</v>
      </c>
      <c r="AD129" s="412">
        <f t="shared" si="72"/>
        <v>0</v>
      </c>
      <c r="AE129" s="412">
        <f t="shared" si="72"/>
        <v>0</v>
      </c>
      <c r="AF129" s="412">
        <f t="shared" si="72"/>
        <v>0</v>
      </c>
      <c r="AG129" s="412">
        <f t="shared" si="72"/>
        <v>0</v>
      </c>
      <c r="AH129" s="412">
        <f t="shared" si="72"/>
        <v>0</v>
      </c>
    </row>
    <row r="130" spans="2:34" s="150" customFormat="1" ht="27" customHeight="1">
      <c r="B130" s="812"/>
      <c r="C130" s="813"/>
      <c r="D130" s="390">
        <v>4</v>
      </c>
      <c r="E130" s="393"/>
      <c r="F130" s="394"/>
      <c r="G130" s="395"/>
      <c r="H130" s="395"/>
      <c r="I130" s="396" t="e">
        <f>H130/G130</f>
        <v>#DIV/0!</v>
      </c>
      <c r="J130" s="395"/>
      <c r="K130" s="396" t="e">
        <f t="shared" si="66"/>
        <v>#DIV/0!</v>
      </c>
      <c r="L130" s="395"/>
      <c r="M130" s="396" t="e">
        <f t="shared" si="67"/>
        <v>#DIV/0!</v>
      </c>
      <c r="N130" s="397"/>
      <c r="O130" s="395"/>
      <c r="P130" s="396" t="e">
        <f t="shared" si="68"/>
        <v>#DIV/0!</v>
      </c>
      <c r="Q130" s="398">
        <f t="shared" si="69"/>
        <v>0</v>
      </c>
      <c r="R130" s="396" t="e">
        <f t="shared" si="70"/>
        <v>#DIV/0!</v>
      </c>
      <c r="S130" s="399">
        <f t="shared" si="71"/>
        <v>0</v>
      </c>
      <c r="T130" s="400" t="s">
        <v>433</v>
      </c>
      <c r="U130" s="400"/>
      <c r="V130" s="401"/>
      <c r="W130" s="401"/>
      <c r="X130" s="401">
        <v>1</v>
      </c>
      <c r="Y130" s="402"/>
    </row>
    <row r="131" spans="2:34" s="150" customFormat="1" ht="27" customHeight="1">
      <c r="B131" s="812"/>
      <c r="C131" s="813"/>
      <c r="D131" s="390">
        <v>5</v>
      </c>
      <c r="E131" s="393"/>
      <c r="F131" s="394"/>
      <c r="G131" s="395"/>
      <c r="H131" s="395"/>
      <c r="I131" s="396" t="e">
        <f t="shared" ref="I131:I146" si="73">H131/G131</f>
        <v>#DIV/0!</v>
      </c>
      <c r="J131" s="395"/>
      <c r="K131" s="396" t="e">
        <f t="shared" si="66"/>
        <v>#DIV/0!</v>
      </c>
      <c r="L131" s="395"/>
      <c r="M131" s="396" t="e">
        <f t="shared" si="67"/>
        <v>#DIV/0!</v>
      </c>
      <c r="N131" s="397"/>
      <c r="O131" s="395"/>
      <c r="P131" s="396" t="e">
        <f t="shared" si="68"/>
        <v>#DIV/0!</v>
      </c>
      <c r="Q131" s="398">
        <f t="shared" si="69"/>
        <v>0</v>
      </c>
      <c r="R131" s="396" t="e">
        <f t="shared" si="70"/>
        <v>#DIV/0!</v>
      </c>
      <c r="S131" s="399">
        <f t="shared" si="71"/>
        <v>0</v>
      </c>
      <c r="T131" s="400" t="s">
        <v>433</v>
      </c>
      <c r="U131" s="400"/>
      <c r="V131" s="401"/>
      <c r="W131" s="401"/>
      <c r="X131" s="401">
        <v>1</v>
      </c>
      <c r="Y131" s="402"/>
    </row>
    <row r="132" spans="2:34" s="150" customFormat="1" ht="27" customHeight="1">
      <c r="B132" s="812"/>
      <c r="C132" s="813"/>
      <c r="D132" s="390">
        <v>6</v>
      </c>
      <c r="E132" s="393"/>
      <c r="F132" s="394"/>
      <c r="G132" s="395"/>
      <c r="H132" s="395"/>
      <c r="I132" s="396" t="e">
        <f t="shared" si="73"/>
        <v>#DIV/0!</v>
      </c>
      <c r="J132" s="395"/>
      <c r="K132" s="396" t="e">
        <f t="shared" si="66"/>
        <v>#DIV/0!</v>
      </c>
      <c r="L132" s="395"/>
      <c r="M132" s="396" t="e">
        <f t="shared" si="67"/>
        <v>#DIV/0!</v>
      </c>
      <c r="N132" s="397"/>
      <c r="O132" s="395"/>
      <c r="P132" s="396" t="e">
        <f t="shared" si="68"/>
        <v>#DIV/0!</v>
      </c>
      <c r="Q132" s="398">
        <f t="shared" si="69"/>
        <v>0</v>
      </c>
      <c r="R132" s="396" t="e">
        <f t="shared" si="70"/>
        <v>#DIV/0!</v>
      </c>
      <c r="S132" s="399">
        <f t="shared" si="71"/>
        <v>0</v>
      </c>
      <c r="T132" s="400" t="s">
        <v>433</v>
      </c>
      <c r="U132" s="400"/>
      <c r="V132" s="401"/>
      <c r="W132" s="401"/>
      <c r="X132" s="401">
        <v>1</v>
      </c>
      <c r="Y132" s="402"/>
    </row>
    <row r="133" spans="2:34" s="150" customFormat="1" ht="27" customHeight="1">
      <c r="B133" s="812"/>
      <c r="C133" s="813"/>
      <c r="D133" s="390">
        <v>7</v>
      </c>
      <c r="E133" s="393"/>
      <c r="F133" s="394"/>
      <c r="G133" s="395"/>
      <c r="H133" s="395"/>
      <c r="I133" s="396" t="e">
        <f t="shared" si="73"/>
        <v>#DIV/0!</v>
      </c>
      <c r="J133" s="395"/>
      <c r="K133" s="396" t="e">
        <f t="shared" si="66"/>
        <v>#DIV/0!</v>
      </c>
      <c r="L133" s="395"/>
      <c r="M133" s="396" t="e">
        <f t="shared" si="67"/>
        <v>#DIV/0!</v>
      </c>
      <c r="N133" s="397"/>
      <c r="O133" s="395"/>
      <c r="P133" s="396" t="e">
        <f t="shared" si="68"/>
        <v>#DIV/0!</v>
      </c>
      <c r="Q133" s="398">
        <f t="shared" si="69"/>
        <v>0</v>
      </c>
      <c r="R133" s="396" t="e">
        <f t="shared" si="70"/>
        <v>#DIV/0!</v>
      </c>
      <c r="S133" s="399">
        <f t="shared" si="71"/>
        <v>0</v>
      </c>
      <c r="T133" s="400" t="s">
        <v>433</v>
      </c>
      <c r="U133" s="400"/>
      <c r="V133" s="401"/>
      <c r="W133" s="401"/>
      <c r="X133" s="401">
        <v>1</v>
      </c>
      <c r="Y133" s="402"/>
      <c r="AC133" s="406"/>
    </row>
    <row r="134" spans="2:34" s="150" customFormat="1" ht="27" customHeight="1">
      <c r="B134" s="812"/>
      <c r="C134" s="813"/>
      <c r="D134" s="390">
        <v>8</v>
      </c>
      <c r="E134" s="393"/>
      <c r="F134" s="394"/>
      <c r="G134" s="395"/>
      <c r="H134" s="395"/>
      <c r="I134" s="396" t="e">
        <f t="shared" si="73"/>
        <v>#DIV/0!</v>
      </c>
      <c r="J134" s="395"/>
      <c r="K134" s="396" t="e">
        <f>J134/G134</f>
        <v>#DIV/0!</v>
      </c>
      <c r="L134" s="395"/>
      <c r="M134" s="396" t="e">
        <f>(H134+J134)/G134</f>
        <v>#DIV/0!</v>
      </c>
      <c r="N134" s="397"/>
      <c r="O134" s="395"/>
      <c r="P134" s="396" t="e">
        <f t="shared" si="68"/>
        <v>#DIV/0!</v>
      </c>
      <c r="Q134" s="398">
        <f t="shared" si="69"/>
        <v>0</v>
      </c>
      <c r="R134" s="396" t="e">
        <f t="shared" si="70"/>
        <v>#DIV/0!</v>
      </c>
      <c r="S134" s="399">
        <f t="shared" si="71"/>
        <v>0</v>
      </c>
      <c r="T134" s="400" t="s">
        <v>433</v>
      </c>
      <c r="U134" s="400"/>
      <c r="V134" s="438"/>
      <c r="W134" s="401"/>
      <c r="X134" s="401">
        <v>1</v>
      </c>
      <c r="Y134" s="402"/>
      <c r="AC134" s="406"/>
    </row>
    <row r="135" spans="2:34" s="150" customFormat="1" ht="27" customHeight="1">
      <c r="B135" s="812"/>
      <c r="C135" s="813"/>
      <c r="D135" s="390">
        <v>9</v>
      </c>
      <c r="E135" s="393"/>
      <c r="F135" s="394"/>
      <c r="G135" s="395"/>
      <c r="H135" s="395"/>
      <c r="I135" s="396" t="e">
        <f t="shared" si="73"/>
        <v>#DIV/0!</v>
      </c>
      <c r="J135" s="395"/>
      <c r="K135" s="396" t="e">
        <f t="shared" ref="K135:K146" si="74">J135/G135</f>
        <v>#DIV/0!</v>
      </c>
      <c r="L135" s="395"/>
      <c r="M135" s="396" t="e">
        <f t="shared" ref="M135:M146" si="75">(H135+J135)/G135</f>
        <v>#DIV/0!</v>
      </c>
      <c r="N135" s="397"/>
      <c r="O135" s="395"/>
      <c r="P135" s="396" t="e">
        <f t="shared" si="68"/>
        <v>#DIV/0!</v>
      </c>
      <c r="Q135" s="398">
        <f t="shared" si="69"/>
        <v>0</v>
      </c>
      <c r="R135" s="396" t="e">
        <f t="shared" si="70"/>
        <v>#DIV/0!</v>
      </c>
      <c r="S135" s="399">
        <f t="shared" si="71"/>
        <v>0</v>
      </c>
      <c r="T135" s="400" t="s">
        <v>433</v>
      </c>
      <c r="U135" s="400"/>
      <c r="V135" s="401"/>
      <c r="W135" s="401"/>
      <c r="X135" s="401">
        <v>1</v>
      </c>
      <c r="Y135" s="402"/>
      <c r="AC135" s="406"/>
    </row>
    <row r="136" spans="2:34" s="150" customFormat="1" ht="27" customHeight="1">
      <c r="B136" s="812"/>
      <c r="C136" s="813"/>
      <c r="D136" s="390">
        <v>10</v>
      </c>
      <c r="E136" s="393"/>
      <c r="F136" s="394"/>
      <c r="G136" s="395"/>
      <c r="H136" s="395"/>
      <c r="I136" s="396" t="e">
        <f t="shared" si="73"/>
        <v>#DIV/0!</v>
      </c>
      <c r="J136" s="395"/>
      <c r="K136" s="396" t="e">
        <f t="shared" si="74"/>
        <v>#DIV/0!</v>
      </c>
      <c r="L136" s="395"/>
      <c r="M136" s="396" t="e">
        <f t="shared" si="75"/>
        <v>#DIV/0!</v>
      </c>
      <c r="N136" s="397"/>
      <c r="O136" s="395"/>
      <c r="P136" s="396" t="e">
        <f t="shared" si="68"/>
        <v>#DIV/0!</v>
      </c>
      <c r="Q136" s="398">
        <f t="shared" si="69"/>
        <v>0</v>
      </c>
      <c r="R136" s="396" t="e">
        <f t="shared" si="70"/>
        <v>#DIV/0!</v>
      </c>
      <c r="S136" s="399">
        <f t="shared" si="71"/>
        <v>0</v>
      </c>
      <c r="T136" s="400" t="s">
        <v>433</v>
      </c>
      <c r="U136" s="400"/>
      <c r="V136" s="401"/>
      <c r="W136" s="401"/>
      <c r="X136" s="401">
        <v>1</v>
      </c>
      <c r="Y136" s="402"/>
      <c r="AC136" s="406"/>
    </row>
    <row r="137" spans="2:34" s="150" customFormat="1" ht="27" customHeight="1">
      <c r="B137" s="812"/>
      <c r="C137" s="813"/>
      <c r="D137" s="390">
        <v>11</v>
      </c>
      <c r="E137" s="393"/>
      <c r="F137" s="394"/>
      <c r="G137" s="395"/>
      <c r="H137" s="395"/>
      <c r="I137" s="396" t="e">
        <f t="shared" si="73"/>
        <v>#DIV/0!</v>
      </c>
      <c r="J137" s="395"/>
      <c r="K137" s="396" t="e">
        <f t="shared" si="74"/>
        <v>#DIV/0!</v>
      </c>
      <c r="L137" s="395"/>
      <c r="M137" s="396" t="e">
        <f t="shared" si="75"/>
        <v>#DIV/0!</v>
      </c>
      <c r="N137" s="397"/>
      <c r="O137" s="395"/>
      <c r="P137" s="396" t="e">
        <f t="shared" si="68"/>
        <v>#DIV/0!</v>
      </c>
      <c r="Q137" s="398">
        <f t="shared" si="69"/>
        <v>0</v>
      </c>
      <c r="R137" s="396" t="e">
        <f t="shared" si="70"/>
        <v>#DIV/0!</v>
      </c>
      <c r="S137" s="399">
        <f t="shared" si="71"/>
        <v>0</v>
      </c>
      <c r="T137" s="400" t="s">
        <v>433</v>
      </c>
      <c r="U137" s="400"/>
      <c r="V137" s="401"/>
      <c r="W137" s="401"/>
      <c r="X137" s="401">
        <v>1</v>
      </c>
      <c r="Y137" s="402"/>
      <c r="AC137" s="406"/>
    </row>
    <row r="138" spans="2:34" s="150" customFormat="1" ht="27" customHeight="1">
      <c r="B138" s="812"/>
      <c r="C138" s="813"/>
      <c r="D138" s="390">
        <v>12</v>
      </c>
      <c r="E138" s="393"/>
      <c r="F138" s="394"/>
      <c r="G138" s="395"/>
      <c r="H138" s="395"/>
      <c r="I138" s="396" t="e">
        <f t="shared" si="73"/>
        <v>#DIV/0!</v>
      </c>
      <c r="J138" s="395"/>
      <c r="K138" s="396" t="e">
        <f t="shared" si="74"/>
        <v>#DIV/0!</v>
      </c>
      <c r="L138" s="395"/>
      <c r="M138" s="396" t="e">
        <f t="shared" si="75"/>
        <v>#DIV/0!</v>
      </c>
      <c r="N138" s="397"/>
      <c r="O138" s="395"/>
      <c r="P138" s="396" t="e">
        <f t="shared" si="68"/>
        <v>#DIV/0!</v>
      </c>
      <c r="Q138" s="398">
        <f t="shared" si="69"/>
        <v>0</v>
      </c>
      <c r="R138" s="396" t="e">
        <f t="shared" si="70"/>
        <v>#DIV/0!</v>
      </c>
      <c r="S138" s="399">
        <f t="shared" si="71"/>
        <v>0</v>
      </c>
      <c r="T138" s="400" t="s">
        <v>433</v>
      </c>
      <c r="U138" s="400"/>
      <c r="V138" s="401"/>
      <c r="W138" s="401"/>
      <c r="X138" s="401">
        <v>1</v>
      </c>
      <c r="Y138" s="402"/>
      <c r="AA138" s="816" t="s">
        <v>250</v>
      </c>
      <c r="AB138" s="817"/>
      <c r="AC138" s="817"/>
      <c r="AD138" s="817"/>
      <c r="AE138" s="817"/>
      <c r="AF138" s="817"/>
      <c r="AG138" s="817"/>
      <c r="AH138" s="818"/>
    </row>
    <row r="139" spans="2:34" s="150" customFormat="1" ht="27" customHeight="1">
      <c r="B139" s="812"/>
      <c r="C139" s="813"/>
      <c r="D139" s="390">
        <v>13</v>
      </c>
      <c r="E139" s="393"/>
      <c r="F139" s="394"/>
      <c r="G139" s="395"/>
      <c r="H139" s="395"/>
      <c r="I139" s="396" t="e">
        <f t="shared" si="73"/>
        <v>#DIV/0!</v>
      </c>
      <c r="J139" s="395"/>
      <c r="K139" s="396" t="e">
        <f t="shared" si="74"/>
        <v>#DIV/0!</v>
      </c>
      <c r="L139" s="395"/>
      <c r="M139" s="396" t="e">
        <f t="shared" si="75"/>
        <v>#DIV/0!</v>
      </c>
      <c r="N139" s="397"/>
      <c r="O139" s="395"/>
      <c r="P139" s="396" t="e">
        <f t="shared" si="68"/>
        <v>#DIV/0!</v>
      </c>
      <c r="Q139" s="398">
        <f t="shared" si="69"/>
        <v>0</v>
      </c>
      <c r="R139" s="396" t="e">
        <f t="shared" si="70"/>
        <v>#DIV/0!</v>
      </c>
      <c r="S139" s="399">
        <f t="shared" si="71"/>
        <v>0</v>
      </c>
      <c r="T139" s="400" t="s">
        <v>433</v>
      </c>
      <c r="U139" s="400"/>
      <c r="V139" s="401"/>
      <c r="W139" s="401"/>
      <c r="X139" s="401">
        <v>1</v>
      </c>
      <c r="Y139" s="402"/>
      <c r="AA139" s="819"/>
      <c r="AB139" s="820"/>
      <c r="AC139" s="820"/>
      <c r="AD139" s="820"/>
      <c r="AE139" s="820"/>
      <c r="AF139" s="820"/>
      <c r="AG139" s="820"/>
      <c r="AH139" s="821"/>
    </row>
    <row r="140" spans="2:34" s="150" customFormat="1" ht="27" customHeight="1">
      <c r="B140" s="812"/>
      <c r="C140" s="813"/>
      <c r="D140" s="390">
        <v>14</v>
      </c>
      <c r="E140" s="393"/>
      <c r="F140" s="394"/>
      <c r="G140" s="395"/>
      <c r="H140" s="395"/>
      <c r="I140" s="396" t="e">
        <f t="shared" si="73"/>
        <v>#DIV/0!</v>
      </c>
      <c r="J140" s="395"/>
      <c r="K140" s="396" t="e">
        <f t="shared" si="74"/>
        <v>#DIV/0!</v>
      </c>
      <c r="L140" s="395"/>
      <c r="M140" s="396" t="e">
        <f t="shared" si="75"/>
        <v>#DIV/0!</v>
      </c>
      <c r="N140" s="397"/>
      <c r="O140" s="395"/>
      <c r="P140" s="396" t="e">
        <f t="shared" si="68"/>
        <v>#DIV/0!</v>
      </c>
      <c r="Q140" s="398">
        <f t="shared" si="69"/>
        <v>0</v>
      </c>
      <c r="R140" s="396" t="e">
        <f t="shared" si="70"/>
        <v>#DIV/0!</v>
      </c>
      <c r="S140" s="399">
        <f t="shared" si="71"/>
        <v>0</v>
      </c>
      <c r="T140" s="400" t="s">
        <v>433</v>
      </c>
      <c r="U140" s="400"/>
      <c r="V140" s="401"/>
      <c r="W140" s="401"/>
      <c r="X140" s="401">
        <v>1</v>
      </c>
      <c r="Y140" s="402"/>
      <c r="AA140" s="822"/>
      <c r="AB140" s="823"/>
      <c r="AC140" s="823"/>
      <c r="AD140" s="823"/>
      <c r="AE140" s="823"/>
      <c r="AF140" s="823"/>
      <c r="AG140" s="823"/>
      <c r="AH140" s="824"/>
    </row>
    <row r="141" spans="2:34" s="150" customFormat="1" ht="27" customHeight="1">
      <c r="B141" s="812"/>
      <c r="C141" s="813"/>
      <c r="D141" s="390">
        <v>15</v>
      </c>
      <c r="E141" s="393"/>
      <c r="F141" s="394"/>
      <c r="G141" s="395"/>
      <c r="H141" s="395"/>
      <c r="I141" s="396" t="e">
        <f t="shared" si="73"/>
        <v>#DIV/0!</v>
      </c>
      <c r="J141" s="395"/>
      <c r="K141" s="396" t="e">
        <f t="shared" si="74"/>
        <v>#DIV/0!</v>
      </c>
      <c r="L141" s="395"/>
      <c r="M141" s="396" t="e">
        <f t="shared" si="75"/>
        <v>#DIV/0!</v>
      </c>
      <c r="N141" s="397"/>
      <c r="O141" s="395"/>
      <c r="P141" s="396" t="e">
        <f t="shared" si="68"/>
        <v>#DIV/0!</v>
      </c>
      <c r="Q141" s="398">
        <f t="shared" si="69"/>
        <v>0</v>
      </c>
      <c r="R141" s="396" t="e">
        <f t="shared" si="70"/>
        <v>#DIV/0!</v>
      </c>
      <c r="S141" s="399">
        <f t="shared" si="71"/>
        <v>0</v>
      </c>
      <c r="T141" s="400" t="s">
        <v>433</v>
      </c>
      <c r="U141" s="400"/>
      <c r="V141" s="400"/>
      <c r="W141" s="401"/>
      <c r="X141" s="401">
        <v>1</v>
      </c>
      <c r="Y141" s="402"/>
      <c r="AA141" s="163" t="s">
        <v>247</v>
      </c>
      <c r="AB141" s="163" t="s">
        <v>492</v>
      </c>
      <c r="AC141" s="158" t="s">
        <v>398</v>
      </c>
      <c r="AD141" s="158" t="s">
        <v>342</v>
      </c>
      <c r="AE141" s="158" t="s">
        <v>466</v>
      </c>
      <c r="AF141" s="158" t="s">
        <v>218</v>
      </c>
      <c r="AG141" s="158" t="s">
        <v>219</v>
      </c>
      <c r="AH141" s="158" t="s">
        <v>399</v>
      </c>
    </row>
    <row r="142" spans="2:34" s="150" customFormat="1" ht="27" customHeight="1">
      <c r="B142" s="812"/>
      <c r="C142" s="813"/>
      <c r="D142" s="390">
        <v>16</v>
      </c>
      <c r="E142" s="393"/>
      <c r="F142" s="394"/>
      <c r="G142" s="395"/>
      <c r="H142" s="395"/>
      <c r="I142" s="396" t="e">
        <f t="shared" si="73"/>
        <v>#DIV/0!</v>
      </c>
      <c r="J142" s="395"/>
      <c r="K142" s="396" t="e">
        <f t="shared" si="74"/>
        <v>#DIV/0!</v>
      </c>
      <c r="L142" s="395"/>
      <c r="M142" s="396" t="e">
        <f t="shared" si="75"/>
        <v>#DIV/0!</v>
      </c>
      <c r="N142" s="397"/>
      <c r="O142" s="395"/>
      <c r="P142" s="396" t="e">
        <f t="shared" si="68"/>
        <v>#DIV/0!</v>
      </c>
      <c r="Q142" s="398">
        <f t="shared" si="69"/>
        <v>0</v>
      </c>
      <c r="R142" s="396" t="e">
        <f t="shared" si="70"/>
        <v>#DIV/0!</v>
      </c>
      <c r="S142" s="399">
        <f t="shared" si="71"/>
        <v>0</v>
      </c>
      <c r="T142" s="400" t="s">
        <v>433</v>
      </c>
      <c r="U142" s="400"/>
      <c r="V142" s="401"/>
      <c r="W142" s="401"/>
      <c r="X142" s="401">
        <v>1</v>
      </c>
      <c r="Y142" s="402"/>
      <c r="Z142" s="452" t="s">
        <v>604</v>
      </c>
      <c r="AA142" s="413">
        <f>AA31+AA55+AA79+AA103+AA127</f>
        <v>100</v>
      </c>
      <c r="AB142" s="413">
        <f>AB31+AB55+AB79+AB103+AB127</f>
        <v>15</v>
      </c>
      <c r="AC142" s="413">
        <f t="shared" ref="AC142:AH143" si="76">AC31+AC55+AC79+AC103+AC127</f>
        <v>0</v>
      </c>
      <c r="AD142" s="413">
        <f t="shared" si="76"/>
        <v>3</v>
      </c>
      <c r="AE142" s="413">
        <f t="shared" si="76"/>
        <v>0</v>
      </c>
      <c r="AF142" s="413">
        <f t="shared" si="76"/>
        <v>1</v>
      </c>
      <c r="AG142" s="413">
        <f t="shared" si="76"/>
        <v>1</v>
      </c>
      <c r="AH142" s="413">
        <f t="shared" si="76"/>
        <v>0</v>
      </c>
    </row>
    <row r="143" spans="2:34" s="150" customFormat="1" ht="27" customHeight="1">
      <c r="B143" s="812"/>
      <c r="C143" s="813"/>
      <c r="D143" s="390">
        <v>17</v>
      </c>
      <c r="E143" s="393"/>
      <c r="F143" s="394"/>
      <c r="G143" s="395"/>
      <c r="H143" s="395"/>
      <c r="I143" s="396" t="e">
        <f t="shared" si="73"/>
        <v>#DIV/0!</v>
      </c>
      <c r="J143" s="395"/>
      <c r="K143" s="396" t="e">
        <f t="shared" si="74"/>
        <v>#DIV/0!</v>
      </c>
      <c r="L143" s="395"/>
      <c r="M143" s="396" t="e">
        <f t="shared" si="75"/>
        <v>#DIV/0!</v>
      </c>
      <c r="N143" s="397"/>
      <c r="O143" s="395"/>
      <c r="P143" s="396" t="e">
        <f t="shared" si="68"/>
        <v>#DIV/0!</v>
      </c>
      <c r="Q143" s="398">
        <f t="shared" si="69"/>
        <v>0</v>
      </c>
      <c r="R143" s="396" t="e">
        <f t="shared" si="70"/>
        <v>#DIV/0!</v>
      </c>
      <c r="S143" s="399">
        <f t="shared" si="71"/>
        <v>0</v>
      </c>
      <c r="T143" s="400" t="s">
        <v>433</v>
      </c>
      <c r="U143" s="400"/>
      <c r="V143" s="401"/>
      <c r="W143" s="401"/>
      <c r="X143" s="401">
        <v>1</v>
      </c>
      <c r="Y143" s="402"/>
      <c r="AA143" s="414"/>
      <c r="AB143" s="411">
        <f ca="1">AB32+AB56+AB80+AB104+AB128</f>
        <v>15620.086900000002</v>
      </c>
      <c r="AC143" s="411">
        <f t="shared" ca="1" si="76"/>
        <v>0</v>
      </c>
      <c r="AD143" s="411">
        <f t="shared" ca="1" si="76"/>
        <v>3526.3887999999997</v>
      </c>
      <c r="AE143" s="411">
        <f t="shared" ca="1" si="76"/>
        <v>0</v>
      </c>
      <c r="AF143" s="411">
        <f t="shared" ca="1" si="76"/>
        <v>1092.48</v>
      </c>
      <c r="AG143" s="411">
        <f t="shared" ca="1" si="76"/>
        <v>1282.3499999999999</v>
      </c>
      <c r="AH143" s="411">
        <f t="shared" ca="1" si="76"/>
        <v>0</v>
      </c>
    </row>
    <row r="144" spans="2:34" s="150" customFormat="1" ht="27" customHeight="1">
      <c r="B144" s="812"/>
      <c r="C144" s="813"/>
      <c r="D144" s="390">
        <v>18</v>
      </c>
      <c r="E144" s="393"/>
      <c r="F144" s="394"/>
      <c r="G144" s="395"/>
      <c r="H144" s="395"/>
      <c r="I144" s="396" t="e">
        <f t="shared" si="73"/>
        <v>#DIV/0!</v>
      </c>
      <c r="J144" s="395"/>
      <c r="K144" s="396" t="e">
        <f t="shared" si="74"/>
        <v>#DIV/0!</v>
      </c>
      <c r="L144" s="395"/>
      <c r="M144" s="396" t="e">
        <f t="shared" si="75"/>
        <v>#DIV/0!</v>
      </c>
      <c r="N144" s="397"/>
      <c r="O144" s="395"/>
      <c r="P144" s="396" t="e">
        <f t="shared" si="68"/>
        <v>#DIV/0!</v>
      </c>
      <c r="Q144" s="398">
        <f t="shared" si="69"/>
        <v>0</v>
      </c>
      <c r="R144" s="396" t="e">
        <f t="shared" si="70"/>
        <v>#DIV/0!</v>
      </c>
      <c r="S144" s="399">
        <f t="shared" si="71"/>
        <v>0</v>
      </c>
      <c r="T144" s="400" t="s">
        <v>433</v>
      </c>
      <c r="U144" s="400"/>
      <c r="V144" s="425"/>
      <c r="W144" s="401"/>
      <c r="X144" s="401">
        <v>1</v>
      </c>
      <c r="Y144" s="402"/>
      <c r="AA144" s="390"/>
      <c r="AB144" s="412">
        <f>AB142/$AA142</f>
        <v>0.15</v>
      </c>
      <c r="AC144" s="412">
        <f t="shared" ref="AC144:AH144" si="77">AC142/$AA142</f>
        <v>0</v>
      </c>
      <c r="AD144" s="412">
        <f t="shared" si="77"/>
        <v>0.03</v>
      </c>
      <c r="AE144" s="412">
        <f t="shared" si="77"/>
        <v>0</v>
      </c>
      <c r="AF144" s="412">
        <f t="shared" si="77"/>
        <v>0.01</v>
      </c>
      <c r="AG144" s="412">
        <f t="shared" si="77"/>
        <v>0.01</v>
      </c>
      <c r="AH144" s="412">
        <f t="shared" si="77"/>
        <v>0</v>
      </c>
    </row>
    <row r="145" spans="2:29" s="150" customFormat="1" ht="27" customHeight="1">
      <c r="B145" s="812"/>
      <c r="C145" s="813"/>
      <c r="D145" s="390">
        <v>19</v>
      </c>
      <c r="E145" s="393"/>
      <c r="F145" s="394"/>
      <c r="G145" s="395"/>
      <c r="H145" s="395"/>
      <c r="I145" s="396" t="e">
        <f t="shared" si="73"/>
        <v>#DIV/0!</v>
      </c>
      <c r="J145" s="395"/>
      <c r="K145" s="396" t="e">
        <f t="shared" si="74"/>
        <v>#DIV/0!</v>
      </c>
      <c r="L145" s="395"/>
      <c r="M145" s="396" t="e">
        <f t="shared" si="75"/>
        <v>#DIV/0!</v>
      </c>
      <c r="N145" s="397"/>
      <c r="O145" s="395"/>
      <c r="P145" s="396" t="e">
        <f t="shared" si="68"/>
        <v>#DIV/0!</v>
      </c>
      <c r="Q145" s="398">
        <f t="shared" si="69"/>
        <v>0</v>
      </c>
      <c r="R145" s="396" t="e">
        <f t="shared" si="70"/>
        <v>#DIV/0!</v>
      </c>
      <c r="S145" s="399">
        <f t="shared" si="71"/>
        <v>0</v>
      </c>
      <c r="T145" s="400" t="s">
        <v>433</v>
      </c>
      <c r="U145" s="400"/>
      <c r="V145" s="401"/>
      <c r="W145" s="401"/>
      <c r="X145" s="401">
        <v>1</v>
      </c>
      <c r="Y145" s="402"/>
      <c r="AB145" s="409"/>
      <c r="AC145" s="406"/>
    </row>
    <row r="146" spans="2:29" s="150" customFormat="1" ht="27" customHeight="1">
      <c r="B146" s="814"/>
      <c r="C146" s="815"/>
      <c r="D146" s="390">
        <v>20</v>
      </c>
      <c r="E146" s="393"/>
      <c r="F146" s="394"/>
      <c r="G146" s="395"/>
      <c r="H146" s="395"/>
      <c r="I146" s="396" t="e">
        <f t="shared" si="73"/>
        <v>#DIV/0!</v>
      </c>
      <c r="J146" s="395"/>
      <c r="K146" s="396" t="e">
        <f t="shared" si="74"/>
        <v>#DIV/0!</v>
      </c>
      <c r="L146" s="395"/>
      <c r="M146" s="396" t="e">
        <f t="shared" si="75"/>
        <v>#DIV/0!</v>
      </c>
      <c r="N146" s="397"/>
      <c r="O146" s="395"/>
      <c r="P146" s="396" t="e">
        <f t="shared" si="68"/>
        <v>#DIV/0!</v>
      </c>
      <c r="Q146" s="398">
        <f t="shared" si="69"/>
        <v>0</v>
      </c>
      <c r="R146" s="396" t="e">
        <f t="shared" si="70"/>
        <v>#DIV/0!</v>
      </c>
      <c r="S146" s="399">
        <f t="shared" si="71"/>
        <v>0</v>
      </c>
      <c r="T146" s="400" t="s">
        <v>433</v>
      </c>
      <c r="U146" s="400"/>
      <c r="V146" s="401"/>
      <c r="W146" s="401"/>
      <c r="X146" s="401">
        <v>1</v>
      </c>
      <c r="Y146" s="402"/>
      <c r="AB146" s="409"/>
      <c r="AC146" s="406"/>
    </row>
    <row r="150" spans="2:29" ht="14.15" customHeight="1"/>
    <row r="160" spans="2:29" ht="14.15" customHeight="1"/>
    <row r="170" ht="14.15" customHeight="1"/>
    <row r="180" ht="14.15" customHeight="1"/>
    <row r="190" ht="14.15" customHeight="1"/>
    <row r="200" ht="14.15" customHeight="1"/>
  </sheetData>
  <mergeCells count="122">
    <mergeCell ref="B103:C122"/>
    <mergeCell ref="V99:V102"/>
    <mergeCell ref="W99:W102"/>
    <mergeCell ref="X99:X102"/>
    <mergeCell ref="Y99:Y102"/>
    <mergeCell ref="AA99:AH101"/>
    <mergeCell ref="B99:C102"/>
    <mergeCell ref="D99:F99"/>
    <mergeCell ref="G99:S99"/>
    <mergeCell ref="T99:T102"/>
    <mergeCell ref="U99:U102"/>
    <mergeCell ref="D100:D102"/>
    <mergeCell ref="E100:F100"/>
    <mergeCell ref="G100:N100"/>
    <mergeCell ref="O100:S100"/>
    <mergeCell ref="E101:E102"/>
    <mergeCell ref="F101:F102"/>
    <mergeCell ref="G101:N101"/>
    <mergeCell ref="O101:P101"/>
    <mergeCell ref="Q101:S101"/>
    <mergeCell ref="B31:C50"/>
    <mergeCell ref="Y27:Y30"/>
    <mergeCell ref="D28:D30"/>
    <mergeCell ref="E28:F28"/>
    <mergeCell ref="G28:N28"/>
    <mergeCell ref="O28:S28"/>
    <mergeCell ref="E29:E30"/>
    <mergeCell ref="F29:F30"/>
    <mergeCell ref="G29:N29"/>
    <mergeCell ref="O29:P29"/>
    <mergeCell ref="Q29:S29"/>
    <mergeCell ref="T27:T30"/>
    <mergeCell ref="U27:U30"/>
    <mergeCell ref="V27:V30"/>
    <mergeCell ref="W27:W30"/>
    <mergeCell ref="X27:X30"/>
    <mergeCell ref="B27:C30"/>
    <mergeCell ref="D27:F27"/>
    <mergeCell ref="G27:S27"/>
    <mergeCell ref="AA27:AH29"/>
    <mergeCell ref="B2:Y2"/>
    <mergeCell ref="E5:E6"/>
    <mergeCell ref="F5:F6"/>
    <mergeCell ref="G5:N5"/>
    <mergeCell ref="O5:P5"/>
    <mergeCell ref="Q5:S5"/>
    <mergeCell ref="B7:C26"/>
    <mergeCell ref="V3:V6"/>
    <mergeCell ref="W3:W6"/>
    <mergeCell ref="X3:X6"/>
    <mergeCell ref="Y3:Y6"/>
    <mergeCell ref="AA3:AH5"/>
    <mergeCell ref="B3:C6"/>
    <mergeCell ref="D3:F3"/>
    <mergeCell ref="G3:S3"/>
    <mergeCell ref="T3:T6"/>
    <mergeCell ref="U3:U6"/>
    <mergeCell ref="D4:D6"/>
    <mergeCell ref="E4:F4"/>
    <mergeCell ref="G4:N4"/>
    <mergeCell ref="O4:S4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P53"/>
    <mergeCell ref="Q53:S53"/>
    <mergeCell ref="AA75:AH77"/>
    <mergeCell ref="B75:C78"/>
    <mergeCell ref="D75:F75"/>
    <mergeCell ref="G75:S75"/>
    <mergeCell ref="T75:T78"/>
    <mergeCell ref="U75:U78"/>
    <mergeCell ref="D76:D78"/>
    <mergeCell ref="E76:F76"/>
    <mergeCell ref="G76:N76"/>
    <mergeCell ref="O76:S76"/>
    <mergeCell ref="E77:E78"/>
    <mergeCell ref="F77:F78"/>
    <mergeCell ref="G77:N77"/>
    <mergeCell ref="O77:P77"/>
    <mergeCell ref="Q77:S77"/>
    <mergeCell ref="B79:C98"/>
    <mergeCell ref="V75:V78"/>
    <mergeCell ref="W75:W78"/>
    <mergeCell ref="X75:X78"/>
    <mergeCell ref="Y75:Y78"/>
    <mergeCell ref="B55:C74"/>
    <mergeCell ref="V51:V54"/>
    <mergeCell ref="W51:W54"/>
    <mergeCell ref="X51:X54"/>
    <mergeCell ref="Y51:Y54"/>
    <mergeCell ref="B127:C146"/>
    <mergeCell ref="AA138:AH140"/>
    <mergeCell ref="AA123:AH125"/>
    <mergeCell ref="D124:D126"/>
    <mergeCell ref="E124:F124"/>
    <mergeCell ref="G124:N124"/>
    <mergeCell ref="O124:S124"/>
    <mergeCell ref="E125:E126"/>
    <mergeCell ref="F125:F126"/>
    <mergeCell ref="G125:N125"/>
    <mergeCell ref="O125:P125"/>
    <mergeCell ref="Q125:S125"/>
    <mergeCell ref="B123:C126"/>
    <mergeCell ref="D123:F123"/>
    <mergeCell ref="G123:S123"/>
    <mergeCell ref="T123:T126"/>
    <mergeCell ref="U123:U126"/>
    <mergeCell ref="V123:V126"/>
    <mergeCell ref="W123:W126"/>
    <mergeCell ref="X123:X126"/>
    <mergeCell ref="Y123:Y126"/>
  </mergeCells>
  <phoneticPr fontId="15" type="noConversion"/>
  <dataValidations count="1">
    <dataValidation type="list" allowBlank="1" showInputMessage="1" showErrorMessage="1" sqref="U99:U102 T1:U6 U27:U30 U51:U54 U75:U78 U19 T7:T1048576 U147:U1048576 U123:U126 U36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H200"/>
  <sheetViews>
    <sheetView zoomScale="70" zoomScaleNormal="70" workbookViewId="0">
      <pane xSplit="4" ySplit="2" topLeftCell="E30" activePane="bottomRight" state="frozen"/>
      <selection activeCell="AB13" sqref="AB13:AC19"/>
      <selection pane="topRight" activeCell="AB13" sqref="AB13:AC19"/>
      <selection pane="bottomLeft" activeCell="AB13" sqref="AB13:AC19"/>
      <selection pane="bottomRight" activeCell="U50" sqref="U50"/>
    </sheetView>
  </sheetViews>
  <sheetFormatPr defaultColWidth="8.81640625" defaultRowHeight="16"/>
  <cols>
    <col min="1" max="1" width="8.81640625" style="148"/>
    <col min="2" max="2" width="12.453125" style="148" customWidth="1"/>
    <col min="3" max="3" width="8.81640625" style="148"/>
    <col min="4" max="4" width="11.54296875" style="148" customWidth="1"/>
    <col min="5" max="5" width="39.26953125" style="148" bestFit="1" customWidth="1"/>
    <col min="6" max="6" width="11.453125" style="148" bestFit="1" customWidth="1"/>
    <col min="7" max="8" width="15.81640625" style="148" bestFit="1" customWidth="1"/>
    <col min="9" max="9" width="16.81640625" style="148" customWidth="1"/>
    <col min="10" max="10" width="14" style="148" customWidth="1"/>
    <col min="11" max="11" width="11.54296875" style="148" bestFit="1" customWidth="1"/>
    <col min="12" max="12" width="12.26953125" style="148" bestFit="1" customWidth="1"/>
    <col min="13" max="13" width="19.1796875" style="148" bestFit="1" customWidth="1"/>
    <col min="14" max="14" width="15.26953125" style="148" bestFit="1" customWidth="1"/>
    <col min="15" max="15" width="12.26953125" style="148" bestFit="1" customWidth="1"/>
    <col min="16" max="16" width="12.54296875" style="148" bestFit="1" customWidth="1"/>
    <col min="17" max="17" width="9.1796875" style="148" bestFit="1" customWidth="1"/>
    <col min="18" max="18" width="12.26953125" style="148" bestFit="1" customWidth="1"/>
    <col min="19" max="19" width="12.54296875" style="148" bestFit="1" customWidth="1"/>
    <col min="20" max="20" width="12.453125" style="148" bestFit="1" customWidth="1"/>
    <col min="21" max="21" width="25.26953125" style="148" bestFit="1" customWidth="1"/>
    <col min="22" max="22" width="88.26953125" style="148" customWidth="1"/>
    <col min="23" max="23" width="145" style="148" bestFit="1" customWidth="1"/>
    <col min="24" max="24" width="7.453125" style="148" bestFit="1" customWidth="1"/>
    <col min="25" max="25" width="69.54296875" style="148" bestFit="1" customWidth="1"/>
    <col min="26" max="26" width="11.453125" style="148" bestFit="1" customWidth="1"/>
    <col min="27" max="27" width="21.54296875" style="148" customWidth="1"/>
    <col min="28" max="28" width="19.453125" style="148" bestFit="1" customWidth="1"/>
    <col min="29" max="34" width="14.453125" style="148" customWidth="1"/>
    <col min="35" max="16384" width="8.81640625" style="148"/>
  </cols>
  <sheetData>
    <row r="2" spans="2:34" ht="41.15" customHeight="1">
      <c r="B2" s="841" t="s">
        <v>496</v>
      </c>
      <c r="C2" s="842"/>
      <c r="D2" s="842"/>
      <c r="E2" s="842"/>
      <c r="F2" s="842"/>
      <c r="G2" s="842"/>
      <c r="H2" s="842"/>
      <c r="I2" s="842"/>
      <c r="J2" s="842"/>
      <c r="K2" s="842"/>
      <c r="L2" s="842"/>
      <c r="M2" s="842"/>
      <c r="N2" s="842"/>
      <c r="O2" s="842"/>
      <c r="P2" s="842"/>
      <c r="Q2" s="842"/>
      <c r="R2" s="842"/>
      <c r="S2" s="842"/>
      <c r="T2" s="842"/>
      <c r="U2" s="842"/>
      <c r="V2" s="842"/>
      <c r="W2" s="842"/>
      <c r="X2" s="842"/>
      <c r="Y2" s="842"/>
      <c r="AA2" s="149"/>
      <c r="AB2" s="149"/>
    </row>
    <row r="3" spans="2:34" ht="16.5" customHeight="1">
      <c r="B3" s="829" t="s">
        <v>489</v>
      </c>
      <c r="C3" s="830"/>
      <c r="D3" s="826" t="s">
        <v>172</v>
      </c>
      <c r="E3" s="826"/>
      <c r="F3" s="826"/>
      <c r="G3" s="826" t="s">
        <v>186</v>
      </c>
      <c r="H3" s="826"/>
      <c r="I3" s="826"/>
      <c r="J3" s="826"/>
      <c r="K3" s="826"/>
      <c r="L3" s="826"/>
      <c r="M3" s="826"/>
      <c r="N3" s="826"/>
      <c r="O3" s="826"/>
      <c r="P3" s="826"/>
      <c r="Q3" s="826"/>
      <c r="R3" s="826"/>
      <c r="S3" s="826"/>
      <c r="T3" s="826" t="s">
        <v>173</v>
      </c>
      <c r="U3" s="816" t="s">
        <v>248</v>
      </c>
      <c r="V3" s="847" t="s">
        <v>497</v>
      </c>
      <c r="W3" s="847" t="s">
        <v>491</v>
      </c>
      <c r="X3" s="838" t="s">
        <v>249</v>
      </c>
      <c r="Y3" s="827" t="s">
        <v>174</v>
      </c>
      <c r="AA3" s="826" t="s">
        <v>250</v>
      </c>
      <c r="AB3" s="826"/>
      <c r="AC3" s="826"/>
      <c r="AD3" s="826"/>
      <c r="AE3" s="826"/>
      <c r="AF3" s="826"/>
      <c r="AG3" s="826"/>
      <c r="AH3" s="826"/>
    </row>
    <row r="4" spans="2:34" ht="17.149999999999999" customHeight="1">
      <c r="B4" s="831"/>
      <c r="C4" s="832"/>
      <c r="D4" s="825" t="s">
        <v>171</v>
      </c>
      <c r="E4" s="826" t="s">
        <v>175</v>
      </c>
      <c r="F4" s="826"/>
      <c r="G4" s="826" t="s">
        <v>187</v>
      </c>
      <c r="H4" s="826"/>
      <c r="I4" s="826"/>
      <c r="J4" s="826"/>
      <c r="K4" s="826"/>
      <c r="L4" s="826"/>
      <c r="M4" s="826"/>
      <c r="N4" s="826"/>
      <c r="O4" s="826" t="s">
        <v>176</v>
      </c>
      <c r="P4" s="826"/>
      <c r="Q4" s="826"/>
      <c r="R4" s="826"/>
      <c r="S4" s="826"/>
      <c r="T4" s="826"/>
      <c r="U4" s="819"/>
      <c r="V4" s="839"/>
      <c r="W4" s="848"/>
      <c r="X4" s="839"/>
      <c r="Y4" s="827"/>
      <c r="AA4" s="826"/>
      <c r="AB4" s="826"/>
      <c r="AC4" s="826"/>
      <c r="AD4" s="826"/>
      <c r="AE4" s="826"/>
      <c r="AF4" s="826"/>
      <c r="AG4" s="826"/>
      <c r="AH4" s="826"/>
    </row>
    <row r="5" spans="2:34" ht="17.149999999999999" customHeight="1">
      <c r="B5" s="831"/>
      <c r="C5" s="832"/>
      <c r="D5" s="825"/>
      <c r="E5" s="825" t="s">
        <v>177</v>
      </c>
      <c r="F5" s="843" t="s">
        <v>498</v>
      </c>
      <c r="G5" s="828" t="s">
        <v>188</v>
      </c>
      <c r="H5" s="828"/>
      <c r="I5" s="828"/>
      <c r="J5" s="828"/>
      <c r="K5" s="828"/>
      <c r="L5" s="828"/>
      <c r="M5" s="828"/>
      <c r="N5" s="828"/>
      <c r="O5" s="844" t="s">
        <v>170</v>
      </c>
      <c r="P5" s="845"/>
      <c r="Q5" s="846"/>
      <c r="R5" s="828" t="s">
        <v>178</v>
      </c>
      <c r="S5" s="828"/>
      <c r="T5" s="826"/>
      <c r="U5" s="819"/>
      <c r="V5" s="839"/>
      <c r="W5" s="848"/>
      <c r="X5" s="839"/>
      <c r="Y5" s="827"/>
      <c r="AA5" s="826"/>
      <c r="AB5" s="826"/>
      <c r="AC5" s="826"/>
      <c r="AD5" s="826"/>
      <c r="AE5" s="826"/>
      <c r="AF5" s="826"/>
      <c r="AG5" s="826"/>
      <c r="AH5" s="826"/>
    </row>
    <row r="6" spans="2:34" ht="38.5" customHeight="1">
      <c r="B6" s="833"/>
      <c r="C6" s="834"/>
      <c r="D6" s="825"/>
      <c r="E6" s="825"/>
      <c r="F6" s="843"/>
      <c r="G6" s="391" t="s">
        <v>179</v>
      </c>
      <c r="H6" s="391" t="s">
        <v>255</v>
      </c>
      <c r="I6" s="391" t="s">
        <v>256</v>
      </c>
      <c r="J6" s="391" t="s">
        <v>180</v>
      </c>
      <c r="K6" s="391" t="s">
        <v>253</v>
      </c>
      <c r="L6" s="391" t="s">
        <v>181</v>
      </c>
      <c r="M6" s="391" t="s">
        <v>189</v>
      </c>
      <c r="N6" s="391" t="s">
        <v>182</v>
      </c>
      <c r="O6" s="392" t="s">
        <v>183</v>
      </c>
      <c r="P6" s="392" t="s">
        <v>184</v>
      </c>
      <c r="Q6" s="391" t="s">
        <v>185</v>
      </c>
      <c r="R6" s="392" t="s">
        <v>183</v>
      </c>
      <c r="S6" s="392" t="s">
        <v>184</v>
      </c>
      <c r="T6" s="826"/>
      <c r="U6" s="822"/>
      <c r="V6" s="840"/>
      <c r="W6" s="849"/>
      <c r="X6" s="840"/>
      <c r="Y6" s="827"/>
      <c r="AA6" s="163" t="s">
        <v>247</v>
      </c>
      <c r="AB6" s="163" t="s">
        <v>492</v>
      </c>
      <c r="AC6" s="158" t="s">
        <v>398</v>
      </c>
      <c r="AD6" s="158" t="s">
        <v>342</v>
      </c>
      <c r="AE6" s="158" t="s">
        <v>466</v>
      </c>
      <c r="AF6" s="158" t="s">
        <v>218</v>
      </c>
      <c r="AG6" s="158" t="s">
        <v>219</v>
      </c>
      <c r="AH6" s="158" t="s">
        <v>399</v>
      </c>
    </row>
    <row r="7" spans="2:34" s="150" customFormat="1" ht="27" customHeight="1">
      <c r="B7" s="810" t="s">
        <v>561</v>
      </c>
      <c r="C7" s="811"/>
      <c r="D7" s="390">
        <v>1</v>
      </c>
      <c r="E7" s="393" t="s">
        <v>340</v>
      </c>
      <c r="F7" s="394">
        <v>14468.780200000008</v>
      </c>
      <c r="G7" s="395">
        <v>4345.1400000000003</v>
      </c>
      <c r="H7" s="395">
        <v>4304.68</v>
      </c>
      <c r="I7" s="396">
        <f>H7/G7</f>
        <v>0.99068844732275596</v>
      </c>
      <c r="J7" s="395">
        <v>138.6</v>
      </c>
      <c r="K7" s="396">
        <f>J7/G7</f>
        <v>3.1897706403015778E-2</v>
      </c>
      <c r="L7" s="395">
        <v>147.43000000000004</v>
      </c>
      <c r="M7" s="396">
        <f>(H7+J7)/G7</f>
        <v>1.0225861537257719</v>
      </c>
      <c r="N7" s="397">
        <v>14468.780200000008</v>
      </c>
      <c r="O7" s="395">
        <v>0</v>
      </c>
      <c r="P7" s="396">
        <f>O7/G7</f>
        <v>0</v>
      </c>
      <c r="Q7" s="410">
        <f>O7*L7</f>
        <v>0</v>
      </c>
      <c r="R7" s="398">
        <f>((H7+J7)-G7)-O7</f>
        <v>98.140000000000327</v>
      </c>
      <c r="S7" s="396">
        <f>R7/G7</f>
        <v>2.2586153725771857E-2</v>
      </c>
      <c r="T7" s="400" t="s">
        <v>176</v>
      </c>
      <c r="U7" s="400" t="s">
        <v>218</v>
      </c>
      <c r="V7" s="401" t="s">
        <v>483</v>
      </c>
      <c r="W7" s="425" t="s">
        <v>633</v>
      </c>
      <c r="X7" s="401">
        <v>1</v>
      </c>
      <c r="Y7" s="402" t="s">
        <v>345</v>
      </c>
      <c r="Z7" s="403" t="s">
        <v>493</v>
      </c>
      <c r="AA7" s="404">
        <f>SUM(X7:X26)</f>
        <v>20</v>
      </c>
      <c r="AB7" s="405">
        <f>SUMIF($U$7:$U$26,TRIM(AB6),$X$7:$X$26)</f>
        <v>0</v>
      </c>
      <c r="AC7" s="405">
        <f t="shared" ref="AC7:AH7" si="0">SUMIF($U$7:$U$26,TRIM(AC6),$X$7:$X$26)</f>
        <v>0</v>
      </c>
      <c r="AD7" s="405">
        <f t="shared" si="0"/>
        <v>0</v>
      </c>
      <c r="AE7" s="405">
        <f t="shared" si="0"/>
        <v>14</v>
      </c>
      <c r="AF7" s="405">
        <f t="shared" si="0"/>
        <v>1</v>
      </c>
      <c r="AG7" s="405">
        <f t="shared" si="0"/>
        <v>5</v>
      </c>
      <c r="AH7" s="405">
        <f t="shared" si="0"/>
        <v>0</v>
      </c>
    </row>
    <row r="8" spans="2:34" s="150" customFormat="1" ht="27" customHeight="1">
      <c r="B8" s="812"/>
      <c r="C8" s="813"/>
      <c r="D8" s="390">
        <v>2</v>
      </c>
      <c r="E8" s="393" t="s">
        <v>516</v>
      </c>
      <c r="F8" s="394">
        <v>9132.7224000000024</v>
      </c>
      <c r="G8" s="395">
        <v>1380.59</v>
      </c>
      <c r="H8" s="395">
        <v>1369.92</v>
      </c>
      <c r="I8" s="396">
        <f t="shared" ref="I8:I9" si="1">H8/G8</f>
        <v>0.99227142018991887</v>
      </c>
      <c r="J8" s="395">
        <v>73.75</v>
      </c>
      <c r="K8" s="396">
        <f t="shared" ref="K8:K13" si="2">J8/G8</f>
        <v>5.3419190346156359E-2</v>
      </c>
      <c r="L8" s="395">
        <v>144.78</v>
      </c>
      <c r="M8" s="396">
        <f t="shared" ref="M8:M13" si="3">(H8+J8)/G8</f>
        <v>1.0456906105360753</v>
      </c>
      <c r="N8" s="397">
        <v>9132.7224000000024</v>
      </c>
      <c r="O8" s="395">
        <v>0</v>
      </c>
      <c r="P8" s="396">
        <f t="shared" ref="P8:P26" si="4">O8/G8</f>
        <v>0</v>
      </c>
      <c r="Q8" s="410">
        <f t="shared" ref="Q8:Q26" si="5">O8*L8</f>
        <v>0</v>
      </c>
      <c r="R8" s="398">
        <f t="shared" ref="R8:R26" si="6">((H8+J8)-G8)-O8</f>
        <v>63.080000000000155</v>
      </c>
      <c r="S8" s="396">
        <f t="shared" ref="S8:S26" si="7">R8/G8</f>
        <v>4.5690610536075274E-2</v>
      </c>
      <c r="T8" s="400" t="s">
        <v>176</v>
      </c>
      <c r="U8" s="400" t="s">
        <v>466</v>
      </c>
      <c r="V8" s="401" t="s">
        <v>555</v>
      </c>
      <c r="W8" s="401" t="s">
        <v>571</v>
      </c>
      <c r="X8" s="401">
        <v>1</v>
      </c>
      <c r="Y8" s="402" t="s">
        <v>512</v>
      </c>
      <c r="AA8" s="404"/>
      <c r="AB8" s="411">
        <f>SUMIF($U$7:$U$26,TRIM(AB6),$F$7:$F$26)</f>
        <v>0</v>
      </c>
      <c r="AC8" s="411">
        <f t="shared" ref="AC8:AH8" si="8">SUMIF($U$7:$U$26,TRIM(AC6),$F$7:$F$26)</f>
        <v>0</v>
      </c>
      <c r="AD8" s="411">
        <f t="shared" si="8"/>
        <v>0</v>
      </c>
      <c r="AE8" s="411">
        <f t="shared" si="8"/>
        <v>61415.661400000012</v>
      </c>
      <c r="AF8" s="411">
        <f t="shared" si="8"/>
        <v>14468.780200000008</v>
      </c>
      <c r="AG8" s="411">
        <f t="shared" si="8"/>
        <v>19546.63519999999</v>
      </c>
      <c r="AH8" s="411">
        <f t="shared" si="8"/>
        <v>0</v>
      </c>
    </row>
    <row r="9" spans="2:34" s="150" customFormat="1" ht="27" customHeight="1">
      <c r="B9" s="812"/>
      <c r="C9" s="813"/>
      <c r="D9" s="390">
        <v>3</v>
      </c>
      <c r="E9" s="393" t="s">
        <v>401</v>
      </c>
      <c r="F9" s="394">
        <v>7155.2047999999986</v>
      </c>
      <c r="G9" s="395">
        <v>4062.8899999999994</v>
      </c>
      <c r="H9" s="395">
        <v>3961.3</v>
      </c>
      <c r="I9" s="396">
        <f t="shared" si="1"/>
        <v>0.97499563118863686</v>
      </c>
      <c r="J9" s="395">
        <v>158.47999999999999</v>
      </c>
      <c r="K9" s="396">
        <f t="shared" si="2"/>
        <v>3.9006716893639749E-2</v>
      </c>
      <c r="L9" s="395">
        <v>127.84000000000002</v>
      </c>
      <c r="M9" s="396">
        <f t="shared" si="3"/>
        <v>1.0140023480822764</v>
      </c>
      <c r="N9" s="397">
        <v>7272.8175999999985</v>
      </c>
      <c r="O9" s="395">
        <v>0.92</v>
      </c>
      <c r="P9" s="396">
        <f t="shared" si="4"/>
        <v>2.264398002407154E-4</v>
      </c>
      <c r="Q9" s="410">
        <f t="shared" si="5"/>
        <v>117.61280000000002</v>
      </c>
      <c r="R9" s="398">
        <f t="shared" si="6"/>
        <v>55.970000000000326</v>
      </c>
      <c r="S9" s="396">
        <f t="shared" si="7"/>
        <v>1.3775908282035777E-2</v>
      </c>
      <c r="T9" s="400" t="s">
        <v>176</v>
      </c>
      <c r="U9" s="400" t="s">
        <v>466</v>
      </c>
      <c r="V9" s="401" t="s">
        <v>554</v>
      </c>
      <c r="W9" s="401" t="s">
        <v>570</v>
      </c>
      <c r="X9" s="401">
        <v>1</v>
      </c>
      <c r="Y9" s="402" t="s">
        <v>345</v>
      </c>
      <c r="AA9" s="390"/>
      <c r="AB9" s="412">
        <f>AB7/$AA7</f>
        <v>0</v>
      </c>
      <c r="AC9" s="412">
        <f t="shared" ref="AC9:AH9" si="9">AC7/$AA7</f>
        <v>0</v>
      </c>
      <c r="AD9" s="412">
        <f t="shared" si="9"/>
        <v>0</v>
      </c>
      <c r="AE9" s="412">
        <f t="shared" si="9"/>
        <v>0.7</v>
      </c>
      <c r="AF9" s="412">
        <f t="shared" si="9"/>
        <v>0.05</v>
      </c>
      <c r="AG9" s="412">
        <f t="shared" si="9"/>
        <v>0.25</v>
      </c>
      <c r="AH9" s="412">
        <f t="shared" si="9"/>
        <v>0</v>
      </c>
    </row>
    <row r="10" spans="2:34" s="150" customFormat="1" ht="27" customHeight="1">
      <c r="B10" s="812"/>
      <c r="C10" s="813"/>
      <c r="D10" s="390">
        <v>4</v>
      </c>
      <c r="E10" s="393" t="s">
        <v>540</v>
      </c>
      <c r="F10" s="394">
        <v>5729.4930000000049</v>
      </c>
      <c r="G10" s="395">
        <v>711.81</v>
      </c>
      <c r="H10" s="395">
        <v>690.13</v>
      </c>
      <c r="I10" s="396">
        <f>H10/G10</f>
        <v>0.9695424340765092</v>
      </c>
      <c r="J10" s="395">
        <v>57.379999999999995</v>
      </c>
      <c r="K10" s="396">
        <f t="shared" si="2"/>
        <v>8.0611399109312878E-2</v>
      </c>
      <c r="L10" s="395">
        <v>160.49</v>
      </c>
      <c r="M10" s="396">
        <f t="shared" si="3"/>
        <v>1.0501538331858222</v>
      </c>
      <c r="N10" s="397">
        <v>5729.4930000000049</v>
      </c>
      <c r="O10" s="395">
        <v>0</v>
      </c>
      <c r="P10" s="396">
        <f t="shared" si="4"/>
        <v>0</v>
      </c>
      <c r="Q10" s="410">
        <f t="shared" si="5"/>
        <v>0</v>
      </c>
      <c r="R10" s="398">
        <f t="shared" si="6"/>
        <v>35.700000000000045</v>
      </c>
      <c r="S10" s="396">
        <f t="shared" si="7"/>
        <v>5.015383318582213E-2</v>
      </c>
      <c r="T10" s="400" t="s">
        <v>176</v>
      </c>
      <c r="U10" s="400" t="s">
        <v>466</v>
      </c>
      <c r="V10" s="401" t="s">
        <v>554</v>
      </c>
      <c r="W10" s="401" t="s">
        <v>570</v>
      </c>
      <c r="X10" s="401">
        <v>1</v>
      </c>
      <c r="Y10" s="402" t="s">
        <v>472</v>
      </c>
    </row>
    <row r="11" spans="2:34" s="150" customFormat="1" ht="27" customHeight="1">
      <c r="B11" s="812"/>
      <c r="C11" s="813"/>
      <c r="D11" s="390">
        <v>5</v>
      </c>
      <c r="E11" s="393" t="s">
        <v>524</v>
      </c>
      <c r="F11" s="394">
        <v>5427.7887999999866</v>
      </c>
      <c r="G11" s="395">
        <v>1297.3200000000002</v>
      </c>
      <c r="H11" s="395">
        <v>1278.6599999999999</v>
      </c>
      <c r="I11" s="396">
        <f t="shared" ref="I11:I26" si="10">H11/G11</f>
        <v>0.98561650171121984</v>
      </c>
      <c r="J11" s="395">
        <v>28.34</v>
      </c>
      <c r="K11" s="396">
        <f t="shared" si="2"/>
        <v>2.184503437856504E-2</v>
      </c>
      <c r="L11" s="395">
        <v>605.77999999999986</v>
      </c>
      <c r="M11" s="396">
        <f t="shared" si="3"/>
        <v>1.0074615360897847</v>
      </c>
      <c r="N11" s="397">
        <v>5863.950399999987</v>
      </c>
      <c r="O11" s="395">
        <v>0.72</v>
      </c>
      <c r="P11" s="396">
        <f t="shared" si="4"/>
        <v>5.5499028766996565E-4</v>
      </c>
      <c r="Q11" s="410">
        <f t="shared" si="5"/>
        <v>436.16159999999991</v>
      </c>
      <c r="R11" s="398">
        <f t="shared" si="6"/>
        <v>8.9599999999996083</v>
      </c>
      <c r="S11" s="396">
        <f t="shared" si="7"/>
        <v>6.9065458021148269E-3</v>
      </c>
      <c r="T11" s="400" t="s">
        <v>176</v>
      </c>
      <c r="U11" s="400" t="s">
        <v>219</v>
      </c>
      <c r="V11" s="401" t="s">
        <v>526</v>
      </c>
      <c r="W11" s="401" t="s">
        <v>527</v>
      </c>
      <c r="X11" s="401">
        <v>1</v>
      </c>
      <c r="Y11" s="402" t="s">
        <v>347</v>
      </c>
    </row>
    <row r="12" spans="2:34" s="150" customFormat="1" ht="27" customHeight="1">
      <c r="B12" s="812"/>
      <c r="C12" s="813"/>
      <c r="D12" s="390">
        <v>6</v>
      </c>
      <c r="E12" s="393" t="s">
        <v>372</v>
      </c>
      <c r="F12" s="394">
        <v>5154.415199999994</v>
      </c>
      <c r="G12" s="395">
        <v>687.68</v>
      </c>
      <c r="H12" s="395">
        <v>690.76</v>
      </c>
      <c r="I12" s="396">
        <f t="shared" si="10"/>
        <v>1.0044788273615637</v>
      </c>
      <c r="J12" s="395">
        <v>9.64</v>
      </c>
      <c r="K12" s="396">
        <f t="shared" si="2"/>
        <v>1.4018147975802701E-2</v>
      </c>
      <c r="L12" s="395">
        <v>426.69</v>
      </c>
      <c r="M12" s="396">
        <f t="shared" si="3"/>
        <v>1.0184969753373663</v>
      </c>
      <c r="N12" s="397">
        <v>5427.4967999999935</v>
      </c>
      <c r="O12" s="395">
        <v>0.64</v>
      </c>
      <c r="P12" s="396">
        <f t="shared" si="4"/>
        <v>9.3066542577943234E-4</v>
      </c>
      <c r="Q12" s="410">
        <f t="shared" si="5"/>
        <v>273.08159999999998</v>
      </c>
      <c r="R12" s="398">
        <f t="shared" si="6"/>
        <v>12.080000000000027</v>
      </c>
      <c r="S12" s="396">
        <f t="shared" si="7"/>
        <v>1.7566309911586826E-2</v>
      </c>
      <c r="T12" s="400" t="s">
        <v>176</v>
      </c>
      <c r="U12" s="400" t="s">
        <v>466</v>
      </c>
      <c r="V12" s="401" t="s">
        <v>518</v>
      </c>
      <c r="W12" s="401" t="s">
        <v>634</v>
      </c>
      <c r="X12" s="401">
        <v>1</v>
      </c>
      <c r="Y12" s="402" t="s">
        <v>373</v>
      </c>
    </row>
    <row r="13" spans="2:34" s="150" customFormat="1" ht="27" customHeight="1">
      <c r="B13" s="812"/>
      <c r="C13" s="813"/>
      <c r="D13" s="390">
        <v>7</v>
      </c>
      <c r="E13" s="393" t="s">
        <v>370</v>
      </c>
      <c r="F13" s="394">
        <v>4932.297500000006</v>
      </c>
      <c r="G13" s="395">
        <v>1117.52</v>
      </c>
      <c r="H13" s="395">
        <v>1147.3400000000001</v>
      </c>
      <c r="I13" s="396">
        <f t="shared" si="10"/>
        <v>1.0266840861908513</v>
      </c>
      <c r="J13" s="395">
        <v>4.2300000000000004</v>
      </c>
      <c r="K13" s="396">
        <f t="shared" si="2"/>
        <v>3.7851671558450858E-3</v>
      </c>
      <c r="L13" s="395">
        <v>152.75</v>
      </c>
      <c r="M13" s="396">
        <f t="shared" si="3"/>
        <v>1.0304692533466964</v>
      </c>
      <c r="N13" s="397">
        <v>5201.1375000000062</v>
      </c>
      <c r="O13" s="395">
        <v>1.76</v>
      </c>
      <c r="P13" s="396">
        <f t="shared" si="4"/>
        <v>1.5749158851743146E-3</v>
      </c>
      <c r="Q13" s="410">
        <f t="shared" si="5"/>
        <v>268.83999999999997</v>
      </c>
      <c r="R13" s="398">
        <f t="shared" si="6"/>
        <v>32.290000000000184</v>
      </c>
      <c r="S13" s="396">
        <f t="shared" si="7"/>
        <v>2.8894337461522108E-2</v>
      </c>
      <c r="T13" s="400" t="s">
        <v>176</v>
      </c>
      <c r="U13" s="400" t="s">
        <v>466</v>
      </c>
      <c r="V13" s="401" t="s">
        <v>514</v>
      </c>
      <c r="W13" s="401" t="s">
        <v>507</v>
      </c>
      <c r="X13" s="401">
        <v>1</v>
      </c>
      <c r="Y13" s="402" t="s">
        <v>373</v>
      </c>
    </row>
    <row r="14" spans="2:34" s="150" customFormat="1" ht="27" customHeight="1">
      <c r="B14" s="812"/>
      <c r="C14" s="813"/>
      <c r="D14" s="390">
        <v>8</v>
      </c>
      <c r="E14" s="393" t="s">
        <v>515</v>
      </c>
      <c r="F14" s="394">
        <v>4786.3508000000038</v>
      </c>
      <c r="G14" s="395">
        <v>480.19999999999993</v>
      </c>
      <c r="H14" s="395">
        <v>476.89</v>
      </c>
      <c r="I14" s="396">
        <f t="shared" si="10"/>
        <v>0.99310703873386097</v>
      </c>
      <c r="J14" s="395">
        <v>18.799999999999997</v>
      </c>
      <c r="K14" s="396">
        <f>J14/G14</f>
        <v>3.9150354019158687E-2</v>
      </c>
      <c r="L14" s="395">
        <v>327.16000000000003</v>
      </c>
      <c r="M14" s="396">
        <f>(H14+J14)/G14</f>
        <v>1.0322573927530196</v>
      </c>
      <c r="N14" s="397">
        <v>5067.7084000000032</v>
      </c>
      <c r="O14" s="395">
        <v>0.86</v>
      </c>
      <c r="P14" s="396">
        <f t="shared" si="4"/>
        <v>1.7909204498125783E-3</v>
      </c>
      <c r="Q14" s="410">
        <f t="shared" si="5"/>
        <v>281.35759999999999</v>
      </c>
      <c r="R14" s="398">
        <f t="shared" si="6"/>
        <v>14.630000000000067</v>
      </c>
      <c r="S14" s="396">
        <f t="shared" si="7"/>
        <v>3.0466472303207141E-2</v>
      </c>
      <c r="T14" s="400" t="s">
        <v>176</v>
      </c>
      <c r="U14" s="400" t="s">
        <v>219</v>
      </c>
      <c r="V14" s="401" t="s">
        <v>558</v>
      </c>
      <c r="W14" s="401" t="s">
        <v>580</v>
      </c>
      <c r="X14" s="401">
        <v>1</v>
      </c>
      <c r="Y14" s="402" t="s">
        <v>512</v>
      </c>
    </row>
    <row r="15" spans="2:34" s="150" customFormat="1" ht="27" customHeight="1">
      <c r="B15" s="812"/>
      <c r="C15" s="813"/>
      <c r="D15" s="390">
        <v>9</v>
      </c>
      <c r="E15" s="393" t="s">
        <v>464</v>
      </c>
      <c r="F15" s="394">
        <v>4480.9353000000046</v>
      </c>
      <c r="G15" s="395">
        <v>1280.2799999999997</v>
      </c>
      <c r="H15" s="395">
        <v>1215.0899999999999</v>
      </c>
      <c r="I15" s="396">
        <f t="shared" si="10"/>
        <v>0.94908145093260865</v>
      </c>
      <c r="J15" s="395">
        <v>113.17999999999999</v>
      </c>
      <c r="K15" s="396">
        <f t="shared" ref="K15:K26" si="11">J15/G15</f>
        <v>8.8402536945043284E-2</v>
      </c>
      <c r="L15" s="395">
        <v>99.51</v>
      </c>
      <c r="M15" s="396">
        <f t="shared" ref="M15:M26" si="12">(H15+J15)/G15</f>
        <v>1.0374839878776521</v>
      </c>
      <c r="N15" s="397">
        <v>4775.484900000004</v>
      </c>
      <c r="O15" s="395">
        <v>2.96</v>
      </c>
      <c r="P15" s="396">
        <f t="shared" si="4"/>
        <v>2.3119942512575377E-3</v>
      </c>
      <c r="Q15" s="410">
        <f t="shared" si="5"/>
        <v>294.5496</v>
      </c>
      <c r="R15" s="398">
        <f t="shared" si="6"/>
        <v>45.030000000000236</v>
      </c>
      <c r="S15" s="396">
        <f t="shared" si="7"/>
        <v>3.5171993626394414E-2</v>
      </c>
      <c r="T15" s="400" t="s">
        <v>176</v>
      </c>
      <c r="U15" s="400" t="s">
        <v>466</v>
      </c>
      <c r="V15" s="401" t="s">
        <v>535</v>
      </c>
      <c r="W15" s="401" t="s">
        <v>508</v>
      </c>
      <c r="X15" s="401">
        <v>1</v>
      </c>
      <c r="Y15" s="402" t="s">
        <v>359</v>
      </c>
    </row>
    <row r="16" spans="2:34" s="150" customFormat="1" ht="27" customHeight="1">
      <c r="B16" s="812"/>
      <c r="C16" s="813"/>
      <c r="D16" s="390">
        <v>10</v>
      </c>
      <c r="E16" s="393" t="s">
        <v>486</v>
      </c>
      <c r="F16" s="394">
        <v>4377.5115999999971</v>
      </c>
      <c r="G16" s="395">
        <v>1867.05</v>
      </c>
      <c r="H16" s="395">
        <v>1821.1100000000001</v>
      </c>
      <c r="I16" s="396">
        <f t="shared" si="10"/>
        <v>0.97539433866259617</v>
      </c>
      <c r="J16" s="395">
        <v>114.08000000000001</v>
      </c>
      <c r="K16" s="396">
        <f t="shared" si="11"/>
        <v>6.1101738035939053E-2</v>
      </c>
      <c r="L16" s="395">
        <v>68.42</v>
      </c>
      <c r="M16" s="396">
        <f t="shared" si="12"/>
        <v>1.0364960766985352</v>
      </c>
      <c r="N16" s="397">
        <v>4662.138799999997</v>
      </c>
      <c r="O16" s="395">
        <v>4.16</v>
      </c>
      <c r="P16" s="396">
        <f t="shared" si="4"/>
        <v>2.2281138694732333E-3</v>
      </c>
      <c r="Q16" s="410">
        <f t="shared" si="5"/>
        <v>284.62720000000002</v>
      </c>
      <c r="R16" s="398">
        <f t="shared" si="6"/>
        <v>63.980000000000103</v>
      </c>
      <c r="S16" s="396">
        <f t="shared" si="7"/>
        <v>3.4267962829061943E-2</v>
      </c>
      <c r="T16" s="400" t="s">
        <v>176</v>
      </c>
      <c r="U16" s="400" t="s">
        <v>219</v>
      </c>
      <c r="V16" s="401" t="s">
        <v>535</v>
      </c>
      <c r="W16" s="401" t="s">
        <v>508</v>
      </c>
      <c r="X16" s="401">
        <v>1</v>
      </c>
      <c r="Y16" s="402" t="s">
        <v>485</v>
      </c>
    </row>
    <row r="17" spans="2:34" s="150" customFormat="1" ht="27" customHeight="1">
      <c r="B17" s="812"/>
      <c r="C17" s="813"/>
      <c r="D17" s="390">
        <v>11</v>
      </c>
      <c r="E17" s="393" t="s">
        <v>608</v>
      </c>
      <c r="F17" s="394">
        <v>4281.7824000000055</v>
      </c>
      <c r="G17" s="395">
        <v>1061.45</v>
      </c>
      <c r="H17" s="395">
        <v>1039.8599999999999</v>
      </c>
      <c r="I17" s="396">
        <f t="shared" si="10"/>
        <v>0.97965989919449792</v>
      </c>
      <c r="J17" s="395">
        <v>40.330000000000005</v>
      </c>
      <c r="K17" s="396">
        <f t="shared" si="11"/>
        <v>3.7995195251778233E-2</v>
      </c>
      <c r="L17" s="395">
        <v>266.27999999999997</v>
      </c>
      <c r="M17" s="396">
        <f t="shared" si="12"/>
        <v>1.0176550944462761</v>
      </c>
      <c r="N17" s="397">
        <v>4990.0872000000054</v>
      </c>
      <c r="O17" s="395">
        <v>2.66</v>
      </c>
      <c r="P17" s="396">
        <f t="shared" si="4"/>
        <v>2.506005935277215E-3</v>
      </c>
      <c r="Q17" s="410">
        <f t="shared" si="5"/>
        <v>708.3048</v>
      </c>
      <c r="R17" s="398">
        <f t="shared" si="6"/>
        <v>16.079999999999782</v>
      </c>
      <c r="S17" s="396">
        <f t="shared" si="7"/>
        <v>1.5149088510998899E-2</v>
      </c>
      <c r="T17" s="400" t="s">
        <v>176</v>
      </c>
      <c r="U17" s="400" t="s">
        <v>466</v>
      </c>
      <c r="V17" s="401" t="s">
        <v>547</v>
      </c>
      <c r="W17" s="401" t="s">
        <v>599</v>
      </c>
      <c r="X17" s="401">
        <v>1</v>
      </c>
      <c r="Y17" s="402" t="s">
        <v>609</v>
      </c>
    </row>
    <row r="18" spans="2:34" s="150" customFormat="1" ht="27" customHeight="1">
      <c r="B18" s="812"/>
      <c r="C18" s="813"/>
      <c r="D18" s="390">
        <v>12</v>
      </c>
      <c r="E18" s="393" t="s">
        <v>565</v>
      </c>
      <c r="F18" s="394">
        <v>3678.9717000000001</v>
      </c>
      <c r="G18" s="395">
        <v>18102</v>
      </c>
      <c r="H18" s="395">
        <v>17601.989999999998</v>
      </c>
      <c r="I18" s="396">
        <f t="shared" si="10"/>
        <v>0.97237819025522032</v>
      </c>
      <c r="J18" s="395">
        <v>1800</v>
      </c>
      <c r="K18" s="396">
        <f t="shared" si="11"/>
        <v>9.9436526350679483E-2</v>
      </c>
      <c r="L18" s="395">
        <v>2.8300000000000005</v>
      </c>
      <c r="M18" s="396">
        <f t="shared" si="12"/>
        <v>1.0718147166058998</v>
      </c>
      <c r="N18" s="397">
        <v>3678.9717000000001</v>
      </c>
      <c r="O18" s="395">
        <v>0</v>
      </c>
      <c r="P18" s="396">
        <f t="shared" si="4"/>
        <v>0</v>
      </c>
      <c r="Q18" s="410">
        <f t="shared" si="5"/>
        <v>0</v>
      </c>
      <c r="R18" s="398">
        <f t="shared" si="6"/>
        <v>1299.989999999998</v>
      </c>
      <c r="S18" s="396">
        <f t="shared" si="7"/>
        <v>7.1814716605899789E-2</v>
      </c>
      <c r="T18" s="400" t="s">
        <v>176</v>
      </c>
      <c r="U18" s="400" t="s">
        <v>466</v>
      </c>
      <c r="V18" s="400" t="s">
        <v>573</v>
      </c>
      <c r="W18" s="401" t="s">
        <v>574</v>
      </c>
      <c r="X18" s="401">
        <v>1</v>
      </c>
      <c r="Y18" s="402" t="s">
        <v>475</v>
      </c>
    </row>
    <row r="19" spans="2:34" s="150" customFormat="1" ht="27" customHeight="1">
      <c r="B19" s="812"/>
      <c r="C19" s="813"/>
      <c r="D19" s="390">
        <v>13</v>
      </c>
      <c r="E19" s="393" t="s">
        <v>471</v>
      </c>
      <c r="F19" s="394">
        <v>3129.1900000000114</v>
      </c>
      <c r="G19" s="395">
        <v>447.42</v>
      </c>
      <c r="H19" s="395">
        <v>438.65</v>
      </c>
      <c r="I19" s="396">
        <f t="shared" si="10"/>
        <v>0.98039873049930704</v>
      </c>
      <c r="J19" s="395">
        <v>19.11</v>
      </c>
      <c r="K19" s="396">
        <f t="shared" si="11"/>
        <v>4.2711546198203026E-2</v>
      </c>
      <c r="L19" s="395">
        <v>368.13999999999993</v>
      </c>
      <c r="M19" s="396">
        <f t="shared" si="12"/>
        <v>1.0231102766975102</v>
      </c>
      <c r="N19" s="397">
        <v>3806.5676000000117</v>
      </c>
      <c r="O19" s="395">
        <v>1.8399999999999999</v>
      </c>
      <c r="P19" s="396">
        <f t="shared" si="4"/>
        <v>4.1124670332126408E-3</v>
      </c>
      <c r="Q19" s="410">
        <f t="shared" si="5"/>
        <v>677.3775999999998</v>
      </c>
      <c r="R19" s="398">
        <f t="shared" si="6"/>
        <v>8.4999999999999751</v>
      </c>
      <c r="S19" s="396">
        <f t="shared" si="7"/>
        <v>1.8997809664297472E-2</v>
      </c>
      <c r="T19" s="400" t="s">
        <v>176</v>
      </c>
      <c r="U19" s="400" t="s">
        <v>466</v>
      </c>
      <c r="V19" s="401" t="s">
        <v>558</v>
      </c>
      <c r="W19" s="401" t="s">
        <v>572</v>
      </c>
      <c r="X19" s="401">
        <v>1</v>
      </c>
      <c r="Y19" s="402" t="s">
        <v>472</v>
      </c>
    </row>
    <row r="20" spans="2:34" s="150" customFormat="1" ht="27" customHeight="1">
      <c r="B20" s="812"/>
      <c r="C20" s="813"/>
      <c r="D20" s="390">
        <v>14</v>
      </c>
      <c r="E20" s="393" t="s">
        <v>462</v>
      </c>
      <c r="F20" s="394">
        <v>3107.4486999999958</v>
      </c>
      <c r="G20" s="395">
        <v>1841.4199999999998</v>
      </c>
      <c r="H20" s="395">
        <v>1767.48</v>
      </c>
      <c r="I20" s="396">
        <f t="shared" si="10"/>
        <v>0.95984620564564316</v>
      </c>
      <c r="J20" s="395">
        <v>128.66</v>
      </c>
      <c r="K20" s="396">
        <f t="shared" si="11"/>
        <v>6.9869991636888923E-2</v>
      </c>
      <c r="L20" s="395">
        <v>66.13</v>
      </c>
      <c r="M20" s="396">
        <f t="shared" si="12"/>
        <v>1.0297161972825322</v>
      </c>
      <c r="N20" s="397">
        <v>3618.6335999999956</v>
      </c>
      <c r="O20" s="395">
        <v>7.73</v>
      </c>
      <c r="P20" s="396">
        <f t="shared" si="4"/>
        <v>4.1978473134863317E-3</v>
      </c>
      <c r="Q20" s="410">
        <f t="shared" si="5"/>
        <v>511.18489999999997</v>
      </c>
      <c r="R20" s="398">
        <f t="shared" si="6"/>
        <v>46.990000000000251</v>
      </c>
      <c r="S20" s="396">
        <f t="shared" si="7"/>
        <v>2.5518349969045766E-2</v>
      </c>
      <c r="T20" s="400" t="s">
        <v>176</v>
      </c>
      <c r="U20" s="400" t="s">
        <v>466</v>
      </c>
      <c r="V20" s="401" t="s">
        <v>535</v>
      </c>
      <c r="W20" s="401" t="s">
        <v>508</v>
      </c>
      <c r="X20" s="401">
        <v>1</v>
      </c>
      <c r="Y20" s="402" t="s">
        <v>346</v>
      </c>
    </row>
    <row r="21" spans="2:34" s="150" customFormat="1" ht="27" customHeight="1">
      <c r="B21" s="812"/>
      <c r="C21" s="813"/>
      <c r="D21" s="390">
        <v>15</v>
      </c>
      <c r="E21" s="393" t="s">
        <v>566</v>
      </c>
      <c r="F21" s="394">
        <v>2792.7600000000029</v>
      </c>
      <c r="G21" s="395">
        <v>153.33999999999997</v>
      </c>
      <c r="H21" s="395">
        <v>145.17999999999998</v>
      </c>
      <c r="I21" s="396">
        <f t="shared" si="10"/>
        <v>0.94678492239467849</v>
      </c>
      <c r="J21" s="395">
        <v>13.759999999999998</v>
      </c>
      <c r="K21" s="396">
        <f t="shared" si="11"/>
        <v>8.9735228903091172E-2</v>
      </c>
      <c r="L21" s="395">
        <v>629</v>
      </c>
      <c r="M21" s="396">
        <f t="shared" si="12"/>
        <v>1.0365201512977695</v>
      </c>
      <c r="N21" s="397">
        <v>3522.4000000000033</v>
      </c>
      <c r="O21" s="395">
        <v>1.1600000000000001</v>
      </c>
      <c r="P21" s="396">
        <f t="shared" si="4"/>
        <v>7.5648884831094323E-3</v>
      </c>
      <c r="Q21" s="410">
        <f t="shared" si="5"/>
        <v>729.6400000000001</v>
      </c>
      <c r="R21" s="398">
        <f t="shared" si="6"/>
        <v>4.4399999999999942</v>
      </c>
      <c r="S21" s="396">
        <f t="shared" si="7"/>
        <v>2.8955262814660199E-2</v>
      </c>
      <c r="T21" s="400" t="s">
        <v>176</v>
      </c>
      <c r="U21" s="400" t="s">
        <v>466</v>
      </c>
      <c r="V21" s="401" t="s">
        <v>547</v>
      </c>
      <c r="W21" s="401" t="s">
        <v>599</v>
      </c>
      <c r="X21" s="401">
        <v>1</v>
      </c>
      <c r="Y21" s="402" t="s">
        <v>523</v>
      </c>
    </row>
    <row r="22" spans="2:34" s="150" customFormat="1" ht="27" customHeight="1">
      <c r="B22" s="812"/>
      <c r="C22" s="813"/>
      <c r="D22" s="390">
        <v>16</v>
      </c>
      <c r="E22" s="393" t="s">
        <v>585</v>
      </c>
      <c r="F22" s="394">
        <v>2696.9931000000001</v>
      </c>
      <c r="G22" s="395">
        <v>1165.8000000000002</v>
      </c>
      <c r="H22" s="395">
        <v>1163.23</v>
      </c>
      <c r="I22" s="396">
        <f t="shared" si="10"/>
        <v>0.9977955052324583</v>
      </c>
      <c r="J22" s="395">
        <v>19.04</v>
      </c>
      <c r="K22" s="396">
        <f t="shared" si="11"/>
        <v>1.6332132441242063E-2</v>
      </c>
      <c r="L22" s="395">
        <v>190.87000000000003</v>
      </c>
      <c r="M22" s="396">
        <f t="shared" si="12"/>
        <v>1.0141276376737003</v>
      </c>
      <c r="N22" s="397">
        <v>3143.6289000000002</v>
      </c>
      <c r="O22" s="395">
        <v>2.34</v>
      </c>
      <c r="P22" s="396">
        <f t="shared" si="4"/>
        <v>2.0072053525476063E-3</v>
      </c>
      <c r="Q22" s="410">
        <f t="shared" si="5"/>
        <v>446.63580000000007</v>
      </c>
      <c r="R22" s="398">
        <f t="shared" si="6"/>
        <v>14.1299999999998</v>
      </c>
      <c r="S22" s="396">
        <f t="shared" si="7"/>
        <v>1.2120432321152683E-2</v>
      </c>
      <c r="T22" s="400" t="s">
        <v>176</v>
      </c>
      <c r="U22" s="400" t="s">
        <v>466</v>
      </c>
      <c r="V22" s="401" t="s">
        <v>635</v>
      </c>
      <c r="W22" s="401" t="s">
        <v>636</v>
      </c>
      <c r="X22" s="401">
        <v>1</v>
      </c>
      <c r="Y22" s="402" t="s">
        <v>586</v>
      </c>
    </row>
    <row r="23" spans="2:34" s="150" customFormat="1" ht="27" customHeight="1">
      <c r="B23" s="812"/>
      <c r="C23" s="813"/>
      <c r="D23" s="390">
        <v>17</v>
      </c>
      <c r="E23" s="393" t="s">
        <v>513</v>
      </c>
      <c r="F23" s="394">
        <v>2679.0400000000004</v>
      </c>
      <c r="G23" s="395">
        <v>227846</v>
      </c>
      <c r="H23" s="395">
        <v>227203</v>
      </c>
      <c r="I23" s="396">
        <f t="shared" si="10"/>
        <v>0.99717791841858094</v>
      </c>
      <c r="J23" s="395">
        <v>1475</v>
      </c>
      <c r="K23" s="396">
        <f t="shared" si="11"/>
        <v>6.4736708127419397E-3</v>
      </c>
      <c r="L23" s="395">
        <v>3.2199999999999998</v>
      </c>
      <c r="M23" s="396">
        <f t="shared" si="12"/>
        <v>1.0036515892313229</v>
      </c>
      <c r="N23" s="397">
        <v>2679.0400000000004</v>
      </c>
      <c r="O23" s="395">
        <v>0</v>
      </c>
      <c r="P23" s="396">
        <f t="shared" si="4"/>
        <v>0</v>
      </c>
      <c r="Q23" s="410">
        <f t="shared" si="5"/>
        <v>0</v>
      </c>
      <c r="R23" s="398">
        <f t="shared" si="6"/>
        <v>832</v>
      </c>
      <c r="S23" s="396">
        <f t="shared" si="7"/>
        <v>3.6515892313229111E-3</v>
      </c>
      <c r="T23" s="400" t="s">
        <v>176</v>
      </c>
      <c r="U23" s="400" t="s">
        <v>219</v>
      </c>
      <c r="V23" s="401" t="s">
        <v>637</v>
      </c>
      <c r="W23" s="401" t="s">
        <v>638</v>
      </c>
      <c r="X23" s="401">
        <v>1</v>
      </c>
      <c r="Y23" s="402" t="s">
        <v>345</v>
      </c>
    </row>
    <row r="24" spans="2:34" s="150" customFormat="1" ht="27" customHeight="1">
      <c r="B24" s="812"/>
      <c r="C24" s="813"/>
      <c r="D24" s="390">
        <v>18</v>
      </c>
      <c r="E24" s="393" t="s">
        <v>437</v>
      </c>
      <c r="F24" s="394">
        <v>2650.6372999999858</v>
      </c>
      <c r="G24" s="395">
        <v>1614.7100000000003</v>
      </c>
      <c r="H24" s="395">
        <v>1622.49</v>
      </c>
      <c r="I24" s="396">
        <f t="shared" si="10"/>
        <v>1.0048182026493919</v>
      </c>
      <c r="J24" s="395">
        <v>14.6</v>
      </c>
      <c r="K24" s="396">
        <f t="shared" si="11"/>
        <v>9.0418712957744726E-3</v>
      </c>
      <c r="L24" s="395">
        <v>157.87000000000003</v>
      </c>
      <c r="M24" s="396">
        <f t="shared" si="12"/>
        <v>1.0138600739451664</v>
      </c>
      <c r="N24" s="397">
        <v>3533.1305999999859</v>
      </c>
      <c r="O24" s="395">
        <v>5.5900000000000007</v>
      </c>
      <c r="P24" s="396">
        <f t="shared" si="4"/>
        <v>3.4619219550259799E-3</v>
      </c>
      <c r="Q24" s="410">
        <f t="shared" si="5"/>
        <v>882.49330000000032</v>
      </c>
      <c r="R24" s="398">
        <f t="shared" si="6"/>
        <v>16.789999999999655</v>
      </c>
      <c r="S24" s="396">
        <f t="shared" si="7"/>
        <v>1.0398151990140429E-2</v>
      </c>
      <c r="T24" s="400" t="s">
        <v>176</v>
      </c>
      <c r="U24" s="400" t="s">
        <v>466</v>
      </c>
      <c r="V24" s="401" t="s">
        <v>639</v>
      </c>
      <c r="W24" s="401" t="s">
        <v>525</v>
      </c>
      <c r="X24" s="401">
        <v>1</v>
      </c>
      <c r="Y24" s="402" t="s">
        <v>345</v>
      </c>
    </row>
    <row r="25" spans="2:34" s="150" customFormat="1" ht="27" customHeight="1">
      <c r="B25" s="812"/>
      <c r="C25" s="813"/>
      <c r="D25" s="390">
        <v>19</v>
      </c>
      <c r="E25" s="393" t="s">
        <v>341</v>
      </c>
      <c r="F25" s="394">
        <v>2492.8099999999954</v>
      </c>
      <c r="G25" s="395">
        <v>1697.08</v>
      </c>
      <c r="H25" s="395">
        <v>1618.42</v>
      </c>
      <c r="I25" s="396">
        <f t="shared" si="10"/>
        <v>0.95364979847738474</v>
      </c>
      <c r="J25" s="395">
        <v>124.1</v>
      </c>
      <c r="K25" s="396">
        <f t="shared" si="11"/>
        <v>7.3125603978598533E-2</v>
      </c>
      <c r="L25" s="395">
        <v>70.220000000000013</v>
      </c>
      <c r="M25" s="396">
        <f t="shared" si="12"/>
        <v>1.0267754024559832</v>
      </c>
      <c r="N25" s="397">
        <v>3190.7967999999955</v>
      </c>
      <c r="O25" s="395">
        <v>9.9400000000000013</v>
      </c>
      <c r="P25" s="396">
        <f t="shared" si="4"/>
        <v>5.8571192872463301E-3</v>
      </c>
      <c r="Q25" s="410">
        <f t="shared" si="5"/>
        <v>697.98680000000024</v>
      </c>
      <c r="R25" s="398">
        <f t="shared" si="6"/>
        <v>35.500000000000057</v>
      </c>
      <c r="S25" s="396">
        <f t="shared" si="7"/>
        <v>2.0918283168736923E-2</v>
      </c>
      <c r="T25" s="400" t="s">
        <v>176</v>
      </c>
      <c r="U25" s="400" t="s">
        <v>466</v>
      </c>
      <c r="V25" s="401" t="s">
        <v>535</v>
      </c>
      <c r="W25" s="401" t="s">
        <v>508</v>
      </c>
      <c r="X25" s="401">
        <v>1</v>
      </c>
      <c r="Y25" s="402" t="s">
        <v>348</v>
      </c>
    </row>
    <row r="26" spans="2:34" s="150" customFormat="1" ht="27" customHeight="1">
      <c r="B26" s="814"/>
      <c r="C26" s="815"/>
      <c r="D26" s="390">
        <v>20</v>
      </c>
      <c r="E26" s="393" t="s">
        <v>552</v>
      </c>
      <c r="F26" s="394">
        <v>2275.9439999999986</v>
      </c>
      <c r="G26" s="395">
        <v>1264.6399999999999</v>
      </c>
      <c r="H26" s="395">
        <v>1226.99</v>
      </c>
      <c r="I26" s="396">
        <f t="shared" si="10"/>
        <v>0.97022868168016208</v>
      </c>
      <c r="J26" s="395">
        <v>79.98</v>
      </c>
      <c r="K26" s="396">
        <f t="shared" si="11"/>
        <v>6.3243294534412964E-2</v>
      </c>
      <c r="L26" s="395">
        <v>65.12</v>
      </c>
      <c r="M26" s="396">
        <f t="shared" si="12"/>
        <v>1.033471976214575</v>
      </c>
      <c r="N26" s="397">
        <v>2756.5295999999989</v>
      </c>
      <c r="O26" s="395">
        <v>7.38</v>
      </c>
      <c r="P26" s="396">
        <f t="shared" si="4"/>
        <v>5.835652834008098E-3</v>
      </c>
      <c r="Q26" s="410">
        <f t="shared" si="5"/>
        <v>480.5856</v>
      </c>
      <c r="R26" s="398">
        <f t="shared" si="6"/>
        <v>34.950000000000152</v>
      </c>
      <c r="S26" s="396">
        <f t="shared" si="7"/>
        <v>2.7636323380566926E-2</v>
      </c>
      <c r="T26" s="400" t="s">
        <v>176</v>
      </c>
      <c r="U26" s="400" t="s">
        <v>219</v>
      </c>
      <c r="V26" s="401" t="s">
        <v>535</v>
      </c>
      <c r="W26" s="401" t="s">
        <v>508</v>
      </c>
      <c r="X26" s="401">
        <v>1</v>
      </c>
      <c r="Y26" s="402" t="s">
        <v>550</v>
      </c>
      <c r="AC26" s="406"/>
    </row>
    <row r="27" spans="2:34" ht="16.5" customHeight="1">
      <c r="B27" s="829" t="s">
        <v>489</v>
      </c>
      <c r="C27" s="830"/>
      <c r="D27" s="826" t="s">
        <v>172</v>
      </c>
      <c r="E27" s="826"/>
      <c r="F27" s="826"/>
      <c r="G27" s="826" t="s">
        <v>186</v>
      </c>
      <c r="H27" s="826"/>
      <c r="I27" s="826"/>
      <c r="J27" s="826"/>
      <c r="K27" s="826"/>
      <c r="L27" s="826"/>
      <c r="M27" s="826"/>
      <c r="N27" s="826"/>
      <c r="O27" s="826"/>
      <c r="P27" s="826"/>
      <c r="Q27" s="826"/>
      <c r="R27" s="826"/>
      <c r="S27" s="826"/>
      <c r="T27" s="826" t="s">
        <v>173</v>
      </c>
      <c r="U27" s="816" t="s">
        <v>248</v>
      </c>
      <c r="V27" s="847" t="s">
        <v>497</v>
      </c>
      <c r="W27" s="847" t="s">
        <v>491</v>
      </c>
      <c r="X27" s="838" t="s">
        <v>249</v>
      </c>
      <c r="Y27" s="827" t="s">
        <v>174</v>
      </c>
      <c r="AA27" s="826" t="s">
        <v>250</v>
      </c>
      <c r="AB27" s="826"/>
      <c r="AC27" s="826"/>
      <c r="AD27" s="826"/>
      <c r="AE27" s="826"/>
      <c r="AF27" s="826"/>
      <c r="AG27" s="826"/>
      <c r="AH27" s="826"/>
    </row>
    <row r="28" spans="2:34" ht="17.149999999999999" customHeight="1">
      <c r="B28" s="831"/>
      <c r="C28" s="832"/>
      <c r="D28" s="825" t="s">
        <v>171</v>
      </c>
      <c r="E28" s="826" t="s">
        <v>175</v>
      </c>
      <c r="F28" s="826"/>
      <c r="G28" s="826" t="s">
        <v>187</v>
      </c>
      <c r="H28" s="826"/>
      <c r="I28" s="826"/>
      <c r="J28" s="826"/>
      <c r="K28" s="826"/>
      <c r="L28" s="826"/>
      <c r="M28" s="826"/>
      <c r="N28" s="826"/>
      <c r="O28" s="826" t="s">
        <v>176</v>
      </c>
      <c r="P28" s="826"/>
      <c r="Q28" s="826"/>
      <c r="R28" s="826"/>
      <c r="S28" s="826"/>
      <c r="T28" s="826"/>
      <c r="U28" s="819"/>
      <c r="V28" s="839"/>
      <c r="W28" s="848"/>
      <c r="X28" s="839"/>
      <c r="Y28" s="827"/>
      <c r="AA28" s="826"/>
      <c r="AB28" s="826"/>
      <c r="AC28" s="826"/>
      <c r="AD28" s="826"/>
      <c r="AE28" s="826"/>
      <c r="AF28" s="826"/>
      <c r="AG28" s="826"/>
      <c r="AH28" s="826"/>
    </row>
    <row r="29" spans="2:34" ht="17.149999999999999" customHeight="1">
      <c r="B29" s="831"/>
      <c r="C29" s="832"/>
      <c r="D29" s="825"/>
      <c r="E29" s="825" t="s">
        <v>177</v>
      </c>
      <c r="F29" s="843" t="s">
        <v>498</v>
      </c>
      <c r="G29" s="828" t="s">
        <v>188</v>
      </c>
      <c r="H29" s="828"/>
      <c r="I29" s="828"/>
      <c r="J29" s="828"/>
      <c r="K29" s="828"/>
      <c r="L29" s="828"/>
      <c r="M29" s="828"/>
      <c r="N29" s="828"/>
      <c r="O29" s="844" t="s">
        <v>170</v>
      </c>
      <c r="P29" s="845"/>
      <c r="Q29" s="846"/>
      <c r="R29" s="828" t="s">
        <v>178</v>
      </c>
      <c r="S29" s="828"/>
      <c r="T29" s="826"/>
      <c r="U29" s="819"/>
      <c r="V29" s="839"/>
      <c r="W29" s="848"/>
      <c r="X29" s="839"/>
      <c r="Y29" s="827"/>
      <c r="AA29" s="826"/>
      <c r="AB29" s="826"/>
      <c r="AC29" s="826"/>
      <c r="AD29" s="826"/>
      <c r="AE29" s="826"/>
      <c r="AF29" s="826"/>
      <c r="AG29" s="826"/>
      <c r="AH29" s="826"/>
    </row>
    <row r="30" spans="2:34" ht="38.5" customHeight="1">
      <c r="B30" s="833"/>
      <c r="C30" s="834"/>
      <c r="D30" s="825"/>
      <c r="E30" s="825"/>
      <c r="F30" s="843"/>
      <c r="G30" s="391" t="s">
        <v>179</v>
      </c>
      <c r="H30" s="391" t="s">
        <v>255</v>
      </c>
      <c r="I30" s="391" t="s">
        <v>256</v>
      </c>
      <c r="J30" s="391" t="s">
        <v>180</v>
      </c>
      <c r="K30" s="391" t="s">
        <v>253</v>
      </c>
      <c r="L30" s="391" t="s">
        <v>181</v>
      </c>
      <c r="M30" s="391" t="s">
        <v>189</v>
      </c>
      <c r="N30" s="391" t="s">
        <v>182</v>
      </c>
      <c r="O30" s="392" t="s">
        <v>183</v>
      </c>
      <c r="P30" s="392" t="s">
        <v>184</v>
      </c>
      <c r="Q30" s="391" t="s">
        <v>185</v>
      </c>
      <c r="R30" s="392" t="s">
        <v>183</v>
      </c>
      <c r="S30" s="392" t="s">
        <v>184</v>
      </c>
      <c r="T30" s="826"/>
      <c r="U30" s="822"/>
      <c r="V30" s="840"/>
      <c r="W30" s="849"/>
      <c r="X30" s="840"/>
      <c r="Y30" s="827"/>
      <c r="AA30" s="163" t="s">
        <v>247</v>
      </c>
      <c r="AB30" s="163" t="s">
        <v>492</v>
      </c>
      <c r="AC30" s="158" t="s">
        <v>398</v>
      </c>
      <c r="AD30" s="158" t="s">
        <v>342</v>
      </c>
      <c r="AE30" s="158" t="s">
        <v>466</v>
      </c>
      <c r="AF30" s="158" t="s">
        <v>218</v>
      </c>
      <c r="AG30" s="158" t="s">
        <v>219</v>
      </c>
      <c r="AH30" s="158" t="s">
        <v>399</v>
      </c>
    </row>
    <row r="31" spans="2:34" s="150" customFormat="1" ht="27" customHeight="1">
      <c r="B31" s="810" t="s">
        <v>623</v>
      </c>
      <c r="C31" s="811"/>
      <c r="D31" s="390">
        <v>1</v>
      </c>
      <c r="E31" s="393" t="s">
        <v>340</v>
      </c>
      <c r="F31" s="394">
        <v>20547.319099999993</v>
      </c>
      <c r="G31" s="395">
        <v>4712.29</v>
      </c>
      <c r="H31" s="395">
        <v>4669.24</v>
      </c>
      <c r="I31" s="396">
        <f>H31/G31</f>
        <v>0.9908643143779351</v>
      </c>
      <c r="J31" s="395">
        <v>182.42</v>
      </c>
      <c r="K31" s="396">
        <f>J31/G31</f>
        <v>3.8711539400164252E-2</v>
      </c>
      <c r="L31" s="395">
        <v>147.43000000000004</v>
      </c>
      <c r="M31" s="396">
        <f>(H31+J31)/G31</f>
        <v>1.0295758537780995</v>
      </c>
      <c r="N31" s="397">
        <v>20547.319099999993</v>
      </c>
      <c r="O31" s="395">
        <v>0</v>
      </c>
      <c r="P31" s="396">
        <f>O31/G31</f>
        <v>0</v>
      </c>
      <c r="Q31" s="410">
        <f>O31*L31</f>
        <v>0</v>
      </c>
      <c r="R31" s="398">
        <f>((H31+J31)-G31)-O31</f>
        <v>139.36999999999989</v>
      </c>
      <c r="S31" s="396">
        <f>R31/G31</f>
        <v>2.9575853778099372E-2</v>
      </c>
      <c r="T31" s="400" t="s">
        <v>176</v>
      </c>
      <c r="U31" s="400" t="s">
        <v>218</v>
      </c>
      <c r="V31" s="401"/>
      <c r="W31" s="401"/>
      <c r="X31" s="401">
        <v>1</v>
      </c>
      <c r="Y31" s="402" t="s">
        <v>345</v>
      </c>
      <c r="Z31" s="403" t="s">
        <v>493</v>
      </c>
      <c r="AA31" s="404">
        <f>SUM(X31:X50)</f>
        <v>20</v>
      </c>
      <c r="AB31" s="405">
        <f>SUMIF($U$31:$U$50,TRIM(AB30),$X$31:$X$50)</f>
        <v>0</v>
      </c>
      <c r="AC31" s="405">
        <f t="shared" ref="AC31:AH31" si="13">SUMIF($U$31:$U$50,TRIM(AC30),$X$31:$X$50)</f>
        <v>0</v>
      </c>
      <c r="AD31" s="405">
        <f t="shared" si="13"/>
        <v>0</v>
      </c>
      <c r="AE31" s="405">
        <f t="shared" si="13"/>
        <v>16</v>
      </c>
      <c r="AF31" s="405">
        <f t="shared" si="13"/>
        <v>1</v>
      </c>
      <c r="AG31" s="405">
        <f t="shared" si="13"/>
        <v>3</v>
      </c>
      <c r="AH31" s="405">
        <f t="shared" si="13"/>
        <v>0</v>
      </c>
    </row>
    <row r="32" spans="2:34" s="150" customFormat="1" ht="27" customHeight="1">
      <c r="B32" s="812"/>
      <c r="C32" s="813"/>
      <c r="D32" s="390">
        <v>2</v>
      </c>
      <c r="E32" s="393" t="s">
        <v>372</v>
      </c>
      <c r="F32" s="394">
        <v>8742.8780999999926</v>
      </c>
      <c r="G32" s="395">
        <v>725.05</v>
      </c>
      <c r="H32" s="395">
        <v>718.33999999999992</v>
      </c>
      <c r="I32" s="396">
        <f t="shared" ref="I32:I33" si="14">H32/G32</f>
        <v>0.99074546582994272</v>
      </c>
      <c r="J32" s="395">
        <v>27.2</v>
      </c>
      <c r="K32" s="396">
        <f t="shared" ref="K32:K37" si="15">J32/G32</f>
        <v>3.751465416178195E-2</v>
      </c>
      <c r="L32" s="395">
        <v>426.69</v>
      </c>
      <c r="M32" s="396">
        <f t="shared" ref="M32:M37" si="16">(H32+J32)/G32</f>
        <v>1.0282601199917247</v>
      </c>
      <c r="N32" s="397">
        <v>8742.8780999999926</v>
      </c>
      <c r="O32" s="395">
        <v>0</v>
      </c>
      <c r="P32" s="396">
        <f t="shared" ref="P32:P50" si="17">O32/G32</f>
        <v>0</v>
      </c>
      <c r="Q32" s="410">
        <f t="shared" ref="Q32:Q50" si="18">O32*L32</f>
        <v>0</v>
      </c>
      <c r="R32" s="398">
        <f t="shared" ref="R32:R50" si="19">((H32+J32)-G32)-O32</f>
        <v>20.490000000000009</v>
      </c>
      <c r="S32" s="396">
        <f t="shared" ref="S32:S50" si="20">R32/G32</f>
        <v>2.8260119991724723E-2</v>
      </c>
      <c r="T32" s="400" t="s">
        <v>176</v>
      </c>
      <c r="U32" s="400" t="s">
        <v>466</v>
      </c>
      <c r="V32" s="401"/>
      <c r="W32" s="401"/>
      <c r="X32" s="401">
        <v>1</v>
      </c>
      <c r="Y32" s="402" t="s">
        <v>373</v>
      </c>
      <c r="AA32" s="404"/>
      <c r="AB32" s="411">
        <f>SUMIF($U$31:$U$50,TRIM(AB30),$F$31:$F$50)</f>
        <v>0</v>
      </c>
      <c r="AC32" s="411">
        <f t="shared" ref="AC32:AH32" si="21">SUMIF($U$31:$U$50,TRIM(AC30),$F$31:$F$50)</f>
        <v>0</v>
      </c>
      <c r="AD32" s="411">
        <f t="shared" si="21"/>
        <v>0</v>
      </c>
      <c r="AE32" s="411">
        <f t="shared" si="21"/>
        <v>77263.155899999925</v>
      </c>
      <c r="AF32" s="411">
        <f t="shared" si="21"/>
        <v>20547.319099999993</v>
      </c>
      <c r="AG32" s="411">
        <f t="shared" si="21"/>
        <v>9407.677399999975</v>
      </c>
      <c r="AH32" s="411">
        <f t="shared" si="21"/>
        <v>0</v>
      </c>
    </row>
    <row r="33" spans="2:34" s="150" customFormat="1" ht="27" customHeight="1">
      <c r="B33" s="812"/>
      <c r="C33" s="813"/>
      <c r="D33" s="390">
        <v>3</v>
      </c>
      <c r="E33" s="393" t="s">
        <v>401</v>
      </c>
      <c r="F33" s="394">
        <v>8712.2959999999857</v>
      </c>
      <c r="G33" s="395">
        <v>4405.66</v>
      </c>
      <c r="H33" s="395">
        <v>4256.76</v>
      </c>
      <c r="I33" s="396">
        <f t="shared" si="14"/>
        <v>0.96620256669829274</v>
      </c>
      <c r="J33" s="395">
        <v>217.97</v>
      </c>
      <c r="K33" s="396">
        <f t="shared" si="15"/>
        <v>4.94749935310487E-2</v>
      </c>
      <c r="L33" s="395">
        <v>127.84000000000002</v>
      </c>
      <c r="M33" s="396">
        <f t="shared" si="16"/>
        <v>1.0156775602293415</v>
      </c>
      <c r="N33" s="397">
        <v>8829.9087999999847</v>
      </c>
      <c r="O33" s="395">
        <v>0.92</v>
      </c>
      <c r="P33" s="396">
        <f t="shared" si="17"/>
        <v>2.0882228769355786E-4</v>
      </c>
      <c r="Q33" s="410">
        <f t="shared" si="18"/>
        <v>117.61280000000002</v>
      </c>
      <c r="R33" s="398">
        <f t="shared" si="19"/>
        <v>68.150000000000617</v>
      </c>
      <c r="S33" s="396">
        <f t="shared" si="20"/>
        <v>1.546873794164793E-2</v>
      </c>
      <c r="T33" s="400" t="s">
        <v>176</v>
      </c>
      <c r="U33" s="400" t="s">
        <v>466</v>
      </c>
      <c r="V33" s="401"/>
      <c r="W33" s="401"/>
      <c r="X33" s="401">
        <v>1</v>
      </c>
      <c r="Y33" s="402" t="s">
        <v>345</v>
      </c>
      <c r="AA33" s="390"/>
      <c r="AB33" s="412">
        <f>AB31/$AA31</f>
        <v>0</v>
      </c>
      <c r="AC33" s="412">
        <f t="shared" ref="AC33:AH33" si="22">AC31/$AA31</f>
        <v>0</v>
      </c>
      <c r="AD33" s="412">
        <f t="shared" si="22"/>
        <v>0</v>
      </c>
      <c r="AE33" s="412">
        <f t="shared" si="22"/>
        <v>0.8</v>
      </c>
      <c r="AF33" s="412">
        <f t="shared" si="22"/>
        <v>0.05</v>
      </c>
      <c r="AG33" s="412">
        <f t="shared" si="22"/>
        <v>0.15</v>
      </c>
      <c r="AH33" s="412">
        <f t="shared" si="22"/>
        <v>0</v>
      </c>
    </row>
    <row r="34" spans="2:34" s="150" customFormat="1" ht="27" customHeight="1">
      <c r="B34" s="812"/>
      <c r="C34" s="813"/>
      <c r="D34" s="390">
        <v>4</v>
      </c>
      <c r="E34" s="393" t="s">
        <v>661</v>
      </c>
      <c r="F34" s="394">
        <v>6208.6949999999979</v>
      </c>
      <c r="G34" s="395">
        <v>2408.4</v>
      </c>
      <c r="H34" s="395">
        <v>2348.46</v>
      </c>
      <c r="I34" s="396">
        <f>H34/G34</f>
        <v>0.97511210762331835</v>
      </c>
      <c r="J34" s="395">
        <v>136.93</v>
      </c>
      <c r="K34" s="396">
        <f t="shared" si="15"/>
        <v>5.6855173559209438E-2</v>
      </c>
      <c r="L34" s="395">
        <v>84.3</v>
      </c>
      <c r="M34" s="396">
        <f t="shared" si="16"/>
        <v>1.0319672811825278</v>
      </c>
      <c r="N34" s="397">
        <v>6490.2569999999996</v>
      </c>
      <c r="O34" s="395">
        <v>3.34</v>
      </c>
      <c r="P34" s="396">
        <f t="shared" si="17"/>
        <v>1.3868128217904001E-3</v>
      </c>
      <c r="Q34" s="410">
        <f t="shared" si="18"/>
        <v>281.56199999999995</v>
      </c>
      <c r="R34" s="398">
        <f t="shared" si="19"/>
        <v>73.649999999999778</v>
      </c>
      <c r="S34" s="396">
        <f t="shared" si="20"/>
        <v>3.0580468360737325E-2</v>
      </c>
      <c r="T34" s="400" t="s">
        <v>176</v>
      </c>
      <c r="U34" s="400" t="s">
        <v>466</v>
      </c>
      <c r="V34" s="401"/>
      <c r="W34" s="401"/>
      <c r="X34" s="401">
        <v>1</v>
      </c>
      <c r="Y34" s="402" t="s">
        <v>614</v>
      </c>
    </row>
    <row r="35" spans="2:34" s="150" customFormat="1" ht="27" customHeight="1">
      <c r="B35" s="812"/>
      <c r="C35" s="813"/>
      <c r="D35" s="390">
        <v>5</v>
      </c>
      <c r="E35" s="393" t="s">
        <v>516</v>
      </c>
      <c r="F35" s="394">
        <v>5956.2491999999975</v>
      </c>
      <c r="G35" s="395">
        <v>1272.3500000000001</v>
      </c>
      <c r="H35" s="395">
        <v>1248.8300000000002</v>
      </c>
      <c r="I35" s="396">
        <f t="shared" ref="I35:I50" si="23">H35/G35</f>
        <v>0.98151452037568276</v>
      </c>
      <c r="J35" s="395">
        <v>68.290000000000006</v>
      </c>
      <c r="K35" s="396">
        <f t="shared" si="15"/>
        <v>5.3672338586080871E-2</v>
      </c>
      <c r="L35" s="395">
        <v>144.78</v>
      </c>
      <c r="M35" s="396">
        <f t="shared" si="16"/>
        <v>1.0351868589617637</v>
      </c>
      <c r="N35" s="397">
        <v>6481.8005999999978</v>
      </c>
      <c r="O35" s="395">
        <v>3.63</v>
      </c>
      <c r="P35" s="396">
        <f t="shared" si="17"/>
        <v>2.8529885644673239E-3</v>
      </c>
      <c r="Q35" s="410">
        <f t="shared" si="18"/>
        <v>525.55139999999994</v>
      </c>
      <c r="R35" s="398">
        <f t="shared" si="19"/>
        <v>41.139999999999979</v>
      </c>
      <c r="S35" s="396">
        <f t="shared" si="20"/>
        <v>3.2333870397296322E-2</v>
      </c>
      <c r="T35" s="400" t="s">
        <v>176</v>
      </c>
      <c r="U35" s="400" t="s">
        <v>466</v>
      </c>
      <c r="V35" s="401"/>
      <c r="W35" s="401"/>
      <c r="X35" s="401">
        <v>1</v>
      </c>
      <c r="Y35" s="402" t="s">
        <v>512</v>
      </c>
    </row>
    <row r="36" spans="2:34" s="150" customFormat="1" ht="27" customHeight="1">
      <c r="B36" s="812"/>
      <c r="C36" s="813"/>
      <c r="D36" s="390">
        <v>6</v>
      </c>
      <c r="E36" s="393" t="s">
        <v>662</v>
      </c>
      <c r="F36" s="394">
        <v>4538.371599999994</v>
      </c>
      <c r="G36" s="395">
        <v>2517.6200000000003</v>
      </c>
      <c r="H36" s="395">
        <v>2368.89</v>
      </c>
      <c r="I36" s="396">
        <f t="shared" si="23"/>
        <v>0.94092436507495159</v>
      </c>
      <c r="J36" s="395">
        <v>190.35</v>
      </c>
      <c r="K36" s="396">
        <f t="shared" si="15"/>
        <v>7.5607121011113665E-2</v>
      </c>
      <c r="L36" s="395">
        <v>118.30999999999997</v>
      </c>
      <c r="M36" s="396">
        <f t="shared" si="16"/>
        <v>1.0165314860860653</v>
      </c>
      <c r="N36" s="397">
        <v>4924.0621999999939</v>
      </c>
      <c r="O36" s="395">
        <v>3.2600000000000002</v>
      </c>
      <c r="P36" s="396">
        <f t="shared" si="17"/>
        <v>1.2948737299513032E-3</v>
      </c>
      <c r="Q36" s="410">
        <f t="shared" si="18"/>
        <v>385.69059999999996</v>
      </c>
      <c r="R36" s="398">
        <f t="shared" si="19"/>
        <v>38.359999999999438</v>
      </c>
      <c r="S36" s="396">
        <f t="shared" si="20"/>
        <v>1.5236612356113883E-2</v>
      </c>
      <c r="T36" s="400" t="s">
        <v>176</v>
      </c>
      <c r="U36" s="400" t="s">
        <v>466</v>
      </c>
      <c r="V36" s="401"/>
      <c r="W36" s="401"/>
      <c r="X36" s="401">
        <v>1</v>
      </c>
      <c r="Y36" s="402" t="s">
        <v>613</v>
      </c>
    </row>
    <row r="37" spans="2:34" s="150" customFormat="1" ht="27" customHeight="1">
      <c r="B37" s="812"/>
      <c r="C37" s="813"/>
      <c r="D37" s="390">
        <v>7</v>
      </c>
      <c r="E37" s="393" t="s">
        <v>341</v>
      </c>
      <c r="F37" s="394">
        <v>4453.3523999999952</v>
      </c>
      <c r="G37" s="395">
        <v>1712.9</v>
      </c>
      <c r="H37" s="395">
        <v>1626.6399999999999</v>
      </c>
      <c r="I37" s="396">
        <f t="shared" si="23"/>
        <v>0.94964095977581864</v>
      </c>
      <c r="J37" s="395">
        <v>157.79999999999998</v>
      </c>
      <c r="K37" s="396">
        <f t="shared" si="15"/>
        <v>9.2124467277716143E-2</v>
      </c>
      <c r="L37" s="395">
        <v>70.220000000000013</v>
      </c>
      <c r="M37" s="396">
        <f t="shared" si="16"/>
        <v>1.0417654270535348</v>
      </c>
      <c r="N37" s="397">
        <v>5023.5387999999948</v>
      </c>
      <c r="O37" s="395">
        <v>8.120000000000001</v>
      </c>
      <c r="P37" s="396">
        <f t="shared" si="17"/>
        <v>4.7404985696771563E-3</v>
      </c>
      <c r="Q37" s="410">
        <f t="shared" si="18"/>
        <v>570.18640000000016</v>
      </c>
      <c r="R37" s="398">
        <f t="shared" si="19"/>
        <v>63.419999999999732</v>
      </c>
      <c r="S37" s="396">
        <f t="shared" si="20"/>
        <v>3.7024928483857626E-2</v>
      </c>
      <c r="T37" s="400" t="s">
        <v>176</v>
      </c>
      <c r="U37" s="400" t="s">
        <v>466</v>
      </c>
      <c r="V37" s="401"/>
      <c r="W37" s="401"/>
      <c r="X37" s="401">
        <v>1</v>
      </c>
      <c r="Y37" s="402" t="s">
        <v>348</v>
      </c>
    </row>
    <row r="38" spans="2:34" s="150" customFormat="1" ht="27" customHeight="1">
      <c r="B38" s="812"/>
      <c r="C38" s="813"/>
      <c r="D38" s="390">
        <v>8</v>
      </c>
      <c r="E38" s="393" t="s">
        <v>437</v>
      </c>
      <c r="F38" s="394">
        <v>4429.8321999999953</v>
      </c>
      <c r="G38" s="395">
        <v>1800.52</v>
      </c>
      <c r="H38" s="395">
        <v>1811.5</v>
      </c>
      <c r="I38" s="396">
        <f t="shared" si="23"/>
        <v>1.0060982382867172</v>
      </c>
      <c r="J38" s="395">
        <v>17.96</v>
      </c>
      <c r="K38" s="396">
        <f>J38/G38</f>
        <v>9.9748961411147904E-3</v>
      </c>
      <c r="L38" s="395">
        <v>157.87000000000003</v>
      </c>
      <c r="M38" s="396">
        <f>(H38+J38)/G38</f>
        <v>1.016073134427832</v>
      </c>
      <c r="N38" s="397">
        <v>4568.7577999999949</v>
      </c>
      <c r="O38" s="395">
        <v>0.88</v>
      </c>
      <c r="P38" s="396">
        <f t="shared" si="17"/>
        <v>4.8874769511030145E-4</v>
      </c>
      <c r="Q38" s="410">
        <f t="shared" si="18"/>
        <v>138.92560000000003</v>
      </c>
      <c r="R38" s="398">
        <f t="shared" si="19"/>
        <v>28.060000000000056</v>
      </c>
      <c r="S38" s="396">
        <f t="shared" si="20"/>
        <v>1.5584386732721689E-2</v>
      </c>
      <c r="T38" s="400" t="s">
        <v>176</v>
      </c>
      <c r="U38" s="400" t="s">
        <v>466</v>
      </c>
      <c r="V38" s="401"/>
      <c r="W38" s="401"/>
      <c r="X38" s="401">
        <v>1</v>
      </c>
      <c r="Y38" s="402" t="s">
        <v>345</v>
      </c>
    </row>
    <row r="39" spans="2:34" s="150" customFormat="1" ht="27" customHeight="1">
      <c r="B39" s="812"/>
      <c r="C39" s="813"/>
      <c r="D39" s="390">
        <v>9</v>
      </c>
      <c r="E39" s="393" t="s">
        <v>608</v>
      </c>
      <c r="F39" s="394">
        <v>4369.6547999999948</v>
      </c>
      <c r="G39" s="395">
        <v>1105.4100000000001</v>
      </c>
      <c r="H39" s="395">
        <v>1095.6599999999999</v>
      </c>
      <c r="I39" s="396">
        <f t="shared" si="23"/>
        <v>0.99117974326268066</v>
      </c>
      <c r="J39" s="395">
        <v>27.74</v>
      </c>
      <c r="K39" s="396">
        <f t="shared" ref="K39:K50" si="24">J39/G39</f>
        <v>2.5094761219818889E-2</v>
      </c>
      <c r="L39" s="395">
        <v>266.27999999999997</v>
      </c>
      <c r="M39" s="396">
        <f t="shared" ref="M39:M50" si="25">(H39+J39)/G39</f>
        <v>1.0162745044824995</v>
      </c>
      <c r="N39" s="397">
        <v>4790.3771999999944</v>
      </c>
      <c r="O39" s="395">
        <v>1.58</v>
      </c>
      <c r="P39" s="396">
        <f t="shared" si="17"/>
        <v>1.4293339123040319E-3</v>
      </c>
      <c r="Q39" s="410">
        <f t="shared" si="18"/>
        <v>420.72239999999999</v>
      </c>
      <c r="R39" s="398">
        <f t="shared" si="19"/>
        <v>16.409999999999783</v>
      </c>
      <c r="S39" s="396">
        <f t="shared" si="20"/>
        <v>1.4845170570195477E-2</v>
      </c>
      <c r="T39" s="400" t="s">
        <v>176</v>
      </c>
      <c r="U39" s="400" t="s">
        <v>466</v>
      </c>
      <c r="V39" s="401"/>
      <c r="W39" s="401"/>
      <c r="X39" s="401">
        <v>1</v>
      </c>
      <c r="Y39" s="402" t="s">
        <v>609</v>
      </c>
    </row>
    <row r="40" spans="2:34" s="150" customFormat="1" ht="27" customHeight="1">
      <c r="B40" s="812"/>
      <c r="C40" s="813"/>
      <c r="D40" s="390">
        <v>10</v>
      </c>
      <c r="E40" s="393" t="s">
        <v>540</v>
      </c>
      <c r="F40" s="394">
        <v>4333.2299999999905</v>
      </c>
      <c r="G40" s="395">
        <v>756.96</v>
      </c>
      <c r="H40" s="395">
        <v>703.01</v>
      </c>
      <c r="I40" s="396">
        <f t="shared" si="23"/>
        <v>0.92872807017543857</v>
      </c>
      <c r="J40" s="395">
        <v>81.97</v>
      </c>
      <c r="K40" s="396">
        <f t="shared" si="24"/>
        <v>0.10828841682519551</v>
      </c>
      <c r="L40" s="395">
        <v>160.49</v>
      </c>
      <c r="M40" s="396">
        <f t="shared" si="25"/>
        <v>1.037016487000634</v>
      </c>
      <c r="N40" s="397">
        <v>4496.9297999999908</v>
      </c>
      <c r="O40" s="395">
        <v>1.02</v>
      </c>
      <c r="P40" s="396">
        <f t="shared" si="17"/>
        <v>1.3474952441344325E-3</v>
      </c>
      <c r="Q40" s="410">
        <f t="shared" si="18"/>
        <v>163.69980000000001</v>
      </c>
      <c r="R40" s="398">
        <f t="shared" si="19"/>
        <v>26.999999999999982</v>
      </c>
      <c r="S40" s="396">
        <f t="shared" si="20"/>
        <v>3.5668991756499659E-2</v>
      </c>
      <c r="T40" s="400" t="s">
        <v>176</v>
      </c>
      <c r="U40" s="400" t="s">
        <v>466</v>
      </c>
      <c r="V40" s="401"/>
      <c r="W40" s="401"/>
      <c r="X40" s="401">
        <v>1</v>
      </c>
      <c r="Y40" s="402" t="s">
        <v>472</v>
      </c>
    </row>
    <row r="41" spans="2:34" s="150" customFormat="1" ht="27" customHeight="1">
      <c r="B41" s="812"/>
      <c r="C41" s="813"/>
      <c r="D41" s="390">
        <v>11</v>
      </c>
      <c r="E41" s="393" t="s">
        <v>462</v>
      </c>
      <c r="F41" s="394">
        <v>4229.0135000000028</v>
      </c>
      <c r="G41" s="395">
        <v>1837.2199999999998</v>
      </c>
      <c r="H41" s="395">
        <v>1797.75</v>
      </c>
      <c r="I41" s="396">
        <f t="shared" si="23"/>
        <v>0.97851645420798827</v>
      </c>
      <c r="J41" s="395">
        <v>109.55</v>
      </c>
      <c r="K41" s="396">
        <f t="shared" si="24"/>
        <v>5.9628133810866422E-2</v>
      </c>
      <c r="L41" s="395">
        <v>66.13</v>
      </c>
      <c r="M41" s="396">
        <f t="shared" si="25"/>
        <v>1.0381445880188547</v>
      </c>
      <c r="N41" s="397">
        <v>4634.390400000002</v>
      </c>
      <c r="O41" s="395">
        <v>6.1300000000000008</v>
      </c>
      <c r="P41" s="396">
        <f t="shared" si="17"/>
        <v>3.3365628503935303E-3</v>
      </c>
      <c r="Q41" s="410">
        <f t="shared" si="18"/>
        <v>405.37690000000003</v>
      </c>
      <c r="R41" s="398">
        <f t="shared" si="19"/>
        <v>63.950000000000152</v>
      </c>
      <c r="S41" s="396">
        <f t="shared" si="20"/>
        <v>3.4808025168461133E-2</v>
      </c>
      <c r="T41" s="400" t="s">
        <v>176</v>
      </c>
      <c r="U41" s="400" t="s">
        <v>466</v>
      </c>
      <c r="V41" s="401"/>
      <c r="W41" s="401"/>
      <c r="X41" s="401">
        <v>1</v>
      </c>
      <c r="Y41" s="402" t="s">
        <v>346</v>
      </c>
    </row>
    <row r="42" spans="2:34" s="150" customFormat="1" ht="27" customHeight="1">
      <c r="B42" s="812"/>
      <c r="C42" s="813"/>
      <c r="D42" s="390">
        <v>12</v>
      </c>
      <c r="E42" s="393" t="s">
        <v>471</v>
      </c>
      <c r="F42" s="394">
        <v>4159.9819999999945</v>
      </c>
      <c r="G42" s="395">
        <v>475.81</v>
      </c>
      <c r="H42" s="395">
        <v>468.67000000000007</v>
      </c>
      <c r="I42" s="396">
        <f t="shared" si="23"/>
        <v>0.98499401021416122</v>
      </c>
      <c r="J42" s="395">
        <v>19.959999999999997</v>
      </c>
      <c r="K42" s="396">
        <f t="shared" si="24"/>
        <v>4.1949517664614022E-2</v>
      </c>
      <c r="L42" s="395">
        <v>368.13999999999993</v>
      </c>
      <c r="M42" s="396">
        <f t="shared" si="25"/>
        <v>1.0269435278787753</v>
      </c>
      <c r="N42" s="397">
        <v>4719.5547999999944</v>
      </c>
      <c r="O42" s="395">
        <v>1.52</v>
      </c>
      <c r="P42" s="396">
        <f t="shared" si="17"/>
        <v>3.1945524474054771E-3</v>
      </c>
      <c r="Q42" s="410">
        <f t="shared" si="18"/>
        <v>559.57279999999992</v>
      </c>
      <c r="R42" s="398">
        <f t="shared" si="19"/>
        <v>11.30000000000005</v>
      </c>
      <c r="S42" s="396">
        <f t="shared" si="20"/>
        <v>2.3748975431369772E-2</v>
      </c>
      <c r="T42" s="400" t="s">
        <v>176</v>
      </c>
      <c r="U42" s="400" t="s">
        <v>466</v>
      </c>
      <c r="V42" s="401"/>
      <c r="W42" s="401"/>
      <c r="X42" s="401">
        <v>1</v>
      </c>
      <c r="Y42" s="402" t="s">
        <v>472</v>
      </c>
    </row>
    <row r="43" spans="2:34" s="150" customFormat="1" ht="27" customHeight="1">
      <c r="B43" s="812"/>
      <c r="C43" s="813"/>
      <c r="D43" s="390">
        <v>13</v>
      </c>
      <c r="E43" s="393" t="s">
        <v>370</v>
      </c>
      <c r="F43" s="394">
        <v>4116.6125000000029</v>
      </c>
      <c r="G43" s="395">
        <v>1178.2</v>
      </c>
      <c r="H43" s="395">
        <v>1191.5</v>
      </c>
      <c r="I43" s="396">
        <f t="shared" si="23"/>
        <v>1.0112884060431166</v>
      </c>
      <c r="J43" s="395">
        <v>13.650000000000002</v>
      </c>
      <c r="K43" s="396">
        <f t="shared" si="24"/>
        <v>1.1585469360040741E-2</v>
      </c>
      <c r="L43" s="395">
        <v>152.75</v>
      </c>
      <c r="M43" s="396">
        <f t="shared" si="25"/>
        <v>1.0228738754031574</v>
      </c>
      <c r="N43" s="397">
        <v>4116.6125000000029</v>
      </c>
      <c r="O43" s="395">
        <v>0</v>
      </c>
      <c r="P43" s="396">
        <f t="shared" si="17"/>
        <v>0</v>
      </c>
      <c r="Q43" s="410">
        <f t="shared" si="18"/>
        <v>0</v>
      </c>
      <c r="R43" s="398">
        <f t="shared" si="19"/>
        <v>26.950000000000045</v>
      </c>
      <c r="S43" s="396">
        <f t="shared" si="20"/>
        <v>2.2873875403157395E-2</v>
      </c>
      <c r="T43" s="400" t="s">
        <v>176</v>
      </c>
      <c r="U43" s="400" t="s">
        <v>466</v>
      </c>
      <c r="V43" s="401"/>
      <c r="W43" s="401"/>
      <c r="X43" s="401">
        <v>1</v>
      </c>
      <c r="Y43" s="402" t="s">
        <v>373</v>
      </c>
    </row>
    <row r="44" spans="2:34" s="150" customFormat="1" ht="27" customHeight="1">
      <c r="B44" s="812"/>
      <c r="C44" s="813"/>
      <c r="D44" s="390">
        <v>14</v>
      </c>
      <c r="E44" s="393" t="s">
        <v>464</v>
      </c>
      <c r="F44" s="394">
        <v>4099.8120000000054</v>
      </c>
      <c r="G44" s="395">
        <v>1316.16</v>
      </c>
      <c r="H44" s="395">
        <v>1271.1600000000001</v>
      </c>
      <c r="I44" s="396">
        <f t="shared" si="23"/>
        <v>0.9658096280087527</v>
      </c>
      <c r="J44" s="395">
        <v>88.999999999999986</v>
      </c>
      <c r="K44" s="396">
        <f t="shared" si="24"/>
        <v>6.7620957938244575E-2</v>
      </c>
      <c r="L44" s="395">
        <v>99.51</v>
      </c>
      <c r="M44" s="396">
        <f t="shared" si="25"/>
        <v>1.0334305859469972</v>
      </c>
      <c r="N44" s="397">
        <v>4378.4400000000051</v>
      </c>
      <c r="O44" s="395">
        <v>2.8</v>
      </c>
      <c r="P44" s="396">
        <f t="shared" si="17"/>
        <v>2.1274009238998297E-3</v>
      </c>
      <c r="Q44" s="410">
        <f t="shared" si="18"/>
        <v>278.62799999999999</v>
      </c>
      <c r="R44" s="398">
        <f t="shared" si="19"/>
        <v>41.2</v>
      </c>
      <c r="S44" s="396">
        <f t="shared" si="20"/>
        <v>3.1303185023097493E-2</v>
      </c>
      <c r="T44" s="400" t="s">
        <v>176</v>
      </c>
      <c r="U44" s="400" t="s">
        <v>466</v>
      </c>
      <c r="V44" s="401"/>
      <c r="W44" s="401"/>
      <c r="X44" s="401">
        <v>1</v>
      </c>
      <c r="Y44" s="402" t="s">
        <v>359</v>
      </c>
      <c r="AC44" s="407"/>
    </row>
    <row r="45" spans="2:34" s="150" customFormat="1" ht="27" customHeight="1">
      <c r="B45" s="812"/>
      <c r="C45" s="813"/>
      <c r="D45" s="390">
        <v>15</v>
      </c>
      <c r="E45" s="393" t="s">
        <v>539</v>
      </c>
      <c r="F45" s="394">
        <v>3763.4401999999886</v>
      </c>
      <c r="G45" s="395">
        <v>1184.57</v>
      </c>
      <c r="H45" s="395">
        <v>1189.57</v>
      </c>
      <c r="I45" s="396">
        <f t="shared" si="23"/>
        <v>1.0042209409321525</v>
      </c>
      <c r="J45" s="395">
        <v>5.25</v>
      </c>
      <c r="K45" s="396">
        <f t="shared" si="24"/>
        <v>4.4319879787602257E-3</v>
      </c>
      <c r="L45" s="395">
        <v>407.74000000000007</v>
      </c>
      <c r="M45" s="396">
        <f t="shared" si="25"/>
        <v>1.0086529289109127</v>
      </c>
      <c r="N45" s="397">
        <v>4179.3349999999891</v>
      </c>
      <c r="O45" s="395">
        <v>1.02</v>
      </c>
      <c r="P45" s="396">
        <f t="shared" si="17"/>
        <v>8.6107195015912958E-4</v>
      </c>
      <c r="Q45" s="410">
        <f t="shared" si="18"/>
        <v>415.89480000000009</v>
      </c>
      <c r="R45" s="398">
        <f t="shared" si="19"/>
        <v>9.23</v>
      </c>
      <c r="S45" s="396">
        <f t="shared" si="20"/>
        <v>7.7918569607536917E-3</v>
      </c>
      <c r="T45" s="400" t="s">
        <v>176</v>
      </c>
      <c r="U45" s="400" t="s">
        <v>219</v>
      </c>
      <c r="V45" s="400"/>
      <c r="W45" s="401"/>
      <c r="X45" s="401">
        <v>1</v>
      </c>
      <c r="Y45" s="402" t="s">
        <v>541</v>
      </c>
      <c r="AC45" s="406"/>
    </row>
    <row r="46" spans="2:34" s="150" customFormat="1" ht="27" customHeight="1">
      <c r="B46" s="812"/>
      <c r="C46" s="813"/>
      <c r="D46" s="390">
        <v>16</v>
      </c>
      <c r="E46" s="393" t="s">
        <v>663</v>
      </c>
      <c r="F46" s="394">
        <v>3757.975299999991</v>
      </c>
      <c r="G46" s="395">
        <v>885.72</v>
      </c>
      <c r="H46" s="395">
        <v>862.19</v>
      </c>
      <c r="I46" s="396">
        <f t="shared" si="23"/>
        <v>0.97343404236101705</v>
      </c>
      <c r="J46" s="395">
        <v>57.07</v>
      </c>
      <c r="K46" s="396">
        <f t="shared" si="24"/>
        <v>6.4433455268030529E-2</v>
      </c>
      <c r="L46" s="395">
        <v>128.38999999999999</v>
      </c>
      <c r="M46" s="396">
        <f t="shared" si="25"/>
        <v>1.0378674976290476</v>
      </c>
      <c r="N46" s="397">
        <v>4306.200599999991</v>
      </c>
      <c r="O46" s="395">
        <v>4.2700000000000005</v>
      </c>
      <c r="P46" s="396">
        <f t="shared" si="17"/>
        <v>4.8209366391184574E-3</v>
      </c>
      <c r="Q46" s="410">
        <f t="shared" si="18"/>
        <v>548.22529999999995</v>
      </c>
      <c r="R46" s="398">
        <f t="shared" si="19"/>
        <v>29.270000000000078</v>
      </c>
      <c r="S46" s="396">
        <f t="shared" si="20"/>
        <v>3.3046560989929183E-2</v>
      </c>
      <c r="T46" s="400" t="s">
        <v>176</v>
      </c>
      <c r="U46" s="400" t="s">
        <v>466</v>
      </c>
      <c r="V46" s="401"/>
      <c r="W46" s="401"/>
      <c r="X46" s="401">
        <v>1</v>
      </c>
      <c r="Y46" s="402" t="s">
        <v>361</v>
      </c>
      <c r="AC46" s="406"/>
    </row>
    <row r="47" spans="2:34" s="150" customFormat="1" ht="27" customHeight="1">
      <c r="B47" s="812"/>
      <c r="C47" s="813"/>
      <c r="D47" s="390">
        <v>17</v>
      </c>
      <c r="E47" s="393" t="s">
        <v>524</v>
      </c>
      <c r="F47" s="394">
        <v>3477.177199999986</v>
      </c>
      <c r="G47" s="395">
        <v>1113.6600000000001</v>
      </c>
      <c r="H47" s="395">
        <v>1107.47</v>
      </c>
      <c r="I47" s="396">
        <f t="shared" si="23"/>
        <v>0.99444175062406837</v>
      </c>
      <c r="J47" s="395">
        <v>12.59</v>
      </c>
      <c r="K47" s="396">
        <f t="shared" si="24"/>
        <v>1.1305066178187238E-2</v>
      </c>
      <c r="L47" s="395">
        <v>605.77999999999986</v>
      </c>
      <c r="M47" s="396">
        <f t="shared" si="25"/>
        <v>1.0057468168022554</v>
      </c>
      <c r="N47" s="397">
        <v>3876.9919999999861</v>
      </c>
      <c r="O47" s="395">
        <v>0.66</v>
      </c>
      <c r="P47" s="396">
        <f t="shared" si="17"/>
        <v>5.9264048273261134E-4</v>
      </c>
      <c r="Q47" s="410">
        <f t="shared" si="18"/>
        <v>399.81479999999993</v>
      </c>
      <c r="R47" s="398">
        <f t="shared" si="19"/>
        <v>5.7399999999998634</v>
      </c>
      <c r="S47" s="396">
        <f t="shared" si="20"/>
        <v>5.1541763195228915E-3</v>
      </c>
      <c r="T47" s="400" t="s">
        <v>176</v>
      </c>
      <c r="U47" s="400" t="s">
        <v>219</v>
      </c>
      <c r="V47" s="401"/>
      <c r="W47" s="401"/>
      <c r="X47" s="401">
        <v>1</v>
      </c>
      <c r="Y47" s="402" t="s">
        <v>347</v>
      </c>
      <c r="AB47" s="408"/>
      <c r="AC47" s="406"/>
    </row>
    <row r="48" spans="2:34" s="150" customFormat="1" ht="27" customHeight="1">
      <c r="B48" s="812"/>
      <c r="C48" s="813"/>
      <c r="D48" s="390">
        <v>18</v>
      </c>
      <c r="E48" s="393" t="s">
        <v>664</v>
      </c>
      <c r="F48" s="394">
        <v>2587.457399999992</v>
      </c>
      <c r="G48" s="395">
        <v>238.85</v>
      </c>
      <c r="H48" s="395">
        <v>221.09999999999997</v>
      </c>
      <c r="I48" s="396">
        <f t="shared" si="23"/>
        <v>0.92568557672179175</v>
      </c>
      <c r="J48" s="395">
        <v>24.85</v>
      </c>
      <c r="K48" s="396">
        <f t="shared" si="24"/>
        <v>0.10404019258949132</v>
      </c>
      <c r="L48" s="395">
        <v>421.40999999999997</v>
      </c>
      <c r="M48" s="396">
        <f t="shared" si="25"/>
        <v>1.0297257693112831</v>
      </c>
      <c r="N48" s="397">
        <v>2992.0109999999918</v>
      </c>
      <c r="O48" s="395">
        <v>0.96</v>
      </c>
      <c r="P48" s="396">
        <f t="shared" si="17"/>
        <v>4.019258949131254E-3</v>
      </c>
      <c r="Q48" s="410">
        <f t="shared" si="18"/>
        <v>404.55359999999996</v>
      </c>
      <c r="R48" s="398">
        <f t="shared" si="19"/>
        <v>6.1399999999999659</v>
      </c>
      <c r="S48" s="396">
        <f t="shared" si="20"/>
        <v>2.5706510362151835E-2</v>
      </c>
      <c r="T48" s="400" t="s">
        <v>176</v>
      </c>
      <c r="U48" s="400" t="s">
        <v>466</v>
      </c>
      <c r="V48" s="401"/>
      <c r="W48" s="401"/>
      <c r="X48" s="401">
        <v>1</v>
      </c>
      <c r="Y48" s="402" t="s">
        <v>484</v>
      </c>
      <c r="AC48" s="406"/>
    </row>
    <row r="49" spans="2:34" s="150" customFormat="1" ht="27" customHeight="1">
      <c r="B49" s="812"/>
      <c r="C49" s="813"/>
      <c r="D49" s="390">
        <v>19</v>
      </c>
      <c r="E49" s="393" t="s">
        <v>565</v>
      </c>
      <c r="F49" s="394">
        <v>2567.7438999999999</v>
      </c>
      <c r="G49" s="395">
        <v>16870</v>
      </c>
      <c r="H49" s="395">
        <v>16577.330000000002</v>
      </c>
      <c r="I49" s="396">
        <f t="shared" si="23"/>
        <v>0.98265145228215778</v>
      </c>
      <c r="J49" s="395">
        <v>1200</v>
      </c>
      <c r="K49" s="396">
        <f t="shared" si="24"/>
        <v>7.1132187314759926E-2</v>
      </c>
      <c r="L49" s="395">
        <v>2.8300000000000005</v>
      </c>
      <c r="M49" s="396">
        <f t="shared" si="25"/>
        <v>1.0537836395969178</v>
      </c>
      <c r="N49" s="397">
        <v>2567.7438999999999</v>
      </c>
      <c r="O49" s="395">
        <v>0</v>
      </c>
      <c r="P49" s="396">
        <f t="shared" si="17"/>
        <v>0</v>
      </c>
      <c r="Q49" s="410">
        <f t="shared" si="18"/>
        <v>0</v>
      </c>
      <c r="R49" s="398">
        <f t="shared" si="19"/>
        <v>907.33000000000175</v>
      </c>
      <c r="S49" s="396">
        <f t="shared" si="20"/>
        <v>5.3783639596917711E-2</v>
      </c>
      <c r="T49" s="400" t="s">
        <v>176</v>
      </c>
      <c r="U49" s="400" t="s">
        <v>466</v>
      </c>
      <c r="V49" s="401"/>
      <c r="W49" s="401"/>
      <c r="X49" s="401">
        <v>1</v>
      </c>
      <c r="Y49" s="402" t="s">
        <v>475</v>
      </c>
      <c r="AB49" s="409"/>
      <c r="AC49" s="406"/>
    </row>
    <row r="50" spans="2:34" s="150" customFormat="1" ht="27" customHeight="1">
      <c r="B50" s="814"/>
      <c r="C50" s="815"/>
      <c r="D50" s="390">
        <v>20</v>
      </c>
      <c r="E50" s="393" t="s">
        <v>513</v>
      </c>
      <c r="F50" s="394">
        <v>2167.06</v>
      </c>
      <c r="G50" s="395">
        <v>244511</v>
      </c>
      <c r="H50" s="395">
        <v>243694</v>
      </c>
      <c r="I50" s="396">
        <f t="shared" si="23"/>
        <v>0.99665863703473467</v>
      </c>
      <c r="J50" s="395">
        <v>1490</v>
      </c>
      <c r="K50" s="396">
        <f t="shared" si="24"/>
        <v>6.0937953711693955E-3</v>
      </c>
      <c r="L50" s="395">
        <v>3.2199999999999998</v>
      </c>
      <c r="M50" s="396">
        <f t="shared" si="25"/>
        <v>1.0027524324059041</v>
      </c>
      <c r="N50" s="397">
        <v>2167.06</v>
      </c>
      <c r="O50" s="395">
        <v>0</v>
      </c>
      <c r="P50" s="396">
        <f t="shared" si="17"/>
        <v>0</v>
      </c>
      <c r="Q50" s="410">
        <f t="shared" si="18"/>
        <v>0</v>
      </c>
      <c r="R50" s="398">
        <f t="shared" si="19"/>
        <v>673</v>
      </c>
      <c r="S50" s="396">
        <f t="shared" si="20"/>
        <v>2.7524324059040287E-3</v>
      </c>
      <c r="T50" s="400" t="s">
        <v>176</v>
      </c>
      <c r="U50" s="400" t="s">
        <v>219</v>
      </c>
      <c r="V50" s="401"/>
      <c r="W50" s="401"/>
      <c r="X50" s="401">
        <v>1</v>
      </c>
      <c r="Y50" s="402" t="s">
        <v>345</v>
      </c>
      <c r="AB50" s="409"/>
      <c r="AC50" s="406"/>
    </row>
    <row r="51" spans="2:34" ht="16.5" customHeight="1">
      <c r="B51" s="829" t="s">
        <v>489</v>
      </c>
      <c r="C51" s="830"/>
      <c r="D51" s="826" t="s">
        <v>172</v>
      </c>
      <c r="E51" s="826"/>
      <c r="F51" s="826"/>
      <c r="G51" s="826" t="s">
        <v>186</v>
      </c>
      <c r="H51" s="826"/>
      <c r="I51" s="826"/>
      <c r="J51" s="826"/>
      <c r="K51" s="826"/>
      <c r="L51" s="826"/>
      <c r="M51" s="826"/>
      <c r="N51" s="826"/>
      <c r="O51" s="826"/>
      <c r="P51" s="826"/>
      <c r="Q51" s="826"/>
      <c r="R51" s="826"/>
      <c r="S51" s="826"/>
      <c r="T51" s="826" t="s">
        <v>173</v>
      </c>
      <c r="U51" s="816" t="s">
        <v>248</v>
      </c>
      <c r="V51" s="847" t="s">
        <v>497</v>
      </c>
      <c r="W51" s="847" t="s">
        <v>491</v>
      </c>
      <c r="X51" s="838" t="s">
        <v>249</v>
      </c>
      <c r="Y51" s="827" t="s">
        <v>174</v>
      </c>
      <c r="AA51" s="826" t="s">
        <v>250</v>
      </c>
      <c r="AB51" s="826"/>
      <c r="AC51" s="826"/>
      <c r="AD51" s="826"/>
      <c r="AE51" s="826"/>
      <c r="AF51" s="826"/>
      <c r="AG51" s="826"/>
      <c r="AH51" s="826"/>
    </row>
    <row r="52" spans="2:34" ht="17.149999999999999" customHeight="1">
      <c r="B52" s="831"/>
      <c r="C52" s="832"/>
      <c r="D52" s="825" t="s">
        <v>171</v>
      </c>
      <c r="E52" s="826" t="s">
        <v>175</v>
      </c>
      <c r="F52" s="826"/>
      <c r="G52" s="826" t="s">
        <v>187</v>
      </c>
      <c r="H52" s="826"/>
      <c r="I52" s="826"/>
      <c r="J52" s="826"/>
      <c r="K52" s="826"/>
      <c r="L52" s="826"/>
      <c r="M52" s="826"/>
      <c r="N52" s="826"/>
      <c r="O52" s="826" t="s">
        <v>176</v>
      </c>
      <c r="P52" s="826"/>
      <c r="Q52" s="826"/>
      <c r="R52" s="826"/>
      <c r="S52" s="826"/>
      <c r="T52" s="826"/>
      <c r="U52" s="819"/>
      <c r="V52" s="839"/>
      <c r="W52" s="848"/>
      <c r="X52" s="839"/>
      <c r="Y52" s="827"/>
      <c r="AA52" s="826"/>
      <c r="AB52" s="826"/>
      <c r="AC52" s="826"/>
      <c r="AD52" s="826"/>
      <c r="AE52" s="826"/>
      <c r="AF52" s="826"/>
      <c r="AG52" s="826"/>
      <c r="AH52" s="826"/>
    </row>
    <row r="53" spans="2:34" ht="17.149999999999999" customHeight="1">
      <c r="B53" s="831"/>
      <c r="C53" s="832"/>
      <c r="D53" s="825"/>
      <c r="E53" s="825" t="s">
        <v>177</v>
      </c>
      <c r="F53" s="843" t="s">
        <v>498</v>
      </c>
      <c r="G53" s="828" t="s">
        <v>188</v>
      </c>
      <c r="H53" s="828"/>
      <c r="I53" s="828"/>
      <c r="J53" s="828"/>
      <c r="K53" s="828"/>
      <c r="L53" s="828"/>
      <c r="M53" s="828"/>
      <c r="N53" s="828"/>
      <c r="O53" s="844" t="s">
        <v>170</v>
      </c>
      <c r="P53" s="845"/>
      <c r="Q53" s="846"/>
      <c r="R53" s="828" t="s">
        <v>178</v>
      </c>
      <c r="S53" s="828"/>
      <c r="T53" s="826"/>
      <c r="U53" s="819"/>
      <c r="V53" s="839"/>
      <c r="W53" s="848"/>
      <c r="X53" s="839"/>
      <c r="Y53" s="827"/>
      <c r="AA53" s="826"/>
      <c r="AB53" s="826"/>
      <c r="AC53" s="826"/>
      <c r="AD53" s="826"/>
      <c r="AE53" s="826"/>
      <c r="AF53" s="826"/>
      <c r="AG53" s="826"/>
      <c r="AH53" s="826"/>
    </row>
    <row r="54" spans="2:34" ht="38.5" customHeight="1">
      <c r="B54" s="833"/>
      <c r="C54" s="834"/>
      <c r="D54" s="825"/>
      <c r="E54" s="825"/>
      <c r="F54" s="843"/>
      <c r="G54" s="391" t="s">
        <v>179</v>
      </c>
      <c r="H54" s="391" t="s">
        <v>255</v>
      </c>
      <c r="I54" s="391" t="s">
        <v>256</v>
      </c>
      <c r="J54" s="391" t="s">
        <v>180</v>
      </c>
      <c r="K54" s="391" t="s">
        <v>253</v>
      </c>
      <c r="L54" s="391" t="s">
        <v>181</v>
      </c>
      <c r="M54" s="391" t="s">
        <v>189</v>
      </c>
      <c r="N54" s="391" t="s">
        <v>182</v>
      </c>
      <c r="O54" s="392" t="s">
        <v>183</v>
      </c>
      <c r="P54" s="392" t="s">
        <v>184</v>
      </c>
      <c r="Q54" s="391" t="s">
        <v>185</v>
      </c>
      <c r="R54" s="392" t="s">
        <v>183</v>
      </c>
      <c r="S54" s="392" t="s">
        <v>184</v>
      </c>
      <c r="T54" s="826"/>
      <c r="U54" s="822"/>
      <c r="V54" s="840"/>
      <c r="W54" s="849"/>
      <c r="X54" s="840"/>
      <c r="Y54" s="827"/>
      <c r="AA54" s="163" t="s">
        <v>247</v>
      </c>
      <c r="AB54" s="163" t="s">
        <v>492</v>
      </c>
      <c r="AC54" s="158" t="s">
        <v>398</v>
      </c>
      <c r="AD54" s="158" t="s">
        <v>342</v>
      </c>
      <c r="AE54" s="158" t="s">
        <v>466</v>
      </c>
      <c r="AF54" s="158" t="s">
        <v>218</v>
      </c>
      <c r="AG54" s="158" t="s">
        <v>219</v>
      </c>
      <c r="AH54" s="158" t="s">
        <v>399</v>
      </c>
    </row>
    <row r="55" spans="2:34" s="150" customFormat="1" ht="27" customHeight="1">
      <c r="B55" s="810" t="s">
        <v>624</v>
      </c>
      <c r="C55" s="811"/>
      <c r="D55" s="390">
        <v>1</v>
      </c>
      <c r="E55" s="393"/>
      <c r="F55" s="394"/>
      <c r="G55" s="395"/>
      <c r="H55" s="395"/>
      <c r="I55" s="396" t="e">
        <f>H55/G55</f>
        <v>#DIV/0!</v>
      </c>
      <c r="J55" s="395"/>
      <c r="K55" s="396" t="e">
        <f>J55/G55</f>
        <v>#DIV/0!</v>
      </c>
      <c r="L55" s="395"/>
      <c r="M55" s="396" t="e">
        <f>(H55+J55)/G55</f>
        <v>#DIV/0!</v>
      </c>
      <c r="N55" s="397"/>
      <c r="O55" s="395"/>
      <c r="P55" s="396" t="e">
        <f>O55/G55</f>
        <v>#DIV/0!</v>
      </c>
      <c r="Q55" s="410">
        <f>O55*L55</f>
        <v>0</v>
      </c>
      <c r="R55" s="398">
        <f>((H55+J55)-G55)-O55</f>
        <v>0</v>
      </c>
      <c r="S55" s="396" t="e">
        <f>R55/G55</f>
        <v>#DIV/0!</v>
      </c>
      <c r="T55" s="400" t="s">
        <v>176</v>
      </c>
      <c r="U55" s="400"/>
      <c r="V55" s="401"/>
      <c r="W55" s="401"/>
      <c r="X55" s="401">
        <v>1</v>
      </c>
      <c r="Y55" s="402"/>
      <c r="Z55" s="403" t="s">
        <v>493</v>
      </c>
      <c r="AA55" s="404">
        <f>SUM(X55:X74)</f>
        <v>20</v>
      </c>
      <c r="AB55" s="405">
        <f>SUMIF($U$55:$U$74,TRIM(AB54),$X$55:$X$74)</f>
        <v>0</v>
      </c>
      <c r="AC55" s="405">
        <f t="shared" ref="AC55:AH55" si="26">SUMIF($U$55:$U$74,TRIM(AC54),$X$55:$X$74)</f>
        <v>0</v>
      </c>
      <c r="AD55" s="405">
        <f t="shared" si="26"/>
        <v>0</v>
      </c>
      <c r="AE55" s="405">
        <f t="shared" si="26"/>
        <v>0</v>
      </c>
      <c r="AF55" s="405">
        <f t="shared" si="26"/>
        <v>0</v>
      </c>
      <c r="AG55" s="405">
        <f t="shared" si="26"/>
        <v>0</v>
      </c>
      <c r="AH55" s="405">
        <f t="shared" si="26"/>
        <v>0</v>
      </c>
    </row>
    <row r="56" spans="2:34" s="150" customFormat="1" ht="27" customHeight="1">
      <c r="B56" s="812"/>
      <c r="C56" s="813"/>
      <c r="D56" s="390">
        <v>2</v>
      </c>
      <c r="E56" s="393"/>
      <c r="F56" s="394"/>
      <c r="G56" s="395"/>
      <c r="H56" s="395"/>
      <c r="I56" s="396" t="e">
        <f t="shared" ref="I56:I57" si="27">H56/G56</f>
        <v>#DIV/0!</v>
      </c>
      <c r="J56" s="395"/>
      <c r="K56" s="396" t="e">
        <f t="shared" ref="K56:K61" si="28">J56/G56</f>
        <v>#DIV/0!</v>
      </c>
      <c r="L56" s="395"/>
      <c r="M56" s="396" t="e">
        <f t="shared" ref="M56:M61" si="29">(H56+J56)/G56</f>
        <v>#DIV/0!</v>
      </c>
      <c r="N56" s="397"/>
      <c r="O56" s="395"/>
      <c r="P56" s="396" t="e">
        <f t="shared" ref="P56:P74" si="30">O56/G56</f>
        <v>#DIV/0!</v>
      </c>
      <c r="Q56" s="410">
        <f t="shared" ref="Q56:Q74" si="31">O56*L56</f>
        <v>0</v>
      </c>
      <c r="R56" s="398">
        <f t="shared" ref="R56:R74" si="32">((H56+J56)-G56)-O56</f>
        <v>0</v>
      </c>
      <c r="S56" s="396" t="e">
        <f t="shared" ref="S56:S74" si="33">R56/G56</f>
        <v>#DIV/0!</v>
      </c>
      <c r="T56" s="400" t="s">
        <v>176</v>
      </c>
      <c r="U56" s="400"/>
      <c r="V56" s="401"/>
      <c r="W56" s="401"/>
      <c r="X56" s="401">
        <v>1</v>
      </c>
      <c r="Y56" s="402"/>
      <c r="AA56" s="404"/>
      <c r="AB56" s="411">
        <f>SUMIF($U$55:$U$74,TRIM(AB54),$F$55:$F$74)</f>
        <v>0</v>
      </c>
      <c r="AC56" s="411">
        <f t="shared" ref="AC56:AF56" si="34">SUMIF($U$55:$U$74,TRIM(AC54),$F$55:$F$74)</f>
        <v>0</v>
      </c>
      <c r="AD56" s="411">
        <f t="shared" si="34"/>
        <v>0</v>
      </c>
      <c r="AE56" s="411">
        <f t="shared" si="34"/>
        <v>0</v>
      </c>
      <c r="AF56" s="411">
        <f t="shared" si="34"/>
        <v>0</v>
      </c>
      <c r="AG56" s="411">
        <f>SUMIF($U$55:$U$74,TRIM(AG54),$F$55:$F$74)</f>
        <v>0</v>
      </c>
      <c r="AH56" s="411">
        <f t="shared" ref="AH56" si="35">SUMIF($U$55:$U$74,TRIM(AH54),$G$55:$G$74)</f>
        <v>0</v>
      </c>
    </row>
    <row r="57" spans="2:34" s="150" customFormat="1" ht="27" customHeight="1">
      <c r="B57" s="812"/>
      <c r="C57" s="813"/>
      <c r="D57" s="390">
        <v>3</v>
      </c>
      <c r="E57" s="393"/>
      <c r="F57" s="394"/>
      <c r="G57" s="395"/>
      <c r="H57" s="395"/>
      <c r="I57" s="396" t="e">
        <f t="shared" si="27"/>
        <v>#DIV/0!</v>
      </c>
      <c r="J57" s="395"/>
      <c r="K57" s="396" t="e">
        <f t="shared" si="28"/>
        <v>#DIV/0!</v>
      </c>
      <c r="L57" s="395"/>
      <c r="M57" s="396" t="e">
        <f t="shared" si="29"/>
        <v>#DIV/0!</v>
      </c>
      <c r="N57" s="397"/>
      <c r="O57" s="395"/>
      <c r="P57" s="396" t="e">
        <f t="shared" si="30"/>
        <v>#DIV/0!</v>
      </c>
      <c r="Q57" s="410">
        <f t="shared" si="31"/>
        <v>0</v>
      </c>
      <c r="R57" s="398">
        <f t="shared" si="32"/>
        <v>0</v>
      </c>
      <c r="S57" s="396" t="e">
        <f t="shared" si="33"/>
        <v>#DIV/0!</v>
      </c>
      <c r="T57" s="400" t="s">
        <v>176</v>
      </c>
      <c r="U57" s="400"/>
      <c r="V57" s="401"/>
      <c r="W57" s="401"/>
      <c r="X57" s="401">
        <v>1</v>
      </c>
      <c r="Y57" s="402"/>
      <c r="AA57" s="390"/>
      <c r="AB57" s="412">
        <f>AB55/$AA55</f>
        <v>0</v>
      </c>
      <c r="AC57" s="412">
        <f t="shared" ref="AC57:AH57" si="36">AC55/$AA55</f>
        <v>0</v>
      </c>
      <c r="AD57" s="412">
        <f t="shared" si="36"/>
        <v>0</v>
      </c>
      <c r="AE57" s="412">
        <f t="shared" si="36"/>
        <v>0</v>
      </c>
      <c r="AF57" s="412">
        <f t="shared" si="36"/>
        <v>0</v>
      </c>
      <c r="AG57" s="412">
        <f t="shared" si="36"/>
        <v>0</v>
      </c>
      <c r="AH57" s="412">
        <f t="shared" si="36"/>
        <v>0</v>
      </c>
    </row>
    <row r="58" spans="2:34" s="150" customFormat="1" ht="27" customHeight="1">
      <c r="B58" s="812"/>
      <c r="C58" s="813"/>
      <c r="D58" s="390">
        <v>4</v>
      </c>
      <c r="E58" s="393"/>
      <c r="F58" s="394"/>
      <c r="G58" s="395"/>
      <c r="H58" s="395"/>
      <c r="I58" s="396" t="e">
        <f>H58/G58</f>
        <v>#DIV/0!</v>
      </c>
      <c r="J58" s="395"/>
      <c r="K58" s="396" t="e">
        <f t="shared" si="28"/>
        <v>#DIV/0!</v>
      </c>
      <c r="L58" s="395"/>
      <c r="M58" s="396" t="e">
        <f t="shared" si="29"/>
        <v>#DIV/0!</v>
      </c>
      <c r="N58" s="397"/>
      <c r="O58" s="395"/>
      <c r="P58" s="396" t="e">
        <f t="shared" si="30"/>
        <v>#DIV/0!</v>
      </c>
      <c r="Q58" s="410">
        <f t="shared" si="31"/>
        <v>0</v>
      </c>
      <c r="R58" s="398">
        <f t="shared" si="32"/>
        <v>0</v>
      </c>
      <c r="S58" s="396" t="e">
        <f t="shared" si="33"/>
        <v>#DIV/0!</v>
      </c>
      <c r="T58" s="400" t="s">
        <v>176</v>
      </c>
      <c r="U58" s="400"/>
      <c r="V58" s="401"/>
      <c r="W58" s="401"/>
      <c r="X58" s="401">
        <v>1</v>
      </c>
      <c r="Y58" s="402"/>
    </row>
    <row r="59" spans="2:34" s="150" customFormat="1" ht="27" customHeight="1">
      <c r="B59" s="812"/>
      <c r="C59" s="813"/>
      <c r="D59" s="390">
        <v>5</v>
      </c>
      <c r="E59" s="393"/>
      <c r="F59" s="394"/>
      <c r="G59" s="395"/>
      <c r="H59" s="395"/>
      <c r="I59" s="396" t="e">
        <f t="shared" ref="I59:I74" si="37">H59/G59</f>
        <v>#DIV/0!</v>
      </c>
      <c r="J59" s="395"/>
      <c r="K59" s="396" t="e">
        <f t="shared" si="28"/>
        <v>#DIV/0!</v>
      </c>
      <c r="L59" s="395"/>
      <c r="M59" s="396" t="e">
        <f t="shared" si="29"/>
        <v>#DIV/0!</v>
      </c>
      <c r="N59" s="397"/>
      <c r="O59" s="395"/>
      <c r="P59" s="396" t="e">
        <f t="shared" si="30"/>
        <v>#DIV/0!</v>
      </c>
      <c r="Q59" s="410">
        <f t="shared" si="31"/>
        <v>0</v>
      </c>
      <c r="R59" s="398">
        <f t="shared" si="32"/>
        <v>0</v>
      </c>
      <c r="S59" s="396" t="e">
        <f t="shared" si="33"/>
        <v>#DIV/0!</v>
      </c>
      <c r="T59" s="400" t="s">
        <v>176</v>
      </c>
      <c r="U59" s="400"/>
      <c r="V59" s="401"/>
      <c r="W59" s="401"/>
      <c r="X59" s="401">
        <v>1</v>
      </c>
      <c r="Y59" s="402"/>
    </row>
    <row r="60" spans="2:34" s="150" customFormat="1" ht="27" customHeight="1">
      <c r="B60" s="812"/>
      <c r="C60" s="813"/>
      <c r="D60" s="390">
        <v>6</v>
      </c>
      <c r="E60" s="393"/>
      <c r="F60" s="394"/>
      <c r="G60" s="395"/>
      <c r="H60" s="395"/>
      <c r="I60" s="396" t="e">
        <f t="shared" si="37"/>
        <v>#DIV/0!</v>
      </c>
      <c r="J60" s="395"/>
      <c r="K60" s="396" t="e">
        <f t="shared" si="28"/>
        <v>#DIV/0!</v>
      </c>
      <c r="L60" s="395"/>
      <c r="M60" s="396" t="e">
        <f t="shared" si="29"/>
        <v>#DIV/0!</v>
      </c>
      <c r="N60" s="397"/>
      <c r="O60" s="395"/>
      <c r="P60" s="396" t="e">
        <f t="shared" si="30"/>
        <v>#DIV/0!</v>
      </c>
      <c r="Q60" s="410">
        <f t="shared" si="31"/>
        <v>0</v>
      </c>
      <c r="R60" s="398">
        <f t="shared" si="32"/>
        <v>0</v>
      </c>
      <c r="S60" s="396" t="e">
        <f t="shared" si="33"/>
        <v>#DIV/0!</v>
      </c>
      <c r="T60" s="400" t="s">
        <v>176</v>
      </c>
      <c r="U60" s="400"/>
      <c r="V60" s="401"/>
      <c r="W60" s="401"/>
      <c r="X60" s="401">
        <v>1</v>
      </c>
      <c r="Y60" s="402"/>
    </row>
    <row r="61" spans="2:34" s="150" customFormat="1" ht="27" customHeight="1">
      <c r="B61" s="812"/>
      <c r="C61" s="813"/>
      <c r="D61" s="390">
        <v>7</v>
      </c>
      <c r="E61" s="393"/>
      <c r="F61" s="394"/>
      <c r="G61" s="395"/>
      <c r="H61" s="395"/>
      <c r="I61" s="396" t="e">
        <f t="shared" si="37"/>
        <v>#DIV/0!</v>
      </c>
      <c r="J61" s="395"/>
      <c r="K61" s="396" t="e">
        <f t="shared" si="28"/>
        <v>#DIV/0!</v>
      </c>
      <c r="L61" s="395"/>
      <c r="M61" s="396" t="e">
        <f t="shared" si="29"/>
        <v>#DIV/0!</v>
      </c>
      <c r="N61" s="397"/>
      <c r="O61" s="395"/>
      <c r="P61" s="396" t="e">
        <f t="shared" si="30"/>
        <v>#DIV/0!</v>
      </c>
      <c r="Q61" s="410">
        <f t="shared" si="31"/>
        <v>0</v>
      </c>
      <c r="R61" s="398">
        <f t="shared" si="32"/>
        <v>0</v>
      </c>
      <c r="S61" s="396" t="e">
        <f t="shared" si="33"/>
        <v>#DIV/0!</v>
      </c>
      <c r="T61" s="400" t="s">
        <v>176</v>
      </c>
      <c r="U61" s="400"/>
      <c r="V61" s="401"/>
      <c r="W61" s="401"/>
      <c r="X61" s="401">
        <v>1</v>
      </c>
      <c r="Y61" s="402"/>
    </row>
    <row r="62" spans="2:34" s="150" customFormat="1" ht="27" customHeight="1">
      <c r="B62" s="812"/>
      <c r="C62" s="813"/>
      <c r="D62" s="390">
        <v>8</v>
      </c>
      <c r="E62" s="393"/>
      <c r="F62" s="394"/>
      <c r="G62" s="395"/>
      <c r="H62" s="395"/>
      <c r="I62" s="396" t="e">
        <f t="shared" si="37"/>
        <v>#DIV/0!</v>
      </c>
      <c r="J62" s="395"/>
      <c r="K62" s="396" t="e">
        <f>J62/G62</f>
        <v>#DIV/0!</v>
      </c>
      <c r="L62" s="395"/>
      <c r="M62" s="396" t="e">
        <f>(H62+J62)/G62</f>
        <v>#DIV/0!</v>
      </c>
      <c r="N62" s="397"/>
      <c r="O62" s="395"/>
      <c r="P62" s="396" t="e">
        <f t="shared" si="30"/>
        <v>#DIV/0!</v>
      </c>
      <c r="Q62" s="410">
        <f t="shared" si="31"/>
        <v>0</v>
      </c>
      <c r="R62" s="398">
        <f t="shared" si="32"/>
        <v>0</v>
      </c>
      <c r="S62" s="396" t="e">
        <f t="shared" si="33"/>
        <v>#DIV/0!</v>
      </c>
      <c r="T62" s="400" t="s">
        <v>176</v>
      </c>
      <c r="U62" s="400"/>
      <c r="V62" s="401"/>
      <c r="W62" s="401"/>
      <c r="X62" s="401">
        <v>1</v>
      </c>
      <c r="Y62" s="402"/>
    </row>
    <row r="63" spans="2:34" s="150" customFormat="1" ht="27" customHeight="1">
      <c r="B63" s="812"/>
      <c r="C63" s="813"/>
      <c r="D63" s="390">
        <v>9</v>
      </c>
      <c r="E63" s="393"/>
      <c r="F63" s="394"/>
      <c r="G63" s="395"/>
      <c r="H63" s="395"/>
      <c r="I63" s="396" t="e">
        <f t="shared" si="37"/>
        <v>#DIV/0!</v>
      </c>
      <c r="J63" s="395"/>
      <c r="K63" s="396" t="e">
        <f t="shared" ref="K63:K74" si="38">J63/G63</f>
        <v>#DIV/0!</v>
      </c>
      <c r="L63" s="395"/>
      <c r="M63" s="396" t="e">
        <f t="shared" ref="M63:M74" si="39">(H63+J63)/G63</f>
        <v>#DIV/0!</v>
      </c>
      <c r="N63" s="397"/>
      <c r="O63" s="395"/>
      <c r="P63" s="396" t="e">
        <f t="shared" si="30"/>
        <v>#DIV/0!</v>
      </c>
      <c r="Q63" s="410">
        <f t="shared" si="31"/>
        <v>0</v>
      </c>
      <c r="R63" s="398">
        <f t="shared" si="32"/>
        <v>0</v>
      </c>
      <c r="S63" s="396" t="e">
        <f t="shared" si="33"/>
        <v>#DIV/0!</v>
      </c>
      <c r="T63" s="400" t="s">
        <v>176</v>
      </c>
      <c r="U63" s="400"/>
      <c r="V63" s="401"/>
      <c r="W63" s="401"/>
      <c r="X63" s="401">
        <v>1</v>
      </c>
      <c r="Y63" s="402"/>
    </row>
    <row r="64" spans="2:34" s="150" customFormat="1" ht="27" customHeight="1">
      <c r="B64" s="812"/>
      <c r="C64" s="813"/>
      <c r="D64" s="390">
        <v>10</v>
      </c>
      <c r="E64" s="393"/>
      <c r="F64" s="394"/>
      <c r="G64" s="395"/>
      <c r="H64" s="395"/>
      <c r="I64" s="396" t="e">
        <f t="shared" si="37"/>
        <v>#DIV/0!</v>
      </c>
      <c r="J64" s="395"/>
      <c r="K64" s="396" t="e">
        <f t="shared" si="38"/>
        <v>#DIV/0!</v>
      </c>
      <c r="L64" s="395"/>
      <c r="M64" s="396" t="e">
        <f t="shared" si="39"/>
        <v>#DIV/0!</v>
      </c>
      <c r="N64" s="397"/>
      <c r="O64" s="395"/>
      <c r="P64" s="396" t="e">
        <f t="shared" si="30"/>
        <v>#DIV/0!</v>
      </c>
      <c r="Q64" s="410">
        <f t="shared" si="31"/>
        <v>0</v>
      </c>
      <c r="R64" s="398">
        <f t="shared" si="32"/>
        <v>0</v>
      </c>
      <c r="S64" s="396" t="e">
        <f t="shared" si="33"/>
        <v>#DIV/0!</v>
      </c>
      <c r="T64" s="400" t="s">
        <v>176</v>
      </c>
      <c r="U64" s="400"/>
      <c r="V64" s="401"/>
      <c r="W64" s="401"/>
      <c r="X64" s="401">
        <v>1</v>
      </c>
      <c r="Y64" s="402"/>
    </row>
    <row r="65" spans="2:34" s="150" customFormat="1" ht="27" customHeight="1">
      <c r="B65" s="812"/>
      <c r="C65" s="813"/>
      <c r="D65" s="390">
        <v>11</v>
      </c>
      <c r="E65" s="393"/>
      <c r="F65" s="394"/>
      <c r="G65" s="395"/>
      <c r="H65" s="395"/>
      <c r="I65" s="396" t="e">
        <f t="shared" si="37"/>
        <v>#DIV/0!</v>
      </c>
      <c r="J65" s="395"/>
      <c r="K65" s="396" t="e">
        <f t="shared" si="38"/>
        <v>#DIV/0!</v>
      </c>
      <c r="L65" s="395"/>
      <c r="M65" s="396" t="e">
        <f t="shared" si="39"/>
        <v>#DIV/0!</v>
      </c>
      <c r="N65" s="397"/>
      <c r="O65" s="395"/>
      <c r="P65" s="396" t="e">
        <f t="shared" si="30"/>
        <v>#DIV/0!</v>
      </c>
      <c r="Q65" s="410">
        <f t="shared" si="31"/>
        <v>0</v>
      </c>
      <c r="R65" s="398">
        <f t="shared" si="32"/>
        <v>0</v>
      </c>
      <c r="S65" s="396" t="e">
        <f t="shared" si="33"/>
        <v>#DIV/0!</v>
      </c>
      <c r="T65" s="400" t="s">
        <v>176</v>
      </c>
      <c r="U65" s="400"/>
      <c r="V65" s="401"/>
      <c r="W65" s="401"/>
      <c r="X65" s="401">
        <v>1</v>
      </c>
      <c r="Y65" s="402"/>
    </row>
    <row r="66" spans="2:34" s="150" customFormat="1" ht="27" customHeight="1">
      <c r="B66" s="812"/>
      <c r="C66" s="813"/>
      <c r="D66" s="390">
        <v>12</v>
      </c>
      <c r="E66" s="393"/>
      <c r="F66" s="394"/>
      <c r="G66" s="395"/>
      <c r="H66" s="395"/>
      <c r="I66" s="396" t="e">
        <f t="shared" si="37"/>
        <v>#DIV/0!</v>
      </c>
      <c r="J66" s="395"/>
      <c r="K66" s="396" t="e">
        <f t="shared" si="38"/>
        <v>#DIV/0!</v>
      </c>
      <c r="L66" s="395"/>
      <c r="M66" s="396" t="e">
        <f t="shared" si="39"/>
        <v>#DIV/0!</v>
      </c>
      <c r="N66" s="397"/>
      <c r="O66" s="395"/>
      <c r="P66" s="396" t="e">
        <f t="shared" si="30"/>
        <v>#DIV/0!</v>
      </c>
      <c r="Q66" s="410">
        <f t="shared" si="31"/>
        <v>0</v>
      </c>
      <c r="R66" s="398">
        <f t="shared" si="32"/>
        <v>0</v>
      </c>
      <c r="S66" s="396" t="e">
        <f t="shared" si="33"/>
        <v>#DIV/0!</v>
      </c>
      <c r="T66" s="400" t="s">
        <v>176</v>
      </c>
      <c r="U66" s="400"/>
      <c r="V66" s="401"/>
      <c r="W66" s="401"/>
      <c r="X66" s="401">
        <v>1</v>
      </c>
      <c r="Y66" s="402"/>
    </row>
    <row r="67" spans="2:34" s="150" customFormat="1" ht="27" customHeight="1">
      <c r="B67" s="812"/>
      <c r="C67" s="813"/>
      <c r="D67" s="390">
        <v>13</v>
      </c>
      <c r="E67" s="393"/>
      <c r="F67" s="394"/>
      <c r="G67" s="395"/>
      <c r="H67" s="395"/>
      <c r="I67" s="396" t="e">
        <f t="shared" si="37"/>
        <v>#DIV/0!</v>
      </c>
      <c r="J67" s="395"/>
      <c r="K67" s="396" t="e">
        <f t="shared" si="38"/>
        <v>#DIV/0!</v>
      </c>
      <c r="L67" s="395"/>
      <c r="M67" s="396" t="e">
        <f t="shared" si="39"/>
        <v>#DIV/0!</v>
      </c>
      <c r="N67" s="397"/>
      <c r="O67" s="395"/>
      <c r="P67" s="396" t="e">
        <f t="shared" si="30"/>
        <v>#DIV/0!</v>
      </c>
      <c r="Q67" s="410">
        <f t="shared" si="31"/>
        <v>0</v>
      </c>
      <c r="R67" s="398">
        <f t="shared" si="32"/>
        <v>0</v>
      </c>
      <c r="S67" s="396" t="e">
        <f t="shared" si="33"/>
        <v>#DIV/0!</v>
      </c>
      <c r="T67" s="400" t="s">
        <v>176</v>
      </c>
      <c r="U67" s="400"/>
      <c r="V67" s="401"/>
      <c r="W67" s="401"/>
      <c r="X67" s="401">
        <v>1</v>
      </c>
      <c r="Y67" s="402"/>
    </row>
    <row r="68" spans="2:34" s="150" customFormat="1" ht="27" customHeight="1">
      <c r="B68" s="812"/>
      <c r="C68" s="813"/>
      <c r="D68" s="390">
        <v>14</v>
      </c>
      <c r="E68" s="393"/>
      <c r="F68" s="394"/>
      <c r="G68" s="395"/>
      <c r="H68" s="395"/>
      <c r="I68" s="396" t="e">
        <f t="shared" si="37"/>
        <v>#DIV/0!</v>
      </c>
      <c r="J68" s="395"/>
      <c r="K68" s="396" t="e">
        <f t="shared" si="38"/>
        <v>#DIV/0!</v>
      </c>
      <c r="L68" s="395"/>
      <c r="M68" s="396" t="e">
        <f t="shared" si="39"/>
        <v>#DIV/0!</v>
      </c>
      <c r="N68" s="397"/>
      <c r="O68" s="395"/>
      <c r="P68" s="396" t="e">
        <f t="shared" si="30"/>
        <v>#DIV/0!</v>
      </c>
      <c r="Q68" s="410">
        <f t="shared" si="31"/>
        <v>0</v>
      </c>
      <c r="R68" s="398">
        <f t="shared" si="32"/>
        <v>0</v>
      </c>
      <c r="S68" s="396" t="e">
        <f t="shared" si="33"/>
        <v>#DIV/0!</v>
      </c>
      <c r="T68" s="400" t="s">
        <v>176</v>
      </c>
      <c r="U68" s="400"/>
      <c r="V68" s="401"/>
      <c r="W68" s="401"/>
      <c r="X68" s="401">
        <v>1</v>
      </c>
      <c r="Y68" s="402"/>
      <c r="AC68" s="407"/>
    </row>
    <row r="69" spans="2:34" s="150" customFormat="1" ht="27" customHeight="1">
      <c r="B69" s="812"/>
      <c r="C69" s="813"/>
      <c r="D69" s="390">
        <v>15</v>
      </c>
      <c r="E69" s="393"/>
      <c r="F69" s="394"/>
      <c r="G69" s="395"/>
      <c r="H69" s="395"/>
      <c r="I69" s="396" t="e">
        <f t="shared" si="37"/>
        <v>#DIV/0!</v>
      </c>
      <c r="J69" s="395"/>
      <c r="K69" s="396" t="e">
        <f t="shared" si="38"/>
        <v>#DIV/0!</v>
      </c>
      <c r="L69" s="395"/>
      <c r="M69" s="396" t="e">
        <f t="shared" si="39"/>
        <v>#DIV/0!</v>
      </c>
      <c r="N69" s="397"/>
      <c r="O69" s="395"/>
      <c r="P69" s="396" t="e">
        <f t="shared" si="30"/>
        <v>#DIV/0!</v>
      </c>
      <c r="Q69" s="410">
        <f t="shared" si="31"/>
        <v>0</v>
      </c>
      <c r="R69" s="398">
        <f t="shared" si="32"/>
        <v>0</v>
      </c>
      <c r="S69" s="396" t="e">
        <f t="shared" si="33"/>
        <v>#DIV/0!</v>
      </c>
      <c r="T69" s="400" t="s">
        <v>176</v>
      </c>
      <c r="U69" s="400"/>
      <c r="V69" s="400"/>
      <c r="W69" s="401"/>
      <c r="X69" s="401">
        <v>1</v>
      </c>
      <c r="Y69" s="402"/>
      <c r="AC69" s="406"/>
    </row>
    <row r="70" spans="2:34" s="150" customFormat="1" ht="27" customHeight="1">
      <c r="B70" s="812"/>
      <c r="C70" s="813"/>
      <c r="D70" s="390">
        <v>16</v>
      </c>
      <c r="E70" s="393"/>
      <c r="F70" s="394"/>
      <c r="G70" s="395"/>
      <c r="H70" s="395"/>
      <c r="I70" s="396" t="e">
        <f t="shared" si="37"/>
        <v>#DIV/0!</v>
      </c>
      <c r="J70" s="395"/>
      <c r="K70" s="396" t="e">
        <f t="shared" si="38"/>
        <v>#DIV/0!</v>
      </c>
      <c r="L70" s="395"/>
      <c r="M70" s="396" t="e">
        <f t="shared" si="39"/>
        <v>#DIV/0!</v>
      </c>
      <c r="N70" s="397"/>
      <c r="O70" s="395"/>
      <c r="P70" s="396" t="e">
        <f t="shared" si="30"/>
        <v>#DIV/0!</v>
      </c>
      <c r="Q70" s="410">
        <f t="shared" si="31"/>
        <v>0</v>
      </c>
      <c r="R70" s="398">
        <f t="shared" si="32"/>
        <v>0</v>
      </c>
      <c r="S70" s="396" t="e">
        <f t="shared" si="33"/>
        <v>#DIV/0!</v>
      </c>
      <c r="T70" s="400" t="s">
        <v>176</v>
      </c>
      <c r="U70" s="400"/>
      <c r="V70" s="401"/>
      <c r="W70" s="401"/>
      <c r="X70" s="401">
        <v>1</v>
      </c>
      <c r="Y70" s="402"/>
      <c r="AC70" s="406"/>
    </row>
    <row r="71" spans="2:34" s="150" customFormat="1" ht="27" customHeight="1">
      <c r="B71" s="812"/>
      <c r="C71" s="813"/>
      <c r="D71" s="390">
        <v>17</v>
      </c>
      <c r="E71" s="393"/>
      <c r="F71" s="394"/>
      <c r="G71" s="395"/>
      <c r="H71" s="395"/>
      <c r="I71" s="396" t="e">
        <f t="shared" si="37"/>
        <v>#DIV/0!</v>
      </c>
      <c r="J71" s="395"/>
      <c r="K71" s="396" t="e">
        <f t="shared" si="38"/>
        <v>#DIV/0!</v>
      </c>
      <c r="L71" s="395"/>
      <c r="M71" s="396" t="e">
        <f t="shared" si="39"/>
        <v>#DIV/0!</v>
      </c>
      <c r="N71" s="397"/>
      <c r="O71" s="395"/>
      <c r="P71" s="396" t="e">
        <f t="shared" si="30"/>
        <v>#DIV/0!</v>
      </c>
      <c r="Q71" s="410">
        <f t="shared" si="31"/>
        <v>0</v>
      </c>
      <c r="R71" s="398">
        <f t="shared" si="32"/>
        <v>0</v>
      </c>
      <c r="S71" s="396" t="e">
        <f t="shared" si="33"/>
        <v>#DIV/0!</v>
      </c>
      <c r="T71" s="400" t="s">
        <v>176</v>
      </c>
      <c r="U71" s="400"/>
      <c r="V71" s="401"/>
      <c r="W71" s="401"/>
      <c r="X71" s="401">
        <v>1</v>
      </c>
      <c r="Y71" s="402"/>
      <c r="AB71" s="408"/>
      <c r="AC71" s="406"/>
    </row>
    <row r="72" spans="2:34" s="150" customFormat="1" ht="27" customHeight="1">
      <c r="B72" s="812"/>
      <c r="C72" s="813"/>
      <c r="D72" s="390">
        <v>18</v>
      </c>
      <c r="E72" s="393"/>
      <c r="F72" s="394"/>
      <c r="G72" s="395"/>
      <c r="H72" s="395"/>
      <c r="I72" s="396" t="e">
        <f t="shared" si="37"/>
        <v>#DIV/0!</v>
      </c>
      <c r="J72" s="395"/>
      <c r="K72" s="396" t="e">
        <f t="shared" si="38"/>
        <v>#DIV/0!</v>
      </c>
      <c r="L72" s="395"/>
      <c r="M72" s="396" t="e">
        <f t="shared" si="39"/>
        <v>#DIV/0!</v>
      </c>
      <c r="N72" s="397"/>
      <c r="O72" s="395"/>
      <c r="P72" s="396" t="e">
        <f t="shared" si="30"/>
        <v>#DIV/0!</v>
      </c>
      <c r="Q72" s="410">
        <f t="shared" si="31"/>
        <v>0</v>
      </c>
      <c r="R72" s="398">
        <f t="shared" si="32"/>
        <v>0</v>
      </c>
      <c r="S72" s="396" t="e">
        <f t="shared" si="33"/>
        <v>#DIV/0!</v>
      </c>
      <c r="T72" s="400" t="s">
        <v>176</v>
      </c>
      <c r="U72" s="400"/>
      <c r="V72" s="401"/>
      <c r="W72" s="401"/>
      <c r="X72" s="401">
        <v>1</v>
      </c>
      <c r="Y72" s="402"/>
      <c r="AC72" s="406"/>
    </row>
    <row r="73" spans="2:34" s="150" customFormat="1" ht="27" customHeight="1">
      <c r="B73" s="812"/>
      <c r="C73" s="813"/>
      <c r="D73" s="390">
        <v>19</v>
      </c>
      <c r="E73" s="393"/>
      <c r="F73" s="394"/>
      <c r="G73" s="395"/>
      <c r="H73" s="395"/>
      <c r="I73" s="396" t="e">
        <f t="shared" si="37"/>
        <v>#DIV/0!</v>
      </c>
      <c r="J73" s="395"/>
      <c r="K73" s="396" t="e">
        <f t="shared" si="38"/>
        <v>#DIV/0!</v>
      </c>
      <c r="L73" s="395"/>
      <c r="M73" s="396" t="e">
        <f t="shared" si="39"/>
        <v>#DIV/0!</v>
      </c>
      <c r="N73" s="397"/>
      <c r="O73" s="395"/>
      <c r="P73" s="396" t="e">
        <f t="shared" si="30"/>
        <v>#DIV/0!</v>
      </c>
      <c r="Q73" s="410">
        <f t="shared" si="31"/>
        <v>0</v>
      </c>
      <c r="R73" s="398">
        <f t="shared" si="32"/>
        <v>0</v>
      </c>
      <c r="S73" s="396" t="e">
        <f t="shared" si="33"/>
        <v>#DIV/0!</v>
      </c>
      <c r="T73" s="400" t="s">
        <v>176</v>
      </c>
      <c r="U73" s="400"/>
      <c r="V73" s="401"/>
      <c r="W73" s="401"/>
      <c r="X73" s="401">
        <v>1</v>
      </c>
      <c r="Y73" s="402"/>
      <c r="AB73" s="409"/>
      <c r="AC73" s="406"/>
    </row>
    <row r="74" spans="2:34" s="150" customFormat="1" ht="27" customHeight="1">
      <c r="B74" s="814"/>
      <c r="C74" s="815"/>
      <c r="D74" s="390">
        <v>20</v>
      </c>
      <c r="E74" s="393"/>
      <c r="F74" s="394"/>
      <c r="G74" s="395"/>
      <c r="H74" s="395"/>
      <c r="I74" s="396" t="e">
        <f t="shared" si="37"/>
        <v>#DIV/0!</v>
      </c>
      <c r="J74" s="395"/>
      <c r="K74" s="396" t="e">
        <f t="shared" si="38"/>
        <v>#DIV/0!</v>
      </c>
      <c r="L74" s="395"/>
      <c r="M74" s="396" t="e">
        <f t="shared" si="39"/>
        <v>#DIV/0!</v>
      </c>
      <c r="N74" s="397"/>
      <c r="O74" s="395"/>
      <c r="P74" s="396" t="e">
        <f t="shared" si="30"/>
        <v>#DIV/0!</v>
      </c>
      <c r="Q74" s="410">
        <f t="shared" si="31"/>
        <v>0</v>
      </c>
      <c r="R74" s="398">
        <f t="shared" si="32"/>
        <v>0</v>
      </c>
      <c r="S74" s="396" t="e">
        <f t="shared" si="33"/>
        <v>#DIV/0!</v>
      </c>
      <c r="T74" s="400" t="s">
        <v>176</v>
      </c>
      <c r="U74" s="400"/>
      <c r="V74" s="401"/>
      <c r="W74" s="401"/>
      <c r="X74" s="401">
        <v>1</v>
      </c>
      <c r="Y74" s="402"/>
      <c r="AB74" s="409"/>
      <c r="AC74" s="406"/>
    </row>
    <row r="75" spans="2:34" ht="16.5" customHeight="1">
      <c r="B75" s="829" t="s">
        <v>489</v>
      </c>
      <c r="C75" s="830"/>
      <c r="D75" s="826" t="s">
        <v>172</v>
      </c>
      <c r="E75" s="826"/>
      <c r="F75" s="826"/>
      <c r="G75" s="826" t="s">
        <v>186</v>
      </c>
      <c r="H75" s="826"/>
      <c r="I75" s="826"/>
      <c r="J75" s="826"/>
      <c r="K75" s="826"/>
      <c r="L75" s="826"/>
      <c r="M75" s="826"/>
      <c r="N75" s="826"/>
      <c r="O75" s="826"/>
      <c r="P75" s="826"/>
      <c r="Q75" s="826"/>
      <c r="R75" s="826"/>
      <c r="S75" s="826"/>
      <c r="T75" s="826" t="s">
        <v>173</v>
      </c>
      <c r="U75" s="816" t="s">
        <v>248</v>
      </c>
      <c r="V75" s="847" t="s">
        <v>497</v>
      </c>
      <c r="W75" s="847" t="s">
        <v>491</v>
      </c>
      <c r="X75" s="838" t="s">
        <v>249</v>
      </c>
      <c r="Y75" s="827" t="s">
        <v>174</v>
      </c>
      <c r="AA75" s="826" t="s">
        <v>250</v>
      </c>
      <c r="AB75" s="826"/>
      <c r="AC75" s="826"/>
      <c r="AD75" s="826"/>
      <c r="AE75" s="826"/>
      <c r="AF75" s="826"/>
      <c r="AG75" s="826"/>
      <c r="AH75" s="826"/>
    </row>
    <row r="76" spans="2:34" ht="17.149999999999999" customHeight="1">
      <c r="B76" s="831"/>
      <c r="C76" s="832"/>
      <c r="D76" s="825" t="s">
        <v>171</v>
      </c>
      <c r="E76" s="826" t="s">
        <v>175</v>
      </c>
      <c r="F76" s="826"/>
      <c r="G76" s="826" t="s">
        <v>187</v>
      </c>
      <c r="H76" s="826"/>
      <c r="I76" s="826"/>
      <c r="J76" s="826"/>
      <c r="K76" s="826"/>
      <c r="L76" s="826"/>
      <c r="M76" s="826"/>
      <c r="N76" s="826"/>
      <c r="O76" s="826" t="s">
        <v>176</v>
      </c>
      <c r="P76" s="826"/>
      <c r="Q76" s="826"/>
      <c r="R76" s="826"/>
      <c r="S76" s="826"/>
      <c r="T76" s="826"/>
      <c r="U76" s="819"/>
      <c r="V76" s="839"/>
      <c r="W76" s="848"/>
      <c r="X76" s="839"/>
      <c r="Y76" s="827"/>
      <c r="AA76" s="826"/>
      <c r="AB76" s="826"/>
      <c r="AC76" s="826"/>
      <c r="AD76" s="826"/>
      <c r="AE76" s="826"/>
      <c r="AF76" s="826"/>
      <c r="AG76" s="826"/>
      <c r="AH76" s="826"/>
    </row>
    <row r="77" spans="2:34" ht="17.149999999999999" customHeight="1">
      <c r="B77" s="831"/>
      <c r="C77" s="832"/>
      <c r="D77" s="825"/>
      <c r="E77" s="825" t="s">
        <v>177</v>
      </c>
      <c r="F77" s="843" t="s">
        <v>498</v>
      </c>
      <c r="G77" s="828" t="s">
        <v>188</v>
      </c>
      <c r="H77" s="828"/>
      <c r="I77" s="828"/>
      <c r="J77" s="828"/>
      <c r="K77" s="828"/>
      <c r="L77" s="828"/>
      <c r="M77" s="828"/>
      <c r="N77" s="828"/>
      <c r="O77" s="844" t="s">
        <v>170</v>
      </c>
      <c r="P77" s="845"/>
      <c r="Q77" s="846"/>
      <c r="R77" s="828" t="s">
        <v>178</v>
      </c>
      <c r="S77" s="828"/>
      <c r="T77" s="826"/>
      <c r="U77" s="819"/>
      <c r="V77" s="839"/>
      <c r="W77" s="848"/>
      <c r="X77" s="839"/>
      <c r="Y77" s="827"/>
      <c r="AA77" s="826"/>
      <c r="AB77" s="826"/>
      <c r="AC77" s="826"/>
      <c r="AD77" s="826"/>
      <c r="AE77" s="826"/>
      <c r="AF77" s="826"/>
      <c r="AG77" s="826"/>
      <c r="AH77" s="826"/>
    </row>
    <row r="78" spans="2:34" ht="38.5" customHeight="1">
      <c r="B78" s="833"/>
      <c r="C78" s="834"/>
      <c r="D78" s="825"/>
      <c r="E78" s="825"/>
      <c r="F78" s="843"/>
      <c r="G78" s="391" t="s">
        <v>179</v>
      </c>
      <c r="H78" s="391" t="s">
        <v>255</v>
      </c>
      <c r="I78" s="391" t="s">
        <v>256</v>
      </c>
      <c r="J78" s="391" t="s">
        <v>180</v>
      </c>
      <c r="K78" s="391" t="s">
        <v>253</v>
      </c>
      <c r="L78" s="391" t="s">
        <v>181</v>
      </c>
      <c r="M78" s="391" t="s">
        <v>189</v>
      </c>
      <c r="N78" s="391" t="s">
        <v>182</v>
      </c>
      <c r="O78" s="392" t="s">
        <v>183</v>
      </c>
      <c r="P78" s="392" t="s">
        <v>184</v>
      </c>
      <c r="Q78" s="391" t="s">
        <v>185</v>
      </c>
      <c r="R78" s="392" t="s">
        <v>183</v>
      </c>
      <c r="S78" s="392" t="s">
        <v>184</v>
      </c>
      <c r="T78" s="826"/>
      <c r="U78" s="822"/>
      <c r="V78" s="840"/>
      <c r="W78" s="849"/>
      <c r="X78" s="840"/>
      <c r="Y78" s="827"/>
      <c r="AA78" s="163" t="s">
        <v>247</v>
      </c>
      <c r="AB78" s="163" t="s">
        <v>492</v>
      </c>
      <c r="AC78" s="158" t="s">
        <v>398</v>
      </c>
      <c r="AD78" s="158" t="s">
        <v>342</v>
      </c>
      <c r="AE78" s="158" t="s">
        <v>466</v>
      </c>
      <c r="AF78" s="158" t="s">
        <v>218</v>
      </c>
      <c r="AG78" s="158" t="s">
        <v>219</v>
      </c>
      <c r="AH78" s="158" t="s">
        <v>399</v>
      </c>
    </row>
    <row r="79" spans="2:34" s="150" customFormat="1" ht="27" customHeight="1">
      <c r="B79" s="810" t="s">
        <v>625</v>
      </c>
      <c r="C79" s="811"/>
      <c r="D79" s="390">
        <v>1</v>
      </c>
      <c r="E79" s="393"/>
      <c r="F79" s="394"/>
      <c r="G79" s="395"/>
      <c r="H79" s="395"/>
      <c r="I79" s="396" t="e">
        <f>H79/G79</f>
        <v>#DIV/0!</v>
      </c>
      <c r="J79" s="395"/>
      <c r="K79" s="396" t="e">
        <f>J79/G79</f>
        <v>#DIV/0!</v>
      </c>
      <c r="L79" s="395"/>
      <c r="M79" s="396" t="e">
        <f>(H79+J79)/G79</f>
        <v>#DIV/0!</v>
      </c>
      <c r="N79" s="397"/>
      <c r="O79" s="395"/>
      <c r="P79" s="396" t="e">
        <f>O79/G79</f>
        <v>#DIV/0!</v>
      </c>
      <c r="Q79" s="410">
        <f>O79*L79</f>
        <v>0</v>
      </c>
      <c r="R79" s="398">
        <f>((H79+J79)-G79)-O79</f>
        <v>0</v>
      </c>
      <c r="S79" s="396" t="e">
        <f>R79/G79</f>
        <v>#DIV/0!</v>
      </c>
      <c r="T79" s="400" t="s">
        <v>176</v>
      </c>
      <c r="U79" s="400"/>
      <c r="V79" s="401"/>
      <c r="W79" s="401"/>
      <c r="X79" s="401">
        <v>1</v>
      </c>
      <c r="Y79" s="402"/>
      <c r="Z79" s="403" t="s">
        <v>493</v>
      </c>
      <c r="AA79" s="404">
        <f>SUM(X79:X98)</f>
        <v>20</v>
      </c>
      <c r="AB79" s="405">
        <f>SUMIF($U$79:$U$98,TRIM(AB78),$X$79:$X$98)</f>
        <v>0</v>
      </c>
      <c r="AC79" s="405">
        <f t="shared" ref="AC79:AH79" si="40">SUMIF($U$79:$U$98,TRIM(AC78),$X$79:$X$98)</f>
        <v>0</v>
      </c>
      <c r="AD79" s="405">
        <f t="shared" si="40"/>
        <v>0</v>
      </c>
      <c r="AE79" s="405">
        <f t="shared" si="40"/>
        <v>0</v>
      </c>
      <c r="AF79" s="405">
        <f t="shared" si="40"/>
        <v>0</v>
      </c>
      <c r="AG79" s="405">
        <f t="shared" si="40"/>
        <v>0</v>
      </c>
      <c r="AH79" s="405">
        <f t="shared" si="40"/>
        <v>0</v>
      </c>
    </row>
    <row r="80" spans="2:34" s="150" customFormat="1" ht="27" customHeight="1">
      <c r="B80" s="812"/>
      <c r="C80" s="813"/>
      <c r="D80" s="390">
        <v>2</v>
      </c>
      <c r="E80" s="393"/>
      <c r="F80" s="394"/>
      <c r="G80" s="395"/>
      <c r="H80" s="395"/>
      <c r="I80" s="396" t="e">
        <f t="shared" ref="I80:I81" si="41">H80/G80</f>
        <v>#DIV/0!</v>
      </c>
      <c r="J80" s="395"/>
      <c r="K80" s="396" t="e">
        <f t="shared" ref="K80:K85" si="42">J80/G80</f>
        <v>#DIV/0!</v>
      </c>
      <c r="L80" s="395"/>
      <c r="M80" s="396" t="e">
        <f t="shared" ref="M80:M85" si="43">(H80+J80)/G80</f>
        <v>#DIV/0!</v>
      </c>
      <c r="N80" s="397"/>
      <c r="O80" s="395"/>
      <c r="P80" s="396" t="e">
        <f t="shared" ref="P80:P98" si="44">O80/G80</f>
        <v>#DIV/0!</v>
      </c>
      <c r="Q80" s="410">
        <f t="shared" ref="Q80:Q98" si="45">O80*L80</f>
        <v>0</v>
      </c>
      <c r="R80" s="398">
        <f t="shared" ref="R80:R98" si="46">((H80+J80)-G80)-O80</f>
        <v>0</v>
      </c>
      <c r="S80" s="396" t="e">
        <f t="shared" ref="S80:S98" si="47">R80/G80</f>
        <v>#DIV/0!</v>
      </c>
      <c r="T80" s="400" t="s">
        <v>176</v>
      </c>
      <c r="U80" s="400"/>
      <c r="V80" s="401"/>
      <c r="W80" s="401"/>
      <c r="X80" s="401">
        <v>1</v>
      </c>
      <c r="Y80" s="402"/>
      <c r="AA80" s="404"/>
      <c r="AB80" s="411">
        <f>SUMIF($U$79:$U$98,TRIM(AB78),$F$79:$F$98)</f>
        <v>0</v>
      </c>
      <c r="AC80" s="411">
        <f t="shared" ref="AC80:AH80" si="48">SUMIF($U$79:$U$98,TRIM(AC78),$F$79:$F$98)</f>
        <v>0</v>
      </c>
      <c r="AD80" s="411">
        <f t="shared" si="48"/>
        <v>0</v>
      </c>
      <c r="AE80" s="411">
        <f t="shared" si="48"/>
        <v>0</v>
      </c>
      <c r="AF80" s="411">
        <f t="shared" si="48"/>
        <v>0</v>
      </c>
      <c r="AG80" s="411">
        <f t="shared" si="48"/>
        <v>0</v>
      </c>
      <c r="AH80" s="411">
        <f t="shared" si="48"/>
        <v>0</v>
      </c>
    </row>
    <row r="81" spans="2:34" s="150" customFormat="1" ht="27" customHeight="1">
      <c r="B81" s="812"/>
      <c r="C81" s="813"/>
      <c r="D81" s="390">
        <v>3</v>
      </c>
      <c r="E81" s="393"/>
      <c r="F81" s="394"/>
      <c r="G81" s="395"/>
      <c r="H81" s="395"/>
      <c r="I81" s="396" t="e">
        <f t="shared" si="41"/>
        <v>#DIV/0!</v>
      </c>
      <c r="J81" s="395"/>
      <c r="K81" s="396" t="e">
        <f t="shared" si="42"/>
        <v>#DIV/0!</v>
      </c>
      <c r="L81" s="395"/>
      <c r="M81" s="396" t="e">
        <f t="shared" si="43"/>
        <v>#DIV/0!</v>
      </c>
      <c r="N81" s="397"/>
      <c r="O81" s="395"/>
      <c r="P81" s="396" t="e">
        <f t="shared" si="44"/>
        <v>#DIV/0!</v>
      </c>
      <c r="Q81" s="410">
        <f t="shared" si="45"/>
        <v>0</v>
      </c>
      <c r="R81" s="398">
        <f t="shared" si="46"/>
        <v>0</v>
      </c>
      <c r="S81" s="396" t="e">
        <f t="shared" si="47"/>
        <v>#DIV/0!</v>
      </c>
      <c r="T81" s="400" t="s">
        <v>176</v>
      </c>
      <c r="U81" s="400"/>
      <c r="V81" s="401"/>
      <c r="W81" s="401"/>
      <c r="X81" s="401">
        <v>1</v>
      </c>
      <c r="Y81" s="402"/>
      <c r="AA81" s="390"/>
      <c r="AB81" s="412">
        <f>AB79/$AA79</f>
        <v>0</v>
      </c>
      <c r="AC81" s="412">
        <f t="shared" ref="AC81:AH81" si="49">AC79/$AA79</f>
        <v>0</v>
      </c>
      <c r="AD81" s="412">
        <f t="shared" si="49"/>
        <v>0</v>
      </c>
      <c r="AE81" s="412">
        <f t="shared" si="49"/>
        <v>0</v>
      </c>
      <c r="AF81" s="412">
        <f t="shared" si="49"/>
        <v>0</v>
      </c>
      <c r="AG81" s="412">
        <f t="shared" si="49"/>
        <v>0</v>
      </c>
      <c r="AH81" s="412">
        <f t="shared" si="49"/>
        <v>0</v>
      </c>
    </row>
    <row r="82" spans="2:34" s="150" customFormat="1" ht="27" customHeight="1">
      <c r="B82" s="812"/>
      <c r="C82" s="813"/>
      <c r="D82" s="390">
        <v>4</v>
      </c>
      <c r="E82" s="393"/>
      <c r="F82" s="394"/>
      <c r="G82" s="395"/>
      <c r="H82" s="395"/>
      <c r="I82" s="396" t="e">
        <f>H82/G82</f>
        <v>#DIV/0!</v>
      </c>
      <c r="J82" s="395"/>
      <c r="K82" s="396" t="e">
        <f t="shared" si="42"/>
        <v>#DIV/0!</v>
      </c>
      <c r="L82" s="395"/>
      <c r="M82" s="396" t="e">
        <f t="shared" si="43"/>
        <v>#DIV/0!</v>
      </c>
      <c r="N82" s="397"/>
      <c r="O82" s="395"/>
      <c r="P82" s="396" t="e">
        <f t="shared" si="44"/>
        <v>#DIV/0!</v>
      </c>
      <c r="Q82" s="410">
        <f t="shared" si="45"/>
        <v>0</v>
      </c>
      <c r="R82" s="398">
        <f t="shared" si="46"/>
        <v>0</v>
      </c>
      <c r="S82" s="396" t="e">
        <f t="shared" si="47"/>
        <v>#DIV/0!</v>
      </c>
      <c r="T82" s="400" t="s">
        <v>176</v>
      </c>
      <c r="U82" s="400"/>
      <c r="V82" s="401"/>
      <c r="W82" s="401"/>
      <c r="X82" s="401">
        <v>1</v>
      </c>
      <c r="Y82" s="402"/>
    </row>
    <row r="83" spans="2:34" s="150" customFormat="1" ht="27" customHeight="1">
      <c r="B83" s="812"/>
      <c r="C83" s="813"/>
      <c r="D83" s="390">
        <v>5</v>
      </c>
      <c r="E83" s="393"/>
      <c r="F83" s="394"/>
      <c r="G83" s="395"/>
      <c r="H83" s="395"/>
      <c r="I83" s="396" t="e">
        <f t="shared" ref="I83:I98" si="50">H83/G83</f>
        <v>#DIV/0!</v>
      </c>
      <c r="J83" s="395"/>
      <c r="K83" s="396" t="e">
        <f t="shared" si="42"/>
        <v>#DIV/0!</v>
      </c>
      <c r="L83" s="395"/>
      <c r="M83" s="396" t="e">
        <f t="shared" si="43"/>
        <v>#DIV/0!</v>
      </c>
      <c r="N83" s="397"/>
      <c r="O83" s="395"/>
      <c r="P83" s="396" t="e">
        <f t="shared" si="44"/>
        <v>#DIV/0!</v>
      </c>
      <c r="Q83" s="410">
        <f t="shared" si="45"/>
        <v>0</v>
      </c>
      <c r="R83" s="398">
        <f t="shared" si="46"/>
        <v>0</v>
      </c>
      <c r="S83" s="396" t="e">
        <f t="shared" si="47"/>
        <v>#DIV/0!</v>
      </c>
      <c r="T83" s="400" t="s">
        <v>176</v>
      </c>
      <c r="U83" s="400"/>
      <c r="V83" s="401"/>
      <c r="W83" s="401"/>
      <c r="X83" s="401">
        <v>1</v>
      </c>
      <c r="Y83" s="402"/>
    </row>
    <row r="84" spans="2:34" s="150" customFormat="1" ht="27" customHeight="1">
      <c r="B84" s="812"/>
      <c r="C84" s="813"/>
      <c r="D84" s="390">
        <v>6</v>
      </c>
      <c r="E84" s="393"/>
      <c r="F84" s="394"/>
      <c r="G84" s="395"/>
      <c r="H84" s="395"/>
      <c r="I84" s="396" t="e">
        <f t="shared" si="50"/>
        <v>#DIV/0!</v>
      </c>
      <c r="J84" s="395"/>
      <c r="K84" s="396" t="e">
        <f t="shared" si="42"/>
        <v>#DIV/0!</v>
      </c>
      <c r="L84" s="395"/>
      <c r="M84" s="396" t="e">
        <f t="shared" si="43"/>
        <v>#DIV/0!</v>
      </c>
      <c r="N84" s="397"/>
      <c r="O84" s="395"/>
      <c r="P84" s="396" t="e">
        <f t="shared" si="44"/>
        <v>#DIV/0!</v>
      </c>
      <c r="Q84" s="410">
        <f t="shared" si="45"/>
        <v>0</v>
      </c>
      <c r="R84" s="398">
        <f t="shared" si="46"/>
        <v>0</v>
      </c>
      <c r="S84" s="396" t="e">
        <f t="shared" si="47"/>
        <v>#DIV/0!</v>
      </c>
      <c r="T84" s="400" t="s">
        <v>176</v>
      </c>
      <c r="U84" s="400"/>
      <c r="V84" s="401"/>
      <c r="W84" s="401"/>
      <c r="X84" s="401">
        <v>1</v>
      </c>
      <c r="Y84" s="402"/>
    </row>
    <row r="85" spans="2:34" s="150" customFormat="1" ht="27" customHeight="1">
      <c r="B85" s="812"/>
      <c r="C85" s="813"/>
      <c r="D85" s="390">
        <v>7</v>
      </c>
      <c r="E85" s="393"/>
      <c r="F85" s="394"/>
      <c r="G85" s="395"/>
      <c r="H85" s="395"/>
      <c r="I85" s="396" t="e">
        <f t="shared" si="50"/>
        <v>#DIV/0!</v>
      </c>
      <c r="J85" s="395"/>
      <c r="K85" s="396" t="e">
        <f t="shared" si="42"/>
        <v>#DIV/0!</v>
      </c>
      <c r="L85" s="395"/>
      <c r="M85" s="396" t="e">
        <f t="shared" si="43"/>
        <v>#DIV/0!</v>
      </c>
      <c r="N85" s="397"/>
      <c r="O85" s="395"/>
      <c r="P85" s="396" t="e">
        <f t="shared" si="44"/>
        <v>#DIV/0!</v>
      </c>
      <c r="Q85" s="410">
        <f t="shared" si="45"/>
        <v>0</v>
      </c>
      <c r="R85" s="398">
        <f t="shared" si="46"/>
        <v>0</v>
      </c>
      <c r="S85" s="396" t="e">
        <f t="shared" si="47"/>
        <v>#DIV/0!</v>
      </c>
      <c r="T85" s="400" t="s">
        <v>176</v>
      </c>
      <c r="U85" s="400"/>
      <c r="V85" s="401"/>
      <c r="W85" s="401"/>
      <c r="X85" s="401">
        <v>1</v>
      </c>
      <c r="Y85" s="402"/>
    </row>
    <row r="86" spans="2:34" s="150" customFormat="1" ht="27" customHeight="1">
      <c r="B86" s="812"/>
      <c r="C86" s="813"/>
      <c r="D86" s="390">
        <v>8</v>
      </c>
      <c r="E86" s="393"/>
      <c r="F86" s="394"/>
      <c r="G86" s="395"/>
      <c r="H86" s="395"/>
      <c r="I86" s="396" t="e">
        <f t="shared" si="50"/>
        <v>#DIV/0!</v>
      </c>
      <c r="J86" s="395"/>
      <c r="K86" s="396" t="e">
        <f>J86/G86</f>
        <v>#DIV/0!</v>
      </c>
      <c r="L86" s="395"/>
      <c r="M86" s="396" t="e">
        <f>(H86+J86)/G86</f>
        <v>#DIV/0!</v>
      </c>
      <c r="N86" s="397"/>
      <c r="O86" s="395"/>
      <c r="P86" s="396" t="e">
        <f t="shared" si="44"/>
        <v>#DIV/0!</v>
      </c>
      <c r="Q86" s="410">
        <f t="shared" si="45"/>
        <v>0</v>
      </c>
      <c r="R86" s="398">
        <f t="shared" si="46"/>
        <v>0</v>
      </c>
      <c r="S86" s="396" t="e">
        <f t="shared" si="47"/>
        <v>#DIV/0!</v>
      </c>
      <c r="T86" s="400" t="s">
        <v>176</v>
      </c>
      <c r="U86" s="400"/>
      <c r="V86" s="401"/>
      <c r="W86" s="401"/>
      <c r="X86" s="401">
        <v>1</v>
      </c>
      <c r="Y86" s="402"/>
    </row>
    <row r="87" spans="2:34" s="150" customFormat="1" ht="27" customHeight="1">
      <c r="B87" s="812"/>
      <c r="C87" s="813"/>
      <c r="D87" s="390">
        <v>9</v>
      </c>
      <c r="E87" s="393"/>
      <c r="F87" s="394"/>
      <c r="G87" s="395"/>
      <c r="H87" s="395"/>
      <c r="I87" s="396" t="e">
        <f t="shared" si="50"/>
        <v>#DIV/0!</v>
      </c>
      <c r="J87" s="395"/>
      <c r="K87" s="396" t="e">
        <f t="shared" ref="K87:K98" si="51">J87/G87</f>
        <v>#DIV/0!</v>
      </c>
      <c r="L87" s="395"/>
      <c r="M87" s="396" t="e">
        <f t="shared" ref="M87:M98" si="52">(H87+J87)/G87</f>
        <v>#DIV/0!</v>
      </c>
      <c r="N87" s="397"/>
      <c r="O87" s="395"/>
      <c r="P87" s="396" t="e">
        <f t="shared" si="44"/>
        <v>#DIV/0!</v>
      </c>
      <c r="Q87" s="410">
        <f t="shared" si="45"/>
        <v>0</v>
      </c>
      <c r="R87" s="398">
        <f t="shared" si="46"/>
        <v>0</v>
      </c>
      <c r="S87" s="396" t="e">
        <f t="shared" si="47"/>
        <v>#DIV/0!</v>
      </c>
      <c r="T87" s="400" t="s">
        <v>176</v>
      </c>
      <c r="U87" s="400"/>
      <c r="V87" s="401"/>
      <c r="W87" s="401"/>
      <c r="X87" s="401">
        <v>1</v>
      </c>
      <c r="Y87" s="402"/>
    </row>
    <row r="88" spans="2:34" s="150" customFormat="1" ht="27" customHeight="1">
      <c r="B88" s="812"/>
      <c r="C88" s="813"/>
      <c r="D88" s="390">
        <v>10</v>
      </c>
      <c r="E88" s="393"/>
      <c r="F88" s="394"/>
      <c r="G88" s="395"/>
      <c r="H88" s="395"/>
      <c r="I88" s="396" t="e">
        <f t="shared" si="50"/>
        <v>#DIV/0!</v>
      </c>
      <c r="J88" s="395"/>
      <c r="K88" s="396" t="e">
        <f t="shared" si="51"/>
        <v>#DIV/0!</v>
      </c>
      <c r="L88" s="395"/>
      <c r="M88" s="396" t="e">
        <f t="shared" si="52"/>
        <v>#DIV/0!</v>
      </c>
      <c r="N88" s="397"/>
      <c r="O88" s="395"/>
      <c r="P88" s="396" t="e">
        <f t="shared" si="44"/>
        <v>#DIV/0!</v>
      </c>
      <c r="Q88" s="410">
        <f t="shared" si="45"/>
        <v>0</v>
      </c>
      <c r="R88" s="398">
        <f t="shared" si="46"/>
        <v>0</v>
      </c>
      <c r="S88" s="396" t="e">
        <f t="shared" si="47"/>
        <v>#DIV/0!</v>
      </c>
      <c r="T88" s="400" t="s">
        <v>176</v>
      </c>
      <c r="U88" s="400"/>
      <c r="V88" s="401"/>
      <c r="W88" s="401"/>
      <c r="X88" s="401">
        <v>1</v>
      </c>
      <c r="Y88" s="402"/>
    </row>
    <row r="89" spans="2:34" s="150" customFormat="1" ht="27" customHeight="1">
      <c r="B89" s="812"/>
      <c r="C89" s="813"/>
      <c r="D89" s="390">
        <v>11</v>
      </c>
      <c r="E89" s="393"/>
      <c r="F89" s="394"/>
      <c r="G89" s="395"/>
      <c r="H89" s="395"/>
      <c r="I89" s="396" t="e">
        <f t="shared" si="50"/>
        <v>#DIV/0!</v>
      </c>
      <c r="J89" s="395"/>
      <c r="K89" s="396" t="e">
        <f t="shared" si="51"/>
        <v>#DIV/0!</v>
      </c>
      <c r="L89" s="395"/>
      <c r="M89" s="396" t="e">
        <f t="shared" si="52"/>
        <v>#DIV/0!</v>
      </c>
      <c r="N89" s="397"/>
      <c r="O89" s="395"/>
      <c r="P89" s="396" t="e">
        <f t="shared" si="44"/>
        <v>#DIV/0!</v>
      </c>
      <c r="Q89" s="410">
        <f t="shared" si="45"/>
        <v>0</v>
      </c>
      <c r="R89" s="398">
        <f t="shared" si="46"/>
        <v>0</v>
      </c>
      <c r="S89" s="396" t="e">
        <f t="shared" si="47"/>
        <v>#DIV/0!</v>
      </c>
      <c r="T89" s="400" t="s">
        <v>176</v>
      </c>
      <c r="U89" s="400"/>
      <c r="V89" s="401"/>
      <c r="W89" s="401"/>
      <c r="X89" s="401">
        <v>1</v>
      </c>
      <c r="Y89" s="402"/>
    </row>
    <row r="90" spans="2:34" s="150" customFormat="1" ht="27" customHeight="1">
      <c r="B90" s="812"/>
      <c r="C90" s="813"/>
      <c r="D90" s="390">
        <v>12</v>
      </c>
      <c r="E90" s="393"/>
      <c r="F90" s="394"/>
      <c r="G90" s="395"/>
      <c r="H90" s="395"/>
      <c r="I90" s="396" t="e">
        <f t="shared" si="50"/>
        <v>#DIV/0!</v>
      </c>
      <c r="J90" s="395"/>
      <c r="K90" s="396" t="e">
        <f t="shared" si="51"/>
        <v>#DIV/0!</v>
      </c>
      <c r="L90" s="395"/>
      <c r="M90" s="396" t="e">
        <f t="shared" si="52"/>
        <v>#DIV/0!</v>
      </c>
      <c r="N90" s="397"/>
      <c r="O90" s="395"/>
      <c r="P90" s="396" t="e">
        <f t="shared" si="44"/>
        <v>#DIV/0!</v>
      </c>
      <c r="Q90" s="410">
        <f t="shared" si="45"/>
        <v>0</v>
      </c>
      <c r="R90" s="398">
        <f t="shared" si="46"/>
        <v>0</v>
      </c>
      <c r="S90" s="396" t="e">
        <f t="shared" si="47"/>
        <v>#DIV/0!</v>
      </c>
      <c r="T90" s="400" t="s">
        <v>176</v>
      </c>
      <c r="U90" s="400"/>
      <c r="V90" s="401"/>
      <c r="W90" s="401"/>
      <c r="X90" s="401">
        <v>1</v>
      </c>
      <c r="Y90" s="402"/>
    </row>
    <row r="91" spans="2:34" s="150" customFormat="1" ht="27" customHeight="1">
      <c r="B91" s="812"/>
      <c r="C91" s="813"/>
      <c r="D91" s="390">
        <v>13</v>
      </c>
      <c r="E91" s="393"/>
      <c r="F91" s="394"/>
      <c r="G91" s="395"/>
      <c r="H91" s="395"/>
      <c r="I91" s="396" t="e">
        <f t="shared" si="50"/>
        <v>#DIV/0!</v>
      </c>
      <c r="J91" s="395"/>
      <c r="K91" s="396" t="e">
        <f t="shared" si="51"/>
        <v>#DIV/0!</v>
      </c>
      <c r="L91" s="395"/>
      <c r="M91" s="396" t="e">
        <f t="shared" si="52"/>
        <v>#DIV/0!</v>
      </c>
      <c r="N91" s="397"/>
      <c r="O91" s="395"/>
      <c r="P91" s="396" t="e">
        <f t="shared" si="44"/>
        <v>#DIV/0!</v>
      </c>
      <c r="Q91" s="410">
        <f t="shared" si="45"/>
        <v>0</v>
      </c>
      <c r="R91" s="398">
        <f t="shared" si="46"/>
        <v>0</v>
      </c>
      <c r="S91" s="396" t="e">
        <f t="shared" si="47"/>
        <v>#DIV/0!</v>
      </c>
      <c r="T91" s="400" t="s">
        <v>176</v>
      </c>
      <c r="U91" s="400"/>
      <c r="V91" s="401"/>
      <c r="W91" s="401"/>
      <c r="X91" s="401">
        <v>1</v>
      </c>
      <c r="Y91" s="402"/>
    </row>
    <row r="92" spans="2:34" s="150" customFormat="1" ht="27" customHeight="1">
      <c r="B92" s="812"/>
      <c r="C92" s="813"/>
      <c r="D92" s="390">
        <v>14</v>
      </c>
      <c r="E92" s="393"/>
      <c r="F92" s="394"/>
      <c r="G92" s="395"/>
      <c r="H92" s="395"/>
      <c r="I92" s="396" t="e">
        <f t="shared" si="50"/>
        <v>#DIV/0!</v>
      </c>
      <c r="J92" s="395"/>
      <c r="K92" s="396" t="e">
        <f t="shared" si="51"/>
        <v>#DIV/0!</v>
      </c>
      <c r="L92" s="395"/>
      <c r="M92" s="396" t="e">
        <f t="shared" si="52"/>
        <v>#DIV/0!</v>
      </c>
      <c r="N92" s="397"/>
      <c r="O92" s="395"/>
      <c r="P92" s="396" t="e">
        <f t="shared" si="44"/>
        <v>#DIV/0!</v>
      </c>
      <c r="Q92" s="410">
        <f t="shared" si="45"/>
        <v>0</v>
      </c>
      <c r="R92" s="398">
        <f t="shared" si="46"/>
        <v>0</v>
      </c>
      <c r="S92" s="396" t="e">
        <f t="shared" si="47"/>
        <v>#DIV/0!</v>
      </c>
      <c r="T92" s="400" t="s">
        <v>176</v>
      </c>
      <c r="U92" s="400"/>
      <c r="V92" s="401"/>
      <c r="W92" s="401"/>
      <c r="X92" s="401">
        <v>1</v>
      </c>
      <c r="Y92" s="402"/>
      <c r="AC92" s="407"/>
    </row>
    <row r="93" spans="2:34" s="150" customFormat="1" ht="27" customHeight="1">
      <c r="B93" s="812"/>
      <c r="C93" s="813"/>
      <c r="D93" s="390">
        <v>15</v>
      </c>
      <c r="E93" s="393"/>
      <c r="F93" s="394"/>
      <c r="G93" s="395"/>
      <c r="H93" s="395"/>
      <c r="I93" s="396" t="e">
        <f t="shared" si="50"/>
        <v>#DIV/0!</v>
      </c>
      <c r="J93" s="395"/>
      <c r="K93" s="396" t="e">
        <f t="shared" si="51"/>
        <v>#DIV/0!</v>
      </c>
      <c r="L93" s="395"/>
      <c r="M93" s="396" t="e">
        <f t="shared" si="52"/>
        <v>#DIV/0!</v>
      </c>
      <c r="N93" s="397"/>
      <c r="O93" s="395"/>
      <c r="P93" s="396" t="e">
        <f t="shared" si="44"/>
        <v>#DIV/0!</v>
      </c>
      <c r="Q93" s="410">
        <f t="shared" si="45"/>
        <v>0</v>
      </c>
      <c r="R93" s="398">
        <f t="shared" si="46"/>
        <v>0</v>
      </c>
      <c r="S93" s="396" t="e">
        <f t="shared" si="47"/>
        <v>#DIV/0!</v>
      </c>
      <c r="T93" s="400" t="s">
        <v>176</v>
      </c>
      <c r="U93" s="400"/>
      <c r="V93" s="400"/>
      <c r="W93" s="401"/>
      <c r="X93" s="401">
        <v>1</v>
      </c>
      <c r="Y93" s="402"/>
      <c r="AC93" s="406"/>
    </row>
    <row r="94" spans="2:34" s="150" customFormat="1" ht="27" customHeight="1">
      <c r="B94" s="812"/>
      <c r="C94" s="813"/>
      <c r="D94" s="390">
        <v>16</v>
      </c>
      <c r="E94" s="393"/>
      <c r="F94" s="394"/>
      <c r="G94" s="395"/>
      <c r="H94" s="395"/>
      <c r="I94" s="396" t="e">
        <f t="shared" si="50"/>
        <v>#DIV/0!</v>
      </c>
      <c r="J94" s="395"/>
      <c r="K94" s="396" t="e">
        <f t="shared" si="51"/>
        <v>#DIV/0!</v>
      </c>
      <c r="L94" s="395"/>
      <c r="M94" s="396" t="e">
        <f t="shared" si="52"/>
        <v>#DIV/0!</v>
      </c>
      <c r="N94" s="397"/>
      <c r="O94" s="395"/>
      <c r="P94" s="396" t="e">
        <f t="shared" si="44"/>
        <v>#DIV/0!</v>
      </c>
      <c r="Q94" s="410">
        <f t="shared" si="45"/>
        <v>0</v>
      </c>
      <c r="R94" s="398">
        <f t="shared" si="46"/>
        <v>0</v>
      </c>
      <c r="S94" s="396" t="e">
        <f t="shared" si="47"/>
        <v>#DIV/0!</v>
      </c>
      <c r="T94" s="400" t="s">
        <v>176</v>
      </c>
      <c r="U94" s="400"/>
      <c r="V94" s="401"/>
      <c r="W94" s="401"/>
      <c r="X94" s="401">
        <v>1</v>
      </c>
      <c r="Y94" s="402"/>
      <c r="AC94" s="406"/>
    </row>
    <row r="95" spans="2:34" s="150" customFormat="1" ht="27" customHeight="1">
      <c r="B95" s="812"/>
      <c r="C95" s="813"/>
      <c r="D95" s="390">
        <v>17</v>
      </c>
      <c r="E95" s="393"/>
      <c r="F95" s="394"/>
      <c r="G95" s="395"/>
      <c r="H95" s="395"/>
      <c r="I95" s="396" t="e">
        <f t="shared" si="50"/>
        <v>#DIV/0!</v>
      </c>
      <c r="J95" s="395"/>
      <c r="K95" s="396" t="e">
        <f t="shared" si="51"/>
        <v>#DIV/0!</v>
      </c>
      <c r="L95" s="395"/>
      <c r="M95" s="396" t="e">
        <f t="shared" si="52"/>
        <v>#DIV/0!</v>
      </c>
      <c r="N95" s="397"/>
      <c r="O95" s="395"/>
      <c r="P95" s="396" t="e">
        <f t="shared" si="44"/>
        <v>#DIV/0!</v>
      </c>
      <c r="Q95" s="410">
        <f t="shared" si="45"/>
        <v>0</v>
      </c>
      <c r="R95" s="398">
        <f t="shared" si="46"/>
        <v>0</v>
      </c>
      <c r="S95" s="396" t="e">
        <f t="shared" si="47"/>
        <v>#DIV/0!</v>
      </c>
      <c r="T95" s="400" t="s">
        <v>176</v>
      </c>
      <c r="U95" s="400"/>
      <c r="V95" s="401"/>
      <c r="W95" s="401"/>
      <c r="X95" s="401">
        <v>1</v>
      </c>
      <c r="Y95" s="402"/>
      <c r="AB95" s="408"/>
      <c r="AC95" s="406"/>
    </row>
    <row r="96" spans="2:34" s="150" customFormat="1" ht="27" customHeight="1">
      <c r="B96" s="812"/>
      <c r="C96" s="813"/>
      <c r="D96" s="390">
        <v>18</v>
      </c>
      <c r="E96" s="393"/>
      <c r="F96" s="394"/>
      <c r="G96" s="395"/>
      <c r="H96" s="395"/>
      <c r="I96" s="396" t="e">
        <f t="shared" si="50"/>
        <v>#DIV/0!</v>
      </c>
      <c r="J96" s="395"/>
      <c r="K96" s="396" t="e">
        <f t="shared" si="51"/>
        <v>#DIV/0!</v>
      </c>
      <c r="L96" s="395"/>
      <c r="M96" s="396" t="e">
        <f t="shared" si="52"/>
        <v>#DIV/0!</v>
      </c>
      <c r="N96" s="397"/>
      <c r="O96" s="395"/>
      <c r="P96" s="396" t="e">
        <f t="shared" si="44"/>
        <v>#DIV/0!</v>
      </c>
      <c r="Q96" s="410">
        <f t="shared" si="45"/>
        <v>0</v>
      </c>
      <c r="R96" s="398">
        <f t="shared" si="46"/>
        <v>0</v>
      </c>
      <c r="S96" s="396" t="e">
        <f t="shared" si="47"/>
        <v>#DIV/0!</v>
      </c>
      <c r="T96" s="400" t="s">
        <v>176</v>
      </c>
      <c r="U96" s="400"/>
      <c r="V96" s="401"/>
      <c r="W96" s="401"/>
      <c r="X96" s="401">
        <v>1</v>
      </c>
      <c r="Y96" s="402"/>
      <c r="AC96" s="406"/>
    </row>
    <row r="97" spans="2:34" s="150" customFormat="1" ht="27" customHeight="1">
      <c r="B97" s="812"/>
      <c r="C97" s="813"/>
      <c r="D97" s="390">
        <v>19</v>
      </c>
      <c r="E97" s="393"/>
      <c r="F97" s="394"/>
      <c r="G97" s="395"/>
      <c r="H97" s="395"/>
      <c r="I97" s="396" t="e">
        <f t="shared" si="50"/>
        <v>#DIV/0!</v>
      </c>
      <c r="J97" s="395"/>
      <c r="K97" s="396" t="e">
        <f t="shared" si="51"/>
        <v>#DIV/0!</v>
      </c>
      <c r="L97" s="395"/>
      <c r="M97" s="396" t="e">
        <f t="shared" si="52"/>
        <v>#DIV/0!</v>
      </c>
      <c r="N97" s="397"/>
      <c r="O97" s="395"/>
      <c r="P97" s="396" t="e">
        <f t="shared" si="44"/>
        <v>#DIV/0!</v>
      </c>
      <c r="Q97" s="410">
        <f t="shared" si="45"/>
        <v>0</v>
      </c>
      <c r="R97" s="398">
        <f t="shared" si="46"/>
        <v>0</v>
      </c>
      <c r="S97" s="396" t="e">
        <f t="shared" si="47"/>
        <v>#DIV/0!</v>
      </c>
      <c r="T97" s="400" t="s">
        <v>176</v>
      </c>
      <c r="U97" s="400"/>
      <c r="V97" s="401"/>
      <c r="W97" s="401"/>
      <c r="X97" s="401">
        <v>1</v>
      </c>
      <c r="Y97" s="402"/>
      <c r="AB97" s="409"/>
      <c r="AC97" s="406"/>
    </row>
    <row r="98" spans="2:34" s="150" customFormat="1" ht="27" customHeight="1">
      <c r="B98" s="814"/>
      <c r="C98" s="815"/>
      <c r="D98" s="390">
        <v>20</v>
      </c>
      <c r="E98" s="393"/>
      <c r="F98" s="394"/>
      <c r="G98" s="395"/>
      <c r="H98" s="395"/>
      <c r="I98" s="396" t="e">
        <f t="shared" si="50"/>
        <v>#DIV/0!</v>
      </c>
      <c r="J98" s="395"/>
      <c r="K98" s="396" t="e">
        <f t="shared" si="51"/>
        <v>#DIV/0!</v>
      </c>
      <c r="L98" s="395"/>
      <c r="M98" s="396" t="e">
        <f t="shared" si="52"/>
        <v>#DIV/0!</v>
      </c>
      <c r="N98" s="397"/>
      <c r="O98" s="395"/>
      <c r="P98" s="396" t="e">
        <f t="shared" si="44"/>
        <v>#DIV/0!</v>
      </c>
      <c r="Q98" s="410">
        <f t="shared" si="45"/>
        <v>0</v>
      </c>
      <c r="R98" s="398">
        <f t="shared" si="46"/>
        <v>0</v>
      </c>
      <c r="S98" s="396" t="e">
        <f t="shared" si="47"/>
        <v>#DIV/0!</v>
      </c>
      <c r="T98" s="400" t="s">
        <v>176</v>
      </c>
      <c r="U98" s="400"/>
      <c r="V98" s="401"/>
      <c r="W98" s="401"/>
      <c r="X98" s="401">
        <v>1</v>
      </c>
      <c r="Y98" s="402"/>
      <c r="AB98" s="409"/>
      <c r="AC98" s="406"/>
    </row>
    <row r="99" spans="2:34" ht="16.5" customHeight="1">
      <c r="B99" s="829" t="s">
        <v>489</v>
      </c>
      <c r="C99" s="830"/>
      <c r="D99" s="826" t="s">
        <v>172</v>
      </c>
      <c r="E99" s="826"/>
      <c r="F99" s="826"/>
      <c r="G99" s="826" t="s">
        <v>186</v>
      </c>
      <c r="H99" s="826"/>
      <c r="I99" s="826"/>
      <c r="J99" s="826"/>
      <c r="K99" s="826"/>
      <c r="L99" s="826"/>
      <c r="M99" s="826"/>
      <c r="N99" s="826"/>
      <c r="O99" s="826"/>
      <c r="P99" s="826"/>
      <c r="Q99" s="826"/>
      <c r="R99" s="826"/>
      <c r="S99" s="826"/>
      <c r="T99" s="826" t="s">
        <v>173</v>
      </c>
      <c r="U99" s="816" t="s">
        <v>248</v>
      </c>
      <c r="V99" s="847" t="s">
        <v>497</v>
      </c>
      <c r="W99" s="847" t="s">
        <v>491</v>
      </c>
      <c r="X99" s="838" t="s">
        <v>249</v>
      </c>
      <c r="Y99" s="827" t="s">
        <v>174</v>
      </c>
      <c r="AA99" s="826" t="s">
        <v>250</v>
      </c>
      <c r="AB99" s="826"/>
      <c r="AC99" s="826"/>
      <c r="AD99" s="826"/>
      <c r="AE99" s="826"/>
      <c r="AF99" s="826"/>
      <c r="AG99" s="826"/>
      <c r="AH99" s="826"/>
    </row>
    <row r="100" spans="2:34" ht="17.149999999999999" customHeight="1">
      <c r="B100" s="831"/>
      <c r="C100" s="832"/>
      <c r="D100" s="825" t="s">
        <v>171</v>
      </c>
      <c r="E100" s="826" t="s">
        <v>175</v>
      </c>
      <c r="F100" s="826"/>
      <c r="G100" s="826" t="s">
        <v>187</v>
      </c>
      <c r="H100" s="826"/>
      <c r="I100" s="826"/>
      <c r="J100" s="826"/>
      <c r="K100" s="826"/>
      <c r="L100" s="826"/>
      <c r="M100" s="826"/>
      <c r="N100" s="826"/>
      <c r="O100" s="826" t="s">
        <v>176</v>
      </c>
      <c r="P100" s="826"/>
      <c r="Q100" s="826"/>
      <c r="R100" s="826"/>
      <c r="S100" s="826"/>
      <c r="T100" s="826"/>
      <c r="U100" s="819"/>
      <c r="V100" s="839"/>
      <c r="W100" s="848"/>
      <c r="X100" s="839"/>
      <c r="Y100" s="827"/>
      <c r="AA100" s="826"/>
      <c r="AB100" s="826"/>
      <c r="AC100" s="826"/>
      <c r="AD100" s="826"/>
      <c r="AE100" s="826"/>
      <c r="AF100" s="826"/>
      <c r="AG100" s="826"/>
      <c r="AH100" s="826"/>
    </row>
    <row r="101" spans="2:34" ht="17.149999999999999" customHeight="1">
      <c r="B101" s="831"/>
      <c r="C101" s="832"/>
      <c r="D101" s="825"/>
      <c r="E101" s="825" t="s">
        <v>177</v>
      </c>
      <c r="F101" s="843" t="s">
        <v>498</v>
      </c>
      <c r="G101" s="828" t="s">
        <v>188</v>
      </c>
      <c r="H101" s="828"/>
      <c r="I101" s="828"/>
      <c r="J101" s="828"/>
      <c r="K101" s="828"/>
      <c r="L101" s="828"/>
      <c r="M101" s="828"/>
      <c r="N101" s="828"/>
      <c r="O101" s="844" t="s">
        <v>170</v>
      </c>
      <c r="P101" s="845"/>
      <c r="Q101" s="846"/>
      <c r="R101" s="828" t="s">
        <v>178</v>
      </c>
      <c r="S101" s="828"/>
      <c r="T101" s="826"/>
      <c r="U101" s="819"/>
      <c r="V101" s="839"/>
      <c r="W101" s="848"/>
      <c r="X101" s="839"/>
      <c r="Y101" s="827"/>
      <c r="AA101" s="826"/>
      <c r="AB101" s="826"/>
      <c r="AC101" s="826"/>
      <c r="AD101" s="826"/>
      <c r="AE101" s="826"/>
      <c r="AF101" s="826"/>
      <c r="AG101" s="826"/>
      <c r="AH101" s="826"/>
    </row>
    <row r="102" spans="2:34" ht="38.5" customHeight="1">
      <c r="B102" s="833"/>
      <c r="C102" s="834"/>
      <c r="D102" s="825"/>
      <c r="E102" s="825"/>
      <c r="F102" s="843"/>
      <c r="G102" s="391" t="s">
        <v>179</v>
      </c>
      <c r="H102" s="391" t="s">
        <v>255</v>
      </c>
      <c r="I102" s="391" t="s">
        <v>256</v>
      </c>
      <c r="J102" s="391" t="s">
        <v>180</v>
      </c>
      <c r="K102" s="391" t="s">
        <v>253</v>
      </c>
      <c r="L102" s="391" t="s">
        <v>181</v>
      </c>
      <c r="M102" s="391" t="s">
        <v>189</v>
      </c>
      <c r="N102" s="391" t="s">
        <v>182</v>
      </c>
      <c r="O102" s="392" t="s">
        <v>183</v>
      </c>
      <c r="P102" s="392" t="s">
        <v>184</v>
      </c>
      <c r="Q102" s="391" t="s">
        <v>185</v>
      </c>
      <c r="R102" s="392" t="s">
        <v>183</v>
      </c>
      <c r="S102" s="392" t="s">
        <v>184</v>
      </c>
      <c r="T102" s="826"/>
      <c r="U102" s="822"/>
      <c r="V102" s="840"/>
      <c r="W102" s="849"/>
      <c r="X102" s="840"/>
      <c r="Y102" s="827"/>
      <c r="AA102" s="163" t="s">
        <v>247</v>
      </c>
      <c r="AB102" s="163" t="s">
        <v>492</v>
      </c>
      <c r="AC102" s="158" t="s">
        <v>398</v>
      </c>
      <c r="AD102" s="158" t="s">
        <v>342</v>
      </c>
      <c r="AE102" s="158" t="s">
        <v>466</v>
      </c>
      <c r="AF102" s="158" t="s">
        <v>218</v>
      </c>
      <c r="AG102" s="158" t="s">
        <v>219</v>
      </c>
      <c r="AH102" s="158" t="s">
        <v>399</v>
      </c>
    </row>
    <row r="103" spans="2:34" s="150" customFormat="1" ht="27" customHeight="1">
      <c r="B103" s="810" t="s">
        <v>626</v>
      </c>
      <c r="C103" s="811"/>
      <c r="D103" s="390">
        <v>1</v>
      </c>
      <c r="E103" s="393"/>
      <c r="F103" s="394"/>
      <c r="G103" s="395"/>
      <c r="H103" s="395"/>
      <c r="I103" s="396" t="e">
        <f>H103/G103</f>
        <v>#DIV/0!</v>
      </c>
      <c r="J103" s="395"/>
      <c r="K103" s="396" t="e">
        <f>J103/G103</f>
        <v>#DIV/0!</v>
      </c>
      <c r="L103" s="395"/>
      <c r="M103" s="396" t="e">
        <f>(H103+J103)/G103</f>
        <v>#DIV/0!</v>
      </c>
      <c r="N103" s="397"/>
      <c r="O103" s="395"/>
      <c r="P103" s="396" t="e">
        <f>O103/G103</f>
        <v>#DIV/0!</v>
      </c>
      <c r="Q103" s="410">
        <f>O103*L103</f>
        <v>0</v>
      </c>
      <c r="R103" s="398">
        <f>((H103+J103)-G103)-O103</f>
        <v>0</v>
      </c>
      <c r="S103" s="396" t="e">
        <f>R103/G103</f>
        <v>#DIV/0!</v>
      </c>
      <c r="T103" s="400" t="s">
        <v>176</v>
      </c>
      <c r="U103" s="400"/>
      <c r="V103" s="401"/>
      <c r="W103" s="401"/>
      <c r="X103" s="401">
        <v>1</v>
      </c>
      <c r="Y103" s="402"/>
      <c r="Z103" s="403" t="s">
        <v>493</v>
      </c>
      <c r="AA103" s="404">
        <f>SUM(X103:X122)</f>
        <v>20</v>
      </c>
      <c r="AB103" s="405">
        <f>SUMIF($U$103:$U$122,TRIM(AB102),$X$103:$X$122)</f>
        <v>0</v>
      </c>
      <c r="AC103" s="405">
        <f t="shared" ref="AC103:AH103" si="53">SUMIF($U$103:$U$122,TRIM(AC102),$X$103:$X$122)</f>
        <v>0</v>
      </c>
      <c r="AD103" s="405">
        <f t="shared" si="53"/>
        <v>0</v>
      </c>
      <c r="AE103" s="405">
        <f t="shared" si="53"/>
        <v>0</v>
      </c>
      <c r="AF103" s="405">
        <f t="shared" si="53"/>
        <v>0</v>
      </c>
      <c r="AG103" s="405">
        <f t="shared" si="53"/>
        <v>0</v>
      </c>
      <c r="AH103" s="405">
        <f t="shared" si="53"/>
        <v>0</v>
      </c>
    </row>
    <row r="104" spans="2:34" s="150" customFormat="1" ht="27" customHeight="1">
      <c r="B104" s="812"/>
      <c r="C104" s="813"/>
      <c r="D104" s="390">
        <v>2</v>
      </c>
      <c r="E104" s="393"/>
      <c r="F104" s="394"/>
      <c r="G104" s="395"/>
      <c r="H104" s="395"/>
      <c r="I104" s="396" t="e">
        <f t="shared" ref="I104:I105" si="54">H104/G104</f>
        <v>#DIV/0!</v>
      </c>
      <c r="J104" s="395"/>
      <c r="K104" s="396" t="e">
        <f t="shared" ref="K104:K109" si="55">J104/G104</f>
        <v>#DIV/0!</v>
      </c>
      <c r="L104" s="395"/>
      <c r="M104" s="396" t="e">
        <f t="shared" ref="M104:M109" si="56">(H104+J104)/G104</f>
        <v>#DIV/0!</v>
      </c>
      <c r="N104" s="397"/>
      <c r="O104" s="395"/>
      <c r="P104" s="396" t="e">
        <f t="shared" ref="P104:P122" si="57">O104/G104</f>
        <v>#DIV/0!</v>
      </c>
      <c r="Q104" s="410">
        <f t="shared" ref="Q104:Q122" si="58">O104*L104</f>
        <v>0</v>
      </c>
      <c r="R104" s="398">
        <f t="shared" ref="R104:R122" si="59">((H104+J104)-G104)-O104</f>
        <v>0</v>
      </c>
      <c r="S104" s="396" t="e">
        <f t="shared" ref="S104:S122" si="60">R104/G104</f>
        <v>#DIV/0!</v>
      </c>
      <c r="T104" s="400" t="s">
        <v>176</v>
      </c>
      <c r="U104" s="400"/>
      <c r="V104" s="401"/>
      <c r="W104" s="401"/>
      <c r="X104" s="401">
        <v>1</v>
      </c>
      <c r="Y104" s="402"/>
      <c r="AA104" s="404"/>
      <c r="AB104" s="411">
        <f>SUMIF($U$103:$U$122,TRIM(AB102),$F$103:$F$122)</f>
        <v>0</v>
      </c>
      <c r="AC104" s="411">
        <f t="shared" ref="AC104:AH104" si="61">SUMIF($U$103:$U$122,TRIM(AC102),$F$103:$F$122)</f>
        <v>0</v>
      </c>
      <c r="AD104" s="411">
        <f t="shared" si="61"/>
        <v>0</v>
      </c>
      <c r="AE104" s="411">
        <f t="shared" si="61"/>
        <v>0</v>
      </c>
      <c r="AF104" s="411">
        <f t="shared" si="61"/>
        <v>0</v>
      </c>
      <c r="AG104" s="411">
        <f t="shared" si="61"/>
        <v>0</v>
      </c>
      <c r="AH104" s="411">
        <f t="shared" si="61"/>
        <v>0</v>
      </c>
    </row>
    <row r="105" spans="2:34" s="150" customFormat="1" ht="27" customHeight="1">
      <c r="B105" s="812"/>
      <c r="C105" s="813"/>
      <c r="D105" s="390">
        <v>3</v>
      </c>
      <c r="E105" s="393"/>
      <c r="F105" s="394"/>
      <c r="G105" s="395"/>
      <c r="H105" s="395"/>
      <c r="I105" s="396" t="e">
        <f t="shared" si="54"/>
        <v>#DIV/0!</v>
      </c>
      <c r="J105" s="395"/>
      <c r="K105" s="396" t="e">
        <f t="shared" si="55"/>
        <v>#DIV/0!</v>
      </c>
      <c r="L105" s="395"/>
      <c r="M105" s="396" t="e">
        <f t="shared" si="56"/>
        <v>#DIV/0!</v>
      </c>
      <c r="N105" s="397"/>
      <c r="O105" s="395"/>
      <c r="P105" s="396" t="e">
        <f t="shared" si="57"/>
        <v>#DIV/0!</v>
      </c>
      <c r="Q105" s="410">
        <f t="shared" si="58"/>
        <v>0</v>
      </c>
      <c r="R105" s="398">
        <f t="shared" si="59"/>
        <v>0</v>
      </c>
      <c r="S105" s="396" t="e">
        <f t="shared" si="60"/>
        <v>#DIV/0!</v>
      </c>
      <c r="T105" s="400" t="s">
        <v>176</v>
      </c>
      <c r="U105" s="400"/>
      <c r="V105" s="401"/>
      <c r="W105" s="401"/>
      <c r="X105" s="401">
        <v>1</v>
      </c>
      <c r="Y105" s="402"/>
      <c r="AA105" s="390"/>
      <c r="AB105" s="412">
        <f>AB103/$AA103</f>
        <v>0</v>
      </c>
      <c r="AC105" s="412">
        <f t="shared" ref="AC105:AH105" si="62">AC103/$AA103</f>
        <v>0</v>
      </c>
      <c r="AD105" s="412">
        <f t="shared" si="62"/>
        <v>0</v>
      </c>
      <c r="AE105" s="412">
        <f t="shared" si="62"/>
        <v>0</v>
      </c>
      <c r="AF105" s="412">
        <f t="shared" si="62"/>
        <v>0</v>
      </c>
      <c r="AG105" s="412">
        <f t="shared" si="62"/>
        <v>0</v>
      </c>
      <c r="AH105" s="412">
        <f t="shared" si="62"/>
        <v>0</v>
      </c>
    </row>
    <row r="106" spans="2:34" s="150" customFormat="1" ht="27" customHeight="1">
      <c r="B106" s="812"/>
      <c r="C106" s="813"/>
      <c r="D106" s="390">
        <v>4</v>
      </c>
      <c r="E106" s="393"/>
      <c r="F106" s="394"/>
      <c r="G106" s="395"/>
      <c r="H106" s="395"/>
      <c r="I106" s="396" t="e">
        <f>H106/G106</f>
        <v>#DIV/0!</v>
      </c>
      <c r="J106" s="395"/>
      <c r="K106" s="396" t="e">
        <f t="shared" si="55"/>
        <v>#DIV/0!</v>
      </c>
      <c r="L106" s="395"/>
      <c r="M106" s="396" t="e">
        <f t="shared" si="56"/>
        <v>#DIV/0!</v>
      </c>
      <c r="N106" s="397"/>
      <c r="O106" s="395"/>
      <c r="P106" s="396" t="e">
        <f t="shared" si="57"/>
        <v>#DIV/0!</v>
      </c>
      <c r="Q106" s="410">
        <f t="shared" si="58"/>
        <v>0</v>
      </c>
      <c r="R106" s="398">
        <f t="shared" si="59"/>
        <v>0</v>
      </c>
      <c r="S106" s="396" t="e">
        <f t="shared" si="60"/>
        <v>#DIV/0!</v>
      </c>
      <c r="T106" s="400" t="s">
        <v>176</v>
      </c>
      <c r="U106" s="400"/>
      <c r="V106" s="401"/>
      <c r="W106" s="401"/>
      <c r="X106" s="401">
        <v>1</v>
      </c>
      <c r="Y106" s="402"/>
    </row>
    <row r="107" spans="2:34" s="150" customFormat="1" ht="27" customHeight="1">
      <c r="B107" s="812"/>
      <c r="C107" s="813"/>
      <c r="D107" s="390">
        <v>5</v>
      </c>
      <c r="E107" s="393"/>
      <c r="F107" s="394"/>
      <c r="G107" s="395"/>
      <c r="H107" s="395"/>
      <c r="I107" s="396" t="e">
        <f t="shared" ref="I107:I122" si="63">H107/G107</f>
        <v>#DIV/0!</v>
      </c>
      <c r="J107" s="395"/>
      <c r="K107" s="396" t="e">
        <f t="shared" si="55"/>
        <v>#DIV/0!</v>
      </c>
      <c r="L107" s="395"/>
      <c r="M107" s="396" t="e">
        <f t="shared" si="56"/>
        <v>#DIV/0!</v>
      </c>
      <c r="N107" s="397"/>
      <c r="O107" s="395"/>
      <c r="P107" s="396" t="e">
        <f t="shared" si="57"/>
        <v>#DIV/0!</v>
      </c>
      <c r="Q107" s="410">
        <f t="shared" si="58"/>
        <v>0</v>
      </c>
      <c r="R107" s="398">
        <f t="shared" si="59"/>
        <v>0</v>
      </c>
      <c r="S107" s="396" t="e">
        <f t="shared" si="60"/>
        <v>#DIV/0!</v>
      </c>
      <c r="T107" s="400" t="s">
        <v>176</v>
      </c>
      <c r="U107" s="400"/>
      <c r="V107" s="401"/>
      <c r="W107" s="401"/>
      <c r="X107" s="401">
        <v>1</v>
      </c>
      <c r="Y107" s="402"/>
    </row>
    <row r="108" spans="2:34" s="150" customFormat="1" ht="27" customHeight="1">
      <c r="B108" s="812"/>
      <c r="C108" s="813"/>
      <c r="D108" s="390">
        <v>6</v>
      </c>
      <c r="E108" s="393"/>
      <c r="F108" s="394"/>
      <c r="G108" s="395"/>
      <c r="H108" s="395"/>
      <c r="I108" s="396" t="e">
        <f t="shared" si="63"/>
        <v>#DIV/0!</v>
      </c>
      <c r="J108" s="395"/>
      <c r="K108" s="396" t="e">
        <f t="shared" si="55"/>
        <v>#DIV/0!</v>
      </c>
      <c r="L108" s="395"/>
      <c r="M108" s="396" t="e">
        <f t="shared" si="56"/>
        <v>#DIV/0!</v>
      </c>
      <c r="N108" s="397"/>
      <c r="O108" s="395"/>
      <c r="P108" s="396" t="e">
        <f t="shared" si="57"/>
        <v>#DIV/0!</v>
      </c>
      <c r="Q108" s="410">
        <f t="shared" si="58"/>
        <v>0</v>
      </c>
      <c r="R108" s="398">
        <f t="shared" si="59"/>
        <v>0</v>
      </c>
      <c r="S108" s="396" t="e">
        <f t="shared" si="60"/>
        <v>#DIV/0!</v>
      </c>
      <c r="T108" s="400" t="s">
        <v>176</v>
      </c>
      <c r="U108" s="400"/>
      <c r="V108" s="401"/>
      <c r="W108" s="401"/>
      <c r="X108" s="401">
        <v>1</v>
      </c>
      <c r="Y108" s="402"/>
    </row>
    <row r="109" spans="2:34" s="150" customFormat="1" ht="27" customHeight="1">
      <c r="B109" s="812"/>
      <c r="C109" s="813"/>
      <c r="D109" s="390">
        <v>7</v>
      </c>
      <c r="E109" s="393"/>
      <c r="F109" s="394"/>
      <c r="G109" s="395"/>
      <c r="H109" s="395"/>
      <c r="I109" s="396" t="e">
        <f t="shared" si="63"/>
        <v>#DIV/0!</v>
      </c>
      <c r="J109" s="395"/>
      <c r="K109" s="396" t="e">
        <f t="shared" si="55"/>
        <v>#DIV/0!</v>
      </c>
      <c r="L109" s="395"/>
      <c r="M109" s="396" t="e">
        <f t="shared" si="56"/>
        <v>#DIV/0!</v>
      </c>
      <c r="N109" s="397"/>
      <c r="O109" s="395"/>
      <c r="P109" s="396" t="e">
        <f t="shared" si="57"/>
        <v>#DIV/0!</v>
      </c>
      <c r="Q109" s="410">
        <f t="shared" si="58"/>
        <v>0</v>
      </c>
      <c r="R109" s="398">
        <f t="shared" si="59"/>
        <v>0</v>
      </c>
      <c r="S109" s="396" t="e">
        <f t="shared" si="60"/>
        <v>#DIV/0!</v>
      </c>
      <c r="T109" s="400" t="s">
        <v>176</v>
      </c>
      <c r="U109" s="400"/>
      <c r="V109" s="401"/>
      <c r="W109" s="401"/>
      <c r="X109" s="401">
        <v>1</v>
      </c>
      <c r="Y109" s="402"/>
    </row>
    <row r="110" spans="2:34" s="150" customFormat="1" ht="27" customHeight="1">
      <c r="B110" s="812"/>
      <c r="C110" s="813"/>
      <c r="D110" s="390">
        <v>8</v>
      </c>
      <c r="E110" s="393"/>
      <c r="F110" s="394"/>
      <c r="G110" s="395"/>
      <c r="H110" s="395"/>
      <c r="I110" s="396" t="e">
        <f t="shared" si="63"/>
        <v>#DIV/0!</v>
      </c>
      <c r="J110" s="395"/>
      <c r="K110" s="396" t="e">
        <f>J110/G110</f>
        <v>#DIV/0!</v>
      </c>
      <c r="L110" s="395"/>
      <c r="M110" s="396" t="e">
        <f>(H110+J110)/G110</f>
        <v>#DIV/0!</v>
      </c>
      <c r="N110" s="397"/>
      <c r="O110" s="395"/>
      <c r="P110" s="396" t="e">
        <f t="shared" si="57"/>
        <v>#DIV/0!</v>
      </c>
      <c r="Q110" s="410">
        <f t="shared" si="58"/>
        <v>0</v>
      </c>
      <c r="R110" s="398">
        <f t="shared" si="59"/>
        <v>0</v>
      </c>
      <c r="S110" s="396" t="e">
        <f t="shared" si="60"/>
        <v>#DIV/0!</v>
      </c>
      <c r="T110" s="400" t="s">
        <v>176</v>
      </c>
      <c r="U110" s="400"/>
      <c r="V110" s="401"/>
      <c r="W110" s="401"/>
      <c r="X110" s="401">
        <v>1</v>
      </c>
      <c r="Y110" s="402"/>
    </row>
    <row r="111" spans="2:34" s="150" customFormat="1" ht="27" customHeight="1">
      <c r="B111" s="812"/>
      <c r="C111" s="813"/>
      <c r="D111" s="390">
        <v>9</v>
      </c>
      <c r="E111" s="393"/>
      <c r="F111" s="394"/>
      <c r="G111" s="395"/>
      <c r="H111" s="395"/>
      <c r="I111" s="396" t="e">
        <f t="shared" si="63"/>
        <v>#DIV/0!</v>
      </c>
      <c r="J111" s="395"/>
      <c r="K111" s="396" t="e">
        <f t="shared" ref="K111:K122" si="64">J111/G111</f>
        <v>#DIV/0!</v>
      </c>
      <c r="L111" s="395"/>
      <c r="M111" s="396" t="e">
        <f t="shared" ref="M111:M122" si="65">(H111+J111)/G111</f>
        <v>#DIV/0!</v>
      </c>
      <c r="N111" s="397"/>
      <c r="O111" s="395"/>
      <c r="P111" s="396" t="e">
        <f t="shared" si="57"/>
        <v>#DIV/0!</v>
      </c>
      <c r="Q111" s="410">
        <f t="shared" si="58"/>
        <v>0</v>
      </c>
      <c r="R111" s="398">
        <f t="shared" si="59"/>
        <v>0</v>
      </c>
      <c r="S111" s="396" t="e">
        <f t="shared" si="60"/>
        <v>#DIV/0!</v>
      </c>
      <c r="T111" s="400" t="s">
        <v>176</v>
      </c>
      <c r="U111" s="400"/>
      <c r="V111" s="401"/>
      <c r="W111" s="401"/>
      <c r="X111" s="401">
        <v>1</v>
      </c>
      <c r="Y111" s="402"/>
    </row>
    <row r="112" spans="2:34" s="150" customFormat="1" ht="27" customHeight="1">
      <c r="B112" s="812"/>
      <c r="C112" s="813"/>
      <c r="D112" s="390">
        <v>10</v>
      </c>
      <c r="E112" s="393"/>
      <c r="F112" s="394"/>
      <c r="G112" s="395"/>
      <c r="H112" s="395"/>
      <c r="I112" s="396" t="e">
        <f t="shared" si="63"/>
        <v>#DIV/0!</v>
      </c>
      <c r="J112" s="395"/>
      <c r="K112" s="396" t="e">
        <f t="shared" si="64"/>
        <v>#DIV/0!</v>
      </c>
      <c r="L112" s="395"/>
      <c r="M112" s="396" t="e">
        <f t="shared" si="65"/>
        <v>#DIV/0!</v>
      </c>
      <c r="N112" s="397"/>
      <c r="O112" s="395"/>
      <c r="P112" s="396" t="e">
        <f t="shared" si="57"/>
        <v>#DIV/0!</v>
      </c>
      <c r="Q112" s="410">
        <f t="shared" si="58"/>
        <v>0</v>
      </c>
      <c r="R112" s="398">
        <f t="shared" si="59"/>
        <v>0</v>
      </c>
      <c r="S112" s="396" t="e">
        <f t="shared" si="60"/>
        <v>#DIV/0!</v>
      </c>
      <c r="T112" s="400" t="s">
        <v>176</v>
      </c>
      <c r="U112" s="400"/>
      <c r="V112" s="401"/>
      <c r="W112" s="401"/>
      <c r="X112" s="401">
        <v>1</v>
      </c>
      <c r="Y112" s="402"/>
    </row>
    <row r="113" spans="2:34" s="150" customFormat="1" ht="27" customHeight="1">
      <c r="B113" s="812"/>
      <c r="C113" s="813"/>
      <c r="D113" s="390">
        <v>11</v>
      </c>
      <c r="E113" s="393"/>
      <c r="F113" s="394"/>
      <c r="G113" s="395"/>
      <c r="H113" s="395"/>
      <c r="I113" s="396" t="e">
        <f t="shared" si="63"/>
        <v>#DIV/0!</v>
      </c>
      <c r="J113" s="395"/>
      <c r="K113" s="396" t="e">
        <f t="shared" si="64"/>
        <v>#DIV/0!</v>
      </c>
      <c r="L113" s="395"/>
      <c r="M113" s="396" t="e">
        <f t="shared" si="65"/>
        <v>#DIV/0!</v>
      </c>
      <c r="N113" s="397"/>
      <c r="O113" s="395"/>
      <c r="P113" s="396" t="e">
        <f t="shared" si="57"/>
        <v>#DIV/0!</v>
      </c>
      <c r="Q113" s="410">
        <f t="shared" si="58"/>
        <v>0</v>
      </c>
      <c r="R113" s="398">
        <f t="shared" si="59"/>
        <v>0</v>
      </c>
      <c r="S113" s="396" t="e">
        <f t="shared" si="60"/>
        <v>#DIV/0!</v>
      </c>
      <c r="T113" s="400" t="s">
        <v>176</v>
      </c>
      <c r="U113" s="400"/>
      <c r="V113" s="401"/>
      <c r="W113" s="401"/>
      <c r="X113" s="401">
        <v>1</v>
      </c>
      <c r="Y113" s="402"/>
    </row>
    <row r="114" spans="2:34" s="150" customFormat="1" ht="27" customHeight="1">
      <c r="B114" s="812"/>
      <c r="C114" s="813"/>
      <c r="D114" s="390">
        <v>12</v>
      </c>
      <c r="E114" s="393"/>
      <c r="F114" s="394"/>
      <c r="G114" s="395"/>
      <c r="H114" s="395"/>
      <c r="I114" s="396" t="e">
        <f t="shared" si="63"/>
        <v>#DIV/0!</v>
      </c>
      <c r="J114" s="395"/>
      <c r="K114" s="396" t="e">
        <f t="shared" si="64"/>
        <v>#DIV/0!</v>
      </c>
      <c r="L114" s="395"/>
      <c r="M114" s="396" t="e">
        <f t="shared" si="65"/>
        <v>#DIV/0!</v>
      </c>
      <c r="N114" s="397"/>
      <c r="O114" s="395"/>
      <c r="P114" s="396" t="e">
        <f t="shared" si="57"/>
        <v>#DIV/0!</v>
      </c>
      <c r="Q114" s="410">
        <f t="shared" si="58"/>
        <v>0</v>
      </c>
      <c r="R114" s="398">
        <f t="shared" si="59"/>
        <v>0</v>
      </c>
      <c r="S114" s="396" t="e">
        <f t="shared" si="60"/>
        <v>#DIV/0!</v>
      </c>
      <c r="T114" s="400" t="s">
        <v>176</v>
      </c>
      <c r="U114" s="400"/>
      <c r="V114" s="401"/>
      <c r="W114" s="401"/>
      <c r="X114" s="401">
        <v>1</v>
      </c>
      <c r="Y114" s="402"/>
    </row>
    <row r="115" spans="2:34" s="150" customFormat="1" ht="27" customHeight="1">
      <c r="B115" s="812"/>
      <c r="C115" s="813"/>
      <c r="D115" s="390">
        <v>13</v>
      </c>
      <c r="E115" s="393"/>
      <c r="F115" s="394"/>
      <c r="G115" s="395"/>
      <c r="H115" s="395"/>
      <c r="I115" s="396" t="e">
        <f t="shared" si="63"/>
        <v>#DIV/0!</v>
      </c>
      <c r="J115" s="395"/>
      <c r="K115" s="396" t="e">
        <f t="shared" si="64"/>
        <v>#DIV/0!</v>
      </c>
      <c r="L115" s="395"/>
      <c r="M115" s="396" t="e">
        <f t="shared" si="65"/>
        <v>#DIV/0!</v>
      </c>
      <c r="N115" s="397"/>
      <c r="O115" s="395"/>
      <c r="P115" s="396" t="e">
        <f t="shared" si="57"/>
        <v>#DIV/0!</v>
      </c>
      <c r="Q115" s="410">
        <f t="shared" si="58"/>
        <v>0</v>
      </c>
      <c r="R115" s="398">
        <f t="shared" si="59"/>
        <v>0</v>
      </c>
      <c r="S115" s="396" t="e">
        <f t="shared" si="60"/>
        <v>#DIV/0!</v>
      </c>
      <c r="T115" s="400" t="s">
        <v>176</v>
      </c>
      <c r="U115" s="400"/>
      <c r="V115" s="401"/>
      <c r="W115" s="401"/>
      <c r="X115" s="401">
        <v>1</v>
      </c>
      <c r="Y115" s="402"/>
    </row>
    <row r="116" spans="2:34" s="150" customFormat="1" ht="27" customHeight="1">
      <c r="B116" s="812"/>
      <c r="C116" s="813"/>
      <c r="D116" s="390">
        <v>14</v>
      </c>
      <c r="E116" s="393"/>
      <c r="F116" s="394"/>
      <c r="G116" s="395"/>
      <c r="H116" s="395"/>
      <c r="I116" s="396" t="e">
        <f t="shared" si="63"/>
        <v>#DIV/0!</v>
      </c>
      <c r="J116" s="395"/>
      <c r="K116" s="396" t="e">
        <f t="shared" si="64"/>
        <v>#DIV/0!</v>
      </c>
      <c r="L116" s="395"/>
      <c r="M116" s="396" t="e">
        <f t="shared" si="65"/>
        <v>#DIV/0!</v>
      </c>
      <c r="N116" s="397"/>
      <c r="O116" s="395"/>
      <c r="P116" s="396" t="e">
        <f t="shared" si="57"/>
        <v>#DIV/0!</v>
      </c>
      <c r="Q116" s="410">
        <f t="shared" si="58"/>
        <v>0</v>
      </c>
      <c r="R116" s="398">
        <f t="shared" si="59"/>
        <v>0</v>
      </c>
      <c r="S116" s="396" t="e">
        <f t="shared" si="60"/>
        <v>#DIV/0!</v>
      </c>
      <c r="T116" s="400" t="s">
        <v>176</v>
      </c>
      <c r="U116" s="400"/>
      <c r="V116" s="401"/>
      <c r="W116" s="401"/>
      <c r="X116" s="401">
        <v>1</v>
      </c>
      <c r="Y116" s="402"/>
    </row>
    <row r="117" spans="2:34" s="150" customFormat="1" ht="27" customHeight="1">
      <c r="B117" s="812"/>
      <c r="C117" s="813"/>
      <c r="D117" s="390">
        <v>15</v>
      </c>
      <c r="E117" s="393"/>
      <c r="F117" s="394"/>
      <c r="G117" s="395"/>
      <c r="H117" s="395"/>
      <c r="I117" s="396" t="e">
        <f t="shared" si="63"/>
        <v>#DIV/0!</v>
      </c>
      <c r="J117" s="395"/>
      <c r="K117" s="396" t="e">
        <f t="shared" si="64"/>
        <v>#DIV/0!</v>
      </c>
      <c r="L117" s="395"/>
      <c r="M117" s="396" t="e">
        <f t="shared" si="65"/>
        <v>#DIV/0!</v>
      </c>
      <c r="N117" s="397"/>
      <c r="O117" s="395"/>
      <c r="P117" s="396" t="e">
        <f t="shared" si="57"/>
        <v>#DIV/0!</v>
      </c>
      <c r="Q117" s="410">
        <f t="shared" si="58"/>
        <v>0</v>
      </c>
      <c r="R117" s="398">
        <f t="shared" si="59"/>
        <v>0</v>
      </c>
      <c r="S117" s="396" t="e">
        <f t="shared" si="60"/>
        <v>#DIV/0!</v>
      </c>
      <c r="T117" s="400" t="s">
        <v>176</v>
      </c>
      <c r="U117" s="400"/>
      <c r="V117" s="400"/>
      <c r="W117" s="401"/>
      <c r="X117" s="401">
        <v>1</v>
      </c>
      <c r="Y117" s="402"/>
    </row>
    <row r="118" spans="2:34" s="150" customFormat="1" ht="27" customHeight="1">
      <c r="B118" s="812"/>
      <c r="C118" s="813"/>
      <c r="D118" s="390">
        <v>16</v>
      </c>
      <c r="E118" s="393"/>
      <c r="F118" s="394"/>
      <c r="G118" s="395"/>
      <c r="H118" s="395"/>
      <c r="I118" s="396" t="e">
        <f t="shared" si="63"/>
        <v>#DIV/0!</v>
      </c>
      <c r="J118" s="395"/>
      <c r="K118" s="396" t="e">
        <f t="shared" si="64"/>
        <v>#DIV/0!</v>
      </c>
      <c r="L118" s="395"/>
      <c r="M118" s="396" t="e">
        <f t="shared" si="65"/>
        <v>#DIV/0!</v>
      </c>
      <c r="N118" s="397"/>
      <c r="O118" s="395"/>
      <c r="P118" s="396" t="e">
        <f t="shared" si="57"/>
        <v>#DIV/0!</v>
      </c>
      <c r="Q118" s="410">
        <f t="shared" si="58"/>
        <v>0</v>
      </c>
      <c r="R118" s="398">
        <f t="shared" si="59"/>
        <v>0</v>
      </c>
      <c r="S118" s="396" t="e">
        <f t="shared" si="60"/>
        <v>#DIV/0!</v>
      </c>
      <c r="T118" s="400" t="s">
        <v>176</v>
      </c>
      <c r="U118" s="400"/>
      <c r="V118" s="401"/>
      <c r="W118" s="401"/>
      <c r="X118" s="401">
        <v>1</v>
      </c>
      <c r="Y118" s="402"/>
    </row>
    <row r="119" spans="2:34" s="150" customFormat="1" ht="27" customHeight="1">
      <c r="B119" s="812"/>
      <c r="C119" s="813"/>
      <c r="D119" s="390">
        <v>17</v>
      </c>
      <c r="E119" s="393"/>
      <c r="F119" s="394"/>
      <c r="G119" s="395"/>
      <c r="H119" s="395"/>
      <c r="I119" s="396" t="e">
        <f t="shared" si="63"/>
        <v>#DIV/0!</v>
      </c>
      <c r="J119" s="395"/>
      <c r="K119" s="396" t="e">
        <f t="shared" si="64"/>
        <v>#DIV/0!</v>
      </c>
      <c r="L119" s="395"/>
      <c r="M119" s="396" t="e">
        <f t="shared" si="65"/>
        <v>#DIV/0!</v>
      </c>
      <c r="N119" s="397"/>
      <c r="O119" s="395"/>
      <c r="P119" s="396" t="e">
        <f t="shared" si="57"/>
        <v>#DIV/0!</v>
      </c>
      <c r="Q119" s="410">
        <f t="shared" si="58"/>
        <v>0</v>
      </c>
      <c r="R119" s="398">
        <f t="shared" si="59"/>
        <v>0</v>
      </c>
      <c r="S119" s="396" t="e">
        <f t="shared" si="60"/>
        <v>#DIV/0!</v>
      </c>
      <c r="T119" s="400" t="s">
        <v>176</v>
      </c>
      <c r="U119" s="400"/>
      <c r="V119" s="401"/>
      <c r="W119" s="401"/>
      <c r="X119" s="401">
        <v>1</v>
      </c>
      <c r="Y119" s="402"/>
    </row>
    <row r="120" spans="2:34" s="150" customFormat="1" ht="27" customHeight="1">
      <c r="B120" s="812"/>
      <c r="C120" s="813"/>
      <c r="D120" s="390">
        <v>18</v>
      </c>
      <c r="E120" s="393"/>
      <c r="F120" s="394"/>
      <c r="G120" s="395"/>
      <c r="H120" s="395"/>
      <c r="I120" s="396" t="e">
        <f t="shared" si="63"/>
        <v>#DIV/0!</v>
      </c>
      <c r="J120" s="395"/>
      <c r="K120" s="396" t="e">
        <f t="shared" si="64"/>
        <v>#DIV/0!</v>
      </c>
      <c r="L120" s="395"/>
      <c r="M120" s="396" t="e">
        <f t="shared" si="65"/>
        <v>#DIV/0!</v>
      </c>
      <c r="N120" s="397"/>
      <c r="O120" s="395"/>
      <c r="P120" s="396" t="e">
        <f t="shared" si="57"/>
        <v>#DIV/0!</v>
      </c>
      <c r="Q120" s="410">
        <f t="shared" si="58"/>
        <v>0</v>
      </c>
      <c r="R120" s="398">
        <f t="shared" si="59"/>
        <v>0</v>
      </c>
      <c r="S120" s="396" t="e">
        <f t="shared" si="60"/>
        <v>#DIV/0!</v>
      </c>
      <c r="T120" s="400" t="s">
        <v>176</v>
      </c>
      <c r="U120" s="400"/>
      <c r="V120" s="401"/>
      <c r="W120" s="401"/>
      <c r="X120" s="401">
        <v>1</v>
      </c>
      <c r="Y120" s="402"/>
    </row>
    <row r="121" spans="2:34" s="150" customFormat="1" ht="27" customHeight="1">
      <c r="B121" s="812"/>
      <c r="C121" s="813"/>
      <c r="D121" s="390">
        <v>19</v>
      </c>
      <c r="E121" s="393"/>
      <c r="F121" s="394"/>
      <c r="G121" s="395"/>
      <c r="H121" s="395"/>
      <c r="I121" s="396" t="e">
        <f t="shared" si="63"/>
        <v>#DIV/0!</v>
      </c>
      <c r="J121" s="395"/>
      <c r="K121" s="396" t="e">
        <f t="shared" si="64"/>
        <v>#DIV/0!</v>
      </c>
      <c r="L121" s="395"/>
      <c r="M121" s="396" t="e">
        <f t="shared" si="65"/>
        <v>#DIV/0!</v>
      </c>
      <c r="N121" s="397"/>
      <c r="O121" s="395"/>
      <c r="P121" s="396" t="e">
        <f t="shared" si="57"/>
        <v>#DIV/0!</v>
      </c>
      <c r="Q121" s="410">
        <f t="shared" si="58"/>
        <v>0</v>
      </c>
      <c r="R121" s="398">
        <f t="shared" si="59"/>
        <v>0</v>
      </c>
      <c r="S121" s="396" t="e">
        <f t="shared" si="60"/>
        <v>#DIV/0!</v>
      </c>
      <c r="T121" s="400" t="s">
        <v>176</v>
      </c>
      <c r="U121" s="400"/>
      <c r="V121" s="401"/>
      <c r="W121" s="401"/>
      <c r="X121" s="401">
        <v>1</v>
      </c>
      <c r="Y121" s="402"/>
    </row>
    <row r="122" spans="2:34" s="150" customFormat="1" ht="27" customHeight="1">
      <c r="B122" s="814"/>
      <c r="C122" s="815"/>
      <c r="D122" s="390">
        <v>20</v>
      </c>
      <c r="E122" s="393"/>
      <c r="F122" s="394"/>
      <c r="G122" s="395"/>
      <c r="H122" s="395"/>
      <c r="I122" s="396" t="e">
        <f t="shared" si="63"/>
        <v>#DIV/0!</v>
      </c>
      <c r="J122" s="395"/>
      <c r="K122" s="396" t="e">
        <f t="shared" si="64"/>
        <v>#DIV/0!</v>
      </c>
      <c r="L122" s="395"/>
      <c r="M122" s="396" t="e">
        <f t="shared" si="65"/>
        <v>#DIV/0!</v>
      </c>
      <c r="N122" s="397"/>
      <c r="O122" s="395"/>
      <c r="P122" s="396" t="e">
        <f t="shared" si="57"/>
        <v>#DIV/0!</v>
      </c>
      <c r="Q122" s="410">
        <f t="shared" si="58"/>
        <v>0</v>
      </c>
      <c r="R122" s="398">
        <f t="shared" si="59"/>
        <v>0</v>
      </c>
      <c r="S122" s="396" t="e">
        <f t="shared" si="60"/>
        <v>#DIV/0!</v>
      </c>
      <c r="T122" s="400" t="s">
        <v>176</v>
      </c>
      <c r="U122" s="400"/>
      <c r="V122" s="401"/>
      <c r="W122" s="401"/>
      <c r="X122" s="401">
        <v>1</v>
      </c>
      <c r="Y122" s="402"/>
      <c r="AB122" s="409"/>
      <c r="AC122" s="406"/>
    </row>
    <row r="123" spans="2:34" ht="16.5" customHeight="1">
      <c r="B123" s="829" t="s">
        <v>489</v>
      </c>
      <c r="C123" s="830"/>
      <c r="D123" s="826" t="s">
        <v>172</v>
      </c>
      <c r="E123" s="826"/>
      <c r="F123" s="826"/>
      <c r="G123" s="826" t="s">
        <v>186</v>
      </c>
      <c r="H123" s="826"/>
      <c r="I123" s="826"/>
      <c r="J123" s="826"/>
      <c r="K123" s="826"/>
      <c r="L123" s="826"/>
      <c r="M123" s="826"/>
      <c r="N123" s="826"/>
      <c r="O123" s="826"/>
      <c r="P123" s="826"/>
      <c r="Q123" s="826"/>
      <c r="R123" s="826"/>
      <c r="S123" s="826"/>
      <c r="T123" s="826" t="s">
        <v>173</v>
      </c>
      <c r="U123" s="816" t="s">
        <v>248</v>
      </c>
      <c r="V123" s="847" t="s">
        <v>497</v>
      </c>
      <c r="W123" s="847" t="s">
        <v>491</v>
      </c>
      <c r="X123" s="838" t="s">
        <v>249</v>
      </c>
      <c r="Y123" s="827" t="s">
        <v>174</v>
      </c>
      <c r="AA123" s="826" t="s">
        <v>250</v>
      </c>
      <c r="AB123" s="826"/>
      <c r="AC123" s="826"/>
      <c r="AD123" s="826"/>
      <c r="AE123" s="826"/>
      <c r="AF123" s="826"/>
      <c r="AG123" s="826"/>
      <c r="AH123" s="826"/>
    </row>
    <row r="124" spans="2:34" ht="17.149999999999999" customHeight="1">
      <c r="B124" s="831"/>
      <c r="C124" s="832"/>
      <c r="D124" s="825" t="s">
        <v>171</v>
      </c>
      <c r="E124" s="826" t="s">
        <v>175</v>
      </c>
      <c r="F124" s="826"/>
      <c r="G124" s="826" t="s">
        <v>187</v>
      </c>
      <c r="H124" s="826"/>
      <c r="I124" s="826"/>
      <c r="J124" s="826"/>
      <c r="K124" s="826"/>
      <c r="L124" s="826"/>
      <c r="M124" s="826"/>
      <c r="N124" s="826"/>
      <c r="O124" s="826" t="s">
        <v>176</v>
      </c>
      <c r="P124" s="826"/>
      <c r="Q124" s="826"/>
      <c r="R124" s="826"/>
      <c r="S124" s="826"/>
      <c r="T124" s="826"/>
      <c r="U124" s="819"/>
      <c r="V124" s="839"/>
      <c r="W124" s="848"/>
      <c r="X124" s="839"/>
      <c r="Y124" s="827"/>
      <c r="AA124" s="826"/>
      <c r="AB124" s="826"/>
      <c r="AC124" s="826"/>
      <c r="AD124" s="826"/>
      <c r="AE124" s="826"/>
      <c r="AF124" s="826"/>
      <c r="AG124" s="826"/>
      <c r="AH124" s="826"/>
    </row>
    <row r="125" spans="2:34" ht="17.149999999999999" customHeight="1">
      <c r="B125" s="831"/>
      <c r="C125" s="832"/>
      <c r="D125" s="825"/>
      <c r="E125" s="825" t="s">
        <v>177</v>
      </c>
      <c r="F125" s="843" t="s">
        <v>498</v>
      </c>
      <c r="G125" s="828" t="s">
        <v>188</v>
      </c>
      <c r="H125" s="828"/>
      <c r="I125" s="828"/>
      <c r="J125" s="828"/>
      <c r="K125" s="828"/>
      <c r="L125" s="828"/>
      <c r="M125" s="828"/>
      <c r="N125" s="828"/>
      <c r="O125" s="844" t="s">
        <v>170</v>
      </c>
      <c r="P125" s="845"/>
      <c r="Q125" s="846"/>
      <c r="R125" s="828" t="s">
        <v>178</v>
      </c>
      <c r="S125" s="828"/>
      <c r="T125" s="826"/>
      <c r="U125" s="819"/>
      <c r="V125" s="839"/>
      <c r="W125" s="848"/>
      <c r="X125" s="839"/>
      <c r="Y125" s="827"/>
      <c r="AA125" s="826"/>
      <c r="AB125" s="826"/>
      <c r="AC125" s="826"/>
      <c r="AD125" s="826"/>
      <c r="AE125" s="826"/>
      <c r="AF125" s="826"/>
      <c r="AG125" s="826"/>
      <c r="AH125" s="826"/>
    </row>
    <row r="126" spans="2:34" ht="38.5" customHeight="1">
      <c r="B126" s="833"/>
      <c r="C126" s="834"/>
      <c r="D126" s="825"/>
      <c r="E126" s="825"/>
      <c r="F126" s="843"/>
      <c r="G126" s="391" t="s">
        <v>179</v>
      </c>
      <c r="H126" s="391" t="s">
        <v>255</v>
      </c>
      <c r="I126" s="391" t="s">
        <v>256</v>
      </c>
      <c r="J126" s="391" t="s">
        <v>180</v>
      </c>
      <c r="K126" s="391" t="s">
        <v>253</v>
      </c>
      <c r="L126" s="391" t="s">
        <v>181</v>
      </c>
      <c r="M126" s="391" t="s">
        <v>189</v>
      </c>
      <c r="N126" s="391" t="s">
        <v>182</v>
      </c>
      <c r="O126" s="392" t="s">
        <v>183</v>
      </c>
      <c r="P126" s="392" t="s">
        <v>184</v>
      </c>
      <c r="Q126" s="391" t="s">
        <v>185</v>
      </c>
      <c r="R126" s="392" t="s">
        <v>183</v>
      </c>
      <c r="S126" s="392" t="s">
        <v>184</v>
      </c>
      <c r="T126" s="826"/>
      <c r="U126" s="822"/>
      <c r="V126" s="840"/>
      <c r="W126" s="849"/>
      <c r="X126" s="840"/>
      <c r="Y126" s="827"/>
      <c r="AA126" s="163" t="s">
        <v>247</v>
      </c>
      <c r="AB126" s="163" t="s">
        <v>492</v>
      </c>
      <c r="AC126" s="158" t="s">
        <v>398</v>
      </c>
      <c r="AD126" s="158" t="s">
        <v>342</v>
      </c>
      <c r="AE126" s="158" t="s">
        <v>466</v>
      </c>
      <c r="AF126" s="158" t="s">
        <v>218</v>
      </c>
      <c r="AG126" s="158" t="s">
        <v>219</v>
      </c>
      <c r="AH126" s="158" t="s">
        <v>399</v>
      </c>
    </row>
    <row r="127" spans="2:34" s="150" customFormat="1" ht="27" customHeight="1">
      <c r="B127" s="810" t="s">
        <v>627</v>
      </c>
      <c r="C127" s="811"/>
      <c r="D127" s="390">
        <v>1</v>
      </c>
      <c r="E127" s="393"/>
      <c r="F127" s="394"/>
      <c r="G127" s="395"/>
      <c r="H127" s="395"/>
      <c r="I127" s="396" t="e">
        <f>H127/G127</f>
        <v>#DIV/0!</v>
      </c>
      <c r="J127" s="395"/>
      <c r="K127" s="396" t="e">
        <f>J127/G127</f>
        <v>#DIV/0!</v>
      </c>
      <c r="L127" s="395"/>
      <c r="M127" s="396" t="e">
        <f>(H127+J127)/G127</f>
        <v>#DIV/0!</v>
      </c>
      <c r="N127" s="397"/>
      <c r="O127" s="395"/>
      <c r="P127" s="396" t="e">
        <f>O127/G127</f>
        <v>#DIV/0!</v>
      </c>
      <c r="Q127" s="410">
        <f>O127*L127</f>
        <v>0</v>
      </c>
      <c r="R127" s="398">
        <f>((H127+J127)-G127)-O127</f>
        <v>0</v>
      </c>
      <c r="S127" s="396" t="e">
        <f>R127/G127</f>
        <v>#DIV/0!</v>
      </c>
      <c r="T127" s="400" t="s">
        <v>176</v>
      </c>
      <c r="U127" s="400"/>
      <c r="V127" s="401"/>
      <c r="W127" s="401"/>
      <c r="X127" s="401">
        <v>1</v>
      </c>
      <c r="Y127" s="402"/>
      <c r="Z127" s="403" t="s">
        <v>493</v>
      </c>
      <c r="AA127" s="404">
        <f>SUM(X127:X146)</f>
        <v>20</v>
      </c>
      <c r="AB127" s="405">
        <f>SUMIF($U$103:$U$122,TRIM(AB126),$X$103:$X$122)</f>
        <v>0</v>
      </c>
      <c r="AC127" s="405">
        <f t="shared" ref="AC127:AH127" si="66">SUMIF($U$103:$U$122,TRIM(AC126),$X$103:$X$122)</f>
        <v>0</v>
      </c>
      <c r="AD127" s="405">
        <f t="shared" si="66"/>
        <v>0</v>
      </c>
      <c r="AE127" s="405">
        <f t="shared" si="66"/>
        <v>0</v>
      </c>
      <c r="AF127" s="405">
        <f t="shared" si="66"/>
        <v>0</v>
      </c>
      <c r="AG127" s="405">
        <f t="shared" si="66"/>
        <v>0</v>
      </c>
      <c r="AH127" s="405">
        <f t="shared" si="66"/>
        <v>0</v>
      </c>
    </row>
    <row r="128" spans="2:34" s="150" customFormat="1" ht="27" customHeight="1">
      <c r="B128" s="812"/>
      <c r="C128" s="813"/>
      <c r="D128" s="390">
        <v>2</v>
      </c>
      <c r="E128" s="393"/>
      <c r="F128" s="394"/>
      <c r="G128" s="395"/>
      <c r="H128" s="395"/>
      <c r="I128" s="396" t="e">
        <f t="shared" ref="I128:I129" si="67">H128/G128</f>
        <v>#DIV/0!</v>
      </c>
      <c r="J128" s="395"/>
      <c r="K128" s="396" t="e">
        <f t="shared" ref="K128:K133" si="68">J128/G128</f>
        <v>#DIV/0!</v>
      </c>
      <c r="L128" s="395"/>
      <c r="M128" s="396" t="e">
        <f t="shared" ref="M128:M133" si="69">(H128+J128)/G128</f>
        <v>#DIV/0!</v>
      </c>
      <c r="N128" s="397"/>
      <c r="O128" s="395"/>
      <c r="P128" s="396" t="e">
        <f t="shared" ref="P128:P146" si="70">O128/G128</f>
        <v>#DIV/0!</v>
      </c>
      <c r="Q128" s="410">
        <f t="shared" ref="Q128:Q146" si="71">O128*L128</f>
        <v>0</v>
      </c>
      <c r="R128" s="398">
        <f t="shared" ref="R128:R146" si="72">((H128+J128)-G128)-O128</f>
        <v>0</v>
      </c>
      <c r="S128" s="396" t="e">
        <f t="shared" ref="S128:S146" si="73">R128/G128</f>
        <v>#DIV/0!</v>
      </c>
      <c r="T128" s="400" t="s">
        <v>176</v>
      </c>
      <c r="U128" s="400"/>
      <c r="V128" s="401"/>
      <c r="W128" s="401"/>
      <c r="X128" s="401">
        <v>1</v>
      </c>
      <c r="Y128" s="402"/>
      <c r="AA128" s="404"/>
      <c r="AB128" s="411">
        <f>SUMIF($U$103:$U$122,TRIM(AB126),$F$103:$F$122)</f>
        <v>0</v>
      </c>
      <c r="AC128" s="411">
        <f t="shared" ref="AC128:AH128" si="74">SUMIF($U$103:$U$122,TRIM(AC126),$F$103:$F$122)</f>
        <v>0</v>
      </c>
      <c r="AD128" s="411">
        <f t="shared" si="74"/>
        <v>0</v>
      </c>
      <c r="AE128" s="411">
        <f t="shared" si="74"/>
        <v>0</v>
      </c>
      <c r="AF128" s="411">
        <f t="shared" si="74"/>
        <v>0</v>
      </c>
      <c r="AG128" s="411">
        <f t="shared" si="74"/>
        <v>0</v>
      </c>
      <c r="AH128" s="411">
        <f t="shared" si="74"/>
        <v>0</v>
      </c>
    </row>
    <row r="129" spans="2:34" s="150" customFormat="1" ht="27" customHeight="1">
      <c r="B129" s="812"/>
      <c r="C129" s="813"/>
      <c r="D129" s="390">
        <v>3</v>
      </c>
      <c r="E129" s="393"/>
      <c r="F129" s="394"/>
      <c r="G129" s="395"/>
      <c r="H129" s="395"/>
      <c r="I129" s="396" t="e">
        <f t="shared" si="67"/>
        <v>#DIV/0!</v>
      </c>
      <c r="J129" s="395"/>
      <c r="K129" s="396" t="e">
        <f t="shared" si="68"/>
        <v>#DIV/0!</v>
      </c>
      <c r="L129" s="395"/>
      <c r="M129" s="396" t="e">
        <f t="shared" si="69"/>
        <v>#DIV/0!</v>
      </c>
      <c r="N129" s="397"/>
      <c r="O129" s="395"/>
      <c r="P129" s="396" t="e">
        <f t="shared" si="70"/>
        <v>#DIV/0!</v>
      </c>
      <c r="Q129" s="410">
        <f t="shared" si="71"/>
        <v>0</v>
      </c>
      <c r="R129" s="398">
        <f t="shared" si="72"/>
        <v>0</v>
      </c>
      <c r="S129" s="396" t="e">
        <f t="shared" si="73"/>
        <v>#DIV/0!</v>
      </c>
      <c r="T129" s="400" t="s">
        <v>176</v>
      </c>
      <c r="U129" s="400"/>
      <c r="V129" s="401"/>
      <c r="W129" s="401"/>
      <c r="X129" s="401">
        <v>1</v>
      </c>
      <c r="Y129" s="402"/>
      <c r="AA129" s="390"/>
      <c r="AB129" s="412">
        <f>AB127/$AA127</f>
        <v>0</v>
      </c>
      <c r="AC129" s="412">
        <f t="shared" ref="AC129:AH129" si="75">AC127/$AA127</f>
        <v>0</v>
      </c>
      <c r="AD129" s="412">
        <f t="shared" si="75"/>
        <v>0</v>
      </c>
      <c r="AE129" s="412">
        <f t="shared" si="75"/>
        <v>0</v>
      </c>
      <c r="AF129" s="412">
        <f t="shared" si="75"/>
        <v>0</v>
      </c>
      <c r="AG129" s="412">
        <f t="shared" si="75"/>
        <v>0</v>
      </c>
      <c r="AH129" s="412">
        <f t="shared" si="75"/>
        <v>0</v>
      </c>
    </row>
    <row r="130" spans="2:34" s="150" customFormat="1" ht="27" customHeight="1">
      <c r="B130" s="812"/>
      <c r="C130" s="813"/>
      <c r="D130" s="390">
        <v>4</v>
      </c>
      <c r="E130" s="393"/>
      <c r="F130" s="394"/>
      <c r="G130" s="395"/>
      <c r="H130" s="395"/>
      <c r="I130" s="396" t="e">
        <f>H130/G130</f>
        <v>#DIV/0!</v>
      </c>
      <c r="J130" s="395"/>
      <c r="K130" s="396" t="e">
        <f t="shared" si="68"/>
        <v>#DIV/0!</v>
      </c>
      <c r="L130" s="395"/>
      <c r="M130" s="396" t="e">
        <f t="shared" si="69"/>
        <v>#DIV/0!</v>
      </c>
      <c r="N130" s="397"/>
      <c r="O130" s="395"/>
      <c r="P130" s="396" t="e">
        <f t="shared" si="70"/>
        <v>#DIV/0!</v>
      </c>
      <c r="Q130" s="410">
        <f t="shared" si="71"/>
        <v>0</v>
      </c>
      <c r="R130" s="398">
        <f t="shared" si="72"/>
        <v>0</v>
      </c>
      <c r="S130" s="396" t="e">
        <f t="shared" si="73"/>
        <v>#DIV/0!</v>
      </c>
      <c r="T130" s="400" t="s">
        <v>176</v>
      </c>
      <c r="U130" s="400"/>
      <c r="V130" s="401"/>
      <c r="W130" s="401"/>
      <c r="X130" s="401">
        <v>1</v>
      </c>
      <c r="Y130" s="402"/>
    </row>
    <row r="131" spans="2:34" s="150" customFormat="1" ht="27" customHeight="1">
      <c r="B131" s="812"/>
      <c r="C131" s="813"/>
      <c r="D131" s="390">
        <v>5</v>
      </c>
      <c r="E131" s="393"/>
      <c r="F131" s="394"/>
      <c r="G131" s="395"/>
      <c r="H131" s="395"/>
      <c r="I131" s="396" t="e">
        <f t="shared" ref="I131:I146" si="76">H131/G131</f>
        <v>#DIV/0!</v>
      </c>
      <c r="J131" s="395"/>
      <c r="K131" s="396" t="e">
        <f t="shared" si="68"/>
        <v>#DIV/0!</v>
      </c>
      <c r="L131" s="395"/>
      <c r="M131" s="396" t="e">
        <f t="shared" si="69"/>
        <v>#DIV/0!</v>
      </c>
      <c r="N131" s="397"/>
      <c r="O131" s="395"/>
      <c r="P131" s="396" t="e">
        <f t="shared" si="70"/>
        <v>#DIV/0!</v>
      </c>
      <c r="Q131" s="410">
        <f t="shared" si="71"/>
        <v>0</v>
      </c>
      <c r="R131" s="398">
        <f t="shared" si="72"/>
        <v>0</v>
      </c>
      <c r="S131" s="396" t="e">
        <f t="shared" si="73"/>
        <v>#DIV/0!</v>
      </c>
      <c r="T131" s="400" t="s">
        <v>176</v>
      </c>
      <c r="U131" s="400"/>
      <c r="V131" s="401"/>
      <c r="W131" s="401"/>
      <c r="X131" s="401">
        <v>1</v>
      </c>
      <c r="Y131" s="402"/>
    </row>
    <row r="132" spans="2:34" s="150" customFormat="1" ht="27" customHeight="1">
      <c r="B132" s="812"/>
      <c r="C132" s="813"/>
      <c r="D132" s="390">
        <v>6</v>
      </c>
      <c r="E132" s="393"/>
      <c r="F132" s="394"/>
      <c r="G132" s="395"/>
      <c r="H132" s="395"/>
      <c r="I132" s="396" t="e">
        <f t="shared" si="76"/>
        <v>#DIV/0!</v>
      </c>
      <c r="J132" s="395"/>
      <c r="K132" s="396" t="e">
        <f t="shared" si="68"/>
        <v>#DIV/0!</v>
      </c>
      <c r="L132" s="395"/>
      <c r="M132" s="396" t="e">
        <f t="shared" si="69"/>
        <v>#DIV/0!</v>
      </c>
      <c r="N132" s="397"/>
      <c r="O132" s="395"/>
      <c r="P132" s="396" t="e">
        <f t="shared" si="70"/>
        <v>#DIV/0!</v>
      </c>
      <c r="Q132" s="410">
        <f t="shared" si="71"/>
        <v>0</v>
      </c>
      <c r="R132" s="398">
        <f t="shared" si="72"/>
        <v>0</v>
      </c>
      <c r="S132" s="396" t="e">
        <f t="shared" si="73"/>
        <v>#DIV/0!</v>
      </c>
      <c r="T132" s="400" t="s">
        <v>176</v>
      </c>
      <c r="U132" s="400"/>
      <c r="V132" s="401"/>
      <c r="W132" s="401"/>
      <c r="X132" s="401">
        <v>1</v>
      </c>
      <c r="Y132" s="402"/>
    </row>
    <row r="133" spans="2:34" s="150" customFormat="1" ht="27" customHeight="1">
      <c r="B133" s="812"/>
      <c r="C133" s="813"/>
      <c r="D133" s="390">
        <v>7</v>
      </c>
      <c r="E133" s="393"/>
      <c r="F133" s="394"/>
      <c r="G133" s="395"/>
      <c r="H133" s="395"/>
      <c r="I133" s="396" t="e">
        <f t="shared" si="76"/>
        <v>#DIV/0!</v>
      </c>
      <c r="J133" s="395"/>
      <c r="K133" s="396" t="e">
        <f t="shared" si="68"/>
        <v>#DIV/0!</v>
      </c>
      <c r="L133" s="395"/>
      <c r="M133" s="396" t="e">
        <f t="shared" si="69"/>
        <v>#DIV/0!</v>
      </c>
      <c r="N133" s="397"/>
      <c r="O133" s="395"/>
      <c r="P133" s="396" t="e">
        <f t="shared" si="70"/>
        <v>#DIV/0!</v>
      </c>
      <c r="Q133" s="410">
        <f t="shared" si="71"/>
        <v>0</v>
      </c>
      <c r="R133" s="398">
        <f t="shared" si="72"/>
        <v>0</v>
      </c>
      <c r="S133" s="396" t="e">
        <f t="shared" si="73"/>
        <v>#DIV/0!</v>
      </c>
      <c r="T133" s="400" t="s">
        <v>176</v>
      </c>
      <c r="U133" s="400"/>
      <c r="V133" s="401"/>
      <c r="W133" s="401"/>
      <c r="X133" s="401">
        <v>1</v>
      </c>
      <c r="Y133" s="402"/>
    </row>
    <row r="134" spans="2:34" s="150" customFormat="1" ht="27" customHeight="1">
      <c r="B134" s="812"/>
      <c r="C134" s="813"/>
      <c r="D134" s="390">
        <v>8</v>
      </c>
      <c r="E134" s="393"/>
      <c r="F134" s="394"/>
      <c r="G134" s="395"/>
      <c r="H134" s="395"/>
      <c r="I134" s="396" t="e">
        <f t="shared" si="76"/>
        <v>#DIV/0!</v>
      </c>
      <c r="J134" s="395"/>
      <c r="K134" s="396" t="e">
        <f>J134/G134</f>
        <v>#DIV/0!</v>
      </c>
      <c r="L134" s="395"/>
      <c r="M134" s="396" t="e">
        <f>(H134+J134)/G134</f>
        <v>#DIV/0!</v>
      </c>
      <c r="N134" s="397"/>
      <c r="O134" s="395"/>
      <c r="P134" s="396" t="e">
        <f t="shared" si="70"/>
        <v>#DIV/0!</v>
      </c>
      <c r="Q134" s="410">
        <f t="shared" si="71"/>
        <v>0</v>
      </c>
      <c r="R134" s="398">
        <f t="shared" si="72"/>
        <v>0</v>
      </c>
      <c r="S134" s="396" t="e">
        <f t="shared" si="73"/>
        <v>#DIV/0!</v>
      </c>
      <c r="T134" s="400" t="s">
        <v>176</v>
      </c>
      <c r="U134" s="400"/>
      <c r="V134" s="401"/>
      <c r="W134" s="401"/>
      <c r="X134" s="401">
        <v>1</v>
      </c>
      <c r="Y134" s="402"/>
    </row>
    <row r="135" spans="2:34" s="150" customFormat="1" ht="27" customHeight="1">
      <c r="B135" s="812"/>
      <c r="C135" s="813"/>
      <c r="D135" s="390">
        <v>9</v>
      </c>
      <c r="E135" s="393"/>
      <c r="F135" s="394"/>
      <c r="G135" s="395"/>
      <c r="H135" s="395"/>
      <c r="I135" s="396" t="e">
        <f t="shared" si="76"/>
        <v>#DIV/0!</v>
      </c>
      <c r="J135" s="395"/>
      <c r="K135" s="396" t="e">
        <f t="shared" ref="K135:K146" si="77">J135/G135</f>
        <v>#DIV/0!</v>
      </c>
      <c r="L135" s="395"/>
      <c r="M135" s="396" t="e">
        <f t="shared" ref="M135:M146" si="78">(H135+J135)/G135</f>
        <v>#DIV/0!</v>
      </c>
      <c r="N135" s="397"/>
      <c r="O135" s="395"/>
      <c r="P135" s="396" t="e">
        <f t="shared" si="70"/>
        <v>#DIV/0!</v>
      </c>
      <c r="Q135" s="410">
        <f t="shared" si="71"/>
        <v>0</v>
      </c>
      <c r="R135" s="398">
        <f t="shared" si="72"/>
        <v>0</v>
      </c>
      <c r="S135" s="396" t="e">
        <f t="shared" si="73"/>
        <v>#DIV/0!</v>
      </c>
      <c r="T135" s="400" t="s">
        <v>176</v>
      </c>
      <c r="U135" s="400"/>
      <c r="V135" s="401"/>
      <c r="W135" s="401"/>
      <c r="X135" s="401">
        <v>1</v>
      </c>
      <c r="Y135" s="402"/>
    </row>
    <row r="136" spans="2:34" s="150" customFormat="1" ht="27" customHeight="1">
      <c r="B136" s="812"/>
      <c r="C136" s="813"/>
      <c r="D136" s="390">
        <v>10</v>
      </c>
      <c r="E136" s="393"/>
      <c r="F136" s="394"/>
      <c r="G136" s="395"/>
      <c r="H136" s="395"/>
      <c r="I136" s="396" t="e">
        <f t="shared" si="76"/>
        <v>#DIV/0!</v>
      </c>
      <c r="J136" s="395"/>
      <c r="K136" s="396" t="e">
        <f t="shared" si="77"/>
        <v>#DIV/0!</v>
      </c>
      <c r="L136" s="395"/>
      <c r="M136" s="396" t="e">
        <f t="shared" si="78"/>
        <v>#DIV/0!</v>
      </c>
      <c r="N136" s="397"/>
      <c r="O136" s="395"/>
      <c r="P136" s="396" t="e">
        <f t="shared" si="70"/>
        <v>#DIV/0!</v>
      </c>
      <c r="Q136" s="410">
        <f t="shared" si="71"/>
        <v>0</v>
      </c>
      <c r="R136" s="398">
        <f t="shared" si="72"/>
        <v>0</v>
      </c>
      <c r="S136" s="396" t="e">
        <f t="shared" si="73"/>
        <v>#DIV/0!</v>
      </c>
      <c r="T136" s="400" t="s">
        <v>176</v>
      </c>
      <c r="U136" s="400"/>
      <c r="V136" s="401"/>
      <c r="W136" s="401"/>
      <c r="X136" s="401">
        <v>1</v>
      </c>
      <c r="Y136" s="402"/>
    </row>
    <row r="137" spans="2:34" s="150" customFormat="1" ht="27" customHeight="1">
      <c r="B137" s="812"/>
      <c r="C137" s="813"/>
      <c r="D137" s="390">
        <v>11</v>
      </c>
      <c r="E137" s="393"/>
      <c r="F137" s="394"/>
      <c r="G137" s="395"/>
      <c r="H137" s="395"/>
      <c r="I137" s="396" t="e">
        <f t="shared" si="76"/>
        <v>#DIV/0!</v>
      </c>
      <c r="J137" s="395"/>
      <c r="K137" s="396" t="e">
        <f t="shared" si="77"/>
        <v>#DIV/0!</v>
      </c>
      <c r="L137" s="395"/>
      <c r="M137" s="396" t="e">
        <f t="shared" si="78"/>
        <v>#DIV/0!</v>
      </c>
      <c r="N137" s="397"/>
      <c r="O137" s="395"/>
      <c r="P137" s="396" t="e">
        <f t="shared" si="70"/>
        <v>#DIV/0!</v>
      </c>
      <c r="Q137" s="410">
        <f t="shared" si="71"/>
        <v>0</v>
      </c>
      <c r="R137" s="398">
        <f t="shared" si="72"/>
        <v>0</v>
      </c>
      <c r="S137" s="396" t="e">
        <f t="shared" si="73"/>
        <v>#DIV/0!</v>
      </c>
      <c r="T137" s="400" t="s">
        <v>176</v>
      </c>
      <c r="U137" s="400"/>
      <c r="V137" s="401"/>
      <c r="W137" s="401"/>
      <c r="X137" s="401">
        <v>1</v>
      </c>
      <c r="Y137" s="402"/>
    </row>
    <row r="138" spans="2:34" s="150" customFormat="1" ht="27" customHeight="1">
      <c r="B138" s="812"/>
      <c r="C138" s="813"/>
      <c r="D138" s="390">
        <v>12</v>
      </c>
      <c r="E138" s="393"/>
      <c r="F138" s="394"/>
      <c r="G138" s="395"/>
      <c r="H138" s="395"/>
      <c r="I138" s="396" t="e">
        <f t="shared" si="76"/>
        <v>#DIV/0!</v>
      </c>
      <c r="J138" s="395"/>
      <c r="K138" s="396" t="e">
        <f t="shared" si="77"/>
        <v>#DIV/0!</v>
      </c>
      <c r="L138" s="395"/>
      <c r="M138" s="396" t="e">
        <f t="shared" si="78"/>
        <v>#DIV/0!</v>
      </c>
      <c r="N138" s="397"/>
      <c r="O138" s="395"/>
      <c r="P138" s="396" t="e">
        <f t="shared" si="70"/>
        <v>#DIV/0!</v>
      </c>
      <c r="Q138" s="410">
        <f t="shared" si="71"/>
        <v>0</v>
      </c>
      <c r="R138" s="398">
        <f t="shared" si="72"/>
        <v>0</v>
      </c>
      <c r="S138" s="396" t="e">
        <f t="shared" si="73"/>
        <v>#DIV/0!</v>
      </c>
      <c r="T138" s="400" t="s">
        <v>176</v>
      </c>
      <c r="U138" s="400"/>
      <c r="V138" s="401"/>
      <c r="W138" s="401"/>
      <c r="X138" s="401">
        <v>1</v>
      </c>
      <c r="Y138" s="402"/>
      <c r="AA138" s="816" t="s">
        <v>250</v>
      </c>
      <c r="AB138" s="817"/>
      <c r="AC138" s="817"/>
      <c r="AD138" s="817"/>
      <c r="AE138" s="817"/>
      <c r="AF138" s="817"/>
      <c r="AG138" s="817"/>
      <c r="AH138" s="818"/>
    </row>
    <row r="139" spans="2:34" s="150" customFormat="1" ht="27" customHeight="1">
      <c r="B139" s="812"/>
      <c r="C139" s="813"/>
      <c r="D139" s="390">
        <v>13</v>
      </c>
      <c r="E139" s="393"/>
      <c r="F139" s="394"/>
      <c r="G139" s="395"/>
      <c r="H139" s="395"/>
      <c r="I139" s="396" t="e">
        <f t="shared" si="76"/>
        <v>#DIV/0!</v>
      </c>
      <c r="J139" s="395"/>
      <c r="K139" s="396" t="e">
        <f t="shared" si="77"/>
        <v>#DIV/0!</v>
      </c>
      <c r="L139" s="395"/>
      <c r="M139" s="396" t="e">
        <f t="shared" si="78"/>
        <v>#DIV/0!</v>
      </c>
      <c r="N139" s="397"/>
      <c r="O139" s="395"/>
      <c r="P139" s="396" t="e">
        <f t="shared" si="70"/>
        <v>#DIV/0!</v>
      </c>
      <c r="Q139" s="410">
        <f t="shared" si="71"/>
        <v>0</v>
      </c>
      <c r="R139" s="398">
        <f t="shared" si="72"/>
        <v>0</v>
      </c>
      <c r="S139" s="396" t="e">
        <f t="shared" si="73"/>
        <v>#DIV/0!</v>
      </c>
      <c r="T139" s="400" t="s">
        <v>176</v>
      </c>
      <c r="U139" s="400"/>
      <c r="V139" s="401"/>
      <c r="W139" s="401"/>
      <c r="X139" s="401">
        <v>1</v>
      </c>
      <c r="Y139" s="402"/>
      <c r="AA139" s="819"/>
      <c r="AB139" s="820"/>
      <c r="AC139" s="820"/>
      <c r="AD139" s="820"/>
      <c r="AE139" s="820"/>
      <c r="AF139" s="820"/>
      <c r="AG139" s="820"/>
      <c r="AH139" s="821"/>
    </row>
    <row r="140" spans="2:34" s="150" customFormat="1" ht="27" customHeight="1">
      <c r="B140" s="812"/>
      <c r="C140" s="813"/>
      <c r="D140" s="390">
        <v>14</v>
      </c>
      <c r="E140" s="393"/>
      <c r="F140" s="394"/>
      <c r="G140" s="395"/>
      <c r="H140" s="395"/>
      <c r="I140" s="396" t="e">
        <f t="shared" si="76"/>
        <v>#DIV/0!</v>
      </c>
      <c r="J140" s="395"/>
      <c r="K140" s="396" t="e">
        <f t="shared" si="77"/>
        <v>#DIV/0!</v>
      </c>
      <c r="L140" s="395"/>
      <c r="M140" s="396" t="e">
        <f t="shared" si="78"/>
        <v>#DIV/0!</v>
      </c>
      <c r="N140" s="397"/>
      <c r="O140" s="395"/>
      <c r="P140" s="396" t="e">
        <f t="shared" si="70"/>
        <v>#DIV/0!</v>
      </c>
      <c r="Q140" s="410">
        <f t="shared" si="71"/>
        <v>0</v>
      </c>
      <c r="R140" s="398">
        <f t="shared" si="72"/>
        <v>0</v>
      </c>
      <c r="S140" s="396" t="e">
        <f t="shared" si="73"/>
        <v>#DIV/0!</v>
      </c>
      <c r="T140" s="400" t="s">
        <v>176</v>
      </c>
      <c r="U140" s="400"/>
      <c r="V140" s="401"/>
      <c r="W140" s="401"/>
      <c r="X140" s="401">
        <v>1</v>
      </c>
      <c r="Y140" s="402"/>
      <c r="AA140" s="822"/>
      <c r="AB140" s="823"/>
      <c r="AC140" s="823"/>
      <c r="AD140" s="823"/>
      <c r="AE140" s="823"/>
      <c r="AF140" s="823"/>
      <c r="AG140" s="823"/>
      <c r="AH140" s="824"/>
    </row>
    <row r="141" spans="2:34" s="150" customFormat="1" ht="27" customHeight="1">
      <c r="B141" s="812"/>
      <c r="C141" s="813"/>
      <c r="D141" s="390">
        <v>15</v>
      </c>
      <c r="E141" s="393"/>
      <c r="F141" s="394"/>
      <c r="G141" s="395"/>
      <c r="H141" s="395"/>
      <c r="I141" s="396" t="e">
        <f t="shared" si="76"/>
        <v>#DIV/0!</v>
      </c>
      <c r="J141" s="395"/>
      <c r="K141" s="396" t="e">
        <f t="shared" si="77"/>
        <v>#DIV/0!</v>
      </c>
      <c r="L141" s="395"/>
      <c r="M141" s="396" t="e">
        <f t="shared" si="78"/>
        <v>#DIV/0!</v>
      </c>
      <c r="N141" s="397"/>
      <c r="O141" s="395"/>
      <c r="P141" s="396" t="e">
        <f t="shared" si="70"/>
        <v>#DIV/0!</v>
      </c>
      <c r="Q141" s="410">
        <f t="shared" si="71"/>
        <v>0</v>
      </c>
      <c r="R141" s="398">
        <f t="shared" si="72"/>
        <v>0</v>
      </c>
      <c r="S141" s="396" t="e">
        <f t="shared" si="73"/>
        <v>#DIV/0!</v>
      </c>
      <c r="T141" s="400" t="s">
        <v>176</v>
      </c>
      <c r="U141" s="400"/>
      <c r="V141" s="400"/>
      <c r="W141" s="401"/>
      <c r="X141" s="401">
        <v>1</v>
      </c>
      <c r="Y141" s="402"/>
      <c r="AA141" s="163" t="s">
        <v>247</v>
      </c>
      <c r="AB141" s="163" t="s">
        <v>492</v>
      </c>
      <c r="AC141" s="158" t="s">
        <v>398</v>
      </c>
      <c r="AD141" s="158" t="s">
        <v>342</v>
      </c>
      <c r="AE141" s="158" t="s">
        <v>466</v>
      </c>
      <c r="AF141" s="158" t="s">
        <v>218</v>
      </c>
      <c r="AG141" s="158" t="s">
        <v>219</v>
      </c>
      <c r="AH141" s="158" t="s">
        <v>399</v>
      </c>
    </row>
    <row r="142" spans="2:34" s="150" customFormat="1" ht="27" customHeight="1">
      <c r="B142" s="812"/>
      <c r="C142" s="813"/>
      <c r="D142" s="390">
        <v>16</v>
      </c>
      <c r="E142" s="393"/>
      <c r="F142" s="394"/>
      <c r="G142" s="395"/>
      <c r="H142" s="395"/>
      <c r="I142" s="396" t="e">
        <f t="shared" si="76"/>
        <v>#DIV/0!</v>
      </c>
      <c r="J142" s="395"/>
      <c r="K142" s="396" t="e">
        <f t="shared" si="77"/>
        <v>#DIV/0!</v>
      </c>
      <c r="L142" s="395"/>
      <c r="M142" s="396" t="e">
        <f t="shared" si="78"/>
        <v>#DIV/0!</v>
      </c>
      <c r="N142" s="397"/>
      <c r="O142" s="395"/>
      <c r="P142" s="396" t="e">
        <f t="shared" si="70"/>
        <v>#DIV/0!</v>
      </c>
      <c r="Q142" s="410">
        <f t="shared" si="71"/>
        <v>0</v>
      </c>
      <c r="R142" s="398">
        <f t="shared" si="72"/>
        <v>0</v>
      </c>
      <c r="S142" s="396" t="e">
        <f t="shared" si="73"/>
        <v>#DIV/0!</v>
      </c>
      <c r="T142" s="400" t="s">
        <v>176</v>
      </c>
      <c r="U142" s="400"/>
      <c r="V142" s="401"/>
      <c r="W142" s="401"/>
      <c r="X142" s="401">
        <v>1</v>
      </c>
      <c r="Y142" s="402"/>
      <c r="Z142" s="452" t="s">
        <v>604</v>
      </c>
      <c r="AA142" s="413">
        <f t="shared" ref="AA142:AG142" si="79">AA31+AA55+AA79+AA103+AA127</f>
        <v>100</v>
      </c>
      <c r="AB142" s="413">
        <f t="shared" si="79"/>
        <v>0</v>
      </c>
      <c r="AC142" s="413">
        <f t="shared" si="79"/>
        <v>0</v>
      </c>
      <c r="AD142" s="413">
        <f t="shared" si="79"/>
        <v>0</v>
      </c>
      <c r="AE142" s="413">
        <f t="shared" si="79"/>
        <v>16</v>
      </c>
      <c r="AF142" s="413">
        <f t="shared" si="79"/>
        <v>1</v>
      </c>
      <c r="AG142" s="413">
        <f t="shared" si="79"/>
        <v>3</v>
      </c>
      <c r="AH142" s="413">
        <f>AH56+AH80+AH104+AH128</f>
        <v>0</v>
      </c>
    </row>
    <row r="143" spans="2:34" s="150" customFormat="1" ht="27" customHeight="1">
      <c r="B143" s="812"/>
      <c r="C143" s="813"/>
      <c r="D143" s="390">
        <v>17</v>
      </c>
      <c r="E143" s="393"/>
      <c r="F143" s="394"/>
      <c r="G143" s="395"/>
      <c r="H143" s="395"/>
      <c r="I143" s="396" t="e">
        <f t="shared" si="76"/>
        <v>#DIV/0!</v>
      </c>
      <c r="J143" s="395"/>
      <c r="K143" s="396" t="e">
        <f t="shared" si="77"/>
        <v>#DIV/0!</v>
      </c>
      <c r="L143" s="395"/>
      <c r="M143" s="396" t="e">
        <f t="shared" si="78"/>
        <v>#DIV/0!</v>
      </c>
      <c r="N143" s="397"/>
      <c r="O143" s="395"/>
      <c r="P143" s="396" t="e">
        <f t="shared" si="70"/>
        <v>#DIV/0!</v>
      </c>
      <c r="Q143" s="410">
        <f t="shared" si="71"/>
        <v>0</v>
      </c>
      <c r="R143" s="398">
        <f t="shared" si="72"/>
        <v>0</v>
      </c>
      <c r="S143" s="396" t="e">
        <f t="shared" si="73"/>
        <v>#DIV/0!</v>
      </c>
      <c r="T143" s="400" t="s">
        <v>176</v>
      </c>
      <c r="U143" s="400"/>
      <c r="V143" s="401"/>
      <c r="W143" s="401"/>
      <c r="X143" s="401">
        <v>1</v>
      </c>
      <c r="Y143" s="402"/>
      <c r="AA143" s="414"/>
      <c r="AB143" s="411">
        <f t="shared" ref="AB143:AH143" si="80">AB32+AB56+AB80+AB104+AB128</f>
        <v>0</v>
      </c>
      <c r="AC143" s="411">
        <f t="shared" si="80"/>
        <v>0</v>
      </c>
      <c r="AD143" s="411">
        <f t="shared" si="80"/>
        <v>0</v>
      </c>
      <c r="AE143" s="411">
        <f t="shared" si="80"/>
        <v>77263.155899999925</v>
      </c>
      <c r="AF143" s="411">
        <f t="shared" si="80"/>
        <v>20547.319099999993</v>
      </c>
      <c r="AG143" s="411">
        <f t="shared" si="80"/>
        <v>9407.677399999975</v>
      </c>
      <c r="AH143" s="411">
        <f t="shared" si="80"/>
        <v>0</v>
      </c>
    </row>
    <row r="144" spans="2:34" s="150" customFormat="1" ht="27" customHeight="1">
      <c r="B144" s="812"/>
      <c r="C144" s="813"/>
      <c r="D144" s="390">
        <v>18</v>
      </c>
      <c r="E144" s="393"/>
      <c r="F144" s="394"/>
      <c r="G144" s="395"/>
      <c r="H144" s="395"/>
      <c r="I144" s="396" t="e">
        <f t="shared" si="76"/>
        <v>#DIV/0!</v>
      </c>
      <c r="J144" s="395"/>
      <c r="K144" s="396" t="e">
        <f t="shared" si="77"/>
        <v>#DIV/0!</v>
      </c>
      <c r="L144" s="395"/>
      <c r="M144" s="396" t="e">
        <f t="shared" si="78"/>
        <v>#DIV/0!</v>
      </c>
      <c r="N144" s="397"/>
      <c r="O144" s="395"/>
      <c r="P144" s="396" t="e">
        <f t="shared" si="70"/>
        <v>#DIV/0!</v>
      </c>
      <c r="Q144" s="410">
        <f t="shared" si="71"/>
        <v>0</v>
      </c>
      <c r="R144" s="398">
        <f t="shared" si="72"/>
        <v>0</v>
      </c>
      <c r="S144" s="396" t="e">
        <f t="shared" si="73"/>
        <v>#DIV/0!</v>
      </c>
      <c r="T144" s="400" t="s">
        <v>176</v>
      </c>
      <c r="U144" s="400"/>
      <c r="V144" s="401"/>
      <c r="W144" s="401"/>
      <c r="X144" s="401">
        <v>1</v>
      </c>
      <c r="Y144" s="402"/>
      <c r="AA144" s="390"/>
      <c r="AB144" s="412">
        <f>AB142/$AA142</f>
        <v>0</v>
      </c>
      <c r="AC144" s="412">
        <f t="shared" ref="AC144:AH144" si="81">AC142/$AA142</f>
        <v>0</v>
      </c>
      <c r="AD144" s="412">
        <f t="shared" si="81"/>
        <v>0</v>
      </c>
      <c r="AE144" s="412">
        <f t="shared" si="81"/>
        <v>0.16</v>
      </c>
      <c r="AF144" s="412">
        <f t="shared" si="81"/>
        <v>0.01</v>
      </c>
      <c r="AG144" s="412">
        <f t="shared" si="81"/>
        <v>0.03</v>
      </c>
      <c r="AH144" s="412">
        <f t="shared" si="81"/>
        <v>0</v>
      </c>
    </row>
    <row r="145" spans="2:29" s="150" customFormat="1" ht="27" customHeight="1">
      <c r="B145" s="812"/>
      <c r="C145" s="813"/>
      <c r="D145" s="390">
        <v>19</v>
      </c>
      <c r="E145" s="393"/>
      <c r="F145" s="394"/>
      <c r="G145" s="395"/>
      <c r="H145" s="395"/>
      <c r="I145" s="396" t="e">
        <f t="shared" si="76"/>
        <v>#DIV/0!</v>
      </c>
      <c r="J145" s="395"/>
      <c r="K145" s="396" t="e">
        <f t="shared" si="77"/>
        <v>#DIV/0!</v>
      </c>
      <c r="L145" s="395"/>
      <c r="M145" s="396" t="e">
        <f t="shared" si="78"/>
        <v>#DIV/0!</v>
      </c>
      <c r="N145" s="397"/>
      <c r="O145" s="395"/>
      <c r="P145" s="396" t="e">
        <f t="shared" si="70"/>
        <v>#DIV/0!</v>
      </c>
      <c r="Q145" s="410">
        <f t="shared" si="71"/>
        <v>0</v>
      </c>
      <c r="R145" s="398">
        <f t="shared" si="72"/>
        <v>0</v>
      </c>
      <c r="S145" s="396" t="e">
        <f t="shared" si="73"/>
        <v>#DIV/0!</v>
      </c>
      <c r="T145" s="400" t="s">
        <v>176</v>
      </c>
      <c r="U145" s="400"/>
      <c r="V145" s="401"/>
      <c r="W145" s="401"/>
      <c r="X145" s="401">
        <v>1</v>
      </c>
      <c r="Y145" s="402"/>
      <c r="AB145" s="409"/>
      <c r="AC145" s="406"/>
    </row>
    <row r="146" spans="2:29" s="150" customFormat="1" ht="27" customHeight="1">
      <c r="B146" s="814"/>
      <c r="C146" s="815"/>
      <c r="D146" s="390">
        <v>20</v>
      </c>
      <c r="E146" s="393"/>
      <c r="F146" s="394"/>
      <c r="G146" s="395"/>
      <c r="H146" s="395"/>
      <c r="I146" s="396" t="e">
        <f t="shared" si="76"/>
        <v>#DIV/0!</v>
      </c>
      <c r="J146" s="395"/>
      <c r="K146" s="396" t="e">
        <f t="shared" si="77"/>
        <v>#DIV/0!</v>
      </c>
      <c r="L146" s="395"/>
      <c r="M146" s="396" t="e">
        <f t="shared" si="78"/>
        <v>#DIV/0!</v>
      </c>
      <c r="N146" s="397"/>
      <c r="O146" s="395"/>
      <c r="P146" s="396" t="e">
        <f t="shared" si="70"/>
        <v>#DIV/0!</v>
      </c>
      <c r="Q146" s="410">
        <f t="shared" si="71"/>
        <v>0</v>
      </c>
      <c r="R146" s="398">
        <f t="shared" si="72"/>
        <v>0</v>
      </c>
      <c r="S146" s="396" t="e">
        <f t="shared" si="73"/>
        <v>#DIV/0!</v>
      </c>
      <c r="T146" s="400" t="s">
        <v>176</v>
      </c>
      <c r="U146" s="400"/>
      <c r="V146" s="401"/>
      <c r="W146" s="401"/>
      <c r="X146" s="401">
        <v>1</v>
      </c>
      <c r="Y146" s="402"/>
      <c r="AB146" s="409"/>
      <c r="AC146" s="406"/>
    </row>
    <row r="150" spans="2:29" ht="14.15" customHeight="1"/>
    <row r="160" spans="2:29" ht="14.15" customHeight="1"/>
    <row r="170" ht="14.15" customHeight="1"/>
    <row r="180" ht="14.15" customHeight="1"/>
    <row r="190" ht="14.15" customHeight="1"/>
    <row r="200" ht="14.15" customHeight="1"/>
  </sheetData>
  <mergeCells count="122">
    <mergeCell ref="B103:C122"/>
    <mergeCell ref="V99:V102"/>
    <mergeCell ref="W99:W102"/>
    <mergeCell ref="X99:X102"/>
    <mergeCell ref="Y99:Y102"/>
    <mergeCell ref="AA99:AH101"/>
    <mergeCell ref="B99:C102"/>
    <mergeCell ref="D99:F99"/>
    <mergeCell ref="G99:S99"/>
    <mergeCell ref="T99:T102"/>
    <mergeCell ref="U99:U102"/>
    <mergeCell ref="D100:D102"/>
    <mergeCell ref="E100:F100"/>
    <mergeCell ref="G100:N100"/>
    <mergeCell ref="O100:S100"/>
    <mergeCell ref="E101:E102"/>
    <mergeCell ref="F101:F102"/>
    <mergeCell ref="G101:N101"/>
    <mergeCell ref="O101:Q101"/>
    <mergeCell ref="R101:S101"/>
    <mergeCell ref="B31:C50"/>
    <mergeCell ref="V27:V30"/>
    <mergeCell ref="W27:W30"/>
    <mergeCell ref="X27:X30"/>
    <mergeCell ref="Y27:Y30"/>
    <mergeCell ref="AA27:AH29"/>
    <mergeCell ref="B27:C30"/>
    <mergeCell ref="D27:F27"/>
    <mergeCell ref="G27:S27"/>
    <mergeCell ref="T27:T30"/>
    <mergeCell ref="U27:U30"/>
    <mergeCell ref="D28:D30"/>
    <mergeCell ref="E28:F28"/>
    <mergeCell ref="G28:N28"/>
    <mergeCell ref="O28:S28"/>
    <mergeCell ref="E29:E30"/>
    <mergeCell ref="F29:F30"/>
    <mergeCell ref="G29:N29"/>
    <mergeCell ref="O29:Q29"/>
    <mergeCell ref="R29:S29"/>
    <mergeCell ref="B7:C26"/>
    <mergeCell ref="V3:V6"/>
    <mergeCell ref="W3:W6"/>
    <mergeCell ref="X3:X6"/>
    <mergeCell ref="Y3:Y6"/>
    <mergeCell ref="B2:Y2"/>
    <mergeCell ref="AA3:AH5"/>
    <mergeCell ref="B3:C6"/>
    <mergeCell ref="D3:F3"/>
    <mergeCell ref="G3:S3"/>
    <mergeCell ref="T3:T6"/>
    <mergeCell ref="U3:U6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Q53"/>
    <mergeCell ref="R53:S53"/>
    <mergeCell ref="AA75:AH77"/>
    <mergeCell ref="B75:C78"/>
    <mergeCell ref="D75:F75"/>
    <mergeCell ref="G75:S75"/>
    <mergeCell ref="T75:T78"/>
    <mergeCell ref="U75:U78"/>
    <mergeCell ref="D76:D78"/>
    <mergeCell ref="E76:F76"/>
    <mergeCell ref="G76:N76"/>
    <mergeCell ref="O76:S76"/>
    <mergeCell ref="E77:E78"/>
    <mergeCell ref="F77:F78"/>
    <mergeCell ref="G77:N77"/>
    <mergeCell ref="O77:Q77"/>
    <mergeCell ref="R77:S77"/>
    <mergeCell ref="B79:C98"/>
    <mergeCell ref="V75:V78"/>
    <mergeCell ref="W75:W78"/>
    <mergeCell ref="X75:X78"/>
    <mergeCell ref="Y75:Y78"/>
    <mergeCell ref="B55:C74"/>
    <mergeCell ref="V51:V54"/>
    <mergeCell ref="W51:W54"/>
    <mergeCell ref="X51:X54"/>
    <mergeCell ref="Y51:Y54"/>
    <mergeCell ref="B123:C126"/>
    <mergeCell ref="B127:C146"/>
    <mergeCell ref="D123:F123"/>
    <mergeCell ref="G123:S123"/>
    <mergeCell ref="T123:T126"/>
    <mergeCell ref="U123:U126"/>
    <mergeCell ref="V123:V126"/>
    <mergeCell ref="W123:W126"/>
    <mergeCell ref="X123:X126"/>
    <mergeCell ref="AA138:AH140"/>
    <mergeCell ref="Y123:Y126"/>
    <mergeCell ref="AA123:AH125"/>
    <mergeCell ref="D124:D126"/>
    <mergeCell ref="E124:F124"/>
    <mergeCell ref="G124:N124"/>
    <mergeCell ref="O124:S124"/>
    <mergeCell ref="E125:E126"/>
    <mergeCell ref="F125:F126"/>
    <mergeCell ref="G125:N125"/>
    <mergeCell ref="O125:Q125"/>
    <mergeCell ref="R125:S125"/>
  </mergeCells>
  <phoneticPr fontId="15" type="noConversion"/>
  <dataValidations count="1">
    <dataValidation type="list" allowBlank="1" showInputMessage="1" showErrorMessage="1" sqref="T1:U1048576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topLeftCell="A13" zoomScale="75" zoomScaleNormal="75" workbookViewId="0">
      <selection activeCell="P18" sqref="P18"/>
    </sheetView>
  </sheetViews>
  <sheetFormatPr defaultColWidth="12.54296875" defaultRowHeight="15.75" customHeight="1"/>
  <cols>
    <col min="1" max="2" width="12.54296875" style="2" customWidth="1"/>
    <col min="3" max="16384" width="12.542968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853" t="s">
        <v>12</v>
      </c>
      <c r="D21" s="851"/>
      <c r="E21" s="852"/>
      <c r="F21" s="49" t="s">
        <v>46</v>
      </c>
      <c r="G21" s="49" t="s">
        <v>48</v>
      </c>
      <c r="H21" s="49" t="s">
        <v>49</v>
      </c>
      <c r="I21" s="8" t="s">
        <v>13</v>
      </c>
      <c r="J21" s="866" t="s">
        <v>51</v>
      </c>
      <c r="K21" s="852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855" t="s">
        <v>14</v>
      </c>
      <c r="D22" s="851"/>
      <c r="E22" s="852"/>
      <c r="F22" s="4">
        <v>3</v>
      </c>
      <c r="G22" s="4">
        <v>3000</v>
      </c>
      <c r="H22" s="4">
        <v>1000</v>
      </c>
      <c r="I22" s="4">
        <v>10</v>
      </c>
      <c r="J22" s="854" t="s">
        <v>76</v>
      </c>
      <c r="K22" s="852"/>
      <c r="M22" s="52" t="s">
        <v>26</v>
      </c>
      <c r="N22" s="57" t="s">
        <v>47</v>
      </c>
      <c r="O22" s="861" t="s">
        <v>12</v>
      </c>
      <c r="P22" s="851"/>
      <c r="Q22" s="852"/>
      <c r="R22" s="867" t="s">
        <v>53</v>
      </c>
      <c r="S22" s="851"/>
      <c r="T22" s="852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866" t="s">
        <v>51</v>
      </c>
      <c r="AA22" s="852"/>
    </row>
    <row r="23" spans="1:27" ht="15.75" customHeight="1">
      <c r="A23" s="23"/>
      <c r="B23" s="6">
        <v>2</v>
      </c>
      <c r="C23" s="850"/>
      <c r="D23" s="851"/>
      <c r="E23" s="852"/>
      <c r="F23" s="4"/>
      <c r="G23" s="4"/>
      <c r="H23" s="4"/>
      <c r="I23" s="4"/>
      <c r="J23" s="850"/>
      <c r="K23" s="852"/>
      <c r="M23" s="56" t="s">
        <v>42</v>
      </c>
      <c r="N23" s="24">
        <v>1</v>
      </c>
      <c r="O23" s="854" t="s">
        <v>82</v>
      </c>
      <c r="P23" s="851"/>
      <c r="Q23" s="852"/>
      <c r="R23" s="854" t="s">
        <v>85</v>
      </c>
      <c r="S23" s="851"/>
      <c r="T23" s="852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854" t="s">
        <v>86</v>
      </c>
      <c r="AA23" s="852"/>
    </row>
    <row r="24" spans="1:27" ht="15.75" customHeight="1">
      <c r="A24" s="23"/>
      <c r="B24" s="6">
        <v>3</v>
      </c>
      <c r="C24" s="850"/>
      <c r="D24" s="851"/>
      <c r="E24" s="852"/>
      <c r="F24" s="4"/>
      <c r="G24" s="4"/>
      <c r="H24" s="4"/>
      <c r="I24" s="4"/>
      <c r="J24" s="850"/>
      <c r="K24" s="852"/>
      <c r="M24" s="25"/>
      <c r="N24" s="24">
        <v>2</v>
      </c>
      <c r="O24" s="855"/>
      <c r="P24" s="851"/>
      <c r="Q24" s="852"/>
      <c r="R24" s="855"/>
      <c r="S24" s="851"/>
      <c r="T24" s="852"/>
      <c r="U24" s="4"/>
      <c r="V24" s="14"/>
      <c r="W24" s="4"/>
      <c r="X24" s="16">
        <f t="shared" si="16"/>
        <v>0</v>
      </c>
      <c r="Y24" s="4"/>
      <c r="Z24" s="855"/>
      <c r="AA24" s="852"/>
    </row>
    <row r="25" spans="1:27" ht="15.75" customHeight="1">
      <c r="A25" s="23"/>
      <c r="B25" s="6">
        <v>4</v>
      </c>
      <c r="C25" s="850"/>
      <c r="D25" s="851"/>
      <c r="E25" s="852"/>
      <c r="F25" s="4"/>
      <c r="G25" s="4"/>
      <c r="H25" s="4"/>
      <c r="I25" s="4"/>
      <c r="J25" s="850"/>
      <c r="K25" s="852"/>
      <c r="M25" s="25"/>
      <c r="N25" s="24">
        <v>3</v>
      </c>
      <c r="O25" s="855"/>
      <c r="P25" s="851"/>
      <c r="Q25" s="852"/>
      <c r="R25" s="855"/>
      <c r="S25" s="851"/>
      <c r="T25" s="852"/>
      <c r="U25" s="4"/>
      <c r="V25" s="14"/>
      <c r="W25" s="4"/>
      <c r="X25" s="16">
        <f t="shared" si="16"/>
        <v>0</v>
      </c>
      <c r="Y25" s="4"/>
      <c r="Z25" s="855"/>
      <c r="AA25" s="852"/>
    </row>
    <row r="26" spans="1:27" ht="15.75" customHeight="1">
      <c r="A26" s="23"/>
      <c r="B26" s="26">
        <v>5</v>
      </c>
      <c r="C26" s="864"/>
      <c r="D26" s="860"/>
      <c r="E26" s="857"/>
      <c r="F26" s="27"/>
      <c r="G26" s="27"/>
      <c r="H26" s="27"/>
      <c r="I26" s="27"/>
      <c r="J26" s="864"/>
      <c r="K26" s="857"/>
      <c r="M26" s="25"/>
      <c r="N26" s="24">
        <v>4</v>
      </c>
      <c r="O26" s="855"/>
      <c r="P26" s="851"/>
      <c r="Q26" s="852"/>
      <c r="R26" s="855"/>
      <c r="S26" s="851"/>
      <c r="T26" s="852"/>
      <c r="U26" s="4"/>
      <c r="V26" s="14"/>
      <c r="W26" s="4"/>
      <c r="X26" s="16">
        <f t="shared" si="16"/>
        <v>0</v>
      </c>
      <c r="Y26" s="4"/>
      <c r="Z26" s="855"/>
      <c r="AA26" s="852"/>
    </row>
    <row r="27" spans="1:27" ht="15.75" customHeight="1">
      <c r="A27" s="23"/>
      <c r="B27" s="69" t="s">
        <v>101</v>
      </c>
      <c r="C27" s="858" t="s">
        <v>75</v>
      </c>
      <c r="D27" s="865"/>
      <c r="E27" s="859"/>
      <c r="F27" s="28">
        <v>4</v>
      </c>
      <c r="G27" s="28">
        <v>2800</v>
      </c>
      <c r="H27" s="28">
        <v>700</v>
      </c>
      <c r="I27" s="28" t="s">
        <v>15</v>
      </c>
      <c r="J27" s="858" t="s">
        <v>77</v>
      </c>
      <c r="K27" s="859"/>
      <c r="M27" s="25"/>
      <c r="N27" s="29">
        <v>5</v>
      </c>
      <c r="O27" s="856"/>
      <c r="P27" s="860"/>
      <c r="Q27" s="857"/>
      <c r="R27" s="856"/>
      <c r="S27" s="860"/>
      <c r="T27" s="857"/>
      <c r="U27" s="27"/>
      <c r="V27" s="30"/>
      <c r="W27" s="27"/>
      <c r="X27" s="31">
        <f t="shared" si="16"/>
        <v>0</v>
      </c>
      <c r="Y27" s="4"/>
      <c r="Z27" s="856"/>
      <c r="AA27" s="857"/>
    </row>
    <row r="28" spans="1:27" ht="15.75" customHeight="1">
      <c r="A28" s="23"/>
      <c r="B28" s="70" t="s">
        <v>102</v>
      </c>
      <c r="C28" s="850"/>
      <c r="D28" s="851"/>
      <c r="E28" s="852"/>
      <c r="F28" s="4"/>
      <c r="G28" s="4"/>
      <c r="H28" s="4"/>
      <c r="I28" s="4"/>
      <c r="J28" s="850"/>
      <c r="K28" s="852"/>
      <c r="M28" s="32"/>
      <c r="N28" s="55"/>
      <c r="O28" s="862"/>
      <c r="P28" s="851"/>
      <c r="Q28" s="851"/>
      <c r="R28" s="862"/>
      <c r="S28" s="851"/>
      <c r="T28" s="851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862"/>
      <c r="AA28" s="852"/>
    </row>
    <row r="29" spans="1:27" ht="15.75" customHeight="1">
      <c r="A29" s="23"/>
      <c r="B29" s="70" t="s">
        <v>100</v>
      </c>
      <c r="C29" s="850"/>
      <c r="D29" s="851"/>
      <c r="E29" s="852"/>
      <c r="F29" s="4"/>
      <c r="G29" s="4"/>
      <c r="H29" s="4"/>
      <c r="I29" s="4"/>
      <c r="J29" s="850"/>
      <c r="K29" s="852"/>
      <c r="M29" s="56" t="s">
        <v>43</v>
      </c>
      <c r="N29" s="24">
        <v>1</v>
      </c>
      <c r="O29" s="875" t="s">
        <v>16</v>
      </c>
      <c r="P29" s="871"/>
      <c r="Q29" s="872"/>
      <c r="R29" s="870" t="s">
        <v>87</v>
      </c>
      <c r="S29" s="871"/>
      <c r="T29" s="872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870" t="s">
        <v>88</v>
      </c>
      <c r="AA29" s="872"/>
    </row>
    <row r="30" spans="1:27" ht="15.75" customHeight="1">
      <c r="A30" s="23"/>
      <c r="B30" s="70" t="s">
        <v>99</v>
      </c>
      <c r="C30" s="850"/>
      <c r="D30" s="851"/>
      <c r="E30" s="852"/>
      <c r="F30" s="4"/>
      <c r="G30" s="4"/>
      <c r="H30" s="4"/>
      <c r="I30" s="4"/>
      <c r="J30" s="850"/>
      <c r="K30" s="852"/>
      <c r="M30" s="25"/>
      <c r="N30" s="24">
        <v>2</v>
      </c>
      <c r="O30" s="855"/>
      <c r="P30" s="851"/>
      <c r="Q30" s="852"/>
      <c r="R30" s="855"/>
      <c r="S30" s="851"/>
      <c r="T30" s="852"/>
      <c r="U30" s="4"/>
      <c r="V30" s="14"/>
      <c r="W30" s="4"/>
      <c r="X30" s="16">
        <f t="shared" si="17"/>
        <v>0</v>
      </c>
      <c r="Y30" s="4"/>
      <c r="Z30" s="855"/>
      <c r="AA30" s="852"/>
    </row>
    <row r="31" spans="1:27" ht="15.75" customHeight="1">
      <c r="A31" s="20"/>
      <c r="B31" s="70" t="s">
        <v>103</v>
      </c>
      <c r="C31" s="850"/>
      <c r="D31" s="851"/>
      <c r="E31" s="852"/>
      <c r="F31" s="4"/>
      <c r="G31" s="4"/>
      <c r="H31" s="4"/>
      <c r="I31" s="4"/>
      <c r="J31" s="850"/>
      <c r="K31" s="852"/>
      <c r="M31" s="25"/>
      <c r="N31" s="24">
        <v>3</v>
      </c>
      <c r="O31" s="855"/>
      <c r="P31" s="851"/>
      <c r="Q31" s="852"/>
      <c r="R31" s="855"/>
      <c r="S31" s="851"/>
      <c r="T31" s="852"/>
      <c r="U31" s="4"/>
      <c r="V31" s="14"/>
      <c r="W31" s="4"/>
      <c r="X31" s="16">
        <f t="shared" si="17"/>
        <v>0</v>
      </c>
      <c r="Y31" s="4"/>
      <c r="Z31" s="855"/>
      <c r="AA31" s="852"/>
    </row>
    <row r="32" spans="1:27" ht="15.75" customHeight="1">
      <c r="A32" s="67"/>
      <c r="M32" s="25"/>
      <c r="N32" s="24">
        <v>4</v>
      </c>
      <c r="O32" s="855"/>
      <c r="P32" s="851"/>
      <c r="Q32" s="852"/>
      <c r="R32" s="855"/>
      <c r="S32" s="851"/>
      <c r="T32" s="852"/>
      <c r="U32" s="4"/>
      <c r="V32" s="14"/>
      <c r="W32" s="4"/>
      <c r="X32" s="16">
        <f t="shared" si="17"/>
        <v>0</v>
      </c>
      <c r="Y32" s="4"/>
      <c r="Z32" s="855"/>
      <c r="AA32" s="852"/>
    </row>
    <row r="33" spans="1:27" ht="15.75" customHeight="1">
      <c r="A33" s="18"/>
      <c r="B33" s="49" t="s">
        <v>47</v>
      </c>
      <c r="C33" s="853" t="s">
        <v>12</v>
      </c>
      <c r="D33" s="851"/>
      <c r="E33" s="852"/>
      <c r="F33" s="49" t="s">
        <v>46</v>
      </c>
      <c r="G33" s="49" t="s">
        <v>48</v>
      </c>
      <c r="H33" s="49" t="s">
        <v>49</v>
      </c>
      <c r="I33" s="8" t="s">
        <v>13</v>
      </c>
      <c r="J33" s="866" t="s">
        <v>51</v>
      </c>
      <c r="K33" s="852"/>
      <c r="M33" s="25"/>
      <c r="N33" s="29">
        <v>5</v>
      </c>
      <c r="O33" s="855"/>
      <c r="P33" s="851"/>
      <c r="Q33" s="852"/>
      <c r="R33" s="855"/>
      <c r="S33" s="851"/>
      <c r="T33" s="852"/>
      <c r="U33" s="27"/>
      <c r="V33" s="30"/>
      <c r="W33" s="27"/>
      <c r="X33" s="31">
        <f t="shared" si="17"/>
        <v>0</v>
      </c>
      <c r="Y33" s="4"/>
      <c r="Z33" s="855"/>
      <c r="AA33" s="852"/>
    </row>
    <row r="34" spans="1:27" ht="15.75" customHeight="1">
      <c r="A34" s="52" t="s">
        <v>35</v>
      </c>
      <c r="B34" s="6">
        <v>1</v>
      </c>
      <c r="C34" s="854" t="s">
        <v>79</v>
      </c>
      <c r="D34" s="851"/>
      <c r="E34" s="852"/>
      <c r="F34" s="4">
        <v>3</v>
      </c>
      <c r="G34" s="4">
        <v>2500</v>
      </c>
      <c r="H34" s="4">
        <v>833.33</v>
      </c>
      <c r="I34" s="4">
        <v>20</v>
      </c>
      <c r="J34" s="854" t="s">
        <v>78</v>
      </c>
      <c r="K34" s="852"/>
      <c r="M34" s="68"/>
      <c r="N34" s="45"/>
      <c r="O34" s="862"/>
      <c r="P34" s="851"/>
      <c r="Q34" s="851"/>
      <c r="R34" s="862"/>
      <c r="S34" s="851"/>
      <c r="T34" s="851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862"/>
      <c r="AA34" s="852"/>
    </row>
    <row r="35" spans="1:27" ht="15.75" customHeight="1">
      <c r="A35" s="23"/>
      <c r="B35" s="6">
        <v>2</v>
      </c>
      <c r="C35" s="855"/>
      <c r="D35" s="851"/>
      <c r="E35" s="852"/>
      <c r="F35" s="4"/>
      <c r="G35" s="4"/>
      <c r="H35" s="4"/>
      <c r="I35" s="4"/>
      <c r="J35" s="855"/>
      <c r="K35" s="852"/>
      <c r="M35" s="1"/>
      <c r="N35" s="1"/>
      <c r="O35" s="873"/>
      <c r="P35" s="874"/>
      <c r="Q35" s="874"/>
      <c r="R35" s="873"/>
      <c r="S35" s="874"/>
      <c r="T35" s="874"/>
      <c r="U35" s="1"/>
      <c r="V35" s="38"/>
      <c r="W35" s="1"/>
      <c r="X35" s="1"/>
      <c r="Y35" s="873"/>
      <c r="Z35" s="874"/>
      <c r="AA35" s="874"/>
    </row>
    <row r="36" spans="1:27" ht="15.75" customHeight="1">
      <c r="A36" s="23"/>
      <c r="B36" s="6">
        <v>3</v>
      </c>
      <c r="C36" s="855"/>
      <c r="D36" s="851"/>
      <c r="E36" s="852"/>
      <c r="F36" s="4"/>
      <c r="G36" s="4"/>
      <c r="H36" s="4"/>
      <c r="I36" s="4"/>
      <c r="J36" s="855"/>
      <c r="K36" s="852"/>
      <c r="M36" s="52" t="s">
        <v>27</v>
      </c>
      <c r="N36" s="57" t="s">
        <v>47</v>
      </c>
      <c r="O36" s="861" t="s">
        <v>12</v>
      </c>
      <c r="P36" s="862"/>
      <c r="Q36" s="863"/>
      <c r="R36" s="867" t="s">
        <v>53</v>
      </c>
      <c r="S36" s="868"/>
      <c r="T36" s="869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866" t="s">
        <v>51</v>
      </c>
      <c r="AA36" s="876"/>
    </row>
    <row r="37" spans="1:27" ht="15.75" customHeight="1">
      <c r="A37" s="23"/>
      <c r="B37" s="6">
        <v>4</v>
      </c>
      <c r="C37" s="855"/>
      <c r="D37" s="851"/>
      <c r="E37" s="852"/>
      <c r="F37" s="4"/>
      <c r="G37" s="4"/>
      <c r="H37" s="4"/>
      <c r="I37" s="4"/>
      <c r="J37" s="855"/>
      <c r="K37" s="852"/>
      <c r="M37" s="56" t="s">
        <v>42</v>
      </c>
      <c r="N37" s="24">
        <v>1</v>
      </c>
      <c r="O37" s="854" t="s">
        <v>89</v>
      </c>
      <c r="P37" s="851"/>
      <c r="Q37" s="852"/>
      <c r="R37" s="854" t="s">
        <v>90</v>
      </c>
      <c r="S37" s="851"/>
      <c r="T37" s="852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854" t="s">
        <v>91</v>
      </c>
      <c r="AA37" s="852"/>
    </row>
    <row r="38" spans="1:27" ht="15.75" customHeight="1">
      <c r="A38" s="23"/>
      <c r="B38" s="26">
        <v>5</v>
      </c>
      <c r="C38" s="856"/>
      <c r="D38" s="860"/>
      <c r="E38" s="857"/>
      <c r="F38" s="27"/>
      <c r="G38" s="27"/>
      <c r="H38" s="27"/>
      <c r="I38" s="27"/>
      <c r="J38" s="856"/>
      <c r="K38" s="857"/>
      <c r="M38" s="25"/>
      <c r="N38" s="24">
        <v>2</v>
      </c>
      <c r="O38" s="855"/>
      <c r="P38" s="851"/>
      <c r="Q38" s="852"/>
      <c r="R38" s="855"/>
      <c r="S38" s="851"/>
      <c r="T38" s="852"/>
      <c r="U38" s="4"/>
      <c r="V38" s="14"/>
      <c r="W38" s="4"/>
      <c r="X38" s="16">
        <f t="shared" si="18"/>
        <v>0</v>
      </c>
      <c r="Y38" s="4"/>
      <c r="Z38" s="855"/>
      <c r="AA38" s="852"/>
    </row>
    <row r="39" spans="1:27" ht="14">
      <c r="A39" s="23"/>
      <c r="B39" s="69" t="s">
        <v>101</v>
      </c>
      <c r="C39" s="858" t="s">
        <v>80</v>
      </c>
      <c r="D39" s="865"/>
      <c r="E39" s="859"/>
      <c r="F39" s="28">
        <v>7</v>
      </c>
      <c r="G39" s="28">
        <v>2200</v>
      </c>
      <c r="H39" s="28">
        <v>314.29000000000002</v>
      </c>
      <c r="I39" s="28">
        <v>-15</v>
      </c>
      <c r="J39" s="858" t="s">
        <v>81</v>
      </c>
      <c r="K39" s="859"/>
      <c r="M39" s="25"/>
      <c r="N39" s="24">
        <v>3</v>
      </c>
      <c r="O39" s="855"/>
      <c r="P39" s="851"/>
      <c r="Q39" s="852"/>
      <c r="R39" s="855"/>
      <c r="S39" s="851"/>
      <c r="T39" s="852"/>
      <c r="U39" s="4"/>
      <c r="V39" s="14"/>
      <c r="W39" s="4"/>
      <c r="X39" s="16">
        <f t="shared" si="18"/>
        <v>0</v>
      </c>
      <c r="Y39" s="4"/>
      <c r="Z39" s="855"/>
      <c r="AA39" s="852"/>
    </row>
    <row r="40" spans="1:27" ht="14">
      <c r="A40" s="23"/>
      <c r="B40" s="70" t="s">
        <v>102</v>
      </c>
      <c r="C40" s="855"/>
      <c r="D40" s="851"/>
      <c r="E40" s="852"/>
      <c r="F40" s="4"/>
      <c r="G40" s="4"/>
      <c r="H40" s="4"/>
      <c r="I40" s="4"/>
      <c r="J40" s="855"/>
      <c r="K40" s="852"/>
      <c r="M40" s="25"/>
      <c r="N40" s="24">
        <v>4</v>
      </c>
      <c r="O40" s="855"/>
      <c r="P40" s="851"/>
      <c r="Q40" s="852"/>
      <c r="R40" s="855"/>
      <c r="S40" s="851"/>
      <c r="T40" s="852"/>
      <c r="U40" s="4"/>
      <c r="V40" s="14"/>
      <c r="W40" s="4"/>
      <c r="X40" s="16">
        <f t="shared" si="18"/>
        <v>0</v>
      </c>
      <c r="Y40" s="4"/>
      <c r="Z40" s="855"/>
      <c r="AA40" s="852"/>
    </row>
    <row r="41" spans="1:27" ht="14">
      <c r="A41" s="23"/>
      <c r="B41" s="70" t="s">
        <v>100</v>
      </c>
      <c r="C41" s="855"/>
      <c r="D41" s="851"/>
      <c r="E41" s="852"/>
      <c r="F41" s="4"/>
      <c r="G41" s="4"/>
      <c r="H41" s="4"/>
      <c r="I41" s="4"/>
      <c r="J41" s="855"/>
      <c r="K41" s="852"/>
      <c r="M41" s="25"/>
      <c r="N41" s="29">
        <v>5</v>
      </c>
      <c r="O41" s="856"/>
      <c r="P41" s="860"/>
      <c r="Q41" s="857"/>
      <c r="R41" s="856"/>
      <c r="S41" s="860"/>
      <c r="T41" s="857"/>
      <c r="U41" s="27"/>
      <c r="V41" s="30"/>
      <c r="W41" s="27"/>
      <c r="X41" s="31">
        <f t="shared" si="18"/>
        <v>0</v>
      </c>
      <c r="Y41" s="4"/>
      <c r="Z41" s="855"/>
      <c r="AA41" s="852"/>
    </row>
    <row r="42" spans="1:27" ht="14">
      <c r="A42" s="23"/>
      <c r="B42" s="70" t="s">
        <v>99</v>
      </c>
      <c r="C42" s="855"/>
      <c r="D42" s="851"/>
      <c r="E42" s="852"/>
      <c r="F42" s="4"/>
      <c r="G42" s="4"/>
      <c r="H42" s="4"/>
      <c r="I42" s="4"/>
      <c r="J42" s="855"/>
      <c r="K42" s="852"/>
      <c r="M42" s="32"/>
      <c r="N42" s="54"/>
      <c r="O42" s="862"/>
      <c r="P42" s="851"/>
      <c r="Q42" s="851"/>
      <c r="R42" s="862"/>
      <c r="S42" s="851"/>
      <c r="T42" s="851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862"/>
      <c r="AA42" s="852"/>
    </row>
    <row r="43" spans="1:27" ht="14">
      <c r="A43" s="20"/>
      <c r="B43" s="70" t="s">
        <v>103</v>
      </c>
      <c r="C43" s="855"/>
      <c r="D43" s="851"/>
      <c r="E43" s="852"/>
      <c r="F43" s="4"/>
      <c r="G43" s="4"/>
      <c r="H43" s="4"/>
      <c r="I43" s="4"/>
      <c r="J43" s="855"/>
      <c r="K43" s="852"/>
      <c r="M43" s="56" t="s">
        <v>43</v>
      </c>
      <c r="N43" s="24">
        <v>1</v>
      </c>
      <c r="O43" s="854" t="s">
        <v>89</v>
      </c>
      <c r="P43" s="851"/>
      <c r="Q43" s="852"/>
      <c r="R43" s="870" t="s">
        <v>93</v>
      </c>
      <c r="S43" s="871"/>
      <c r="T43" s="872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854" t="s">
        <v>92</v>
      </c>
      <c r="AA43" s="852"/>
    </row>
    <row r="44" spans="1:27" ht="14">
      <c r="A44" s="67"/>
      <c r="M44" s="25"/>
      <c r="N44" s="24">
        <v>2</v>
      </c>
      <c r="O44" s="855"/>
      <c r="P44" s="851"/>
      <c r="Q44" s="852"/>
      <c r="R44" s="855"/>
      <c r="S44" s="851"/>
      <c r="T44" s="852"/>
      <c r="U44" s="4"/>
      <c r="V44" s="14"/>
      <c r="W44" s="4"/>
      <c r="X44" s="37">
        <f t="shared" si="19"/>
        <v>0</v>
      </c>
      <c r="Y44" s="4"/>
      <c r="Z44" s="855"/>
      <c r="AA44" s="852"/>
    </row>
    <row r="45" spans="1:27" ht="14">
      <c r="A45" s="18"/>
      <c r="B45" s="49" t="s">
        <v>47</v>
      </c>
      <c r="C45" s="853" t="s">
        <v>12</v>
      </c>
      <c r="D45" s="851"/>
      <c r="E45" s="852"/>
      <c r="F45" s="49" t="s">
        <v>46</v>
      </c>
      <c r="G45" s="49" t="s">
        <v>48</v>
      </c>
      <c r="H45" s="49" t="s">
        <v>49</v>
      </c>
      <c r="I45" s="8" t="s">
        <v>13</v>
      </c>
      <c r="J45" s="866" t="s">
        <v>51</v>
      </c>
      <c r="K45" s="852"/>
      <c r="M45" s="25"/>
      <c r="N45" s="24">
        <v>3</v>
      </c>
      <c r="O45" s="855"/>
      <c r="P45" s="851"/>
      <c r="Q45" s="852"/>
      <c r="R45" s="855"/>
      <c r="S45" s="851"/>
      <c r="T45" s="852"/>
      <c r="U45" s="4"/>
      <c r="V45" s="14"/>
      <c r="W45" s="4"/>
      <c r="X45" s="37">
        <f t="shared" si="19"/>
        <v>0</v>
      </c>
      <c r="Y45" s="4"/>
      <c r="Z45" s="855"/>
      <c r="AA45" s="852"/>
    </row>
    <row r="46" spans="1:27" ht="14">
      <c r="A46" s="52" t="s">
        <v>36</v>
      </c>
      <c r="B46" s="6">
        <v>1</v>
      </c>
      <c r="C46" s="854" t="s">
        <v>82</v>
      </c>
      <c r="D46" s="851"/>
      <c r="E46" s="852"/>
      <c r="F46" s="4">
        <v>15</v>
      </c>
      <c r="G46" s="4">
        <v>1200</v>
      </c>
      <c r="H46" s="4">
        <v>80</v>
      </c>
      <c r="I46" s="4">
        <v>5</v>
      </c>
      <c r="J46" s="854" t="s">
        <v>83</v>
      </c>
      <c r="K46" s="852"/>
      <c r="M46" s="25"/>
      <c r="N46" s="24">
        <v>4</v>
      </c>
      <c r="O46" s="855"/>
      <c r="P46" s="851"/>
      <c r="Q46" s="852"/>
      <c r="R46" s="855"/>
      <c r="S46" s="851"/>
      <c r="T46" s="852"/>
      <c r="U46" s="4"/>
      <c r="V46" s="14"/>
      <c r="W46" s="4"/>
      <c r="X46" s="37">
        <f t="shared" si="19"/>
        <v>0</v>
      </c>
      <c r="Y46" s="4"/>
      <c r="Z46" s="855"/>
      <c r="AA46" s="852"/>
    </row>
    <row r="47" spans="1:27" ht="14">
      <c r="A47" s="23"/>
      <c r="B47" s="6">
        <v>2</v>
      </c>
      <c r="C47" s="855"/>
      <c r="D47" s="851"/>
      <c r="E47" s="852"/>
      <c r="F47" s="4"/>
      <c r="G47" s="4"/>
      <c r="H47" s="4"/>
      <c r="I47" s="4"/>
      <c r="J47" s="855"/>
      <c r="K47" s="852"/>
      <c r="M47" s="25"/>
      <c r="N47" s="29">
        <v>5</v>
      </c>
      <c r="O47" s="855"/>
      <c r="P47" s="851"/>
      <c r="Q47" s="852"/>
      <c r="R47" s="855"/>
      <c r="S47" s="851"/>
      <c r="T47" s="852"/>
      <c r="U47" s="27"/>
      <c r="V47" s="30"/>
      <c r="W47" s="27"/>
      <c r="X47" s="40">
        <f t="shared" si="19"/>
        <v>0</v>
      </c>
      <c r="Y47" s="4"/>
      <c r="Z47" s="855"/>
      <c r="AA47" s="852"/>
    </row>
    <row r="48" spans="1:27" ht="14">
      <c r="A48" s="23"/>
      <c r="B48" s="6">
        <v>3</v>
      </c>
      <c r="C48" s="855"/>
      <c r="D48" s="851"/>
      <c r="E48" s="852"/>
      <c r="F48" s="4"/>
      <c r="G48" s="4"/>
      <c r="H48" s="4"/>
      <c r="I48" s="4"/>
      <c r="J48" s="855"/>
      <c r="K48" s="852"/>
      <c r="M48" s="68"/>
      <c r="N48" s="45"/>
      <c r="O48" s="862"/>
      <c r="P48" s="851"/>
      <c r="Q48" s="851"/>
      <c r="R48" s="862"/>
      <c r="S48" s="851"/>
      <c r="T48" s="851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862"/>
      <c r="AA48" s="852"/>
    </row>
    <row r="49" spans="1:27" ht="14">
      <c r="A49" s="23"/>
      <c r="B49" s="6">
        <v>4</v>
      </c>
      <c r="C49" s="855"/>
      <c r="D49" s="851"/>
      <c r="E49" s="852"/>
      <c r="F49" s="4"/>
      <c r="G49" s="4"/>
      <c r="H49" s="4"/>
      <c r="I49" s="4"/>
      <c r="J49" s="855"/>
      <c r="K49" s="852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">
      <c r="A50" s="23"/>
      <c r="B50" s="26">
        <v>5</v>
      </c>
      <c r="C50" s="856"/>
      <c r="D50" s="860"/>
      <c r="E50" s="857"/>
      <c r="F50" s="27"/>
      <c r="G50" s="27"/>
      <c r="H50" s="27"/>
      <c r="I50" s="27"/>
      <c r="J50" s="856"/>
      <c r="K50" s="857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">
      <c r="A51" s="23"/>
      <c r="B51" s="69" t="s">
        <v>101</v>
      </c>
      <c r="C51" s="858" t="s">
        <v>89</v>
      </c>
      <c r="D51" s="865"/>
      <c r="E51" s="859"/>
      <c r="F51" s="28">
        <v>18</v>
      </c>
      <c r="G51" s="28">
        <v>800</v>
      </c>
      <c r="H51" s="28">
        <v>44.44</v>
      </c>
      <c r="I51" s="28">
        <v>-15</v>
      </c>
      <c r="J51" s="858" t="s">
        <v>84</v>
      </c>
      <c r="K51" s="859"/>
      <c r="M51" s="8"/>
      <c r="N51" s="8" t="s">
        <v>18</v>
      </c>
      <c r="O51" s="861" t="s">
        <v>12</v>
      </c>
      <c r="P51" s="862"/>
      <c r="Q51" s="863"/>
      <c r="R51" s="867" t="s">
        <v>53</v>
      </c>
      <c r="S51" s="868"/>
      <c r="T51" s="869"/>
      <c r="U51" s="57" t="s">
        <v>54</v>
      </c>
      <c r="V51" s="39" t="s">
        <v>19</v>
      </c>
      <c r="W51" s="57" t="s">
        <v>57</v>
      </c>
      <c r="X51" s="8" t="s">
        <v>2</v>
      </c>
      <c r="Y51" s="861" t="s">
        <v>50</v>
      </c>
      <c r="Z51" s="862"/>
      <c r="AA51" s="863"/>
    </row>
    <row r="52" spans="1:27" ht="14">
      <c r="A52" s="23"/>
      <c r="B52" s="70" t="s">
        <v>102</v>
      </c>
      <c r="C52" s="855"/>
      <c r="D52" s="851"/>
      <c r="E52" s="852"/>
      <c r="F52" s="4"/>
      <c r="G52" s="4"/>
      <c r="H52" s="4"/>
      <c r="I52" s="4"/>
      <c r="J52" s="855"/>
      <c r="K52" s="852"/>
      <c r="M52" s="56" t="s">
        <v>42</v>
      </c>
      <c r="N52" s="24">
        <v>1</v>
      </c>
      <c r="O52" s="854" t="s">
        <v>89</v>
      </c>
      <c r="P52" s="851"/>
      <c r="Q52" s="852"/>
      <c r="R52" s="870" t="s">
        <v>93</v>
      </c>
      <c r="S52" s="871"/>
      <c r="T52" s="872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854" t="s">
        <v>97</v>
      </c>
      <c r="Z52" s="851"/>
      <c r="AA52" s="852"/>
    </row>
    <row r="53" spans="1:27" ht="14">
      <c r="A53" s="23"/>
      <c r="B53" s="70" t="s">
        <v>100</v>
      </c>
      <c r="C53" s="855"/>
      <c r="D53" s="851"/>
      <c r="E53" s="852"/>
      <c r="F53" s="4"/>
      <c r="G53" s="4"/>
      <c r="H53" s="4"/>
      <c r="I53" s="4"/>
      <c r="J53" s="855"/>
      <c r="K53" s="852"/>
      <c r="M53" s="25"/>
      <c r="N53" s="29">
        <v>2</v>
      </c>
      <c r="O53" s="856"/>
      <c r="P53" s="860"/>
      <c r="Q53" s="857"/>
      <c r="R53" s="856"/>
      <c r="S53" s="860"/>
      <c r="T53" s="857"/>
      <c r="U53" s="27"/>
      <c r="V53" s="30"/>
      <c r="W53" s="30"/>
      <c r="X53" s="41">
        <f t="shared" si="20"/>
        <v>0</v>
      </c>
      <c r="Y53" s="856"/>
      <c r="Z53" s="860"/>
      <c r="AA53" s="857"/>
    </row>
    <row r="54" spans="1:27" ht="14">
      <c r="A54" s="23"/>
      <c r="B54" s="70" t="s">
        <v>99</v>
      </c>
      <c r="C54" s="855"/>
      <c r="D54" s="851"/>
      <c r="E54" s="852"/>
      <c r="F54" s="4"/>
      <c r="G54" s="4"/>
      <c r="H54" s="4"/>
      <c r="I54" s="4"/>
      <c r="J54" s="855"/>
      <c r="K54" s="852"/>
      <c r="M54" s="56" t="s">
        <v>43</v>
      </c>
      <c r="N54" s="42">
        <v>1</v>
      </c>
      <c r="O54" s="858" t="s">
        <v>94</v>
      </c>
      <c r="P54" s="865"/>
      <c r="Q54" s="859"/>
      <c r="R54" s="858" t="s">
        <v>95</v>
      </c>
      <c r="S54" s="865"/>
      <c r="T54" s="859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858" t="s">
        <v>96</v>
      </c>
      <c r="Z54" s="865"/>
      <c r="AA54" s="859"/>
    </row>
    <row r="55" spans="1:27" ht="14">
      <c r="A55" s="20"/>
      <c r="B55" s="70" t="s">
        <v>103</v>
      </c>
      <c r="C55" s="855"/>
      <c r="D55" s="851"/>
      <c r="E55" s="852"/>
      <c r="F55" s="4"/>
      <c r="G55" s="4"/>
      <c r="H55" s="4"/>
      <c r="I55" s="4"/>
      <c r="J55" s="855"/>
      <c r="K55" s="852"/>
      <c r="M55" s="22"/>
      <c r="N55" s="24">
        <v>2</v>
      </c>
      <c r="O55" s="855"/>
      <c r="P55" s="851"/>
      <c r="Q55" s="852"/>
      <c r="R55" s="855"/>
      <c r="S55" s="851"/>
      <c r="T55" s="852"/>
      <c r="U55" s="4"/>
      <c r="V55" s="14"/>
      <c r="W55" s="14"/>
      <c r="X55" s="13">
        <f t="shared" si="20"/>
        <v>0</v>
      </c>
      <c r="Y55" s="855"/>
      <c r="Z55" s="851"/>
      <c r="AA55" s="852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12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265625" defaultRowHeight="14"/>
  <cols>
    <col min="1" max="2" width="8.7265625" style="151"/>
    <col min="3" max="3" width="14" style="151" bestFit="1" customWidth="1"/>
    <col min="4" max="4" width="0.26953125" style="151" customWidth="1"/>
    <col min="5" max="5" width="8.7265625" style="151"/>
    <col min="6" max="6" width="16.26953125" style="151" bestFit="1" customWidth="1"/>
    <col min="7" max="16384" width="8.7265625" style="151"/>
  </cols>
  <sheetData>
    <row r="2" spans="2:7" ht="15.5">
      <c r="B2" s="877" t="s">
        <v>258</v>
      </c>
      <c r="C2" s="877"/>
      <c r="D2" s="877"/>
      <c r="E2" s="877"/>
      <c r="F2" s="877"/>
    </row>
    <row r="3" spans="2:7" ht="14.5">
      <c r="B3" s="152" t="s">
        <v>259</v>
      </c>
      <c r="C3" s="152" t="s">
        <v>260</v>
      </c>
      <c r="D3" s="153"/>
      <c r="E3" s="152" t="s">
        <v>261</v>
      </c>
      <c r="F3" s="152" t="s">
        <v>262</v>
      </c>
      <c r="G3" s="153"/>
    </row>
    <row r="4" spans="2:7" ht="14.5">
      <c r="B4" s="154" t="s">
        <v>263</v>
      </c>
      <c r="C4" s="154" t="s">
        <v>264</v>
      </c>
      <c r="D4" s="153"/>
      <c r="E4" s="154" t="s">
        <v>265</v>
      </c>
      <c r="F4" s="154" t="s">
        <v>266</v>
      </c>
      <c r="G4" s="153"/>
    </row>
    <row r="5" spans="2:7" ht="14.5">
      <c r="B5" s="154" t="s">
        <v>267</v>
      </c>
      <c r="C5" s="154" t="s">
        <v>268</v>
      </c>
      <c r="D5" s="153"/>
      <c r="E5" s="154" t="s">
        <v>269</v>
      </c>
      <c r="F5" s="154" t="s">
        <v>270</v>
      </c>
      <c r="G5" s="153"/>
    </row>
    <row r="6" spans="2:7" ht="14.5">
      <c r="B6" s="154" t="s">
        <v>271</v>
      </c>
      <c r="C6" s="154" t="s">
        <v>272</v>
      </c>
      <c r="D6" s="153"/>
      <c r="E6" s="155" t="s">
        <v>273</v>
      </c>
      <c r="F6" s="155" t="s">
        <v>142</v>
      </c>
      <c r="G6" s="153"/>
    </row>
    <row r="7" spans="2:7" ht="14.5">
      <c r="B7" s="155" t="s">
        <v>274</v>
      </c>
      <c r="C7" s="155" t="s">
        <v>275</v>
      </c>
      <c r="D7" s="153"/>
      <c r="E7" s="154" t="s">
        <v>276</v>
      </c>
      <c r="F7" s="154" t="s">
        <v>277</v>
      </c>
      <c r="G7" s="153"/>
    </row>
    <row r="8" spans="2:7" ht="14.5">
      <c r="B8" s="154" t="s">
        <v>278</v>
      </c>
      <c r="C8" s="154" t="s">
        <v>279</v>
      </c>
      <c r="D8" s="153"/>
      <c r="E8" s="154" t="s">
        <v>280</v>
      </c>
      <c r="F8" s="154" t="s">
        <v>281</v>
      </c>
      <c r="G8" s="153"/>
    </row>
    <row r="9" spans="2:7" ht="14.5">
      <c r="B9" s="154" t="s">
        <v>282</v>
      </c>
      <c r="C9" s="154" t="s">
        <v>283</v>
      </c>
      <c r="D9" s="153"/>
      <c r="E9" s="155" t="s">
        <v>284</v>
      </c>
      <c r="F9" s="155" t="s">
        <v>141</v>
      </c>
      <c r="G9" s="153"/>
    </row>
    <row r="10" spans="2:7" ht="14.5">
      <c r="B10" s="154" t="s">
        <v>285</v>
      </c>
      <c r="C10" s="154" t="s">
        <v>286</v>
      </c>
      <c r="D10" s="153"/>
      <c r="E10" s="154" t="s">
        <v>287</v>
      </c>
      <c r="F10" s="154" t="s">
        <v>288</v>
      </c>
      <c r="G10" s="153"/>
    </row>
    <row r="11" spans="2:7" ht="14.5">
      <c r="B11" s="154" t="s">
        <v>289</v>
      </c>
      <c r="C11" s="154" t="s">
        <v>290</v>
      </c>
      <c r="D11" s="153"/>
      <c r="E11" s="154" t="s">
        <v>291</v>
      </c>
      <c r="F11" s="154" t="s">
        <v>281</v>
      </c>
      <c r="G11" s="153"/>
    </row>
    <row r="12" spans="2:7" ht="14.5">
      <c r="B12" s="154" t="s">
        <v>292</v>
      </c>
      <c r="C12" s="154" t="s">
        <v>293</v>
      </c>
      <c r="D12" s="153"/>
      <c r="E12" s="154" t="s">
        <v>294</v>
      </c>
      <c r="F12" s="154" t="s">
        <v>295</v>
      </c>
      <c r="G12" s="153"/>
    </row>
    <row r="13" spans="2:7" ht="14.5">
      <c r="B13" s="155" t="s">
        <v>296</v>
      </c>
      <c r="C13" s="155" t="s">
        <v>137</v>
      </c>
      <c r="D13" s="153"/>
      <c r="E13" s="154" t="s">
        <v>297</v>
      </c>
      <c r="F13" s="154" t="s">
        <v>298</v>
      </c>
      <c r="G13" s="153"/>
    </row>
    <row r="14" spans="2:7" ht="14.5">
      <c r="B14" s="154" t="s">
        <v>299</v>
      </c>
      <c r="C14" s="154" t="s">
        <v>300</v>
      </c>
      <c r="D14" s="153"/>
      <c r="E14" s="155" t="s">
        <v>301</v>
      </c>
      <c r="F14" s="155" t="s">
        <v>302</v>
      </c>
      <c r="G14" s="153"/>
    </row>
    <row r="15" spans="2:7" ht="14.5">
      <c r="B15" s="155" t="s">
        <v>303</v>
      </c>
      <c r="C15" s="155" t="s">
        <v>304</v>
      </c>
      <c r="D15" s="153"/>
      <c r="E15" s="154" t="s">
        <v>305</v>
      </c>
      <c r="F15" s="154" t="s">
        <v>302</v>
      </c>
      <c r="G15" s="153"/>
    </row>
    <row r="16" spans="2:7" ht="14.5">
      <c r="B16" s="154" t="s">
        <v>306</v>
      </c>
      <c r="C16" s="154" t="s">
        <v>307</v>
      </c>
      <c r="D16" s="153"/>
      <c r="E16" s="155" t="s">
        <v>308</v>
      </c>
      <c r="F16" s="155" t="s">
        <v>309</v>
      </c>
      <c r="G16" s="153"/>
    </row>
    <row r="17" spans="2:7" ht="14.5">
      <c r="B17" s="154" t="s">
        <v>310</v>
      </c>
      <c r="C17" s="154" t="s">
        <v>311</v>
      </c>
      <c r="D17" s="153"/>
      <c r="E17" s="154" t="s">
        <v>312</v>
      </c>
      <c r="F17" s="154" t="s">
        <v>313</v>
      </c>
      <c r="G17" s="153"/>
    </row>
    <row r="18" spans="2:7" ht="14.5">
      <c r="B18" s="154" t="s">
        <v>314</v>
      </c>
      <c r="C18" s="154" t="s">
        <v>315</v>
      </c>
      <c r="D18" s="153"/>
      <c r="E18" s="154" t="s">
        <v>316</v>
      </c>
      <c r="F18" s="154" t="s">
        <v>317</v>
      </c>
      <c r="G18" s="153"/>
    </row>
    <row r="19" spans="2:7" ht="14.5">
      <c r="B19" s="154" t="s">
        <v>318</v>
      </c>
      <c r="C19" s="154" t="s">
        <v>319</v>
      </c>
      <c r="D19" s="153"/>
      <c r="E19" s="154" t="s">
        <v>320</v>
      </c>
      <c r="F19" s="154" t="s">
        <v>321</v>
      </c>
      <c r="G19" s="153"/>
    </row>
    <row r="20" spans="2:7" ht="14.5">
      <c r="B20" s="154" t="s">
        <v>322</v>
      </c>
      <c r="C20" s="154" t="s">
        <v>323</v>
      </c>
      <c r="D20" s="153"/>
      <c r="G20" s="153"/>
    </row>
    <row r="21" spans="2:7" ht="14.5">
      <c r="D21" s="153"/>
      <c r="G21" s="153"/>
    </row>
    <row r="22" spans="2:7" ht="14.5">
      <c r="D22" s="153"/>
      <c r="G22" s="153"/>
    </row>
    <row r="23" spans="2:7" ht="14.5">
      <c r="D23" s="153"/>
      <c r="G23" s="153"/>
    </row>
  </sheetData>
  <mergeCells count="1">
    <mergeCell ref="B2:F2"/>
  </mergeCells>
  <phoneticPr fontId="15" type="noConversion"/>
  <pageMargins left="0" right="0" top="0" bottom="0" header="0" footer="0"/>
  <pageSetup paperSize="9" orientation="portrait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E23" sqref="E23"/>
    </sheetView>
  </sheetViews>
  <sheetFormatPr defaultRowHeight="12.5"/>
  <sheetData>
    <row r="3" spans="1:2" ht="14">
      <c r="A3">
        <v>1</v>
      </c>
      <c r="B3" s="151" t="s">
        <v>377</v>
      </c>
    </row>
    <row r="4" spans="1:2" ht="14">
      <c r="A4">
        <v>2</v>
      </c>
      <c r="B4" s="151" t="s">
        <v>398</v>
      </c>
    </row>
    <row r="5" spans="1:2" ht="14">
      <c r="A5">
        <v>3</v>
      </c>
      <c r="B5" s="151" t="s">
        <v>342</v>
      </c>
    </row>
    <row r="6" spans="1:2" ht="14">
      <c r="A6">
        <v>4</v>
      </c>
      <c r="B6" s="151" t="s">
        <v>217</v>
      </c>
    </row>
    <row r="7" spans="1:2" ht="14">
      <c r="A7">
        <v>5</v>
      </c>
      <c r="B7" s="151" t="s">
        <v>218</v>
      </c>
    </row>
    <row r="8" spans="1:2" ht="14">
      <c r="A8">
        <v>6</v>
      </c>
      <c r="B8" s="151" t="s">
        <v>219</v>
      </c>
    </row>
    <row r="9" spans="1:2" ht="14">
      <c r="A9">
        <v>7</v>
      </c>
      <c r="B9" s="151" t="s">
        <v>399</v>
      </c>
    </row>
    <row r="10" spans="1:2" ht="14">
      <c r="A10">
        <v>8</v>
      </c>
      <c r="B10" s="151" t="s">
        <v>400</v>
      </c>
    </row>
  </sheetData>
  <phoneticPr fontId="1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CA1E6DF-2CDA-415D-8D25-C5F72AAB0DB1}"/>
</file>

<file path=customXml/itemProps3.xml><?xml version="1.0" encoding="utf-8"?>
<ds:datastoreItem xmlns:ds="http://schemas.openxmlformats.org/officeDocument/2006/customXml" ds:itemID="{A7A653B7-1EA0-4EE9-A801-DC7E9A9AD72B}"/>
</file>

<file path=customXml/itemProps4.xml><?xml version="1.0" encoding="utf-8"?>
<ds:datastoreItem xmlns:ds="http://schemas.openxmlformats.org/officeDocument/2006/customXml" ds:itemID="{799D7431-B05B-4ED9-BE31-3C0F1A25CA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37</vt:i4>
      </vt:variant>
      <vt:variant>
        <vt:lpstr>已命名的範圍</vt:lpstr>
      </vt:variant>
      <vt:variant>
        <vt:i4>18</vt:i4>
      </vt:variant>
    </vt:vector>
  </HeadingPairs>
  <TitlesOfParts>
    <vt:vector size="55" baseType="lpstr"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7-1 (週)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報廢20大－原因別分析</vt:lpstr>
      <vt:lpstr>超用20大－原因別分析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temp</cp:lastModifiedBy>
  <cp:lastPrinted>2025-12-24T07:22:09Z</cp:lastPrinted>
  <dcterms:created xsi:type="dcterms:W3CDTF">2025-07-03T16:36:59Z</dcterms:created>
  <dcterms:modified xsi:type="dcterms:W3CDTF">2026-03-13T14:26:26Z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